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8964" documentId="8_{BBC9EA4E-7F3B-475F-B61B-890F681C3A1C}" xr6:coauthVersionLast="47" xr6:coauthVersionMax="47" xr10:uidLastSave="{B0DEE445-BC4B-4242-8744-D670464BFBBE}"/>
  <bookViews>
    <workbookView xWindow="-108" yWindow="-108" windowWidth="23256" windowHeight="12576" tabRatio="597" firstSheet="1" activeTab="3" xr2:uid="{00000000-000D-0000-FFFF-FFFF00000000}"/>
  </bookViews>
  <sheets>
    <sheet name="Saldos Iniciales" sheetId="2" r:id="rId1"/>
    <sheet name="Listas" sheetId="4" r:id="rId2"/>
    <sheet name="Cuentas" sheetId="10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7" hidden="1">'Lista diaria'!$A$1:$D$4397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888" i="1" l="1"/>
  <c r="E888" i="1"/>
  <c r="E880" i="1"/>
  <c r="E881" i="1"/>
  <c r="E882" i="1"/>
  <c r="E883" i="1"/>
  <c r="E884" i="1"/>
  <c r="E885" i="1"/>
  <c r="E886" i="1"/>
  <c r="E887" i="1"/>
  <c r="E889" i="1"/>
  <c r="E890" i="1"/>
  <c r="E891" i="1"/>
  <c r="E892" i="1"/>
  <c r="E893" i="1"/>
  <c r="E894" i="1"/>
  <c r="E439" i="1"/>
  <c r="E224" i="1"/>
  <c r="C1149" i="1"/>
  <c r="C875" i="1"/>
  <c r="C881" i="1"/>
  <c r="C882" i="1"/>
  <c r="C883" i="1"/>
  <c r="C884" i="1"/>
  <c r="C885" i="1"/>
  <c r="C886" i="1"/>
  <c r="C887" i="1"/>
  <c r="C889" i="1"/>
  <c r="C890" i="1"/>
  <c r="C891" i="1"/>
  <c r="C892" i="1"/>
  <c r="C893" i="1"/>
  <c r="O869" i="1"/>
  <c r="P869" i="1" s="1"/>
  <c r="Q869" i="1"/>
  <c r="R869" i="1"/>
  <c r="O870" i="1"/>
  <c r="P870" i="1" s="1"/>
  <c r="Q870" i="1"/>
  <c r="R870" i="1"/>
  <c r="O871" i="1"/>
  <c r="P871" i="1" s="1"/>
  <c r="Q871" i="1"/>
  <c r="R871" i="1"/>
  <c r="N869" i="1"/>
  <c r="N870" i="1"/>
  <c r="N871" i="1"/>
  <c r="K869" i="1"/>
  <c r="K870" i="1"/>
  <c r="H869" i="1"/>
  <c r="I869" i="1"/>
  <c r="H870" i="1"/>
  <c r="I870" i="1"/>
  <c r="E869" i="1"/>
  <c r="E870" i="1"/>
  <c r="C869" i="1"/>
  <c r="C870" i="1"/>
  <c r="N982" i="1"/>
  <c r="O982" i="1"/>
  <c r="P982" i="1" s="1"/>
  <c r="Q982" i="1"/>
  <c r="R982" i="1"/>
  <c r="N983" i="1"/>
  <c r="O983" i="1"/>
  <c r="P983" i="1" s="1"/>
  <c r="Q983" i="1"/>
  <c r="R983" i="1"/>
  <c r="N984" i="1"/>
  <c r="P984" i="1" s="1"/>
  <c r="O984" i="1"/>
  <c r="Q984" i="1"/>
  <c r="R984" i="1"/>
  <c r="N985" i="1"/>
  <c r="O985" i="1"/>
  <c r="P985" i="1" s="1"/>
  <c r="Q985" i="1"/>
  <c r="R985" i="1"/>
  <c r="N986" i="1"/>
  <c r="O986" i="1"/>
  <c r="P986" i="1" s="1"/>
  <c r="Q986" i="1"/>
  <c r="R986" i="1"/>
  <c r="N987" i="1"/>
  <c r="O987" i="1"/>
  <c r="P987" i="1" s="1"/>
  <c r="Q987" i="1"/>
  <c r="R987" i="1"/>
  <c r="N988" i="1"/>
  <c r="P988" i="1" s="1"/>
  <c r="O988" i="1"/>
  <c r="Q988" i="1"/>
  <c r="R988" i="1"/>
  <c r="N989" i="1"/>
  <c r="O989" i="1"/>
  <c r="P989" i="1" s="1"/>
  <c r="Q989" i="1"/>
  <c r="R989" i="1"/>
  <c r="N990" i="1"/>
  <c r="O990" i="1"/>
  <c r="P990" i="1" s="1"/>
  <c r="Q990" i="1"/>
  <c r="R990" i="1"/>
  <c r="N991" i="1"/>
  <c r="O991" i="1"/>
  <c r="P991" i="1" s="1"/>
  <c r="Q991" i="1"/>
  <c r="R991" i="1"/>
  <c r="N992" i="1"/>
  <c r="P992" i="1" s="1"/>
  <c r="O992" i="1"/>
  <c r="Q992" i="1"/>
  <c r="R992" i="1"/>
  <c r="N993" i="1"/>
  <c r="P993" i="1" s="1"/>
  <c r="O993" i="1"/>
  <c r="Q993" i="1"/>
  <c r="R993" i="1"/>
  <c r="N994" i="1"/>
  <c r="O994" i="1"/>
  <c r="P994" i="1" s="1"/>
  <c r="Q994" i="1"/>
  <c r="R994" i="1"/>
  <c r="N995" i="1"/>
  <c r="O995" i="1"/>
  <c r="P995" i="1" s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P998" i="1" s="1"/>
  <c r="O998" i="1"/>
  <c r="Q998" i="1"/>
  <c r="R998" i="1"/>
  <c r="N999" i="1"/>
  <c r="P999" i="1" s="1"/>
  <c r="O999" i="1"/>
  <c r="Q999" i="1"/>
  <c r="R999" i="1"/>
  <c r="N1000" i="1"/>
  <c r="O1000" i="1"/>
  <c r="P1000" i="1" s="1"/>
  <c r="Q1000" i="1"/>
  <c r="R1000" i="1"/>
  <c r="N1001" i="1"/>
  <c r="O1001" i="1"/>
  <c r="P1001" i="1" s="1"/>
  <c r="Q1001" i="1"/>
  <c r="R1001" i="1"/>
  <c r="N1002" i="1"/>
  <c r="O1002" i="1"/>
  <c r="P1002" i="1" s="1"/>
  <c r="Q1002" i="1"/>
  <c r="R1002" i="1"/>
  <c r="N1003" i="1"/>
  <c r="O1003" i="1"/>
  <c r="P1003" i="1" s="1"/>
  <c r="Q1003" i="1"/>
  <c r="R1003" i="1"/>
  <c r="N1004" i="1"/>
  <c r="O1004" i="1"/>
  <c r="P1004" i="1" s="1"/>
  <c r="Q1004" i="1"/>
  <c r="R1004" i="1"/>
  <c r="N1005" i="1"/>
  <c r="O1005" i="1"/>
  <c r="P1005" i="1" s="1"/>
  <c r="Q1005" i="1"/>
  <c r="R1005" i="1"/>
  <c r="N1006" i="1"/>
  <c r="O1006" i="1"/>
  <c r="P1006" i="1" s="1"/>
  <c r="Q1006" i="1"/>
  <c r="R1006" i="1"/>
  <c r="N1007" i="1"/>
  <c r="O1007" i="1"/>
  <c r="P1007" i="1" s="1"/>
  <c r="Q1007" i="1"/>
  <c r="R1007" i="1"/>
  <c r="N1008" i="1"/>
  <c r="P1008" i="1" s="1"/>
  <c r="O1008" i="1"/>
  <c r="Q1008" i="1"/>
  <c r="R1008" i="1"/>
  <c r="N1009" i="1"/>
  <c r="P1009" i="1" s="1"/>
  <c r="O1009" i="1"/>
  <c r="Q1009" i="1"/>
  <c r="R1009" i="1"/>
  <c r="N1010" i="1"/>
  <c r="P1010" i="1" s="1"/>
  <c r="O1010" i="1"/>
  <c r="Q1010" i="1"/>
  <c r="R1010" i="1"/>
  <c r="N1011" i="1"/>
  <c r="O1011" i="1"/>
  <c r="P1011" i="1" s="1"/>
  <c r="Q1011" i="1"/>
  <c r="R1011" i="1"/>
  <c r="N1012" i="1"/>
  <c r="O1012" i="1"/>
  <c r="P1012" i="1" s="1"/>
  <c r="Q1012" i="1"/>
  <c r="R1012" i="1"/>
  <c r="N1013" i="1"/>
  <c r="P1013" i="1" s="1"/>
  <c r="O1013" i="1"/>
  <c r="Q1013" i="1"/>
  <c r="R1013" i="1"/>
  <c r="N1014" i="1"/>
  <c r="O1014" i="1"/>
  <c r="P1014" i="1" s="1"/>
  <c r="Q1014" i="1"/>
  <c r="R1014" i="1"/>
  <c r="N1015" i="1"/>
  <c r="O1015" i="1"/>
  <c r="P1015" i="1" s="1"/>
  <c r="Q1015" i="1"/>
  <c r="R1015" i="1"/>
  <c r="N1016" i="1"/>
  <c r="O1016" i="1"/>
  <c r="P1016" i="1" s="1"/>
  <c r="Q1016" i="1"/>
  <c r="R1016" i="1"/>
  <c r="N1017" i="1"/>
  <c r="O1017" i="1"/>
  <c r="P1017" i="1" s="1"/>
  <c r="Q1017" i="1"/>
  <c r="R1017" i="1"/>
  <c r="N1018" i="1"/>
  <c r="O1018" i="1"/>
  <c r="P1018" i="1" s="1"/>
  <c r="Q1018" i="1"/>
  <c r="R1018" i="1"/>
  <c r="N1019" i="1"/>
  <c r="O1019" i="1"/>
  <c r="P1019" i="1" s="1"/>
  <c r="Q1019" i="1"/>
  <c r="R1019" i="1"/>
  <c r="N1020" i="1"/>
  <c r="O1020" i="1"/>
  <c r="P1020" i="1" s="1"/>
  <c r="Q1020" i="1"/>
  <c r="R1020" i="1"/>
  <c r="N1021" i="1"/>
  <c r="O1021" i="1"/>
  <c r="P1021" i="1" s="1"/>
  <c r="Q1021" i="1"/>
  <c r="R1021" i="1"/>
  <c r="N1022" i="1"/>
  <c r="O1022" i="1"/>
  <c r="P1022" i="1"/>
  <c r="Q1022" i="1"/>
  <c r="R1022" i="1"/>
  <c r="N1023" i="1"/>
  <c r="P1023" i="1" s="1"/>
  <c r="O1023" i="1"/>
  <c r="Q1023" i="1"/>
  <c r="R1023" i="1"/>
  <c r="N1024" i="1"/>
  <c r="O1024" i="1"/>
  <c r="P1024" i="1" s="1"/>
  <c r="Q1024" i="1"/>
  <c r="R1024" i="1"/>
  <c r="N1025" i="1"/>
  <c r="O1025" i="1"/>
  <c r="P1025" i="1" s="1"/>
  <c r="Q1025" i="1"/>
  <c r="R1025" i="1"/>
  <c r="N1026" i="1"/>
  <c r="O1026" i="1"/>
  <c r="P1026" i="1" s="1"/>
  <c r="Q1026" i="1"/>
  <c r="R1026" i="1"/>
  <c r="N1027" i="1"/>
  <c r="P1027" i="1" s="1"/>
  <c r="O1027" i="1"/>
  <c r="Q1027" i="1"/>
  <c r="R1027" i="1"/>
  <c r="N1028" i="1"/>
  <c r="O1028" i="1"/>
  <c r="P1028" i="1" s="1"/>
  <c r="Q1028" i="1"/>
  <c r="R1028" i="1"/>
  <c r="N1029" i="1"/>
  <c r="O1029" i="1"/>
  <c r="P1029" i="1" s="1"/>
  <c r="Q1029" i="1"/>
  <c r="R1029" i="1"/>
  <c r="N1030" i="1"/>
  <c r="O1030" i="1"/>
  <c r="P1030" i="1" s="1"/>
  <c r="Q1030" i="1"/>
  <c r="R1030" i="1"/>
  <c r="N1031" i="1"/>
  <c r="O1031" i="1"/>
  <c r="P1031" i="1" s="1"/>
  <c r="Q1031" i="1"/>
  <c r="R1031" i="1"/>
  <c r="N1032" i="1"/>
  <c r="O1032" i="1"/>
  <c r="P1032" i="1" s="1"/>
  <c r="Q1032" i="1"/>
  <c r="R1032" i="1"/>
  <c r="N1033" i="1"/>
  <c r="O1033" i="1"/>
  <c r="P1033" i="1" s="1"/>
  <c r="Q1033" i="1"/>
  <c r="R1033" i="1"/>
  <c r="N1034" i="1"/>
  <c r="O1034" i="1"/>
  <c r="P1034" i="1" s="1"/>
  <c r="Q1034" i="1"/>
  <c r="R1034" i="1"/>
  <c r="N1035" i="1"/>
  <c r="O1035" i="1"/>
  <c r="P1035" i="1" s="1"/>
  <c r="Q1035" i="1"/>
  <c r="R1035" i="1"/>
  <c r="N1036" i="1"/>
  <c r="O1036" i="1"/>
  <c r="P1036" i="1" s="1"/>
  <c r="Q1036" i="1"/>
  <c r="R1036" i="1"/>
  <c r="N1037" i="1"/>
  <c r="O1037" i="1"/>
  <c r="P1037" i="1" s="1"/>
  <c r="Q1037" i="1"/>
  <c r="R1037" i="1"/>
  <c r="N1038" i="1"/>
  <c r="O1038" i="1"/>
  <c r="P1038" i="1" s="1"/>
  <c r="Q1038" i="1"/>
  <c r="R1038" i="1"/>
  <c r="N1039" i="1"/>
  <c r="O1039" i="1"/>
  <c r="P1039" i="1" s="1"/>
  <c r="Q1039" i="1"/>
  <c r="R1039" i="1"/>
  <c r="N1040" i="1"/>
  <c r="O1040" i="1"/>
  <c r="P1040" i="1" s="1"/>
  <c r="Q1040" i="1"/>
  <c r="R1040" i="1"/>
  <c r="N1041" i="1"/>
  <c r="O1041" i="1"/>
  <c r="P1041" i="1" s="1"/>
  <c r="Q1041" i="1"/>
  <c r="R1041" i="1"/>
  <c r="N1042" i="1"/>
  <c r="O1042" i="1"/>
  <c r="P1042" i="1" s="1"/>
  <c r="Q1042" i="1"/>
  <c r="R1042" i="1"/>
  <c r="N1043" i="1"/>
  <c r="O1043" i="1"/>
  <c r="P1043" i="1" s="1"/>
  <c r="Q1043" i="1"/>
  <c r="R1043" i="1"/>
  <c r="N1044" i="1"/>
  <c r="P1044" i="1" s="1"/>
  <c r="O1044" i="1"/>
  <c r="Q1044" i="1"/>
  <c r="R1044" i="1"/>
  <c r="N1045" i="1"/>
  <c r="O1045" i="1"/>
  <c r="P1045" i="1" s="1"/>
  <c r="Q1045" i="1"/>
  <c r="R1045" i="1"/>
  <c r="N1046" i="1"/>
  <c r="O1046" i="1"/>
  <c r="P1046" i="1" s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O1049" i="1"/>
  <c r="P1049" i="1" s="1"/>
  <c r="Q1049" i="1"/>
  <c r="R1049" i="1"/>
  <c r="N1050" i="1"/>
  <c r="O1050" i="1"/>
  <c r="P1050" i="1" s="1"/>
  <c r="Q1050" i="1"/>
  <c r="R1050" i="1"/>
  <c r="N1051" i="1"/>
  <c r="P1051" i="1" s="1"/>
  <c r="O1051" i="1"/>
  <c r="Q1051" i="1"/>
  <c r="R1051" i="1"/>
  <c r="N1052" i="1"/>
  <c r="P1052" i="1" s="1"/>
  <c r="O1052" i="1"/>
  <c r="Q1052" i="1"/>
  <c r="R1052" i="1"/>
  <c r="N1053" i="1"/>
  <c r="P1053" i="1" s="1"/>
  <c r="O1053" i="1"/>
  <c r="Q1053" i="1"/>
  <c r="R1053" i="1"/>
  <c r="N1054" i="1"/>
  <c r="P1054" i="1" s="1"/>
  <c r="O1054" i="1"/>
  <c r="Q1054" i="1"/>
  <c r="R1054" i="1"/>
  <c r="N1055" i="1"/>
  <c r="O1055" i="1"/>
  <c r="P1055" i="1" s="1"/>
  <c r="Q1055" i="1"/>
  <c r="R1055" i="1"/>
  <c r="N1056" i="1"/>
  <c r="O1056" i="1"/>
  <c r="P1056" i="1" s="1"/>
  <c r="Q1056" i="1"/>
  <c r="R1056" i="1"/>
  <c r="N1057" i="1"/>
  <c r="O1057" i="1"/>
  <c r="P1057" i="1" s="1"/>
  <c r="Q1057" i="1"/>
  <c r="R1057" i="1"/>
  <c r="N1058" i="1"/>
  <c r="O1058" i="1"/>
  <c r="P1058" i="1" s="1"/>
  <c r="Q1058" i="1"/>
  <c r="R1058" i="1"/>
  <c r="N1059" i="1"/>
  <c r="O1059" i="1"/>
  <c r="P1059" i="1" s="1"/>
  <c r="Q1059" i="1"/>
  <c r="R1059" i="1"/>
  <c r="N1060" i="1"/>
  <c r="O1060" i="1"/>
  <c r="P1060" i="1" s="1"/>
  <c r="Q1060" i="1"/>
  <c r="R1060" i="1"/>
  <c r="N1061" i="1"/>
  <c r="P1061" i="1" s="1"/>
  <c r="O1061" i="1"/>
  <c r="Q1061" i="1"/>
  <c r="R1061" i="1"/>
  <c r="N1062" i="1"/>
  <c r="O1062" i="1"/>
  <c r="P1062" i="1" s="1"/>
  <c r="Q1062" i="1"/>
  <c r="R1062" i="1"/>
  <c r="N1063" i="1"/>
  <c r="O1063" i="1"/>
  <c r="P1063" i="1" s="1"/>
  <c r="Q1063" i="1"/>
  <c r="R1063" i="1"/>
  <c r="N1064" i="1"/>
  <c r="O1064" i="1"/>
  <c r="P1064" i="1" s="1"/>
  <c r="Q1064" i="1"/>
  <c r="R1064" i="1"/>
  <c r="N1065" i="1"/>
  <c r="O1065" i="1"/>
  <c r="P1065" i="1" s="1"/>
  <c r="Q1065" i="1"/>
  <c r="R1065" i="1"/>
  <c r="N1066" i="1"/>
  <c r="O1066" i="1"/>
  <c r="P1066" i="1" s="1"/>
  <c r="Q1066" i="1"/>
  <c r="R1066" i="1"/>
  <c r="N1067" i="1"/>
  <c r="O1067" i="1"/>
  <c r="P1067" i="1" s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 s="1"/>
  <c r="Q1070" i="1"/>
  <c r="R1070" i="1"/>
  <c r="N1071" i="1"/>
  <c r="O1071" i="1"/>
  <c r="P1071" i="1" s="1"/>
  <c r="Q1071" i="1"/>
  <c r="R1071" i="1"/>
  <c r="N1072" i="1"/>
  <c r="O1072" i="1"/>
  <c r="P1072" i="1" s="1"/>
  <c r="Q1072" i="1"/>
  <c r="R1072" i="1"/>
  <c r="N1073" i="1"/>
  <c r="O1073" i="1"/>
  <c r="P1073" i="1" s="1"/>
  <c r="Q1073" i="1"/>
  <c r="R1073" i="1"/>
  <c r="N1074" i="1"/>
  <c r="O1074" i="1"/>
  <c r="P1074" i="1" s="1"/>
  <c r="Q1074" i="1"/>
  <c r="R1074" i="1"/>
  <c r="N1075" i="1"/>
  <c r="O1075" i="1"/>
  <c r="P1075" i="1" s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 s="1"/>
  <c r="Q1078" i="1"/>
  <c r="R1078" i="1"/>
  <c r="N1079" i="1"/>
  <c r="P1079" i="1" s="1"/>
  <c r="O1079" i="1"/>
  <c r="Q1079" i="1"/>
  <c r="R1079" i="1"/>
  <c r="N1080" i="1"/>
  <c r="O1080" i="1"/>
  <c r="P1080" i="1" s="1"/>
  <c r="Q1080" i="1"/>
  <c r="R1080" i="1"/>
  <c r="N1081" i="1"/>
  <c r="O1081" i="1"/>
  <c r="P1081" i="1" s="1"/>
  <c r="Q1081" i="1"/>
  <c r="R1081" i="1"/>
  <c r="N1082" i="1"/>
  <c r="O1082" i="1"/>
  <c r="P1082" i="1" s="1"/>
  <c r="Q1082" i="1"/>
  <c r="R1082" i="1"/>
  <c r="N1083" i="1"/>
  <c r="O1083" i="1"/>
  <c r="P1083" i="1" s="1"/>
  <c r="Q1083" i="1"/>
  <c r="R1083" i="1"/>
  <c r="N1084" i="1"/>
  <c r="O1084" i="1"/>
  <c r="P1084" i="1" s="1"/>
  <c r="Q1084" i="1"/>
  <c r="R1084" i="1"/>
  <c r="N1085" i="1"/>
  <c r="P1085" i="1" s="1"/>
  <c r="O1085" i="1"/>
  <c r="Q1085" i="1"/>
  <c r="R1085" i="1"/>
  <c r="N1086" i="1"/>
  <c r="P1086" i="1" s="1"/>
  <c r="O1086" i="1"/>
  <c r="Q1086" i="1"/>
  <c r="R1086" i="1"/>
  <c r="N1087" i="1"/>
  <c r="O1087" i="1"/>
  <c r="P1087" i="1" s="1"/>
  <c r="Q1087" i="1"/>
  <c r="R1087" i="1"/>
  <c r="N1088" i="1"/>
  <c r="O1088" i="1"/>
  <c r="P1088" i="1" s="1"/>
  <c r="Q1088" i="1"/>
  <c r="R1088" i="1"/>
  <c r="N1089" i="1"/>
  <c r="O1089" i="1"/>
  <c r="P1089" i="1" s="1"/>
  <c r="Q1089" i="1"/>
  <c r="R1089" i="1"/>
  <c r="N1090" i="1"/>
  <c r="O1090" i="1"/>
  <c r="P1090" i="1" s="1"/>
  <c r="Q1090" i="1"/>
  <c r="R1090" i="1"/>
  <c r="N1091" i="1"/>
  <c r="O1091" i="1"/>
  <c r="P1091" i="1" s="1"/>
  <c r="Q1091" i="1"/>
  <c r="R1091" i="1"/>
  <c r="N1092" i="1"/>
  <c r="O1092" i="1"/>
  <c r="P1092" i="1" s="1"/>
  <c r="Q1092" i="1"/>
  <c r="R1092" i="1"/>
  <c r="N1093" i="1"/>
  <c r="O1093" i="1"/>
  <c r="P1093" i="1" s="1"/>
  <c r="Q1093" i="1"/>
  <c r="R1093" i="1"/>
  <c r="N1094" i="1"/>
  <c r="O1094" i="1"/>
  <c r="P1094" i="1" s="1"/>
  <c r="Q1094" i="1"/>
  <c r="R1094" i="1"/>
  <c r="N1095" i="1"/>
  <c r="P1095" i="1" s="1"/>
  <c r="O1095" i="1"/>
  <c r="Q1095" i="1"/>
  <c r="R1095" i="1"/>
  <c r="N1096" i="1"/>
  <c r="O1096" i="1"/>
  <c r="P1096" i="1" s="1"/>
  <c r="Q1096" i="1"/>
  <c r="R1096" i="1"/>
  <c r="N1097" i="1"/>
  <c r="O1097" i="1"/>
  <c r="P1097" i="1" s="1"/>
  <c r="Q1097" i="1"/>
  <c r="R1097" i="1"/>
  <c r="N1098" i="1"/>
  <c r="O1098" i="1"/>
  <c r="P1098" i="1" s="1"/>
  <c r="Q1098" i="1"/>
  <c r="R1098" i="1"/>
  <c r="N1099" i="1"/>
  <c r="O1099" i="1"/>
  <c r="P1099" i="1" s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 s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 s="1"/>
  <c r="Q1105" i="1"/>
  <c r="R1105" i="1"/>
  <c r="N1106" i="1"/>
  <c r="O1106" i="1"/>
  <c r="P1106" i="1" s="1"/>
  <c r="Q1106" i="1"/>
  <c r="R1106" i="1"/>
  <c r="N1107" i="1"/>
  <c r="O1107" i="1"/>
  <c r="P1107" i="1" s="1"/>
  <c r="Q1107" i="1"/>
  <c r="R1107" i="1"/>
  <c r="N1108" i="1"/>
  <c r="P1108" i="1" s="1"/>
  <c r="O1108" i="1"/>
  <c r="Q1108" i="1"/>
  <c r="R1108" i="1"/>
  <c r="N1109" i="1"/>
  <c r="P1109" i="1" s="1"/>
  <c r="O1109" i="1"/>
  <c r="Q1109" i="1"/>
  <c r="R1109" i="1"/>
  <c r="N1110" i="1"/>
  <c r="O1110" i="1"/>
  <c r="P1110" i="1" s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 s="1"/>
  <c r="Q1113" i="1"/>
  <c r="R1113" i="1"/>
  <c r="N1114" i="1"/>
  <c r="O1114" i="1"/>
  <c r="P1114" i="1" s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P1117" i="1" s="1"/>
  <c r="O1117" i="1"/>
  <c r="Q1117" i="1"/>
  <c r="R1117" i="1"/>
  <c r="N1118" i="1"/>
  <c r="O1118" i="1"/>
  <c r="P1118" i="1" s="1"/>
  <c r="Q1118" i="1"/>
  <c r="R1118" i="1"/>
  <c r="N1119" i="1"/>
  <c r="O1119" i="1"/>
  <c r="P1119" i="1" s="1"/>
  <c r="Q1119" i="1"/>
  <c r="R1119" i="1"/>
  <c r="N1120" i="1"/>
  <c r="P1120" i="1" s="1"/>
  <c r="O1120" i="1"/>
  <c r="Q1120" i="1"/>
  <c r="R1120" i="1"/>
  <c r="N1121" i="1"/>
  <c r="O1121" i="1"/>
  <c r="P1121" i="1" s="1"/>
  <c r="Q1121" i="1"/>
  <c r="R1121" i="1"/>
  <c r="N1122" i="1"/>
  <c r="P1122" i="1" s="1"/>
  <c r="O1122" i="1"/>
  <c r="Q1122" i="1"/>
  <c r="R1122" i="1"/>
  <c r="N1123" i="1"/>
  <c r="O1123" i="1"/>
  <c r="P1123" i="1" s="1"/>
  <c r="Q1123" i="1"/>
  <c r="R1123" i="1"/>
  <c r="N1124" i="1"/>
  <c r="O1124" i="1"/>
  <c r="P1124" i="1" s="1"/>
  <c r="Q1124" i="1"/>
  <c r="R1124" i="1"/>
  <c r="N1125" i="1"/>
  <c r="P1125" i="1" s="1"/>
  <c r="O1125" i="1"/>
  <c r="Q1125" i="1"/>
  <c r="R1125" i="1"/>
  <c r="N1126" i="1"/>
  <c r="O1126" i="1"/>
  <c r="P1126" i="1" s="1"/>
  <c r="Q1126" i="1"/>
  <c r="R1126" i="1"/>
  <c r="N1127" i="1"/>
  <c r="P1127" i="1" s="1"/>
  <c r="O1127" i="1"/>
  <c r="Q1127" i="1"/>
  <c r="R1127" i="1"/>
  <c r="N1128" i="1"/>
  <c r="P1128" i="1" s="1"/>
  <c r="O1128" i="1"/>
  <c r="Q1128" i="1"/>
  <c r="R1128" i="1"/>
  <c r="N1129" i="1"/>
  <c r="P1129" i="1" s="1"/>
  <c r="O1129" i="1"/>
  <c r="Q1129" i="1"/>
  <c r="R1129" i="1"/>
  <c r="N1130" i="1"/>
  <c r="P1130" i="1" s="1"/>
  <c r="O1130" i="1"/>
  <c r="Q1130" i="1"/>
  <c r="R1130" i="1"/>
  <c r="N1131" i="1"/>
  <c r="O1131" i="1"/>
  <c r="P1131" i="1" s="1"/>
  <c r="Q1131" i="1"/>
  <c r="R1131" i="1"/>
  <c r="N1132" i="1"/>
  <c r="P1132" i="1" s="1"/>
  <c r="O1132" i="1"/>
  <c r="Q1132" i="1"/>
  <c r="R1132" i="1"/>
  <c r="N1133" i="1"/>
  <c r="P1133" i="1" s="1"/>
  <c r="O1133" i="1"/>
  <c r="Q1133" i="1"/>
  <c r="R1133" i="1"/>
  <c r="N1134" i="1"/>
  <c r="O1134" i="1"/>
  <c r="P1134" i="1" s="1"/>
  <c r="Q1134" i="1"/>
  <c r="R1134" i="1"/>
  <c r="N1135" i="1"/>
  <c r="P1135" i="1" s="1"/>
  <c r="O1135" i="1"/>
  <c r="Q1135" i="1"/>
  <c r="R1135" i="1"/>
  <c r="N1136" i="1"/>
  <c r="O1136" i="1"/>
  <c r="P1136" i="1" s="1"/>
  <c r="Q1136" i="1"/>
  <c r="R1136" i="1"/>
  <c r="N1137" i="1"/>
  <c r="O1137" i="1"/>
  <c r="P1137" i="1" s="1"/>
  <c r="Q1137" i="1"/>
  <c r="R1137" i="1"/>
  <c r="N1138" i="1"/>
  <c r="O1138" i="1"/>
  <c r="P1138" i="1" s="1"/>
  <c r="Q1138" i="1"/>
  <c r="R1138" i="1"/>
  <c r="N1139" i="1"/>
  <c r="O1139" i="1"/>
  <c r="P1139" i="1" s="1"/>
  <c r="Q1139" i="1"/>
  <c r="R1139" i="1"/>
  <c r="N1140" i="1"/>
  <c r="O1140" i="1"/>
  <c r="P1140" i="1" s="1"/>
  <c r="Q1140" i="1"/>
  <c r="R1140" i="1"/>
  <c r="N1141" i="1"/>
  <c r="P1141" i="1" s="1"/>
  <c r="O1141" i="1"/>
  <c r="Q1141" i="1"/>
  <c r="R1141" i="1"/>
  <c r="N1142" i="1"/>
  <c r="O1142" i="1"/>
  <c r="P1142" i="1" s="1"/>
  <c r="Q1142" i="1"/>
  <c r="R1142" i="1"/>
  <c r="N1143" i="1"/>
  <c r="O1143" i="1"/>
  <c r="P1143" i="1" s="1"/>
  <c r="Q1143" i="1"/>
  <c r="R1143" i="1"/>
  <c r="N1144" i="1"/>
  <c r="O1144" i="1"/>
  <c r="P1144" i="1" s="1"/>
  <c r="Q1144" i="1"/>
  <c r="R1144" i="1"/>
  <c r="N1145" i="1"/>
  <c r="O1145" i="1"/>
  <c r="P1145" i="1" s="1"/>
  <c r="Q1145" i="1"/>
  <c r="R1145" i="1"/>
  <c r="N1146" i="1"/>
  <c r="O1146" i="1"/>
  <c r="P1146" i="1" s="1"/>
  <c r="Q1146" i="1"/>
  <c r="R1146" i="1"/>
  <c r="N1147" i="1"/>
  <c r="O1147" i="1"/>
  <c r="P1147" i="1" s="1"/>
  <c r="Q1147" i="1"/>
  <c r="R1147" i="1"/>
  <c r="N1148" i="1"/>
  <c r="O1148" i="1"/>
  <c r="P1148" i="1" s="1"/>
  <c r="Q1148" i="1"/>
  <c r="R1148" i="1"/>
  <c r="N1149" i="1"/>
  <c r="O1149" i="1"/>
  <c r="P1149" i="1" s="1"/>
  <c r="Q1149" i="1"/>
  <c r="R1149" i="1"/>
  <c r="N1150" i="1"/>
  <c r="O1150" i="1"/>
  <c r="P1150" i="1" s="1"/>
  <c r="Q1150" i="1"/>
  <c r="R1150" i="1"/>
  <c r="N1151" i="1"/>
  <c r="O1151" i="1"/>
  <c r="P1151" i="1" s="1"/>
  <c r="Q1151" i="1"/>
  <c r="R1151" i="1"/>
  <c r="N1152" i="1"/>
  <c r="O1152" i="1"/>
  <c r="P1152" i="1" s="1"/>
  <c r="Q1152" i="1"/>
  <c r="R1152" i="1"/>
  <c r="N1153" i="1"/>
  <c r="P1153" i="1" s="1"/>
  <c r="O1153" i="1"/>
  <c r="Q1153" i="1"/>
  <c r="R1153" i="1"/>
  <c r="N1154" i="1"/>
  <c r="P1154" i="1" s="1"/>
  <c r="O1154" i="1"/>
  <c r="Q1154" i="1"/>
  <c r="R1154" i="1"/>
  <c r="N1155" i="1"/>
  <c r="O1155" i="1"/>
  <c r="P1155" i="1" s="1"/>
  <c r="Q1155" i="1"/>
  <c r="R1155" i="1"/>
  <c r="N1156" i="1"/>
  <c r="P1156" i="1" s="1"/>
  <c r="O1156" i="1"/>
  <c r="Q1156" i="1"/>
  <c r="R1156" i="1"/>
  <c r="N1157" i="1"/>
  <c r="P1157" i="1" s="1"/>
  <c r="O1157" i="1"/>
  <c r="Q1157" i="1"/>
  <c r="R1157" i="1"/>
  <c r="N1158" i="1"/>
  <c r="O1158" i="1"/>
  <c r="P1158" i="1" s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 s="1"/>
  <c r="Q1161" i="1"/>
  <c r="R1161" i="1"/>
  <c r="N1162" i="1"/>
  <c r="O1162" i="1"/>
  <c r="P1162" i="1" s="1"/>
  <c r="Q1162" i="1"/>
  <c r="R1162" i="1"/>
  <c r="N1163" i="1"/>
  <c r="O1163" i="1"/>
  <c r="P1163" i="1" s="1"/>
  <c r="Q1163" i="1"/>
  <c r="R1163" i="1"/>
  <c r="N1164" i="1"/>
  <c r="O1164" i="1"/>
  <c r="P1164" i="1" s="1"/>
  <c r="Q1164" i="1"/>
  <c r="R1164" i="1"/>
  <c r="N1165" i="1"/>
  <c r="P1165" i="1" s="1"/>
  <c r="O1165" i="1"/>
  <c r="Q1165" i="1"/>
  <c r="R1165" i="1"/>
  <c r="N1166" i="1"/>
  <c r="P1166" i="1" s="1"/>
  <c r="O1166" i="1"/>
  <c r="Q1166" i="1"/>
  <c r="R1166" i="1"/>
  <c r="N1167" i="1"/>
  <c r="O1167" i="1"/>
  <c r="P1167" i="1" s="1"/>
  <c r="Q1167" i="1"/>
  <c r="R1167" i="1"/>
  <c r="N1168" i="1"/>
  <c r="P1168" i="1" s="1"/>
  <c r="O1168" i="1"/>
  <c r="Q1168" i="1"/>
  <c r="R1168" i="1"/>
  <c r="N1169" i="1"/>
  <c r="O1169" i="1"/>
  <c r="P1169" i="1" s="1"/>
  <c r="Q1169" i="1"/>
  <c r="R1169" i="1"/>
  <c r="N1170" i="1"/>
  <c r="O1170" i="1"/>
  <c r="P1170" i="1" s="1"/>
  <c r="Q1170" i="1"/>
  <c r="R1170" i="1"/>
  <c r="N1171" i="1"/>
  <c r="P1171" i="1" s="1"/>
  <c r="O1171" i="1"/>
  <c r="Q1171" i="1"/>
  <c r="R1171" i="1"/>
  <c r="N1172" i="1"/>
  <c r="O1172" i="1"/>
  <c r="P1172" i="1" s="1"/>
  <c r="Q1172" i="1"/>
  <c r="R1172" i="1"/>
  <c r="N1173" i="1"/>
  <c r="P1173" i="1" s="1"/>
  <c r="O1173" i="1"/>
  <c r="Q1173" i="1"/>
  <c r="R1173" i="1"/>
  <c r="N1174" i="1"/>
  <c r="O1174" i="1"/>
  <c r="P1174" i="1" s="1"/>
  <c r="Q1174" i="1"/>
  <c r="R1174" i="1"/>
  <c r="N1175" i="1"/>
  <c r="O1175" i="1"/>
  <c r="P1175" i="1" s="1"/>
  <c r="Q1175" i="1"/>
  <c r="R1175" i="1"/>
  <c r="N1176" i="1"/>
  <c r="P1176" i="1" s="1"/>
  <c r="O1176" i="1"/>
  <c r="Q1176" i="1"/>
  <c r="R1176" i="1"/>
  <c r="N1177" i="1"/>
  <c r="O1177" i="1"/>
  <c r="P1177" i="1" s="1"/>
  <c r="Q1177" i="1"/>
  <c r="R1177" i="1"/>
  <c r="N1178" i="1"/>
  <c r="O1178" i="1"/>
  <c r="P1178" i="1" s="1"/>
  <c r="Q1178" i="1"/>
  <c r="R1178" i="1"/>
  <c r="N1179" i="1"/>
  <c r="O1179" i="1"/>
  <c r="P1179" i="1" s="1"/>
  <c r="Q1179" i="1"/>
  <c r="R1179" i="1"/>
  <c r="N1180" i="1"/>
  <c r="O1180" i="1"/>
  <c r="P1180" i="1" s="1"/>
  <c r="Q1180" i="1"/>
  <c r="R1180" i="1"/>
  <c r="N1181" i="1"/>
  <c r="O1181" i="1"/>
  <c r="P1181" i="1" s="1"/>
  <c r="Q1181" i="1"/>
  <c r="R1181" i="1"/>
  <c r="N1182" i="1"/>
  <c r="O1182" i="1"/>
  <c r="P1182" i="1" s="1"/>
  <c r="Q1182" i="1"/>
  <c r="R1182" i="1"/>
  <c r="N1183" i="1"/>
  <c r="O1183" i="1"/>
  <c r="P1183" i="1" s="1"/>
  <c r="Q1183" i="1"/>
  <c r="R1183" i="1"/>
  <c r="N875" i="1"/>
  <c r="O875" i="1"/>
  <c r="P875" i="1" s="1"/>
  <c r="Q875" i="1"/>
  <c r="R875" i="1"/>
  <c r="N876" i="1"/>
  <c r="O876" i="1"/>
  <c r="P876" i="1" s="1"/>
  <c r="Q876" i="1"/>
  <c r="R876" i="1"/>
  <c r="N877" i="1"/>
  <c r="O877" i="1"/>
  <c r="P877" i="1" s="1"/>
  <c r="Q877" i="1"/>
  <c r="R877" i="1"/>
  <c r="N878" i="1"/>
  <c r="O878" i="1"/>
  <c r="P878" i="1"/>
  <c r="Q878" i="1"/>
  <c r="R878" i="1"/>
  <c r="N879" i="1"/>
  <c r="O879" i="1"/>
  <c r="P879" i="1" s="1"/>
  <c r="Q879" i="1"/>
  <c r="R879" i="1"/>
  <c r="N880" i="1"/>
  <c r="P880" i="1" s="1"/>
  <c r="O880" i="1"/>
  <c r="Q880" i="1"/>
  <c r="R880" i="1"/>
  <c r="N881" i="1"/>
  <c r="O881" i="1"/>
  <c r="P881" i="1" s="1"/>
  <c r="Q881" i="1"/>
  <c r="R881" i="1"/>
  <c r="N882" i="1"/>
  <c r="O882" i="1"/>
  <c r="P882" i="1" s="1"/>
  <c r="Q882" i="1"/>
  <c r="R882" i="1"/>
  <c r="N883" i="1"/>
  <c r="O883" i="1"/>
  <c r="P883" i="1" s="1"/>
  <c r="Q883" i="1"/>
  <c r="R883" i="1"/>
  <c r="N884" i="1"/>
  <c r="O884" i="1"/>
  <c r="P884" i="1" s="1"/>
  <c r="Q884" i="1"/>
  <c r="R884" i="1"/>
  <c r="N885" i="1"/>
  <c r="O885" i="1"/>
  <c r="P885" i="1" s="1"/>
  <c r="Q885" i="1"/>
  <c r="R885" i="1"/>
  <c r="N886" i="1"/>
  <c r="O886" i="1"/>
  <c r="P886" i="1" s="1"/>
  <c r="Q886" i="1"/>
  <c r="R886" i="1"/>
  <c r="N887" i="1"/>
  <c r="O887" i="1"/>
  <c r="P887" i="1" s="1"/>
  <c r="Q887" i="1"/>
  <c r="R887" i="1"/>
  <c r="N888" i="1"/>
  <c r="O888" i="1"/>
  <c r="P888" i="1" s="1"/>
  <c r="Q888" i="1"/>
  <c r="R888" i="1"/>
  <c r="N889" i="1"/>
  <c r="P889" i="1" s="1"/>
  <c r="O889" i="1"/>
  <c r="Q889" i="1"/>
  <c r="R889" i="1"/>
  <c r="N890" i="1"/>
  <c r="P890" i="1" s="1"/>
  <c r="O890" i="1"/>
  <c r="Q890" i="1"/>
  <c r="R890" i="1"/>
  <c r="N891" i="1"/>
  <c r="P891" i="1" s="1"/>
  <c r="O891" i="1"/>
  <c r="Q891" i="1"/>
  <c r="R891" i="1"/>
  <c r="N892" i="1"/>
  <c r="O892" i="1"/>
  <c r="P892" i="1"/>
  <c r="Q892" i="1"/>
  <c r="R892" i="1"/>
  <c r="N893" i="1"/>
  <c r="O893" i="1"/>
  <c r="P893" i="1" s="1"/>
  <c r="Q893" i="1"/>
  <c r="R893" i="1"/>
  <c r="N894" i="1"/>
  <c r="P894" i="1" s="1"/>
  <c r="O894" i="1"/>
  <c r="Q894" i="1"/>
  <c r="R894" i="1"/>
  <c r="N895" i="1"/>
  <c r="O895" i="1"/>
  <c r="P895" i="1" s="1"/>
  <c r="Q895" i="1"/>
  <c r="R895" i="1"/>
  <c r="N896" i="1"/>
  <c r="O896" i="1"/>
  <c r="P896" i="1" s="1"/>
  <c r="Q896" i="1"/>
  <c r="R896" i="1"/>
  <c r="N897" i="1"/>
  <c r="O897" i="1"/>
  <c r="P897" i="1" s="1"/>
  <c r="Q897" i="1"/>
  <c r="R897" i="1"/>
  <c r="N898" i="1"/>
  <c r="P898" i="1" s="1"/>
  <c r="O898" i="1"/>
  <c r="Q898" i="1"/>
  <c r="R898" i="1"/>
  <c r="N899" i="1"/>
  <c r="P899" i="1" s="1"/>
  <c r="O899" i="1"/>
  <c r="Q899" i="1"/>
  <c r="R899" i="1"/>
  <c r="N900" i="1"/>
  <c r="O900" i="1"/>
  <c r="P900" i="1" s="1"/>
  <c r="Q900" i="1"/>
  <c r="R900" i="1"/>
  <c r="N901" i="1"/>
  <c r="O901" i="1"/>
  <c r="P901" i="1" s="1"/>
  <c r="Q901" i="1"/>
  <c r="R901" i="1"/>
  <c r="N902" i="1"/>
  <c r="O902" i="1"/>
  <c r="P902" i="1" s="1"/>
  <c r="Q902" i="1"/>
  <c r="R902" i="1"/>
  <c r="N903" i="1"/>
  <c r="O903" i="1"/>
  <c r="P903" i="1" s="1"/>
  <c r="Q903" i="1"/>
  <c r="R903" i="1"/>
  <c r="N904" i="1"/>
  <c r="O904" i="1"/>
  <c r="P904" i="1" s="1"/>
  <c r="Q904" i="1"/>
  <c r="R904" i="1"/>
  <c r="N905" i="1"/>
  <c r="O905" i="1"/>
  <c r="P905" i="1" s="1"/>
  <c r="Q905" i="1"/>
  <c r="R905" i="1"/>
  <c r="N906" i="1"/>
  <c r="P906" i="1" s="1"/>
  <c r="O906" i="1"/>
  <c r="Q906" i="1"/>
  <c r="R906" i="1"/>
  <c r="N907" i="1"/>
  <c r="O907" i="1"/>
  <c r="P907" i="1" s="1"/>
  <c r="Q907" i="1"/>
  <c r="R907" i="1"/>
  <c r="N908" i="1"/>
  <c r="O908" i="1"/>
  <c r="P908" i="1" s="1"/>
  <c r="Q908" i="1"/>
  <c r="R908" i="1"/>
  <c r="N909" i="1"/>
  <c r="O909" i="1"/>
  <c r="P909" i="1" s="1"/>
  <c r="Q909" i="1"/>
  <c r="R909" i="1"/>
  <c r="N910" i="1"/>
  <c r="O910" i="1"/>
  <c r="P910" i="1" s="1"/>
  <c r="Q910" i="1"/>
  <c r="R910" i="1"/>
  <c r="N911" i="1"/>
  <c r="P911" i="1" s="1"/>
  <c r="O911" i="1"/>
  <c r="Q911" i="1"/>
  <c r="R911" i="1"/>
  <c r="N912" i="1"/>
  <c r="O912" i="1"/>
  <c r="P912" i="1" s="1"/>
  <c r="Q912" i="1"/>
  <c r="R912" i="1"/>
  <c r="N913" i="1"/>
  <c r="O913" i="1"/>
  <c r="P913" i="1" s="1"/>
  <c r="Q913" i="1"/>
  <c r="R913" i="1"/>
  <c r="N914" i="1"/>
  <c r="O914" i="1"/>
  <c r="P914" i="1" s="1"/>
  <c r="Q914" i="1"/>
  <c r="R914" i="1"/>
  <c r="N915" i="1"/>
  <c r="O915" i="1"/>
  <c r="P915" i="1" s="1"/>
  <c r="Q915" i="1"/>
  <c r="R915" i="1"/>
  <c r="N916" i="1"/>
  <c r="O916" i="1"/>
  <c r="P916" i="1" s="1"/>
  <c r="Q916" i="1"/>
  <c r="R916" i="1"/>
  <c r="N917" i="1"/>
  <c r="P917" i="1" s="1"/>
  <c r="O917" i="1"/>
  <c r="Q917" i="1"/>
  <c r="R917" i="1"/>
  <c r="N918" i="1"/>
  <c r="O918" i="1"/>
  <c r="P918" i="1" s="1"/>
  <c r="Q918" i="1"/>
  <c r="R918" i="1"/>
  <c r="N919" i="1"/>
  <c r="O919" i="1"/>
  <c r="P919" i="1" s="1"/>
  <c r="Q919" i="1"/>
  <c r="R919" i="1"/>
  <c r="N920" i="1"/>
  <c r="O920" i="1"/>
  <c r="P920" i="1" s="1"/>
  <c r="Q920" i="1"/>
  <c r="R920" i="1"/>
  <c r="N921" i="1"/>
  <c r="O921" i="1"/>
  <c r="P921" i="1" s="1"/>
  <c r="Q921" i="1"/>
  <c r="R921" i="1"/>
  <c r="N922" i="1"/>
  <c r="O922" i="1"/>
  <c r="P922" i="1" s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 s="1"/>
  <c r="Q925" i="1"/>
  <c r="R925" i="1"/>
  <c r="N926" i="1"/>
  <c r="O926" i="1"/>
  <c r="P926" i="1" s="1"/>
  <c r="Q926" i="1"/>
  <c r="R926" i="1"/>
  <c r="N927" i="1"/>
  <c r="O927" i="1"/>
  <c r="P927" i="1" s="1"/>
  <c r="Q927" i="1"/>
  <c r="R927" i="1"/>
  <c r="N928" i="1"/>
  <c r="O928" i="1"/>
  <c r="P928" i="1" s="1"/>
  <c r="Q928" i="1"/>
  <c r="R928" i="1"/>
  <c r="N929" i="1"/>
  <c r="P929" i="1" s="1"/>
  <c r="O929" i="1"/>
  <c r="Q929" i="1"/>
  <c r="R929" i="1"/>
  <c r="N930" i="1"/>
  <c r="O930" i="1"/>
  <c r="P930" i="1" s="1"/>
  <c r="Q930" i="1"/>
  <c r="R930" i="1"/>
  <c r="N931" i="1"/>
  <c r="O931" i="1"/>
  <c r="P931" i="1" s="1"/>
  <c r="Q931" i="1"/>
  <c r="R931" i="1"/>
  <c r="N932" i="1"/>
  <c r="P932" i="1" s="1"/>
  <c r="O932" i="1"/>
  <c r="Q932" i="1"/>
  <c r="R932" i="1"/>
  <c r="N933" i="1"/>
  <c r="P933" i="1" s="1"/>
  <c r="O933" i="1"/>
  <c r="Q933" i="1"/>
  <c r="R933" i="1"/>
  <c r="N934" i="1"/>
  <c r="O934" i="1"/>
  <c r="P934" i="1" s="1"/>
  <c r="Q934" i="1"/>
  <c r="R934" i="1"/>
  <c r="N935" i="1"/>
  <c r="O935" i="1"/>
  <c r="P935" i="1" s="1"/>
  <c r="Q935" i="1"/>
  <c r="R935" i="1"/>
  <c r="N936" i="1"/>
  <c r="P936" i="1" s="1"/>
  <c r="O936" i="1"/>
  <c r="Q936" i="1"/>
  <c r="R936" i="1"/>
  <c r="N937" i="1"/>
  <c r="O937" i="1"/>
  <c r="P937" i="1" s="1"/>
  <c r="Q937" i="1"/>
  <c r="R937" i="1"/>
  <c r="N938" i="1"/>
  <c r="P938" i="1" s="1"/>
  <c r="O938" i="1"/>
  <c r="Q938" i="1"/>
  <c r="R938" i="1"/>
  <c r="N939" i="1"/>
  <c r="P939" i="1" s="1"/>
  <c r="O939" i="1"/>
  <c r="Q939" i="1"/>
  <c r="R939" i="1"/>
  <c r="N940" i="1"/>
  <c r="O940" i="1"/>
  <c r="P940" i="1" s="1"/>
  <c r="Q940" i="1"/>
  <c r="R940" i="1"/>
  <c r="N941" i="1"/>
  <c r="P941" i="1" s="1"/>
  <c r="O941" i="1"/>
  <c r="Q941" i="1"/>
  <c r="R941" i="1"/>
  <c r="N942" i="1"/>
  <c r="P942" i="1" s="1"/>
  <c r="O942" i="1"/>
  <c r="Q942" i="1"/>
  <c r="R942" i="1"/>
  <c r="N943" i="1"/>
  <c r="P943" i="1" s="1"/>
  <c r="O943" i="1"/>
  <c r="Q943" i="1"/>
  <c r="R943" i="1"/>
  <c r="N944" i="1"/>
  <c r="O944" i="1"/>
  <c r="P944" i="1" s="1"/>
  <c r="Q944" i="1"/>
  <c r="R944" i="1"/>
  <c r="N945" i="1"/>
  <c r="O945" i="1"/>
  <c r="P945" i="1" s="1"/>
  <c r="Q945" i="1"/>
  <c r="R945" i="1"/>
  <c r="N946" i="1"/>
  <c r="O946" i="1"/>
  <c r="P946" i="1" s="1"/>
  <c r="Q946" i="1"/>
  <c r="R946" i="1"/>
  <c r="N947" i="1"/>
  <c r="O947" i="1"/>
  <c r="P947" i="1" s="1"/>
  <c r="Q947" i="1"/>
  <c r="R947" i="1"/>
  <c r="N948" i="1"/>
  <c r="O948" i="1"/>
  <c r="P948" i="1" s="1"/>
  <c r="Q948" i="1"/>
  <c r="R948" i="1"/>
  <c r="N949" i="1"/>
  <c r="O949" i="1"/>
  <c r="P949" i="1" s="1"/>
  <c r="Q949" i="1"/>
  <c r="R949" i="1"/>
  <c r="N950" i="1"/>
  <c r="O950" i="1"/>
  <c r="P950" i="1" s="1"/>
  <c r="Q950" i="1"/>
  <c r="R950" i="1"/>
  <c r="N951" i="1"/>
  <c r="O951" i="1"/>
  <c r="P951" i="1" s="1"/>
  <c r="Q951" i="1"/>
  <c r="R951" i="1"/>
  <c r="N952" i="1"/>
  <c r="O952" i="1"/>
  <c r="P952" i="1" s="1"/>
  <c r="Q952" i="1"/>
  <c r="R952" i="1"/>
  <c r="N953" i="1"/>
  <c r="O953" i="1"/>
  <c r="P953" i="1" s="1"/>
  <c r="Q953" i="1"/>
  <c r="R953" i="1"/>
  <c r="N954" i="1"/>
  <c r="O954" i="1"/>
  <c r="P954" i="1" s="1"/>
  <c r="Q954" i="1"/>
  <c r="R954" i="1"/>
  <c r="N955" i="1"/>
  <c r="O955" i="1"/>
  <c r="P955" i="1" s="1"/>
  <c r="Q955" i="1"/>
  <c r="R955" i="1"/>
  <c r="N956" i="1"/>
  <c r="P956" i="1" s="1"/>
  <c r="O956" i="1"/>
  <c r="Q956" i="1"/>
  <c r="R956" i="1"/>
  <c r="N957" i="1"/>
  <c r="O957" i="1"/>
  <c r="P957" i="1" s="1"/>
  <c r="Q957" i="1"/>
  <c r="R957" i="1"/>
  <c r="N958" i="1"/>
  <c r="P958" i="1" s="1"/>
  <c r="O958" i="1"/>
  <c r="Q958" i="1"/>
  <c r="R958" i="1"/>
  <c r="N959" i="1"/>
  <c r="O959" i="1"/>
  <c r="P959" i="1" s="1"/>
  <c r="Q959" i="1"/>
  <c r="R959" i="1"/>
  <c r="N960" i="1"/>
  <c r="O960" i="1"/>
  <c r="P960" i="1" s="1"/>
  <c r="Q960" i="1"/>
  <c r="R960" i="1"/>
  <c r="N961" i="1"/>
  <c r="O961" i="1"/>
  <c r="P961" i="1" s="1"/>
  <c r="Q961" i="1"/>
  <c r="R961" i="1"/>
  <c r="N962" i="1"/>
  <c r="O962" i="1"/>
  <c r="P962" i="1"/>
  <c r="Q962" i="1"/>
  <c r="R962" i="1"/>
  <c r="N963" i="1"/>
  <c r="O963" i="1"/>
  <c r="P963" i="1" s="1"/>
  <c r="Q963" i="1"/>
  <c r="R963" i="1"/>
  <c r="N964" i="1"/>
  <c r="O964" i="1"/>
  <c r="P964" i="1" s="1"/>
  <c r="Q964" i="1"/>
  <c r="R964" i="1"/>
  <c r="N965" i="1"/>
  <c r="O965" i="1"/>
  <c r="P965" i="1" s="1"/>
  <c r="Q965" i="1"/>
  <c r="R965" i="1"/>
  <c r="N966" i="1"/>
  <c r="P966" i="1" s="1"/>
  <c r="O966" i="1"/>
  <c r="Q966" i="1"/>
  <c r="R966" i="1"/>
  <c r="N967" i="1"/>
  <c r="O967" i="1"/>
  <c r="P967" i="1" s="1"/>
  <c r="Q967" i="1"/>
  <c r="R967" i="1"/>
  <c r="N968" i="1"/>
  <c r="O968" i="1"/>
  <c r="P968" i="1" s="1"/>
  <c r="Q968" i="1"/>
  <c r="R968" i="1"/>
  <c r="N969" i="1"/>
  <c r="O969" i="1"/>
  <c r="P969" i="1" s="1"/>
  <c r="Q969" i="1"/>
  <c r="R969" i="1"/>
  <c r="N970" i="1"/>
  <c r="O970" i="1"/>
  <c r="P970" i="1" s="1"/>
  <c r="Q970" i="1"/>
  <c r="R970" i="1"/>
  <c r="N971" i="1"/>
  <c r="O971" i="1"/>
  <c r="P971" i="1" s="1"/>
  <c r="Q971" i="1"/>
  <c r="R971" i="1"/>
  <c r="N972" i="1"/>
  <c r="O972" i="1"/>
  <c r="P972" i="1" s="1"/>
  <c r="Q972" i="1"/>
  <c r="R972" i="1"/>
  <c r="N973" i="1"/>
  <c r="O973" i="1"/>
  <c r="P973" i="1" s="1"/>
  <c r="Q973" i="1"/>
  <c r="R973" i="1"/>
  <c r="N974" i="1"/>
  <c r="O974" i="1"/>
  <c r="P974" i="1" s="1"/>
  <c r="Q974" i="1"/>
  <c r="R974" i="1"/>
  <c r="N975" i="1"/>
  <c r="O975" i="1"/>
  <c r="P975" i="1" s="1"/>
  <c r="Q975" i="1"/>
  <c r="R975" i="1"/>
  <c r="N976" i="1"/>
  <c r="O976" i="1"/>
  <c r="P976" i="1" s="1"/>
  <c r="Q976" i="1"/>
  <c r="R976" i="1"/>
  <c r="N977" i="1"/>
  <c r="O977" i="1"/>
  <c r="P977" i="1" s="1"/>
  <c r="Q977" i="1"/>
  <c r="R977" i="1"/>
  <c r="N978" i="1"/>
  <c r="O978" i="1"/>
  <c r="P978" i="1" s="1"/>
  <c r="Q978" i="1"/>
  <c r="R978" i="1"/>
  <c r="N979" i="1"/>
  <c r="O979" i="1"/>
  <c r="P979" i="1" s="1"/>
  <c r="Q979" i="1"/>
  <c r="R979" i="1"/>
  <c r="N980" i="1"/>
  <c r="O980" i="1"/>
  <c r="P980" i="1" s="1"/>
  <c r="Q980" i="1"/>
  <c r="R980" i="1"/>
  <c r="N981" i="1"/>
  <c r="O981" i="1"/>
  <c r="P981" i="1" s="1"/>
  <c r="Q981" i="1"/>
  <c r="R981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I910" i="1"/>
  <c r="H910" i="1"/>
  <c r="I909" i="1"/>
  <c r="H909" i="1"/>
  <c r="I1140" i="1"/>
  <c r="H1140" i="1"/>
  <c r="I1126" i="1"/>
  <c r="H1126" i="1"/>
  <c r="I952" i="1"/>
  <c r="H952" i="1"/>
  <c r="I930" i="1"/>
  <c r="H930" i="1"/>
  <c r="I893" i="1"/>
  <c r="H893" i="1"/>
  <c r="I1027" i="1"/>
  <c r="H1027" i="1"/>
  <c r="I1139" i="1"/>
  <c r="H1139" i="1"/>
  <c r="I1138" i="1"/>
  <c r="H1138" i="1"/>
  <c r="I1006" i="1"/>
  <c r="H1006" i="1"/>
  <c r="I1005" i="1"/>
  <c r="H1005" i="1"/>
  <c r="C910" i="1"/>
  <c r="C909" i="1"/>
  <c r="C1140" i="1"/>
  <c r="C1126" i="1"/>
  <c r="C952" i="1"/>
  <c r="C930" i="1"/>
  <c r="C1027" i="1"/>
  <c r="C1139" i="1"/>
  <c r="C1138" i="1"/>
  <c r="C1006" i="1"/>
  <c r="C1005" i="1"/>
  <c r="E910" i="1"/>
  <c r="E909" i="1"/>
  <c r="E1140" i="1"/>
  <c r="E1126" i="1"/>
  <c r="E952" i="1"/>
  <c r="E930" i="1"/>
  <c r="E1027" i="1"/>
  <c r="E1139" i="1"/>
  <c r="E1138" i="1"/>
  <c r="E1006" i="1"/>
  <c r="E1005" i="1"/>
  <c r="A157" i="6"/>
  <c r="A158" i="6"/>
  <c r="A156" i="6"/>
  <c r="I1176" i="1"/>
  <c r="I1177" i="1"/>
  <c r="I1178" i="1"/>
  <c r="I1179" i="1"/>
  <c r="I1180" i="1"/>
  <c r="I1181" i="1"/>
  <c r="I1182" i="1"/>
  <c r="I1183" i="1"/>
  <c r="E1176" i="1"/>
  <c r="E1177" i="1"/>
  <c r="E1178" i="1"/>
  <c r="H1183" i="1"/>
  <c r="H1182" i="1"/>
  <c r="H1181" i="1"/>
  <c r="H1180" i="1"/>
  <c r="H1179" i="1"/>
  <c r="H1178" i="1"/>
  <c r="H1177" i="1"/>
  <c r="H1176" i="1"/>
  <c r="C1176" i="1"/>
  <c r="E1179" i="1"/>
  <c r="E1180" i="1"/>
  <c r="E1181" i="1"/>
  <c r="E1182" i="1"/>
  <c r="E1183" i="1"/>
  <c r="C1177" i="1"/>
  <c r="C1178" i="1"/>
  <c r="C1179" i="1"/>
  <c r="C1180" i="1"/>
  <c r="C1181" i="1"/>
  <c r="C1182" i="1"/>
  <c r="C1183" i="1"/>
  <c r="K884" i="1" l="1"/>
  <c r="K885" i="1"/>
  <c r="K886" i="1"/>
  <c r="K887" i="1"/>
  <c r="AD2" i="6"/>
  <c r="AD3" i="6"/>
  <c r="AD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72" i="1"/>
  <c r="Q873" i="1"/>
  <c r="Q874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72" i="1"/>
  <c r="R873" i="1"/>
  <c r="R8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H931" i="1"/>
  <c r="H932" i="1"/>
  <c r="H933" i="1"/>
  <c r="H2" i="1"/>
  <c r="H3" i="1"/>
  <c r="H4" i="1"/>
  <c r="H5" i="1"/>
  <c r="H6" i="1"/>
  <c r="H7" i="1"/>
  <c r="H8" i="1"/>
  <c r="E925" i="1"/>
  <c r="E931" i="1"/>
  <c r="E932" i="1"/>
  <c r="E933" i="1"/>
  <c r="E2" i="1"/>
  <c r="E3" i="1"/>
  <c r="E4" i="1"/>
  <c r="E5" i="1"/>
  <c r="E6" i="1"/>
  <c r="E7" i="1"/>
  <c r="E8" i="1"/>
  <c r="E9" i="1"/>
  <c r="K889" i="1"/>
  <c r="K890" i="1"/>
  <c r="I889" i="1"/>
  <c r="I890" i="1"/>
  <c r="I891" i="1"/>
  <c r="I892" i="1"/>
  <c r="I906" i="1"/>
  <c r="I907" i="1"/>
  <c r="I908" i="1"/>
  <c r="I929" i="1"/>
  <c r="I936" i="1"/>
  <c r="I951" i="1"/>
  <c r="I990" i="1"/>
  <c r="I1003" i="1"/>
  <c r="I1004" i="1"/>
  <c r="I1020" i="1"/>
  <c r="I1066" i="1"/>
  <c r="I1076" i="1"/>
  <c r="I1077" i="1"/>
  <c r="I1078" i="1"/>
  <c r="I1079" i="1"/>
  <c r="I1080" i="1"/>
  <c r="I1107" i="1"/>
  <c r="I1117" i="1"/>
  <c r="I1125" i="1"/>
  <c r="C906" i="1"/>
  <c r="C907" i="1"/>
  <c r="C908" i="1"/>
  <c r="C929" i="1"/>
  <c r="C936" i="1"/>
  <c r="C951" i="1"/>
  <c r="C990" i="1"/>
  <c r="C1003" i="1"/>
  <c r="C1004" i="1"/>
  <c r="C1020" i="1"/>
  <c r="C1066" i="1"/>
  <c r="C1076" i="1"/>
  <c r="C1077" i="1"/>
  <c r="C1078" i="1"/>
  <c r="C1079" i="1"/>
  <c r="C1080" i="1"/>
  <c r="C1107" i="1"/>
  <c r="C1117" i="1"/>
  <c r="C1125" i="1"/>
  <c r="K888" i="1"/>
  <c r="I888" i="1"/>
  <c r="E906" i="1"/>
  <c r="E907" i="1"/>
  <c r="E908" i="1"/>
  <c r="E929" i="1"/>
  <c r="E936" i="1"/>
  <c r="E951" i="1"/>
  <c r="E990" i="1"/>
  <c r="E1003" i="1"/>
  <c r="E1004" i="1"/>
  <c r="E1020" i="1"/>
  <c r="E1066" i="1"/>
  <c r="E1076" i="1"/>
  <c r="E1077" i="1"/>
  <c r="E1078" i="1"/>
  <c r="E1079" i="1"/>
  <c r="E1080" i="1"/>
  <c r="E1107" i="1"/>
  <c r="E1117" i="1"/>
  <c r="E1125" i="1"/>
  <c r="H889" i="1"/>
  <c r="H890" i="1"/>
  <c r="H891" i="1"/>
  <c r="H892" i="1"/>
  <c r="H906" i="1"/>
  <c r="H907" i="1"/>
  <c r="H908" i="1"/>
  <c r="H929" i="1"/>
  <c r="H936" i="1"/>
  <c r="H951" i="1"/>
  <c r="H990" i="1"/>
  <c r="H1003" i="1"/>
  <c r="H1004" i="1"/>
  <c r="H1020" i="1"/>
  <c r="H1066" i="1"/>
  <c r="H1076" i="1"/>
  <c r="H1077" i="1"/>
  <c r="H1078" i="1"/>
  <c r="H1079" i="1"/>
  <c r="H1080" i="1"/>
  <c r="H1107" i="1"/>
  <c r="H1117" i="1"/>
  <c r="H1125" i="1"/>
  <c r="H888" i="1"/>
  <c r="I884" i="1"/>
  <c r="I885" i="1"/>
  <c r="I886" i="1"/>
  <c r="I887" i="1"/>
  <c r="I935" i="1"/>
  <c r="I1001" i="1"/>
  <c r="I1002" i="1"/>
  <c r="I1018" i="1"/>
  <c r="I1019" i="1"/>
  <c r="I1025" i="1"/>
  <c r="I1026" i="1"/>
  <c r="I1030" i="1"/>
  <c r="I1046" i="1"/>
  <c r="I1047" i="1"/>
  <c r="I1048" i="1"/>
  <c r="I1049" i="1"/>
  <c r="I1062" i="1"/>
  <c r="I1063" i="1"/>
  <c r="I1064" i="1"/>
  <c r="I1065" i="1"/>
  <c r="I1074" i="1"/>
  <c r="I1075" i="1"/>
  <c r="I1081" i="1"/>
  <c r="I1082" i="1"/>
  <c r="I1105" i="1"/>
  <c r="I1106" i="1"/>
  <c r="I1115" i="1"/>
  <c r="I1116" i="1"/>
  <c r="I1137" i="1"/>
  <c r="C935" i="1"/>
  <c r="C1001" i="1"/>
  <c r="C1002" i="1"/>
  <c r="C1018" i="1"/>
  <c r="C1019" i="1"/>
  <c r="C1025" i="1"/>
  <c r="C1026" i="1"/>
  <c r="C1030" i="1"/>
  <c r="C1046" i="1"/>
  <c r="C1047" i="1"/>
  <c r="C1048" i="1"/>
  <c r="C1049" i="1"/>
  <c r="C1062" i="1"/>
  <c r="C1063" i="1"/>
  <c r="C1064" i="1"/>
  <c r="C1065" i="1"/>
  <c r="C1074" i="1"/>
  <c r="C1075" i="1"/>
  <c r="C1081" i="1"/>
  <c r="C1082" i="1"/>
  <c r="C1105" i="1"/>
  <c r="C1106" i="1"/>
  <c r="C1115" i="1"/>
  <c r="C1116" i="1"/>
  <c r="C1137" i="1"/>
  <c r="E1137" i="1"/>
  <c r="H1137" i="1"/>
  <c r="E1115" i="1"/>
  <c r="E1116" i="1"/>
  <c r="H1115" i="1"/>
  <c r="H1116" i="1"/>
  <c r="E1105" i="1"/>
  <c r="E1106" i="1"/>
  <c r="H1105" i="1"/>
  <c r="H1106" i="1"/>
  <c r="E1081" i="1"/>
  <c r="E1082" i="1"/>
  <c r="H1081" i="1"/>
  <c r="H1082" i="1"/>
  <c r="E1074" i="1"/>
  <c r="E1075" i="1"/>
  <c r="H1074" i="1"/>
  <c r="H1075" i="1"/>
  <c r="E1062" i="1"/>
  <c r="E1063" i="1"/>
  <c r="E1064" i="1"/>
  <c r="E1065" i="1"/>
  <c r="H1062" i="1"/>
  <c r="H1063" i="1"/>
  <c r="H1064" i="1"/>
  <c r="H1065" i="1"/>
  <c r="E1046" i="1"/>
  <c r="E1047" i="1"/>
  <c r="E1048" i="1"/>
  <c r="E1049" i="1"/>
  <c r="H1046" i="1"/>
  <c r="H1047" i="1"/>
  <c r="H1048" i="1"/>
  <c r="H1049" i="1"/>
  <c r="E1030" i="1"/>
  <c r="H1030" i="1"/>
  <c r="E1025" i="1"/>
  <c r="E1026" i="1"/>
  <c r="H1025" i="1"/>
  <c r="H1026" i="1"/>
  <c r="E1018" i="1"/>
  <c r="E1019" i="1"/>
  <c r="H1018" i="1"/>
  <c r="H1019" i="1"/>
  <c r="E1001" i="1"/>
  <c r="E1002" i="1"/>
  <c r="H1001" i="1"/>
  <c r="H1002" i="1"/>
  <c r="E935" i="1"/>
  <c r="H935" i="1"/>
  <c r="H884" i="1"/>
  <c r="H885" i="1"/>
  <c r="H886" i="1"/>
  <c r="H887" i="1"/>
  <c r="C928" i="1"/>
  <c r="I928" i="1"/>
  <c r="E928" i="1"/>
  <c r="H928" i="1"/>
  <c r="I988" i="1"/>
  <c r="I989" i="1"/>
  <c r="C988" i="1"/>
  <c r="C989" i="1"/>
  <c r="E988" i="1"/>
  <c r="E989" i="1"/>
  <c r="H988" i="1"/>
  <c r="H989" i="1"/>
  <c r="K883" i="1"/>
  <c r="I883" i="1"/>
  <c r="I927" i="1"/>
  <c r="I934" i="1"/>
  <c r="I945" i="1"/>
  <c r="I946" i="1"/>
  <c r="I947" i="1"/>
  <c r="I948" i="1"/>
  <c r="I949" i="1"/>
  <c r="I950" i="1"/>
  <c r="I961" i="1"/>
  <c r="I962" i="1"/>
  <c r="I984" i="1"/>
  <c r="I985" i="1"/>
  <c r="I986" i="1"/>
  <c r="I987" i="1"/>
  <c r="I1016" i="1"/>
  <c r="I1017" i="1"/>
  <c r="I1045" i="1"/>
  <c r="I1054" i="1"/>
  <c r="I1055" i="1"/>
  <c r="I1124" i="1"/>
  <c r="I1136" i="1"/>
  <c r="C927" i="1"/>
  <c r="C934" i="1"/>
  <c r="C945" i="1"/>
  <c r="C946" i="1"/>
  <c r="C947" i="1"/>
  <c r="C948" i="1"/>
  <c r="C949" i="1"/>
  <c r="C950" i="1"/>
  <c r="C961" i="1"/>
  <c r="C962" i="1"/>
  <c r="C984" i="1"/>
  <c r="C985" i="1"/>
  <c r="C986" i="1"/>
  <c r="C987" i="1"/>
  <c r="C1016" i="1"/>
  <c r="C1017" i="1"/>
  <c r="C1045" i="1"/>
  <c r="C1054" i="1"/>
  <c r="C1055" i="1"/>
  <c r="C1124" i="1"/>
  <c r="C1136" i="1"/>
  <c r="E1136" i="1"/>
  <c r="H1136" i="1"/>
  <c r="E1124" i="1"/>
  <c r="H1124" i="1"/>
  <c r="E1054" i="1"/>
  <c r="E1055" i="1"/>
  <c r="H1054" i="1"/>
  <c r="H1055" i="1"/>
  <c r="E1045" i="1"/>
  <c r="H1045" i="1"/>
  <c r="E1016" i="1"/>
  <c r="E1017" i="1"/>
  <c r="H1016" i="1"/>
  <c r="H1017" i="1"/>
  <c r="E984" i="1"/>
  <c r="E985" i="1"/>
  <c r="E986" i="1"/>
  <c r="E987" i="1"/>
  <c r="H984" i="1"/>
  <c r="H985" i="1"/>
  <c r="H986" i="1"/>
  <c r="H987" i="1"/>
  <c r="E961" i="1"/>
  <c r="E962" i="1"/>
  <c r="H961" i="1"/>
  <c r="H962" i="1"/>
  <c r="E948" i="1"/>
  <c r="E949" i="1"/>
  <c r="E950" i="1"/>
  <c r="H948" i="1"/>
  <c r="H949" i="1"/>
  <c r="H950" i="1"/>
  <c r="E945" i="1"/>
  <c r="E946" i="1"/>
  <c r="E947" i="1"/>
  <c r="H945" i="1"/>
  <c r="H946" i="1"/>
  <c r="H947" i="1"/>
  <c r="E934" i="1"/>
  <c r="H934" i="1"/>
  <c r="E927" i="1"/>
  <c r="H927" i="1"/>
  <c r="H883" i="1"/>
  <c r="I926" i="1"/>
  <c r="I944" i="1"/>
  <c r="I960" i="1"/>
  <c r="I999" i="1"/>
  <c r="I1000" i="1"/>
  <c r="I1044" i="1"/>
  <c r="I1104" i="1"/>
  <c r="I1135" i="1"/>
  <c r="C926" i="1"/>
  <c r="C944" i="1"/>
  <c r="C960" i="1"/>
  <c r="C999" i="1"/>
  <c r="C1000" i="1"/>
  <c r="C1044" i="1"/>
  <c r="C1104" i="1"/>
  <c r="C1135" i="1"/>
  <c r="E1135" i="1"/>
  <c r="H1135" i="1"/>
  <c r="E1104" i="1"/>
  <c r="H1104" i="1"/>
  <c r="E1044" i="1"/>
  <c r="H1044" i="1"/>
  <c r="E999" i="1"/>
  <c r="E1000" i="1"/>
  <c r="H999" i="1"/>
  <c r="H1000" i="1"/>
  <c r="E944" i="1"/>
  <c r="E960" i="1"/>
  <c r="H944" i="1"/>
  <c r="H960" i="1"/>
  <c r="E926" i="1"/>
  <c r="H926" i="1"/>
  <c r="C872" i="1"/>
  <c r="C873" i="1"/>
  <c r="C874" i="1"/>
  <c r="C876" i="1"/>
  <c r="C877" i="1"/>
  <c r="C878" i="1"/>
  <c r="C879" i="1"/>
  <c r="C880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37" i="1"/>
  <c r="C938" i="1"/>
  <c r="C939" i="1"/>
  <c r="C940" i="1"/>
  <c r="C941" i="1"/>
  <c r="C942" i="1"/>
  <c r="C943" i="1"/>
  <c r="C953" i="1"/>
  <c r="C954" i="1"/>
  <c r="C955" i="1"/>
  <c r="C956" i="1"/>
  <c r="C957" i="1"/>
  <c r="C958" i="1"/>
  <c r="C959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91" i="1"/>
  <c r="C992" i="1"/>
  <c r="C993" i="1"/>
  <c r="C994" i="1"/>
  <c r="C995" i="1"/>
  <c r="C996" i="1"/>
  <c r="C997" i="1"/>
  <c r="C998" i="1"/>
  <c r="C1007" i="1"/>
  <c r="C1008" i="1"/>
  <c r="C1009" i="1"/>
  <c r="C1010" i="1"/>
  <c r="C1011" i="1"/>
  <c r="C1012" i="1"/>
  <c r="C1013" i="1"/>
  <c r="C1014" i="1"/>
  <c r="C1015" i="1"/>
  <c r="C1021" i="1"/>
  <c r="C1022" i="1"/>
  <c r="C1023" i="1"/>
  <c r="C1024" i="1"/>
  <c r="C1028" i="1"/>
  <c r="C1029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50" i="1"/>
  <c r="C1051" i="1"/>
  <c r="C1052" i="1"/>
  <c r="C1053" i="1"/>
  <c r="C1056" i="1"/>
  <c r="C1057" i="1"/>
  <c r="C1058" i="1"/>
  <c r="C1059" i="1"/>
  <c r="C1060" i="1"/>
  <c r="C1061" i="1"/>
  <c r="C1067" i="1"/>
  <c r="C1068" i="1"/>
  <c r="C1069" i="1"/>
  <c r="C1070" i="1"/>
  <c r="C1071" i="1"/>
  <c r="C1072" i="1"/>
  <c r="C1073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8" i="1"/>
  <c r="C1109" i="1"/>
  <c r="C1110" i="1"/>
  <c r="C1111" i="1"/>
  <c r="C1112" i="1"/>
  <c r="C1113" i="1"/>
  <c r="C1114" i="1"/>
  <c r="C1118" i="1"/>
  <c r="C1119" i="1"/>
  <c r="C1120" i="1"/>
  <c r="C1121" i="1"/>
  <c r="C1122" i="1"/>
  <c r="C1123" i="1"/>
  <c r="C1127" i="1"/>
  <c r="C1128" i="1"/>
  <c r="C1129" i="1"/>
  <c r="C1130" i="1"/>
  <c r="C1131" i="1"/>
  <c r="C1132" i="1"/>
  <c r="C1133" i="1"/>
  <c r="C1134" i="1"/>
  <c r="C1141" i="1"/>
  <c r="C1142" i="1"/>
  <c r="C1143" i="1"/>
  <c r="C1144" i="1"/>
  <c r="C1145" i="1"/>
  <c r="C1146" i="1"/>
  <c r="C1147" i="1"/>
  <c r="C1148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I1123" i="1"/>
  <c r="I1127" i="1"/>
  <c r="I1128" i="1"/>
  <c r="I1129" i="1"/>
  <c r="I1130" i="1"/>
  <c r="I1131" i="1"/>
  <c r="I1132" i="1"/>
  <c r="I1133" i="1"/>
  <c r="I1134" i="1"/>
  <c r="E1127" i="1"/>
  <c r="E1128" i="1"/>
  <c r="E1129" i="1"/>
  <c r="E1130" i="1"/>
  <c r="E1131" i="1"/>
  <c r="E1132" i="1"/>
  <c r="E1133" i="1"/>
  <c r="E1134" i="1"/>
  <c r="H1127" i="1"/>
  <c r="H1128" i="1"/>
  <c r="H1129" i="1"/>
  <c r="H1130" i="1"/>
  <c r="H1131" i="1"/>
  <c r="H1132" i="1"/>
  <c r="H1133" i="1"/>
  <c r="H1134" i="1"/>
  <c r="I1118" i="1"/>
  <c r="I1119" i="1"/>
  <c r="I1120" i="1"/>
  <c r="I1121" i="1"/>
  <c r="I1122" i="1"/>
  <c r="H1118" i="1"/>
  <c r="H1119" i="1"/>
  <c r="H1120" i="1"/>
  <c r="H1121" i="1"/>
  <c r="H1122" i="1"/>
  <c r="H1123" i="1"/>
  <c r="E1119" i="1"/>
  <c r="E1120" i="1"/>
  <c r="E1121" i="1"/>
  <c r="E1122" i="1"/>
  <c r="E1123" i="1"/>
  <c r="E1118" i="1"/>
  <c r="I1108" i="1"/>
  <c r="I1109" i="1"/>
  <c r="I1110" i="1"/>
  <c r="I1111" i="1"/>
  <c r="I1112" i="1"/>
  <c r="I1113" i="1"/>
  <c r="I1114" i="1"/>
  <c r="E1108" i="1"/>
  <c r="E1109" i="1"/>
  <c r="E1110" i="1"/>
  <c r="E1111" i="1"/>
  <c r="E1112" i="1"/>
  <c r="E1113" i="1"/>
  <c r="E1114" i="1"/>
  <c r="H1108" i="1"/>
  <c r="H1109" i="1"/>
  <c r="H1110" i="1"/>
  <c r="H1111" i="1"/>
  <c r="H1112" i="1"/>
  <c r="H1113" i="1"/>
  <c r="H1114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I1067" i="1"/>
  <c r="I1068" i="1"/>
  <c r="I1069" i="1"/>
  <c r="I1070" i="1"/>
  <c r="I1071" i="1"/>
  <c r="I1072" i="1"/>
  <c r="I1073" i="1"/>
  <c r="E1067" i="1"/>
  <c r="E1068" i="1"/>
  <c r="E1069" i="1"/>
  <c r="E1070" i="1"/>
  <c r="E1071" i="1"/>
  <c r="E1072" i="1"/>
  <c r="E1073" i="1"/>
  <c r="H1067" i="1"/>
  <c r="H1068" i="1"/>
  <c r="H1069" i="1"/>
  <c r="H1070" i="1"/>
  <c r="H1071" i="1"/>
  <c r="H1072" i="1"/>
  <c r="H1073" i="1"/>
  <c r="H1056" i="1"/>
  <c r="I1056" i="1"/>
  <c r="H1057" i="1"/>
  <c r="I1057" i="1"/>
  <c r="H1058" i="1"/>
  <c r="I1058" i="1"/>
  <c r="H1059" i="1"/>
  <c r="I1059" i="1"/>
  <c r="H1060" i="1"/>
  <c r="I1060" i="1"/>
  <c r="H1061" i="1"/>
  <c r="I1061" i="1"/>
  <c r="E1056" i="1"/>
  <c r="E1057" i="1"/>
  <c r="E1058" i="1"/>
  <c r="E1059" i="1"/>
  <c r="E1060" i="1"/>
  <c r="E1061" i="1"/>
  <c r="I1050" i="1"/>
  <c r="I1051" i="1"/>
  <c r="I1052" i="1"/>
  <c r="I1053" i="1"/>
  <c r="H1050" i="1"/>
  <c r="H1051" i="1"/>
  <c r="H1052" i="1"/>
  <c r="H1053" i="1"/>
  <c r="E1050" i="1"/>
  <c r="E1051" i="1"/>
  <c r="E1052" i="1"/>
  <c r="E1053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I991" i="1"/>
  <c r="I992" i="1"/>
  <c r="I993" i="1"/>
  <c r="I994" i="1"/>
  <c r="I995" i="1"/>
  <c r="I996" i="1"/>
  <c r="I997" i="1"/>
  <c r="I998" i="1"/>
  <c r="I1007" i="1"/>
  <c r="I1008" i="1"/>
  <c r="I1009" i="1"/>
  <c r="I1010" i="1"/>
  <c r="I1011" i="1"/>
  <c r="I1012" i="1"/>
  <c r="I1013" i="1"/>
  <c r="I1014" i="1"/>
  <c r="I1015" i="1"/>
  <c r="I1021" i="1"/>
  <c r="I1022" i="1"/>
  <c r="I1023" i="1"/>
  <c r="I1024" i="1"/>
  <c r="I1028" i="1"/>
  <c r="I1029" i="1"/>
  <c r="E991" i="1"/>
  <c r="E992" i="1"/>
  <c r="E993" i="1"/>
  <c r="E994" i="1"/>
  <c r="E995" i="1"/>
  <c r="E996" i="1"/>
  <c r="E997" i="1"/>
  <c r="E998" i="1"/>
  <c r="E1007" i="1"/>
  <c r="E1008" i="1"/>
  <c r="E1009" i="1"/>
  <c r="E1010" i="1"/>
  <c r="E1011" i="1"/>
  <c r="E1012" i="1"/>
  <c r="E1013" i="1"/>
  <c r="E1014" i="1"/>
  <c r="E1015" i="1"/>
  <c r="E1021" i="1"/>
  <c r="E1022" i="1"/>
  <c r="E1023" i="1"/>
  <c r="E1024" i="1"/>
  <c r="E1028" i="1"/>
  <c r="E1029" i="1"/>
  <c r="H991" i="1"/>
  <c r="H992" i="1"/>
  <c r="H993" i="1"/>
  <c r="H994" i="1"/>
  <c r="H995" i="1"/>
  <c r="H996" i="1"/>
  <c r="H997" i="1"/>
  <c r="H998" i="1"/>
  <c r="H1007" i="1"/>
  <c r="H1008" i="1"/>
  <c r="H1009" i="1"/>
  <c r="H1010" i="1"/>
  <c r="H1011" i="1"/>
  <c r="H1012" i="1"/>
  <c r="H1013" i="1"/>
  <c r="H1014" i="1"/>
  <c r="H1015" i="1"/>
  <c r="H1021" i="1"/>
  <c r="H1022" i="1"/>
  <c r="H1023" i="1"/>
  <c r="H1024" i="1"/>
  <c r="H1028" i="1"/>
  <c r="H1029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I937" i="1"/>
  <c r="I938" i="1"/>
  <c r="I939" i="1"/>
  <c r="I940" i="1"/>
  <c r="I941" i="1"/>
  <c r="I942" i="1"/>
  <c r="I943" i="1"/>
  <c r="I953" i="1"/>
  <c r="I954" i="1"/>
  <c r="I955" i="1"/>
  <c r="I956" i="1"/>
  <c r="I957" i="1"/>
  <c r="I958" i="1"/>
  <c r="I959" i="1"/>
  <c r="E937" i="1"/>
  <c r="E938" i="1"/>
  <c r="E939" i="1"/>
  <c r="E940" i="1"/>
  <c r="E941" i="1"/>
  <c r="E942" i="1"/>
  <c r="E943" i="1"/>
  <c r="E953" i="1"/>
  <c r="E954" i="1"/>
  <c r="E955" i="1"/>
  <c r="E956" i="1"/>
  <c r="E957" i="1"/>
  <c r="E958" i="1"/>
  <c r="E959" i="1"/>
  <c r="H937" i="1"/>
  <c r="H938" i="1"/>
  <c r="H939" i="1"/>
  <c r="H940" i="1"/>
  <c r="H941" i="1"/>
  <c r="H942" i="1"/>
  <c r="H943" i="1"/>
  <c r="H953" i="1"/>
  <c r="H954" i="1"/>
  <c r="H955" i="1"/>
  <c r="H956" i="1"/>
  <c r="H957" i="1"/>
  <c r="H958" i="1"/>
  <c r="H959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31" i="1"/>
  <c r="I932" i="1"/>
  <c r="I933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31" i="1"/>
  <c r="C932" i="1"/>
  <c r="C933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K696" i="1"/>
  <c r="N696" i="1"/>
  <c r="P696" i="1" s="1"/>
  <c r="O696" i="1"/>
  <c r="K697" i="1"/>
  <c r="N697" i="1"/>
  <c r="P697" i="1" s="1"/>
  <c r="O697" i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O711" i="1"/>
  <c r="P711" i="1" s="1"/>
  <c r="K712" i="1"/>
  <c r="N712" i="1"/>
  <c r="P712" i="1" s="1"/>
  <c r="O712" i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O716" i="1"/>
  <c r="P716" i="1" s="1"/>
  <c r="K717" i="1"/>
  <c r="N717" i="1"/>
  <c r="P717" i="1" s="1"/>
  <c r="O717" i="1"/>
  <c r="K718" i="1"/>
  <c r="N718" i="1"/>
  <c r="O718" i="1"/>
  <c r="P718" i="1" s="1"/>
  <c r="K719" i="1"/>
  <c r="N719" i="1"/>
  <c r="P719" i="1" s="1"/>
  <c r="O719" i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P728" i="1" s="1"/>
  <c r="O728" i="1"/>
  <c r="K729" i="1"/>
  <c r="N729" i="1"/>
  <c r="O729" i="1"/>
  <c r="P729" i="1" s="1"/>
  <c r="K730" i="1"/>
  <c r="N730" i="1"/>
  <c r="O730" i="1"/>
  <c r="P730" i="1" s="1"/>
  <c r="K731" i="1"/>
  <c r="N731" i="1"/>
  <c r="P731" i="1" s="1"/>
  <c r="O731" i="1"/>
  <c r="K732" i="1"/>
  <c r="N732" i="1"/>
  <c r="O732" i="1"/>
  <c r="P732" i="1" s="1"/>
  <c r="K733" i="1"/>
  <c r="N733" i="1"/>
  <c r="P733" i="1" s="1"/>
  <c r="O733" i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O745" i="1"/>
  <c r="P745" i="1" s="1"/>
  <c r="K746" i="1"/>
  <c r="N746" i="1"/>
  <c r="O746" i="1"/>
  <c r="P746" i="1" s="1"/>
  <c r="K747" i="1"/>
  <c r="N747" i="1"/>
  <c r="P747" i="1" s="1"/>
  <c r="O747" i="1"/>
  <c r="K748" i="1"/>
  <c r="N748" i="1"/>
  <c r="O748" i="1"/>
  <c r="P748" i="1" s="1"/>
  <c r="K749" i="1"/>
  <c r="N749" i="1"/>
  <c r="O749" i="1"/>
  <c r="P749" i="1" s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P759" i="1" s="1"/>
  <c r="O759" i="1"/>
  <c r="K760" i="1"/>
  <c r="N760" i="1"/>
  <c r="P760" i="1" s="1"/>
  <c r="O760" i="1"/>
  <c r="K761" i="1"/>
  <c r="N761" i="1"/>
  <c r="P761" i="1" s="1"/>
  <c r="O761" i="1"/>
  <c r="K762" i="1"/>
  <c r="N762" i="1"/>
  <c r="P762" i="1" s="1"/>
  <c r="O762" i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P783" i="1" s="1"/>
  <c r="O783" i="1"/>
  <c r="K784" i="1"/>
  <c r="N784" i="1"/>
  <c r="O784" i="1"/>
  <c r="P784" i="1" s="1"/>
  <c r="K785" i="1"/>
  <c r="N785" i="1"/>
  <c r="P785" i="1" s="1"/>
  <c r="O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P800" i="1" s="1"/>
  <c r="O800" i="1"/>
  <c r="K801" i="1"/>
  <c r="N801" i="1"/>
  <c r="O801" i="1"/>
  <c r="P801" i="1" s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O818" i="1"/>
  <c r="P818" i="1" s="1"/>
  <c r="K819" i="1"/>
  <c r="N819" i="1"/>
  <c r="P819" i="1" s="1"/>
  <c r="O819" i="1"/>
  <c r="K820" i="1"/>
  <c r="N820" i="1"/>
  <c r="P820" i="1" s="1"/>
  <c r="O820" i="1"/>
  <c r="K821" i="1"/>
  <c r="N821" i="1"/>
  <c r="O821" i="1"/>
  <c r="P821" i="1" s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P825" i="1" s="1"/>
  <c r="O825" i="1"/>
  <c r="K826" i="1"/>
  <c r="N826" i="1"/>
  <c r="P826" i="1" s="1"/>
  <c r="O826" i="1"/>
  <c r="K827" i="1"/>
  <c r="N827" i="1"/>
  <c r="P827" i="1" s="1"/>
  <c r="O827" i="1"/>
  <c r="K828" i="1"/>
  <c r="N828" i="1"/>
  <c r="P828" i="1" s="1"/>
  <c r="O828" i="1"/>
  <c r="K829" i="1"/>
  <c r="N829" i="1"/>
  <c r="P829" i="1" s="1"/>
  <c r="O829" i="1"/>
  <c r="K830" i="1"/>
  <c r="N830" i="1"/>
  <c r="O830" i="1"/>
  <c r="P830" i="1" s="1"/>
  <c r="K831" i="1"/>
  <c r="N831" i="1"/>
  <c r="O831" i="1"/>
  <c r="P831" i="1" s="1"/>
  <c r="K832" i="1"/>
  <c r="N832" i="1"/>
  <c r="P832" i="1" s="1"/>
  <c r="O832" i="1"/>
  <c r="K833" i="1"/>
  <c r="N833" i="1"/>
  <c r="O833" i="1"/>
  <c r="P833" i="1" s="1"/>
  <c r="K834" i="1"/>
  <c r="N834" i="1"/>
  <c r="P834" i="1" s="1"/>
  <c r="O834" i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P839" i="1" s="1"/>
  <c r="O839" i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O843" i="1"/>
  <c r="P843" i="1" s="1"/>
  <c r="K844" i="1"/>
  <c r="N844" i="1"/>
  <c r="O844" i="1"/>
  <c r="P844" i="1" s="1"/>
  <c r="K845" i="1"/>
  <c r="N845" i="1"/>
  <c r="O845" i="1"/>
  <c r="P845" i="1" s="1"/>
  <c r="K846" i="1"/>
  <c r="N846" i="1"/>
  <c r="O846" i="1"/>
  <c r="P846" i="1" s="1"/>
  <c r="K847" i="1"/>
  <c r="N847" i="1"/>
  <c r="O847" i="1"/>
  <c r="P847" i="1" s="1"/>
  <c r="K848" i="1"/>
  <c r="N848" i="1"/>
  <c r="O848" i="1"/>
  <c r="P848" i="1" s="1"/>
  <c r="K849" i="1"/>
  <c r="N849" i="1"/>
  <c r="O849" i="1"/>
  <c r="P849" i="1" s="1"/>
  <c r="K850" i="1"/>
  <c r="N850" i="1"/>
  <c r="O850" i="1"/>
  <c r="P850" i="1" s="1"/>
  <c r="K851" i="1"/>
  <c r="N851" i="1"/>
  <c r="O851" i="1"/>
  <c r="P851" i="1" s="1"/>
  <c r="K852" i="1"/>
  <c r="N852" i="1"/>
  <c r="P852" i="1" s="1"/>
  <c r="O852" i="1"/>
  <c r="K853" i="1"/>
  <c r="N853" i="1"/>
  <c r="P853" i="1" s="1"/>
  <c r="O853" i="1"/>
  <c r="K854" i="1"/>
  <c r="N854" i="1"/>
  <c r="O854" i="1"/>
  <c r="P854" i="1" s="1"/>
  <c r="K855" i="1"/>
  <c r="N855" i="1"/>
  <c r="O855" i="1"/>
  <c r="P855" i="1" s="1"/>
  <c r="K856" i="1"/>
  <c r="N856" i="1"/>
  <c r="O856" i="1"/>
  <c r="P856" i="1" s="1"/>
  <c r="K857" i="1"/>
  <c r="N857" i="1"/>
  <c r="P857" i="1" s="1"/>
  <c r="O857" i="1"/>
  <c r="K858" i="1"/>
  <c r="N858" i="1"/>
  <c r="O858" i="1"/>
  <c r="P858" i="1" s="1"/>
  <c r="K859" i="1"/>
  <c r="N859" i="1"/>
  <c r="P859" i="1" s="1"/>
  <c r="O859" i="1"/>
  <c r="K860" i="1"/>
  <c r="N860" i="1"/>
  <c r="O860" i="1"/>
  <c r="P860" i="1" s="1"/>
  <c r="K861" i="1"/>
  <c r="N861" i="1"/>
  <c r="O861" i="1"/>
  <c r="P861" i="1" s="1"/>
  <c r="K862" i="1"/>
  <c r="N862" i="1"/>
  <c r="P862" i="1" s="1"/>
  <c r="O862" i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P867" i="1" s="1"/>
  <c r="O867" i="1"/>
  <c r="K868" i="1"/>
  <c r="N868" i="1"/>
  <c r="P868" i="1" s="1"/>
  <c r="O868" i="1"/>
  <c r="K871" i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K876" i="1"/>
  <c r="K877" i="1"/>
  <c r="K878" i="1"/>
  <c r="K879" i="1"/>
  <c r="K880" i="1"/>
  <c r="K881" i="1"/>
  <c r="K882" i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I860" i="1"/>
  <c r="I861" i="1"/>
  <c r="I794" i="1"/>
  <c r="I725" i="1"/>
  <c r="I790" i="1"/>
  <c r="I791" i="1"/>
  <c r="I753" i="1"/>
  <c r="I754" i="1"/>
  <c r="I755" i="1"/>
  <c r="I726" i="1"/>
  <c r="I695" i="1"/>
  <c r="C860" i="1"/>
  <c r="C861" i="1"/>
  <c r="C794" i="1"/>
  <c r="C725" i="1"/>
  <c r="C790" i="1"/>
  <c r="C791" i="1"/>
  <c r="C753" i="1"/>
  <c r="C754" i="1"/>
  <c r="C755" i="1"/>
  <c r="C726" i="1"/>
  <c r="C695" i="1"/>
  <c r="E860" i="1"/>
  <c r="E861" i="1"/>
  <c r="E794" i="1"/>
  <c r="E725" i="1"/>
  <c r="E790" i="1"/>
  <c r="E791" i="1"/>
  <c r="E753" i="1"/>
  <c r="E754" i="1"/>
  <c r="E755" i="1"/>
  <c r="E726" i="1"/>
  <c r="E695" i="1"/>
  <c r="H860" i="1"/>
  <c r="H861" i="1"/>
  <c r="H794" i="1"/>
  <c r="H725" i="1"/>
  <c r="H790" i="1"/>
  <c r="H791" i="1"/>
  <c r="H753" i="1"/>
  <c r="H754" i="1"/>
  <c r="H755" i="1"/>
  <c r="H726" i="1"/>
  <c r="H695" i="1"/>
  <c r="K669" i="1"/>
  <c r="I872" i="1"/>
  <c r="I873" i="1"/>
  <c r="I874" i="1"/>
  <c r="I875" i="1"/>
  <c r="I876" i="1"/>
  <c r="I877" i="1"/>
  <c r="I878" i="1"/>
  <c r="I879" i="1"/>
  <c r="I894" i="1"/>
  <c r="I895" i="1"/>
  <c r="I896" i="1"/>
  <c r="I897" i="1"/>
  <c r="I880" i="1"/>
  <c r="I881" i="1"/>
  <c r="I882" i="1"/>
  <c r="I898" i="1"/>
  <c r="I899" i="1"/>
  <c r="I900" i="1"/>
  <c r="I901" i="1"/>
  <c r="I902" i="1"/>
  <c r="I903" i="1"/>
  <c r="I904" i="1"/>
  <c r="I905" i="1"/>
  <c r="C871" i="1"/>
  <c r="E872" i="1"/>
  <c r="E873" i="1"/>
  <c r="E874" i="1"/>
  <c r="E875" i="1"/>
  <c r="E876" i="1"/>
  <c r="E877" i="1"/>
  <c r="E878" i="1"/>
  <c r="E879" i="1"/>
  <c r="E895" i="1"/>
  <c r="E896" i="1"/>
  <c r="E897" i="1"/>
  <c r="E898" i="1"/>
  <c r="E899" i="1"/>
  <c r="E900" i="1"/>
  <c r="E901" i="1"/>
  <c r="E902" i="1"/>
  <c r="E903" i="1"/>
  <c r="E904" i="1"/>
  <c r="E905" i="1"/>
  <c r="H872" i="1"/>
  <c r="H873" i="1"/>
  <c r="H874" i="1"/>
  <c r="H875" i="1"/>
  <c r="H876" i="1"/>
  <c r="H877" i="1"/>
  <c r="H878" i="1"/>
  <c r="H879" i="1"/>
  <c r="H894" i="1"/>
  <c r="H895" i="1"/>
  <c r="H896" i="1"/>
  <c r="H897" i="1"/>
  <c r="H880" i="1"/>
  <c r="H881" i="1"/>
  <c r="H882" i="1"/>
  <c r="H898" i="1"/>
  <c r="H899" i="1"/>
  <c r="H900" i="1"/>
  <c r="H901" i="1"/>
  <c r="H902" i="1"/>
  <c r="H903" i="1"/>
  <c r="H904" i="1"/>
  <c r="H905" i="1"/>
  <c r="E871" i="1"/>
  <c r="H871" i="1"/>
  <c r="I862" i="1"/>
  <c r="I863" i="1"/>
  <c r="I864" i="1"/>
  <c r="I865" i="1"/>
  <c r="I866" i="1"/>
  <c r="I867" i="1"/>
  <c r="I868" i="1"/>
  <c r="I871" i="1"/>
  <c r="E868" i="1"/>
  <c r="C862" i="1"/>
  <c r="C863" i="1"/>
  <c r="C864" i="1"/>
  <c r="C865" i="1"/>
  <c r="C866" i="1"/>
  <c r="C867" i="1"/>
  <c r="C868" i="1"/>
  <c r="E862" i="1"/>
  <c r="E863" i="1"/>
  <c r="E864" i="1"/>
  <c r="E865" i="1"/>
  <c r="E866" i="1"/>
  <c r="E867" i="1"/>
  <c r="H862" i="1"/>
  <c r="H863" i="1"/>
  <c r="H864" i="1"/>
  <c r="H865" i="1"/>
  <c r="H866" i="1"/>
  <c r="H867" i="1"/>
  <c r="H868" i="1"/>
  <c r="I849" i="1"/>
  <c r="I850" i="1"/>
  <c r="I851" i="1"/>
  <c r="I852" i="1"/>
  <c r="I853" i="1"/>
  <c r="I854" i="1"/>
  <c r="I855" i="1"/>
  <c r="I856" i="1"/>
  <c r="I857" i="1"/>
  <c r="I858" i="1"/>
  <c r="I859" i="1"/>
  <c r="C850" i="1"/>
  <c r="C851" i="1"/>
  <c r="C852" i="1"/>
  <c r="C853" i="1"/>
  <c r="C854" i="1"/>
  <c r="C855" i="1"/>
  <c r="C856" i="1"/>
  <c r="C857" i="1"/>
  <c r="C858" i="1"/>
  <c r="C859" i="1"/>
  <c r="E850" i="1"/>
  <c r="E851" i="1"/>
  <c r="E852" i="1"/>
  <c r="E853" i="1"/>
  <c r="E854" i="1"/>
  <c r="E855" i="1"/>
  <c r="E856" i="1"/>
  <c r="E857" i="1"/>
  <c r="E858" i="1"/>
  <c r="E859" i="1"/>
  <c r="H850" i="1"/>
  <c r="H851" i="1"/>
  <c r="H852" i="1"/>
  <c r="H853" i="1"/>
  <c r="H854" i="1"/>
  <c r="H855" i="1"/>
  <c r="H856" i="1"/>
  <c r="H857" i="1"/>
  <c r="H858" i="1"/>
  <c r="H85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E842" i="1"/>
  <c r="E843" i="1"/>
  <c r="E844" i="1"/>
  <c r="E845" i="1"/>
  <c r="E846" i="1"/>
  <c r="E847" i="1"/>
  <c r="E848" i="1"/>
  <c r="E84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I829" i="1"/>
  <c r="C829" i="1"/>
  <c r="E829" i="1"/>
  <c r="H829" i="1"/>
  <c r="I825" i="1"/>
  <c r="I826" i="1"/>
  <c r="I827" i="1"/>
  <c r="I828" i="1"/>
  <c r="C825" i="1"/>
  <c r="C826" i="1"/>
  <c r="C827" i="1"/>
  <c r="C828" i="1"/>
  <c r="E825" i="1"/>
  <c r="E826" i="1"/>
  <c r="E827" i="1"/>
  <c r="E828" i="1"/>
  <c r="H825" i="1"/>
  <c r="H826" i="1"/>
  <c r="H827" i="1"/>
  <c r="H828" i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N669" i="1"/>
  <c r="O669" i="1"/>
  <c r="P669" i="1" s="1"/>
  <c r="K670" i="1"/>
  <c r="N670" i="1"/>
  <c r="O670" i="1"/>
  <c r="P670" i="1" s="1"/>
  <c r="I818" i="1"/>
  <c r="I819" i="1"/>
  <c r="I820" i="1"/>
  <c r="I821" i="1"/>
  <c r="I822" i="1"/>
  <c r="I823" i="1"/>
  <c r="I824" i="1"/>
  <c r="C818" i="1"/>
  <c r="C819" i="1"/>
  <c r="C820" i="1"/>
  <c r="C821" i="1"/>
  <c r="C822" i="1"/>
  <c r="C823" i="1"/>
  <c r="C824" i="1"/>
  <c r="E818" i="1"/>
  <c r="E819" i="1"/>
  <c r="E820" i="1"/>
  <c r="E821" i="1"/>
  <c r="E822" i="1"/>
  <c r="E823" i="1"/>
  <c r="E824" i="1"/>
  <c r="H818" i="1"/>
  <c r="H819" i="1"/>
  <c r="H820" i="1"/>
  <c r="H821" i="1"/>
  <c r="H822" i="1"/>
  <c r="H823" i="1"/>
  <c r="H824" i="1"/>
  <c r="I817" i="1"/>
  <c r="C817" i="1"/>
  <c r="E817" i="1"/>
  <c r="H817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I798" i="1"/>
  <c r="I799" i="1"/>
  <c r="I800" i="1"/>
  <c r="I748" i="1"/>
  <c r="I749" i="1"/>
  <c r="I750" i="1"/>
  <c r="I751" i="1"/>
  <c r="C799" i="1"/>
  <c r="C800" i="1"/>
  <c r="C748" i="1"/>
  <c r="C749" i="1"/>
  <c r="C750" i="1"/>
  <c r="C751" i="1"/>
  <c r="E799" i="1"/>
  <c r="E800" i="1"/>
  <c r="E748" i="1"/>
  <c r="E749" i="1"/>
  <c r="E750" i="1"/>
  <c r="E751" i="1"/>
  <c r="H799" i="1"/>
  <c r="H800" i="1"/>
  <c r="H748" i="1"/>
  <c r="H749" i="1"/>
  <c r="H750" i="1"/>
  <c r="H751" i="1"/>
  <c r="I792" i="1"/>
  <c r="I793" i="1"/>
  <c r="I795" i="1"/>
  <c r="I796" i="1"/>
  <c r="I797" i="1"/>
  <c r="C789" i="1" l="1"/>
  <c r="C792" i="1"/>
  <c r="C793" i="1"/>
  <c r="C795" i="1"/>
  <c r="C796" i="1"/>
  <c r="C797" i="1"/>
  <c r="C798" i="1"/>
  <c r="E792" i="1"/>
  <c r="E793" i="1"/>
  <c r="E795" i="1"/>
  <c r="E796" i="1"/>
  <c r="E797" i="1"/>
  <c r="E798" i="1"/>
  <c r="H792" i="1"/>
  <c r="H793" i="1"/>
  <c r="H795" i="1"/>
  <c r="H796" i="1"/>
  <c r="H797" i="1"/>
  <c r="H798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I745" i="1"/>
  <c r="I740" i="1"/>
  <c r="I741" i="1"/>
  <c r="I742" i="1"/>
  <c r="I743" i="1"/>
  <c r="I744" i="1"/>
  <c r="I746" i="1"/>
  <c r="I752" i="1"/>
  <c r="I747" i="1"/>
  <c r="H745" i="1"/>
  <c r="C745" i="1"/>
  <c r="C740" i="1"/>
  <c r="C741" i="1"/>
  <c r="C742" i="1"/>
  <c r="C743" i="1"/>
  <c r="C744" i="1"/>
  <c r="C746" i="1"/>
  <c r="C752" i="1"/>
  <c r="C747" i="1"/>
  <c r="E740" i="1"/>
  <c r="E741" i="1"/>
  <c r="E742" i="1"/>
  <c r="E743" i="1"/>
  <c r="E744" i="1"/>
  <c r="E746" i="1"/>
  <c r="E752" i="1"/>
  <c r="E747" i="1"/>
  <c r="H740" i="1"/>
  <c r="H741" i="1"/>
  <c r="H742" i="1"/>
  <c r="H743" i="1"/>
  <c r="H744" i="1"/>
  <c r="H746" i="1"/>
  <c r="H752" i="1"/>
  <c r="H747" i="1"/>
  <c r="E745" i="1"/>
  <c r="I724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I690" i="1"/>
  <c r="I691" i="1"/>
  <c r="I692" i="1"/>
  <c r="I693" i="1"/>
  <c r="I69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C724" i="1"/>
  <c r="C690" i="1"/>
  <c r="C691" i="1"/>
  <c r="C692" i="1"/>
  <c r="C693" i="1"/>
  <c r="C694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E690" i="1"/>
  <c r="E691" i="1"/>
  <c r="E692" i="1"/>
  <c r="E693" i="1"/>
  <c r="E694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690" i="1"/>
  <c r="H691" i="1"/>
  <c r="H692" i="1"/>
  <c r="H693" i="1"/>
  <c r="H694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I689" i="1"/>
  <c r="I687" i="1"/>
  <c r="I688" i="1"/>
  <c r="E687" i="1"/>
  <c r="E688" i="1"/>
  <c r="E689" i="1"/>
  <c r="H687" i="1"/>
  <c r="H688" i="1"/>
  <c r="H689" i="1"/>
  <c r="C687" i="1"/>
  <c r="C688" i="1"/>
  <c r="C689" i="1"/>
  <c r="I669" i="1" l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I581" i="1"/>
  <c r="I582" i="1"/>
  <c r="I583" i="1"/>
  <c r="E582" i="1"/>
  <c r="E583" i="1"/>
  <c r="H582" i="1"/>
  <c r="H583" i="1"/>
  <c r="C582" i="1"/>
  <c r="C583" i="1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H544" i="1"/>
  <c r="I544" i="1"/>
  <c r="H545" i="1"/>
  <c r="I545" i="1"/>
  <c r="H546" i="1"/>
  <c r="I546" i="1"/>
  <c r="C544" i="1"/>
  <c r="C545" i="1"/>
  <c r="C546" i="1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C530" i="1"/>
  <c r="I476" i="1"/>
  <c r="I515" i="1"/>
  <c r="I529" i="1"/>
  <c r="C476" i="1"/>
  <c r="C515" i="1"/>
  <c r="C529" i="1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C537" i="1"/>
  <c r="C538" i="1"/>
  <c r="C539" i="1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C479" i="1"/>
  <c r="C480" i="1"/>
  <c r="C481" i="1"/>
  <c r="C482" i="1"/>
  <c r="C483" i="1"/>
  <c r="C485" i="1"/>
  <c r="I517" i="1" l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I477" i="1" l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I374" i="1" l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I367" i="1" l="1"/>
  <c r="I369" i="1"/>
  <c r="I370" i="1"/>
  <c r="I371" i="1"/>
  <c r="I372" i="1"/>
  <c r="I373" i="1"/>
  <c r="C369" i="1"/>
  <c r="C370" i="1"/>
  <c r="C371" i="1"/>
  <c r="C372" i="1"/>
  <c r="C373" i="1"/>
  <c r="E369" i="1"/>
  <c r="E370" i="1"/>
  <c r="E371" i="1"/>
  <c r="E372" i="1"/>
  <c r="E373" i="1"/>
  <c r="H369" i="1"/>
  <c r="H370" i="1"/>
  <c r="H371" i="1"/>
  <c r="H372" i="1"/>
  <c r="H373" i="1"/>
  <c r="M492" i="1" l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T25" i="3"/>
  <c r="P25" i="3"/>
  <c r="Y25" i="3"/>
  <c r="J25" i="3"/>
  <c r="Z25" i="3"/>
  <c r="O25" i="3"/>
  <c r="U25" i="3"/>
  <c r="K25" i="3"/>
  <c r="P361" i="1"/>
  <c r="P362" i="1"/>
  <c r="C238" i="1"/>
  <c r="M238" i="1" s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M235" i="1" s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M747" i="1" l="1"/>
  <c r="O8" i="3"/>
  <c r="M857" i="1"/>
  <c r="O5" i="3"/>
  <c r="M426" i="1"/>
  <c r="M820" i="1"/>
  <c r="P5" i="3"/>
  <c r="Z5" i="3"/>
  <c r="M372" i="1"/>
  <c r="M941" i="1"/>
  <c r="M828" i="1"/>
  <c r="Y5" i="3"/>
  <c r="M1023" i="1"/>
  <c r="M647" i="1"/>
  <c r="M1132" i="1"/>
  <c r="M639" i="1"/>
  <c r="J5" i="3"/>
  <c r="T5" i="3"/>
  <c r="M373" i="1"/>
  <c r="M638" i="1"/>
  <c r="K5" i="3"/>
  <c r="U5" i="3"/>
  <c r="M670" i="1"/>
  <c r="P19" i="3"/>
  <c r="M388" i="1"/>
  <c r="M504" i="1"/>
  <c r="M459" i="1"/>
  <c r="T18" i="3"/>
  <c r="T19" i="3"/>
  <c r="K18" i="3"/>
  <c r="O19" i="3"/>
  <c r="M422" i="1"/>
  <c r="M415" i="1"/>
  <c r="U19" i="3"/>
  <c r="Z18" i="3"/>
  <c r="M144" i="1"/>
  <c r="M386" i="1"/>
  <c r="M433" i="1"/>
  <c r="U18" i="3"/>
  <c r="M1146" i="1"/>
  <c r="M779" i="1"/>
  <c r="M143" i="1"/>
  <c r="Y19" i="3"/>
  <c r="O18" i="3"/>
  <c r="M458" i="1"/>
  <c r="M899" i="1"/>
  <c r="M711" i="1"/>
  <c r="M872" i="1"/>
  <c r="Z19" i="3"/>
  <c r="P18" i="3"/>
  <c r="M688" i="1"/>
  <c r="K19" i="3"/>
  <c r="M778" i="1"/>
  <c r="J19" i="3"/>
  <c r="M954" i="1"/>
  <c r="M387" i="1"/>
  <c r="M629" i="1"/>
  <c r="M389" i="1"/>
  <c r="J32" i="3"/>
  <c r="Y18" i="3"/>
  <c r="J18" i="3"/>
  <c r="M1167" i="1"/>
  <c r="M1056" i="1"/>
  <c r="M1148" i="1"/>
  <c r="M1171" i="1"/>
  <c r="M718" i="1"/>
  <c r="M875" i="1"/>
  <c r="M510" i="1"/>
  <c r="Y23" i="3"/>
  <c r="K22" i="3"/>
  <c r="Z29" i="3"/>
  <c r="P28" i="3"/>
  <c r="P30" i="3"/>
  <c r="K23" i="3"/>
  <c r="K30" i="3"/>
  <c r="O33" i="3"/>
  <c r="T23" i="3"/>
  <c r="Y22" i="3"/>
  <c r="M1147" i="1"/>
  <c r="M223" i="1"/>
  <c r="M784" i="1"/>
  <c r="M671" i="1"/>
  <c r="P13" i="3"/>
  <c r="U23" i="3"/>
  <c r="Z22" i="3"/>
  <c r="K28" i="3"/>
  <c r="Z33" i="3"/>
  <c r="O30" i="3"/>
  <c r="U31" i="3"/>
  <c r="M1149" i="1"/>
  <c r="M438" i="1"/>
  <c r="M631" i="1"/>
  <c r="M511" i="1"/>
  <c r="M441" i="1"/>
  <c r="U30" i="3"/>
  <c r="M1151" i="1"/>
  <c r="M874" i="1"/>
  <c r="M630" i="1"/>
  <c r="M222" i="1"/>
  <c r="U33" i="3"/>
  <c r="O23" i="3"/>
  <c r="T22" i="3"/>
  <c r="M463" i="1"/>
  <c r="M956" i="1"/>
  <c r="M462" i="1"/>
  <c r="M877" i="1"/>
  <c r="M837" i="1"/>
  <c r="T33" i="3"/>
  <c r="J23" i="3"/>
  <c r="U22" i="3"/>
  <c r="J28" i="3"/>
  <c r="Z30" i="3"/>
  <c r="O22" i="3"/>
  <c r="M437" i="1"/>
  <c r="P33" i="3"/>
  <c r="M957" i="1"/>
  <c r="M717" i="1"/>
  <c r="M673" i="1"/>
  <c r="M873" i="1"/>
  <c r="J33" i="3"/>
  <c r="P23" i="3"/>
  <c r="P22" i="3"/>
  <c r="Y28" i="3"/>
  <c r="J30" i="3"/>
  <c r="Y30" i="3"/>
  <c r="T28" i="3"/>
  <c r="T30" i="3"/>
  <c r="K33" i="3"/>
  <c r="U28" i="3"/>
  <c r="M1172" i="1"/>
  <c r="M783" i="1"/>
  <c r="M439" i="1"/>
  <c r="M669" i="1"/>
  <c r="Y33" i="3"/>
  <c r="Z23" i="3"/>
  <c r="J22" i="3"/>
  <c r="Z28" i="3"/>
  <c r="M475" i="1"/>
  <c r="U27" i="3"/>
  <c r="M1029" i="1"/>
  <c r="M1033" i="1"/>
  <c r="M520" i="1"/>
  <c r="M573" i="1"/>
  <c r="M589" i="1"/>
  <c r="M661" i="1"/>
  <c r="M533" i="1"/>
  <c r="M1057" i="1"/>
  <c r="O35" i="3"/>
  <c r="M532" i="1"/>
  <c r="M574" i="1"/>
  <c r="M1011" i="1"/>
  <c r="M583" i="1"/>
  <c r="M689" i="1"/>
  <c r="M587" i="1"/>
  <c r="M552" i="1"/>
  <c r="M821" i="1"/>
  <c r="M614" i="1"/>
  <c r="M622" i="1"/>
  <c r="P35" i="3"/>
  <c r="M494" i="1"/>
  <c r="M626" i="1"/>
  <c r="Z35" i="3"/>
  <c r="M966" i="1"/>
  <c r="M624" i="1"/>
  <c r="M659" i="1"/>
  <c r="M650" i="1"/>
  <c r="M553" i="1"/>
  <c r="M588" i="1"/>
  <c r="M534" i="1"/>
  <c r="T35" i="3"/>
  <c r="M550" i="1"/>
  <c r="M817" i="1"/>
  <c r="M627" i="1"/>
  <c r="Y35" i="3"/>
  <c r="K35" i="3"/>
  <c r="M641" i="1"/>
  <c r="M620" i="1"/>
  <c r="M1012" i="1"/>
  <c r="M531" i="1"/>
  <c r="M623" i="1"/>
  <c r="M572" i="1"/>
  <c r="M617" i="1"/>
  <c r="M658" i="1"/>
  <c r="M1010" i="1"/>
  <c r="M651" i="1"/>
  <c r="M660" i="1"/>
  <c r="M535" i="1"/>
  <c r="M625" i="1"/>
  <c r="M628" i="1"/>
  <c r="M616" i="1"/>
  <c r="U35" i="3"/>
  <c r="M615" i="1"/>
  <c r="M640" i="1"/>
  <c r="M967" i="1"/>
  <c r="M551" i="1"/>
  <c r="M582" i="1"/>
  <c r="M648" i="1"/>
  <c r="M619" i="1"/>
  <c r="M581" i="1"/>
  <c r="M649" i="1"/>
  <c r="M493" i="1"/>
  <c r="J35" i="3"/>
  <c r="M621" i="1"/>
  <c r="M997" i="1"/>
  <c r="M892" i="1"/>
  <c r="M81" i="1"/>
  <c r="M55" i="1"/>
  <c r="M529" i="1"/>
  <c r="M904" i="1"/>
  <c r="M754" i="1"/>
  <c r="M726" i="1"/>
  <c r="M515" i="1"/>
  <c r="Z24" i="3"/>
  <c r="O27" i="3"/>
  <c r="P21" i="3"/>
  <c r="M750" i="1"/>
  <c r="U21" i="3"/>
  <c r="Z27" i="3"/>
  <c r="M536" i="1"/>
  <c r="M903" i="1"/>
  <c r="M748" i="1"/>
  <c r="M695" i="1"/>
  <c r="T24" i="3"/>
  <c r="Y27" i="3"/>
  <c r="T21" i="3"/>
  <c r="J24" i="3"/>
  <c r="J27" i="3"/>
  <c r="K27" i="3"/>
  <c r="M479" i="1"/>
  <c r="M1140" i="1"/>
  <c r="M753" i="1"/>
  <c r="M444" i="1"/>
  <c r="M516" i="1"/>
  <c r="M893" i="1"/>
  <c r="M485" i="1"/>
  <c r="M482" i="1"/>
  <c r="U24" i="3"/>
  <c r="M480" i="1"/>
  <c r="M489" i="1"/>
  <c r="M473" i="1"/>
  <c r="M474" i="1"/>
  <c r="K24" i="3"/>
  <c r="M910" i="1"/>
  <c r="M749" i="1"/>
  <c r="M476" i="1"/>
  <c r="M481" i="1"/>
  <c r="O24" i="3"/>
  <c r="P27" i="3"/>
  <c r="K21" i="3"/>
  <c r="M483" i="1"/>
  <c r="O21" i="3"/>
  <c r="M905" i="1"/>
  <c r="M755" i="1"/>
  <c r="M86" i="1"/>
  <c r="M530" i="1"/>
  <c r="P24" i="3"/>
  <c r="T27" i="3"/>
  <c r="J21" i="3"/>
  <c r="M952" i="1"/>
  <c r="Z21" i="3"/>
  <c r="Y24" i="3"/>
  <c r="Y21" i="3"/>
  <c r="M166" i="1"/>
  <c r="M181" i="1"/>
  <c r="M888" i="1"/>
  <c r="M1165" i="1"/>
  <c r="M944" i="1"/>
  <c r="M1017" i="1"/>
  <c r="M949" i="1"/>
  <c r="M948" i="1"/>
  <c r="M986" i="1"/>
  <c r="M985" i="1"/>
  <c r="M1006" i="1"/>
  <c r="M935" i="1"/>
  <c r="M891" i="1"/>
  <c r="M1116" i="1"/>
  <c r="M1064" i="1"/>
  <c r="M1105" i="1"/>
  <c r="M1048" i="1"/>
  <c r="M926" i="1"/>
  <c r="M1063" i="1"/>
  <c r="M934" i="1"/>
  <c r="M82" i="1"/>
  <c r="M984" i="1"/>
  <c r="M883" i="1"/>
  <c r="M1025" i="1"/>
  <c r="M1019" i="1"/>
  <c r="M947" i="1"/>
  <c r="M946" i="1"/>
  <c r="M1138" i="1"/>
  <c r="M1003" i="1"/>
  <c r="M1065" i="1"/>
  <c r="M1078" i="1"/>
  <c r="M1062" i="1"/>
  <c r="M1117" i="1"/>
  <c r="M1180" i="1"/>
  <c r="M927" i="1"/>
  <c r="M794" i="1"/>
  <c r="M928" i="1"/>
  <c r="M1075" i="1"/>
  <c r="M1178" i="1"/>
  <c r="M885" i="1"/>
  <c r="M884" i="1"/>
  <c r="M1018" i="1"/>
  <c r="M989" i="1"/>
  <c r="M1139" i="1"/>
  <c r="M1135" i="1"/>
  <c r="M725" i="1"/>
  <c r="M1079" i="1"/>
  <c r="M1054" i="1"/>
  <c r="M1076" i="1"/>
  <c r="M889" i="1"/>
  <c r="M1020" i="1"/>
  <c r="M861" i="1"/>
  <c r="M887" i="1"/>
  <c r="M791" i="1"/>
  <c r="M945" i="1"/>
  <c r="M1047" i="1"/>
  <c r="M1177" i="1"/>
  <c r="M936" i="1"/>
  <c r="M1179" i="1"/>
  <c r="M1125" i="1"/>
  <c r="M1002" i="1"/>
  <c r="M1027" i="1"/>
  <c r="M961" i="1"/>
  <c r="M1074" i="1"/>
  <c r="M751" i="1"/>
  <c r="M1106" i="1"/>
  <c r="M1082" i="1"/>
  <c r="M1001" i="1"/>
  <c r="M1026" i="1"/>
  <c r="M908" i="1"/>
  <c r="M1046" i="1"/>
  <c r="M1049" i="1"/>
  <c r="M1055" i="1"/>
  <c r="M950" i="1"/>
  <c r="M1107" i="1"/>
  <c r="M951" i="1"/>
  <c r="M1176" i="1"/>
  <c r="M929" i="1"/>
  <c r="M1166" i="1"/>
  <c r="M907" i="1"/>
  <c r="M962" i="1"/>
  <c r="M1030" i="1"/>
  <c r="M1080" i="1"/>
  <c r="M1044" i="1"/>
  <c r="M1077" i="1"/>
  <c r="M1066" i="1"/>
  <c r="M886" i="1"/>
  <c r="M1004" i="1"/>
  <c r="M988" i="1"/>
  <c r="M1000" i="1"/>
  <c r="M999" i="1"/>
  <c r="M960" i="1"/>
  <c r="M790" i="1"/>
  <c r="M860" i="1"/>
  <c r="M890" i="1"/>
  <c r="M906" i="1"/>
  <c r="M1016" i="1"/>
  <c r="M987" i="1"/>
  <c r="M1136" i="1"/>
  <c r="M1124" i="1"/>
  <c r="M1137" i="1"/>
  <c r="M990" i="1"/>
  <c r="M1104" i="1"/>
  <c r="M1115" i="1"/>
  <c r="M1045" i="1"/>
  <c r="M1081" i="1"/>
  <c r="M113" i="1"/>
  <c r="M163" i="1"/>
  <c r="M179" i="1"/>
  <c r="M195" i="1"/>
  <c r="M207" i="1"/>
  <c r="M215" i="1"/>
  <c r="M126" i="1"/>
  <c r="M165" i="1"/>
  <c r="M139" i="1"/>
  <c r="M148" i="1"/>
  <c r="M169" i="1"/>
  <c r="M185" i="1"/>
  <c r="M201" i="1"/>
  <c r="M210" i="1"/>
  <c r="M219" i="1"/>
  <c r="M213" i="1"/>
  <c r="M209" i="1"/>
  <c r="M151" i="1"/>
  <c r="M171" i="1"/>
  <c r="M187" i="1"/>
  <c r="M202" i="1"/>
  <c r="M211" i="1"/>
  <c r="M220" i="1"/>
  <c r="M205" i="1"/>
  <c r="M198" i="1"/>
  <c r="M155" i="1"/>
  <c r="M173" i="1"/>
  <c r="M189" i="1"/>
  <c r="M203" i="1"/>
  <c r="M212" i="1"/>
  <c r="M174" i="1"/>
  <c r="M190" i="1"/>
  <c r="M216" i="1"/>
  <c r="M156" i="1"/>
  <c r="M208" i="1"/>
  <c r="M161" i="1"/>
  <c r="M177" i="1"/>
  <c r="M193" i="1"/>
  <c r="M206" i="1"/>
  <c r="M214" i="1"/>
  <c r="M197" i="1"/>
  <c r="M182" i="1"/>
  <c r="M217" i="1"/>
  <c r="M70" i="1"/>
  <c r="M130" i="1"/>
  <c r="M150" i="1"/>
  <c r="M162" i="1"/>
  <c r="M170" i="1"/>
  <c r="M178" i="1"/>
  <c r="M186" i="1"/>
  <c r="M194" i="1"/>
  <c r="M92" i="1"/>
  <c r="M132" i="1"/>
  <c r="M105" i="1"/>
  <c r="M136" i="1"/>
  <c r="M154" i="1"/>
  <c r="M164" i="1"/>
  <c r="M172" i="1"/>
  <c r="M180" i="1"/>
  <c r="M188" i="1"/>
  <c r="M196" i="1"/>
  <c r="M204" i="1"/>
  <c r="M107" i="1"/>
  <c r="M137" i="1"/>
  <c r="M115" i="1"/>
  <c r="M141" i="1"/>
  <c r="M158" i="1"/>
  <c r="M167" i="1"/>
  <c r="M175" i="1"/>
  <c r="M183" i="1"/>
  <c r="M191" i="1"/>
  <c r="M199" i="1"/>
  <c r="M125" i="1"/>
  <c r="M147" i="1"/>
  <c r="M159" i="1"/>
  <c r="M168" i="1"/>
  <c r="M176" i="1"/>
  <c r="M184" i="1"/>
  <c r="M192" i="1"/>
  <c r="M200" i="1"/>
  <c r="M38" i="1"/>
  <c r="M73" i="1"/>
  <c r="M99" i="1"/>
  <c r="M122" i="1"/>
  <c r="M134" i="1"/>
  <c r="M145" i="1"/>
  <c r="M153" i="1"/>
  <c r="M40" i="1"/>
  <c r="M78" i="1"/>
  <c r="M100" i="1"/>
  <c r="M124" i="1"/>
  <c r="M135" i="1"/>
  <c r="M146" i="1"/>
  <c r="M46" i="1"/>
  <c r="M80" i="1"/>
  <c r="M59" i="1"/>
  <c r="M83" i="1"/>
  <c r="M63" i="1"/>
  <c r="M89" i="1"/>
  <c r="M108" i="1"/>
  <c r="M127" i="1"/>
  <c r="M138" i="1"/>
  <c r="M149" i="1"/>
  <c r="M157" i="1"/>
  <c r="M64" i="1"/>
  <c r="M91" i="1"/>
  <c r="M72" i="1"/>
  <c r="M97" i="1"/>
  <c r="M116" i="1"/>
  <c r="M133" i="1"/>
  <c r="M142" i="1"/>
  <c r="M152" i="1"/>
  <c r="M160" i="1"/>
  <c r="M237" i="1"/>
  <c r="M869" i="1"/>
  <c r="M870" i="1"/>
  <c r="M32" i="1"/>
  <c r="M56" i="1"/>
  <c r="M69" i="1"/>
  <c r="M77" i="1"/>
  <c r="M88" i="1"/>
  <c r="M96" i="1"/>
  <c r="M104" i="1"/>
  <c r="M112" i="1"/>
  <c r="M121" i="1"/>
  <c r="M129" i="1"/>
  <c r="M7" i="1"/>
  <c r="M15" i="1"/>
  <c r="M39" i="1"/>
  <c r="M62" i="1"/>
  <c r="M71" i="1"/>
  <c r="M79" i="1"/>
  <c r="M90" i="1"/>
  <c r="M98" i="1"/>
  <c r="M106" i="1"/>
  <c r="M114" i="1"/>
  <c r="M123" i="1"/>
  <c r="M131" i="1"/>
  <c r="M22" i="1"/>
  <c r="M23" i="1"/>
  <c r="M24" i="1"/>
  <c r="M47" i="1"/>
  <c r="M66" i="1"/>
  <c r="M74" i="1"/>
  <c r="M84" i="1"/>
  <c r="M93" i="1"/>
  <c r="M101" i="1"/>
  <c r="M109" i="1"/>
  <c r="M118" i="1"/>
  <c r="M30" i="1"/>
  <c r="M48" i="1"/>
  <c r="M67" i="1"/>
  <c r="M75" i="1"/>
  <c r="M85" i="1"/>
  <c r="M94" i="1"/>
  <c r="M102" i="1"/>
  <c r="M110" i="1"/>
  <c r="M119" i="1"/>
  <c r="M31" i="1"/>
  <c r="M54" i="1"/>
  <c r="M68" i="1"/>
  <c r="M76" i="1"/>
  <c r="M87" i="1"/>
  <c r="M95" i="1"/>
  <c r="M103" i="1"/>
  <c r="M111" i="1"/>
  <c r="M120" i="1"/>
  <c r="M128" i="1"/>
  <c r="M930" i="1"/>
  <c r="M909" i="1"/>
  <c r="M1126" i="1"/>
  <c r="M1005" i="1"/>
  <c r="M236" i="1"/>
  <c r="M247" i="1"/>
  <c r="M270" i="1"/>
  <c r="M293" i="1"/>
  <c r="M278" i="1"/>
  <c r="M253" i="1"/>
  <c r="M271" i="1"/>
  <c r="M294" i="1"/>
  <c r="M254" i="1"/>
  <c r="M277" i="1"/>
  <c r="M295" i="1"/>
  <c r="M255" i="1"/>
  <c r="M261" i="1"/>
  <c r="M279" i="1"/>
  <c r="M301" i="1"/>
  <c r="M304" i="1"/>
  <c r="M298" i="1"/>
  <c r="M230" i="1"/>
  <c r="M262" i="1"/>
  <c r="M285" i="1"/>
  <c r="M302" i="1"/>
  <c r="M231" i="1"/>
  <c r="M263" i="1"/>
  <c r="M286" i="1"/>
  <c r="M303" i="1"/>
  <c r="M246" i="1"/>
  <c r="M269" i="1"/>
  <c r="M287" i="1"/>
  <c r="M305" i="1"/>
  <c r="M8" i="1"/>
  <c r="M16" i="1"/>
  <c r="M224" i="1"/>
  <c r="M232" i="1"/>
  <c r="M240" i="1"/>
  <c r="M248" i="1"/>
  <c r="M256" i="1"/>
  <c r="M264" i="1"/>
  <c r="M272" i="1"/>
  <c r="M280" i="1"/>
  <c r="M288" i="1"/>
  <c r="M296" i="1"/>
  <c r="M9" i="1"/>
  <c r="M17" i="1"/>
  <c r="M25" i="1"/>
  <c r="M33" i="1"/>
  <c r="M41" i="1"/>
  <c r="M49" i="1"/>
  <c r="M57" i="1"/>
  <c r="M65" i="1"/>
  <c r="M225" i="1"/>
  <c r="M233" i="1"/>
  <c r="M241" i="1"/>
  <c r="M249" i="1"/>
  <c r="M257" i="1"/>
  <c r="M265" i="1"/>
  <c r="M273" i="1"/>
  <c r="M281" i="1"/>
  <c r="M289" i="1"/>
  <c r="M297" i="1"/>
  <c r="M2" i="1"/>
  <c r="M10" i="1"/>
  <c r="M18" i="1"/>
  <c r="M26" i="1"/>
  <c r="M34" i="1"/>
  <c r="M42" i="1"/>
  <c r="M50" i="1"/>
  <c r="M58" i="1"/>
  <c r="M226" i="1"/>
  <c r="M234" i="1"/>
  <c r="M242" i="1"/>
  <c r="M250" i="1"/>
  <c r="M258" i="1"/>
  <c r="M266" i="1"/>
  <c r="M274" i="1"/>
  <c r="M282" i="1"/>
  <c r="M290" i="1"/>
  <c r="M3" i="1"/>
  <c r="M11" i="1"/>
  <c r="M19" i="1"/>
  <c r="M27" i="1"/>
  <c r="M35" i="1"/>
  <c r="M43" i="1"/>
  <c r="M51" i="1"/>
  <c r="M227" i="1"/>
  <c r="M243" i="1"/>
  <c r="M251" i="1"/>
  <c r="M259" i="1"/>
  <c r="M267" i="1"/>
  <c r="M275" i="1"/>
  <c r="M291" i="1"/>
  <c r="M299" i="1"/>
  <c r="M4" i="1"/>
  <c r="M12" i="1"/>
  <c r="M20" i="1"/>
  <c r="M28" i="1"/>
  <c r="M36" i="1"/>
  <c r="M44" i="1"/>
  <c r="M52" i="1"/>
  <c r="M60" i="1"/>
  <c r="M228" i="1"/>
  <c r="M244" i="1"/>
  <c r="M252" i="1"/>
  <c r="M260" i="1"/>
  <c r="M268" i="1"/>
  <c r="M276" i="1"/>
  <c r="M284" i="1"/>
  <c r="M292" i="1"/>
  <c r="M300" i="1"/>
  <c r="M5" i="1"/>
  <c r="M13" i="1"/>
  <c r="M21" i="1"/>
  <c r="M29" i="1"/>
  <c r="M37" i="1"/>
  <c r="M45" i="1"/>
  <c r="M53" i="1"/>
  <c r="M61" i="1"/>
  <c r="M221" i="1"/>
  <c r="M229" i="1"/>
  <c r="M245" i="1"/>
  <c r="M6" i="1"/>
  <c r="M14" i="1"/>
  <c r="Z11" i="3"/>
  <c r="P11" i="3"/>
  <c r="Z4" i="3"/>
  <c r="T26" i="3"/>
  <c r="Z26" i="3"/>
  <c r="Y11" i="3"/>
  <c r="O13" i="3"/>
  <c r="J13" i="3"/>
  <c r="Y4" i="3"/>
  <c r="O26" i="3"/>
  <c r="K26" i="3"/>
  <c r="J11" i="3"/>
  <c r="T13" i="3"/>
  <c r="T20" i="3"/>
  <c r="J4" i="3"/>
  <c r="K4" i="3"/>
  <c r="U26" i="3"/>
  <c r="U4" i="3"/>
  <c r="O4" i="3"/>
  <c r="Y26" i="3"/>
  <c r="P4" i="3"/>
  <c r="U11" i="3"/>
  <c r="U20" i="3"/>
  <c r="T11" i="3"/>
  <c r="P26" i="3"/>
  <c r="J20" i="3"/>
  <c r="P20" i="3"/>
  <c r="K20" i="3"/>
  <c r="O11" i="3"/>
  <c r="Z13" i="3"/>
  <c r="K11" i="3"/>
  <c r="Y13" i="3"/>
  <c r="U13" i="3"/>
  <c r="T4" i="3"/>
  <c r="Y20" i="3"/>
  <c r="O20" i="3"/>
  <c r="J26" i="3"/>
  <c r="Z20" i="3"/>
  <c r="K13" i="3"/>
  <c r="U16" i="3"/>
  <c r="T16" i="3"/>
  <c r="Y16" i="3"/>
  <c r="J16" i="3"/>
  <c r="P16" i="3"/>
  <c r="Z16" i="3"/>
  <c r="K16" i="3"/>
  <c r="O16" i="3"/>
  <c r="U15" i="3"/>
  <c r="Y15" i="3"/>
  <c r="K15" i="3"/>
  <c r="Z15" i="3"/>
  <c r="O15" i="3"/>
  <c r="J15" i="3"/>
  <c r="T15" i="3"/>
  <c r="P15" i="3"/>
  <c r="Z7" i="3"/>
  <c r="P7" i="3"/>
  <c r="Y7" i="3"/>
  <c r="T7" i="3"/>
  <c r="U7" i="3"/>
  <c r="K7" i="3"/>
  <c r="O7" i="3"/>
  <c r="J7" i="3"/>
  <c r="K6" i="3"/>
  <c r="T6" i="3"/>
  <c r="Z6" i="3"/>
  <c r="Y6" i="3"/>
  <c r="P6" i="3"/>
  <c r="T36" i="6"/>
  <c r="U38" i="6"/>
  <c r="K40" i="6"/>
  <c r="S36" i="6"/>
  <c r="K42" i="6"/>
  <c r="N33" i="6"/>
  <c r="Q41" i="6"/>
  <c r="E41" i="6"/>
  <c r="I37" i="6"/>
  <c r="U41" i="6"/>
  <c r="Q40" i="6"/>
  <c r="C38" i="6"/>
  <c r="R37" i="6"/>
  <c r="G40" i="6"/>
  <c r="N36" i="6"/>
  <c r="R33" i="6"/>
  <c r="O38" i="6"/>
  <c r="U34" i="6"/>
  <c r="E33" i="6"/>
  <c r="L41" i="6"/>
  <c r="F41" i="6"/>
  <c r="H36" i="6"/>
  <c r="J41" i="6"/>
  <c r="G33" i="6"/>
  <c r="J35" i="6"/>
  <c r="N35" i="6"/>
  <c r="M34" i="6"/>
  <c r="N39" i="6"/>
  <c r="D33" i="6"/>
  <c r="O36" i="6"/>
  <c r="L33" i="6"/>
  <c r="U35" i="6"/>
  <c r="Q33" i="6"/>
  <c r="G38" i="6"/>
  <c r="E39" i="6"/>
  <c r="L40" i="6"/>
  <c r="S33" i="6"/>
  <c r="Q35" i="6"/>
  <c r="Q37" i="6"/>
  <c r="M39" i="6"/>
  <c r="C37" i="6"/>
  <c r="T37" i="6"/>
  <c r="F36" i="6"/>
  <c r="J37" i="6"/>
  <c r="O33" i="6"/>
  <c r="J36" i="6"/>
  <c r="T42" i="6"/>
  <c r="F37" i="6"/>
  <c r="L37" i="6"/>
  <c r="U6" i="3"/>
  <c r="P39" i="6"/>
  <c r="E37" i="6"/>
  <c r="T38" i="6"/>
  <c r="H34" i="6"/>
  <c r="C36" i="6"/>
  <c r="U37" i="6"/>
  <c r="H35" i="6"/>
  <c r="P37" i="6"/>
  <c r="D40" i="6"/>
  <c r="M35" i="6"/>
  <c r="H42" i="6"/>
  <c r="K38" i="6"/>
  <c r="O34" i="6"/>
  <c r="G37" i="6"/>
  <c r="O42" i="6"/>
  <c r="N37" i="6"/>
  <c r="E38" i="6"/>
  <c r="C35" i="6"/>
  <c r="N41" i="6"/>
  <c r="P42" i="6"/>
  <c r="D42" i="6"/>
  <c r="E40" i="6"/>
  <c r="D37" i="6"/>
  <c r="C42" i="6"/>
  <c r="I39" i="6"/>
  <c r="M41" i="6"/>
  <c r="O35" i="6"/>
  <c r="F34" i="6"/>
  <c r="Q38" i="6"/>
  <c r="U33" i="6"/>
  <c r="P35" i="6"/>
  <c r="F38" i="6"/>
  <c r="E42" i="6"/>
  <c r="D39" i="6"/>
  <c r="N40" i="6"/>
  <c r="K37" i="6"/>
  <c r="J40" i="6"/>
  <c r="Q34" i="6"/>
  <c r="C34" i="6"/>
  <c r="E34" i="6"/>
  <c r="H38" i="6"/>
  <c r="O41" i="6"/>
  <c r="L36" i="6"/>
  <c r="E36" i="6"/>
  <c r="F33" i="6"/>
  <c r="R39" i="6"/>
  <c r="M42" i="6"/>
  <c r="S42" i="6"/>
  <c r="S34" i="6"/>
  <c r="Q36" i="6"/>
  <c r="C40" i="6"/>
  <c r="J6" i="3"/>
  <c r="P41" i="6"/>
  <c r="D34" i="6"/>
  <c r="I33" i="6"/>
  <c r="M40" i="6"/>
  <c r="T34" i="6"/>
  <c r="N38" i="6"/>
  <c r="T40" i="6"/>
  <c r="H41" i="6"/>
  <c r="U39" i="6"/>
  <c r="I38" i="6"/>
  <c r="H37" i="6"/>
  <c r="K36" i="6"/>
  <c r="F39" i="6"/>
  <c r="G39" i="6"/>
  <c r="Q39" i="6"/>
  <c r="R34" i="6"/>
  <c r="U40" i="6"/>
  <c r="I42" i="6"/>
  <c r="K41" i="6"/>
  <c r="L35" i="6"/>
  <c r="F42" i="6"/>
  <c r="L34" i="6"/>
  <c r="T35" i="6"/>
  <c r="O37" i="6"/>
  <c r="T39" i="6"/>
  <c r="K39" i="6"/>
  <c r="O6" i="3"/>
  <c r="R38" i="6"/>
  <c r="L42" i="6"/>
  <c r="K34" i="6"/>
  <c r="R36" i="6"/>
  <c r="S39" i="6"/>
  <c r="N34" i="6"/>
  <c r="I41" i="6"/>
  <c r="P33" i="6"/>
  <c r="D36" i="6"/>
  <c r="U36" i="6"/>
  <c r="F40" i="6"/>
  <c r="I36" i="6"/>
  <c r="H39" i="6"/>
  <c r="K35" i="6"/>
  <c r="G34" i="6"/>
  <c r="P36" i="6"/>
  <c r="S38" i="6"/>
  <c r="G35" i="6"/>
  <c r="G36" i="6"/>
  <c r="M33" i="6"/>
  <c r="S37" i="6"/>
  <c r="O39" i="6"/>
  <c r="C33" i="6"/>
  <c r="O40" i="6"/>
  <c r="J38" i="6"/>
  <c r="E35" i="6"/>
  <c r="D41" i="6"/>
  <c r="J33" i="6"/>
  <c r="G41" i="6"/>
  <c r="M37" i="6"/>
  <c r="Q42" i="6"/>
  <c r="P40" i="6"/>
  <c r="I34" i="6"/>
  <c r="J42" i="6"/>
  <c r="T33" i="6"/>
  <c r="M38" i="6"/>
  <c r="S41" i="6"/>
  <c r="U42" i="6"/>
  <c r="L39" i="6"/>
  <c r="K33" i="6"/>
  <c r="S40" i="6"/>
  <c r="G42" i="6"/>
  <c r="C41" i="6"/>
  <c r="H33" i="6"/>
  <c r="P34" i="6"/>
  <c r="F35" i="6"/>
  <c r="L38" i="6"/>
  <c r="R41" i="6"/>
  <c r="P38" i="6"/>
  <c r="H40" i="6"/>
  <c r="J34" i="6"/>
  <c r="C39" i="6"/>
  <c r="S35" i="6"/>
  <c r="R35" i="6"/>
  <c r="T41" i="6"/>
  <c r="R42" i="6"/>
  <c r="I35" i="6"/>
  <c r="J39" i="6"/>
  <c r="N42" i="6"/>
  <c r="D35" i="6"/>
  <c r="M36" i="6"/>
  <c r="R40" i="6"/>
  <c r="D38" i="6"/>
  <c r="I40" i="6"/>
  <c r="P17" i="3"/>
  <c r="T17" i="3"/>
  <c r="Z17" i="3"/>
  <c r="K17" i="3"/>
  <c r="U17" i="3"/>
  <c r="O17" i="3"/>
  <c r="Y17" i="3"/>
  <c r="J17" i="3"/>
  <c r="I4" i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Z31" i="3" s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P3" i="3" s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C333" i="1"/>
  <c r="P8" i="3" s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O28" i="3" s="1"/>
  <c r="C306" i="1"/>
  <c r="C283" i="1"/>
  <c r="J8" i="3" l="1"/>
  <c r="P29" i="3"/>
  <c r="U29" i="3"/>
  <c r="O29" i="3"/>
  <c r="P34" i="3"/>
  <c r="O34" i="3"/>
  <c r="O31" i="3"/>
  <c r="P31" i="3"/>
  <c r="P9" i="3"/>
  <c r="O9" i="3"/>
  <c r="P12" i="3"/>
  <c r="O12" i="3"/>
  <c r="P32" i="3"/>
  <c r="O32" i="3"/>
  <c r="M871" i="1"/>
  <c r="M933" i="1"/>
  <c r="M971" i="1"/>
  <c r="M923" i="1"/>
  <c r="M969" i="1"/>
  <c r="M998" i="1"/>
  <c r="M920" i="1"/>
  <c r="M1160" i="1"/>
  <c r="M1158" i="1"/>
  <c r="M973" i="1"/>
  <c r="M943" i="1"/>
  <c r="M968" i="1"/>
  <c r="M922" i="1"/>
  <c r="M1157" i="1"/>
  <c r="M932" i="1"/>
  <c r="M970" i="1"/>
  <c r="M925" i="1"/>
  <c r="M1013" i="1"/>
  <c r="M1162" i="1"/>
  <c r="M919" i="1"/>
  <c r="M917" i="1"/>
  <c r="M972" i="1"/>
  <c r="M942" i="1"/>
  <c r="M924" i="1"/>
  <c r="M1164" i="1"/>
  <c r="M921" i="1"/>
  <c r="M898" i="1"/>
  <c r="M1034" i="1"/>
  <c r="M975" i="1"/>
  <c r="M1156" i="1"/>
  <c r="M974" i="1"/>
  <c r="M953" i="1"/>
  <c r="M1161" i="1"/>
  <c r="M918" i="1"/>
  <c r="M1159" i="1"/>
  <c r="M1163" i="1"/>
  <c r="M353" i="1"/>
  <c r="M940" i="1"/>
  <c r="M937" i="1"/>
  <c r="M911" i="1"/>
  <c r="M1119" i="1"/>
  <c r="M1141" i="1"/>
  <c r="M1028" i="1"/>
  <c r="M931" i="1"/>
  <c r="M1007" i="1"/>
  <c r="N156" i="6"/>
  <c r="M1181" i="1"/>
  <c r="M1024" i="1"/>
  <c r="M958" i="1"/>
  <c r="M902" i="1"/>
  <c r="M980" i="1"/>
  <c r="M959" i="1"/>
  <c r="M983" i="1"/>
  <c r="M900" i="1"/>
  <c r="M1175" i="1"/>
  <c r="M901" i="1"/>
  <c r="M982" i="1"/>
  <c r="M1015" i="1"/>
  <c r="M882" i="1"/>
  <c r="M981" i="1"/>
  <c r="M1174" i="1"/>
  <c r="M1173" i="1"/>
  <c r="M1152" i="1"/>
  <c r="M994" i="1"/>
  <c r="M1153" i="1"/>
  <c r="M1009" i="1"/>
  <c r="M897" i="1"/>
  <c r="M1155" i="1"/>
  <c r="M995" i="1"/>
  <c r="M896" i="1"/>
  <c r="M1122" i="1"/>
  <c r="M1154" i="1"/>
  <c r="M895" i="1"/>
  <c r="M996" i="1"/>
  <c r="M1127" i="1"/>
  <c r="M991" i="1"/>
  <c r="M963" i="1"/>
  <c r="M1143" i="1"/>
  <c r="M938" i="1"/>
  <c r="M915" i="1"/>
  <c r="M912" i="1"/>
  <c r="M965" i="1"/>
  <c r="M1144" i="1"/>
  <c r="M1142" i="1"/>
  <c r="M914" i="1"/>
  <c r="M1031" i="1"/>
  <c r="M1128" i="1"/>
  <c r="M1008" i="1"/>
  <c r="M1032" i="1"/>
  <c r="M964" i="1"/>
  <c r="M913" i="1"/>
  <c r="M1022" i="1"/>
  <c r="M1182" i="1"/>
  <c r="M1121" i="1"/>
  <c r="M1145" i="1"/>
  <c r="M993" i="1"/>
  <c r="M939" i="1"/>
  <c r="M1131" i="1"/>
  <c r="M1129" i="1"/>
  <c r="M1120" i="1"/>
  <c r="M1130" i="1"/>
  <c r="M894" i="1"/>
  <c r="M992" i="1"/>
  <c r="M916" i="1"/>
  <c r="M218" i="1"/>
  <c r="M1133" i="1"/>
  <c r="M1168" i="1"/>
  <c r="M1134" i="1"/>
  <c r="M955" i="1"/>
  <c r="M1014" i="1"/>
  <c r="M976" i="1"/>
  <c r="M1123" i="1"/>
  <c r="M978" i="1"/>
  <c r="M881" i="1"/>
  <c r="M1170" i="1"/>
  <c r="M1169" i="1"/>
  <c r="M979" i="1"/>
  <c r="M977" i="1"/>
  <c r="M1150" i="1"/>
  <c r="M140" i="1"/>
  <c r="M117" i="1"/>
  <c r="M1021" i="1"/>
  <c r="M323" i="1"/>
  <c r="AC156" i="6"/>
  <c r="O157" i="6"/>
  <c r="Q158" i="6"/>
  <c r="K156" i="6"/>
  <c r="D158" i="6"/>
  <c r="T157" i="6"/>
  <c r="N158" i="6"/>
  <c r="H156" i="6"/>
  <c r="AB158" i="6"/>
  <c r="F156" i="6"/>
  <c r="U156" i="6"/>
  <c r="W156" i="6"/>
  <c r="I158" i="6"/>
  <c r="C156" i="6"/>
  <c r="Z156" i="6"/>
  <c r="L157" i="6"/>
  <c r="F158" i="6"/>
  <c r="AC158" i="6"/>
  <c r="Y157" i="6"/>
  <c r="AA158" i="6"/>
  <c r="M156" i="6"/>
  <c r="AD157" i="6"/>
  <c r="X158" i="6"/>
  <c r="R156" i="6"/>
  <c r="O156" i="6"/>
  <c r="AA157" i="6"/>
  <c r="U158" i="6"/>
  <c r="Q157" i="6"/>
  <c r="S158" i="6"/>
  <c r="M315" i="1"/>
  <c r="C157" i="6"/>
  <c r="J157" i="6"/>
  <c r="E156" i="6"/>
  <c r="AB156" i="6"/>
  <c r="V157" i="6"/>
  <c r="P158" i="6"/>
  <c r="J156" i="6"/>
  <c r="Y156" i="6"/>
  <c r="S157" i="6"/>
  <c r="M158" i="6"/>
  <c r="G157" i="6"/>
  <c r="K158" i="6"/>
  <c r="M306" i="1"/>
  <c r="M307" i="1"/>
  <c r="D157" i="6"/>
  <c r="Z158" i="6"/>
  <c r="T156" i="6"/>
  <c r="N157" i="6"/>
  <c r="H158" i="6"/>
  <c r="W158" i="6"/>
  <c r="Q156" i="6"/>
  <c r="K157" i="6"/>
  <c r="E158" i="6"/>
  <c r="T158" i="6"/>
  <c r="C158" i="6"/>
  <c r="M314" i="1"/>
  <c r="M334" i="1"/>
  <c r="E157" i="6"/>
  <c r="M1183" i="1"/>
  <c r="R158" i="6"/>
  <c r="L156" i="6"/>
  <c r="L158" i="6"/>
  <c r="AC157" i="6"/>
  <c r="O158" i="6"/>
  <c r="I156" i="6"/>
  <c r="Z157" i="6"/>
  <c r="AD156" i="6"/>
  <c r="X157" i="6"/>
  <c r="M336" i="1"/>
  <c r="M354" i="1"/>
  <c r="F157" i="6"/>
  <c r="J158" i="6"/>
  <c r="D156" i="6"/>
  <c r="AA156" i="6"/>
  <c r="U157" i="6"/>
  <c r="G158" i="6"/>
  <c r="AD158" i="6"/>
  <c r="X156" i="6"/>
  <c r="R157" i="6"/>
  <c r="V156" i="6"/>
  <c r="P157" i="6"/>
  <c r="M331" i="1"/>
  <c r="H157" i="6"/>
  <c r="G156" i="6"/>
  <c r="W157" i="6"/>
  <c r="Y158" i="6"/>
  <c r="S156" i="6"/>
  <c r="M157" i="6"/>
  <c r="AB157" i="6"/>
  <c r="V158" i="6"/>
  <c r="P156" i="6"/>
  <c r="I157" i="6"/>
  <c r="M322" i="1"/>
  <c r="M311" i="1"/>
  <c r="M845" i="1"/>
  <c r="M1041" i="1"/>
  <c r="M1043" i="1"/>
  <c r="M811" i="1"/>
  <c r="M812" i="1"/>
  <c r="M803" i="1"/>
  <c r="M843" i="1"/>
  <c r="M1096" i="1"/>
  <c r="M1040" i="1"/>
  <c r="M1099" i="1"/>
  <c r="M844" i="1"/>
  <c r="M1095" i="1"/>
  <c r="M1097" i="1"/>
  <c r="M810" i="1"/>
  <c r="M809" i="1"/>
  <c r="M1098" i="1"/>
  <c r="M1042" i="1"/>
  <c r="M1100" i="1"/>
  <c r="M856" i="1"/>
  <c r="M1101" i="1"/>
  <c r="M715" i="1"/>
  <c r="M780" i="1"/>
  <c r="M739" i="1"/>
  <c r="M742" i="1"/>
  <c r="M713" i="1"/>
  <c r="M782" i="1"/>
  <c r="M743" i="1"/>
  <c r="M797" i="1"/>
  <c r="M712" i="1"/>
  <c r="M741" i="1"/>
  <c r="M744" i="1"/>
  <c r="M781" i="1"/>
  <c r="M740" i="1"/>
  <c r="M714" i="1"/>
  <c r="M716" i="1"/>
  <c r="M600" i="1"/>
  <c r="M604" i="1"/>
  <c r="M599" i="1"/>
  <c r="M543" i="1"/>
  <c r="M569" i="1"/>
  <c r="M568" i="1"/>
  <c r="M605" i="1"/>
  <c r="M598" i="1"/>
  <c r="M603" i="1"/>
  <c r="M601" i="1"/>
  <c r="M668" i="1"/>
  <c r="M570" i="1"/>
  <c r="M575" i="1"/>
  <c r="M642" i="1"/>
  <c r="M602" i="1"/>
  <c r="M506" i="1"/>
  <c r="M527" i="1"/>
  <c r="M509" i="1"/>
  <c r="M507" i="1"/>
  <c r="M525" i="1"/>
  <c r="M505" i="1"/>
  <c r="M488" i="1"/>
  <c r="M508" i="1"/>
  <c r="M526" i="1"/>
  <c r="M460" i="1"/>
  <c r="M461" i="1"/>
  <c r="M395" i="1"/>
  <c r="M393" i="1"/>
  <c r="M396" i="1"/>
  <c r="M398" i="1"/>
  <c r="M401" i="1"/>
  <c r="M390" i="1"/>
  <c r="M397" i="1"/>
  <c r="M400" i="1"/>
  <c r="M423" i="1"/>
  <c r="M428" i="1"/>
  <c r="M392" i="1"/>
  <c r="M399" i="1"/>
  <c r="M394" i="1"/>
  <c r="M391" i="1"/>
  <c r="M329" i="1"/>
  <c r="M321" i="1"/>
  <c r="M313" i="1"/>
  <c r="M808" i="1"/>
  <c r="M1090" i="1"/>
  <c r="M841" i="1"/>
  <c r="M1093" i="1"/>
  <c r="M1037" i="1"/>
  <c r="M1092" i="1"/>
  <c r="M805" i="1"/>
  <c r="M840" i="1"/>
  <c r="M807" i="1"/>
  <c r="M823" i="1"/>
  <c r="M1035" i="1"/>
  <c r="M822" i="1"/>
  <c r="M1053" i="1"/>
  <c r="M806" i="1"/>
  <c r="M1036" i="1"/>
  <c r="M1088" i="1"/>
  <c r="M1039" i="1"/>
  <c r="M1091" i="1"/>
  <c r="M1038" i="1"/>
  <c r="M842" i="1"/>
  <c r="M1087" i="1"/>
  <c r="M804" i="1"/>
  <c r="M859" i="1"/>
  <c r="M824" i="1"/>
  <c r="M880" i="1"/>
  <c r="M1089" i="1"/>
  <c r="M1094" i="1"/>
  <c r="M706" i="1"/>
  <c r="M770" i="1"/>
  <c r="M705" i="1"/>
  <c r="M776" i="1"/>
  <c r="M702" i="1"/>
  <c r="M708" i="1"/>
  <c r="M765" i="1"/>
  <c r="M771" i="1"/>
  <c r="M762" i="1"/>
  <c r="M768" i="1"/>
  <c r="M707" i="1"/>
  <c r="M772" i="1"/>
  <c r="M763" i="1"/>
  <c r="M760" i="1"/>
  <c r="M764" i="1"/>
  <c r="M777" i="1"/>
  <c r="M703" i="1"/>
  <c r="M769" i="1"/>
  <c r="M774" i="1"/>
  <c r="M761" i="1"/>
  <c r="M709" i="1"/>
  <c r="M766" i="1"/>
  <c r="M704" i="1"/>
  <c r="M793" i="1"/>
  <c r="M775" i="1"/>
  <c r="M701" i="1"/>
  <c r="M710" i="1"/>
  <c r="M767" i="1"/>
  <c r="M773" i="1"/>
  <c r="M594" i="1"/>
  <c r="M592" i="1"/>
  <c r="M596" i="1"/>
  <c r="M591" i="1"/>
  <c r="M563" i="1"/>
  <c r="M561" i="1"/>
  <c r="M560" i="1"/>
  <c r="M597" i="1"/>
  <c r="M565" i="1"/>
  <c r="M555" i="1"/>
  <c r="M590" i="1"/>
  <c r="M566" i="1"/>
  <c r="M557" i="1"/>
  <c r="M542" i="1"/>
  <c r="M595" i="1"/>
  <c r="M593" i="1"/>
  <c r="M567" i="1"/>
  <c r="M558" i="1"/>
  <c r="M559" i="1"/>
  <c r="M564" i="1"/>
  <c r="M562" i="1"/>
  <c r="M556" i="1"/>
  <c r="M554" i="1"/>
  <c r="M501" i="1"/>
  <c r="M503" i="1"/>
  <c r="M524" i="1"/>
  <c r="M523" i="1"/>
  <c r="M495" i="1"/>
  <c r="M499" i="1"/>
  <c r="M521" i="1"/>
  <c r="M368" i="1"/>
  <c r="M502" i="1"/>
  <c r="M496" i="1"/>
  <c r="M500" i="1"/>
  <c r="M522" i="1"/>
  <c r="M498" i="1"/>
  <c r="M497" i="1"/>
  <c r="M455" i="1"/>
  <c r="M451" i="1"/>
  <c r="M452" i="1"/>
  <c r="M450" i="1"/>
  <c r="M456" i="1"/>
  <c r="M454" i="1"/>
  <c r="M457" i="1"/>
  <c r="M453" i="1"/>
  <c r="M414" i="1"/>
  <c r="M383" i="1"/>
  <c r="M379" i="1"/>
  <c r="M380" i="1"/>
  <c r="M385" i="1"/>
  <c r="M382" i="1"/>
  <c r="M381" i="1"/>
  <c r="M384" i="1"/>
  <c r="M362" i="1"/>
  <c r="M363" i="1"/>
  <c r="M471" i="1"/>
  <c r="M310" i="1"/>
  <c r="M1086" i="1"/>
  <c r="M1073" i="1"/>
  <c r="M1111" i="1"/>
  <c r="M879" i="1"/>
  <c r="M867" i="1"/>
  <c r="M1071" i="1"/>
  <c r="M1114" i="1"/>
  <c r="M1113" i="1"/>
  <c r="M1072" i="1"/>
  <c r="M1112" i="1"/>
  <c r="M731" i="1"/>
  <c r="M752" i="1"/>
  <c r="M745" i="1"/>
  <c r="M679" i="1"/>
  <c r="M681" i="1"/>
  <c r="M678" i="1"/>
  <c r="M683" i="1"/>
  <c r="M675" i="1"/>
  <c r="M686" i="1"/>
  <c r="M680" i="1"/>
  <c r="M677" i="1"/>
  <c r="M676" i="1"/>
  <c r="M682" i="1"/>
  <c r="M443" i="1"/>
  <c r="M449" i="1"/>
  <c r="M413" i="1"/>
  <c r="M378" i="1"/>
  <c r="M377" i="1"/>
  <c r="M333" i="1"/>
  <c r="M862" i="1"/>
  <c r="M1051" i="1"/>
  <c r="M833" i="1"/>
  <c r="M1084" i="1"/>
  <c r="M816" i="1"/>
  <c r="M1108" i="1"/>
  <c r="M832" i="1"/>
  <c r="M852" i="1"/>
  <c r="M825" i="1"/>
  <c r="M1083" i="1"/>
  <c r="M829" i="1"/>
  <c r="M1061" i="1"/>
  <c r="M819" i="1"/>
  <c r="M698" i="1"/>
  <c r="M693" i="1"/>
  <c r="M700" i="1"/>
  <c r="M699" i="1"/>
  <c r="M796" i="1"/>
  <c r="M756" i="1"/>
  <c r="M694" i="1"/>
  <c r="M644" i="1"/>
  <c r="M643" i="1"/>
  <c r="M548" i="1"/>
  <c r="M636" i="1"/>
  <c r="M618" i="1"/>
  <c r="M584" i="1"/>
  <c r="M611" i="1"/>
  <c r="M653" i="1"/>
  <c r="M540" i="1"/>
  <c r="M545" i="1"/>
  <c r="M585" i="1"/>
  <c r="M637" i="1"/>
  <c r="M518" i="1"/>
  <c r="M491" i="1"/>
  <c r="M435" i="1"/>
  <c r="M447" i="1"/>
  <c r="M436" i="1"/>
  <c r="M448" i="1"/>
  <c r="M446" i="1"/>
  <c r="M419" i="1"/>
  <c r="M374" i="1"/>
  <c r="M369" i="1"/>
  <c r="M370" i="1"/>
  <c r="M328" i="1"/>
  <c r="M320" i="1"/>
  <c r="M350" i="1"/>
  <c r="M343" i="1"/>
  <c r="M327" i="1"/>
  <c r="M349" i="1"/>
  <c r="M342" i="1"/>
  <c r="M326" i="1"/>
  <c r="M318" i="1"/>
  <c r="M348" i="1"/>
  <c r="M335" i="1"/>
  <c r="M827" i="1"/>
  <c r="M826" i="1"/>
  <c r="M853" i="1"/>
  <c r="M1109" i="1"/>
  <c r="M835" i="1"/>
  <c r="M800" i="1"/>
  <c r="M836" i="1"/>
  <c r="M834" i="1"/>
  <c r="M863" i="1"/>
  <c r="M733" i="1"/>
  <c r="M757" i="1"/>
  <c r="M758" i="1"/>
  <c r="M586" i="1"/>
  <c r="M666" i="1"/>
  <c r="M656" i="1"/>
  <c r="M654" i="1"/>
  <c r="M646" i="1"/>
  <c r="M645" i="1"/>
  <c r="M665" i="1"/>
  <c r="M612" i="1"/>
  <c r="M657" i="1"/>
  <c r="M655" i="1"/>
  <c r="M519" i="1"/>
  <c r="M431" i="1"/>
  <c r="M375" i="1"/>
  <c r="M421" i="1"/>
  <c r="M411" i="1"/>
  <c r="M376" i="1"/>
  <c r="M420" i="1"/>
  <c r="M412" i="1"/>
  <c r="M432" i="1"/>
  <c r="M371" i="1"/>
  <c r="M309" i="1"/>
  <c r="M1069" i="1"/>
  <c r="M876" i="1"/>
  <c r="M854" i="1"/>
  <c r="M1068" i="1"/>
  <c r="M1052" i="1"/>
  <c r="M838" i="1"/>
  <c r="M864" i="1"/>
  <c r="M759" i="1"/>
  <c r="M738" i="1"/>
  <c r="M730" i="1"/>
  <c r="M735" i="1"/>
  <c r="M792" i="1"/>
  <c r="M737" i="1"/>
  <c r="M727" i="1"/>
  <c r="M734" i="1"/>
  <c r="M729" i="1"/>
  <c r="M736" i="1"/>
  <c r="M728" i="1"/>
  <c r="M672" i="1"/>
  <c r="M541" i="1"/>
  <c r="M440" i="1"/>
  <c r="M361" i="1"/>
  <c r="M332" i="1"/>
  <c r="M1050" i="1"/>
  <c r="M802" i="1"/>
  <c r="M795" i="1"/>
  <c r="M544" i="1"/>
  <c r="M664" i="1"/>
  <c r="M580" i="1"/>
  <c r="M308" i="1"/>
  <c r="M1059" i="1"/>
  <c r="M815" i="1"/>
  <c r="M1067" i="1"/>
  <c r="M1060" i="1"/>
  <c r="M1118" i="1"/>
  <c r="M850" i="1"/>
  <c r="M799" i="1"/>
  <c r="M830" i="1"/>
  <c r="M1058" i="1"/>
  <c r="M818" i="1"/>
  <c r="M801" i="1"/>
  <c r="M851" i="1"/>
  <c r="M831" i="1"/>
  <c r="M746" i="1"/>
  <c r="M691" i="1"/>
  <c r="M697" i="1"/>
  <c r="M690" i="1"/>
  <c r="M732" i="1"/>
  <c r="M696" i="1"/>
  <c r="M687" i="1"/>
  <c r="M692" i="1"/>
  <c r="M578" i="1"/>
  <c r="M577" i="1"/>
  <c r="M635" i="1"/>
  <c r="M547" i="1"/>
  <c r="M579" i="1"/>
  <c r="M663" i="1"/>
  <c r="M652" i="1"/>
  <c r="M634" i="1"/>
  <c r="M490" i="1"/>
  <c r="M517" i="1"/>
  <c r="M486" i="1"/>
  <c r="M445" i="1"/>
  <c r="M477" i="1"/>
  <c r="M429" i="1"/>
  <c r="M410" i="1"/>
  <c r="M430" i="1"/>
  <c r="M359" i="1"/>
  <c r="M360" i="1"/>
  <c r="M338" i="1"/>
  <c r="M341" i="1"/>
  <c r="M325" i="1"/>
  <c r="M317" i="1"/>
  <c r="M339" i="1"/>
  <c r="M356" i="1"/>
  <c r="M319" i="1"/>
  <c r="M283" i="1"/>
  <c r="M813" i="1"/>
  <c r="M847" i="1"/>
  <c r="M848" i="1"/>
  <c r="M858" i="1"/>
  <c r="M846" i="1"/>
  <c r="M814" i="1"/>
  <c r="M1103" i="1"/>
  <c r="M1102" i="1"/>
  <c r="M849" i="1"/>
  <c r="M788" i="1"/>
  <c r="M719" i="1"/>
  <c r="M789" i="1"/>
  <c r="M724" i="1"/>
  <c r="M785" i="1"/>
  <c r="M723" i="1"/>
  <c r="M798" i="1"/>
  <c r="M720" i="1"/>
  <c r="M721" i="1"/>
  <c r="M722" i="1"/>
  <c r="M786" i="1"/>
  <c r="M787" i="1"/>
  <c r="M537" i="1"/>
  <c r="M607" i="1"/>
  <c r="M685" i="1"/>
  <c r="M571" i="1"/>
  <c r="M606" i="1"/>
  <c r="M546" i="1"/>
  <c r="M633" i="1"/>
  <c r="M609" i="1"/>
  <c r="M662" i="1"/>
  <c r="M684" i="1"/>
  <c r="M539" i="1"/>
  <c r="M610" i="1"/>
  <c r="M632" i="1"/>
  <c r="M608" i="1"/>
  <c r="M538" i="1"/>
  <c r="M576" i="1"/>
  <c r="M514" i="1"/>
  <c r="M512" i="1"/>
  <c r="M528" i="1"/>
  <c r="M513" i="1"/>
  <c r="M484" i="1"/>
  <c r="M466" i="1"/>
  <c r="M434" i="1"/>
  <c r="M468" i="1"/>
  <c r="M470" i="1"/>
  <c r="M478" i="1"/>
  <c r="M464" i="1"/>
  <c r="M469" i="1"/>
  <c r="M472" i="1"/>
  <c r="M465" i="1"/>
  <c r="M467" i="1"/>
  <c r="M406" i="1"/>
  <c r="M424" i="1"/>
  <c r="M404" i="1"/>
  <c r="M409" i="1"/>
  <c r="M405" i="1"/>
  <c r="M408" i="1"/>
  <c r="M418" i="1"/>
  <c r="M403" i="1"/>
  <c r="M407" i="1"/>
  <c r="M402" i="1"/>
  <c r="M417" i="1"/>
  <c r="M416" i="1"/>
  <c r="M425" i="1"/>
  <c r="M367" i="1"/>
  <c r="M366" i="1"/>
  <c r="M365" i="1"/>
  <c r="M364" i="1"/>
  <c r="M337" i="1"/>
  <c r="M312" i="1"/>
  <c r="M324" i="1"/>
  <c r="M316" i="1"/>
  <c r="M347" i="1"/>
  <c r="M866" i="1"/>
  <c r="M1085" i="1"/>
  <c r="M865" i="1"/>
  <c r="M1110" i="1"/>
  <c r="M878" i="1"/>
  <c r="M1070" i="1"/>
  <c r="M839" i="1"/>
  <c r="M855" i="1"/>
  <c r="M613" i="1"/>
  <c r="M549" i="1"/>
  <c r="M674" i="1"/>
  <c r="M487" i="1"/>
  <c r="M442" i="1"/>
  <c r="M355" i="1"/>
  <c r="M346" i="1"/>
  <c r="M358" i="1"/>
  <c r="M340" i="1"/>
  <c r="M868" i="1"/>
  <c r="M667" i="1"/>
  <c r="M427" i="1"/>
  <c r="M345" i="1"/>
  <c r="M357" i="1"/>
  <c r="M330" i="1"/>
  <c r="M351" i="1"/>
  <c r="M344" i="1"/>
  <c r="M352" i="1"/>
  <c r="P2" i="3"/>
  <c r="O2" i="3"/>
  <c r="U8" i="3"/>
  <c r="AB155" i="6"/>
  <c r="V140" i="6"/>
  <c r="X127" i="6"/>
  <c r="W145" i="6"/>
  <c r="AD153" i="6"/>
  <c r="U9" i="3"/>
  <c r="T9" i="3"/>
  <c r="Y151" i="6"/>
  <c r="Z131" i="6"/>
  <c r="AB145" i="6"/>
  <c r="AC125" i="6"/>
  <c r="AD129" i="6"/>
  <c r="W140" i="6"/>
  <c r="Y146" i="6"/>
  <c r="Z126" i="6"/>
  <c r="AA130" i="6"/>
  <c r="AC136" i="6"/>
  <c r="V147" i="6"/>
  <c r="W127" i="6"/>
  <c r="Y141" i="6"/>
  <c r="Z145" i="6"/>
  <c r="AB151" i="6"/>
  <c r="AC139" i="6"/>
  <c r="V150" i="6"/>
  <c r="W154" i="6"/>
  <c r="X126" i="6"/>
  <c r="X136" i="6"/>
  <c r="Z150" i="6"/>
  <c r="AA154" i="6"/>
  <c r="AB126" i="6"/>
  <c r="AD132" i="6"/>
  <c r="W151" i="6"/>
  <c r="X139" i="6"/>
  <c r="Y135" i="6"/>
  <c r="AA141" i="6"/>
  <c r="AB129" i="6"/>
  <c r="AD143" i="6"/>
  <c r="V144" i="6"/>
  <c r="X150" i="6"/>
  <c r="W126" i="6"/>
  <c r="Y148" i="6"/>
  <c r="AD139" i="6"/>
  <c r="W128" i="6"/>
  <c r="Y150" i="6"/>
  <c r="Z138" i="6"/>
  <c r="AB136" i="6"/>
  <c r="AD150" i="6"/>
  <c r="V135" i="6"/>
  <c r="W139" i="6"/>
  <c r="Y145" i="6"/>
  <c r="Z125" i="6"/>
  <c r="AB147" i="6"/>
  <c r="AC143" i="6"/>
  <c r="AC153" i="6"/>
  <c r="AD133" i="6"/>
  <c r="W152" i="6"/>
  <c r="AD136" i="6"/>
  <c r="W142" i="6"/>
  <c r="X141" i="6"/>
  <c r="AB140" i="6"/>
  <c r="AD154" i="6"/>
  <c r="V131" i="6"/>
  <c r="X145" i="6"/>
  <c r="Y125" i="6"/>
  <c r="Z129" i="6"/>
  <c r="AB135" i="6"/>
  <c r="AD149" i="6"/>
  <c r="V134" i="6"/>
  <c r="W138" i="6"/>
  <c r="Y144" i="6"/>
  <c r="AA142" i="6"/>
  <c r="AB138" i="6"/>
  <c r="AC126" i="6"/>
  <c r="V145" i="6"/>
  <c r="X151" i="6"/>
  <c r="Y139" i="6"/>
  <c r="AA153" i="6"/>
  <c r="AB149" i="6"/>
  <c r="AC129" i="6"/>
  <c r="AC147" i="6"/>
  <c r="AD127" i="6"/>
  <c r="V128" i="6"/>
  <c r="X134" i="6"/>
  <c r="Z140" i="6"/>
  <c r="AA128" i="6"/>
  <c r="AC150" i="6"/>
  <c r="AD138" i="6"/>
  <c r="W141" i="6"/>
  <c r="X129" i="6"/>
  <c r="Z143" i="6"/>
  <c r="AA147" i="6"/>
  <c r="AA149" i="6"/>
  <c r="AB137" i="6"/>
  <c r="AD151" i="6"/>
  <c r="AB125" i="6"/>
  <c r="AA140" i="6"/>
  <c r="AA135" i="6"/>
  <c r="Z144" i="6"/>
  <c r="AB150" i="6"/>
  <c r="AC130" i="6"/>
  <c r="V141" i="6"/>
  <c r="W129" i="6"/>
  <c r="X125" i="6"/>
  <c r="Z139" i="6"/>
  <c r="AB153" i="6"/>
  <c r="AC133" i="6"/>
  <c r="AD137" i="6"/>
  <c r="W148" i="6"/>
  <c r="Y154" i="6"/>
  <c r="Z134" i="6"/>
  <c r="AA138" i="6"/>
  <c r="AC144" i="6"/>
  <c r="V155" i="6"/>
  <c r="W135" i="6"/>
  <c r="Y149" i="6"/>
  <c r="Z153" i="6"/>
  <c r="AA125" i="6"/>
  <c r="AA143" i="6"/>
  <c r="AB131" i="6"/>
  <c r="AC127" i="6"/>
  <c r="V146" i="6"/>
  <c r="X144" i="6"/>
  <c r="Y132" i="6"/>
  <c r="Z128" i="6"/>
  <c r="AB134" i="6"/>
  <c r="AD140" i="6"/>
  <c r="V125" i="6"/>
  <c r="X147" i="6"/>
  <c r="Y143" i="6"/>
  <c r="Y153" i="6"/>
  <c r="Z133" i="6"/>
  <c r="W155" i="6"/>
  <c r="X138" i="6"/>
  <c r="Z155" i="6"/>
  <c r="Y34" i="3"/>
  <c r="T34" i="3"/>
  <c r="U34" i="3"/>
  <c r="Y31" i="3"/>
  <c r="AA31" i="3" s="1"/>
  <c r="T31" i="3"/>
  <c r="U2" i="3"/>
  <c r="T2" i="3"/>
  <c r="X148" i="6"/>
  <c r="Y128" i="6"/>
  <c r="AA126" i="6"/>
  <c r="AC148" i="6"/>
  <c r="AD144" i="6"/>
  <c r="V129" i="6"/>
  <c r="X135" i="6"/>
  <c r="Z149" i="6"/>
  <c r="AA137" i="6"/>
  <c r="AB133" i="6"/>
  <c r="AD147" i="6"/>
  <c r="W150" i="6"/>
  <c r="X146" i="6"/>
  <c r="Y134" i="6"/>
  <c r="AA148" i="6"/>
  <c r="AC154" i="6"/>
  <c r="AD134" i="6"/>
  <c r="W153" i="6"/>
  <c r="X149" i="6"/>
  <c r="Y129" i="6"/>
  <c r="Y147" i="6"/>
  <c r="Z127" i="6"/>
  <c r="AA131" i="6"/>
  <c r="AC137" i="6"/>
  <c r="V148" i="6"/>
  <c r="W136" i="6"/>
  <c r="X132" i="6"/>
  <c r="Z146" i="6"/>
  <c r="AB144" i="6"/>
  <c r="AC132" i="6"/>
  <c r="V143" i="6"/>
  <c r="W147" i="6"/>
  <c r="W149" i="6"/>
  <c r="X137" i="6"/>
  <c r="Z151" i="6"/>
  <c r="Y126" i="6"/>
  <c r="AC149" i="6"/>
  <c r="Y12" i="3"/>
  <c r="T12" i="3"/>
  <c r="V12" i="3" s="1"/>
  <c r="U12" i="3"/>
  <c r="T3" i="3"/>
  <c r="U3" i="3"/>
  <c r="O3" i="3"/>
  <c r="V152" i="6"/>
  <c r="W132" i="6"/>
  <c r="Y138" i="6"/>
  <c r="AA152" i="6"/>
  <c r="AB148" i="6"/>
  <c r="AC128" i="6"/>
  <c r="V139" i="6"/>
  <c r="X153" i="6"/>
  <c r="Y133" i="6"/>
  <c r="Z137" i="6"/>
  <c r="AB143" i="6"/>
  <c r="AC131" i="6"/>
  <c r="V142" i="6"/>
  <c r="W146" i="6"/>
  <c r="Y152" i="6"/>
  <c r="AA150" i="6"/>
  <c r="AB146" i="6"/>
  <c r="AC134" i="6"/>
  <c r="V153" i="6"/>
  <c r="W125" i="6"/>
  <c r="W143" i="6"/>
  <c r="X131" i="6"/>
  <c r="Y127" i="6"/>
  <c r="AA133" i="6"/>
  <c r="AC155" i="6"/>
  <c r="AD135" i="6"/>
  <c r="V136" i="6"/>
  <c r="X142" i="6"/>
  <c r="Z148" i="6"/>
  <c r="AA136" i="6"/>
  <c r="AB132" i="6"/>
  <c r="AD146" i="6"/>
  <c r="AD148" i="6"/>
  <c r="V133" i="6"/>
  <c r="X155" i="6"/>
  <c r="AA129" i="6"/>
  <c r="AC146" i="6"/>
  <c r="V138" i="6"/>
  <c r="AC151" i="6"/>
  <c r="AD131" i="6"/>
  <c r="W134" i="6"/>
  <c r="X130" i="6"/>
  <c r="Z152" i="6"/>
  <c r="AA132" i="6"/>
  <c r="AC138" i="6"/>
  <c r="V149" i="6"/>
  <c r="W137" i="6"/>
  <c r="X133" i="6"/>
  <c r="Z147" i="6"/>
  <c r="AA127" i="6"/>
  <c r="AC141" i="6"/>
  <c r="AD145" i="6"/>
  <c r="V130" i="6"/>
  <c r="X128" i="6"/>
  <c r="Z142" i="6"/>
  <c r="AA146" i="6"/>
  <c r="AC152" i="6"/>
  <c r="AB128" i="6"/>
  <c r="AD142" i="6"/>
  <c r="V127" i="6"/>
  <c r="W131" i="6"/>
  <c r="Y137" i="6"/>
  <c r="AA151" i="6"/>
  <c r="AB139" i="6"/>
  <c r="AC135" i="6"/>
  <c r="V154" i="6"/>
  <c r="X152" i="6"/>
  <c r="Y140" i="6"/>
  <c r="Z136" i="6"/>
  <c r="AB142" i="6"/>
  <c r="AB152" i="6"/>
  <c r="AC140" i="6"/>
  <c r="V151" i="6"/>
  <c r="Z141" i="6"/>
  <c r="AD126" i="6"/>
  <c r="Y32" i="3"/>
  <c r="T32" i="3"/>
  <c r="U32" i="3"/>
  <c r="Y29" i="3"/>
  <c r="AA29" i="3" s="1"/>
  <c r="T29" i="3"/>
  <c r="AA155" i="6"/>
  <c r="AB127" i="6"/>
  <c r="AD141" i="6"/>
  <c r="V126" i="6"/>
  <c r="W130" i="6"/>
  <c r="Y136" i="6"/>
  <c r="AA134" i="6"/>
  <c r="AB130" i="6"/>
  <c r="AD152" i="6"/>
  <c r="V137" i="6"/>
  <c r="X143" i="6"/>
  <c r="Y131" i="6"/>
  <c r="AA145" i="6"/>
  <c r="AB141" i="6"/>
  <c r="AD155" i="6"/>
  <c r="V132" i="6"/>
  <c r="X154" i="6"/>
  <c r="Y142" i="6"/>
  <c r="Z130" i="6"/>
  <c r="Z132" i="6"/>
  <c r="AB154" i="6"/>
  <c r="AC142" i="6"/>
  <c r="AD130" i="6"/>
  <c r="W133" i="6"/>
  <c r="Y155" i="6"/>
  <c r="Z135" i="6"/>
  <c r="AA139" i="6"/>
  <c r="AC145" i="6"/>
  <c r="AD125" i="6"/>
  <c r="W144" i="6"/>
  <c r="X140" i="6"/>
  <c r="Z154" i="6"/>
  <c r="Y130" i="6"/>
  <c r="AA144" i="6"/>
  <c r="AD128" i="6"/>
  <c r="AE36" i="6"/>
  <c r="AE39" i="6"/>
  <c r="AE40" i="6"/>
  <c r="AE41" i="6"/>
  <c r="AE35" i="6"/>
  <c r="AE38" i="6"/>
  <c r="AE42" i="6"/>
  <c r="AE34" i="6"/>
  <c r="AE37" i="6"/>
  <c r="AE33" i="6"/>
  <c r="T8" i="3"/>
  <c r="Y8" i="3"/>
  <c r="Y2" i="3"/>
  <c r="Z2" i="3"/>
  <c r="J9" i="3"/>
  <c r="Y9" i="3"/>
  <c r="P151" i="6"/>
  <c r="U43" i="6"/>
  <c r="Y3" i="3"/>
  <c r="Z3" i="3"/>
  <c r="O14" i="3"/>
  <c r="P14" i="3"/>
  <c r="K14" i="3"/>
  <c r="Y14" i="3"/>
  <c r="T14" i="3"/>
  <c r="J14" i="3"/>
  <c r="Z14" i="3"/>
  <c r="U14" i="3"/>
  <c r="I123" i="6"/>
  <c r="N107" i="6"/>
  <c r="K50" i="6"/>
  <c r="H135" i="6"/>
  <c r="T71" i="6"/>
  <c r="Q139" i="6"/>
  <c r="R114" i="6"/>
  <c r="J148" i="6"/>
  <c r="L140" i="6"/>
  <c r="D120" i="6"/>
  <c r="F51" i="6"/>
  <c r="R99" i="6"/>
  <c r="I49" i="6"/>
  <c r="R127" i="6"/>
  <c r="H149" i="6"/>
  <c r="J86" i="6"/>
  <c r="Q116" i="6"/>
  <c r="E65" i="6"/>
  <c r="M147" i="6"/>
  <c r="C63" i="6"/>
  <c r="C137" i="6"/>
  <c r="I131" i="6"/>
  <c r="R100" i="6"/>
  <c r="I120" i="6"/>
  <c r="L117" i="6"/>
  <c r="I85" i="6"/>
  <c r="O112" i="6"/>
  <c r="K133" i="6"/>
  <c r="K81" i="6"/>
  <c r="T105" i="6"/>
  <c r="T91" i="6"/>
  <c r="K97" i="6"/>
  <c r="M132" i="6"/>
  <c r="C73" i="6"/>
  <c r="G76" i="6"/>
  <c r="K69" i="6"/>
  <c r="R118" i="6"/>
  <c r="E124" i="6"/>
  <c r="P65" i="6"/>
  <c r="D149" i="6"/>
  <c r="U142" i="6"/>
  <c r="I145" i="6"/>
  <c r="H49" i="6"/>
  <c r="C91" i="6"/>
  <c r="J121" i="6"/>
  <c r="R53" i="6"/>
  <c r="L74" i="6"/>
  <c r="J75" i="6"/>
  <c r="M153" i="6"/>
  <c r="N55" i="6"/>
  <c r="I52" i="6"/>
  <c r="I98" i="6"/>
  <c r="H119" i="6"/>
  <c r="P103" i="6"/>
  <c r="K68" i="6"/>
  <c r="H96" i="6"/>
  <c r="S74" i="6"/>
  <c r="R51" i="6"/>
  <c r="S136" i="6"/>
  <c r="R82" i="6"/>
  <c r="F126" i="6"/>
  <c r="T69" i="6"/>
  <c r="J91" i="6"/>
  <c r="U109" i="6"/>
  <c r="C121" i="6"/>
  <c r="O96" i="6"/>
  <c r="S149" i="6"/>
  <c r="K154" i="6"/>
  <c r="Q130" i="6"/>
  <c r="L53" i="6"/>
  <c r="M114" i="6"/>
  <c r="O43" i="6"/>
  <c r="F112" i="6"/>
  <c r="D68" i="6"/>
  <c r="C99" i="6"/>
  <c r="R101" i="6"/>
  <c r="J68" i="6"/>
  <c r="G132" i="6"/>
  <c r="N115" i="6"/>
  <c r="M81" i="6"/>
  <c r="M44" i="6"/>
  <c r="M110" i="6"/>
  <c r="T92" i="6"/>
  <c r="D97" i="6"/>
  <c r="H127" i="6"/>
  <c r="D111" i="6"/>
  <c r="M43" i="6"/>
  <c r="L148" i="6"/>
  <c r="C78" i="6"/>
  <c r="Q48" i="6"/>
  <c r="P146" i="6"/>
  <c r="G52" i="6"/>
  <c r="I155" i="6"/>
  <c r="U75" i="6"/>
  <c r="C66" i="6"/>
  <c r="P145" i="6"/>
  <c r="M100" i="6"/>
  <c r="J144" i="6"/>
  <c r="G45" i="6"/>
  <c r="G86" i="6"/>
  <c r="U91" i="6"/>
  <c r="T129" i="6"/>
  <c r="Q136" i="6"/>
  <c r="I77" i="6"/>
  <c r="H152" i="6"/>
  <c r="I51" i="6"/>
  <c r="E130" i="6"/>
  <c r="C69" i="6"/>
  <c r="S91" i="6"/>
  <c r="U72" i="6"/>
  <c r="T135" i="6"/>
  <c r="J54" i="6"/>
  <c r="G72" i="6"/>
  <c r="K32" i="3"/>
  <c r="Z32" i="3"/>
  <c r="K8" i="3"/>
  <c r="Z8" i="3"/>
  <c r="M120" i="6"/>
  <c r="S59" i="6"/>
  <c r="K29" i="3"/>
  <c r="J29" i="3"/>
  <c r="J10" i="3"/>
  <c r="Z10" i="3"/>
  <c r="T10" i="3"/>
  <c r="K10" i="3"/>
  <c r="Y10" i="3"/>
  <c r="U10" i="3"/>
  <c r="P10" i="3"/>
  <c r="O10" i="3"/>
  <c r="P48" i="6"/>
  <c r="G79" i="6"/>
  <c r="P63" i="6"/>
  <c r="C54" i="6"/>
  <c r="G153" i="6"/>
  <c r="D98" i="6"/>
  <c r="D82" i="6"/>
  <c r="M121" i="6"/>
  <c r="F130" i="6"/>
  <c r="N123" i="6"/>
  <c r="I127" i="6"/>
  <c r="Q131" i="6"/>
  <c r="I126" i="6"/>
  <c r="M80" i="6"/>
  <c r="L129" i="6"/>
  <c r="K78" i="6"/>
  <c r="C98" i="6"/>
  <c r="P123" i="6"/>
  <c r="R136" i="6"/>
  <c r="E122" i="6"/>
  <c r="Q148" i="6"/>
  <c r="E104" i="6"/>
  <c r="R60" i="6"/>
  <c r="U106" i="6"/>
  <c r="F154" i="6"/>
  <c r="G113" i="6"/>
  <c r="E47" i="6"/>
  <c r="Q127" i="6"/>
  <c r="U95" i="6"/>
  <c r="P86" i="6"/>
  <c r="D88" i="6"/>
  <c r="M57" i="6"/>
  <c r="P108" i="6"/>
  <c r="O121" i="6"/>
  <c r="E68" i="6"/>
  <c r="I53" i="6"/>
  <c r="M71" i="6"/>
  <c r="L80" i="6"/>
  <c r="D143" i="6"/>
  <c r="C108" i="6"/>
  <c r="O64" i="6"/>
  <c r="R83" i="6"/>
  <c r="D103" i="6"/>
  <c r="L113" i="6"/>
  <c r="C113" i="6"/>
  <c r="O99" i="6"/>
  <c r="R74" i="6"/>
  <c r="H100" i="6"/>
  <c r="E43" i="6"/>
  <c r="H104" i="6"/>
  <c r="L107" i="6"/>
  <c r="M66" i="6"/>
  <c r="E149" i="6"/>
  <c r="U45" i="6"/>
  <c r="E129" i="6"/>
  <c r="S144" i="6"/>
  <c r="J61" i="6"/>
  <c r="O49" i="6"/>
  <c r="C89" i="6"/>
  <c r="U79" i="6"/>
  <c r="T60" i="6"/>
  <c r="P83" i="6"/>
  <c r="I119" i="6"/>
  <c r="F150" i="6"/>
  <c r="C90" i="6"/>
  <c r="K46" i="6"/>
  <c r="M88" i="6"/>
  <c r="N105" i="6"/>
  <c r="F122" i="6"/>
  <c r="Q50" i="6"/>
  <c r="F76" i="6"/>
  <c r="K91" i="6"/>
  <c r="U92" i="6"/>
  <c r="H48" i="6"/>
  <c r="L123" i="6"/>
  <c r="H99" i="6"/>
  <c r="C55" i="6"/>
  <c r="U132" i="6"/>
  <c r="R143" i="6"/>
  <c r="I141" i="6"/>
  <c r="H45" i="6"/>
  <c r="P142" i="6"/>
  <c r="K113" i="6"/>
  <c r="I50" i="6"/>
  <c r="S129" i="6"/>
  <c r="I63" i="6"/>
  <c r="R141" i="6"/>
  <c r="K55" i="6"/>
  <c r="M93" i="6"/>
  <c r="S81" i="6"/>
  <c r="U144" i="6"/>
  <c r="H115" i="6"/>
  <c r="D133" i="6"/>
  <c r="D116" i="6"/>
  <c r="U69" i="6"/>
  <c r="K85" i="6"/>
  <c r="N79" i="6"/>
  <c r="G121" i="6"/>
  <c r="L65" i="6"/>
  <c r="P66" i="6"/>
  <c r="P64" i="6"/>
  <c r="U131" i="6"/>
  <c r="T88" i="6"/>
  <c r="R116" i="6"/>
  <c r="C70" i="6"/>
  <c r="E142" i="6"/>
  <c r="E75" i="6"/>
  <c r="K101" i="6"/>
  <c r="H146" i="6"/>
  <c r="K140" i="6"/>
  <c r="G148" i="6"/>
  <c r="J84" i="6"/>
  <c r="C79" i="6"/>
  <c r="C127" i="6"/>
  <c r="J146" i="6"/>
  <c r="S53" i="6"/>
  <c r="N120" i="6"/>
  <c r="O126" i="6"/>
  <c r="Q61" i="6"/>
  <c r="P147" i="6"/>
  <c r="L139" i="6"/>
  <c r="T48" i="6"/>
  <c r="K3" i="3"/>
  <c r="P73" i="6"/>
  <c r="H117" i="6"/>
  <c r="R56" i="6"/>
  <c r="K9" i="3"/>
  <c r="Z9" i="3"/>
  <c r="Z12" i="3"/>
  <c r="K12" i="3"/>
  <c r="J151" i="6"/>
  <c r="F143" i="6"/>
  <c r="T112" i="6"/>
  <c r="J70" i="6"/>
  <c r="D43" i="6"/>
  <c r="G90" i="6"/>
  <c r="Q74" i="6"/>
  <c r="R46" i="6"/>
  <c r="Q49" i="6"/>
  <c r="I78" i="6"/>
  <c r="O53" i="6"/>
  <c r="F155" i="6"/>
  <c r="D148" i="6"/>
  <c r="F50" i="6"/>
  <c r="J145" i="6"/>
  <c r="S100" i="6"/>
  <c r="T124" i="6"/>
  <c r="F48" i="6"/>
  <c r="H53" i="6"/>
  <c r="D108" i="6"/>
  <c r="T65" i="6"/>
  <c r="D110" i="6"/>
  <c r="S151" i="6"/>
  <c r="F136" i="6"/>
  <c r="G92" i="6"/>
  <c r="L46" i="6"/>
  <c r="P131" i="6"/>
  <c r="I151" i="6"/>
  <c r="L75" i="6"/>
  <c r="J114" i="6"/>
  <c r="M91" i="6"/>
  <c r="R121" i="6"/>
  <c r="D151" i="6"/>
  <c r="G102" i="6"/>
  <c r="F89" i="6"/>
  <c r="G129" i="6"/>
  <c r="F132" i="6"/>
  <c r="D58" i="6"/>
  <c r="I109" i="6"/>
  <c r="C86" i="6"/>
  <c r="D70" i="6"/>
  <c r="P153" i="6"/>
  <c r="M130" i="6"/>
  <c r="L95" i="6"/>
  <c r="G109" i="6"/>
  <c r="H142" i="6"/>
  <c r="C74" i="6"/>
  <c r="G137" i="6"/>
  <c r="I102" i="6"/>
  <c r="K64" i="6"/>
  <c r="O131" i="6"/>
  <c r="F80" i="6"/>
  <c r="M64" i="6"/>
  <c r="D65" i="6"/>
  <c r="D127" i="6"/>
  <c r="O100" i="6"/>
  <c r="I152" i="6"/>
  <c r="E90" i="6"/>
  <c r="G139" i="6"/>
  <c r="J95" i="6"/>
  <c r="H79" i="6"/>
  <c r="E45" i="6"/>
  <c r="G91" i="6"/>
  <c r="K60" i="6"/>
  <c r="O82" i="6"/>
  <c r="L155" i="6"/>
  <c r="J52" i="6"/>
  <c r="L153" i="6"/>
  <c r="Q112" i="6"/>
  <c r="N114" i="6"/>
  <c r="M128" i="6"/>
  <c r="J142" i="6"/>
  <c r="F102" i="6"/>
  <c r="H134" i="6"/>
  <c r="G61" i="6"/>
  <c r="D102" i="6"/>
  <c r="Q98" i="6"/>
  <c r="C126" i="6"/>
  <c r="I84" i="6"/>
  <c r="P60" i="6"/>
  <c r="S94" i="6"/>
  <c r="G123" i="6"/>
  <c r="O69" i="6"/>
  <c r="S132" i="6"/>
  <c r="F109" i="6"/>
  <c r="C85" i="6"/>
  <c r="T102" i="6"/>
  <c r="S49" i="6"/>
  <c r="K76" i="6"/>
  <c r="T113" i="6"/>
  <c r="E79" i="6"/>
  <c r="D139" i="6"/>
  <c r="P135" i="6"/>
  <c r="I105" i="6"/>
  <c r="H93" i="6"/>
  <c r="L60" i="6"/>
  <c r="O92" i="6"/>
  <c r="C64" i="6"/>
  <c r="P106" i="6"/>
  <c r="F121" i="6"/>
  <c r="L121" i="6"/>
  <c r="J90" i="6"/>
  <c r="P143" i="6"/>
  <c r="H78" i="6"/>
  <c r="R64" i="6"/>
  <c r="I91" i="6"/>
  <c r="U122" i="6"/>
  <c r="D84" i="6"/>
  <c r="U140" i="6"/>
  <c r="I96" i="6"/>
  <c r="R90" i="6"/>
  <c r="U89" i="6"/>
  <c r="K95" i="6"/>
  <c r="T58" i="6"/>
  <c r="I154" i="6"/>
  <c r="H74" i="6"/>
  <c r="F71" i="6"/>
  <c r="R73" i="6"/>
  <c r="N57" i="6"/>
  <c r="R98" i="6"/>
  <c r="G103" i="6"/>
  <c r="H101" i="6"/>
  <c r="R84" i="6"/>
  <c r="I153" i="6"/>
  <c r="K43" i="6"/>
  <c r="H60" i="6"/>
  <c r="F66" i="6"/>
  <c r="H58" i="6"/>
  <c r="J141" i="6"/>
  <c r="U143" i="6"/>
  <c r="T43" i="6"/>
  <c r="Q52" i="6"/>
  <c r="N80" i="6"/>
  <c r="T66" i="6"/>
  <c r="H145" i="6"/>
  <c r="D124" i="6"/>
  <c r="U74" i="6"/>
  <c r="O108" i="6"/>
  <c r="C149" i="6"/>
  <c r="D87" i="6"/>
  <c r="L99" i="6"/>
  <c r="G130" i="6"/>
  <c r="S62" i="6"/>
  <c r="G46" i="6"/>
  <c r="C94" i="6"/>
  <c r="U150" i="6"/>
  <c r="U82" i="6"/>
  <c r="T147" i="6"/>
  <c r="P57" i="6"/>
  <c r="T120" i="6"/>
  <c r="T122" i="6"/>
  <c r="H125" i="6"/>
  <c r="H137" i="6"/>
  <c r="M82" i="6"/>
  <c r="Q46" i="6"/>
  <c r="E116" i="6"/>
  <c r="Q105" i="6"/>
  <c r="C111" i="6"/>
  <c r="K73" i="6"/>
  <c r="K131" i="6"/>
  <c r="G134" i="6"/>
  <c r="J130" i="6"/>
  <c r="M96" i="6"/>
  <c r="N86" i="6"/>
  <c r="C115" i="6"/>
  <c r="F120" i="6"/>
  <c r="H80" i="6"/>
  <c r="E99" i="6"/>
  <c r="C80" i="6"/>
  <c r="G53" i="6"/>
  <c r="J78" i="6"/>
  <c r="E136" i="6"/>
  <c r="R126" i="6"/>
  <c r="D51" i="6"/>
  <c r="C57" i="6"/>
  <c r="P70" i="6"/>
  <c r="L98" i="6"/>
  <c r="G65" i="6"/>
  <c r="P115" i="6"/>
  <c r="O76" i="6"/>
  <c r="H51" i="6"/>
  <c r="K136" i="6"/>
  <c r="S85" i="6"/>
  <c r="L149" i="6"/>
  <c r="H63" i="6"/>
  <c r="T137" i="6"/>
  <c r="R140" i="6"/>
  <c r="C134" i="6"/>
  <c r="D72" i="6"/>
  <c r="D90" i="6"/>
  <c r="L111" i="6"/>
  <c r="S116" i="6"/>
  <c r="J106" i="6"/>
  <c r="S60" i="6"/>
  <c r="M86" i="6"/>
  <c r="S66" i="6"/>
  <c r="O130" i="6"/>
  <c r="J96" i="6"/>
  <c r="O153" i="6"/>
  <c r="K56" i="6"/>
  <c r="Q83" i="6"/>
  <c r="F60" i="6"/>
  <c r="N135" i="6"/>
  <c r="O119" i="6"/>
  <c r="J63" i="6"/>
  <c r="M69" i="6"/>
  <c r="G77" i="6"/>
  <c r="P92" i="6"/>
  <c r="J108" i="6"/>
  <c r="I64" i="6"/>
  <c r="Q55" i="6"/>
  <c r="H83" i="6"/>
  <c r="F45" i="6"/>
  <c r="F123" i="6"/>
  <c r="Q124" i="6"/>
  <c r="R65" i="6"/>
  <c r="L146" i="6"/>
  <c r="O103" i="6"/>
  <c r="L66" i="6"/>
  <c r="T108" i="6"/>
  <c r="K127" i="6"/>
  <c r="L151" i="6"/>
  <c r="J74" i="6"/>
  <c r="I118" i="6"/>
  <c r="L86" i="6"/>
  <c r="D64" i="6"/>
  <c r="I130" i="6"/>
  <c r="M72" i="6"/>
  <c r="N61" i="6"/>
  <c r="U84" i="6"/>
  <c r="L122" i="6"/>
  <c r="E57" i="6"/>
  <c r="C88" i="6"/>
  <c r="Q114" i="6"/>
  <c r="G118" i="6"/>
  <c r="G107" i="6"/>
  <c r="K114" i="6"/>
  <c r="T145" i="6"/>
  <c r="T121" i="6"/>
  <c r="F92" i="6"/>
  <c r="F58" i="6"/>
  <c r="Q82" i="6"/>
  <c r="I108" i="6"/>
  <c r="T99" i="6"/>
  <c r="R129" i="6"/>
  <c r="O95" i="6"/>
  <c r="K34" i="3"/>
  <c r="Z34" i="3"/>
  <c r="P154" i="6"/>
  <c r="N69" i="6"/>
  <c r="M73" i="6"/>
  <c r="F46" i="6"/>
  <c r="U134" i="6"/>
  <c r="M127" i="6"/>
  <c r="C109" i="6"/>
  <c r="Q132" i="6"/>
  <c r="E88" i="6"/>
  <c r="S77" i="6"/>
  <c r="L138" i="6"/>
  <c r="O144" i="6"/>
  <c r="M95" i="6"/>
  <c r="H76" i="6"/>
  <c r="K142" i="6"/>
  <c r="T44" i="6"/>
  <c r="N87" i="6"/>
  <c r="T81" i="6"/>
  <c r="S107" i="6"/>
  <c r="J125" i="6"/>
  <c r="P113" i="6"/>
  <c r="H129" i="6"/>
  <c r="J69" i="6"/>
  <c r="S131" i="6"/>
  <c r="T90" i="6"/>
  <c r="L145" i="6"/>
  <c r="U155" i="6"/>
  <c r="N102" i="6"/>
  <c r="N130" i="6"/>
  <c r="U133" i="6"/>
  <c r="I86" i="6"/>
  <c r="R131" i="6"/>
  <c r="S123" i="6"/>
  <c r="S61" i="6"/>
  <c r="F81" i="6"/>
  <c r="O59" i="6"/>
  <c r="U85" i="6"/>
  <c r="O124" i="6"/>
  <c r="F93" i="6"/>
  <c r="T78" i="6"/>
  <c r="R85" i="6"/>
  <c r="O149" i="6"/>
  <c r="G146" i="6"/>
  <c r="S134" i="6"/>
  <c r="C133" i="6"/>
  <c r="E73" i="6"/>
  <c r="H88" i="6"/>
  <c r="F144" i="6"/>
  <c r="J97" i="6"/>
  <c r="Q78" i="6"/>
  <c r="S155" i="6"/>
  <c r="F74" i="6"/>
  <c r="P140" i="6"/>
  <c r="N95" i="6"/>
  <c r="H155" i="6"/>
  <c r="P87" i="6"/>
  <c r="F139" i="6"/>
  <c r="K144" i="6"/>
  <c r="O57" i="6"/>
  <c r="C118" i="6"/>
  <c r="R122" i="6"/>
  <c r="U103" i="6"/>
  <c r="D118" i="6"/>
  <c r="C155" i="6"/>
  <c r="E145" i="6"/>
  <c r="H111" i="6"/>
  <c r="R115" i="6"/>
  <c r="E138" i="6"/>
  <c r="C47" i="6"/>
  <c r="U138" i="6"/>
  <c r="P68" i="6"/>
  <c r="Q51" i="6"/>
  <c r="I111" i="6"/>
  <c r="D78" i="6"/>
  <c r="N112" i="6"/>
  <c r="K130" i="6"/>
  <c r="R61" i="6"/>
  <c r="N126" i="6"/>
  <c r="P61" i="6"/>
  <c r="L152" i="6"/>
  <c r="T138" i="6"/>
  <c r="Q118" i="6"/>
  <c r="G74" i="6"/>
  <c r="H124" i="6"/>
  <c r="Q120" i="6"/>
  <c r="J110" i="6"/>
  <c r="L47" i="6"/>
  <c r="F146" i="6"/>
  <c r="K61" i="6"/>
  <c r="D122" i="6"/>
  <c r="E154" i="6"/>
  <c r="P111" i="6"/>
  <c r="Q86" i="6"/>
  <c r="K124" i="6"/>
  <c r="M77" i="6"/>
  <c r="F95" i="6"/>
  <c r="J58" i="6"/>
  <c r="S117" i="6"/>
  <c r="P105" i="6"/>
  <c r="J67" i="6"/>
  <c r="H102" i="6"/>
  <c r="R133" i="6"/>
  <c r="K84" i="6"/>
  <c r="N154" i="6"/>
  <c r="D92" i="6"/>
  <c r="G133" i="6"/>
  <c r="S154" i="6"/>
  <c r="M99" i="6"/>
  <c r="I110" i="6"/>
  <c r="K80" i="6"/>
  <c r="D81" i="6"/>
  <c r="T51" i="6"/>
  <c r="U90" i="6"/>
  <c r="F140" i="6"/>
  <c r="T154" i="6"/>
  <c r="R71" i="6"/>
  <c r="H55" i="6"/>
  <c r="F73" i="6"/>
  <c r="P44" i="6"/>
  <c r="P128" i="6"/>
  <c r="N124" i="6"/>
  <c r="S80" i="6"/>
  <c r="M55" i="6"/>
  <c r="P139" i="6"/>
  <c r="Q128" i="6"/>
  <c r="C102" i="6"/>
  <c r="E106" i="6"/>
  <c r="O142" i="6"/>
  <c r="E78" i="6"/>
  <c r="M123" i="6"/>
  <c r="O87" i="6"/>
  <c r="Q126" i="6"/>
  <c r="L106" i="6"/>
  <c r="M109" i="6"/>
  <c r="P47" i="6"/>
  <c r="F148" i="6"/>
  <c r="K94" i="6"/>
  <c r="C110" i="6"/>
  <c r="E48" i="6"/>
  <c r="U78" i="6"/>
  <c r="K57" i="6"/>
  <c r="G108" i="6"/>
  <c r="N145" i="6"/>
  <c r="P93" i="6"/>
  <c r="S142" i="6"/>
  <c r="S120" i="6"/>
  <c r="G126" i="6"/>
  <c r="M85" i="6"/>
  <c r="P89" i="6"/>
  <c r="N101" i="6"/>
  <c r="N153" i="6"/>
  <c r="C97" i="6"/>
  <c r="O116" i="6"/>
  <c r="J76" i="6"/>
  <c r="O111" i="6"/>
  <c r="D91" i="6"/>
  <c r="J62" i="6"/>
  <c r="K75" i="6"/>
  <c r="R76" i="6"/>
  <c r="S55" i="6"/>
  <c r="U100" i="6"/>
  <c r="E114" i="6"/>
  <c r="M50" i="6"/>
  <c r="M138" i="6"/>
  <c r="I72" i="6"/>
  <c r="C152" i="6"/>
  <c r="K47" i="6"/>
  <c r="U114" i="6"/>
  <c r="D62" i="6"/>
  <c r="D131" i="6"/>
  <c r="O55" i="6"/>
  <c r="K115" i="6"/>
  <c r="L124" i="6"/>
  <c r="E44" i="6"/>
  <c r="I143" i="6"/>
  <c r="L147" i="6"/>
  <c r="T123" i="6"/>
  <c r="N70" i="6"/>
  <c r="S46" i="6"/>
  <c r="J147" i="6"/>
  <c r="I87" i="6"/>
  <c r="I57" i="6"/>
  <c r="R69" i="6"/>
  <c r="R142" i="6"/>
  <c r="D150" i="6"/>
  <c r="H59" i="6"/>
  <c r="L105" i="6"/>
  <c r="O85" i="6"/>
  <c r="P136" i="6"/>
  <c r="G89" i="6"/>
  <c r="J133" i="6"/>
  <c r="Q125" i="6"/>
  <c r="I112" i="6"/>
  <c r="T96" i="6"/>
  <c r="K123" i="6"/>
  <c r="J129" i="6"/>
  <c r="Q106" i="6"/>
  <c r="P62" i="6"/>
  <c r="K151" i="6"/>
  <c r="S68" i="6"/>
  <c r="Q44" i="6"/>
  <c r="J118" i="6"/>
  <c r="T46" i="6"/>
  <c r="C150" i="6"/>
  <c r="H140" i="6"/>
  <c r="Q143" i="6"/>
  <c r="K109" i="6"/>
  <c r="U53" i="6"/>
  <c r="I148" i="6"/>
  <c r="F152" i="6"/>
  <c r="G120" i="6"/>
  <c r="T52" i="6"/>
  <c r="N44" i="6"/>
  <c r="M45" i="6"/>
  <c r="P90" i="6"/>
  <c r="N139" i="6"/>
  <c r="U120" i="6"/>
  <c r="O113" i="6"/>
  <c r="F147" i="6"/>
  <c r="F134" i="6"/>
  <c r="K83" i="6"/>
  <c r="J135" i="6"/>
  <c r="N84" i="6"/>
  <c r="U148" i="6"/>
  <c r="J94" i="6"/>
  <c r="H103" i="6"/>
  <c r="H116" i="6"/>
  <c r="M98" i="6"/>
  <c r="Q77" i="6"/>
  <c r="C128" i="6"/>
  <c r="J82" i="6"/>
  <c r="H69" i="6"/>
  <c r="U49" i="6"/>
  <c r="K49" i="6"/>
  <c r="D44" i="6"/>
  <c r="R109" i="6"/>
  <c r="P149" i="6"/>
  <c r="O132" i="6"/>
  <c r="L78" i="6"/>
  <c r="D101" i="6"/>
  <c r="N146" i="6"/>
  <c r="S84" i="6"/>
  <c r="J88" i="6"/>
  <c r="G111" i="6"/>
  <c r="S89" i="6"/>
  <c r="M145" i="6"/>
  <c r="K92" i="6"/>
  <c r="D104" i="6"/>
  <c r="U135" i="6"/>
  <c r="Q79" i="6"/>
  <c r="G145" i="6"/>
  <c r="R117" i="6"/>
  <c r="Q137" i="6"/>
  <c r="M65" i="6"/>
  <c r="L44" i="6"/>
  <c r="I92" i="6"/>
  <c r="U56" i="6"/>
  <c r="D49" i="6"/>
  <c r="M131" i="6"/>
  <c r="I79" i="6"/>
  <c r="F82" i="6"/>
  <c r="M63" i="6"/>
  <c r="E84" i="6"/>
  <c r="I99" i="6"/>
  <c r="K132" i="6"/>
  <c r="J65" i="6"/>
  <c r="H121" i="6"/>
  <c r="J93" i="6"/>
  <c r="S50" i="6"/>
  <c r="F98" i="6"/>
  <c r="T54" i="6"/>
  <c r="S92" i="6"/>
  <c r="G63" i="6"/>
  <c r="N133" i="6"/>
  <c r="G144" i="6"/>
  <c r="F99" i="6"/>
  <c r="N119" i="6"/>
  <c r="M70" i="6"/>
  <c r="N155" i="6"/>
  <c r="I134" i="6"/>
  <c r="K126" i="6"/>
  <c r="S98" i="6"/>
  <c r="R113" i="6"/>
  <c r="F107" i="6"/>
  <c r="D136" i="6"/>
  <c r="C107" i="6"/>
  <c r="H90" i="6"/>
  <c r="I97" i="6"/>
  <c r="L69" i="6"/>
  <c r="L64" i="6"/>
  <c r="K96" i="6"/>
  <c r="L104" i="6"/>
  <c r="H43" i="6"/>
  <c r="L108" i="6"/>
  <c r="G154" i="6"/>
  <c r="I80" i="6"/>
  <c r="J103" i="6"/>
  <c r="M54" i="6"/>
  <c r="K63" i="6"/>
  <c r="P117" i="6"/>
  <c r="C122" i="6"/>
  <c r="D147" i="6"/>
  <c r="I55" i="6"/>
  <c r="M58" i="6"/>
  <c r="Q75" i="6"/>
  <c r="O79" i="6"/>
  <c r="T126" i="6"/>
  <c r="L137" i="6"/>
  <c r="R88" i="6"/>
  <c r="O56" i="6"/>
  <c r="E81" i="6"/>
  <c r="K145" i="6"/>
  <c r="N68" i="6"/>
  <c r="C117" i="6"/>
  <c r="O68" i="6"/>
  <c r="H130" i="6"/>
  <c r="G82" i="6"/>
  <c r="P101" i="6"/>
  <c r="I88" i="6"/>
  <c r="I100" i="6"/>
  <c r="Q142" i="6"/>
  <c r="F124" i="6"/>
  <c r="L136" i="6"/>
  <c r="J140" i="6"/>
  <c r="G122" i="6"/>
  <c r="U73" i="6"/>
  <c r="S106" i="6"/>
  <c r="S143" i="6"/>
  <c r="G152" i="6"/>
  <c r="C144" i="6"/>
  <c r="E120" i="6"/>
  <c r="R111" i="6"/>
  <c r="N72" i="6"/>
  <c r="M97" i="6"/>
  <c r="S58" i="6"/>
  <c r="Q109" i="6"/>
  <c r="H89" i="6"/>
  <c r="P85" i="6"/>
  <c r="G58" i="6"/>
  <c r="R119" i="6"/>
  <c r="H57" i="6"/>
  <c r="F53" i="6"/>
  <c r="F68" i="6"/>
  <c r="Q152" i="6"/>
  <c r="S45" i="6"/>
  <c r="Q99" i="6"/>
  <c r="D112" i="6"/>
  <c r="C93" i="6"/>
  <c r="M146" i="6"/>
  <c r="O151" i="6"/>
  <c r="K74" i="6"/>
  <c r="I89" i="6"/>
  <c r="F135" i="6"/>
  <c r="M108" i="6"/>
  <c r="H139" i="6"/>
  <c r="L76" i="6"/>
  <c r="G88" i="6"/>
  <c r="F88" i="6"/>
  <c r="N94" i="6"/>
  <c r="F114" i="6"/>
  <c r="S133" i="6"/>
  <c r="H68" i="6"/>
  <c r="C92" i="6"/>
  <c r="J73" i="6"/>
  <c r="O89" i="6"/>
  <c r="U102" i="6"/>
  <c r="Q103" i="6"/>
  <c r="R132" i="6"/>
  <c r="P76" i="6"/>
  <c r="C132" i="6"/>
  <c r="P43" i="6"/>
  <c r="E80" i="6"/>
  <c r="N56" i="6"/>
  <c r="P53" i="6"/>
  <c r="C135" i="6"/>
  <c r="H153" i="6"/>
  <c r="N131" i="6"/>
  <c r="E128" i="6"/>
  <c r="Q93" i="6"/>
  <c r="Q153" i="6"/>
  <c r="M140" i="6"/>
  <c r="N127" i="6"/>
  <c r="R86" i="6"/>
  <c r="E141" i="6"/>
  <c r="T53" i="6"/>
  <c r="E89" i="6"/>
  <c r="U88" i="6"/>
  <c r="N62" i="6"/>
  <c r="D76" i="6"/>
  <c r="H56" i="6"/>
  <c r="H123" i="6"/>
  <c r="L58" i="6"/>
  <c r="G73" i="6"/>
  <c r="F43" i="6"/>
  <c r="S76" i="6"/>
  <c r="I125" i="6"/>
  <c r="O66" i="6"/>
  <c r="T79" i="6"/>
  <c r="E140" i="6"/>
  <c r="C65" i="6"/>
  <c r="I144" i="6"/>
  <c r="R102" i="6"/>
  <c r="D75" i="6"/>
  <c r="J134" i="6"/>
  <c r="S122" i="6"/>
  <c r="G155" i="6"/>
  <c r="G56" i="6"/>
  <c r="S111" i="6"/>
  <c r="E144" i="6"/>
  <c r="L97" i="6"/>
  <c r="G66" i="6"/>
  <c r="T144" i="6"/>
  <c r="C53" i="6"/>
  <c r="J60" i="6"/>
  <c r="J55" i="6"/>
  <c r="G127" i="6"/>
  <c r="D67" i="6"/>
  <c r="F63" i="6"/>
  <c r="C45" i="6"/>
  <c r="G138" i="6"/>
  <c r="O120" i="6"/>
  <c r="O47" i="6"/>
  <c r="D109" i="6"/>
  <c r="L142" i="6"/>
  <c r="I115" i="6"/>
  <c r="Q54" i="6"/>
  <c r="I45" i="6"/>
  <c r="U154" i="6"/>
  <c r="E49" i="6"/>
  <c r="K149" i="6"/>
  <c r="F87" i="6"/>
  <c r="Q60" i="6"/>
  <c r="J45" i="6"/>
  <c r="E61" i="6"/>
  <c r="S79" i="6"/>
  <c r="G54" i="6"/>
  <c r="Q140" i="6"/>
  <c r="S138" i="6"/>
  <c r="M104" i="6"/>
  <c r="N88" i="6"/>
  <c r="I104" i="6"/>
  <c r="L84" i="6"/>
  <c r="T61" i="6"/>
  <c r="O102" i="6"/>
  <c r="M144" i="6"/>
  <c r="N67" i="6"/>
  <c r="U146" i="6"/>
  <c r="M133" i="6"/>
  <c r="Q135" i="6"/>
  <c r="H148" i="6"/>
  <c r="F125" i="6"/>
  <c r="U50" i="6"/>
  <c r="T85" i="6"/>
  <c r="C101" i="6"/>
  <c r="E86" i="6"/>
  <c r="L49" i="6"/>
  <c r="M135" i="6"/>
  <c r="G119" i="6"/>
  <c r="U108" i="6"/>
  <c r="L51" i="6"/>
  <c r="I93" i="6"/>
  <c r="S90" i="6"/>
  <c r="M124" i="6"/>
  <c r="G151" i="6"/>
  <c r="U113" i="6"/>
  <c r="O60" i="6"/>
  <c r="R48" i="6"/>
  <c r="R154" i="6"/>
  <c r="N74" i="6"/>
  <c r="S52" i="6"/>
  <c r="N54" i="6"/>
  <c r="O109" i="6"/>
  <c r="K120" i="6"/>
  <c r="K79" i="6"/>
  <c r="U111" i="6"/>
  <c r="I116" i="6"/>
  <c r="Q141" i="6"/>
  <c r="T47" i="6"/>
  <c r="P133" i="6"/>
  <c r="M60" i="6"/>
  <c r="U125" i="6"/>
  <c r="Q88" i="6"/>
  <c r="O78" i="6"/>
  <c r="H107" i="6"/>
  <c r="S114" i="6"/>
  <c r="G75" i="6"/>
  <c r="F133" i="6"/>
  <c r="G106" i="6"/>
  <c r="T143" i="6"/>
  <c r="G95" i="6"/>
  <c r="H52" i="6"/>
  <c r="J50" i="6"/>
  <c r="O54" i="6"/>
  <c r="S108" i="6"/>
  <c r="K59" i="6"/>
  <c r="H106" i="6"/>
  <c r="R79" i="6"/>
  <c r="J105" i="6"/>
  <c r="E117" i="6"/>
  <c r="N48" i="6"/>
  <c r="S69" i="6"/>
  <c r="D53" i="6"/>
  <c r="D114" i="6"/>
  <c r="U62" i="6"/>
  <c r="F118" i="6"/>
  <c r="E62" i="6"/>
  <c r="I121" i="6"/>
  <c r="J77" i="6"/>
  <c r="P96" i="6"/>
  <c r="U57" i="6"/>
  <c r="I58" i="6"/>
  <c r="D96" i="6"/>
  <c r="C44" i="6"/>
  <c r="T131" i="6"/>
  <c r="H81" i="6"/>
  <c r="Q65" i="6"/>
  <c r="O147" i="6"/>
  <c r="F137" i="6"/>
  <c r="J113" i="6"/>
  <c r="N51" i="6"/>
  <c r="F65" i="6"/>
  <c r="O80" i="6"/>
  <c r="G135" i="6"/>
  <c r="Q67" i="6"/>
  <c r="C131" i="6"/>
  <c r="R152" i="6"/>
  <c r="T84" i="6"/>
  <c r="C143" i="6"/>
  <c r="O61" i="6"/>
  <c r="F75" i="6"/>
  <c r="R75" i="6"/>
  <c r="R58" i="6"/>
  <c r="J120" i="6"/>
  <c r="E66" i="6"/>
  <c r="I147" i="6"/>
  <c r="P79" i="6"/>
  <c r="L45" i="6"/>
  <c r="K146" i="6"/>
  <c r="I113" i="6"/>
  <c r="L126" i="6"/>
  <c r="M106" i="6"/>
  <c r="L54" i="6"/>
  <c r="M92" i="6"/>
  <c r="F145" i="6"/>
  <c r="J72" i="6"/>
  <c r="D48" i="6"/>
  <c r="F131" i="6"/>
  <c r="Q122" i="6"/>
  <c r="S137" i="6"/>
  <c r="S113" i="6"/>
  <c r="E147" i="6"/>
  <c r="R150" i="6"/>
  <c r="C68" i="6"/>
  <c r="N125" i="6"/>
  <c r="U54" i="6"/>
  <c r="U101" i="6"/>
  <c r="R107" i="6"/>
  <c r="M76" i="6"/>
  <c r="P51" i="6"/>
  <c r="I132" i="6"/>
  <c r="C153" i="6"/>
  <c r="F55" i="6"/>
  <c r="K110" i="6"/>
  <c r="R135" i="6"/>
  <c r="M48" i="6"/>
  <c r="I56" i="6"/>
  <c r="C84" i="6"/>
  <c r="S54" i="6"/>
  <c r="E94" i="6"/>
  <c r="D46" i="6"/>
  <c r="K77" i="6"/>
  <c r="U96" i="6"/>
  <c r="I149" i="6"/>
  <c r="E50" i="6"/>
  <c r="N45" i="6"/>
  <c r="P94" i="6"/>
  <c r="Q110" i="6"/>
  <c r="S125" i="6"/>
  <c r="T82" i="6"/>
  <c r="R49" i="6"/>
  <c r="L135" i="6"/>
  <c r="P88" i="6"/>
  <c r="P118" i="6"/>
  <c r="S95" i="6"/>
  <c r="Q113" i="6"/>
  <c r="R134" i="6"/>
  <c r="O107" i="6"/>
  <c r="H77" i="6"/>
  <c r="T130" i="6"/>
  <c r="U83" i="6"/>
  <c r="E110" i="6"/>
  <c r="P49" i="6"/>
  <c r="R110" i="6"/>
  <c r="E53" i="6"/>
  <c r="M47" i="6"/>
  <c r="K148" i="6"/>
  <c r="S56" i="6"/>
  <c r="L118" i="6"/>
  <c r="R87" i="6"/>
  <c r="M103" i="6"/>
  <c r="G117" i="6"/>
  <c r="E98" i="6"/>
  <c r="E115" i="6"/>
  <c r="U99" i="6"/>
  <c r="I69" i="6"/>
  <c r="I90" i="6"/>
  <c r="N118" i="6"/>
  <c r="L59" i="6"/>
  <c r="N108" i="6"/>
  <c r="H62" i="6"/>
  <c r="N90" i="6"/>
  <c r="Q62" i="6"/>
  <c r="K86" i="6"/>
  <c r="J132" i="6"/>
  <c r="P141" i="6"/>
  <c r="E101" i="6"/>
  <c r="O52" i="6"/>
  <c r="M154" i="6"/>
  <c r="K139" i="6"/>
  <c r="G99" i="6"/>
  <c r="R77" i="6"/>
  <c r="S48" i="6"/>
  <c r="C129" i="6"/>
  <c r="T59" i="6"/>
  <c r="I135" i="6"/>
  <c r="N104" i="6"/>
  <c r="H65" i="6"/>
  <c r="S119" i="6"/>
  <c r="K89" i="6"/>
  <c r="K71" i="6"/>
  <c r="K93" i="6"/>
  <c r="K150" i="6"/>
  <c r="T93" i="6"/>
  <c r="G50" i="6"/>
  <c r="J117" i="6"/>
  <c r="J149" i="6"/>
  <c r="L94" i="6"/>
  <c r="O155" i="6"/>
  <c r="Q66" i="6"/>
  <c r="I129" i="6"/>
  <c r="O138" i="6"/>
  <c r="L93" i="6"/>
  <c r="L83" i="6"/>
  <c r="T153" i="6"/>
  <c r="F103" i="6"/>
  <c r="Q146" i="6"/>
  <c r="G94" i="6"/>
  <c r="U52" i="6"/>
  <c r="T45" i="6"/>
  <c r="T57" i="6"/>
  <c r="H71" i="6"/>
  <c r="O50" i="6"/>
  <c r="K128" i="6"/>
  <c r="F110" i="6"/>
  <c r="N47" i="6"/>
  <c r="F105" i="6"/>
  <c r="L71" i="6"/>
  <c r="U124" i="6"/>
  <c r="U141" i="6"/>
  <c r="P125" i="6"/>
  <c r="F47" i="6"/>
  <c r="G67" i="6"/>
  <c r="U81" i="6"/>
  <c r="L43" i="6"/>
  <c r="H132" i="6"/>
  <c r="R44" i="6"/>
  <c r="I146" i="6"/>
  <c r="L134" i="6"/>
  <c r="S103" i="6"/>
  <c r="L61" i="6"/>
  <c r="U104" i="6"/>
  <c r="P126" i="6"/>
  <c r="O101" i="6"/>
  <c r="N106" i="6"/>
  <c r="C76" i="6"/>
  <c r="Q97" i="6"/>
  <c r="U127" i="6"/>
  <c r="J153" i="6"/>
  <c r="R93" i="6"/>
  <c r="E46" i="6"/>
  <c r="J79" i="6"/>
  <c r="R81" i="6"/>
  <c r="I137" i="6"/>
  <c r="G81" i="6"/>
  <c r="L119" i="6"/>
  <c r="M75" i="6"/>
  <c r="L62" i="6"/>
  <c r="Q92" i="6"/>
  <c r="N53" i="6"/>
  <c r="H72" i="6"/>
  <c r="N111" i="6"/>
  <c r="I107" i="6"/>
  <c r="H46" i="6"/>
  <c r="N148" i="6"/>
  <c r="U44" i="6"/>
  <c r="D47" i="6"/>
  <c r="P124" i="6"/>
  <c r="L116" i="6"/>
  <c r="I48" i="6"/>
  <c r="K155" i="6"/>
  <c r="K54" i="6"/>
  <c r="Q91" i="6"/>
  <c r="R59" i="6"/>
  <c r="S70" i="6"/>
  <c r="I74" i="6"/>
  <c r="O70" i="6"/>
  <c r="U47" i="6"/>
  <c r="T77" i="6"/>
  <c r="H131" i="6"/>
  <c r="C148" i="6"/>
  <c r="C151" i="6"/>
  <c r="F94" i="6"/>
  <c r="P107" i="6"/>
  <c r="J131" i="6"/>
  <c r="D57" i="6"/>
  <c r="Q151" i="6"/>
  <c r="U46" i="6"/>
  <c r="C140" i="6"/>
  <c r="U58" i="6"/>
  <c r="I101" i="6"/>
  <c r="S63" i="6"/>
  <c r="Q123" i="6"/>
  <c r="J81" i="6"/>
  <c r="M62" i="6"/>
  <c r="U153" i="6"/>
  <c r="J127" i="6"/>
  <c r="P78" i="6"/>
  <c r="R130" i="6"/>
  <c r="F104" i="6"/>
  <c r="P72" i="6"/>
  <c r="O83" i="6"/>
  <c r="D52" i="6"/>
  <c r="E102" i="6"/>
  <c r="C119" i="6"/>
  <c r="T68" i="6"/>
  <c r="N109" i="6"/>
  <c r="K105" i="6"/>
  <c r="F91" i="6"/>
  <c r="P46" i="6"/>
  <c r="N134" i="6"/>
  <c r="I70" i="6"/>
  <c r="Q115" i="6"/>
  <c r="R137" i="6"/>
  <c r="K82" i="6"/>
  <c r="J64" i="6"/>
  <c r="E150" i="6"/>
  <c r="T73" i="6"/>
  <c r="L102" i="6"/>
  <c r="I44" i="6"/>
  <c r="M83" i="6"/>
  <c r="D130" i="6"/>
  <c r="L130" i="6"/>
  <c r="T104" i="6"/>
  <c r="S153" i="6"/>
  <c r="G71" i="6"/>
  <c r="C87" i="6"/>
  <c r="M74" i="6"/>
  <c r="U117" i="6"/>
  <c r="H82" i="6"/>
  <c r="F57" i="6"/>
  <c r="D146" i="6"/>
  <c r="J44" i="6"/>
  <c r="C58" i="6"/>
  <c r="T116" i="6"/>
  <c r="D145" i="6"/>
  <c r="T49" i="6"/>
  <c r="E97" i="6"/>
  <c r="P122" i="6"/>
  <c r="O93" i="6"/>
  <c r="O98" i="6"/>
  <c r="E103" i="6"/>
  <c r="Q68" i="6"/>
  <c r="C83" i="6"/>
  <c r="S101" i="6"/>
  <c r="D126" i="6"/>
  <c r="T80" i="6"/>
  <c r="G85" i="6"/>
  <c r="O114" i="6"/>
  <c r="H67" i="6"/>
  <c r="Q76" i="6"/>
  <c r="H108" i="6"/>
  <c r="E151" i="6"/>
  <c r="S140" i="6"/>
  <c r="K125" i="6"/>
  <c r="E52" i="6"/>
  <c r="S130" i="6"/>
  <c r="G64" i="6"/>
  <c r="T63" i="6"/>
  <c r="R153" i="6"/>
  <c r="E83" i="6"/>
  <c r="L55" i="6"/>
  <c r="S87" i="6"/>
  <c r="O122" i="6"/>
  <c r="Q111" i="6"/>
  <c r="C106" i="6"/>
  <c r="P98" i="6"/>
  <c r="M87" i="6"/>
  <c r="M126" i="6"/>
  <c r="T95" i="6"/>
  <c r="S121" i="6"/>
  <c r="Q100" i="6"/>
  <c r="T86" i="6"/>
  <c r="L72" i="6"/>
  <c r="Q45" i="6"/>
  <c r="L88" i="6"/>
  <c r="M118" i="6"/>
  <c r="N46" i="6"/>
  <c r="Q121" i="6"/>
  <c r="O141" i="6"/>
  <c r="E108" i="6"/>
  <c r="M68" i="6"/>
  <c r="D83" i="6"/>
  <c r="N77" i="6"/>
  <c r="Q138" i="6"/>
  <c r="N144" i="6"/>
  <c r="N129" i="6"/>
  <c r="M107" i="6"/>
  <c r="U48" i="6"/>
  <c r="D141" i="6"/>
  <c r="T127" i="6"/>
  <c r="O106" i="6"/>
  <c r="M78" i="6"/>
  <c r="N99" i="6"/>
  <c r="G48" i="6"/>
  <c r="P52" i="6"/>
  <c r="S88" i="6"/>
  <c r="N147" i="6"/>
  <c r="S99" i="6"/>
  <c r="E95" i="6"/>
  <c r="R91" i="6"/>
  <c r="C147" i="6"/>
  <c r="C50" i="6"/>
  <c r="R67" i="6"/>
  <c r="O86" i="6"/>
  <c r="T155" i="6"/>
  <c r="J116" i="6"/>
  <c r="K66" i="6"/>
  <c r="G97" i="6"/>
  <c r="Q57" i="6"/>
  <c r="E126" i="6"/>
  <c r="R149" i="6"/>
  <c r="J115" i="6"/>
  <c r="I54" i="6"/>
  <c r="F142" i="6"/>
  <c r="H94" i="6"/>
  <c r="U76" i="6"/>
  <c r="K129" i="6"/>
  <c r="D152" i="6"/>
  <c r="S150" i="6"/>
  <c r="F67" i="6"/>
  <c r="J154" i="6"/>
  <c r="S124" i="6"/>
  <c r="J53" i="6"/>
  <c r="D153" i="6"/>
  <c r="J66" i="6"/>
  <c r="Q90" i="6"/>
  <c r="H87" i="6"/>
  <c r="U51" i="6"/>
  <c r="N92" i="6"/>
  <c r="G147" i="6"/>
  <c r="U139" i="6"/>
  <c r="N64" i="6"/>
  <c r="H143" i="6"/>
  <c r="U87" i="6"/>
  <c r="R145" i="6"/>
  <c r="Q43" i="6"/>
  <c r="O62" i="6"/>
  <c r="S102" i="6"/>
  <c r="E137" i="6"/>
  <c r="F113" i="6"/>
  <c r="H47" i="6"/>
  <c r="G142" i="6"/>
  <c r="F78" i="6"/>
  <c r="M79" i="6"/>
  <c r="H64" i="6"/>
  <c r="U94" i="6"/>
  <c r="T117" i="6"/>
  <c r="H133" i="6"/>
  <c r="C141" i="6"/>
  <c r="U97" i="6"/>
  <c r="N83" i="6"/>
  <c r="D137" i="6"/>
  <c r="S96" i="6"/>
  <c r="S51" i="6"/>
  <c r="M150" i="6"/>
  <c r="C95" i="6"/>
  <c r="J112" i="6"/>
  <c r="E139" i="6"/>
  <c r="J98" i="6"/>
  <c r="J107" i="6"/>
  <c r="D134" i="6"/>
  <c r="F149" i="6"/>
  <c r="E131" i="6"/>
  <c r="Q73" i="6"/>
  <c r="K98" i="6"/>
  <c r="E67" i="6"/>
  <c r="J100" i="6"/>
  <c r="S57" i="6"/>
  <c r="L144" i="6"/>
  <c r="R80" i="6"/>
  <c r="E143" i="6"/>
  <c r="J48" i="6"/>
  <c r="L56" i="6"/>
  <c r="M141" i="6"/>
  <c r="L52" i="6"/>
  <c r="R78" i="6"/>
  <c r="K104" i="6"/>
  <c r="K72" i="6"/>
  <c r="T56" i="6"/>
  <c r="S148" i="6"/>
  <c r="T94" i="6"/>
  <c r="M59" i="6"/>
  <c r="H86" i="6"/>
  <c r="Q119" i="6"/>
  <c r="Q101" i="6"/>
  <c r="H97" i="6"/>
  <c r="K107" i="6"/>
  <c r="O67" i="6"/>
  <c r="H122" i="6"/>
  <c r="J124" i="6"/>
  <c r="G105" i="6"/>
  <c r="I68" i="6"/>
  <c r="R138" i="6"/>
  <c r="G140" i="6"/>
  <c r="G98" i="6"/>
  <c r="J126" i="6"/>
  <c r="Q154" i="6"/>
  <c r="Q81" i="6"/>
  <c r="T132" i="6"/>
  <c r="D77" i="6"/>
  <c r="Q53" i="6"/>
  <c r="P95" i="6"/>
  <c r="D56" i="6"/>
  <c r="I46" i="6"/>
  <c r="K45" i="6"/>
  <c r="M84" i="6"/>
  <c r="I142" i="6"/>
  <c r="L57" i="6"/>
  <c r="T148" i="6"/>
  <c r="N49" i="6"/>
  <c r="M134" i="6"/>
  <c r="T50" i="6"/>
  <c r="D59" i="6"/>
  <c r="M119" i="6"/>
  <c r="E58" i="6"/>
  <c r="O65" i="6"/>
  <c r="S72" i="6"/>
  <c r="M143" i="6"/>
  <c r="J122" i="6"/>
  <c r="K103" i="6"/>
  <c r="U68" i="6"/>
  <c r="Q108" i="6"/>
  <c r="U107" i="6"/>
  <c r="P102" i="6"/>
  <c r="S127" i="6"/>
  <c r="M117" i="6"/>
  <c r="E146" i="6"/>
  <c r="K138" i="6"/>
  <c r="T55" i="6"/>
  <c r="P119" i="6"/>
  <c r="Q149" i="6"/>
  <c r="N150" i="6"/>
  <c r="P77" i="6"/>
  <c r="S139" i="6"/>
  <c r="H92" i="6"/>
  <c r="L128" i="6"/>
  <c r="O73" i="6"/>
  <c r="I75" i="6"/>
  <c r="E71" i="6"/>
  <c r="N137" i="6"/>
  <c r="N66" i="6"/>
  <c r="S83" i="6"/>
  <c r="R120" i="6"/>
  <c r="Q147" i="6"/>
  <c r="K90" i="6"/>
  <c r="D94" i="6"/>
  <c r="O133" i="6"/>
  <c r="M53" i="6"/>
  <c r="E135" i="6"/>
  <c r="D86" i="6"/>
  <c r="E109" i="6"/>
  <c r="R123" i="6"/>
  <c r="N73" i="6"/>
  <c r="D74" i="6"/>
  <c r="P58" i="6"/>
  <c r="I122" i="6"/>
  <c r="P138" i="6"/>
  <c r="U93" i="6"/>
  <c r="N128" i="6"/>
  <c r="S93" i="6"/>
  <c r="E100" i="6"/>
  <c r="M46" i="6"/>
  <c r="O129" i="6"/>
  <c r="O91" i="6"/>
  <c r="F52" i="6"/>
  <c r="U136" i="6"/>
  <c r="O75" i="6"/>
  <c r="S64" i="6"/>
  <c r="M136" i="6"/>
  <c r="E64" i="6"/>
  <c r="U98" i="6"/>
  <c r="K135" i="6"/>
  <c r="D93" i="6"/>
  <c r="G60" i="6"/>
  <c r="H61" i="6"/>
  <c r="G59" i="6"/>
  <c r="S71" i="6"/>
  <c r="C138" i="6"/>
  <c r="I47" i="6"/>
  <c r="P82" i="6"/>
  <c r="P97" i="6"/>
  <c r="N60" i="6"/>
  <c r="L85" i="6"/>
  <c r="E121" i="6"/>
  <c r="L101" i="6"/>
  <c r="C116" i="6"/>
  <c r="L150" i="6"/>
  <c r="I67" i="6"/>
  <c r="Q102" i="6"/>
  <c r="Q94" i="6"/>
  <c r="Q63" i="6"/>
  <c r="O51" i="6"/>
  <c r="E123" i="6"/>
  <c r="D132" i="6"/>
  <c r="R50" i="6"/>
  <c r="O71" i="6"/>
  <c r="Q129" i="6"/>
  <c r="C82" i="6"/>
  <c r="G125" i="6"/>
  <c r="Q144" i="6"/>
  <c r="J83" i="6"/>
  <c r="U105" i="6"/>
  <c r="N65" i="6"/>
  <c r="E55" i="6"/>
  <c r="N58" i="6"/>
  <c r="O127" i="6"/>
  <c r="P116" i="6"/>
  <c r="G84" i="6"/>
  <c r="J143" i="6"/>
  <c r="J119" i="6"/>
  <c r="Q133" i="6"/>
  <c r="P56" i="6"/>
  <c r="G57" i="6"/>
  <c r="C130" i="6"/>
  <c r="R103" i="6"/>
  <c r="I62" i="6"/>
  <c r="Q134" i="6"/>
  <c r="C123" i="6"/>
  <c r="G143" i="6"/>
  <c r="G131" i="6"/>
  <c r="U63" i="6"/>
  <c r="P67" i="6"/>
  <c r="S97" i="6"/>
  <c r="C124" i="6"/>
  <c r="R92" i="6"/>
  <c r="T118" i="6"/>
  <c r="Q70" i="6"/>
  <c r="Q72" i="6"/>
  <c r="U147" i="6"/>
  <c r="G62" i="6"/>
  <c r="E59" i="6"/>
  <c r="J87" i="6"/>
  <c r="G93" i="6"/>
  <c r="C49" i="6"/>
  <c r="U123" i="6"/>
  <c r="P104" i="6"/>
  <c r="I59" i="6"/>
  <c r="G124" i="6"/>
  <c r="R147" i="6"/>
  <c r="E56" i="6"/>
  <c r="G110" i="6"/>
  <c r="G104" i="6"/>
  <c r="E113" i="6"/>
  <c r="C104" i="6"/>
  <c r="T151" i="6"/>
  <c r="S135" i="6"/>
  <c r="D66" i="6"/>
  <c r="R63" i="6"/>
  <c r="K117" i="6"/>
  <c r="N85" i="6"/>
  <c r="C71" i="6"/>
  <c r="N103" i="6"/>
  <c r="F44" i="6"/>
  <c r="G43" i="6"/>
  <c r="O117" i="6"/>
  <c r="R104" i="6"/>
  <c r="N138" i="6"/>
  <c r="F96" i="6"/>
  <c r="K51" i="6"/>
  <c r="N110" i="6"/>
  <c r="E148" i="6"/>
  <c r="H144" i="6"/>
  <c r="O44" i="6"/>
  <c r="U60" i="6"/>
  <c r="O135" i="6"/>
  <c r="U151" i="6"/>
  <c r="O48" i="6"/>
  <c r="H118" i="6"/>
  <c r="K112" i="6"/>
  <c r="I43" i="6"/>
  <c r="N136" i="6"/>
  <c r="M149" i="6"/>
  <c r="K53" i="6"/>
  <c r="K111" i="6"/>
  <c r="P45" i="6"/>
  <c r="G78" i="6"/>
  <c r="G150" i="6"/>
  <c r="F56" i="6"/>
  <c r="O45" i="6"/>
  <c r="Q56" i="6"/>
  <c r="O81" i="6"/>
  <c r="T97" i="6"/>
  <c r="E70" i="6"/>
  <c r="D105" i="6"/>
  <c r="C145" i="6"/>
  <c r="L63" i="6"/>
  <c r="G114" i="6"/>
  <c r="F86" i="6"/>
  <c r="U112" i="6"/>
  <c r="L92" i="6"/>
  <c r="C125" i="6"/>
  <c r="I82" i="6"/>
  <c r="C62" i="6"/>
  <c r="F141" i="6"/>
  <c r="M151" i="6"/>
  <c r="N76" i="6"/>
  <c r="N81" i="6"/>
  <c r="P150" i="6"/>
  <c r="L89" i="6"/>
  <c r="E125" i="6"/>
  <c r="L96" i="6"/>
  <c r="K102" i="6"/>
  <c r="C142" i="6"/>
  <c r="N91" i="6"/>
  <c r="H128" i="6"/>
  <c r="G47" i="6"/>
  <c r="J139" i="6"/>
  <c r="L114" i="6"/>
  <c r="F77" i="6"/>
  <c r="T103" i="6"/>
  <c r="D117" i="6"/>
  <c r="P75" i="6"/>
  <c r="C59" i="6"/>
  <c r="P137" i="6"/>
  <c r="F59" i="6"/>
  <c r="F101" i="6"/>
  <c r="M89" i="6"/>
  <c r="M142" i="6"/>
  <c r="T152" i="6"/>
  <c r="E96" i="6"/>
  <c r="U116" i="6"/>
  <c r="G136" i="6"/>
  <c r="L127" i="6"/>
  <c r="O146" i="6"/>
  <c r="E118" i="6"/>
  <c r="P59" i="6"/>
  <c r="T75" i="6"/>
  <c r="R70" i="6"/>
  <c r="S115" i="6"/>
  <c r="D135" i="6"/>
  <c r="F100" i="6"/>
  <c r="I139" i="6"/>
  <c r="L68" i="6"/>
  <c r="Q64" i="6"/>
  <c r="J99" i="6"/>
  <c r="F72" i="6"/>
  <c r="S104" i="6"/>
  <c r="M67" i="6"/>
  <c r="R94" i="6"/>
  <c r="H44" i="6"/>
  <c r="F64" i="6"/>
  <c r="N52" i="6"/>
  <c r="T110" i="6"/>
  <c r="K31" i="3"/>
  <c r="J31" i="3"/>
  <c r="J59" i="6"/>
  <c r="K108" i="6"/>
  <c r="O134" i="6"/>
  <c r="N96" i="6"/>
  <c r="S67" i="6"/>
  <c r="N75" i="6"/>
  <c r="D50" i="6"/>
  <c r="H54" i="6"/>
  <c r="K100" i="6"/>
  <c r="R55" i="6"/>
  <c r="P100" i="6"/>
  <c r="T62" i="6"/>
  <c r="T89" i="6"/>
  <c r="P134" i="6"/>
  <c r="L132" i="6"/>
  <c r="N117" i="6"/>
  <c r="U70" i="6"/>
  <c r="N122" i="6"/>
  <c r="H75" i="6"/>
  <c r="Q47" i="6"/>
  <c r="R54" i="6"/>
  <c r="R47" i="6"/>
  <c r="K116" i="6"/>
  <c r="F115" i="6"/>
  <c r="N113" i="6"/>
  <c r="G44" i="6"/>
  <c r="G87" i="6"/>
  <c r="C120" i="6"/>
  <c r="K52" i="6"/>
  <c r="D140" i="6"/>
  <c r="D69" i="6"/>
  <c r="E153" i="6"/>
  <c r="M129" i="6"/>
  <c r="K143" i="6"/>
  <c r="N121" i="6"/>
  <c r="M137" i="6"/>
  <c r="C43" i="6"/>
  <c r="D121" i="6"/>
  <c r="E93" i="6"/>
  <c r="I138" i="6"/>
  <c r="F128" i="6"/>
  <c r="D54" i="6"/>
  <c r="L120" i="6"/>
  <c r="M116" i="6"/>
  <c r="D128" i="6"/>
  <c r="R72" i="6"/>
  <c r="R105" i="6"/>
  <c r="E111" i="6"/>
  <c r="L154" i="6"/>
  <c r="N100" i="6"/>
  <c r="R57" i="6"/>
  <c r="L131" i="6"/>
  <c r="F117" i="6"/>
  <c r="U149" i="6"/>
  <c r="S75" i="6"/>
  <c r="C114" i="6"/>
  <c r="K121" i="6"/>
  <c r="O72" i="6"/>
  <c r="I136" i="6"/>
  <c r="F83" i="6"/>
  <c r="K58" i="6"/>
  <c r="U77" i="6"/>
  <c r="J89" i="6"/>
  <c r="U121" i="6"/>
  <c r="U137" i="6"/>
  <c r="N140" i="6"/>
  <c r="S109" i="6"/>
  <c r="N142" i="6"/>
  <c r="F127" i="6"/>
  <c r="H98" i="6"/>
  <c r="M101" i="6"/>
  <c r="H110" i="6"/>
  <c r="C154" i="6"/>
  <c r="F70" i="6"/>
  <c r="L73" i="6"/>
  <c r="L103" i="6"/>
  <c r="P132" i="6"/>
  <c r="J155" i="6"/>
  <c r="F119" i="6"/>
  <c r="J92" i="6"/>
  <c r="O139" i="6"/>
  <c r="J56" i="6"/>
  <c r="O150" i="6"/>
  <c r="S147" i="6"/>
  <c r="U110" i="6"/>
  <c r="N82" i="6"/>
  <c r="G70" i="6"/>
  <c r="U129" i="6"/>
  <c r="S73" i="6"/>
  <c r="P130" i="6"/>
  <c r="S86" i="6"/>
  <c r="E91" i="6"/>
  <c r="F61" i="6"/>
  <c r="D125" i="6"/>
  <c r="L50" i="6"/>
  <c r="E107" i="6"/>
  <c r="E155" i="6"/>
  <c r="C46" i="6"/>
  <c r="E152" i="6"/>
  <c r="D73" i="6"/>
  <c r="L87" i="6"/>
  <c r="H151" i="6"/>
  <c r="T107" i="6"/>
  <c r="M51" i="6"/>
  <c r="U118" i="6"/>
  <c r="S145" i="6"/>
  <c r="M94" i="6"/>
  <c r="O125" i="6"/>
  <c r="L82" i="6"/>
  <c r="T146" i="6"/>
  <c r="H112" i="6"/>
  <c r="I76" i="6"/>
  <c r="T74" i="6"/>
  <c r="J80" i="6"/>
  <c r="H136" i="6"/>
  <c r="T109" i="6"/>
  <c r="Q85" i="6"/>
  <c r="M139" i="6"/>
  <c r="P84" i="6"/>
  <c r="J47" i="6"/>
  <c r="P127" i="6"/>
  <c r="P50" i="6"/>
  <c r="K2" i="3"/>
  <c r="Q89" i="6"/>
  <c r="N59" i="6"/>
  <c r="U64" i="6"/>
  <c r="G49" i="6"/>
  <c r="N78" i="6"/>
  <c r="E63" i="6"/>
  <c r="T64" i="6"/>
  <c r="M152" i="6"/>
  <c r="H85" i="6"/>
  <c r="U80" i="6"/>
  <c r="C112" i="6"/>
  <c r="R151" i="6"/>
  <c r="T70" i="6"/>
  <c r="U119" i="6"/>
  <c r="C60" i="6"/>
  <c r="U61" i="6"/>
  <c r="S82" i="6"/>
  <c r="H109" i="6"/>
  <c r="S146" i="6"/>
  <c r="N151" i="6"/>
  <c r="S112" i="6"/>
  <c r="F84" i="6"/>
  <c r="L48" i="6"/>
  <c r="D107" i="6"/>
  <c r="H66" i="6"/>
  <c r="U67" i="6"/>
  <c r="J152" i="6"/>
  <c r="L110" i="6"/>
  <c r="Q71" i="6"/>
  <c r="Q95" i="6"/>
  <c r="P91" i="6"/>
  <c r="D138" i="6"/>
  <c r="P55" i="6"/>
  <c r="D113" i="6"/>
  <c r="O46" i="6"/>
  <c r="U65" i="6"/>
  <c r="D95" i="6"/>
  <c r="R89" i="6"/>
  <c r="E69" i="6"/>
  <c r="P144" i="6"/>
  <c r="P148" i="6"/>
  <c r="C51" i="6"/>
  <c r="M122" i="6"/>
  <c r="G116" i="6"/>
  <c r="R112" i="6"/>
  <c r="M111" i="6"/>
  <c r="P99" i="6"/>
  <c r="U115" i="6"/>
  <c r="R144" i="6"/>
  <c r="E77" i="6"/>
  <c r="M102" i="6"/>
  <c r="D115" i="6"/>
  <c r="N89" i="6"/>
  <c r="K134" i="6"/>
  <c r="M56" i="6"/>
  <c r="L77" i="6"/>
  <c r="E127" i="6"/>
  <c r="Q107" i="6"/>
  <c r="T149" i="6"/>
  <c r="I114" i="6"/>
  <c r="M113" i="6"/>
  <c r="I61" i="6"/>
  <c r="Q69" i="6"/>
  <c r="F151" i="6"/>
  <c r="E60" i="6"/>
  <c r="E87" i="6"/>
  <c r="F111" i="6"/>
  <c r="R96" i="6"/>
  <c r="P80" i="6"/>
  <c r="Q150" i="6"/>
  <c r="P54" i="6"/>
  <c r="H113" i="6"/>
  <c r="R45" i="6"/>
  <c r="N98" i="6"/>
  <c r="T142" i="6"/>
  <c r="S78" i="6"/>
  <c r="J109" i="6"/>
  <c r="K62" i="6"/>
  <c r="O58" i="6"/>
  <c r="R148" i="6"/>
  <c r="R108" i="6"/>
  <c r="S141" i="6"/>
  <c r="M49" i="6"/>
  <c r="H120" i="6"/>
  <c r="F79" i="6"/>
  <c r="J57" i="6"/>
  <c r="J43" i="6"/>
  <c r="J111" i="6"/>
  <c r="T101" i="6"/>
  <c r="K118" i="6"/>
  <c r="C139" i="6"/>
  <c r="K122" i="6"/>
  <c r="S44" i="6"/>
  <c r="P112" i="6"/>
  <c r="N93" i="6"/>
  <c r="G55" i="6"/>
  <c r="D89" i="6"/>
  <c r="D55" i="6"/>
  <c r="C81" i="6"/>
  <c r="J136" i="6"/>
  <c r="E133" i="6"/>
  <c r="Q145" i="6"/>
  <c r="G128" i="6"/>
  <c r="Q84" i="6"/>
  <c r="Q80" i="6"/>
  <c r="U59" i="6"/>
  <c r="H114" i="6"/>
  <c r="K65" i="6"/>
  <c r="E74" i="6"/>
  <c r="S65" i="6"/>
  <c r="F49" i="6"/>
  <c r="P110" i="6"/>
  <c r="P74" i="6"/>
  <c r="U66" i="6"/>
  <c r="O84" i="6"/>
  <c r="L109" i="6"/>
  <c r="J138" i="6"/>
  <c r="G141" i="6"/>
  <c r="C48" i="6"/>
  <c r="C100" i="6"/>
  <c r="H154" i="6"/>
  <c r="R68" i="6"/>
  <c r="P114" i="6"/>
  <c r="I124" i="6"/>
  <c r="H95" i="6"/>
  <c r="F90" i="6"/>
  <c r="O145" i="6"/>
  <c r="H73" i="6"/>
  <c r="G96" i="6"/>
  <c r="J150" i="6"/>
  <c r="I65" i="6"/>
  <c r="P81" i="6"/>
  <c r="I81" i="6"/>
  <c r="H105" i="6"/>
  <c r="E85" i="6"/>
  <c r="P152" i="6"/>
  <c r="T67" i="6"/>
  <c r="N116" i="6"/>
  <c r="Q87" i="6"/>
  <c r="I106" i="6"/>
  <c r="K99" i="6"/>
  <c r="O115" i="6"/>
  <c r="T139" i="6"/>
  <c r="H141" i="6"/>
  <c r="N97" i="6"/>
  <c r="J104" i="6"/>
  <c r="R95" i="6"/>
  <c r="D99" i="6"/>
  <c r="U128" i="6"/>
  <c r="H126" i="6"/>
  <c r="C61" i="6"/>
  <c r="U126" i="6"/>
  <c r="R124" i="6"/>
  <c r="O140" i="6"/>
  <c r="I150" i="6"/>
  <c r="J49" i="6"/>
  <c r="R62" i="6"/>
  <c r="U55" i="6"/>
  <c r="S47" i="6"/>
  <c r="T128" i="6"/>
  <c r="O154" i="6"/>
  <c r="T119" i="6"/>
  <c r="H84" i="6"/>
  <c r="H50" i="6"/>
  <c r="L115" i="6"/>
  <c r="G80" i="6"/>
  <c r="N63" i="6"/>
  <c r="T115" i="6"/>
  <c r="R139" i="6"/>
  <c r="S43" i="6"/>
  <c r="G112" i="6"/>
  <c r="H138" i="6"/>
  <c r="I60" i="6"/>
  <c r="D142" i="6"/>
  <c r="K137" i="6"/>
  <c r="L79" i="6"/>
  <c r="C75" i="6"/>
  <c r="N71" i="6"/>
  <c r="M61" i="6"/>
  <c r="E76" i="6"/>
  <c r="G100" i="6"/>
  <c r="I133" i="6"/>
  <c r="C56" i="6"/>
  <c r="I71" i="6"/>
  <c r="E119" i="6"/>
  <c r="E51" i="6"/>
  <c r="E92" i="6"/>
  <c r="Q58" i="6"/>
  <c r="H91" i="6"/>
  <c r="U71" i="6"/>
  <c r="J102" i="6"/>
  <c r="I66" i="6"/>
  <c r="D63" i="6"/>
  <c r="E134" i="6"/>
  <c r="O148" i="6"/>
  <c r="P69" i="6"/>
  <c r="K48" i="6"/>
  <c r="H147" i="6"/>
  <c r="O90" i="6"/>
  <c r="K153" i="6"/>
  <c r="F97" i="6"/>
  <c r="E54" i="6"/>
  <c r="L81" i="6"/>
  <c r="T141" i="6"/>
  <c r="L100" i="6"/>
  <c r="O105" i="6"/>
  <c r="C105" i="6"/>
  <c r="N152" i="6"/>
  <c r="K87" i="6"/>
  <c r="S105" i="6"/>
  <c r="L91" i="6"/>
  <c r="T72" i="6"/>
  <c r="R52" i="6"/>
  <c r="O74" i="6"/>
  <c r="T76" i="6"/>
  <c r="F54" i="6"/>
  <c r="J46" i="6"/>
  <c r="L143" i="6"/>
  <c r="N132" i="6"/>
  <c r="K70" i="6"/>
  <c r="L112" i="6"/>
  <c r="C52" i="6"/>
  <c r="S110" i="6"/>
  <c r="G68" i="6"/>
  <c r="L70" i="6"/>
  <c r="J85" i="6"/>
  <c r="T87" i="6"/>
  <c r="T111" i="6"/>
  <c r="P121" i="6"/>
  <c r="O77" i="6"/>
  <c r="R97" i="6"/>
  <c r="K152" i="6"/>
  <c r="K44" i="6"/>
  <c r="R125" i="6"/>
  <c r="D60" i="6"/>
  <c r="J101" i="6"/>
  <c r="J137" i="6"/>
  <c r="J34" i="3"/>
  <c r="I117" i="6"/>
  <c r="D100" i="6"/>
  <c r="P120" i="6"/>
  <c r="O136" i="6"/>
  <c r="D123" i="6"/>
  <c r="C67" i="6"/>
  <c r="J12" i="3"/>
  <c r="J3" i="3"/>
  <c r="J2" i="3"/>
  <c r="E112" i="6"/>
  <c r="P129" i="6"/>
  <c r="J128" i="6"/>
  <c r="D119" i="6"/>
  <c r="R106" i="6"/>
  <c r="C96" i="6"/>
  <c r="O94" i="6"/>
  <c r="N149" i="6"/>
  <c r="D144" i="6"/>
  <c r="O152" i="6"/>
  <c r="O143" i="6"/>
  <c r="G101" i="6"/>
  <c r="I103" i="6"/>
  <c r="I128" i="6"/>
  <c r="L133" i="6"/>
  <c r="C72" i="6"/>
  <c r="U145" i="6"/>
  <c r="O97" i="6"/>
  <c r="N50" i="6"/>
  <c r="D80" i="6"/>
  <c r="N143" i="6"/>
  <c r="P155" i="6"/>
  <c r="Q59" i="6"/>
  <c r="F129" i="6"/>
  <c r="J51" i="6"/>
  <c r="C136" i="6"/>
  <c r="C146" i="6"/>
  <c r="I140" i="6"/>
  <c r="O110" i="6"/>
  <c r="O137" i="6"/>
  <c r="D61" i="6"/>
  <c r="I83" i="6"/>
  <c r="L141" i="6"/>
  <c r="G149" i="6"/>
  <c r="Q155" i="6"/>
  <c r="J71" i="6"/>
  <c r="F106" i="6"/>
  <c r="K88" i="6"/>
  <c r="M112" i="6"/>
  <c r="R146" i="6"/>
  <c r="T140" i="6"/>
  <c r="G115" i="6"/>
  <c r="G69" i="6"/>
  <c r="T100" i="6"/>
  <c r="S152" i="6"/>
  <c r="F62" i="6"/>
  <c r="D85" i="6"/>
  <c r="O63" i="6"/>
  <c r="T114" i="6"/>
  <c r="J123" i="6"/>
  <c r="E132" i="6"/>
  <c r="G83" i="6"/>
  <c r="F108" i="6"/>
  <c r="T150" i="6"/>
  <c r="T134" i="6"/>
  <c r="C77" i="6"/>
  <c r="F69" i="6"/>
  <c r="D155" i="6"/>
  <c r="L125" i="6"/>
  <c r="R155" i="6"/>
  <c r="Q104" i="6"/>
  <c r="Q96" i="6"/>
  <c r="P71" i="6"/>
  <c r="M148" i="6"/>
  <c r="O104" i="6"/>
  <c r="S118" i="6"/>
  <c r="U86" i="6"/>
  <c r="R128" i="6"/>
  <c r="F153" i="6"/>
  <c r="L67" i="6"/>
  <c r="R66" i="6"/>
  <c r="D106" i="6"/>
  <c r="T106" i="6"/>
  <c r="M90" i="6"/>
  <c r="O118" i="6"/>
  <c r="P109" i="6"/>
  <c r="D154" i="6"/>
  <c r="I95" i="6"/>
  <c r="T125" i="6"/>
  <c r="O88" i="6"/>
  <c r="G51" i="6"/>
  <c r="U130" i="6"/>
  <c r="E72" i="6"/>
  <c r="I94" i="6"/>
  <c r="T133" i="6"/>
  <c r="K67" i="6"/>
  <c r="L90" i="6"/>
  <c r="D79" i="6"/>
  <c r="T98" i="6"/>
  <c r="D45" i="6"/>
  <c r="D129" i="6"/>
  <c r="M125" i="6"/>
  <c r="F85" i="6"/>
  <c r="T136" i="6"/>
  <c r="R43" i="6"/>
  <c r="N141" i="6"/>
  <c r="M115" i="6"/>
  <c r="E105" i="6"/>
  <c r="H150" i="6"/>
  <c r="S126" i="6"/>
  <c r="Q117" i="6"/>
  <c r="I73" i="6"/>
  <c r="K119" i="6"/>
  <c r="O128" i="6"/>
  <c r="K147" i="6"/>
  <c r="K141" i="6"/>
  <c r="F116" i="6"/>
  <c r="E82" i="6"/>
  <c r="M105" i="6"/>
  <c r="O123" i="6"/>
  <c r="D71" i="6"/>
  <c r="K106" i="6"/>
  <c r="F138" i="6"/>
  <c r="U152" i="6"/>
  <c r="H70" i="6"/>
  <c r="C103" i="6"/>
  <c r="T83" i="6"/>
  <c r="M52" i="6"/>
  <c r="S128" i="6"/>
  <c r="M155" i="6"/>
  <c r="N43" i="6"/>
  <c r="AA21" i="3"/>
  <c r="AA20" i="3"/>
  <c r="AA11" i="3"/>
  <c r="V26" i="3"/>
  <c r="V30" i="3"/>
  <c r="V28" i="3"/>
  <c r="V21" i="3"/>
  <c r="AA23" i="3"/>
  <c r="AA16" i="3"/>
  <c r="AA15" i="3"/>
  <c r="V13" i="3"/>
  <c r="V16" i="3"/>
  <c r="V15" i="3"/>
  <c r="V4" i="3"/>
  <c r="V27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32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3" i="3" l="1"/>
  <c r="AA34" i="3"/>
  <c r="AA3" i="3"/>
  <c r="AE158" i="6"/>
  <c r="AE157" i="6"/>
  <c r="AE156" i="6"/>
  <c r="AA8" i="3"/>
  <c r="AA32" i="3"/>
  <c r="AE56" i="6"/>
  <c r="AE75" i="6"/>
  <c r="AE77" i="6"/>
  <c r="AE72" i="6"/>
  <c r="AE105" i="6"/>
  <c r="AE61" i="6"/>
  <c r="AE48" i="6"/>
  <c r="AE60" i="6"/>
  <c r="AE114" i="6"/>
  <c r="AE49" i="6"/>
  <c r="AE123" i="6"/>
  <c r="AE116" i="6"/>
  <c r="AE50" i="6"/>
  <c r="AE65" i="6"/>
  <c r="AE97" i="6"/>
  <c r="AE155" i="6"/>
  <c r="AE85" i="6"/>
  <c r="AE55" i="6"/>
  <c r="AE113" i="6"/>
  <c r="AE73" i="6"/>
  <c r="AE103" i="6"/>
  <c r="AE52" i="6"/>
  <c r="AE59" i="6"/>
  <c r="AE84" i="6"/>
  <c r="AE109" i="6"/>
  <c r="AE88" i="6"/>
  <c r="AE80" i="6"/>
  <c r="AE94" i="6"/>
  <c r="AE54" i="6"/>
  <c r="AE78" i="6"/>
  <c r="AE121" i="6"/>
  <c r="AE146" i="6"/>
  <c r="AE67" i="6"/>
  <c r="AE124" i="6"/>
  <c r="AE95" i="6"/>
  <c r="AE119" i="6"/>
  <c r="AE101" i="6"/>
  <c r="AE107" i="6"/>
  <c r="AE102" i="6"/>
  <c r="AE89" i="6"/>
  <c r="AE43" i="6"/>
  <c r="AE83" i="6"/>
  <c r="AE53" i="6"/>
  <c r="AE122" i="6"/>
  <c r="AE47" i="6"/>
  <c r="AE57" i="6"/>
  <c r="AE66" i="6"/>
  <c r="AE81" i="6"/>
  <c r="AE112" i="6"/>
  <c r="AE120" i="6"/>
  <c r="AE82" i="6"/>
  <c r="AE87" i="6"/>
  <c r="AE93" i="6"/>
  <c r="AE118" i="6"/>
  <c r="AE111" i="6"/>
  <c r="AE64" i="6"/>
  <c r="AE79" i="6"/>
  <c r="AE70" i="6"/>
  <c r="AE90" i="6"/>
  <c r="AE98" i="6"/>
  <c r="AE51" i="6"/>
  <c r="AE62" i="6"/>
  <c r="AE106" i="6"/>
  <c r="AE58" i="6"/>
  <c r="AE76" i="6"/>
  <c r="AE45" i="6"/>
  <c r="AE92" i="6"/>
  <c r="AE115" i="6"/>
  <c r="AE108" i="6"/>
  <c r="AE46" i="6"/>
  <c r="AE104" i="6"/>
  <c r="AE117" i="6"/>
  <c r="AE110" i="6"/>
  <c r="AE86" i="6"/>
  <c r="AE69" i="6"/>
  <c r="AE91" i="6"/>
  <c r="AE63" i="6"/>
  <c r="AE96" i="6"/>
  <c r="AE100" i="6"/>
  <c r="AE125" i="6"/>
  <c r="AE71" i="6"/>
  <c r="AE68" i="6"/>
  <c r="AE44" i="6"/>
  <c r="AE74" i="6"/>
  <c r="AE99" i="6"/>
  <c r="AE145" i="6"/>
  <c r="AE136" i="6"/>
  <c r="AE132" i="6"/>
  <c r="AE153" i="6"/>
  <c r="AE144" i="6"/>
  <c r="AE138" i="6"/>
  <c r="AE143" i="6"/>
  <c r="AE154" i="6"/>
  <c r="AE127" i="6"/>
  <c r="AE141" i="6"/>
  <c r="AE147" i="6"/>
  <c r="AE151" i="6"/>
  <c r="AE129" i="6"/>
  <c r="AE135" i="6"/>
  <c r="AE134" i="6"/>
  <c r="AE140" i="6"/>
  <c r="AE148" i="6"/>
  <c r="AE128" i="6"/>
  <c r="AE152" i="6"/>
  <c r="AE149" i="6"/>
  <c r="AE139" i="6"/>
  <c r="AE142" i="6"/>
  <c r="AE131" i="6"/>
  <c r="AE133" i="6"/>
  <c r="AE126" i="6"/>
  <c r="AE130" i="6"/>
  <c r="AE150" i="6"/>
  <c r="AE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<sst xmlns="http://schemas.openxmlformats.org/spreadsheetml/2006/main" count="10364" uniqueCount="218">
  <si>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</si>
  <si>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</si>
  <si>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</si>
  <si>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</si>
  <si>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</si>
  <si>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</si>
  <si>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</si>
  <si>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</si>
  <si>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</si>
  <si>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</si>
  <si>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</si>
  <si>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</si>
  <si>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</si>
  <si>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</si>
  <si>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</si>
  <si>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</si>
  <si>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</si>
  <si>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</si>
  <si>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</si>
  <si>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</si>
  <si>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</si>
  <si>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</si>
  <si>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</si>
  <si>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</si>
  <si>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</si>
  <si>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</si>
  <si>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</si>
  <si>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</si>
  <si>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</si>
  <si>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</si>
  <si>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</si>
  <si>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</si>
  <si>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</si>
  <si>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</si>
  <si>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</si>
  <si>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</si>
  <si>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</si>
  <si>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</si>
  <si>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</si>
  <si>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</si>
  <si>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</si>
  <si>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</si>
  <si>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</si>
  <si>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</si>
  <si>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</si>
  <si>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</si>
  <si>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</si>
  <si>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</si>
  <si>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</si>
  <si>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</si>
  <si>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</si>
  <si>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</si>
  <si>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</si>
  <si>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</si>
  <si>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</si>
  <si>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</si>
  <si>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</si>
  <si>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</si>
  <si>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</si>
  <si>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</si>
  <si>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</si>
  <si>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</si>
  <si>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</si>
  <si>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</si>
  <si>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</si>
  <si>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</si>
  <si>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</si>
  <si>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</si>
  <si>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</si>
  <si>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</si>
  <si>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</si>
  <si>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</si>
  <si>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</si>
  <si>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</si>
  <si>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</si>
  <si>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</si>
  <si>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</si>
  <si>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</si>
  <si>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</si>
  <si>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</si>
  <si>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</si>
  <si>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</si>
  <si>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</si>
  <si>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</si>
  <si>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</si>
  <si>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</si>
  <si>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</si>
  <si>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</si>
  <si>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</si>
  <si>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</si>
  <si>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</si>
  <si>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</si>
  <si>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</si>
  <si>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</si>
  <si>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</si>
  <si>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</si>
  <si>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</si>
  <si>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</si>
  <si>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</si>
  <si>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</si>
  <si>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</si>
  <si>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</si>
  <si>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</si>
  <si>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</si>
  <si>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</si>
  <si>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</si>
  <si>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</si>
  <si>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</si>
  <si>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</si>
  <si>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</si>
  <si>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</si>
  <si>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</si>
  <si>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</si>
  <si>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</si>
  <si>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</si>
  <si>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</si>
  <si>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</si>
  <si>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</si>
  <si>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</si>
  <si>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</si>
  <si>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</si>
  <si>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</si>
  <si>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</si>
  <si>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</si>
  <si>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</si>
  <si>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</si>
  <si>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</si>
  <si>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</si>
  <si>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</si>
  <si>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</si>
  <si>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</si>
  <si>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</si>
  <si>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</si>
  <si>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</si>
  <si>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</si>
  <si>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</si>
  <si>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</si>
  <si>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</si>
  <si>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</si>
  <si>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</si>
  <si>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</si>
  <si>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</si>
  <si>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</si>
  <si>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</si>
  <si>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</si>
  <si>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</si>
  <si>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</si>
  <si>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</si>
  <si>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</si>
  <si>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</si>
  <si>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</si>
  <si>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</si>
  <si>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</si>
  <si>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</si>
  <si>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</si>
  <si>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</si>
  <si>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</si>
  <si>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</si>
  <si>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</si>
  <si>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</si>
  <si>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</si>
  <si>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</si>
  <si>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</si>
  <si>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</si>
  <si>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</si>
  <si>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</si>
  <si>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</si>
  <si>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</si>
  <si>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</si>
  <si>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</si>
  <si>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</si>
  <si>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</si>
  <si>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</si>
  <si>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</si>
  <si>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</si>
  <si>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</si>
  <si>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</si>
  <si>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</si>
  <si>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</si>
  <si>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</si>
  <si>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</si>
  <si>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</si>
  <si>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</si>
  <si>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</si>
  <si>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</si>
  <si>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</si>
  <si>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</si>
  <si>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</si>
  <si>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</si>
  <si>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</si>
  <si>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</si>
  <si>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</si>
  <si>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</si>
  <si>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</si>
  <si>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CFT 1 residence LLC</t>
  </si>
  <si>
    <t>Carmen Cross Irrevocable Trust</t>
  </si>
  <si>
    <t>SIYP LLC</t>
  </si>
  <si>
    <t>Prendamas SRL</t>
  </si>
  <si>
    <t>360 Harbor Lane LLC</t>
  </si>
  <si>
    <t xml:space="preserve">Five Capital </t>
  </si>
  <si>
    <t>SYIP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</si>
  <si>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</si>
  <si>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</si>
  <si>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</si>
  <si>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</si>
  <si>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</si>
  <si>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</si>
  <si>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</si>
  <si>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</si>
  <si>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</si>
  <si>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 xml:space="preserve">  Cross Security Trust</t>
  </si>
  <si>
    <t>Michael Cross</t>
  </si>
  <si>
    <t>Carmen Cross / Estate</t>
  </si>
  <si>
    <t>Unidades de Negocio</t>
  </si>
  <si>
    <t>Trust</t>
  </si>
  <si>
    <t>Grupo</t>
  </si>
  <si>
    <t>Five Capital</t>
  </si>
  <si>
    <t>Bank of America - SIYP LLC - 2179-USD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</si>
</sst>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31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i/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2F2F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95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2" fillId="0" borderId="1" xfId="0" applyFont="1" applyBorder="1"/>
    <xf numFmtId="0" fontId="22" fillId="0" borderId="14" xfId="0" applyFont="1" applyBorder="1"/>
    <xf numFmtId="43" fontId="4" fillId="0" borderId="0" xfId="1" applyFont="1" applyBorder="1" applyAlignment="1">
      <alignment horizontal="right"/>
    </xf>
    <xf numFmtId="0" fontId="23" fillId="6" borderId="0" xfId="0" applyFont="1" applyFill="1"/>
    <xf numFmtId="0" fontId="24" fillId="12" borderId="0" xfId="0" applyFont="1" applyFill="1"/>
    <xf numFmtId="0" fontId="25" fillId="0" borderId="0" xfId="0" applyFont="1" applyAlignment="1">
      <alignment indent="1"/>
    </xf>
    <xf numFmtId="0" fontId="26" fillId="13" borderId="0" xfId="0" applyFont="1" applyFill="1"/>
    <xf numFmtId="0" fontId="27" fillId="0" borderId="1" xfId="0" applyFont="1" applyBorder="1"/>
    <xf numFmtId="0" fontId="27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27" fillId="8" borderId="1" xfId="0" applyFont="1" applyFill="1" applyBorder="1"/>
    <xf numFmtId="0" fontId="3" fillId="8" borderId="1" xfId="0" applyFont="1" applyFill="1" applyBorder="1"/>
    <xf numFmtId="0" fontId="28" fillId="0" borderId="0" xfId="0" applyFont="1"/>
    <xf numFmtId="0" fontId="21" fillId="0" borderId="14" xfId="0" applyFont="1" applyBorder="1"/>
    <xf numFmtId="0" fontId="29" fillId="12" borderId="0" xfId="0" applyFont="1" applyFill="1"/>
    <xf numFmtId="0" fontId="30" fillId="0" borderId="0" xfId="0" applyFont="1" applyAlignment="1">
      <alignment indent="1"/>
    </xf>
  </cellXfs>
  <cellStyles count="2">
    <cellStyle name="Millares" xfId="1" builtinId="3"/>
    <cellStyle name="Normal" xfId="0" builtinId="0"/>
  </cellStyles>
  <dxfs count="49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25" totalsRowShown="0" headerRowDxfId="48">
  <autoFilter ref="A1:R1325" xr:uid="{00000000-0009-0000-0100-000001000000}"/>
  <tableColumns count="18">
    <tableColumn id="1" xr3:uid="{00000000-0010-0000-0000-000001000000}" name="ID"/>
    <tableColumn id="2" xr3:uid="{00000000-0010-0000-0000-000002000000}" name="Fecha" dataDxfId="47"/>
    <tableColumn id="3" xr3:uid="{00000000-0010-0000-0000-000003000000}" name="Empresa"/>
    <tableColumn id="4" xr3:uid="{00000000-0010-0000-0000-000004000000}" name="Cuenta Bancaria" dataDxfId="46"/>
    <tableColumn id="12" xr3:uid="{4E4C6484-6819-4411-A0F3-4017EFF8C28C}" name="Banco" dataDxfId="45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4"/>
    <tableColumn id="6" xr3:uid="{00000000-0010-0000-0000-000006000000}" name="Categoria / Concepto" dataDxfId="43"/>
    <tableColumn id="7" xr3:uid="{00000000-0010-0000-0000-000007000000}" name="Descripcion" dataDxfId="42">
      <calculatedColumnFormula>IFERROR(_xlfn.XLOOKUP(G2,Listas!E:E,Listas!F:F,""),"")</calculatedColumnFormula>
    </tableColumn>
    <tableColumn id="13" xr3:uid="{44ABE6CE-2513-45FC-BD14-32E930AFDBBD}" name="Ext/Int" dataDxfId="41"/>
    <tableColumn id="8" xr3:uid="{00000000-0010-0000-0000-000008000000}" name="Monto (S/)" dataDxfId="40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9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8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7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6">
      <calculatedColumnFormula>IF(tblMovimientos[[#This Row],[Cuenta Bancaria]]="","",_xlfn.XLOOKUP(tblMovimientos[[#This Row],[Cuenta Bancaria]],Cuentas!$C:$C,Cuentas!$A:$A,"No encontrado"))</calculatedColumnFormula>
    </tableColumn>
    <tableColumn id="18" xr3:uid="{DEE4E516-9E32-4D1A-96CF-0A156E4B5BF9}" name="Subsidiaria" dataDxfId="35">
      <calculatedColumnFormula>TRIM(_xlfn.XLOOKUP(tblMovimientos[[#This Row],[Cuenta Bancaria]],Cuentas!$C:$C,Cuentas!$B:$B,""))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E498" totalsRowShown="0" headerRowDxfId="34" dataDxfId="32" headerRowBorderDxfId="33" tableBorderDxfId="31">
  <autoFilter ref="A1:AE498" xr:uid="{F415436C-AC07-4BC7-AF63-CF4210A06BB4}"/>
  <tableColumns count="31">
    <tableColumn id="1" xr3:uid="{63FFD75C-E666-43DD-8029-F430E7835BEE}" name="Día" dataDxfId="30"/>
    <tableColumn id="2" xr3:uid="{3C0A637E-5BCF-4DAA-A47B-1062D26CE0FC}" name="Fecha" dataDxfId="29"/>
    <tableColumn id="3" xr3:uid="{AA52C2CE-0BC6-4D55-8E20-0938296D1C23}" name="CFT Group" dataDxfId="28"/>
    <tableColumn id="4" xr3:uid="{EE7D0652-E6C8-4122-A765-D1B09096A21E}" name="M1B" dataDxfId="27"/>
    <tableColumn id="5" xr3:uid="{B4646433-2F6C-4447-A177-6AD7A4B88B6F}" name="Durand" dataDxfId="26"/>
    <tableColumn id="6" xr3:uid="{DCA1C6D9-C3E1-43F4-A721-4008460687C7}" name="A&amp;M Imports" dataDxfId="25"/>
    <tableColumn id="7" xr3:uid="{D4A7DE77-6043-4E65-8D3F-445DF17D93F1}" name="SSP Capital" dataDxfId="24"/>
    <tableColumn id="8" xr3:uid="{64A897BF-46B4-411E-BA9D-FE799CF2FEFB}" name="Cross Family Trust" dataDxfId="23"/>
    <tableColumn id="9" xr3:uid="{22730D08-F998-46A3-A6B6-4BF23E38D8F9}" name="Cross Security Trust" dataDxfId="22"/>
    <tableColumn id="10" xr3:uid="{BB5B9930-003E-4DC5-8E5D-067C1CF1A456}" name="Electrama" dataDxfId="21"/>
    <tableColumn id="11" xr3:uid="{72B1FF5A-A2B1-4F18-A8C8-32EEB09E3A17}" name="Sacred Valley Capital" dataDxfId="20"/>
    <tableColumn id="12" xr3:uid="{8285724C-9042-463F-8339-13C60DCBF2F4}" name="YWC Capital" dataDxfId="19"/>
    <tableColumn id="13" xr3:uid="{A6BA6873-5C5A-44C1-A199-00F91718164E}" name="Soweto" dataDxfId="18"/>
    <tableColumn id="14" xr3:uid="{50FB5920-A571-4DC5-9E26-0EF4F33A880F}" name="Green Stone Trust" dataDxfId="17"/>
    <tableColumn id="15" xr3:uid="{F3DE628D-3663-4B8C-88C3-8ED6C47CDAD0}" name="EC Auto" dataDxfId="16"/>
    <tableColumn id="16" xr3:uid="{63079263-2DC8-47D4-869E-EF7FF8CC83E2}" name="Arbor Capital Properties" dataDxfId="15"/>
    <tableColumn id="17" xr3:uid="{F0CCDB07-528A-4A91-A40E-B313EA61AC5A}" name="2515 Overbrook" dataDxfId="14"/>
    <tableColumn id="18" xr3:uid="{A92B8B5E-42D0-409B-819B-93575E6B5338}" name="112 Florida Ave" dataDxfId="13"/>
    <tableColumn id="19" xr3:uid="{E8590E2C-955F-4887-9F19-BD4E50391F39}" name="3628 Thomas Ave" dataDxfId="12"/>
    <tableColumn id="20" xr3:uid="{C99311AE-E772-4C28-A5BF-F01473FDC99C}" name="Green Harbor Trust" dataDxfId="11"/>
    <tableColumn id="21" xr3:uid="{531291F0-F871-4ED7-85FB-D95349130FEE}" name="Go Blue" dataDxfId="10"/>
    <tableColumn id="23" xr3:uid="{9482A23A-DDD8-4BCD-9CDB-3CDC5879257B}" name="Pacha Ventures LLC"/>
    <tableColumn id="24" xr3:uid="{62948DBA-BE6F-4C90-9821-ADB7F230E5CA}" name="CFT 1 residence LLC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0" xr3:uid="{B9209FB4-A2EB-4833-9030-E354F260C61C}" name="SYIP"/>
    <tableColumn id="31" xr3:uid="{B7FCEAC8-A443-40BE-865E-326615D350BA}" name="Nobe Aparments"/>
    <tableColumn id="22" xr3:uid="{9970DF30-CB1E-4EE7-A51A-8EEDF7EFDE4C}" name="TOTAL CONSOLIDADO" dataDxfId="9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397" tableType="queryTable" totalsRowShown="0" headerRowDxfId="8" headerRowBorderDxfId="7">
  <autoFilter ref="A1:D4397" xr:uid="{2C5E576C-56D5-4661-AEE8-C56EAF46506C}"/>
  <tableColumns count="4">
    <tableColumn id="1" xr3:uid="{C5F72CE6-A217-4AAA-B890-634003E10415}" uniqueName="1" name="Empresa" queryTableFieldId="1" dataDxfId="6"/>
    <tableColumn id="4" xr3:uid="{1BFD00E9-36EE-42D9-A985-B1FC2CE4E317}" uniqueName="4" name="Saldo inicial" queryTableFieldId="4" dataDxfId="5"/>
    <tableColumn id="2" xr3:uid="{EA09EB92-4B2D-420E-B39F-7A131A47C123}" uniqueName="2" name="Atributo " queryTableFieldId="2" dataDxfId="4"/>
    <tableColumn id="3" xr3:uid="{7F3D748F-7261-4F7B-AD03-AAD9519C3F7D}" uniqueName="3" name="Valor" queryTableFieldId="3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zoomScale="70" zoomScaleNormal="70" workbookViewId="0">
      <pane ySplit="1" topLeftCell="A23" activePane="bottomLeft" state="frozen"/>
      <selection pane="bottomLeft" activeCell="B49" sqref="B49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194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194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195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196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197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198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199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196</v>
      </c>
      <c r="B44" s="8" t="s">
        <v>217</v>
      </c>
      <c r="C44" s="9" t="s">
        <v>133</v>
      </c>
      <c r="D44" s="10">
        <v>18.13</v>
      </c>
    </row>
    <row r="45" spans="1:5" x14ac:dyDescent="0.3">
      <c r="A45" s="8" t="s">
        <v>201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201</v>
      </c>
      <c r="B46" s="8" t="s">
        <v>192</v>
      </c>
      <c r="C46" s="9" t="s">
        <v>133</v>
      </c>
      <c r="D46" s="10">
        <v>31093.71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6" activePane="bottomLeft" state="frozen"/>
      <selection pane="bottomLeft" activeCell="B41" sqref="B4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204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205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206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204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203</v>
      </c>
      <c r="B35" s="13" t="s">
        <v>202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194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194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195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196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197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198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199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196</v>
      </c>
      <c r="B45" s="13" t="s">
        <v>217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201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201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C48"/>
  <sheetViews>
    <sheetView topLeftCell="A13" zoomScale="70" zoomScaleNormal="70" workbookViewId="0">
      <selection activeCell="C37" sqref="C37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48" customWidth="1"/>
  </cols>
  <sheetData>
    <row r="1" spans="1:3" x14ac:dyDescent="0.3">
      <c r="A1" s="76" t="s">
        <v>215</v>
      </c>
      <c r="B1" s="76" t="s">
        <v>207</v>
      </c>
      <c r="C1" s="76" t="s">
        <v>208</v>
      </c>
    </row>
    <row r="2" spans="1:3" x14ac:dyDescent="0.3">
      <c r="A2" s="77" t="s">
        <v>209</v>
      </c>
      <c r="B2" s="77"/>
      <c r="C2" s="78" t="s">
        <v>94</v>
      </c>
    </row>
    <row r="3" spans="1:3" x14ac:dyDescent="0.3">
      <c r="A3" s="77" t="s">
        <v>209</v>
      </c>
      <c r="B3" s="77"/>
      <c r="C3" s="78" t="s">
        <v>95</v>
      </c>
    </row>
    <row r="4" spans="1:3" x14ac:dyDescent="0.3">
      <c r="A4" s="77" t="s">
        <v>209</v>
      </c>
      <c r="B4" s="77"/>
      <c r="C4" s="78" t="s">
        <v>96</v>
      </c>
    </row>
    <row r="5" spans="1:3" x14ac:dyDescent="0.3">
      <c r="A5" s="77" t="s">
        <v>209</v>
      </c>
      <c r="B5" s="77"/>
      <c r="C5" s="78" t="s">
        <v>97</v>
      </c>
    </row>
    <row r="6" spans="1:3" x14ac:dyDescent="0.3">
      <c r="A6" s="77" t="s">
        <v>209</v>
      </c>
      <c r="B6" s="77"/>
      <c r="C6" s="78" t="s">
        <v>98</v>
      </c>
    </row>
    <row r="7" spans="1:3" x14ac:dyDescent="0.3">
      <c r="A7" s="77" t="s">
        <v>209</v>
      </c>
      <c r="B7" s="77"/>
      <c r="C7" s="78" t="s">
        <v>99</v>
      </c>
    </row>
    <row r="8" spans="1:3" x14ac:dyDescent="0.3">
      <c r="A8" s="77" t="s">
        <v>209</v>
      </c>
      <c r="B8" s="77"/>
      <c r="C8" s="78" t="s">
        <v>101</v>
      </c>
    </row>
    <row r="9" spans="1:3" x14ac:dyDescent="0.3">
      <c r="A9" s="77" t="s">
        <v>209</v>
      </c>
      <c r="B9" s="77"/>
      <c r="C9" s="78" t="s">
        <v>102</v>
      </c>
    </row>
    <row r="10" spans="1:3" x14ac:dyDescent="0.3">
      <c r="A10" s="77" t="s">
        <v>209</v>
      </c>
      <c r="B10" s="77"/>
      <c r="C10" s="78" t="s">
        <v>103</v>
      </c>
    </row>
    <row r="11" spans="1:3" x14ac:dyDescent="0.3">
      <c r="A11" s="77" t="s">
        <v>209</v>
      </c>
      <c r="B11" s="77"/>
      <c r="C11" s="78" t="s">
        <v>104</v>
      </c>
    </row>
    <row r="12" spans="1:3" x14ac:dyDescent="0.3">
      <c r="A12" s="77" t="s">
        <v>209</v>
      </c>
      <c r="B12" s="77"/>
      <c r="C12" s="78" t="s">
        <v>105</v>
      </c>
    </row>
    <row r="13" spans="1:3" x14ac:dyDescent="0.3">
      <c r="A13" s="77" t="s">
        <v>209</v>
      </c>
      <c r="B13" s="77"/>
      <c r="C13" s="78" t="s">
        <v>106</v>
      </c>
    </row>
    <row r="14" spans="1:3" x14ac:dyDescent="0.3">
      <c r="A14" s="77" t="s">
        <v>209</v>
      </c>
      <c r="B14" s="77"/>
      <c r="C14" s="78" t="s">
        <v>107</v>
      </c>
    </row>
    <row r="15" spans="1:3" x14ac:dyDescent="0.3">
      <c r="A15" s="77" t="s">
        <v>209</v>
      </c>
      <c r="B15" s="77"/>
      <c r="C15" s="78" t="s">
        <v>113</v>
      </c>
    </row>
    <row r="16" spans="1:3" x14ac:dyDescent="0.3">
      <c r="A16" s="77" t="s">
        <v>209</v>
      </c>
      <c r="B16" s="77"/>
      <c r="C16" s="78" t="s">
        <v>114</v>
      </c>
    </row>
    <row r="17" spans="1:3" x14ac:dyDescent="0.3">
      <c r="A17" s="77" t="s">
        <v>209</v>
      </c>
      <c r="B17" s="77"/>
      <c r="C17" s="78" t="s">
        <v>115</v>
      </c>
    </row>
    <row r="18" spans="1:3" x14ac:dyDescent="0.3">
      <c r="A18" s="77" t="s">
        <v>209</v>
      </c>
      <c r="B18" s="77"/>
      <c r="C18" s="78" t="s">
        <v>116</v>
      </c>
    </row>
    <row r="19" spans="1:3" x14ac:dyDescent="0.3">
      <c r="A19" s="77" t="s">
        <v>209</v>
      </c>
      <c r="B19" s="77"/>
      <c r="C19" s="78" t="s">
        <v>117</v>
      </c>
    </row>
    <row r="20" spans="1:3" x14ac:dyDescent="0.3">
      <c r="A20" s="77" t="s">
        <v>209</v>
      </c>
      <c r="B20" s="77"/>
      <c r="C20" s="78" t="s">
        <v>118</v>
      </c>
    </row>
    <row r="21" spans="1:3" x14ac:dyDescent="0.3">
      <c r="A21" s="77" t="s">
        <v>209</v>
      </c>
      <c r="B21" s="77"/>
      <c r="C21" s="78" t="s">
        <v>119</v>
      </c>
    </row>
    <row r="22" spans="1:3" x14ac:dyDescent="0.3">
      <c r="A22" s="77" t="s">
        <v>209</v>
      </c>
      <c r="B22" s="77"/>
      <c r="C22" s="78" t="s">
        <v>120</v>
      </c>
    </row>
    <row r="23" spans="1:3" x14ac:dyDescent="0.3">
      <c r="A23" s="77" t="s">
        <v>209</v>
      </c>
      <c r="B23" s="77"/>
      <c r="C23" s="78" t="s">
        <v>121</v>
      </c>
    </row>
    <row r="24" spans="1:3" x14ac:dyDescent="0.3">
      <c r="A24" s="77" t="s">
        <v>209</v>
      </c>
      <c r="B24" s="77"/>
      <c r="C24" s="78" t="s">
        <v>122</v>
      </c>
    </row>
    <row r="25" spans="1:3" x14ac:dyDescent="0.3">
      <c r="A25" s="77" t="s">
        <v>209</v>
      </c>
      <c r="B25" s="77"/>
      <c r="C25" s="78" t="s">
        <v>123</v>
      </c>
    </row>
    <row r="26" spans="1:3" x14ac:dyDescent="0.3">
      <c r="A26" s="77" t="s">
        <v>209</v>
      </c>
      <c r="B26" s="77"/>
      <c r="C26" s="78" t="s">
        <v>124</v>
      </c>
    </row>
    <row r="27" spans="1:3" x14ac:dyDescent="0.3">
      <c r="A27" s="77" t="s">
        <v>209</v>
      </c>
      <c r="B27" s="77"/>
      <c r="C27" s="78" t="s">
        <v>125</v>
      </c>
    </row>
    <row r="28" spans="1:3" x14ac:dyDescent="0.3">
      <c r="A28" s="77" t="s">
        <v>209</v>
      </c>
      <c r="B28" s="77"/>
      <c r="C28" s="78" t="s">
        <v>126</v>
      </c>
    </row>
    <row r="29" spans="1:3" x14ac:dyDescent="0.3">
      <c r="A29" s="77" t="s">
        <v>209</v>
      </c>
      <c r="B29" s="77"/>
      <c r="C29" s="78" t="s">
        <v>202</v>
      </c>
    </row>
    <row r="30" spans="1:3" x14ac:dyDescent="0.3">
      <c r="A30" s="77" t="s">
        <v>209</v>
      </c>
      <c r="B30" s="77"/>
      <c r="C30" s="78" t="s">
        <v>165</v>
      </c>
    </row>
    <row r="31" spans="1:3" x14ac:dyDescent="0.3">
      <c r="A31" s="77" t="s">
        <v>209</v>
      </c>
      <c r="B31" s="79" t="s">
        <v>210</v>
      </c>
      <c r="C31" s="78" t="s">
        <v>100</v>
      </c>
    </row>
    <row r="32" spans="1:3" x14ac:dyDescent="0.3">
      <c r="A32" s="77" t="s">
        <v>209</v>
      </c>
      <c r="B32" s="79" t="s">
        <v>210</v>
      </c>
      <c r="C32" s="78" t="s">
        <v>112</v>
      </c>
    </row>
    <row r="33" spans="1:3" x14ac:dyDescent="0.3">
      <c r="A33" s="93" t="s">
        <v>211</v>
      </c>
      <c r="B33" s="93"/>
      <c r="C33" s="94" t="s">
        <v>187</v>
      </c>
    </row>
    <row r="34" spans="1:3" x14ac:dyDescent="0.3">
      <c r="A34" s="93" t="s">
        <v>211</v>
      </c>
      <c r="B34" s="93"/>
      <c r="C34" s="94" t="s">
        <v>185</v>
      </c>
    </row>
    <row r="35" spans="1:3" x14ac:dyDescent="0.3">
      <c r="A35" s="93" t="s">
        <v>211</v>
      </c>
      <c r="B35" s="93"/>
      <c r="C35" s="94" t="s">
        <v>189</v>
      </c>
    </row>
    <row r="36" spans="1:3" x14ac:dyDescent="0.3">
      <c r="A36" s="93" t="s">
        <v>211</v>
      </c>
      <c r="B36" s="93"/>
      <c r="C36" s="94" t="s">
        <v>190</v>
      </c>
    </row>
    <row r="37" spans="1:3" x14ac:dyDescent="0.3">
      <c r="A37" s="93" t="s">
        <v>211</v>
      </c>
      <c r="B37" s="93"/>
      <c r="C37" s="94" t="s">
        <v>217</v>
      </c>
    </row>
    <row r="38" spans="1:3" x14ac:dyDescent="0.3">
      <c r="A38" s="77" t="s">
        <v>195</v>
      </c>
      <c r="B38" s="77"/>
      <c r="C38" s="78" t="s">
        <v>188</v>
      </c>
    </row>
    <row r="39" spans="1:3" x14ac:dyDescent="0.3">
      <c r="A39" s="77" t="s">
        <v>195</v>
      </c>
      <c r="B39" s="77"/>
      <c r="C39" s="78" t="s">
        <v>184</v>
      </c>
    </row>
    <row r="40" spans="1:3" x14ac:dyDescent="0.3">
      <c r="A40" s="77" t="s">
        <v>212</v>
      </c>
      <c r="B40" s="77"/>
      <c r="C40" s="78" t="s">
        <v>191</v>
      </c>
    </row>
    <row r="41" spans="1:3" x14ac:dyDescent="0.3">
      <c r="A41" s="77" t="s">
        <v>212</v>
      </c>
      <c r="B41" s="77"/>
      <c r="C41" s="78" t="s">
        <v>192</v>
      </c>
    </row>
    <row r="42" spans="1:3" x14ac:dyDescent="0.3">
      <c r="A42" s="77" t="s">
        <v>213</v>
      </c>
      <c r="B42" s="77"/>
      <c r="C42" s="78" t="s">
        <v>186</v>
      </c>
    </row>
    <row r="43" spans="1:3" x14ac:dyDescent="0.3">
      <c r="A43" s="77" t="s">
        <v>214</v>
      </c>
      <c r="B43" s="77"/>
      <c r="C43" s="78" t="s">
        <v>110</v>
      </c>
    </row>
    <row r="44" spans="1:3" x14ac:dyDescent="0.3">
      <c r="A44" s="77" t="s">
        <v>214</v>
      </c>
      <c r="B44" s="77"/>
      <c r="C44" s="78" t="s">
        <v>109</v>
      </c>
    </row>
    <row r="45" spans="1:3" x14ac:dyDescent="0.3">
      <c r="A45" s="77" t="s">
        <v>214</v>
      </c>
      <c r="B45" s="77"/>
      <c r="C45" s="78" t="s">
        <v>108</v>
      </c>
    </row>
    <row r="46" spans="1:3" x14ac:dyDescent="0.3">
      <c r="A46" s="77" t="s">
        <v>214</v>
      </c>
      <c r="B46" s="77"/>
      <c r="C46" s="78" t="s">
        <v>111</v>
      </c>
    </row>
    <row r="47" spans="1:3" x14ac:dyDescent="0.3">
      <c r="A47" s="77" t="s">
        <v>214</v>
      </c>
      <c r="B47" s="77"/>
      <c r="C47" s="78" t="s">
        <v>112</v>
      </c>
    </row>
    <row r="48" spans="1:3" x14ac:dyDescent="0.3">
      <c r="A48" s="77" t="s">
        <v>214</v>
      </c>
      <c r="B48" s="77"/>
      <c r="C48" s="78" t="s">
        <v>183</v>
      </c>
    </row>
  </sheetData>
  <conditionalFormatting sqref="C2:C48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25"/>
  <sheetViews>
    <sheetView tabSelected="1" zoomScale="70" zoomScaleNormal="70" workbookViewId="0">
      <pane ySplit="1" topLeftCell="A867" activePane="bottomLeft" state="frozen"/>
      <selection pane="bottomLeft" activeCell="F889" sqref="F889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156</v>
      </c>
      <c r="Q1" s="27" t="s">
        <v>215</v>
      </c>
      <c r="R1" s="27" t="s">
        <v>207</v>
      </c>
    </row>
    <row r="2" spans="1:18" x14ac:dyDescent="0.3">
      <c r="B2" s="38">
        <v>46143</v>
      </c>
      <c r="C2" s="4" t="s">
        <v>20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v>400000</v>
      </c>
      <c r="L2" s="6" t="s">
        <v>93</v>
      </c>
      <c r="M2" s="44">
        <f>SUMIFS('Saldos Iniciales'!$D:$D,'Saldos Iniciales'!$A:$A,C2,'Saldos Iniciales'!$B:$B,D2)+SUMIFS($K$1:$K$1325,$C$1:$C$1325,C2,$D$1:$D$1325,D2,$B$1:$B$1325,"&lt;="&amp;B2)</f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91" t="str">
        <f>IF(tblMovimientos[[#This Row],[Cuenta Bancaria]]="","",_xlfn.XLOOKUP(tblMovimientos[[#This Row],[Cuenta Bancaria]],Cuentas!$C:$C,Cuentas!$A:$A,"No encontrado"))</f>
        <v>SSP Group</v>
      </c>
      <c r="R2" s="91" t="str">
        <f>TRIM(_xlfn.XLOOKUP(tblMovimientos[[#This Row],[Cuenta Bancaria]],Cuentas!$C:$C,Cuentas!$B:$B,""))</f>
        <v>Cross Security Trust</v>
      </c>
    </row>
    <row r="3" spans="1:18" x14ac:dyDescent="0.3">
      <c r="B3" s="38">
        <v>46143</v>
      </c>
      <c r="C3" s="4" t="s">
        <v>20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v>12901.71</v>
      </c>
      <c r="L3" s="6" t="s">
        <v>93</v>
      </c>
      <c r="M3" s="44">
        <f>SUMIFS('Saldos Iniciales'!$D:$D,'Saldos Iniciales'!$A:$A,C3,'Saldos Iniciales'!$B:$B,D3)+SUMIFS($K$1:$K$1325,$C$1:$C$1325,C3,$D$1:$D$1325,D3,$B$1:$B$1325,"&lt;="&amp;B3)</f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91" t="str">
        <f>IF(tblMovimientos[[#This Row],[Cuenta Bancaria]]="","",_xlfn.XLOOKUP(tblMovimientos[[#This Row],[Cuenta Bancaria]],Cuentas!$C:$C,Cuentas!$A:$A,"No encontrado"))</f>
        <v>SSP Group</v>
      </c>
      <c r="R3" s="91" t="str">
        <f>TRIM(_xlfn.XLOOKUP(tblMovimientos[[#This Row],[Cuenta Bancaria]],Cuentas!$C:$C,Cuentas!$B:$B,""))</f>
        <v>Cross Security Trust</v>
      </c>
    </row>
    <row r="4" spans="1:18" x14ac:dyDescent="0.3">
      <c r="B4" s="38">
        <v>46143</v>
      </c>
      <c r="C4" s="4" t="s">
        <v>25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f>SUMIFS('Saldos Iniciales'!$D:$D,'Saldos Iniciales'!$A:$A,C4,'Saldos Iniciales'!$B:$B,D4)+SUMIFS($K$1:$K$1325,$C$1:$C$1325,C4,$D$1:$D$1325,D4,$B$1:$B$1325,"&lt;="&amp;B4)</f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91" t="str">
        <f>IF(tblMovimientos[[#This Row],[Cuenta Bancaria]]="","",_xlfn.XLOOKUP(tblMovimientos[[#This Row],[Cuenta Bancaria]],Cuentas!$C:$C,Cuentas!$A:$A,"No encontrado"))</f>
        <v>SSP Group</v>
      </c>
      <c r="R4" s="91" t="str">
        <f>TRIM(_xlfn.XLOOKUP(tblMovimientos[[#This Row],[Cuenta Bancaria]],Cuentas!$C:$C,Cuentas!$B:$B,""))</f>
        <v/>
      </c>
    </row>
    <row r="5" spans="1:18" x14ac:dyDescent="0.3">
      <c r="B5" s="38">
        <v>46143</v>
      </c>
      <c r="C5" s="4" t="s">
        <v>26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f>SUMIFS('Saldos Iniciales'!$D:$D,'Saldos Iniciales'!$A:$A,C5,'Saldos Iniciales'!$B:$B,D5)+SUMIFS($K$1:$K$1325,$C$1:$C$1325,C5,$D$1:$D$1325,D5,$B$1:$B$1325,"&lt;="&amp;B5)</f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91" t="str">
        <f>IF(tblMovimientos[[#This Row],[Cuenta Bancaria]]="","",_xlfn.XLOOKUP(tblMovimientos[[#This Row],[Cuenta Bancaria]],Cuentas!$C:$C,Cuentas!$A:$A,"No encontrado"))</f>
        <v>SSP Group</v>
      </c>
      <c r="R5" s="91" t="str">
        <f>TRIM(_xlfn.XLOOKUP(tblMovimientos[[#This Row],[Cuenta Bancaria]],Cuentas!$C:$C,Cuentas!$B:$B,""))</f>
        <v/>
      </c>
    </row>
    <row r="6" spans="1:18" x14ac:dyDescent="0.3">
      <c r="B6" s="38">
        <v>46143</v>
      </c>
      <c r="C6" s="4" t="s">
        <v>30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f>SUMIFS('Saldos Iniciales'!$D:$D,'Saldos Iniciales'!$A:$A,C6,'Saldos Iniciales'!$B:$B,D6)+SUMIFS($K$1:$K$1325,$C$1:$C$1325,C6,$D$1:$D$1325,D6,$B$1:$B$1325,"&lt;="&amp;B6)</f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91" t="str">
        <f>IF(tblMovimientos[[#This Row],[Cuenta Bancaria]]="","",_xlfn.XLOOKUP(tblMovimientos[[#This Row],[Cuenta Bancaria]],Cuentas!$C:$C,Cuentas!$A:$A,"No encontrado"))</f>
        <v>SSP Group</v>
      </c>
      <c r="R6" s="91" t="str">
        <f>TRIM(_xlfn.XLOOKUP(tblMovimientos[[#This Row],[Cuenta Bancaria]],Cuentas!$C:$C,Cuentas!$B:$B,""))</f>
        <v/>
      </c>
    </row>
    <row r="7" spans="1:18" x14ac:dyDescent="0.3">
      <c r="B7" s="38">
        <v>46143</v>
      </c>
      <c r="C7" s="4" t="s">
        <v>31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f>SUMIFS('Saldos Iniciales'!$D:$D,'Saldos Iniciales'!$A:$A,C7,'Saldos Iniciales'!$B:$B,D7)+SUMIFS($K$1:$K$1325,$C$1:$C$1325,C7,$D$1:$D$1325,D7,$B$1:$B$1325,"&lt;="&amp;B7)</f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91" t="str">
        <f>IF(tblMovimientos[[#This Row],[Cuenta Bancaria]]="","",_xlfn.XLOOKUP(tblMovimientos[[#This Row],[Cuenta Bancaria]],Cuentas!$C:$C,Cuentas!$A:$A,"No encontrado"))</f>
        <v>SSP Group</v>
      </c>
      <c r="R7" s="91" t="str">
        <f>TRIM(_xlfn.XLOOKUP(tblMovimientos[[#This Row],[Cuenta Bancaria]],Cuentas!$C:$C,Cuentas!$B:$B,""))</f>
        <v/>
      </c>
    </row>
    <row r="8" spans="1:18" x14ac:dyDescent="0.3">
      <c r="B8" s="38">
        <v>46143</v>
      </c>
      <c r="C8" s="4" t="s">
        <v>31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f>SUMIFS('Saldos Iniciales'!$D:$D,'Saldos Iniciales'!$A:$A,C8,'Saldos Iniciales'!$B:$B,D8)+SUMIFS($K$1:$K$1325,$C$1:$C$1325,C8,$D$1:$D$1325,D8,$B$1:$B$1325,"&lt;="&amp;B8)</f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91" t="str">
        <f>IF(tblMovimientos[[#This Row],[Cuenta Bancaria]]="","",_xlfn.XLOOKUP(tblMovimientos[[#This Row],[Cuenta Bancaria]],Cuentas!$C:$C,Cuentas!$A:$A,"No encontrado"))</f>
        <v>SSP Group</v>
      </c>
      <c r="R8" s="91" t="str">
        <f>TRIM(_xlfn.XLOOKUP(tblMovimientos[[#This Row],[Cuenta Bancaria]],Cuentas!$C:$C,Cuentas!$B:$B,""))</f>
        <v/>
      </c>
    </row>
    <row r="9" spans="1:18" x14ac:dyDescent="0.3">
      <c r="B9" s="38">
        <v>46143</v>
      </c>
      <c r="C9" s="4" t="s">
        <v>31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f>SUMIFS('Saldos Iniciales'!$D:$D,'Saldos Iniciales'!$A:$A,C9,'Saldos Iniciales'!$B:$B,D9)+SUMIFS($K$1:$K$1325,$C$1:$C$1325,C9,$D$1:$D$1325,D9,$B$1:$B$1325,"&lt;="&amp;B9)</f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91" t="str">
        <f>IF(tblMovimientos[[#This Row],[Cuenta Bancaria]]="","",_xlfn.XLOOKUP(tblMovimientos[[#This Row],[Cuenta Bancaria]],Cuentas!$C:$C,Cuentas!$A:$A,"No encontrado"))</f>
        <v>SSP Group</v>
      </c>
      <c r="R9" s="91" t="str">
        <f>TRIM(_xlfn.XLOOKUP(tblMovimientos[[#This Row],[Cuenta Bancaria]],Cuentas!$C:$C,Cuentas!$B:$B,""))</f>
        <v/>
      </c>
    </row>
    <row r="10" spans="1:18" x14ac:dyDescent="0.3">
      <c r="B10" s="38">
        <v>46143</v>
      </c>
      <c r="C10" s="4" t="s">
        <v>31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f>SUMIFS('Saldos Iniciales'!$D:$D,'Saldos Iniciales'!$A:$A,C10,'Saldos Iniciales'!$B:$B,D10)+SUMIFS($K$1:$K$1325,$C$1:$C$1325,C10,$D$1:$D$1325,D10,$B$1:$B$1325,"&lt;="&amp;B10)</f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91" t="str">
        <f>IF(tblMovimientos[[#This Row],[Cuenta Bancaria]]="","",_xlfn.XLOOKUP(tblMovimientos[[#This Row],[Cuenta Bancaria]],Cuentas!$C:$C,Cuentas!$A:$A,"No encontrado"))</f>
        <v>SSP Group</v>
      </c>
      <c r="R10" s="91" t="str">
        <f>TRIM(_xlfn.XLOOKUP(tblMovimientos[[#This Row],[Cuenta Bancaria]],Cuentas!$C:$C,Cuentas!$B:$B,""))</f>
        <v/>
      </c>
    </row>
    <row r="11" spans="1:18" x14ac:dyDescent="0.3">
      <c r="B11" s="38">
        <v>46143</v>
      </c>
      <c r="C11" s="4" t="s">
        <v>32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f>SUMIFS('Saldos Iniciales'!$D:$D,'Saldos Iniciales'!$A:$A,C11,'Saldos Iniciales'!$B:$B,D11)+SUMIFS($K$1:$K$1325,$C$1:$C$1325,C11,$D$1:$D$1325,D11,$B$1:$B$1325,"&lt;="&amp;B11)</f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91" t="str">
        <f>IF(tblMovimientos[[#This Row],[Cuenta Bancaria]]="","",_xlfn.XLOOKUP(tblMovimientos[[#This Row],[Cuenta Bancaria]],Cuentas!$C:$C,Cuentas!$A:$A,"No encontrado"))</f>
        <v>SSP Group</v>
      </c>
      <c r="R11" s="91" t="str">
        <f>TRIM(_xlfn.XLOOKUP(tblMovimientos[[#This Row],[Cuenta Bancaria]],Cuentas!$C:$C,Cuentas!$B:$B,""))</f>
        <v/>
      </c>
    </row>
    <row r="12" spans="1:18" x14ac:dyDescent="0.3">
      <c r="B12" s="38">
        <v>46143</v>
      </c>
      <c r="C12" s="4" t="s">
        <v>32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f>SUMIFS('Saldos Iniciales'!$D:$D,'Saldos Iniciales'!$A:$A,C12,'Saldos Iniciales'!$B:$B,D12)+SUMIFS($K$1:$K$1325,$C$1:$C$1325,C12,$D$1:$D$1325,D12,$B$1:$B$1325,"&lt;="&amp;B12)</f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91" t="str">
        <f>IF(tblMovimientos[[#This Row],[Cuenta Bancaria]]="","",_xlfn.XLOOKUP(tblMovimientos[[#This Row],[Cuenta Bancaria]],Cuentas!$C:$C,Cuentas!$A:$A,"No encontrado"))</f>
        <v>SSP Group</v>
      </c>
      <c r="R12" s="91" t="str">
        <f>TRIM(_xlfn.XLOOKUP(tblMovimientos[[#This Row],[Cuenta Bancaria]],Cuentas!$C:$C,Cuentas!$B:$B,""))</f>
        <v/>
      </c>
    </row>
    <row r="13" spans="1:18" x14ac:dyDescent="0.3">
      <c r="B13" s="38">
        <v>46143</v>
      </c>
      <c r="C13" s="4" t="s">
        <v>33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f>SUMIFS('Saldos Iniciales'!$D:$D,'Saldos Iniciales'!$A:$A,C13,'Saldos Iniciales'!$B:$B,D13)+SUMIFS($K$1:$K$1325,$C$1:$C$1325,C13,$D$1:$D$1325,D13,$B$1:$B$1325,"&lt;="&amp;B13)</f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91" t="str">
        <f>IF(tblMovimientos[[#This Row],[Cuenta Bancaria]]="","",_xlfn.XLOOKUP(tblMovimientos[[#This Row],[Cuenta Bancaria]],Cuentas!$C:$C,Cuentas!$A:$A,"No encontrado"))</f>
        <v>SSP Group</v>
      </c>
      <c r="R13" s="91" t="str">
        <f>TRIM(_xlfn.XLOOKUP(tblMovimientos[[#This Row],[Cuenta Bancaria]],Cuentas!$C:$C,Cuentas!$B:$B,""))</f>
        <v/>
      </c>
    </row>
    <row r="14" spans="1:18" x14ac:dyDescent="0.3">
      <c r="B14" s="38">
        <v>46143</v>
      </c>
      <c r="C14" s="4" t="s">
        <v>33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f>SUMIFS('Saldos Iniciales'!$D:$D,'Saldos Iniciales'!$A:$A,C14,'Saldos Iniciales'!$B:$B,D14)+SUMIFS($K$1:$K$1325,$C$1:$C$1325,C14,$D$1:$D$1325,D14,$B$1:$B$1325,"&lt;="&amp;B14)</f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91" t="str">
        <f>IF(tblMovimientos[[#This Row],[Cuenta Bancaria]]="","",_xlfn.XLOOKUP(tblMovimientos[[#This Row],[Cuenta Bancaria]],Cuentas!$C:$C,Cuentas!$A:$A,"No encontrado"))</f>
        <v>SSP Group</v>
      </c>
      <c r="R14" s="91" t="str">
        <f>TRIM(_xlfn.XLOOKUP(tblMovimientos[[#This Row],[Cuenta Bancaria]],Cuentas!$C:$C,Cuentas!$B:$B,""))</f>
        <v/>
      </c>
    </row>
    <row r="15" spans="1:18" x14ac:dyDescent="0.3">
      <c r="B15" s="38">
        <v>46143</v>
      </c>
      <c r="C15" s="4" t="s">
        <v>18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f>SUMIFS('Saldos Iniciales'!$D:$D,'Saldos Iniciales'!$A:$A,C15,'Saldos Iniciales'!$B:$B,D15)+SUMIFS($K$1:$K$1325,$C$1:$C$1325,C15,$D$1:$D$1325,D15,$B$1:$B$1325,"&lt;="&amp;B15)</f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91" t="str">
        <f>IF(tblMovimientos[[#This Row],[Cuenta Bancaria]]="","",_xlfn.XLOOKUP(tblMovimientos[[#This Row],[Cuenta Bancaria]],Cuentas!$C:$C,Cuentas!$A:$A,"No encontrado"))</f>
        <v>SSP Group</v>
      </c>
      <c r="R15" s="91" t="str">
        <f>TRIM(_xlfn.XLOOKUP(tblMovimientos[[#This Row],[Cuenta Bancaria]],Cuentas!$C:$C,Cuentas!$B:$B,""))</f>
        <v/>
      </c>
    </row>
    <row r="16" spans="1:18" x14ac:dyDescent="0.3">
      <c r="B16" s="38">
        <v>46143</v>
      </c>
      <c r="C16" s="4" t="s">
        <v>35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f>SUMIFS('Saldos Iniciales'!$D:$D,'Saldos Iniciales'!$A:$A,C16,'Saldos Iniciales'!$B:$B,D16)+SUMIFS($K$1:$K$1325,$C$1:$C$1325,C16,$D$1:$D$1325,D16,$B$1:$B$1325,"&lt;="&amp;B16)</f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91" t="str">
        <f>IF(tblMovimientos[[#This Row],[Cuenta Bancaria]]="","",_xlfn.XLOOKUP(tblMovimientos[[#This Row],[Cuenta Bancaria]],Cuentas!$C:$C,Cuentas!$A:$A,"No encontrado"))</f>
        <v>SSP Group</v>
      </c>
      <c r="R16" s="91" t="str">
        <f>TRIM(_xlfn.XLOOKUP(tblMovimientos[[#This Row],[Cuenta Bancaria]],Cuentas!$C:$C,Cuentas!$B:$B,""))</f>
        <v/>
      </c>
    </row>
    <row r="17" spans="2:18" x14ac:dyDescent="0.3">
      <c r="B17" s="38">
        <v>46146</v>
      </c>
      <c r="C17" s="4" t="s">
        <v>22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f>SUMIFS('Saldos Iniciales'!$D:$D,'Saldos Iniciales'!$A:$A,C17,'Saldos Iniciales'!$B:$B,D17)+SUMIFS($K$1:$K$1325,$C$1:$C$1325,C17,$D$1:$D$1325,D17,$B$1:$B$1325,"&lt;="&amp;B17)</f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91" t="str">
        <f>IF(tblMovimientos[[#This Row],[Cuenta Bancaria]]="","",_xlfn.XLOOKUP(tblMovimientos[[#This Row],[Cuenta Bancaria]],Cuentas!$C:$C,Cuentas!$A:$A,"No encontrado"))</f>
        <v>Trust</v>
      </c>
      <c r="R17" s="91" t="str">
        <f>TRIM(_xlfn.XLOOKUP(tblMovimientos[[#This Row],[Cuenta Bancaria]],Cuentas!$C:$C,Cuentas!$B:$B,""))</f>
        <v/>
      </c>
    </row>
    <row r="18" spans="2:18" x14ac:dyDescent="0.3">
      <c r="B18" s="38">
        <v>46146</v>
      </c>
      <c r="C18" s="4" t="s">
        <v>31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f>SUMIFS('Saldos Iniciales'!$D:$D,'Saldos Iniciales'!$A:$A,C18,'Saldos Iniciales'!$B:$B,D18)+SUMIFS($K$1:$K$1325,$C$1:$C$1325,C18,$D$1:$D$1325,D18,$B$1:$B$1325,"&lt;="&amp;B18)</f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91" t="str">
        <f>IF(tblMovimientos[[#This Row],[Cuenta Bancaria]]="","",_xlfn.XLOOKUP(tblMovimientos[[#This Row],[Cuenta Bancaria]],Cuentas!$C:$C,Cuentas!$A:$A,"No encontrado"))</f>
        <v>SSP Group</v>
      </c>
      <c r="R18" s="91" t="str">
        <f>TRIM(_xlfn.XLOOKUP(tblMovimientos[[#This Row],[Cuenta Bancaria]],Cuentas!$C:$C,Cuentas!$B:$B,""))</f>
        <v/>
      </c>
    </row>
    <row r="19" spans="2:18" x14ac:dyDescent="0.3">
      <c r="B19" s="38">
        <v>46146</v>
      </c>
      <c r="C19" s="4" t="s">
        <v>35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f>SUMIFS('Saldos Iniciales'!$D:$D,'Saldos Iniciales'!$A:$A,C19,'Saldos Iniciales'!$B:$B,D19)+SUMIFS($K$1:$K$1325,$C$1:$C$1325,C19,$D$1:$D$1325,D19,$B$1:$B$1325,"&lt;="&amp;B19)</f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91" t="str">
        <f>IF(tblMovimientos[[#This Row],[Cuenta Bancaria]]="","",_xlfn.XLOOKUP(tblMovimientos[[#This Row],[Cuenta Bancaria]],Cuentas!$C:$C,Cuentas!$A:$A,"No encontrado"))</f>
        <v>SSP Group</v>
      </c>
      <c r="R19" s="91" t="str">
        <f>TRIM(_xlfn.XLOOKUP(tblMovimientos[[#This Row],[Cuenta Bancaria]],Cuentas!$C:$C,Cuentas!$B:$B,""))</f>
        <v/>
      </c>
    </row>
    <row r="20" spans="2:18" x14ac:dyDescent="0.3">
      <c r="B20" s="38">
        <v>46146</v>
      </c>
      <c r="C20" s="4" t="s">
        <v>21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f>SUMIFS('Saldos Iniciales'!$D:$D,'Saldos Iniciales'!$A:$A,C20,'Saldos Iniciales'!$B:$B,D20)+SUMIFS($K$1:$K$1325,$C$1:$C$1325,C20,$D$1:$D$1325,D20,$B$1:$B$1325,"&lt;="&amp;B20)</f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91" t="str">
        <f>IF(tblMovimientos[[#This Row],[Cuenta Bancaria]]="","",_xlfn.XLOOKUP(tblMovimientos[[#This Row],[Cuenta Bancaria]],Cuentas!$C:$C,Cuentas!$A:$A,"No encontrado"))</f>
        <v>SSP Group</v>
      </c>
      <c r="R20" s="91" t="str">
        <f>TRIM(_xlfn.XLOOKUP(tblMovimientos[[#This Row],[Cuenta Bancaria]],Cuentas!$C:$C,Cuentas!$B:$B,""))</f>
        <v/>
      </c>
    </row>
    <row r="21" spans="2:18" x14ac:dyDescent="0.3">
      <c r="B21" s="38">
        <v>46146</v>
      </c>
      <c r="C21" s="4" t="s">
        <v>35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f>SUMIFS('Saldos Iniciales'!$D:$D,'Saldos Iniciales'!$A:$A,C21,'Saldos Iniciales'!$B:$B,D21)+SUMIFS($K$1:$K$1325,$C$1:$C$1325,C21,$D$1:$D$1325,D21,$B$1:$B$1325,"&lt;="&amp;B21)</f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91" t="str">
        <f>IF(tblMovimientos[[#This Row],[Cuenta Bancaria]]="","",_xlfn.XLOOKUP(tblMovimientos[[#This Row],[Cuenta Bancaria]],Cuentas!$C:$C,Cuentas!$A:$A,"No encontrado"))</f>
        <v>SSP Group</v>
      </c>
      <c r="R21" s="91" t="str">
        <f>TRIM(_xlfn.XLOOKUP(tblMovimientos[[#This Row],[Cuenta Bancaria]],Cuentas!$C:$C,Cuentas!$B:$B,""))</f>
        <v/>
      </c>
    </row>
    <row r="22" spans="2:18" x14ac:dyDescent="0.3">
      <c r="B22" s="38">
        <v>46147</v>
      </c>
      <c r="C22" s="4" t="s">
        <v>21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f>SUMIFS('Saldos Iniciales'!$D:$D,'Saldos Iniciales'!$A:$A,C22,'Saldos Iniciales'!$B:$B,D22)+SUMIFS($K$1:$K$1325,$C$1:$C$1325,C22,$D$1:$D$1325,D22,$B$1:$B$1325,"&lt;="&amp;B22)</f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91" t="str">
        <f>IF(tblMovimientos[[#This Row],[Cuenta Bancaria]]="","",_xlfn.XLOOKUP(tblMovimientos[[#This Row],[Cuenta Bancaria]],Cuentas!$C:$C,Cuentas!$A:$A,"No encontrado"))</f>
        <v>SSP Group</v>
      </c>
      <c r="R22" s="91" t="str">
        <f>TRIM(_xlfn.XLOOKUP(tblMovimientos[[#This Row],[Cuenta Bancaria]],Cuentas!$C:$C,Cuentas!$B:$B,""))</f>
        <v/>
      </c>
    </row>
    <row r="23" spans="2:18" x14ac:dyDescent="0.3">
      <c r="B23" s="38">
        <v>46147</v>
      </c>
      <c r="C23" s="4" t="s">
        <v>20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f>SUMIFS('Saldos Iniciales'!$D:$D,'Saldos Iniciales'!$A:$A,C23,'Saldos Iniciales'!$B:$B,D23)+SUMIFS($K$1:$K$1325,$C$1:$C$1325,C23,$D$1:$D$1325,D23,$B$1:$B$1325,"&lt;="&amp;B23)</f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91" t="str">
        <f>IF(tblMovimientos[[#This Row],[Cuenta Bancaria]]="","",_xlfn.XLOOKUP(tblMovimientos[[#This Row],[Cuenta Bancaria]],Cuentas!$C:$C,Cuentas!$A:$A,"No encontrado"))</f>
        <v>SSP Group</v>
      </c>
      <c r="R23" s="91" t="str">
        <f>TRIM(_xlfn.XLOOKUP(tblMovimientos[[#This Row],[Cuenta Bancaria]],Cuentas!$C:$C,Cuentas!$B:$B,""))</f>
        <v>Cross Security Trust</v>
      </c>
    </row>
    <row r="24" spans="2:18" x14ac:dyDescent="0.3">
      <c r="B24" s="38">
        <v>46147</v>
      </c>
      <c r="C24" s="4" t="s">
        <v>20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f>SUMIFS('Saldos Iniciales'!$D:$D,'Saldos Iniciales'!$A:$A,C24,'Saldos Iniciales'!$B:$B,D24)+SUMIFS($K$1:$K$1325,$C$1:$C$1325,C24,$D$1:$D$1325,D24,$B$1:$B$1325,"&lt;="&amp;B24)</f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91" t="str">
        <f>IF(tblMovimientos[[#This Row],[Cuenta Bancaria]]="","",_xlfn.XLOOKUP(tblMovimientos[[#This Row],[Cuenta Bancaria]],Cuentas!$C:$C,Cuentas!$A:$A,"No encontrado"))</f>
        <v>SSP Group</v>
      </c>
      <c r="R24" s="91" t="str">
        <f>TRIM(_xlfn.XLOOKUP(tblMovimientos[[#This Row],[Cuenta Bancaria]],Cuentas!$C:$C,Cuentas!$B:$B,""))</f>
        <v>Cross Security Trust</v>
      </c>
    </row>
    <row r="25" spans="2:18" x14ac:dyDescent="0.3">
      <c r="B25" s="39">
        <v>46147</v>
      </c>
      <c r="C25" s="4" t="s">
        <v>20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f>SUMIFS('Saldos Iniciales'!$D:$D,'Saldos Iniciales'!$A:$A,C25,'Saldos Iniciales'!$B:$B,D25)+SUMIFS($K$1:$K$1325,$C$1:$C$1325,C25,$D$1:$D$1325,D25,$B$1:$B$1325,"&lt;="&amp;B25)</f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91" t="str">
        <f>IF(tblMovimientos[[#This Row],[Cuenta Bancaria]]="","",_xlfn.XLOOKUP(tblMovimientos[[#This Row],[Cuenta Bancaria]],Cuentas!$C:$C,Cuentas!$A:$A,"No encontrado"))</f>
        <v>SSP Group</v>
      </c>
      <c r="R25" s="91" t="str">
        <f>TRIM(_xlfn.XLOOKUP(tblMovimientos[[#This Row],[Cuenta Bancaria]],Cuentas!$C:$C,Cuentas!$B:$B,""))</f>
        <v>Cross Security Trust</v>
      </c>
    </row>
    <row r="26" spans="2:18" x14ac:dyDescent="0.3">
      <c r="B26" s="39">
        <v>46147</v>
      </c>
      <c r="C26" s="4" t="s">
        <v>17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f>SUMIFS('Saldos Iniciales'!$D:$D,'Saldos Iniciales'!$A:$A,C26,'Saldos Iniciales'!$B:$B,D26)+SUMIFS($K$1:$K$1325,$C$1:$C$1325,C26,$D$1:$D$1325,D26,$B$1:$B$1325,"&lt;="&amp;B26)</f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91" t="str">
        <f>IF(tblMovimientos[[#This Row],[Cuenta Bancaria]]="","",_xlfn.XLOOKUP(tblMovimientos[[#This Row],[Cuenta Bancaria]],Cuentas!$C:$C,Cuentas!$A:$A,"No encontrado"))</f>
        <v>SSP Group</v>
      </c>
      <c r="R26" s="91" t="str">
        <f>TRIM(_xlfn.XLOOKUP(tblMovimientos[[#This Row],[Cuenta Bancaria]],Cuentas!$C:$C,Cuentas!$B:$B,""))</f>
        <v/>
      </c>
    </row>
    <row r="27" spans="2:18" x14ac:dyDescent="0.3">
      <c r="B27" s="39">
        <v>46147</v>
      </c>
      <c r="C27" s="4" t="s">
        <v>17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f>SUMIFS('Saldos Iniciales'!$D:$D,'Saldos Iniciales'!$A:$A,C27,'Saldos Iniciales'!$B:$B,D27)+SUMIFS($K$1:$K$1325,$C$1:$C$1325,C27,$D$1:$D$1325,D27,$B$1:$B$1325,"&lt;="&amp;B27)</f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91" t="str">
        <f>IF(tblMovimientos[[#This Row],[Cuenta Bancaria]]="","",_xlfn.XLOOKUP(tblMovimientos[[#This Row],[Cuenta Bancaria]],Cuentas!$C:$C,Cuentas!$A:$A,"No encontrado"))</f>
        <v>SSP Group</v>
      </c>
      <c r="R27" s="91" t="str">
        <f>TRIM(_xlfn.XLOOKUP(tblMovimientos[[#This Row],[Cuenta Bancaria]],Cuentas!$C:$C,Cuentas!$B:$B,""))</f>
        <v/>
      </c>
    </row>
    <row r="28" spans="2:18" x14ac:dyDescent="0.3">
      <c r="B28" s="39">
        <v>46147</v>
      </c>
      <c r="C28" s="4" t="s">
        <v>17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f>SUMIFS('Saldos Iniciales'!$D:$D,'Saldos Iniciales'!$A:$A,C28,'Saldos Iniciales'!$B:$B,D28)+SUMIFS($K$1:$K$1325,$C$1:$C$1325,C28,$D$1:$D$1325,D28,$B$1:$B$1325,"&lt;="&amp;B28)</f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91" t="str">
        <f>IF(tblMovimientos[[#This Row],[Cuenta Bancaria]]="","",_xlfn.XLOOKUP(tblMovimientos[[#This Row],[Cuenta Bancaria]],Cuentas!$C:$C,Cuentas!$A:$A,"No encontrado"))</f>
        <v>SSP Group</v>
      </c>
      <c r="R28" s="91" t="str">
        <f>TRIM(_xlfn.XLOOKUP(tblMovimientos[[#This Row],[Cuenta Bancaria]],Cuentas!$C:$C,Cuentas!$B:$B,""))</f>
        <v/>
      </c>
    </row>
    <row r="29" spans="2:18" x14ac:dyDescent="0.3">
      <c r="B29" s="39">
        <v>46147</v>
      </c>
      <c r="C29" s="4" t="s">
        <v>22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f>SUMIFS('Saldos Iniciales'!$D:$D,'Saldos Iniciales'!$A:$A,C29,'Saldos Iniciales'!$B:$B,D29)+SUMIFS($K$1:$K$1325,$C$1:$C$1325,C29,$D$1:$D$1325,D29,$B$1:$B$1325,"&lt;="&amp;B29)</f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91" t="str">
        <f>IF(tblMovimientos[[#This Row],[Cuenta Bancaria]]="","",_xlfn.XLOOKUP(tblMovimientos[[#This Row],[Cuenta Bancaria]],Cuentas!$C:$C,Cuentas!$A:$A,"No encontrado"))</f>
        <v>Trust</v>
      </c>
      <c r="R29" s="91" t="str">
        <f>TRIM(_xlfn.XLOOKUP(tblMovimientos[[#This Row],[Cuenta Bancaria]],Cuentas!$C:$C,Cuentas!$B:$B,""))</f>
        <v/>
      </c>
    </row>
    <row r="30" spans="2:18" x14ac:dyDescent="0.3">
      <c r="B30" s="39">
        <v>46147</v>
      </c>
      <c r="C30" s="4" t="s">
        <v>21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f>SUMIFS('Saldos Iniciales'!$D:$D,'Saldos Iniciales'!$A:$A,C30,'Saldos Iniciales'!$B:$B,D30)+SUMIFS($K$1:$K$1325,$C$1:$C$1325,C30,$D$1:$D$1325,D30,$B$1:$B$1325,"&lt;="&amp;B30)</f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91" t="str">
        <f>IF(tblMovimientos[[#This Row],[Cuenta Bancaria]]="","",_xlfn.XLOOKUP(tblMovimientos[[#This Row],[Cuenta Bancaria]],Cuentas!$C:$C,Cuentas!$A:$A,"No encontrado"))</f>
        <v>SSP Group</v>
      </c>
      <c r="R30" s="91" t="str">
        <f>TRIM(_xlfn.XLOOKUP(tblMovimientos[[#This Row],[Cuenta Bancaria]],Cuentas!$C:$C,Cuentas!$B:$B,""))</f>
        <v/>
      </c>
    </row>
    <row r="31" spans="2:18" x14ac:dyDescent="0.3">
      <c r="B31" s="39">
        <v>46147</v>
      </c>
      <c r="C31" s="4" t="s">
        <v>21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f>SUMIFS('Saldos Iniciales'!$D:$D,'Saldos Iniciales'!$A:$A,C31,'Saldos Iniciales'!$B:$B,D31)+SUMIFS($K$1:$K$1325,$C$1:$C$1325,C31,$D$1:$D$1325,D31,$B$1:$B$1325,"&lt;="&amp;B31)</f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91" t="str">
        <f>IF(tblMovimientos[[#This Row],[Cuenta Bancaria]]="","",_xlfn.XLOOKUP(tblMovimientos[[#This Row],[Cuenta Bancaria]],Cuentas!$C:$C,Cuentas!$A:$A,"No encontrado"))</f>
        <v>SSP Group</v>
      </c>
      <c r="R31" s="91" t="str">
        <f>TRIM(_xlfn.XLOOKUP(tblMovimientos[[#This Row],[Cuenta Bancaria]],Cuentas!$C:$C,Cuentas!$B:$B,""))</f>
        <v/>
      </c>
    </row>
    <row r="32" spans="2:18" x14ac:dyDescent="0.3">
      <c r="B32" s="39">
        <v>46147</v>
      </c>
      <c r="C32" s="4" t="s">
        <v>23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f>SUMIFS('Saldos Iniciales'!$D:$D,'Saldos Iniciales'!$A:$A,C32,'Saldos Iniciales'!$B:$B,D32)+SUMIFS($K$1:$K$1325,$C$1:$C$1325,C32,$D$1:$D$1325,D32,$B$1:$B$1325,"&lt;="&amp;B32)</f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91" t="str">
        <f>IF(tblMovimientos[[#This Row],[Cuenta Bancaria]]="","",_xlfn.XLOOKUP(tblMovimientos[[#This Row],[Cuenta Bancaria]],Cuentas!$C:$C,Cuentas!$A:$A,"No encontrado"))</f>
        <v>SSP Group</v>
      </c>
      <c r="R32" s="91" t="str">
        <f>TRIM(_xlfn.XLOOKUP(tblMovimientos[[#This Row],[Cuenta Bancaria]],Cuentas!$C:$C,Cuentas!$B:$B,""))</f>
        <v>Cross Security Trust</v>
      </c>
    </row>
    <row r="33" spans="2:18" x14ac:dyDescent="0.3">
      <c r="B33" s="39">
        <v>46147</v>
      </c>
      <c r="C33" s="4" t="s">
        <v>24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f>SUMIFS('Saldos Iniciales'!$D:$D,'Saldos Iniciales'!$A:$A,C33,'Saldos Iniciales'!$B:$B,D33)+SUMIFS($K$1:$K$1325,$C$1:$C$1325,C33,$D$1:$D$1325,D33,$B$1:$B$1325,"&lt;="&amp;B33)</f>
        <v>3052.02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91" t="str">
        <f>IF(tblMovimientos[[#This Row],[Cuenta Bancaria]]="","",_xlfn.XLOOKUP(tblMovimientos[[#This Row],[Cuenta Bancaria]],Cuentas!$C:$C,Cuentas!$A:$A,"No encontrado"))</f>
        <v>SSP Group</v>
      </c>
      <c r="R33" s="91" t="str">
        <f>TRIM(_xlfn.XLOOKUP(tblMovimientos[[#This Row],[Cuenta Bancaria]],Cuentas!$C:$C,Cuentas!$B:$B,""))</f>
        <v/>
      </c>
    </row>
    <row r="34" spans="2:18" x14ac:dyDescent="0.3">
      <c r="B34" s="39">
        <v>46147</v>
      </c>
      <c r="C34" s="4" t="s">
        <v>24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f>SUMIFS('Saldos Iniciales'!$D:$D,'Saldos Iniciales'!$A:$A,C34,'Saldos Iniciales'!$B:$B,D34)+SUMIFS($K$1:$K$1325,$C$1:$C$1325,C34,$D$1:$D$1325,D34,$B$1:$B$1325,"&lt;="&amp;B34)</f>
        <v>3052.02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91" t="str">
        <f>IF(tblMovimientos[[#This Row],[Cuenta Bancaria]]="","",_xlfn.XLOOKUP(tblMovimientos[[#This Row],[Cuenta Bancaria]],Cuentas!$C:$C,Cuentas!$A:$A,"No encontrado"))</f>
        <v>SSP Group</v>
      </c>
      <c r="R34" s="91" t="str">
        <f>TRIM(_xlfn.XLOOKUP(tblMovimientos[[#This Row],[Cuenta Bancaria]],Cuentas!$C:$C,Cuentas!$B:$B,""))</f>
        <v/>
      </c>
    </row>
    <row r="35" spans="2:18" x14ac:dyDescent="0.3">
      <c r="B35" s="39">
        <v>46148</v>
      </c>
      <c r="C35" s="4" t="s">
        <v>21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f>SUMIFS('Saldos Iniciales'!$D:$D,'Saldos Iniciales'!$A:$A,C35,'Saldos Iniciales'!$B:$B,D35)+SUMIFS($K$1:$K$1325,$C$1:$C$1325,C35,$D$1:$D$1325,D35,$B$1:$B$1325,"&lt;="&amp;B35)</f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91" t="str">
        <f>IF(tblMovimientos[[#This Row],[Cuenta Bancaria]]="","",_xlfn.XLOOKUP(tblMovimientos[[#This Row],[Cuenta Bancaria]],Cuentas!$C:$C,Cuentas!$A:$A,"No encontrado"))</f>
        <v>SSP Group</v>
      </c>
      <c r="R35" s="91" t="str">
        <f>TRIM(_xlfn.XLOOKUP(tblMovimientos[[#This Row],[Cuenta Bancaria]],Cuentas!$C:$C,Cuentas!$B:$B,""))</f>
        <v/>
      </c>
    </row>
    <row r="36" spans="2:18" x14ac:dyDescent="0.3">
      <c r="B36" s="39">
        <v>46148</v>
      </c>
      <c r="C36" s="4" t="s">
        <v>32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f>SUMIFS('Saldos Iniciales'!$D:$D,'Saldos Iniciales'!$A:$A,C36,'Saldos Iniciales'!$B:$B,D36)+SUMIFS($K$1:$K$1325,$C$1:$C$1325,C36,$D$1:$D$1325,D36,$B$1:$B$1325,"&lt;="&amp;B36)</f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91" t="str">
        <f>IF(tblMovimientos[[#This Row],[Cuenta Bancaria]]="","",_xlfn.XLOOKUP(tblMovimientos[[#This Row],[Cuenta Bancaria]],Cuentas!$C:$C,Cuentas!$A:$A,"No encontrado"))</f>
        <v>SSP Group</v>
      </c>
      <c r="R36" s="91" t="str">
        <f>TRIM(_xlfn.XLOOKUP(tblMovimientos[[#This Row],[Cuenta Bancaria]],Cuentas!$C:$C,Cuentas!$B:$B,""))</f>
        <v/>
      </c>
    </row>
    <row r="37" spans="2:18" x14ac:dyDescent="0.3">
      <c r="B37" s="39">
        <v>46148</v>
      </c>
      <c r="C37" s="4" t="s">
        <v>18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f>SUMIFS('Saldos Iniciales'!$D:$D,'Saldos Iniciales'!$A:$A,C37,'Saldos Iniciales'!$B:$B,D37)+SUMIFS($K$1:$K$1325,$C$1:$C$1325,C37,$D$1:$D$1325,D37,$B$1:$B$1325,"&lt;="&amp;B37)</f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91" t="str">
        <f>IF(tblMovimientos[[#This Row],[Cuenta Bancaria]]="","",_xlfn.XLOOKUP(tblMovimientos[[#This Row],[Cuenta Bancaria]],Cuentas!$C:$C,Cuentas!$A:$A,"No encontrado"))</f>
        <v>SSP Group</v>
      </c>
      <c r="R37" s="91" t="str">
        <f>TRIM(_xlfn.XLOOKUP(tblMovimientos[[#This Row],[Cuenta Bancaria]],Cuentas!$C:$C,Cuentas!$B:$B,""))</f>
        <v/>
      </c>
    </row>
    <row r="38" spans="2:18" x14ac:dyDescent="0.3">
      <c r="B38" s="39">
        <v>46148</v>
      </c>
      <c r="C38" s="4" t="s">
        <v>21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f>SUMIFS('Saldos Iniciales'!$D:$D,'Saldos Iniciales'!$A:$A,C38,'Saldos Iniciales'!$B:$B,D38)+SUMIFS($K$1:$K$1325,$C$1:$C$1325,C38,$D$1:$D$1325,D38,$B$1:$B$1325,"&lt;="&amp;B38)</f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91" t="str">
        <f>IF(tblMovimientos[[#This Row],[Cuenta Bancaria]]="","",_xlfn.XLOOKUP(tblMovimientos[[#This Row],[Cuenta Bancaria]],Cuentas!$C:$C,Cuentas!$A:$A,"No encontrado"))</f>
        <v>SSP Group</v>
      </c>
      <c r="R38" s="91" t="str">
        <f>TRIM(_xlfn.XLOOKUP(tblMovimientos[[#This Row],[Cuenta Bancaria]],Cuentas!$C:$C,Cuentas!$B:$B,""))</f>
        <v/>
      </c>
    </row>
    <row r="39" spans="2:18" x14ac:dyDescent="0.3">
      <c r="B39" s="39">
        <v>46149</v>
      </c>
      <c r="C39" s="4" t="s">
        <v>21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f>SUMIFS('Saldos Iniciales'!$D:$D,'Saldos Iniciales'!$A:$A,C39,'Saldos Iniciales'!$B:$B,D39)+SUMIFS($K$1:$K$1325,$C$1:$C$1325,C39,$D$1:$D$1325,D39,$B$1:$B$1325,"&lt;="&amp;B39)</f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91" t="str">
        <f>IF(tblMovimientos[[#This Row],[Cuenta Bancaria]]="","",_xlfn.XLOOKUP(tblMovimientos[[#This Row],[Cuenta Bancaria]],Cuentas!$C:$C,Cuentas!$A:$A,"No encontrado"))</f>
        <v>SSP Group</v>
      </c>
      <c r="R39" s="91" t="str">
        <f>TRIM(_xlfn.XLOOKUP(tblMovimientos[[#This Row],[Cuenta Bancaria]],Cuentas!$C:$C,Cuentas!$B:$B,""))</f>
        <v/>
      </c>
    </row>
    <row r="40" spans="2:18" x14ac:dyDescent="0.3">
      <c r="B40" s="39">
        <v>46149</v>
      </c>
      <c r="C40" s="4" t="s">
        <v>21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f>SUMIFS('Saldos Iniciales'!$D:$D,'Saldos Iniciales'!$A:$A,C40,'Saldos Iniciales'!$B:$B,D40)+SUMIFS($K$1:$K$1325,$C$1:$C$1325,C40,$D$1:$D$1325,D40,$B$1:$B$1325,"&lt;="&amp;B40)</f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91" t="str">
        <f>IF(tblMovimientos[[#This Row],[Cuenta Bancaria]]="","",_xlfn.XLOOKUP(tblMovimientos[[#This Row],[Cuenta Bancaria]],Cuentas!$C:$C,Cuentas!$A:$A,"No encontrado"))</f>
        <v>SSP Group</v>
      </c>
      <c r="R40" s="91" t="str">
        <f>TRIM(_xlfn.XLOOKUP(tblMovimientos[[#This Row],[Cuenta Bancaria]],Cuentas!$C:$C,Cuentas!$B:$B,""))</f>
        <v/>
      </c>
    </row>
    <row r="41" spans="2:18" x14ac:dyDescent="0.3">
      <c r="B41" s="39">
        <v>46149</v>
      </c>
      <c r="C41" s="4" t="s">
        <v>20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f>SUMIFS('Saldos Iniciales'!$D:$D,'Saldos Iniciales'!$A:$A,C41,'Saldos Iniciales'!$B:$B,D41)+SUMIFS($K$1:$K$1325,$C$1:$C$1325,C41,$D$1:$D$1325,D41,$B$1:$B$1325,"&lt;="&amp;B41)</f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91" t="str">
        <f>IF(tblMovimientos[[#This Row],[Cuenta Bancaria]]="","",_xlfn.XLOOKUP(tblMovimientos[[#This Row],[Cuenta Bancaria]],Cuentas!$C:$C,Cuentas!$A:$A,"No encontrado"))</f>
        <v>SSP Group</v>
      </c>
      <c r="R41" s="91" t="str">
        <f>TRIM(_xlfn.XLOOKUP(tblMovimientos[[#This Row],[Cuenta Bancaria]],Cuentas!$C:$C,Cuentas!$B:$B,""))</f>
        <v>Cross Security Trust</v>
      </c>
    </row>
    <row r="42" spans="2:18" x14ac:dyDescent="0.3">
      <c r="B42" s="39">
        <v>46149</v>
      </c>
      <c r="C42" s="4" t="s">
        <v>20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f>SUMIFS('Saldos Iniciales'!$D:$D,'Saldos Iniciales'!$A:$A,C42,'Saldos Iniciales'!$B:$B,D42)+SUMIFS($K$1:$K$1325,$C$1:$C$1325,C42,$D$1:$D$1325,D42,$B$1:$B$1325,"&lt;="&amp;B42)</f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91" t="str">
        <f>IF(tblMovimientos[[#This Row],[Cuenta Bancaria]]="","",_xlfn.XLOOKUP(tblMovimientos[[#This Row],[Cuenta Bancaria]],Cuentas!$C:$C,Cuentas!$A:$A,"No encontrado"))</f>
        <v>SSP Group</v>
      </c>
      <c r="R42" s="91" t="str">
        <f>TRIM(_xlfn.XLOOKUP(tblMovimientos[[#This Row],[Cuenta Bancaria]],Cuentas!$C:$C,Cuentas!$B:$B,""))</f>
        <v>Cross Security Trust</v>
      </c>
    </row>
    <row r="43" spans="2:18" x14ac:dyDescent="0.3">
      <c r="B43" s="39">
        <v>46149</v>
      </c>
      <c r="C43" s="4" t="s">
        <v>17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f>SUMIFS('Saldos Iniciales'!$D:$D,'Saldos Iniciales'!$A:$A,C43,'Saldos Iniciales'!$B:$B,D43)+SUMIFS($K$1:$K$1325,$C$1:$C$1325,C43,$D$1:$D$1325,D43,$B$1:$B$1325,"&lt;="&amp;B43)</f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91" t="str">
        <f>IF(tblMovimientos[[#This Row],[Cuenta Bancaria]]="","",_xlfn.XLOOKUP(tblMovimientos[[#This Row],[Cuenta Bancaria]],Cuentas!$C:$C,Cuentas!$A:$A,"No encontrado"))</f>
        <v>SSP Group</v>
      </c>
      <c r="R43" s="91" t="str">
        <f>TRIM(_xlfn.XLOOKUP(tblMovimientos[[#This Row],[Cuenta Bancaria]],Cuentas!$C:$C,Cuentas!$B:$B,""))</f>
        <v/>
      </c>
    </row>
    <row r="44" spans="2:18" x14ac:dyDescent="0.3">
      <c r="B44" s="39">
        <v>46149</v>
      </c>
      <c r="C44" s="4" t="s">
        <v>17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f>SUMIFS('Saldos Iniciales'!$D:$D,'Saldos Iniciales'!$A:$A,C44,'Saldos Iniciales'!$B:$B,D44)+SUMIFS($K$1:$K$1325,$C$1:$C$1325,C44,$D$1:$D$1325,D44,$B$1:$B$1325,"&lt;="&amp;B44)</f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91" t="str">
        <f>IF(tblMovimientos[[#This Row],[Cuenta Bancaria]]="","",_xlfn.XLOOKUP(tblMovimientos[[#This Row],[Cuenta Bancaria]],Cuentas!$C:$C,Cuentas!$A:$A,"No encontrado"))</f>
        <v>SSP Group</v>
      </c>
      <c r="R44" s="91" t="str">
        <f>TRIM(_xlfn.XLOOKUP(tblMovimientos[[#This Row],[Cuenta Bancaria]],Cuentas!$C:$C,Cuentas!$B:$B,""))</f>
        <v/>
      </c>
    </row>
    <row r="45" spans="2:18" x14ac:dyDescent="0.3">
      <c r="B45" s="39">
        <v>46149</v>
      </c>
      <c r="C45" s="4" t="s">
        <v>32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f>SUMIFS('Saldos Iniciales'!$D:$D,'Saldos Iniciales'!$A:$A,C45,'Saldos Iniciales'!$B:$B,D45)+SUMIFS($K$1:$K$1325,$C$1:$C$1325,C45,$D$1:$D$1325,D45,$B$1:$B$1325,"&lt;="&amp;B45)</f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91" t="str">
        <f>IF(tblMovimientos[[#This Row],[Cuenta Bancaria]]="","",_xlfn.XLOOKUP(tblMovimientos[[#This Row],[Cuenta Bancaria]],Cuentas!$C:$C,Cuentas!$A:$A,"No encontrado"))</f>
        <v>SSP Group</v>
      </c>
      <c r="R45" s="91" t="str">
        <f>TRIM(_xlfn.XLOOKUP(tblMovimientos[[#This Row],[Cuenta Bancaria]],Cuentas!$C:$C,Cuentas!$B:$B,""))</f>
        <v/>
      </c>
    </row>
    <row r="46" spans="2:18" x14ac:dyDescent="0.3">
      <c r="B46" s="39">
        <v>46149</v>
      </c>
      <c r="C46" s="4" t="s">
        <v>33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f>SUMIFS('Saldos Iniciales'!$D:$D,'Saldos Iniciales'!$A:$A,C46,'Saldos Iniciales'!$B:$B,D46)+SUMIFS($K$1:$K$1325,$C$1:$C$1325,C46,$D$1:$D$1325,D46,$B$1:$B$1325,"&lt;="&amp;B46)</f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91" t="str">
        <f>IF(tblMovimientos[[#This Row],[Cuenta Bancaria]]="","",_xlfn.XLOOKUP(tblMovimientos[[#This Row],[Cuenta Bancaria]],Cuentas!$C:$C,Cuentas!$A:$A,"No encontrado"))</f>
        <v>SSP Group</v>
      </c>
      <c r="R46" s="91" t="str">
        <f>TRIM(_xlfn.XLOOKUP(tblMovimientos[[#This Row],[Cuenta Bancaria]],Cuentas!$C:$C,Cuentas!$B:$B,""))</f>
        <v/>
      </c>
    </row>
    <row r="47" spans="2:18" x14ac:dyDescent="0.3">
      <c r="B47" s="39">
        <v>46149</v>
      </c>
      <c r="C47" s="4" t="s">
        <v>18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f>SUMIFS('Saldos Iniciales'!$D:$D,'Saldos Iniciales'!$A:$A,C47,'Saldos Iniciales'!$B:$B,D47)+SUMIFS($K$1:$K$1325,$C$1:$C$1325,C47,$D$1:$D$1325,D47,$B$1:$B$1325,"&lt;="&amp;B47)</f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91" t="str">
        <f>IF(tblMovimientos[[#This Row],[Cuenta Bancaria]]="","",_xlfn.XLOOKUP(tblMovimientos[[#This Row],[Cuenta Bancaria]],Cuentas!$C:$C,Cuentas!$A:$A,"No encontrado"))</f>
        <v>SSP Group</v>
      </c>
      <c r="R47" s="91" t="str">
        <f>TRIM(_xlfn.XLOOKUP(tblMovimientos[[#This Row],[Cuenta Bancaria]],Cuentas!$C:$C,Cuentas!$B:$B,""))</f>
        <v/>
      </c>
    </row>
    <row r="48" spans="2:18" x14ac:dyDescent="0.3">
      <c r="B48" s="39">
        <v>46149</v>
      </c>
      <c r="C48" s="4" t="s">
        <v>17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f>SUMIFS('Saldos Iniciales'!$D:$D,'Saldos Iniciales'!$A:$A,C48,'Saldos Iniciales'!$B:$B,D48)+SUMIFS($K$1:$K$1325,$C$1:$C$1325,C48,$D$1:$D$1325,D48,$B$1:$B$1325,"&lt;="&amp;B48)</f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91" t="str">
        <f>IF(tblMovimientos[[#This Row],[Cuenta Bancaria]]="","",_xlfn.XLOOKUP(tblMovimientos[[#This Row],[Cuenta Bancaria]],Cuentas!$C:$C,Cuentas!$A:$A,"No encontrado"))</f>
        <v>SSP Group</v>
      </c>
      <c r="R48" s="91" t="str">
        <f>TRIM(_xlfn.XLOOKUP(tblMovimientos[[#This Row],[Cuenta Bancaria]],Cuentas!$C:$C,Cuentas!$B:$B,""))</f>
        <v/>
      </c>
    </row>
    <row r="49" spans="2:18" x14ac:dyDescent="0.3">
      <c r="B49" s="39">
        <v>46149</v>
      </c>
      <c r="C49" s="4" t="s">
        <v>17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f>SUMIFS('Saldos Iniciales'!$D:$D,'Saldos Iniciales'!$A:$A,C49,'Saldos Iniciales'!$B:$B,D49)+SUMIFS($K$1:$K$1325,$C$1:$C$1325,C49,$D$1:$D$1325,D49,$B$1:$B$1325,"&lt;="&amp;B49)</f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91" t="str">
        <f>IF(tblMovimientos[[#This Row],[Cuenta Bancaria]]="","",_xlfn.XLOOKUP(tblMovimientos[[#This Row],[Cuenta Bancaria]],Cuentas!$C:$C,Cuentas!$A:$A,"No encontrado"))</f>
        <v>SSP Group</v>
      </c>
      <c r="R49" s="91" t="str">
        <f>TRIM(_xlfn.XLOOKUP(tblMovimientos[[#This Row],[Cuenta Bancaria]],Cuentas!$C:$C,Cuentas!$B:$B,""))</f>
        <v/>
      </c>
    </row>
    <row r="50" spans="2:18" x14ac:dyDescent="0.3">
      <c r="B50" s="39">
        <v>46149</v>
      </c>
      <c r="C50" s="4" t="s">
        <v>17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f>SUMIFS('Saldos Iniciales'!$D:$D,'Saldos Iniciales'!$A:$A,C50,'Saldos Iniciales'!$B:$B,D50)+SUMIFS($K$1:$K$1325,$C$1:$C$1325,C50,$D$1:$D$1325,D50,$B$1:$B$1325,"&lt;="&amp;B50)</f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91" t="str">
        <f>IF(tblMovimientos[[#This Row],[Cuenta Bancaria]]="","",_xlfn.XLOOKUP(tblMovimientos[[#This Row],[Cuenta Bancaria]],Cuentas!$C:$C,Cuentas!$A:$A,"No encontrado"))</f>
        <v>SSP Group</v>
      </c>
      <c r="R50" s="91" t="str">
        <f>TRIM(_xlfn.XLOOKUP(tblMovimientos[[#This Row],[Cuenta Bancaria]],Cuentas!$C:$C,Cuentas!$B:$B,""))</f>
        <v/>
      </c>
    </row>
    <row r="51" spans="2:18" x14ac:dyDescent="0.3">
      <c r="B51" s="39">
        <v>46149</v>
      </c>
      <c r="C51" s="4" t="s">
        <v>17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f>SUMIFS('Saldos Iniciales'!$D:$D,'Saldos Iniciales'!$A:$A,C51,'Saldos Iniciales'!$B:$B,D51)+SUMIFS($K$1:$K$1325,$C$1:$C$1325,C51,$D$1:$D$1325,D51,$B$1:$B$1325,"&lt;="&amp;B51)</f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91" t="str">
        <f>IF(tblMovimientos[[#This Row],[Cuenta Bancaria]]="","",_xlfn.XLOOKUP(tblMovimientos[[#This Row],[Cuenta Bancaria]],Cuentas!$C:$C,Cuentas!$A:$A,"No encontrado"))</f>
        <v>SSP Group</v>
      </c>
      <c r="R51" s="91" t="str">
        <f>TRIM(_xlfn.XLOOKUP(tblMovimientos[[#This Row],[Cuenta Bancaria]],Cuentas!$C:$C,Cuentas!$B:$B,""))</f>
        <v/>
      </c>
    </row>
    <row r="52" spans="2:18" x14ac:dyDescent="0.3">
      <c r="B52" s="39">
        <v>46149</v>
      </c>
      <c r="C52" s="4" t="s">
        <v>17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f>SUMIFS('Saldos Iniciales'!$D:$D,'Saldos Iniciales'!$A:$A,C52,'Saldos Iniciales'!$B:$B,D52)+SUMIFS($K$1:$K$1325,$C$1:$C$1325,C52,$D$1:$D$1325,D52,$B$1:$B$1325,"&lt;="&amp;B52)</f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91" t="str">
        <f>IF(tblMovimientos[[#This Row],[Cuenta Bancaria]]="","",_xlfn.XLOOKUP(tblMovimientos[[#This Row],[Cuenta Bancaria]],Cuentas!$C:$C,Cuentas!$A:$A,"No encontrado"))</f>
        <v>SSP Group</v>
      </c>
      <c r="R52" s="91" t="str">
        <f>TRIM(_xlfn.XLOOKUP(tblMovimientos[[#This Row],[Cuenta Bancaria]],Cuentas!$C:$C,Cuentas!$B:$B,""))</f>
        <v/>
      </c>
    </row>
    <row r="53" spans="2:18" x14ac:dyDescent="0.3">
      <c r="B53" s="39">
        <v>46149</v>
      </c>
      <c r="C53" s="4" t="s">
        <v>21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f>SUMIFS('Saldos Iniciales'!$D:$D,'Saldos Iniciales'!$A:$A,C53,'Saldos Iniciales'!$B:$B,D53)+SUMIFS($K$1:$K$1325,$C$1:$C$1325,C53,$D$1:$D$1325,D53,$B$1:$B$1325,"&lt;="&amp;B53)</f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91" t="str">
        <f>IF(tblMovimientos[[#This Row],[Cuenta Bancaria]]="","",_xlfn.XLOOKUP(tblMovimientos[[#This Row],[Cuenta Bancaria]],Cuentas!$C:$C,Cuentas!$A:$A,"No encontrado"))</f>
        <v>SSP Group</v>
      </c>
      <c r="R53" s="91" t="str">
        <f>TRIM(_xlfn.XLOOKUP(tblMovimientos[[#This Row],[Cuenta Bancaria]],Cuentas!$C:$C,Cuentas!$B:$B,""))</f>
        <v/>
      </c>
    </row>
    <row r="54" spans="2:18" x14ac:dyDescent="0.3">
      <c r="B54" s="39">
        <v>46149</v>
      </c>
      <c r="C54" s="4" t="s">
        <v>21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f>SUMIFS('Saldos Iniciales'!$D:$D,'Saldos Iniciales'!$A:$A,C54,'Saldos Iniciales'!$B:$B,D54)+SUMIFS($K$1:$K$1325,$C$1:$C$1325,C54,$D$1:$D$1325,D54,$B$1:$B$1325,"&lt;="&amp;B54)</f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91" t="str">
        <f>IF(tblMovimientos[[#This Row],[Cuenta Bancaria]]="","",_xlfn.XLOOKUP(tblMovimientos[[#This Row],[Cuenta Bancaria]],Cuentas!$C:$C,Cuentas!$A:$A,"No encontrado"))</f>
        <v>SSP Group</v>
      </c>
      <c r="R54" s="91" t="str">
        <f>TRIM(_xlfn.XLOOKUP(tblMovimientos[[#This Row],[Cuenta Bancaria]],Cuentas!$C:$C,Cuentas!$B:$B,""))</f>
        <v/>
      </c>
    </row>
    <row r="55" spans="2:18" x14ac:dyDescent="0.3">
      <c r="B55" s="39">
        <v>46149</v>
      </c>
      <c r="C55" s="4" t="s">
        <v>23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f>SUMIFS('Saldos Iniciales'!$D:$D,'Saldos Iniciales'!$A:$A,C55,'Saldos Iniciales'!$B:$B,D55)+SUMIFS($K$1:$K$1325,$C$1:$C$1325,C55,$D$1:$D$1325,D55,$B$1:$B$1325,"&lt;="&amp;B55)</f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91" t="str">
        <f>IF(tblMovimientos[[#This Row],[Cuenta Bancaria]]="","",_xlfn.XLOOKUP(tblMovimientos[[#This Row],[Cuenta Bancaria]],Cuentas!$C:$C,Cuentas!$A:$A,"No encontrado"))</f>
        <v>SSP Group</v>
      </c>
      <c r="R55" s="91" t="str">
        <f>TRIM(_xlfn.XLOOKUP(tblMovimientos[[#This Row],[Cuenta Bancaria]],Cuentas!$C:$C,Cuentas!$B:$B,""))</f>
        <v>Cross Security Trust</v>
      </c>
    </row>
    <row r="56" spans="2:18" x14ac:dyDescent="0.3">
      <c r="B56" s="39">
        <v>46150</v>
      </c>
      <c r="C56" s="4" t="s">
        <v>21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f>SUMIFS('Saldos Iniciales'!$D:$D,'Saldos Iniciales'!$A:$A,C56,'Saldos Iniciales'!$B:$B,D56)+SUMIFS($K$1:$K$1325,$C$1:$C$1325,C56,$D$1:$D$1325,D56,$B$1:$B$1325,"&lt;="&amp;B56)</f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91" t="str">
        <f>IF(tblMovimientos[[#This Row],[Cuenta Bancaria]]="","",_xlfn.XLOOKUP(tblMovimientos[[#This Row],[Cuenta Bancaria]],Cuentas!$C:$C,Cuentas!$A:$A,"No encontrado"))</f>
        <v>SSP Group</v>
      </c>
      <c r="R56" s="91" t="str">
        <f>TRIM(_xlfn.XLOOKUP(tblMovimientos[[#This Row],[Cuenta Bancaria]],Cuentas!$C:$C,Cuentas!$B:$B,""))</f>
        <v/>
      </c>
    </row>
    <row r="57" spans="2:18" x14ac:dyDescent="0.3">
      <c r="B57" s="39">
        <v>46150</v>
      </c>
      <c r="C57" s="4" t="s">
        <v>20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f>SUMIFS('Saldos Iniciales'!$D:$D,'Saldos Iniciales'!$A:$A,C57,'Saldos Iniciales'!$B:$B,D57)+SUMIFS($K$1:$K$1325,$C$1:$C$1325,C57,$D$1:$D$1325,D57,$B$1:$B$1325,"&lt;="&amp;B57)</f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91" t="str">
        <f>IF(tblMovimientos[[#This Row],[Cuenta Bancaria]]="","",_xlfn.XLOOKUP(tblMovimientos[[#This Row],[Cuenta Bancaria]],Cuentas!$C:$C,Cuentas!$A:$A,"No encontrado"))</f>
        <v>SSP Group</v>
      </c>
      <c r="R57" s="91" t="str">
        <f>TRIM(_xlfn.XLOOKUP(tblMovimientos[[#This Row],[Cuenta Bancaria]],Cuentas!$C:$C,Cuentas!$B:$B,""))</f>
        <v>Cross Security Trust</v>
      </c>
    </row>
    <row r="58" spans="2:18" x14ac:dyDescent="0.3">
      <c r="B58" s="39">
        <v>46150</v>
      </c>
      <c r="C58" s="4" t="s">
        <v>20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f>SUMIFS('Saldos Iniciales'!$D:$D,'Saldos Iniciales'!$A:$A,C58,'Saldos Iniciales'!$B:$B,D58)+SUMIFS($K$1:$K$1325,$C$1:$C$1325,C58,$D$1:$D$1325,D58,$B$1:$B$1325,"&lt;="&amp;B58)</f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91" t="str">
        <f>IF(tblMovimientos[[#This Row],[Cuenta Bancaria]]="","",_xlfn.XLOOKUP(tblMovimientos[[#This Row],[Cuenta Bancaria]],Cuentas!$C:$C,Cuentas!$A:$A,"No encontrado"))</f>
        <v>SSP Group</v>
      </c>
      <c r="R58" s="91" t="str">
        <f>TRIM(_xlfn.XLOOKUP(tblMovimientos[[#This Row],[Cuenta Bancaria]],Cuentas!$C:$C,Cuentas!$B:$B,""))</f>
        <v>Cross Security Trust</v>
      </c>
    </row>
    <row r="59" spans="2:18" x14ac:dyDescent="0.3">
      <c r="B59" s="39">
        <v>46150</v>
      </c>
      <c r="C59" s="4" t="s">
        <v>17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f>SUMIFS('Saldos Iniciales'!$D:$D,'Saldos Iniciales'!$A:$A,C59,'Saldos Iniciales'!$B:$B,D59)+SUMIFS($K$1:$K$1325,$C$1:$C$1325,C59,$D$1:$D$1325,D59,$B$1:$B$1325,"&lt;="&amp;B59)</f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91" t="str">
        <f>IF(tblMovimientos[[#This Row],[Cuenta Bancaria]]="","",_xlfn.XLOOKUP(tblMovimientos[[#This Row],[Cuenta Bancaria]],Cuentas!$C:$C,Cuentas!$A:$A,"No encontrado"))</f>
        <v>SSP Group</v>
      </c>
      <c r="R59" s="91" t="str">
        <f>TRIM(_xlfn.XLOOKUP(tblMovimientos[[#This Row],[Cuenta Bancaria]],Cuentas!$C:$C,Cuentas!$B:$B,""))</f>
        <v/>
      </c>
    </row>
    <row r="60" spans="2:18" x14ac:dyDescent="0.3">
      <c r="B60" s="39">
        <v>46150</v>
      </c>
      <c r="C60" s="4" t="s">
        <v>31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f>SUMIFS('Saldos Iniciales'!$D:$D,'Saldos Iniciales'!$A:$A,C60,'Saldos Iniciales'!$B:$B,D60)+SUMIFS($K$1:$K$1325,$C$1:$C$1325,C60,$D$1:$D$1325,D60,$B$1:$B$1325,"&lt;="&amp;B60)</f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91" t="str">
        <f>IF(tblMovimientos[[#This Row],[Cuenta Bancaria]]="","",_xlfn.XLOOKUP(tblMovimientos[[#This Row],[Cuenta Bancaria]],Cuentas!$C:$C,Cuentas!$A:$A,"No encontrado"))</f>
        <v>SSP Group</v>
      </c>
      <c r="R60" s="91" t="str">
        <f>TRIM(_xlfn.XLOOKUP(tblMovimientos[[#This Row],[Cuenta Bancaria]],Cuentas!$C:$C,Cuentas!$B:$B,""))</f>
        <v/>
      </c>
    </row>
    <row r="61" spans="2:18" x14ac:dyDescent="0.3">
      <c r="B61" s="39">
        <v>46150</v>
      </c>
      <c r="C61" s="4" t="s">
        <v>31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f>SUMIFS('Saldos Iniciales'!$D:$D,'Saldos Iniciales'!$A:$A,C61,'Saldos Iniciales'!$B:$B,D61)+SUMIFS($K$1:$K$1325,$C$1:$C$1325,C61,$D$1:$D$1325,D61,$B$1:$B$1325,"&lt;="&amp;B61)</f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91" t="str">
        <f>IF(tblMovimientos[[#This Row],[Cuenta Bancaria]]="","",_xlfn.XLOOKUP(tblMovimientos[[#This Row],[Cuenta Bancaria]],Cuentas!$C:$C,Cuentas!$A:$A,"No encontrado"))</f>
        <v>SSP Group</v>
      </c>
      <c r="R61" s="91" t="str">
        <f>TRIM(_xlfn.XLOOKUP(tblMovimientos[[#This Row],[Cuenta Bancaria]],Cuentas!$C:$C,Cuentas!$B:$B,""))</f>
        <v/>
      </c>
    </row>
    <row r="62" spans="2:18" x14ac:dyDescent="0.3">
      <c r="B62" s="39">
        <v>46150</v>
      </c>
      <c r="C62" s="4" t="s">
        <v>32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f>SUMIFS('Saldos Iniciales'!$D:$D,'Saldos Iniciales'!$A:$A,C62,'Saldos Iniciales'!$B:$B,D62)+SUMIFS($K$1:$K$1325,$C$1:$C$1325,C62,$D$1:$D$1325,D62,$B$1:$B$1325,"&lt;="&amp;B62)</f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91" t="str">
        <f>IF(tblMovimientos[[#This Row],[Cuenta Bancaria]]="","",_xlfn.XLOOKUP(tblMovimientos[[#This Row],[Cuenta Bancaria]],Cuentas!$C:$C,Cuentas!$A:$A,"No encontrado"))</f>
        <v>SSP Group</v>
      </c>
      <c r="R62" s="91" t="str">
        <f>TRIM(_xlfn.XLOOKUP(tblMovimientos[[#This Row],[Cuenta Bancaria]],Cuentas!$C:$C,Cuentas!$B:$B,""))</f>
        <v/>
      </c>
    </row>
    <row r="63" spans="2:18" x14ac:dyDescent="0.3">
      <c r="B63" s="39">
        <v>46150</v>
      </c>
      <c r="C63" s="4" t="s">
        <v>33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f>SUMIFS('Saldos Iniciales'!$D:$D,'Saldos Iniciales'!$A:$A,C63,'Saldos Iniciales'!$B:$B,D63)+SUMIFS($K$1:$K$1325,$C$1:$C$1325,C63,$D$1:$D$1325,D63,$B$1:$B$1325,"&lt;="&amp;B63)</f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91" t="str">
        <f>IF(tblMovimientos[[#This Row],[Cuenta Bancaria]]="","",_xlfn.XLOOKUP(tblMovimientos[[#This Row],[Cuenta Bancaria]],Cuentas!$C:$C,Cuentas!$A:$A,"No encontrado"))</f>
        <v>SSP Group</v>
      </c>
      <c r="R63" s="91" t="str">
        <f>TRIM(_xlfn.XLOOKUP(tblMovimientos[[#This Row],[Cuenta Bancaria]],Cuentas!$C:$C,Cuentas!$B:$B,""))</f>
        <v/>
      </c>
    </row>
    <row r="64" spans="2:18" x14ac:dyDescent="0.3">
      <c r="B64" s="39">
        <v>46150</v>
      </c>
      <c r="C64" s="4" t="s">
        <v>18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f>SUMIFS('Saldos Iniciales'!$D:$D,'Saldos Iniciales'!$A:$A,C64,'Saldos Iniciales'!$B:$B,D64)+SUMIFS($K$1:$K$1325,$C$1:$C$1325,C64,$D$1:$D$1325,D64,$B$1:$B$1325,"&lt;="&amp;B64)</f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91" t="str">
        <f>IF(tblMovimientos[[#This Row],[Cuenta Bancaria]]="","",_xlfn.XLOOKUP(tblMovimientos[[#This Row],[Cuenta Bancaria]],Cuentas!$C:$C,Cuentas!$A:$A,"No encontrado"))</f>
        <v>SSP Group</v>
      </c>
      <c r="R64" s="91" t="str">
        <f>TRIM(_xlfn.XLOOKUP(tblMovimientos[[#This Row],[Cuenta Bancaria]],Cuentas!$C:$C,Cuentas!$B:$B,""))</f>
        <v/>
      </c>
    </row>
    <row r="65" spans="2:18" x14ac:dyDescent="0.3">
      <c r="B65" s="39">
        <v>46150</v>
      </c>
      <c r="C65" s="4" t="s">
        <v>35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f>SUMIFS('Saldos Iniciales'!$D:$D,'Saldos Iniciales'!$A:$A,C65,'Saldos Iniciales'!$B:$B,D65)+SUMIFS($K$1:$K$1325,$C$1:$C$1325,C65,$D$1:$D$1325,D65,$B$1:$B$1325,"&lt;="&amp;B65)</f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91" t="str">
        <f>IF(tblMovimientos[[#This Row],[Cuenta Bancaria]]="","",_xlfn.XLOOKUP(tblMovimientos[[#This Row],[Cuenta Bancaria]],Cuentas!$C:$C,Cuentas!$A:$A,"No encontrado"))</f>
        <v>SSP Group</v>
      </c>
      <c r="R65" s="91" t="str">
        <f>TRIM(_xlfn.XLOOKUP(tblMovimientos[[#This Row],[Cuenta Bancaria]],Cuentas!$C:$C,Cuentas!$B:$B,""))</f>
        <v/>
      </c>
    </row>
    <row r="66" spans="2:18" x14ac:dyDescent="0.3">
      <c r="B66" s="39">
        <v>46150</v>
      </c>
      <c r="C66" s="4" t="s">
        <v>23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f>SUMIFS('Saldos Iniciales'!$D:$D,'Saldos Iniciales'!$A:$A,C66,'Saldos Iniciales'!$B:$B,D66)+SUMIFS($K$1:$K$1325,$C$1:$C$1325,C66,$D$1:$D$1325,D66,$B$1:$B$1325,"&lt;="&amp;B66)</f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91" t="str">
        <f>IF(tblMovimientos[[#This Row],[Cuenta Bancaria]]="","",_xlfn.XLOOKUP(tblMovimientos[[#This Row],[Cuenta Bancaria]],Cuentas!$C:$C,Cuentas!$A:$A,"No encontrado"))</f>
        <v>SSP Group</v>
      </c>
      <c r="R66" s="91" t="str">
        <f>TRIM(_xlfn.XLOOKUP(tblMovimientos[[#This Row],[Cuenta Bancaria]],Cuentas!$C:$C,Cuentas!$B:$B,""))</f>
        <v>Cross Security Trust</v>
      </c>
    </row>
    <row r="67" spans="2:18" x14ac:dyDescent="0.3">
      <c r="B67" s="39">
        <v>46150</v>
      </c>
      <c r="C67" s="4" t="s">
        <v>27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f>SUMIFS('Saldos Iniciales'!$D:$D,'Saldos Iniciales'!$A:$A,C67,'Saldos Iniciales'!$B:$B,D67)+SUMIFS($K$1:$K$1325,$C$1:$C$1325,C67,$D$1:$D$1325,D67,$B$1:$B$1325,"&lt;="&amp;B67)</f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91" t="str">
        <f>IF(tblMovimientos[[#This Row],[Cuenta Bancaria]]="","",_xlfn.XLOOKUP(tblMovimientos[[#This Row],[Cuenta Bancaria]],Cuentas!$C:$C,Cuentas!$A:$A,"No encontrado"))</f>
        <v>SSP Group</v>
      </c>
      <c r="R67" s="91" t="str">
        <f>TRIM(_xlfn.XLOOKUP(tblMovimientos[[#This Row],[Cuenta Bancaria]],Cuentas!$C:$C,Cuentas!$B:$B,""))</f>
        <v/>
      </c>
    </row>
    <row r="68" spans="2:18" x14ac:dyDescent="0.3">
      <c r="B68" s="39">
        <v>46153</v>
      </c>
      <c r="C68" s="4" t="s">
        <v>35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f>SUMIFS('Saldos Iniciales'!$D:$D,'Saldos Iniciales'!$A:$A,C68,'Saldos Iniciales'!$B:$B,D68)+SUMIFS($K$1:$K$1325,$C$1:$C$1325,C68,$D$1:$D$1325,D68,$B$1:$B$1325,"&lt;="&amp;B68)</f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91" t="str">
        <f>IF(tblMovimientos[[#This Row],[Cuenta Bancaria]]="","",_xlfn.XLOOKUP(tblMovimientos[[#This Row],[Cuenta Bancaria]],Cuentas!$C:$C,Cuentas!$A:$A,"No encontrado"))</f>
        <v>SSP Group</v>
      </c>
      <c r="R68" s="91" t="str">
        <f>TRIM(_xlfn.XLOOKUP(tblMovimientos[[#This Row],[Cuenta Bancaria]],Cuentas!$C:$C,Cuentas!$B:$B,""))</f>
        <v/>
      </c>
    </row>
    <row r="69" spans="2:18" x14ac:dyDescent="0.3">
      <c r="B69" s="39">
        <v>46153</v>
      </c>
      <c r="C69" s="4" t="s">
        <v>20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f>SUMIFS('Saldos Iniciales'!$D:$D,'Saldos Iniciales'!$A:$A,C69,'Saldos Iniciales'!$B:$B,D69)+SUMIFS($K$1:$K$1325,$C$1:$C$1325,C69,$D$1:$D$1325,D69,$B$1:$B$1325,"&lt;="&amp;B69)</f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91" t="str">
        <f>IF(tblMovimientos[[#This Row],[Cuenta Bancaria]]="","",_xlfn.XLOOKUP(tblMovimientos[[#This Row],[Cuenta Bancaria]],Cuentas!$C:$C,Cuentas!$A:$A,"No encontrado"))</f>
        <v>SSP Group</v>
      </c>
      <c r="R69" s="91" t="str">
        <f>TRIM(_xlfn.XLOOKUP(tblMovimientos[[#This Row],[Cuenta Bancaria]],Cuentas!$C:$C,Cuentas!$B:$B,""))</f>
        <v>Cross Security Trust</v>
      </c>
    </row>
    <row r="70" spans="2:18" x14ac:dyDescent="0.3">
      <c r="B70" s="39">
        <v>46153</v>
      </c>
      <c r="C70" s="4" t="s">
        <v>31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f>SUMIFS('Saldos Iniciales'!$D:$D,'Saldos Iniciales'!$A:$A,C70,'Saldos Iniciales'!$B:$B,D70)+SUMIFS($K$1:$K$1325,$C$1:$C$1325,C70,$D$1:$D$1325,D70,$B$1:$B$1325,"&lt;="&amp;B70)</f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91" t="str">
        <f>IF(tblMovimientos[[#This Row],[Cuenta Bancaria]]="","",_xlfn.XLOOKUP(tblMovimientos[[#This Row],[Cuenta Bancaria]],Cuentas!$C:$C,Cuentas!$A:$A,"No encontrado"))</f>
        <v>SSP Group</v>
      </c>
      <c r="R70" s="91" t="str">
        <f>TRIM(_xlfn.XLOOKUP(tblMovimientos[[#This Row],[Cuenta Bancaria]],Cuentas!$C:$C,Cuentas!$B:$B,""))</f>
        <v/>
      </c>
    </row>
    <row r="71" spans="2:18" x14ac:dyDescent="0.3">
      <c r="B71" s="39">
        <v>46153</v>
      </c>
      <c r="C71" s="4" t="s">
        <v>21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f>SUMIFS('Saldos Iniciales'!$D:$D,'Saldos Iniciales'!$A:$A,C71,'Saldos Iniciales'!$B:$B,D71)+SUMIFS($K$1:$K$1325,$C$1:$C$1325,C71,$D$1:$D$1325,D71,$B$1:$B$1325,"&lt;="&amp;B71)</f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91" t="str">
        <f>IF(tblMovimientos[[#This Row],[Cuenta Bancaria]]="","",_xlfn.XLOOKUP(tblMovimientos[[#This Row],[Cuenta Bancaria]],Cuentas!$C:$C,Cuentas!$A:$A,"No encontrado"))</f>
        <v>SSP Group</v>
      </c>
      <c r="R71" s="91" t="str">
        <f>TRIM(_xlfn.XLOOKUP(tblMovimientos[[#This Row],[Cuenta Bancaria]],Cuentas!$C:$C,Cuentas!$B:$B,""))</f>
        <v/>
      </c>
    </row>
    <row r="72" spans="2:18" x14ac:dyDescent="0.3">
      <c r="B72" s="39">
        <v>46153</v>
      </c>
      <c r="C72" s="4" t="s">
        <v>35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f>SUMIFS('Saldos Iniciales'!$D:$D,'Saldos Iniciales'!$A:$A,C72,'Saldos Iniciales'!$B:$B,D72)+SUMIFS($K$1:$K$1325,$C$1:$C$1325,C72,$D$1:$D$1325,D72,$B$1:$B$1325,"&lt;="&amp;B72)</f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91" t="str">
        <f>IF(tblMovimientos[[#This Row],[Cuenta Bancaria]]="","",_xlfn.XLOOKUP(tblMovimientos[[#This Row],[Cuenta Bancaria]],Cuentas!$C:$C,Cuentas!$A:$A,"No encontrado"))</f>
        <v>SSP Group</v>
      </c>
      <c r="R72" s="91" t="str">
        <f>TRIM(_xlfn.XLOOKUP(tblMovimientos[[#This Row],[Cuenta Bancaria]],Cuentas!$C:$C,Cuentas!$B:$B,""))</f>
        <v/>
      </c>
    </row>
    <row r="73" spans="2:18" x14ac:dyDescent="0.3">
      <c r="B73" s="39">
        <v>46153</v>
      </c>
      <c r="C73" s="4" t="s">
        <v>35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f>SUMIFS('Saldos Iniciales'!$D:$D,'Saldos Iniciales'!$A:$A,C73,'Saldos Iniciales'!$B:$B,D73)+SUMIFS($K$1:$K$1325,$C$1:$C$1325,C73,$D$1:$D$1325,D73,$B$1:$B$1325,"&lt;="&amp;B73)</f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91" t="str">
        <f>IF(tblMovimientos[[#This Row],[Cuenta Bancaria]]="","",_xlfn.XLOOKUP(tblMovimientos[[#This Row],[Cuenta Bancaria]],Cuentas!$C:$C,Cuentas!$A:$A,"No encontrado"))</f>
        <v>SSP Group</v>
      </c>
      <c r="R73" s="91" t="str">
        <f>TRIM(_xlfn.XLOOKUP(tblMovimientos[[#This Row],[Cuenta Bancaria]],Cuentas!$C:$C,Cuentas!$B:$B,""))</f>
        <v/>
      </c>
    </row>
    <row r="74" spans="2:18" x14ac:dyDescent="0.3">
      <c r="B74" s="39">
        <v>46153</v>
      </c>
      <c r="C74" s="4" t="s">
        <v>35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f>SUMIFS('Saldos Iniciales'!$D:$D,'Saldos Iniciales'!$A:$A,C74,'Saldos Iniciales'!$B:$B,D74)+SUMIFS($K$1:$K$1325,$C$1:$C$1325,C74,$D$1:$D$1325,D74,$B$1:$B$1325,"&lt;="&amp;B74)</f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91" t="str">
        <f>IF(tblMovimientos[[#This Row],[Cuenta Bancaria]]="","",_xlfn.XLOOKUP(tblMovimientos[[#This Row],[Cuenta Bancaria]],Cuentas!$C:$C,Cuentas!$A:$A,"No encontrado"))</f>
        <v>SSP Group</v>
      </c>
      <c r="R74" s="91" t="str">
        <f>TRIM(_xlfn.XLOOKUP(tblMovimientos[[#This Row],[Cuenta Bancaria]],Cuentas!$C:$C,Cuentas!$B:$B,""))</f>
        <v/>
      </c>
    </row>
    <row r="75" spans="2:18" x14ac:dyDescent="0.3">
      <c r="B75" s="39">
        <v>46153</v>
      </c>
      <c r="C75" s="4" t="s">
        <v>21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f>SUMIFS('Saldos Iniciales'!$D:$D,'Saldos Iniciales'!$A:$A,C75,'Saldos Iniciales'!$B:$B,D75)+SUMIFS($K$1:$K$1325,$C$1:$C$1325,C75,$D$1:$D$1325,D75,$B$1:$B$1325,"&lt;="&amp;B75)</f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91" t="str">
        <f>IF(tblMovimientos[[#This Row],[Cuenta Bancaria]]="","",_xlfn.XLOOKUP(tblMovimientos[[#This Row],[Cuenta Bancaria]],Cuentas!$C:$C,Cuentas!$A:$A,"No encontrado"))</f>
        <v>SSP Group</v>
      </c>
      <c r="R75" s="91" t="str">
        <f>TRIM(_xlfn.XLOOKUP(tblMovimientos[[#This Row],[Cuenta Bancaria]],Cuentas!$C:$C,Cuentas!$B:$B,""))</f>
        <v/>
      </c>
    </row>
    <row r="76" spans="2:18" x14ac:dyDescent="0.3">
      <c r="B76" s="39">
        <v>46153</v>
      </c>
      <c r="C76" s="4" t="s">
        <v>35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f>SUMIFS('Saldos Iniciales'!$D:$D,'Saldos Iniciales'!$A:$A,C76,'Saldos Iniciales'!$B:$B,D76)+SUMIFS($K$1:$K$1325,$C$1:$C$1325,C76,$D$1:$D$1325,D76,$B$1:$B$1325,"&lt;="&amp;B76)</f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91" t="str">
        <f>IF(tblMovimientos[[#This Row],[Cuenta Bancaria]]="","",_xlfn.XLOOKUP(tblMovimientos[[#This Row],[Cuenta Bancaria]],Cuentas!$C:$C,Cuentas!$A:$A,"No encontrado"))</f>
        <v>SSP Group</v>
      </c>
      <c r="R76" s="91" t="str">
        <f>TRIM(_xlfn.XLOOKUP(tblMovimientos[[#This Row],[Cuenta Bancaria]],Cuentas!$C:$C,Cuentas!$B:$B,""))</f>
        <v/>
      </c>
    </row>
    <row r="77" spans="2:18" x14ac:dyDescent="0.3">
      <c r="B77" s="39">
        <v>46154</v>
      </c>
      <c r="C77" s="4" t="s">
        <v>20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f>SUMIFS('Saldos Iniciales'!$D:$D,'Saldos Iniciales'!$A:$A,C77,'Saldos Iniciales'!$B:$B,D77)+SUMIFS($K$1:$K$1325,$C$1:$C$1325,C77,$D$1:$D$1325,D77,$B$1:$B$1325,"&lt;="&amp;B77)</f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91" t="str">
        <f>IF(tblMovimientos[[#This Row],[Cuenta Bancaria]]="","",_xlfn.XLOOKUP(tblMovimientos[[#This Row],[Cuenta Bancaria]],Cuentas!$C:$C,Cuentas!$A:$A,"No encontrado"))</f>
        <v>SSP Group</v>
      </c>
      <c r="R77" s="91" t="str">
        <f>TRIM(_xlfn.XLOOKUP(tblMovimientos[[#This Row],[Cuenta Bancaria]],Cuentas!$C:$C,Cuentas!$B:$B,""))</f>
        <v>Cross Security Trust</v>
      </c>
    </row>
    <row r="78" spans="2:18" x14ac:dyDescent="0.3">
      <c r="B78" s="39">
        <v>46154</v>
      </c>
      <c r="C78" s="4" t="s">
        <v>20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f>SUMIFS('Saldos Iniciales'!$D:$D,'Saldos Iniciales'!$A:$A,C78,'Saldos Iniciales'!$B:$B,D78)+SUMIFS($K$1:$K$1325,$C$1:$C$1325,C78,$D$1:$D$1325,D78,$B$1:$B$1325,"&lt;="&amp;B78)</f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91" t="str">
        <f>IF(tblMovimientos[[#This Row],[Cuenta Bancaria]]="","",_xlfn.XLOOKUP(tblMovimientos[[#This Row],[Cuenta Bancaria]],Cuentas!$C:$C,Cuentas!$A:$A,"No encontrado"))</f>
        <v>SSP Group</v>
      </c>
      <c r="R78" s="91" t="str">
        <f>TRIM(_xlfn.XLOOKUP(tblMovimientos[[#This Row],[Cuenta Bancaria]],Cuentas!$C:$C,Cuentas!$B:$B,""))</f>
        <v>Cross Security Trust</v>
      </c>
    </row>
    <row r="79" spans="2:18" x14ac:dyDescent="0.3">
      <c r="B79" s="39">
        <v>46154</v>
      </c>
      <c r="C79" s="4" t="s">
        <v>17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f>SUMIFS('Saldos Iniciales'!$D:$D,'Saldos Iniciales'!$A:$A,C79,'Saldos Iniciales'!$B:$B,D79)+SUMIFS($K$1:$K$1325,$C$1:$C$1325,C79,$D$1:$D$1325,D79,$B$1:$B$1325,"&lt;="&amp;B79)</f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91" t="str">
        <f>IF(tblMovimientos[[#This Row],[Cuenta Bancaria]]="","",_xlfn.XLOOKUP(tblMovimientos[[#This Row],[Cuenta Bancaria]],Cuentas!$C:$C,Cuentas!$A:$A,"No encontrado"))</f>
        <v>SSP Group</v>
      </c>
      <c r="R79" s="91" t="str">
        <f>TRIM(_xlfn.XLOOKUP(tblMovimientos[[#This Row],[Cuenta Bancaria]],Cuentas!$C:$C,Cuentas!$B:$B,""))</f>
        <v/>
      </c>
    </row>
    <row r="80" spans="2:18" x14ac:dyDescent="0.3">
      <c r="B80" s="39">
        <v>46154</v>
      </c>
      <c r="C80" s="4" t="s">
        <v>35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f>SUMIFS('Saldos Iniciales'!$D:$D,'Saldos Iniciales'!$A:$A,C80,'Saldos Iniciales'!$B:$B,D80)+SUMIFS($K$1:$K$1325,$C$1:$C$1325,C80,$D$1:$D$1325,D80,$B$1:$B$1325,"&lt;="&amp;B80)</f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91" t="str">
        <f>IF(tblMovimientos[[#This Row],[Cuenta Bancaria]]="","",_xlfn.XLOOKUP(tblMovimientos[[#This Row],[Cuenta Bancaria]],Cuentas!$C:$C,Cuentas!$A:$A,"No encontrado"))</f>
        <v>SSP Group</v>
      </c>
      <c r="R80" s="91" t="str">
        <f>TRIM(_xlfn.XLOOKUP(tblMovimientos[[#This Row],[Cuenta Bancaria]],Cuentas!$C:$C,Cuentas!$B:$B,""))</f>
        <v/>
      </c>
    </row>
    <row r="81" spans="2:18" x14ac:dyDescent="0.3">
      <c r="B81" s="39">
        <v>46154</v>
      </c>
      <c r="C81" s="4" t="s">
        <v>17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f>SUMIFS('Saldos Iniciales'!$D:$D,'Saldos Iniciales'!$A:$A,C81,'Saldos Iniciales'!$B:$B,D81)+SUMIFS($K$1:$K$1325,$C$1:$C$1325,C81,$D$1:$D$1325,D81,$B$1:$B$1325,"&lt;="&amp;B81)</f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91" t="str">
        <f>IF(tblMovimientos[[#This Row],[Cuenta Bancaria]]="","",_xlfn.XLOOKUP(tblMovimientos[[#This Row],[Cuenta Bancaria]],Cuentas!$C:$C,Cuentas!$A:$A,"No encontrado"))</f>
        <v>SSP Group</v>
      </c>
      <c r="R81" s="91" t="str">
        <f>TRIM(_xlfn.XLOOKUP(tblMovimientos[[#This Row],[Cuenta Bancaria]],Cuentas!$C:$C,Cuentas!$B:$B,""))</f>
        <v/>
      </c>
    </row>
    <row r="82" spans="2:18" x14ac:dyDescent="0.3">
      <c r="B82" s="39">
        <v>46154</v>
      </c>
      <c r="C82" s="4" t="s">
        <v>21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f>SUMIFS('Saldos Iniciales'!$D:$D,'Saldos Iniciales'!$A:$A,C82,'Saldos Iniciales'!$B:$B,D82)+SUMIFS($K$1:$K$1325,$C$1:$C$1325,C82,$D$1:$D$1325,D82,$B$1:$B$1325,"&lt;="&amp;B82)</f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91" t="str">
        <f>IF(tblMovimientos[[#This Row],[Cuenta Bancaria]]="","",_xlfn.XLOOKUP(tblMovimientos[[#This Row],[Cuenta Bancaria]],Cuentas!$C:$C,Cuentas!$A:$A,"No encontrado"))</f>
        <v>SSP Group</v>
      </c>
      <c r="R82" s="91" t="str">
        <f>TRIM(_xlfn.XLOOKUP(tblMovimientos[[#This Row],[Cuenta Bancaria]],Cuentas!$C:$C,Cuentas!$B:$B,""))</f>
        <v/>
      </c>
    </row>
    <row r="83" spans="2:18" x14ac:dyDescent="0.3">
      <c r="B83" s="39">
        <v>46155</v>
      </c>
      <c r="C83" s="4" t="s">
        <v>20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f>SUMIFS('Saldos Iniciales'!$D:$D,'Saldos Iniciales'!$A:$A,C83,'Saldos Iniciales'!$B:$B,D83)+SUMIFS($K$1:$K$1325,$C$1:$C$1325,C83,$D$1:$D$1325,D83,$B$1:$B$1325,"&lt;="&amp;B83)</f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91" t="str">
        <f>IF(tblMovimientos[[#This Row],[Cuenta Bancaria]]="","",_xlfn.XLOOKUP(tblMovimientos[[#This Row],[Cuenta Bancaria]],Cuentas!$C:$C,Cuentas!$A:$A,"No encontrado"))</f>
        <v>SSP Group</v>
      </c>
      <c r="R83" s="91" t="str">
        <f>TRIM(_xlfn.XLOOKUP(tblMovimientos[[#This Row],[Cuenta Bancaria]],Cuentas!$C:$C,Cuentas!$B:$B,""))</f>
        <v>Cross Security Trust</v>
      </c>
    </row>
    <row r="84" spans="2:18" x14ac:dyDescent="0.3">
      <c r="B84" s="39">
        <v>46155</v>
      </c>
      <c r="C84" s="4" t="s">
        <v>31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f>SUMIFS('Saldos Iniciales'!$D:$D,'Saldos Iniciales'!$A:$A,C84,'Saldos Iniciales'!$B:$B,D84)+SUMIFS($K$1:$K$1325,$C$1:$C$1325,C84,$D$1:$D$1325,D84,$B$1:$B$1325,"&lt;="&amp;B84)</f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91" t="str">
        <f>IF(tblMovimientos[[#This Row],[Cuenta Bancaria]]="","",_xlfn.XLOOKUP(tblMovimientos[[#This Row],[Cuenta Bancaria]],Cuentas!$C:$C,Cuentas!$A:$A,"No encontrado"))</f>
        <v>SSP Group</v>
      </c>
      <c r="R84" s="91" t="str">
        <f>TRIM(_xlfn.XLOOKUP(tblMovimientos[[#This Row],[Cuenta Bancaria]],Cuentas!$C:$C,Cuentas!$B:$B,""))</f>
        <v/>
      </c>
    </row>
    <row r="85" spans="2:18" x14ac:dyDescent="0.3">
      <c r="B85" s="39">
        <v>46155</v>
      </c>
      <c r="C85" s="4" t="s">
        <v>23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f>SUMIFS('Saldos Iniciales'!$D:$D,'Saldos Iniciales'!$A:$A,C85,'Saldos Iniciales'!$B:$B,D85)+SUMIFS($K$1:$K$1325,$C$1:$C$1325,C85,$D$1:$D$1325,D85,$B$1:$B$1325,"&lt;="&amp;B85)</f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91" t="str">
        <f>IF(tblMovimientos[[#This Row],[Cuenta Bancaria]]="","",_xlfn.XLOOKUP(tblMovimientos[[#This Row],[Cuenta Bancaria]],Cuentas!$C:$C,Cuentas!$A:$A,"No encontrado"))</f>
        <v>SSP Group</v>
      </c>
      <c r="R85" s="91" t="str">
        <f>TRIM(_xlfn.XLOOKUP(tblMovimientos[[#This Row],[Cuenta Bancaria]],Cuentas!$C:$C,Cuentas!$B:$B,""))</f>
        <v>Cross Security Trust</v>
      </c>
    </row>
    <row r="86" spans="2:18" x14ac:dyDescent="0.3">
      <c r="B86" s="39">
        <v>46155</v>
      </c>
      <c r="C86" s="4" t="s">
        <v>24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f>SUMIFS('Saldos Iniciales'!$D:$D,'Saldos Iniciales'!$A:$A,C86,'Saldos Iniciales'!$B:$B,D86)+SUMIFS($K$1:$K$1325,$C$1:$C$1325,C86,$D$1:$D$1325,D86,$B$1:$B$1325,"&lt;="&amp;B86)</f>
        <v>1781.59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91" t="str">
        <f>IF(tblMovimientos[[#This Row],[Cuenta Bancaria]]="","",_xlfn.XLOOKUP(tblMovimientos[[#This Row],[Cuenta Bancaria]],Cuentas!$C:$C,Cuentas!$A:$A,"No encontrado"))</f>
        <v>SSP Group</v>
      </c>
      <c r="R86" s="91" t="str">
        <f>TRIM(_xlfn.XLOOKUP(tblMovimientos[[#This Row],[Cuenta Bancaria]],Cuentas!$C:$C,Cuentas!$B:$B,""))</f>
        <v/>
      </c>
    </row>
    <row r="87" spans="2:18" x14ac:dyDescent="0.3">
      <c r="B87" s="39">
        <v>46156</v>
      </c>
      <c r="C87" s="4" t="s">
        <v>35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f>SUMIFS('Saldos Iniciales'!$D:$D,'Saldos Iniciales'!$A:$A,C87,'Saldos Iniciales'!$B:$B,D87)+SUMIFS($K$1:$K$1325,$C$1:$C$1325,C87,$D$1:$D$1325,D87,$B$1:$B$1325,"&lt;="&amp;B87)</f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91" t="str">
        <f>IF(tblMovimientos[[#This Row],[Cuenta Bancaria]]="","",_xlfn.XLOOKUP(tblMovimientos[[#This Row],[Cuenta Bancaria]],Cuentas!$C:$C,Cuentas!$A:$A,"No encontrado"))</f>
        <v>SSP Group</v>
      </c>
      <c r="R87" s="91" t="str">
        <f>TRIM(_xlfn.XLOOKUP(tblMovimientos[[#This Row],[Cuenta Bancaria]],Cuentas!$C:$C,Cuentas!$B:$B,""))</f>
        <v/>
      </c>
    </row>
    <row r="88" spans="2:18" x14ac:dyDescent="0.3">
      <c r="B88" s="39">
        <v>46156</v>
      </c>
      <c r="C88" s="4" t="s">
        <v>21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f>SUMIFS('Saldos Iniciales'!$D:$D,'Saldos Iniciales'!$A:$A,C88,'Saldos Iniciales'!$B:$B,D88)+SUMIFS($K$1:$K$1325,$C$1:$C$1325,C88,$D$1:$D$1325,D88,$B$1:$B$1325,"&lt;="&amp;B88)</f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91" t="str">
        <f>IF(tblMovimientos[[#This Row],[Cuenta Bancaria]]="","",_xlfn.XLOOKUP(tblMovimientos[[#This Row],[Cuenta Bancaria]],Cuentas!$C:$C,Cuentas!$A:$A,"No encontrado"))</f>
        <v>SSP Group</v>
      </c>
      <c r="R88" s="91" t="str">
        <f>TRIM(_xlfn.XLOOKUP(tblMovimientos[[#This Row],[Cuenta Bancaria]],Cuentas!$C:$C,Cuentas!$B:$B,""))</f>
        <v/>
      </c>
    </row>
    <row r="89" spans="2:18" x14ac:dyDescent="0.3">
      <c r="B89" s="39">
        <v>46156</v>
      </c>
      <c r="C89" s="4" t="s">
        <v>21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f>SUMIFS('Saldos Iniciales'!$D:$D,'Saldos Iniciales'!$A:$A,C89,'Saldos Iniciales'!$B:$B,D89)+SUMIFS($K$1:$K$1325,$C$1:$C$1325,C89,$D$1:$D$1325,D89,$B$1:$B$1325,"&lt;="&amp;B89)</f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91" t="str">
        <f>IF(tblMovimientos[[#This Row],[Cuenta Bancaria]]="","",_xlfn.XLOOKUP(tblMovimientos[[#This Row],[Cuenta Bancaria]],Cuentas!$C:$C,Cuentas!$A:$A,"No encontrado"))</f>
        <v>SSP Group</v>
      </c>
      <c r="R89" s="91" t="str">
        <f>TRIM(_xlfn.XLOOKUP(tblMovimientos[[#This Row],[Cuenta Bancaria]],Cuentas!$C:$C,Cuentas!$B:$B,""))</f>
        <v/>
      </c>
    </row>
    <row r="90" spans="2:18" x14ac:dyDescent="0.3">
      <c r="B90" s="39">
        <v>46156</v>
      </c>
      <c r="C90" s="4" t="s">
        <v>20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f>SUMIFS('Saldos Iniciales'!$D:$D,'Saldos Iniciales'!$A:$A,C90,'Saldos Iniciales'!$B:$B,D90)+SUMIFS($K$1:$K$1325,$C$1:$C$1325,C90,$D$1:$D$1325,D90,$B$1:$B$1325,"&lt;="&amp;B90)</f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91" t="str">
        <f>IF(tblMovimientos[[#This Row],[Cuenta Bancaria]]="","",_xlfn.XLOOKUP(tblMovimientos[[#This Row],[Cuenta Bancaria]],Cuentas!$C:$C,Cuentas!$A:$A,"No encontrado"))</f>
        <v>SSP Group</v>
      </c>
      <c r="R90" s="91" t="str">
        <f>TRIM(_xlfn.XLOOKUP(tblMovimientos[[#This Row],[Cuenta Bancaria]],Cuentas!$C:$C,Cuentas!$B:$B,""))</f>
        <v>Cross Security Trust</v>
      </c>
    </row>
    <row r="91" spans="2:18" x14ac:dyDescent="0.3">
      <c r="B91" s="39">
        <v>46156</v>
      </c>
      <c r="C91" s="4" t="s">
        <v>20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f>SUMIFS('Saldos Iniciales'!$D:$D,'Saldos Iniciales'!$A:$A,C91,'Saldos Iniciales'!$B:$B,D91)+SUMIFS($K$1:$K$1325,$C$1:$C$1325,C91,$D$1:$D$1325,D91,$B$1:$B$1325,"&lt;="&amp;B91)</f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91" t="str">
        <f>IF(tblMovimientos[[#This Row],[Cuenta Bancaria]]="","",_xlfn.XLOOKUP(tblMovimientos[[#This Row],[Cuenta Bancaria]],Cuentas!$C:$C,Cuentas!$A:$A,"No encontrado"))</f>
        <v>SSP Group</v>
      </c>
      <c r="R91" s="91" t="str">
        <f>TRIM(_xlfn.XLOOKUP(tblMovimientos[[#This Row],[Cuenta Bancaria]],Cuentas!$C:$C,Cuentas!$B:$B,""))</f>
        <v>Cross Security Trust</v>
      </c>
    </row>
    <row r="92" spans="2:18" x14ac:dyDescent="0.3">
      <c r="B92" s="39">
        <v>46156</v>
      </c>
      <c r="C92" s="4" t="s">
        <v>20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f>SUMIFS('Saldos Iniciales'!$D:$D,'Saldos Iniciales'!$A:$A,C92,'Saldos Iniciales'!$B:$B,D92)+SUMIFS($K$1:$K$1325,$C$1:$C$1325,C92,$D$1:$D$1325,D92,$B$1:$B$1325,"&lt;="&amp;B92)</f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91" t="str">
        <f>IF(tblMovimientos[[#This Row],[Cuenta Bancaria]]="","",_xlfn.XLOOKUP(tblMovimientos[[#This Row],[Cuenta Bancaria]],Cuentas!$C:$C,Cuentas!$A:$A,"No encontrado"))</f>
        <v>SSP Group</v>
      </c>
      <c r="R92" s="91" t="str">
        <f>TRIM(_xlfn.XLOOKUP(tblMovimientos[[#This Row],[Cuenta Bancaria]],Cuentas!$C:$C,Cuentas!$B:$B,""))</f>
        <v>Cross Security Trust</v>
      </c>
    </row>
    <row r="93" spans="2:18" x14ac:dyDescent="0.3">
      <c r="B93" s="39">
        <v>46156</v>
      </c>
      <c r="C93" s="4" t="s">
        <v>17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f>SUMIFS('Saldos Iniciales'!$D:$D,'Saldos Iniciales'!$A:$A,C93,'Saldos Iniciales'!$B:$B,D93)+SUMIFS($K$1:$K$1325,$C$1:$C$1325,C93,$D$1:$D$1325,D93,$B$1:$B$1325,"&lt;="&amp;B93)</f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91" t="str">
        <f>IF(tblMovimientos[[#This Row],[Cuenta Bancaria]]="","",_xlfn.XLOOKUP(tblMovimientos[[#This Row],[Cuenta Bancaria]],Cuentas!$C:$C,Cuentas!$A:$A,"No encontrado"))</f>
        <v>SSP Group</v>
      </c>
      <c r="R93" s="91" t="str">
        <f>TRIM(_xlfn.XLOOKUP(tblMovimientos[[#This Row],[Cuenta Bancaria]],Cuentas!$C:$C,Cuentas!$B:$B,""))</f>
        <v/>
      </c>
    </row>
    <row r="94" spans="2:18" x14ac:dyDescent="0.3">
      <c r="B94" s="39">
        <v>46156</v>
      </c>
      <c r="C94" s="4" t="s">
        <v>17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f>SUMIFS('Saldos Iniciales'!$D:$D,'Saldos Iniciales'!$A:$A,C94,'Saldos Iniciales'!$B:$B,D94)+SUMIFS($K$1:$K$1325,$C$1:$C$1325,C94,$D$1:$D$1325,D94,$B$1:$B$1325,"&lt;="&amp;B94)</f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91" t="str">
        <f>IF(tblMovimientos[[#This Row],[Cuenta Bancaria]]="","",_xlfn.XLOOKUP(tblMovimientos[[#This Row],[Cuenta Bancaria]],Cuentas!$C:$C,Cuentas!$A:$A,"No encontrado"))</f>
        <v>SSP Group</v>
      </c>
      <c r="R94" s="91" t="str">
        <f>TRIM(_xlfn.XLOOKUP(tblMovimientos[[#This Row],[Cuenta Bancaria]],Cuentas!$C:$C,Cuentas!$B:$B,""))</f>
        <v/>
      </c>
    </row>
    <row r="95" spans="2:18" x14ac:dyDescent="0.3">
      <c r="B95" s="39">
        <v>46156</v>
      </c>
      <c r="C95" s="4" t="s">
        <v>17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f>SUMIFS('Saldos Iniciales'!$D:$D,'Saldos Iniciales'!$A:$A,C95,'Saldos Iniciales'!$B:$B,D95)+SUMIFS($K$1:$K$1325,$C$1:$C$1325,C95,$D$1:$D$1325,D95,$B$1:$B$1325,"&lt;="&amp;B95)</f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91" t="str">
        <f>IF(tblMovimientos[[#This Row],[Cuenta Bancaria]]="","",_xlfn.XLOOKUP(tblMovimientos[[#This Row],[Cuenta Bancaria]],Cuentas!$C:$C,Cuentas!$A:$A,"No encontrado"))</f>
        <v>SSP Group</v>
      </c>
      <c r="R95" s="91" t="str">
        <f>TRIM(_xlfn.XLOOKUP(tblMovimientos[[#This Row],[Cuenta Bancaria]],Cuentas!$C:$C,Cuentas!$B:$B,""))</f>
        <v/>
      </c>
    </row>
    <row r="96" spans="2:18" x14ac:dyDescent="0.3">
      <c r="B96" s="39">
        <v>46156</v>
      </c>
      <c r="C96" s="4" t="s">
        <v>18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f>SUMIFS('Saldos Iniciales'!$D:$D,'Saldos Iniciales'!$A:$A,C96,'Saldos Iniciales'!$B:$B,D96)+SUMIFS($K$1:$K$1325,$C$1:$C$1325,C96,$D$1:$D$1325,D96,$B$1:$B$1325,"&lt;="&amp;B96)</f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91" t="str">
        <f>IF(tblMovimientos[[#This Row],[Cuenta Bancaria]]="","",_xlfn.XLOOKUP(tblMovimientos[[#This Row],[Cuenta Bancaria]],Cuentas!$C:$C,Cuentas!$A:$A,"No encontrado"))</f>
        <v>SSP Group</v>
      </c>
      <c r="R96" s="91" t="str">
        <f>TRIM(_xlfn.XLOOKUP(tblMovimientos[[#This Row],[Cuenta Bancaria]],Cuentas!$C:$C,Cuentas!$B:$B,""))</f>
        <v/>
      </c>
    </row>
    <row r="97" spans="2:18" x14ac:dyDescent="0.3">
      <c r="B97" s="39">
        <v>46156</v>
      </c>
      <c r="C97" s="4" t="s">
        <v>17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f>SUMIFS('Saldos Iniciales'!$D:$D,'Saldos Iniciales'!$A:$A,C97,'Saldos Iniciales'!$B:$B,D97)+SUMIFS($K$1:$K$1325,$C$1:$C$1325,C97,$D$1:$D$1325,D97,$B$1:$B$1325,"&lt;="&amp;B97)</f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91" t="str">
        <f>IF(tblMovimientos[[#This Row],[Cuenta Bancaria]]="","",_xlfn.XLOOKUP(tblMovimientos[[#This Row],[Cuenta Bancaria]],Cuentas!$C:$C,Cuentas!$A:$A,"No encontrado"))</f>
        <v>SSP Group</v>
      </c>
      <c r="R97" s="91" t="str">
        <f>TRIM(_xlfn.XLOOKUP(tblMovimientos[[#This Row],[Cuenta Bancaria]],Cuentas!$C:$C,Cuentas!$B:$B,""))</f>
        <v/>
      </c>
    </row>
    <row r="98" spans="2:18" x14ac:dyDescent="0.3">
      <c r="B98" s="39">
        <v>46156</v>
      </c>
      <c r="C98" s="4" t="s">
        <v>17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f>SUMIFS('Saldos Iniciales'!$D:$D,'Saldos Iniciales'!$A:$A,C98,'Saldos Iniciales'!$B:$B,D98)+SUMIFS($K$1:$K$1325,$C$1:$C$1325,C98,$D$1:$D$1325,D98,$B$1:$B$1325,"&lt;="&amp;B98)</f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91" t="str">
        <f>IF(tblMovimientos[[#This Row],[Cuenta Bancaria]]="","",_xlfn.XLOOKUP(tblMovimientos[[#This Row],[Cuenta Bancaria]],Cuentas!$C:$C,Cuentas!$A:$A,"No encontrado"))</f>
        <v>SSP Group</v>
      </c>
      <c r="R98" s="91" t="str">
        <f>TRIM(_xlfn.XLOOKUP(tblMovimientos[[#This Row],[Cuenta Bancaria]],Cuentas!$C:$C,Cuentas!$B:$B,""))</f>
        <v/>
      </c>
    </row>
    <row r="99" spans="2:18" x14ac:dyDescent="0.3">
      <c r="B99" s="39">
        <v>46156</v>
      </c>
      <c r="C99" s="4" t="s">
        <v>17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f>SUMIFS('Saldos Iniciales'!$D:$D,'Saldos Iniciales'!$A:$A,C99,'Saldos Iniciales'!$B:$B,D99)+SUMIFS($K$1:$K$1325,$C$1:$C$1325,C99,$D$1:$D$1325,D99,$B$1:$B$1325,"&lt;="&amp;B99)</f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91" t="str">
        <f>IF(tblMovimientos[[#This Row],[Cuenta Bancaria]]="","",_xlfn.XLOOKUP(tblMovimientos[[#This Row],[Cuenta Bancaria]],Cuentas!$C:$C,Cuentas!$A:$A,"No encontrado"))</f>
        <v>SSP Group</v>
      </c>
      <c r="R99" s="91" t="str">
        <f>TRIM(_xlfn.XLOOKUP(tblMovimientos[[#This Row],[Cuenta Bancaria]],Cuentas!$C:$C,Cuentas!$B:$B,""))</f>
        <v/>
      </c>
    </row>
    <row r="100" spans="2:18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f>SUMIFS('Saldos Iniciales'!$D:$D,'Saldos Iniciales'!$A:$A,C100,'Saldos Iniciales'!$B:$B,D100)+SUMIFS($K$1:$K$1325,$C$1:$C$1325,C100,$D$1:$D$1325,D100,$B$1:$B$1325,"&lt;="&amp;B100)</f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91" t="str">
        <f>IF(tblMovimientos[[#This Row],[Cuenta Bancaria]]="","",_xlfn.XLOOKUP(tblMovimientos[[#This Row],[Cuenta Bancaria]],Cuentas!$C:$C,Cuentas!$A:$A,"No encontrado"))</f>
        <v>SSP Group</v>
      </c>
      <c r="R100" s="91" t="str">
        <f>TRIM(_xlfn.XLOOKUP(tblMovimientos[[#This Row],[Cuenta Bancaria]],Cuentas!$C:$C,Cuentas!$B:$B,""))</f>
        <v/>
      </c>
    </row>
    <row r="101" spans="2:18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f>SUMIFS('Saldos Iniciales'!$D:$D,'Saldos Iniciales'!$A:$A,C101,'Saldos Iniciales'!$B:$B,D101)+SUMIFS($K$1:$K$1325,$C$1:$C$1325,C101,$D$1:$D$1325,D101,$B$1:$B$1325,"&lt;="&amp;B101)</f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91" t="str">
        <f>IF(tblMovimientos[[#This Row],[Cuenta Bancaria]]="","",_xlfn.XLOOKUP(tblMovimientos[[#This Row],[Cuenta Bancaria]],Cuentas!$C:$C,Cuentas!$A:$A,"No encontrado"))</f>
        <v>SSP Group</v>
      </c>
      <c r="R101" s="91" t="str">
        <f>TRIM(_xlfn.XLOOKUP(tblMovimientos[[#This Row],[Cuenta Bancaria]],Cuentas!$C:$C,Cuentas!$B:$B,""))</f>
        <v/>
      </c>
    </row>
    <row r="102" spans="2:18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f>SUMIFS('Saldos Iniciales'!$D:$D,'Saldos Iniciales'!$A:$A,C102,'Saldos Iniciales'!$B:$B,D102)+SUMIFS($K$1:$K$1325,$C$1:$C$1325,C102,$D$1:$D$1325,D102,$B$1:$B$1325,"&lt;="&amp;B102)</f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91" t="str">
        <f>IF(tblMovimientos[[#This Row],[Cuenta Bancaria]]="","",_xlfn.XLOOKUP(tblMovimientos[[#This Row],[Cuenta Bancaria]],Cuentas!$C:$C,Cuentas!$A:$A,"No encontrado"))</f>
        <v>SSP Group</v>
      </c>
      <c r="R102" s="91" t="str">
        <f>TRIM(_xlfn.XLOOKUP(tblMovimientos[[#This Row],[Cuenta Bancaria]],Cuentas!$C:$C,Cuentas!$B:$B,""))</f>
        <v/>
      </c>
    </row>
    <row r="103" spans="2:18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f>SUMIFS('Saldos Iniciales'!$D:$D,'Saldos Iniciales'!$A:$A,C103,'Saldos Iniciales'!$B:$B,D103)+SUMIFS($K$1:$K$1325,$C$1:$C$1325,C103,$D$1:$D$1325,D103,$B$1:$B$1325,"&lt;="&amp;B103)</f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91" t="str">
        <f>IF(tblMovimientos[[#This Row],[Cuenta Bancaria]]="","",_xlfn.XLOOKUP(tblMovimientos[[#This Row],[Cuenta Bancaria]],Cuentas!$C:$C,Cuentas!$A:$A,"No encontrado"))</f>
        <v>SSP Group</v>
      </c>
      <c r="R103" s="91" t="str">
        <f>TRIM(_xlfn.XLOOKUP(tblMovimientos[[#This Row],[Cuenta Bancaria]],Cuentas!$C:$C,Cuentas!$B:$B,""))</f>
        <v/>
      </c>
    </row>
    <row r="104" spans="2:18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f>SUMIFS('Saldos Iniciales'!$D:$D,'Saldos Iniciales'!$A:$A,C104,'Saldos Iniciales'!$B:$B,D104)+SUMIFS($K$1:$K$1325,$C$1:$C$1325,C104,$D$1:$D$1325,D104,$B$1:$B$1325,"&lt;="&amp;B104)</f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91" t="str">
        <f>IF(tblMovimientos[[#This Row],[Cuenta Bancaria]]="","",_xlfn.XLOOKUP(tblMovimientos[[#This Row],[Cuenta Bancaria]],Cuentas!$C:$C,Cuentas!$A:$A,"No encontrado"))</f>
        <v>SSP Group</v>
      </c>
      <c r="R104" s="91" t="str">
        <f>TRIM(_xlfn.XLOOKUP(tblMovimientos[[#This Row],[Cuenta Bancaria]],Cuentas!$C:$C,Cuentas!$B:$B,""))</f>
        <v/>
      </c>
    </row>
    <row r="105" spans="2:18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f>SUMIFS('Saldos Iniciales'!$D:$D,'Saldos Iniciales'!$A:$A,C105,'Saldos Iniciales'!$B:$B,D105)+SUMIFS($K$1:$K$1325,$C$1:$C$1325,C105,$D$1:$D$1325,D105,$B$1:$B$1325,"&lt;="&amp;B105)</f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91" t="str">
        <f>IF(tblMovimientos[[#This Row],[Cuenta Bancaria]]="","",_xlfn.XLOOKUP(tblMovimientos[[#This Row],[Cuenta Bancaria]],Cuentas!$C:$C,Cuentas!$A:$A,"No encontrado"))</f>
        <v>SSP Group</v>
      </c>
      <c r="R105" s="91" t="str">
        <f>TRIM(_xlfn.XLOOKUP(tblMovimientos[[#This Row],[Cuenta Bancaria]],Cuentas!$C:$C,Cuentas!$B:$B,""))</f>
        <v/>
      </c>
    </row>
    <row r="106" spans="2:18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f>SUMIFS('Saldos Iniciales'!$D:$D,'Saldos Iniciales'!$A:$A,C106,'Saldos Iniciales'!$B:$B,D106)+SUMIFS($K$1:$K$1325,$C$1:$C$1325,C106,$D$1:$D$1325,D106,$B$1:$B$1325,"&lt;="&amp;B106)</f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91" t="str">
        <f>IF(tblMovimientos[[#This Row],[Cuenta Bancaria]]="","",_xlfn.XLOOKUP(tblMovimientos[[#This Row],[Cuenta Bancaria]],Cuentas!$C:$C,Cuentas!$A:$A,"No encontrado"))</f>
        <v>SSP Group</v>
      </c>
      <c r="R106" s="91" t="str">
        <f>TRIM(_xlfn.XLOOKUP(tblMovimientos[[#This Row],[Cuenta Bancaria]],Cuentas!$C:$C,Cuentas!$B:$B,""))</f>
        <v/>
      </c>
    </row>
    <row r="107" spans="2:18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f>SUMIFS('Saldos Iniciales'!$D:$D,'Saldos Iniciales'!$A:$A,C107,'Saldos Iniciales'!$B:$B,D107)+SUMIFS($K$1:$K$1325,$C$1:$C$1325,C107,$D$1:$D$1325,D107,$B$1:$B$1325,"&lt;="&amp;B107)</f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91" t="str">
        <f>IF(tblMovimientos[[#This Row],[Cuenta Bancaria]]="","",_xlfn.XLOOKUP(tblMovimientos[[#This Row],[Cuenta Bancaria]],Cuentas!$C:$C,Cuentas!$A:$A,"No encontrado"))</f>
        <v>SSP Group</v>
      </c>
      <c r="R107" s="91" t="str">
        <f>TRIM(_xlfn.XLOOKUP(tblMovimientos[[#This Row],[Cuenta Bancaria]],Cuentas!$C:$C,Cuentas!$B:$B,""))</f>
        <v/>
      </c>
    </row>
    <row r="108" spans="2:18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f>SUMIFS('Saldos Iniciales'!$D:$D,'Saldos Iniciales'!$A:$A,C108,'Saldos Iniciales'!$B:$B,D108)+SUMIFS($K$1:$K$1325,$C$1:$C$1325,C108,$D$1:$D$1325,D108,$B$1:$B$1325,"&lt;="&amp;B108)</f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91" t="str">
        <f>IF(tblMovimientos[[#This Row],[Cuenta Bancaria]]="","",_xlfn.XLOOKUP(tblMovimientos[[#This Row],[Cuenta Bancaria]],Cuentas!$C:$C,Cuentas!$A:$A,"No encontrado"))</f>
        <v>SSP Group</v>
      </c>
      <c r="R108" s="91" t="str">
        <f>TRIM(_xlfn.XLOOKUP(tblMovimientos[[#This Row],[Cuenta Bancaria]],Cuentas!$C:$C,Cuentas!$B:$B,""))</f>
        <v/>
      </c>
    </row>
    <row r="109" spans="2:18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f>SUMIFS('Saldos Iniciales'!$D:$D,'Saldos Iniciales'!$A:$A,C109,'Saldos Iniciales'!$B:$B,D109)+SUMIFS($K$1:$K$1325,$C$1:$C$1325,C109,$D$1:$D$1325,D109,$B$1:$B$1325,"&lt;="&amp;B109)</f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91" t="str">
        <f>IF(tblMovimientos[[#This Row],[Cuenta Bancaria]]="","",_xlfn.XLOOKUP(tblMovimientos[[#This Row],[Cuenta Bancaria]],Cuentas!$C:$C,Cuentas!$A:$A,"No encontrado"))</f>
        <v>SSP Group</v>
      </c>
      <c r="R109" s="91" t="str">
        <f>TRIM(_xlfn.XLOOKUP(tblMovimientos[[#This Row],[Cuenta Bancaria]],Cuentas!$C:$C,Cuentas!$B:$B,""))</f>
        <v/>
      </c>
    </row>
    <row r="110" spans="2:18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f>SUMIFS('Saldos Iniciales'!$D:$D,'Saldos Iniciales'!$A:$A,C110,'Saldos Iniciales'!$B:$B,D110)+SUMIFS($K$1:$K$1325,$C$1:$C$1325,C110,$D$1:$D$1325,D110,$B$1:$B$1325,"&lt;="&amp;B110)</f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91" t="str">
        <f>IF(tblMovimientos[[#This Row],[Cuenta Bancaria]]="","",_xlfn.XLOOKUP(tblMovimientos[[#This Row],[Cuenta Bancaria]],Cuentas!$C:$C,Cuentas!$A:$A,"No encontrado"))</f>
        <v>SSP Group</v>
      </c>
      <c r="R110" s="91" t="str">
        <f>TRIM(_xlfn.XLOOKUP(tblMovimientos[[#This Row],[Cuenta Bancaria]],Cuentas!$C:$C,Cuentas!$B:$B,""))</f>
        <v/>
      </c>
    </row>
    <row r="111" spans="2:18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f>SUMIFS('Saldos Iniciales'!$D:$D,'Saldos Iniciales'!$A:$A,C111,'Saldos Iniciales'!$B:$B,D111)+SUMIFS($K$1:$K$1325,$C$1:$C$1325,C111,$D$1:$D$1325,D111,$B$1:$B$1325,"&lt;="&amp;B111)</f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91" t="str">
        <f>IF(tblMovimientos[[#This Row],[Cuenta Bancaria]]="","",_xlfn.XLOOKUP(tblMovimientos[[#This Row],[Cuenta Bancaria]],Cuentas!$C:$C,Cuentas!$A:$A,"No encontrado"))</f>
        <v>SSP Group</v>
      </c>
      <c r="R111" s="91" t="str">
        <f>TRIM(_xlfn.XLOOKUP(tblMovimientos[[#This Row],[Cuenta Bancaria]],Cuentas!$C:$C,Cuentas!$B:$B,""))</f>
        <v/>
      </c>
    </row>
    <row r="112" spans="2:18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f>SUMIFS('Saldos Iniciales'!$D:$D,'Saldos Iniciales'!$A:$A,C112,'Saldos Iniciales'!$B:$B,D112)+SUMIFS($K$1:$K$1325,$C$1:$C$1325,C112,$D$1:$D$1325,D112,$B$1:$B$1325,"&lt;="&amp;B112)</f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91" t="str">
        <f>IF(tblMovimientos[[#This Row],[Cuenta Bancaria]]="","",_xlfn.XLOOKUP(tblMovimientos[[#This Row],[Cuenta Bancaria]],Cuentas!$C:$C,Cuentas!$A:$A,"No encontrado"))</f>
        <v>SSP Group</v>
      </c>
      <c r="R112" s="91" t="str">
        <f>TRIM(_xlfn.XLOOKUP(tblMovimientos[[#This Row],[Cuenta Bancaria]],Cuentas!$C:$C,Cuentas!$B:$B,""))</f>
        <v/>
      </c>
    </row>
    <row r="113" spans="2:18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f>SUMIFS('Saldos Iniciales'!$D:$D,'Saldos Iniciales'!$A:$A,C113,'Saldos Iniciales'!$B:$B,D113)+SUMIFS($K$1:$K$1325,$C$1:$C$1325,C113,$D$1:$D$1325,D113,$B$1:$B$1325,"&lt;="&amp;B113)</f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91" t="str">
        <f>IF(tblMovimientos[[#This Row],[Cuenta Bancaria]]="","",_xlfn.XLOOKUP(tblMovimientos[[#This Row],[Cuenta Bancaria]],Cuentas!$C:$C,Cuentas!$A:$A,"No encontrado"))</f>
        <v>SSP Group</v>
      </c>
      <c r="R113" s="91" t="str">
        <f>TRIM(_xlfn.XLOOKUP(tblMovimientos[[#This Row],[Cuenta Bancaria]],Cuentas!$C:$C,Cuentas!$B:$B,""))</f>
        <v/>
      </c>
    </row>
    <row r="114" spans="2:18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f>SUMIFS('Saldos Iniciales'!$D:$D,'Saldos Iniciales'!$A:$A,C114,'Saldos Iniciales'!$B:$B,D114)+SUMIFS($K$1:$K$1325,$C$1:$C$1325,C114,$D$1:$D$1325,D114,$B$1:$B$1325,"&lt;="&amp;B114)</f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91" t="str">
        <f>IF(tblMovimientos[[#This Row],[Cuenta Bancaria]]="","",_xlfn.XLOOKUP(tblMovimientos[[#This Row],[Cuenta Bancaria]],Cuentas!$C:$C,Cuentas!$A:$A,"No encontrado"))</f>
        <v>SSP Group</v>
      </c>
      <c r="R114" s="91" t="str">
        <f>TRIM(_xlfn.XLOOKUP(tblMovimientos[[#This Row],[Cuenta Bancaria]],Cuentas!$C:$C,Cuentas!$B:$B,""))</f>
        <v/>
      </c>
    </row>
    <row r="115" spans="2:18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f>SUMIFS('Saldos Iniciales'!$D:$D,'Saldos Iniciales'!$A:$A,C115,'Saldos Iniciales'!$B:$B,D115)+SUMIFS($K$1:$K$1325,$C$1:$C$1325,C115,$D$1:$D$1325,D115,$B$1:$B$1325,"&lt;="&amp;B115)</f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91" t="str">
        <f>IF(tblMovimientos[[#This Row],[Cuenta Bancaria]]="","",_xlfn.XLOOKUP(tblMovimientos[[#This Row],[Cuenta Bancaria]],Cuentas!$C:$C,Cuentas!$A:$A,"No encontrado"))</f>
        <v>SSP Group</v>
      </c>
      <c r="R115" s="91" t="str">
        <f>TRIM(_xlfn.XLOOKUP(tblMovimientos[[#This Row],[Cuenta Bancaria]],Cuentas!$C:$C,Cuentas!$B:$B,""))</f>
        <v/>
      </c>
    </row>
    <row r="116" spans="2:18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f>SUMIFS('Saldos Iniciales'!$D:$D,'Saldos Iniciales'!$A:$A,C116,'Saldos Iniciales'!$B:$B,D116)+SUMIFS($K$1:$K$1325,$C$1:$C$1325,C116,$D$1:$D$1325,D116,$B$1:$B$1325,"&lt;="&amp;B116)</f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91" t="str">
        <f>IF(tblMovimientos[[#This Row],[Cuenta Bancaria]]="","",_xlfn.XLOOKUP(tblMovimientos[[#This Row],[Cuenta Bancaria]],Cuentas!$C:$C,Cuentas!$A:$A,"No encontrado"))</f>
        <v>SSP Group</v>
      </c>
      <c r="R116" s="91" t="str">
        <f>TRIM(_xlfn.XLOOKUP(tblMovimientos[[#This Row],[Cuenta Bancaria]],Cuentas!$C:$C,Cuentas!$B:$B,""))</f>
        <v>Cross Security Trust</v>
      </c>
    </row>
    <row r="117" spans="2:18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f>SUMIFS('Saldos Iniciales'!$D:$D,'Saldos Iniciales'!$A:$A,C117,'Saldos Iniciales'!$B:$B,D117)+SUMIFS($K$1:$K$1325,$C$1:$C$1325,C117,$D$1:$D$1325,D117,$B$1:$B$1325,"&lt;="&amp;B117)</f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91" t="str">
        <f>IF(tblMovimientos[[#This Row],[Cuenta Bancaria]]="","",_xlfn.XLOOKUP(tblMovimientos[[#This Row],[Cuenta Bancaria]],Cuentas!$C:$C,Cuentas!$A:$A,"No encontrado"))</f>
        <v>SSP Group</v>
      </c>
      <c r="R117" s="91" t="str">
        <f>TRIM(_xlfn.XLOOKUP(tblMovimientos[[#This Row],[Cuenta Bancaria]],Cuentas!$C:$C,Cuentas!$B:$B,""))</f>
        <v/>
      </c>
    </row>
    <row r="118" spans="2:18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f>SUMIFS('Saldos Iniciales'!$D:$D,'Saldos Iniciales'!$A:$A,C118,'Saldos Iniciales'!$B:$B,D118)+SUMIFS($K$1:$K$1325,$C$1:$C$1325,C118,$D$1:$D$1325,D118,$B$1:$B$1325,"&lt;="&amp;B118)</f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91" t="str">
        <f>IF(tblMovimientos[[#This Row],[Cuenta Bancaria]]="","",_xlfn.XLOOKUP(tblMovimientos[[#This Row],[Cuenta Bancaria]],Cuentas!$C:$C,Cuentas!$A:$A,"No encontrado"))</f>
        <v>SSP Group</v>
      </c>
      <c r="R118" s="91" t="str">
        <f>TRIM(_xlfn.XLOOKUP(tblMovimientos[[#This Row],[Cuenta Bancaria]],Cuentas!$C:$C,Cuentas!$B:$B,""))</f>
        <v/>
      </c>
    </row>
    <row r="119" spans="2:18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f>SUMIFS('Saldos Iniciales'!$D:$D,'Saldos Iniciales'!$A:$A,C119,'Saldos Iniciales'!$B:$B,D119)+SUMIFS($K$1:$K$1325,$C$1:$C$1325,C119,$D$1:$D$1325,D119,$B$1:$B$1325,"&lt;="&amp;B119)</f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91" t="str">
        <f>IF(tblMovimientos[[#This Row],[Cuenta Bancaria]]="","",_xlfn.XLOOKUP(tblMovimientos[[#This Row],[Cuenta Bancaria]],Cuentas!$C:$C,Cuentas!$A:$A,"No encontrado"))</f>
        <v>SSP Group</v>
      </c>
      <c r="R119" s="91" t="str">
        <f>TRIM(_xlfn.XLOOKUP(tblMovimientos[[#This Row],[Cuenta Bancaria]],Cuentas!$C:$C,Cuentas!$B:$B,""))</f>
        <v/>
      </c>
    </row>
    <row r="120" spans="2:18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f>SUMIFS('Saldos Iniciales'!$D:$D,'Saldos Iniciales'!$A:$A,C120,'Saldos Iniciales'!$B:$B,D120)+SUMIFS($K$1:$K$1325,$C$1:$C$1325,C120,$D$1:$D$1325,D120,$B$1:$B$1325,"&lt;="&amp;B120)</f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91" t="str">
        <f>IF(tblMovimientos[[#This Row],[Cuenta Bancaria]]="","",_xlfn.XLOOKUP(tblMovimientos[[#This Row],[Cuenta Bancaria]],Cuentas!$C:$C,Cuentas!$A:$A,"No encontrado"))</f>
        <v>SSP Group</v>
      </c>
      <c r="R120" s="91" t="str">
        <f>TRIM(_xlfn.XLOOKUP(tblMovimientos[[#This Row],[Cuenta Bancaria]],Cuentas!$C:$C,Cuentas!$B:$B,""))</f>
        <v/>
      </c>
    </row>
    <row r="121" spans="2:18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f>SUMIFS('Saldos Iniciales'!$D:$D,'Saldos Iniciales'!$A:$A,C121,'Saldos Iniciales'!$B:$B,D121)+SUMIFS($K$1:$K$1325,$C$1:$C$1325,C121,$D$1:$D$1325,D121,$B$1:$B$1325,"&lt;="&amp;B121)</f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91" t="str">
        <f>IF(tblMovimientos[[#This Row],[Cuenta Bancaria]]="","",_xlfn.XLOOKUP(tblMovimientos[[#This Row],[Cuenta Bancaria]],Cuentas!$C:$C,Cuentas!$A:$A,"No encontrado"))</f>
        <v>SSP Group</v>
      </c>
      <c r="R121" s="91" t="str">
        <f>TRIM(_xlfn.XLOOKUP(tblMovimientos[[#This Row],[Cuenta Bancaria]],Cuentas!$C:$C,Cuentas!$B:$B,""))</f>
        <v/>
      </c>
    </row>
    <row r="122" spans="2:18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f>SUMIFS('Saldos Iniciales'!$D:$D,'Saldos Iniciales'!$A:$A,C122,'Saldos Iniciales'!$B:$B,D122)+SUMIFS($K$1:$K$1325,$C$1:$C$1325,C122,$D$1:$D$1325,D122,$B$1:$B$1325,"&lt;="&amp;B122)</f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91" t="str">
        <f>IF(tblMovimientos[[#This Row],[Cuenta Bancaria]]="","",_xlfn.XLOOKUP(tblMovimientos[[#This Row],[Cuenta Bancaria]],Cuentas!$C:$C,Cuentas!$A:$A,"No encontrado"))</f>
        <v>SSP Group</v>
      </c>
      <c r="R122" s="91" t="str">
        <f>TRIM(_xlfn.XLOOKUP(tblMovimientos[[#This Row],[Cuenta Bancaria]],Cuentas!$C:$C,Cuentas!$B:$B,""))</f>
        <v/>
      </c>
    </row>
    <row r="123" spans="2:18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f>SUMIFS('Saldos Iniciales'!$D:$D,'Saldos Iniciales'!$A:$A,C123,'Saldos Iniciales'!$B:$B,D123)+SUMIFS($K$1:$K$1325,$C$1:$C$1325,C123,$D$1:$D$1325,D123,$B$1:$B$1325,"&lt;="&amp;B123)</f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91" t="str">
        <f>IF(tblMovimientos[[#This Row],[Cuenta Bancaria]]="","",_xlfn.XLOOKUP(tblMovimientos[[#This Row],[Cuenta Bancaria]],Cuentas!$C:$C,Cuentas!$A:$A,"No encontrado"))</f>
        <v>SSP Group</v>
      </c>
      <c r="R123" s="91" t="str">
        <f>TRIM(_xlfn.XLOOKUP(tblMovimientos[[#This Row],[Cuenta Bancaria]],Cuentas!$C:$C,Cuentas!$B:$B,""))</f>
        <v/>
      </c>
    </row>
    <row r="124" spans="2:18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f>SUMIFS('Saldos Iniciales'!$D:$D,'Saldos Iniciales'!$A:$A,C124,'Saldos Iniciales'!$B:$B,D124)+SUMIFS($K$1:$K$1325,$C$1:$C$1325,C124,$D$1:$D$1325,D124,$B$1:$B$1325,"&lt;="&amp;B124)</f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91" t="str">
        <f>IF(tblMovimientos[[#This Row],[Cuenta Bancaria]]="","",_xlfn.XLOOKUP(tblMovimientos[[#This Row],[Cuenta Bancaria]],Cuentas!$C:$C,Cuentas!$A:$A,"No encontrado"))</f>
        <v>SSP Group</v>
      </c>
      <c r="R124" s="91" t="str">
        <f>TRIM(_xlfn.XLOOKUP(tblMovimientos[[#This Row],[Cuenta Bancaria]],Cuentas!$C:$C,Cuentas!$B:$B,""))</f>
        <v/>
      </c>
    </row>
    <row r="125" spans="2:18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f>SUMIFS('Saldos Iniciales'!$D:$D,'Saldos Iniciales'!$A:$A,C125,'Saldos Iniciales'!$B:$B,D125)+SUMIFS($K$1:$K$1325,$C$1:$C$1325,C125,$D$1:$D$1325,D125,$B$1:$B$1325,"&lt;="&amp;B125)</f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91" t="str">
        <f>IF(tblMovimientos[[#This Row],[Cuenta Bancaria]]="","",_xlfn.XLOOKUP(tblMovimientos[[#This Row],[Cuenta Bancaria]],Cuentas!$C:$C,Cuentas!$A:$A,"No encontrado"))</f>
        <v>SSP Group</v>
      </c>
      <c r="R125" s="91" t="str">
        <f>TRIM(_xlfn.XLOOKUP(tblMovimientos[[#This Row],[Cuenta Bancaria]],Cuentas!$C:$C,Cuentas!$B:$B,""))</f>
        <v/>
      </c>
    </row>
    <row r="126" spans="2:18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f>SUMIFS('Saldos Iniciales'!$D:$D,'Saldos Iniciales'!$A:$A,C126,'Saldos Iniciales'!$B:$B,D126)+SUMIFS($K$1:$K$1325,$C$1:$C$1325,C126,$D$1:$D$1325,D126,$B$1:$B$1325,"&lt;="&amp;B126)</f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91" t="str">
        <f>IF(tblMovimientos[[#This Row],[Cuenta Bancaria]]="","",_xlfn.XLOOKUP(tblMovimientos[[#This Row],[Cuenta Bancaria]],Cuentas!$C:$C,Cuentas!$A:$A,"No encontrado"))</f>
        <v>Trust</v>
      </c>
      <c r="R126" s="91" t="str">
        <f>TRIM(_xlfn.XLOOKUP(tblMovimientos[[#This Row],[Cuenta Bancaria]],Cuentas!$C:$C,Cuentas!$B:$B,""))</f>
        <v/>
      </c>
    </row>
    <row r="127" spans="2:18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f>SUMIFS('Saldos Iniciales'!$D:$D,'Saldos Iniciales'!$A:$A,C127,'Saldos Iniciales'!$B:$B,D127)+SUMIFS($K$1:$K$1325,$C$1:$C$1325,C127,$D$1:$D$1325,D127,$B$1:$B$1325,"&lt;="&amp;B127)</f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91" t="str">
        <f>IF(tblMovimientos[[#This Row],[Cuenta Bancaria]]="","",_xlfn.XLOOKUP(tblMovimientos[[#This Row],[Cuenta Bancaria]],Cuentas!$C:$C,Cuentas!$A:$A,"No encontrado"))</f>
        <v>SSP Group</v>
      </c>
      <c r="R127" s="91" t="str">
        <f>TRIM(_xlfn.XLOOKUP(tblMovimientos[[#This Row],[Cuenta Bancaria]],Cuentas!$C:$C,Cuentas!$B:$B,""))</f>
        <v/>
      </c>
    </row>
    <row r="128" spans="2:18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f>SUMIFS('Saldos Iniciales'!$D:$D,'Saldos Iniciales'!$A:$A,C128,'Saldos Iniciales'!$B:$B,D128)+SUMIFS($K$1:$K$1325,$C$1:$C$1325,C128,$D$1:$D$1325,D128,$B$1:$B$1325,"&lt;="&amp;B128)</f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91" t="str">
        <f>IF(tblMovimientos[[#This Row],[Cuenta Bancaria]]="","",_xlfn.XLOOKUP(tblMovimientos[[#This Row],[Cuenta Bancaria]],Cuentas!$C:$C,Cuentas!$A:$A,"No encontrado"))</f>
        <v>SSP Group</v>
      </c>
      <c r="R128" s="91" t="str">
        <f>TRIM(_xlfn.XLOOKUP(tblMovimientos[[#This Row],[Cuenta Bancaria]],Cuentas!$C:$C,Cuentas!$B:$B,""))</f>
        <v/>
      </c>
    </row>
    <row r="129" spans="2:18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f>SUMIFS('Saldos Iniciales'!$D:$D,'Saldos Iniciales'!$A:$A,C129,'Saldos Iniciales'!$B:$B,D129)+SUMIFS($K$1:$K$1325,$C$1:$C$1325,C129,$D$1:$D$1325,D129,$B$1:$B$1325,"&lt;="&amp;B129)</f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91" t="str">
        <f>IF(tblMovimientos[[#This Row],[Cuenta Bancaria]]="","",_xlfn.XLOOKUP(tblMovimientos[[#This Row],[Cuenta Bancaria]],Cuentas!$C:$C,Cuentas!$A:$A,"No encontrado"))</f>
        <v>SSP Group</v>
      </c>
      <c r="R129" s="91" t="str">
        <f>TRIM(_xlfn.XLOOKUP(tblMovimientos[[#This Row],[Cuenta Bancaria]],Cuentas!$C:$C,Cuentas!$B:$B,""))</f>
        <v/>
      </c>
    </row>
    <row r="130" spans="2:18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f>SUMIFS('Saldos Iniciales'!$D:$D,'Saldos Iniciales'!$A:$A,C130,'Saldos Iniciales'!$B:$B,D130)+SUMIFS($K$1:$K$1325,$C$1:$C$1325,C130,$D$1:$D$1325,D130,$B$1:$B$1325,"&lt;="&amp;B130)</f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91" t="str">
        <f>IF(tblMovimientos[[#This Row],[Cuenta Bancaria]]="","",_xlfn.XLOOKUP(tblMovimientos[[#This Row],[Cuenta Bancaria]],Cuentas!$C:$C,Cuentas!$A:$A,"No encontrado"))</f>
        <v>SSP Group</v>
      </c>
      <c r="R130" s="91" t="str">
        <f>TRIM(_xlfn.XLOOKUP(tblMovimientos[[#This Row],[Cuenta Bancaria]],Cuentas!$C:$C,Cuentas!$B:$B,""))</f>
        <v/>
      </c>
    </row>
    <row r="131" spans="2:18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f>SUMIFS('Saldos Iniciales'!$D:$D,'Saldos Iniciales'!$A:$A,C131,'Saldos Iniciales'!$B:$B,D131)+SUMIFS($K$1:$K$1325,$C$1:$C$1325,C131,$D$1:$D$1325,D131,$B$1:$B$1325,"&lt;="&amp;B131)</f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91" t="str">
        <f>IF(tblMovimientos[[#This Row],[Cuenta Bancaria]]="","",_xlfn.XLOOKUP(tblMovimientos[[#This Row],[Cuenta Bancaria]],Cuentas!$C:$C,Cuentas!$A:$A,"No encontrado"))</f>
        <v>SSP Group</v>
      </c>
      <c r="R131" s="91" t="str">
        <f>TRIM(_xlfn.XLOOKUP(tblMovimientos[[#This Row],[Cuenta Bancaria]],Cuentas!$C:$C,Cuentas!$B:$B,""))</f>
        <v/>
      </c>
    </row>
    <row r="132" spans="2:18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f>SUMIFS('Saldos Iniciales'!$D:$D,'Saldos Iniciales'!$A:$A,C132,'Saldos Iniciales'!$B:$B,D132)+SUMIFS($K$1:$K$1325,$C$1:$C$1325,C132,$D$1:$D$1325,D132,$B$1:$B$1325,"&lt;="&amp;B132)</f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91" t="str">
        <f>IF(tblMovimientos[[#This Row],[Cuenta Bancaria]]="","",_xlfn.XLOOKUP(tblMovimientos[[#This Row],[Cuenta Bancaria]],Cuentas!$C:$C,Cuentas!$A:$A,"No encontrado"))</f>
        <v>SSP Group</v>
      </c>
      <c r="R132" s="91" t="str">
        <f>TRIM(_xlfn.XLOOKUP(tblMovimientos[[#This Row],[Cuenta Bancaria]],Cuentas!$C:$C,Cuentas!$B:$B,""))</f>
        <v/>
      </c>
    </row>
    <row r="133" spans="2:18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f>SUMIFS('Saldos Iniciales'!$D:$D,'Saldos Iniciales'!$A:$A,C133,'Saldos Iniciales'!$B:$B,D133)+SUMIFS($K$1:$K$1325,$C$1:$C$1325,C133,$D$1:$D$1325,D133,$B$1:$B$1325,"&lt;="&amp;B133)</f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91" t="str">
        <f>IF(tblMovimientos[[#This Row],[Cuenta Bancaria]]="","",_xlfn.XLOOKUP(tblMovimientos[[#This Row],[Cuenta Bancaria]],Cuentas!$C:$C,Cuentas!$A:$A,"No encontrado"))</f>
        <v>SSP Group</v>
      </c>
      <c r="R133" s="91" t="str">
        <f>TRIM(_xlfn.XLOOKUP(tblMovimientos[[#This Row],[Cuenta Bancaria]],Cuentas!$C:$C,Cuentas!$B:$B,""))</f>
        <v/>
      </c>
    </row>
    <row r="134" spans="2:18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f>SUMIFS('Saldos Iniciales'!$D:$D,'Saldos Iniciales'!$A:$A,C134,'Saldos Iniciales'!$B:$B,D134)+SUMIFS($K$1:$K$1325,$C$1:$C$1325,C134,$D$1:$D$1325,D134,$B$1:$B$1325,"&lt;="&amp;B134)</f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91" t="str">
        <f>IF(tblMovimientos[[#This Row],[Cuenta Bancaria]]="","",_xlfn.XLOOKUP(tblMovimientos[[#This Row],[Cuenta Bancaria]],Cuentas!$C:$C,Cuentas!$A:$A,"No encontrado"))</f>
        <v>SSP Group</v>
      </c>
      <c r="R134" s="91" t="str">
        <f>TRIM(_xlfn.XLOOKUP(tblMovimientos[[#This Row],[Cuenta Bancaria]],Cuentas!$C:$C,Cuentas!$B:$B,""))</f>
        <v/>
      </c>
    </row>
    <row r="135" spans="2:18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f>SUMIFS('Saldos Iniciales'!$D:$D,'Saldos Iniciales'!$A:$A,C135,'Saldos Iniciales'!$B:$B,D135)+SUMIFS($K$1:$K$1325,$C$1:$C$1325,C135,$D$1:$D$1325,D135,$B$1:$B$1325,"&lt;="&amp;B135)</f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91" t="str">
        <f>IF(tblMovimientos[[#This Row],[Cuenta Bancaria]]="","",_xlfn.XLOOKUP(tblMovimientos[[#This Row],[Cuenta Bancaria]],Cuentas!$C:$C,Cuentas!$A:$A,"No encontrado"))</f>
        <v>SSP Group</v>
      </c>
      <c r="R135" s="91" t="str">
        <f>TRIM(_xlfn.XLOOKUP(tblMovimientos[[#This Row],[Cuenta Bancaria]],Cuentas!$C:$C,Cuentas!$B:$B,""))</f>
        <v/>
      </c>
    </row>
    <row r="136" spans="2:18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f>SUMIFS('Saldos Iniciales'!$D:$D,'Saldos Iniciales'!$A:$A,C136,'Saldos Iniciales'!$B:$B,D136)+SUMIFS($K$1:$K$1325,$C$1:$C$1325,C136,$D$1:$D$1325,D136,$B$1:$B$1325,"&lt;="&amp;B136)</f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91" t="str">
        <f>IF(tblMovimientos[[#This Row],[Cuenta Bancaria]]="","",_xlfn.XLOOKUP(tblMovimientos[[#This Row],[Cuenta Bancaria]],Cuentas!$C:$C,Cuentas!$A:$A,"No encontrado"))</f>
        <v>SSP Group</v>
      </c>
      <c r="R136" s="91" t="str">
        <f>TRIM(_xlfn.XLOOKUP(tblMovimientos[[#This Row],[Cuenta Bancaria]],Cuentas!$C:$C,Cuentas!$B:$B,""))</f>
        <v/>
      </c>
    </row>
    <row r="137" spans="2:18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f>SUMIFS('Saldos Iniciales'!$D:$D,'Saldos Iniciales'!$A:$A,C137,'Saldos Iniciales'!$B:$B,D137)+SUMIFS($K$1:$K$1325,$C$1:$C$1325,C137,$D$1:$D$1325,D137,$B$1:$B$1325,"&lt;="&amp;B137)</f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91" t="str">
        <f>IF(tblMovimientos[[#This Row],[Cuenta Bancaria]]="","",_xlfn.XLOOKUP(tblMovimientos[[#This Row],[Cuenta Bancaria]],Cuentas!$C:$C,Cuentas!$A:$A,"No encontrado"))</f>
        <v>SSP Group</v>
      </c>
      <c r="R137" s="91" t="str">
        <f>TRIM(_xlfn.XLOOKUP(tblMovimientos[[#This Row],[Cuenta Bancaria]],Cuentas!$C:$C,Cuentas!$B:$B,""))</f>
        <v/>
      </c>
    </row>
    <row r="138" spans="2:18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f>SUMIFS('Saldos Iniciales'!$D:$D,'Saldos Iniciales'!$A:$A,C138,'Saldos Iniciales'!$B:$B,D138)+SUMIFS($K$1:$K$1325,$C$1:$C$1325,C138,$D$1:$D$1325,D138,$B$1:$B$1325,"&lt;="&amp;B138)</f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91" t="str">
        <f>IF(tblMovimientos[[#This Row],[Cuenta Bancaria]]="","",_xlfn.XLOOKUP(tblMovimientos[[#This Row],[Cuenta Bancaria]],Cuentas!$C:$C,Cuentas!$A:$A,"No encontrado"))</f>
        <v>SSP Group</v>
      </c>
      <c r="R138" s="91" t="str">
        <f>TRIM(_xlfn.XLOOKUP(tblMovimientos[[#This Row],[Cuenta Bancaria]],Cuentas!$C:$C,Cuentas!$B:$B,""))</f>
        <v/>
      </c>
    </row>
    <row r="139" spans="2:18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f>SUMIFS('Saldos Iniciales'!$D:$D,'Saldos Iniciales'!$A:$A,C139,'Saldos Iniciales'!$B:$B,D139)+SUMIFS($K$1:$K$1325,$C$1:$C$1325,C139,$D$1:$D$1325,D139,$B$1:$B$1325,"&lt;="&amp;B139)</f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91" t="str">
        <f>IF(tblMovimientos[[#This Row],[Cuenta Bancaria]]="","",_xlfn.XLOOKUP(tblMovimientos[[#This Row],[Cuenta Bancaria]],Cuentas!$C:$C,Cuentas!$A:$A,"No encontrado"))</f>
        <v>SSP Group</v>
      </c>
      <c r="R139" s="91" t="str">
        <f>TRIM(_xlfn.XLOOKUP(tblMovimientos[[#This Row],[Cuenta Bancaria]],Cuentas!$C:$C,Cuentas!$B:$B,""))</f>
        <v/>
      </c>
    </row>
    <row r="140" spans="2:18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f>SUMIFS('Saldos Iniciales'!$D:$D,'Saldos Iniciales'!$A:$A,C140,'Saldos Iniciales'!$B:$B,D140)+SUMIFS($K$1:$K$1325,$C$1:$C$1325,C140,$D$1:$D$1325,D140,$B$1:$B$1325,"&lt;="&amp;B140)</f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91" t="str">
        <f>IF(tblMovimientos[[#This Row],[Cuenta Bancaria]]="","",_xlfn.XLOOKUP(tblMovimientos[[#This Row],[Cuenta Bancaria]],Cuentas!$C:$C,Cuentas!$A:$A,"No encontrado"))</f>
        <v>SSP Group</v>
      </c>
      <c r="R140" s="91" t="str">
        <f>TRIM(_xlfn.XLOOKUP(tblMovimientos[[#This Row],[Cuenta Bancaria]],Cuentas!$C:$C,Cuentas!$B:$B,""))</f>
        <v/>
      </c>
    </row>
    <row r="141" spans="2:18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f>SUMIFS('Saldos Iniciales'!$D:$D,'Saldos Iniciales'!$A:$A,C141,'Saldos Iniciales'!$B:$B,D141)+SUMIFS($K$1:$K$1325,$C$1:$C$1325,C141,$D$1:$D$1325,D141,$B$1:$B$1325,"&lt;="&amp;B141)</f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91" t="str">
        <f>IF(tblMovimientos[[#This Row],[Cuenta Bancaria]]="","",_xlfn.XLOOKUP(tblMovimientos[[#This Row],[Cuenta Bancaria]],Cuentas!$C:$C,Cuentas!$A:$A,"No encontrado"))</f>
        <v>SSP Group</v>
      </c>
      <c r="R141" s="91" t="str">
        <f>TRIM(_xlfn.XLOOKUP(tblMovimientos[[#This Row],[Cuenta Bancaria]],Cuentas!$C:$C,Cuentas!$B:$B,""))</f>
        <v/>
      </c>
    </row>
    <row r="142" spans="2:18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f>SUMIFS('Saldos Iniciales'!$D:$D,'Saldos Iniciales'!$A:$A,C142,'Saldos Iniciales'!$B:$B,D142)+SUMIFS($K$1:$K$1325,$C$1:$C$1325,C142,$D$1:$D$1325,D142,$B$1:$B$1325,"&lt;="&amp;B142)</f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91" t="str">
        <f>IF(tblMovimientos[[#This Row],[Cuenta Bancaria]]="","",_xlfn.XLOOKUP(tblMovimientos[[#This Row],[Cuenta Bancaria]],Cuentas!$C:$C,Cuentas!$A:$A,"No encontrado"))</f>
        <v>SSP Group</v>
      </c>
      <c r="R142" s="91" t="str">
        <f>TRIM(_xlfn.XLOOKUP(tblMovimientos[[#This Row],[Cuenta Bancaria]],Cuentas!$C:$C,Cuentas!$B:$B,""))</f>
        <v/>
      </c>
    </row>
    <row r="143" spans="2:18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f>SUMIFS('Saldos Iniciales'!$D:$D,'Saldos Iniciales'!$A:$A,C143,'Saldos Iniciales'!$B:$B,D143)+SUMIFS($K$1:$K$1325,$C$1:$C$1325,C143,$D$1:$D$1325,D143,$B$1:$B$1325,"&lt;="&amp;B143)</f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91" t="str">
        <f>IF(tblMovimientos[[#This Row],[Cuenta Bancaria]]="","",_xlfn.XLOOKUP(tblMovimientos[[#This Row],[Cuenta Bancaria]],Cuentas!$C:$C,Cuentas!$A:$A,"No encontrado"))</f>
        <v>Trust</v>
      </c>
      <c r="R143" s="91" t="str">
        <f>TRIM(_xlfn.XLOOKUP(tblMovimientos[[#This Row],[Cuenta Bancaria]],Cuentas!$C:$C,Cuentas!$B:$B,""))</f>
        <v/>
      </c>
    </row>
    <row r="144" spans="2:18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f>SUMIFS('Saldos Iniciales'!$D:$D,'Saldos Iniciales'!$A:$A,C144,'Saldos Iniciales'!$B:$B,D144)+SUMIFS($K$1:$K$1325,$C$1:$C$1325,C144,$D$1:$D$1325,D144,$B$1:$B$1325,"&lt;="&amp;B144)</f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91" t="str">
        <f>IF(tblMovimientos[[#This Row],[Cuenta Bancaria]]="","",_xlfn.XLOOKUP(tblMovimientos[[#This Row],[Cuenta Bancaria]],Cuentas!$C:$C,Cuentas!$A:$A,"No encontrado"))</f>
        <v>Trust</v>
      </c>
      <c r="R144" s="91" t="str">
        <f>TRIM(_xlfn.XLOOKUP(tblMovimientos[[#This Row],[Cuenta Bancaria]],Cuentas!$C:$C,Cuentas!$B:$B,""))</f>
        <v/>
      </c>
    </row>
    <row r="145" spans="2:18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f>SUMIFS('Saldos Iniciales'!$D:$D,'Saldos Iniciales'!$A:$A,C145,'Saldos Iniciales'!$B:$B,D145)+SUMIFS($K$1:$K$1325,$C$1:$C$1325,C145,$D$1:$D$1325,D145,$B$1:$B$1325,"&lt;="&amp;B145)</f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91" t="str">
        <f>IF(tblMovimientos[[#This Row],[Cuenta Bancaria]]="","",_xlfn.XLOOKUP(tblMovimientos[[#This Row],[Cuenta Bancaria]],Cuentas!$C:$C,Cuentas!$A:$A,"No encontrado"))</f>
        <v>SSP Group</v>
      </c>
      <c r="R145" s="91" t="str">
        <f>TRIM(_xlfn.XLOOKUP(tblMovimientos[[#This Row],[Cuenta Bancaria]],Cuentas!$C:$C,Cuentas!$B:$B,""))</f>
        <v/>
      </c>
    </row>
    <row r="146" spans="2:18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f>SUMIFS('Saldos Iniciales'!$D:$D,'Saldos Iniciales'!$A:$A,C146,'Saldos Iniciales'!$B:$B,D146)+SUMIFS($K$1:$K$1325,$C$1:$C$1325,C146,$D$1:$D$1325,D146,$B$1:$B$1325,"&lt;="&amp;B146)</f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91" t="str">
        <f>IF(tblMovimientos[[#This Row],[Cuenta Bancaria]]="","",_xlfn.XLOOKUP(tblMovimientos[[#This Row],[Cuenta Bancaria]],Cuentas!$C:$C,Cuentas!$A:$A,"No encontrado"))</f>
        <v>SSP Group</v>
      </c>
      <c r="R146" s="91" t="str">
        <f>TRIM(_xlfn.XLOOKUP(tblMovimientos[[#This Row],[Cuenta Bancaria]],Cuentas!$C:$C,Cuentas!$B:$B,""))</f>
        <v/>
      </c>
    </row>
    <row r="147" spans="2:18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f>SUMIFS('Saldos Iniciales'!$D:$D,'Saldos Iniciales'!$A:$A,C147,'Saldos Iniciales'!$B:$B,D147)+SUMIFS($K$1:$K$1325,$C$1:$C$1325,C147,$D$1:$D$1325,D147,$B$1:$B$1325,"&lt;="&amp;B147)</f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91" t="str">
        <f>IF(tblMovimientos[[#This Row],[Cuenta Bancaria]]="","",_xlfn.XLOOKUP(tblMovimientos[[#This Row],[Cuenta Bancaria]],Cuentas!$C:$C,Cuentas!$A:$A,"No encontrado"))</f>
        <v>SSP Group</v>
      </c>
      <c r="R147" s="91" t="str">
        <f>TRIM(_xlfn.XLOOKUP(tblMovimientos[[#This Row],[Cuenta Bancaria]],Cuentas!$C:$C,Cuentas!$B:$B,""))</f>
        <v/>
      </c>
    </row>
    <row r="148" spans="2:18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f>SUMIFS('Saldos Iniciales'!$D:$D,'Saldos Iniciales'!$A:$A,C148,'Saldos Iniciales'!$B:$B,D148)+SUMIFS($K$1:$K$1325,$C$1:$C$1325,C148,$D$1:$D$1325,D148,$B$1:$B$1325,"&lt;="&amp;B148)</f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91" t="str">
        <f>IF(tblMovimientos[[#This Row],[Cuenta Bancaria]]="","",_xlfn.XLOOKUP(tblMovimientos[[#This Row],[Cuenta Bancaria]],Cuentas!$C:$C,Cuentas!$A:$A,"No encontrado"))</f>
        <v>SSP Group</v>
      </c>
      <c r="R148" s="91" t="str">
        <f>TRIM(_xlfn.XLOOKUP(tblMovimientos[[#This Row],[Cuenta Bancaria]],Cuentas!$C:$C,Cuentas!$B:$B,""))</f>
        <v/>
      </c>
    </row>
    <row r="149" spans="2:18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f>SUMIFS('Saldos Iniciales'!$D:$D,'Saldos Iniciales'!$A:$A,C149,'Saldos Iniciales'!$B:$B,D149)+SUMIFS($K$1:$K$1325,$C$1:$C$1325,C149,$D$1:$D$1325,D149,$B$1:$B$1325,"&lt;="&amp;B149)</f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91" t="str">
        <f>IF(tblMovimientos[[#This Row],[Cuenta Bancaria]]="","",_xlfn.XLOOKUP(tblMovimientos[[#This Row],[Cuenta Bancaria]],Cuentas!$C:$C,Cuentas!$A:$A,"No encontrado"))</f>
        <v>SSP Group</v>
      </c>
      <c r="R149" s="91" t="str">
        <f>TRIM(_xlfn.XLOOKUP(tblMovimientos[[#This Row],[Cuenta Bancaria]],Cuentas!$C:$C,Cuentas!$B:$B,""))</f>
        <v/>
      </c>
    </row>
    <row r="150" spans="2:18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f>SUMIFS('Saldos Iniciales'!$D:$D,'Saldos Iniciales'!$A:$A,C150,'Saldos Iniciales'!$B:$B,D150)+SUMIFS($K$1:$K$1325,$C$1:$C$1325,C150,$D$1:$D$1325,D150,$B$1:$B$1325,"&lt;="&amp;B150)</f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91" t="str">
        <f>IF(tblMovimientos[[#This Row],[Cuenta Bancaria]]="","",_xlfn.XLOOKUP(tblMovimientos[[#This Row],[Cuenta Bancaria]],Cuentas!$C:$C,Cuentas!$A:$A,"No encontrado"))</f>
        <v>SSP Group</v>
      </c>
      <c r="R150" s="91" t="str">
        <f>TRIM(_xlfn.XLOOKUP(tblMovimientos[[#This Row],[Cuenta Bancaria]],Cuentas!$C:$C,Cuentas!$B:$B,""))</f>
        <v/>
      </c>
    </row>
    <row r="151" spans="2:18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f>SUMIFS('Saldos Iniciales'!$D:$D,'Saldos Iniciales'!$A:$A,C151,'Saldos Iniciales'!$B:$B,D151)+SUMIFS($K$1:$K$1325,$C$1:$C$1325,C151,$D$1:$D$1325,D151,$B$1:$B$1325,"&lt;="&amp;B151)</f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91" t="str">
        <f>IF(tblMovimientos[[#This Row],[Cuenta Bancaria]]="","",_xlfn.XLOOKUP(tblMovimientos[[#This Row],[Cuenta Bancaria]],Cuentas!$C:$C,Cuentas!$A:$A,"No encontrado"))</f>
        <v>SSP Group</v>
      </c>
      <c r="R151" s="91" t="str">
        <f>TRIM(_xlfn.XLOOKUP(tblMovimientos[[#This Row],[Cuenta Bancaria]],Cuentas!$C:$C,Cuentas!$B:$B,""))</f>
        <v/>
      </c>
    </row>
    <row r="152" spans="2:18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f>SUMIFS('Saldos Iniciales'!$D:$D,'Saldos Iniciales'!$A:$A,C152,'Saldos Iniciales'!$B:$B,D152)+SUMIFS($K$1:$K$1325,$C$1:$C$1325,C152,$D$1:$D$1325,D152,$B$1:$B$1325,"&lt;="&amp;B152)</f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91" t="str">
        <f>IF(tblMovimientos[[#This Row],[Cuenta Bancaria]]="","",_xlfn.XLOOKUP(tblMovimientos[[#This Row],[Cuenta Bancaria]],Cuentas!$C:$C,Cuentas!$A:$A,"No encontrado"))</f>
        <v>SSP Group</v>
      </c>
      <c r="R152" s="91" t="str">
        <f>TRIM(_xlfn.XLOOKUP(tblMovimientos[[#This Row],[Cuenta Bancaria]],Cuentas!$C:$C,Cuentas!$B:$B,""))</f>
        <v/>
      </c>
    </row>
    <row r="153" spans="2:18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f>SUMIFS('Saldos Iniciales'!$D:$D,'Saldos Iniciales'!$A:$A,C153,'Saldos Iniciales'!$B:$B,D153)+SUMIFS($K$1:$K$1325,$C$1:$C$1325,C153,$D$1:$D$1325,D153,$B$1:$B$1325,"&lt;="&amp;B153)</f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91" t="str">
        <f>IF(tblMovimientos[[#This Row],[Cuenta Bancaria]]="","",_xlfn.XLOOKUP(tblMovimientos[[#This Row],[Cuenta Bancaria]],Cuentas!$C:$C,Cuentas!$A:$A,"No encontrado"))</f>
        <v>SSP Group</v>
      </c>
      <c r="R153" s="91" t="str">
        <f>TRIM(_xlfn.XLOOKUP(tblMovimientos[[#This Row],[Cuenta Bancaria]],Cuentas!$C:$C,Cuentas!$B:$B,""))</f>
        <v/>
      </c>
    </row>
    <row r="154" spans="2:18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f>SUMIFS('Saldos Iniciales'!$D:$D,'Saldos Iniciales'!$A:$A,C154,'Saldos Iniciales'!$B:$B,D154)+SUMIFS($K$1:$K$1325,$C$1:$C$1325,C154,$D$1:$D$1325,D154,$B$1:$B$1325,"&lt;="&amp;B154)</f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91" t="str">
        <f>IF(tblMovimientos[[#This Row],[Cuenta Bancaria]]="","",_xlfn.XLOOKUP(tblMovimientos[[#This Row],[Cuenta Bancaria]],Cuentas!$C:$C,Cuentas!$A:$A,"No encontrado"))</f>
        <v>SSP Group</v>
      </c>
      <c r="R154" s="91" t="str">
        <f>TRIM(_xlfn.XLOOKUP(tblMovimientos[[#This Row],[Cuenta Bancaria]],Cuentas!$C:$C,Cuentas!$B:$B,""))</f>
        <v/>
      </c>
    </row>
    <row r="155" spans="2:18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f>SUMIFS('Saldos Iniciales'!$D:$D,'Saldos Iniciales'!$A:$A,C155,'Saldos Iniciales'!$B:$B,D155)+SUMIFS($K$1:$K$1325,$C$1:$C$1325,C155,$D$1:$D$1325,D155,$B$1:$B$1325,"&lt;="&amp;B155)</f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91" t="str">
        <f>IF(tblMovimientos[[#This Row],[Cuenta Bancaria]]="","",_xlfn.XLOOKUP(tblMovimientos[[#This Row],[Cuenta Bancaria]],Cuentas!$C:$C,Cuentas!$A:$A,"No encontrado"))</f>
        <v>SSP Group</v>
      </c>
      <c r="R155" s="91" t="str">
        <f>TRIM(_xlfn.XLOOKUP(tblMovimientos[[#This Row],[Cuenta Bancaria]],Cuentas!$C:$C,Cuentas!$B:$B,""))</f>
        <v/>
      </c>
    </row>
    <row r="156" spans="2:18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f>SUMIFS('Saldos Iniciales'!$D:$D,'Saldos Iniciales'!$A:$A,C156,'Saldos Iniciales'!$B:$B,D156)+SUMIFS($K$1:$K$1325,$C$1:$C$1325,C156,$D$1:$D$1325,D156,$B$1:$B$1325,"&lt;="&amp;B156)</f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91" t="str">
        <f>IF(tblMovimientos[[#This Row],[Cuenta Bancaria]]="","",_xlfn.XLOOKUP(tblMovimientos[[#This Row],[Cuenta Bancaria]],Cuentas!$C:$C,Cuentas!$A:$A,"No encontrado"))</f>
        <v>SSP Group</v>
      </c>
      <c r="R156" s="91" t="str">
        <f>TRIM(_xlfn.XLOOKUP(tblMovimientos[[#This Row],[Cuenta Bancaria]],Cuentas!$C:$C,Cuentas!$B:$B,""))</f>
        <v/>
      </c>
    </row>
    <row r="157" spans="2:18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f>SUMIFS('Saldos Iniciales'!$D:$D,'Saldos Iniciales'!$A:$A,C157,'Saldos Iniciales'!$B:$B,D157)+SUMIFS($K$1:$K$1325,$C$1:$C$1325,C157,$D$1:$D$1325,D157,$B$1:$B$1325,"&lt;="&amp;B157)</f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91" t="str">
        <f>IF(tblMovimientos[[#This Row],[Cuenta Bancaria]]="","",_xlfn.XLOOKUP(tblMovimientos[[#This Row],[Cuenta Bancaria]],Cuentas!$C:$C,Cuentas!$A:$A,"No encontrado"))</f>
        <v>SSP Group</v>
      </c>
      <c r="R157" s="91" t="str">
        <f>TRIM(_xlfn.XLOOKUP(tblMovimientos[[#This Row],[Cuenta Bancaria]],Cuentas!$C:$C,Cuentas!$B:$B,""))</f>
        <v/>
      </c>
    </row>
    <row r="158" spans="2:18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f>SUMIFS('Saldos Iniciales'!$D:$D,'Saldos Iniciales'!$A:$A,C158,'Saldos Iniciales'!$B:$B,D158)+SUMIFS($K$1:$K$1325,$C$1:$C$1325,C158,$D$1:$D$1325,D158,$B$1:$B$1325,"&lt;="&amp;B158)</f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91" t="str">
        <f>IF(tblMovimientos[[#This Row],[Cuenta Bancaria]]="","",_xlfn.XLOOKUP(tblMovimientos[[#This Row],[Cuenta Bancaria]],Cuentas!$C:$C,Cuentas!$A:$A,"No encontrado"))</f>
        <v>SSP Group</v>
      </c>
      <c r="R158" s="91" t="str">
        <f>TRIM(_xlfn.XLOOKUP(tblMovimientos[[#This Row],[Cuenta Bancaria]],Cuentas!$C:$C,Cuentas!$B:$B,""))</f>
        <v/>
      </c>
    </row>
    <row r="159" spans="2:18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f>SUMIFS('Saldos Iniciales'!$D:$D,'Saldos Iniciales'!$A:$A,C159,'Saldos Iniciales'!$B:$B,D159)+SUMIFS($K$1:$K$1325,$C$1:$C$1325,C159,$D$1:$D$1325,D159,$B$1:$B$1325,"&lt;="&amp;B159)</f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91" t="str">
        <f>IF(tblMovimientos[[#This Row],[Cuenta Bancaria]]="","",_xlfn.XLOOKUP(tblMovimientos[[#This Row],[Cuenta Bancaria]],Cuentas!$C:$C,Cuentas!$A:$A,"No encontrado"))</f>
        <v>SSP Group</v>
      </c>
      <c r="R159" s="91" t="str">
        <f>TRIM(_xlfn.XLOOKUP(tblMovimientos[[#This Row],[Cuenta Bancaria]],Cuentas!$C:$C,Cuentas!$B:$B,""))</f>
        <v/>
      </c>
    </row>
    <row r="160" spans="2:18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f>SUMIFS('Saldos Iniciales'!$D:$D,'Saldos Iniciales'!$A:$A,C160,'Saldos Iniciales'!$B:$B,D160)+SUMIFS($K$1:$K$1325,$C$1:$C$1325,C160,$D$1:$D$1325,D160,$B$1:$B$1325,"&lt;="&amp;B160)</f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91" t="str">
        <f>IF(tblMovimientos[[#This Row],[Cuenta Bancaria]]="","",_xlfn.XLOOKUP(tblMovimientos[[#This Row],[Cuenta Bancaria]],Cuentas!$C:$C,Cuentas!$A:$A,"No encontrado"))</f>
        <v>SSP Group</v>
      </c>
      <c r="R160" s="91" t="str">
        <f>TRIM(_xlfn.XLOOKUP(tblMovimientos[[#This Row],[Cuenta Bancaria]],Cuentas!$C:$C,Cuentas!$B:$B,""))</f>
        <v/>
      </c>
    </row>
    <row r="161" spans="2:18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f>SUMIFS('Saldos Iniciales'!$D:$D,'Saldos Iniciales'!$A:$A,C161,'Saldos Iniciales'!$B:$B,D161)+SUMIFS($K$1:$K$1325,$C$1:$C$1325,C161,$D$1:$D$1325,D161,$B$1:$B$1325,"&lt;="&amp;B161)</f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91" t="str">
        <f>IF(tblMovimientos[[#This Row],[Cuenta Bancaria]]="","",_xlfn.XLOOKUP(tblMovimientos[[#This Row],[Cuenta Bancaria]],Cuentas!$C:$C,Cuentas!$A:$A,"No encontrado"))</f>
        <v>SSP Group</v>
      </c>
      <c r="R161" s="91" t="str">
        <f>TRIM(_xlfn.XLOOKUP(tblMovimientos[[#This Row],[Cuenta Bancaria]],Cuentas!$C:$C,Cuentas!$B:$B,""))</f>
        <v/>
      </c>
    </row>
    <row r="162" spans="2:18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f>SUMIFS('Saldos Iniciales'!$D:$D,'Saldos Iniciales'!$A:$A,C162,'Saldos Iniciales'!$B:$B,D162)+SUMIFS($K$1:$K$1325,$C$1:$C$1325,C162,$D$1:$D$1325,D162,$B$1:$B$1325,"&lt;="&amp;B162)</f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91" t="str">
        <f>IF(tblMovimientos[[#This Row],[Cuenta Bancaria]]="","",_xlfn.XLOOKUP(tblMovimientos[[#This Row],[Cuenta Bancaria]],Cuentas!$C:$C,Cuentas!$A:$A,"No encontrado"))</f>
        <v>SSP Group</v>
      </c>
      <c r="R162" s="91" t="str">
        <f>TRIM(_xlfn.XLOOKUP(tblMovimientos[[#This Row],[Cuenta Bancaria]],Cuentas!$C:$C,Cuentas!$B:$B,""))</f>
        <v/>
      </c>
    </row>
    <row r="163" spans="2:18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f>SUMIFS('Saldos Iniciales'!$D:$D,'Saldos Iniciales'!$A:$A,C163,'Saldos Iniciales'!$B:$B,D163)+SUMIFS($K$1:$K$1325,$C$1:$C$1325,C163,$D$1:$D$1325,D163,$B$1:$B$1325,"&lt;="&amp;B163)</f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91" t="str">
        <f>IF(tblMovimientos[[#This Row],[Cuenta Bancaria]]="","",_xlfn.XLOOKUP(tblMovimientos[[#This Row],[Cuenta Bancaria]],Cuentas!$C:$C,Cuentas!$A:$A,"No encontrado"))</f>
        <v>SSP Group</v>
      </c>
      <c r="R163" s="91" t="str">
        <f>TRIM(_xlfn.XLOOKUP(tblMovimientos[[#This Row],[Cuenta Bancaria]],Cuentas!$C:$C,Cuentas!$B:$B,""))</f>
        <v/>
      </c>
    </row>
    <row r="164" spans="2:18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f>SUMIFS('Saldos Iniciales'!$D:$D,'Saldos Iniciales'!$A:$A,C164,'Saldos Iniciales'!$B:$B,D164)+SUMIFS($K$1:$K$1325,$C$1:$C$1325,C164,$D$1:$D$1325,D164,$B$1:$B$1325,"&lt;="&amp;B164)</f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91" t="str">
        <f>IF(tblMovimientos[[#This Row],[Cuenta Bancaria]]="","",_xlfn.XLOOKUP(tblMovimientos[[#This Row],[Cuenta Bancaria]],Cuentas!$C:$C,Cuentas!$A:$A,"No encontrado"))</f>
        <v>SSP Group</v>
      </c>
      <c r="R164" s="91" t="str">
        <f>TRIM(_xlfn.XLOOKUP(tblMovimientos[[#This Row],[Cuenta Bancaria]],Cuentas!$C:$C,Cuentas!$B:$B,""))</f>
        <v/>
      </c>
    </row>
    <row r="165" spans="2:18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f>SUMIFS('Saldos Iniciales'!$D:$D,'Saldos Iniciales'!$A:$A,C165,'Saldos Iniciales'!$B:$B,D165)+SUMIFS($K$1:$K$1325,$C$1:$C$1325,C165,$D$1:$D$1325,D165,$B$1:$B$1325,"&lt;="&amp;B165)</f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91" t="str">
        <f>IF(tblMovimientos[[#This Row],[Cuenta Bancaria]]="","",_xlfn.XLOOKUP(tblMovimientos[[#This Row],[Cuenta Bancaria]],Cuentas!$C:$C,Cuentas!$A:$A,"No encontrado"))</f>
        <v>SSP Group</v>
      </c>
      <c r="R165" s="91" t="str">
        <f>TRIM(_xlfn.XLOOKUP(tblMovimientos[[#This Row],[Cuenta Bancaria]],Cuentas!$C:$C,Cuentas!$B:$B,""))</f>
        <v/>
      </c>
    </row>
    <row r="166" spans="2:18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f>SUMIFS('Saldos Iniciales'!$D:$D,'Saldos Iniciales'!$A:$A,C166,'Saldos Iniciales'!$B:$B,D166)+SUMIFS($K$1:$K$1325,$C$1:$C$1325,C166,$D$1:$D$1325,D166,$B$1:$B$1325,"&lt;="&amp;B166)</f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91" t="str">
        <f>IF(tblMovimientos[[#This Row],[Cuenta Bancaria]]="","",_xlfn.XLOOKUP(tblMovimientos[[#This Row],[Cuenta Bancaria]],Cuentas!$C:$C,Cuentas!$A:$A,"No encontrado"))</f>
        <v>SSP Group</v>
      </c>
      <c r="R166" s="91" t="str">
        <f>TRIM(_xlfn.XLOOKUP(tblMovimientos[[#This Row],[Cuenta Bancaria]],Cuentas!$C:$C,Cuentas!$B:$B,""))</f>
        <v>Cross Security Trust</v>
      </c>
    </row>
    <row r="167" spans="2:18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f>SUMIFS('Saldos Iniciales'!$D:$D,'Saldos Iniciales'!$A:$A,C167,'Saldos Iniciales'!$B:$B,D167)+SUMIFS($K$1:$K$1325,$C$1:$C$1325,C167,$D$1:$D$1325,D167,$B$1:$B$1325,"&lt;="&amp;B167)</f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91" t="str">
        <f>IF(tblMovimientos[[#This Row],[Cuenta Bancaria]]="","",_xlfn.XLOOKUP(tblMovimientos[[#This Row],[Cuenta Bancaria]],Cuentas!$C:$C,Cuentas!$A:$A,"No encontrado"))</f>
        <v>SSP Group</v>
      </c>
      <c r="R167" s="91" t="str">
        <f>TRIM(_xlfn.XLOOKUP(tblMovimientos[[#This Row],[Cuenta Bancaria]],Cuentas!$C:$C,Cuentas!$B:$B,""))</f>
        <v>Cross Security Trust</v>
      </c>
    </row>
    <row r="168" spans="2:18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f>SUMIFS('Saldos Iniciales'!$D:$D,'Saldos Iniciales'!$A:$A,C168,'Saldos Iniciales'!$B:$B,D168)+SUMIFS($K$1:$K$1325,$C$1:$C$1325,C168,$D$1:$D$1325,D168,$B$1:$B$1325,"&lt;="&amp;B168)</f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91" t="str">
        <f>IF(tblMovimientos[[#This Row],[Cuenta Bancaria]]="","",_xlfn.XLOOKUP(tblMovimientos[[#This Row],[Cuenta Bancaria]],Cuentas!$C:$C,Cuentas!$A:$A,"No encontrado"))</f>
        <v>SSP Group</v>
      </c>
      <c r="R168" s="91" t="str">
        <f>TRIM(_xlfn.XLOOKUP(tblMovimientos[[#This Row],[Cuenta Bancaria]],Cuentas!$C:$C,Cuentas!$B:$B,""))</f>
        <v>Cross Security Trust</v>
      </c>
    </row>
    <row r="169" spans="2:18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f>SUMIFS('Saldos Iniciales'!$D:$D,'Saldos Iniciales'!$A:$A,C169,'Saldos Iniciales'!$B:$B,D169)+SUMIFS($K$1:$K$1325,$C$1:$C$1325,C169,$D$1:$D$1325,D169,$B$1:$B$1325,"&lt;="&amp;B169)</f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91" t="str">
        <f>IF(tblMovimientos[[#This Row],[Cuenta Bancaria]]="","",_xlfn.XLOOKUP(tblMovimientos[[#This Row],[Cuenta Bancaria]],Cuentas!$C:$C,Cuentas!$A:$A,"No encontrado"))</f>
        <v>SSP Group</v>
      </c>
      <c r="R169" s="91" t="str">
        <f>TRIM(_xlfn.XLOOKUP(tblMovimientos[[#This Row],[Cuenta Bancaria]],Cuentas!$C:$C,Cuentas!$B:$B,""))</f>
        <v>Cross Security Trust</v>
      </c>
    </row>
    <row r="170" spans="2:18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f>SUMIFS('Saldos Iniciales'!$D:$D,'Saldos Iniciales'!$A:$A,C170,'Saldos Iniciales'!$B:$B,D170)+SUMIFS($K$1:$K$1325,$C$1:$C$1325,C170,$D$1:$D$1325,D170,$B$1:$B$1325,"&lt;="&amp;B170)</f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91" t="str">
        <f>IF(tblMovimientos[[#This Row],[Cuenta Bancaria]]="","",_xlfn.XLOOKUP(tblMovimientos[[#This Row],[Cuenta Bancaria]],Cuentas!$C:$C,Cuentas!$A:$A,"No encontrado"))</f>
        <v>SSP Group</v>
      </c>
      <c r="R170" s="91" t="str">
        <f>TRIM(_xlfn.XLOOKUP(tblMovimientos[[#This Row],[Cuenta Bancaria]],Cuentas!$C:$C,Cuentas!$B:$B,""))</f>
        <v/>
      </c>
    </row>
    <row r="171" spans="2:18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f>SUMIFS('Saldos Iniciales'!$D:$D,'Saldos Iniciales'!$A:$A,C171,'Saldos Iniciales'!$B:$B,D171)+SUMIFS($K$1:$K$1325,$C$1:$C$1325,C171,$D$1:$D$1325,D171,$B$1:$B$1325,"&lt;="&amp;B171)</f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91" t="str">
        <f>IF(tblMovimientos[[#This Row],[Cuenta Bancaria]]="","",_xlfn.XLOOKUP(tblMovimientos[[#This Row],[Cuenta Bancaria]],Cuentas!$C:$C,Cuentas!$A:$A,"No encontrado"))</f>
        <v>SSP Group</v>
      </c>
      <c r="R171" s="91" t="str">
        <f>TRIM(_xlfn.XLOOKUP(tblMovimientos[[#This Row],[Cuenta Bancaria]],Cuentas!$C:$C,Cuentas!$B:$B,""))</f>
        <v>Cross Security Trust</v>
      </c>
    </row>
    <row r="172" spans="2:18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f>SUMIFS('Saldos Iniciales'!$D:$D,'Saldos Iniciales'!$A:$A,C172,'Saldos Iniciales'!$B:$B,D172)+SUMIFS($K$1:$K$1325,$C$1:$C$1325,C172,$D$1:$D$1325,D172,$B$1:$B$1325,"&lt;="&amp;B172)</f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91" t="str">
        <f>IF(tblMovimientos[[#This Row],[Cuenta Bancaria]]="","",_xlfn.XLOOKUP(tblMovimientos[[#This Row],[Cuenta Bancaria]],Cuentas!$C:$C,Cuentas!$A:$A,"No encontrado"))</f>
        <v>SSP Group</v>
      </c>
      <c r="R172" s="91" t="str">
        <f>TRIM(_xlfn.XLOOKUP(tblMovimientos[[#This Row],[Cuenta Bancaria]],Cuentas!$C:$C,Cuentas!$B:$B,""))</f>
        <v/>
      </c>
    </row>
    <row r="173" spans="2:18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f>SUMIFS('Saldos Iniciales'!$D:$D,'Saldos Iniciales'!$A:$A,C173,'Saldos Iniciales'!$B:$B,D173)+SUMIFS($K$1:$K$1325,$C$1:$C$1325,C173,$D$1:$D$1325,D173,$B$1:$B$1325,"&lt;="&amp;B173)</f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91" t="str">
        <f>IF(tblMovimientos[[#This Row],[Cuenta Bancaria]]="","",_xlfn.XLOOKUP(tblMovimientos[[#This Row],[Cuenta Bancaria]],Cuentas!$C:$C,Cuentas!$A:$A,"No encontrado"))</f>
        <v>SSP Group</v>
      </c>
      <c r="R173" s="91" t="str">
        <f>TRIM(_xlfn.XLOOKUP(tblMovimientos[[#This Row],[Cuenta Bancaria]],Cuentas!$C:$C,Cuentas!$B:$B,""))</f>
        <v/>
      </c>
    </row>
    <row r="174" spans="2:18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f>SUMIFS('Saldos Iniciales'!$D:$D,'Saldos Iniciales'!$A:$A,C174,'Saldos Iniciales'!$B:$B,D174)+SUMIFS($K$1:$K$1325,$C$1:$C$1325,C174,$D$1:$D$1325,D174,$B$1:$B$1325,"&lt;="&amp;B174)</f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91" t="str">
        <f>IF(tblMovimientos[[#This Row],[Cuenta Bancaria]]="","",_xlfn.XLOOKUP(tblMovimientos[[#This Row],[Cuenta Bancaria]],Cuentas!$C:$C,Cuentas!$A:$A,"No encontrado"))</f>
        <v>SSP Group</v>
      </c>
      <c r="R174" s="91" t="str">
        <f>TRIM(_xlfn.XLOOKUP(tblMovimientos[[#This Row],[Cuenta Bancaria]],Cuentas!$C:$C,Cuentas!$B:$B,""))</f>
        <v/>
      </c>
    </row>
    <row r="175" spans="2:18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f>SUMIFS('Saldos Iniciales'!$D:$D,'Saldos Iniciales'!$A:$A,C175,'Saldos Iniciales'!$B:$B,D175)+SUMIFS($K$1:$K$1325,$C$1:$C$1325,C175,$D$1:$D$1325,D175,$B$1:$B$1325,"&lt;="&amp;B175)</f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91" t="str">
        <f>IF(tblMovimientos[[#This Row],[Cuenta Bancaria]]="","",_xlfn.XLOOKUP(tblMovimientos[[#This Row],[Cuenta Bancaria]],Cuentas!$C:$C,Cuentas!$A:$A,"No encontrado"))</f>
        <v>SSP Group</v>
      </c>
      <c r="R175" s="91" t="str">
        <f>TRIM(_xlfn.XLOOKUP(tblMovimientos[[#This Row],[Cuenta Bancaria]],Cuentas!$C:$C,Cuentas!$B:$B,""))</f>
        <v>Cross Security Trust</v>
      </c>
    </row>
    <row r="176" spans="2:18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f>SUMIFS('Saldos Iniciales'!$D:$D,'Saldos Iniciales'!$A:$A,C176,'Saldos Iniciales'!$B:$B,D176)+SUMIFS($K$1:$K$1325,$C$1:$C$1325,C176,$D$1:$D$1325,D176,$B$1:$B$1325,"&lt;="&amp;B176)</f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91" t="str">
        <f>IF(tblMovimientos[[#This Row],[Cuenta Bancaria]]="","",_xlfn.XLOOKUP(tblMovimientos[[#This Row],[Cuenta Bancaria]],Cuentas!$C:$C,Cuentas!$A:$A,"No encontrado"))</f>
        <v>SSP Group</v>
      </c>
      <c r="R176" s="91" t="str">
        <f>TRIM(_xlfn.XLOOKUP(tblMovimientos[[#This Row],[Cuenta Bancaria]],Cuentas!$C:$C,Cuentas!$B:$B,""))</f>
        <v/>
      </c>
    </row>
    <row r="177" spans="2:18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f>SUMIFS('Saldos Iniciales'!$D:$D,'Saldos Iniciales'!$A:$A,C177,'Saldos Iniciales'!$B:$B,D177)+SUMIFS($K$1:$K$1325,$C$1:$C$1325,C177,$D$1:$D$1325,D177,$B$1:$B$1325,"&lt;="&amp;B177)</f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91" t="str">
        <f>IF(tblMovimientos[[#This Row],[Cuenta Bancaria]]="","",_xlfn.XLOOKUP(tblMovimientos[[#This Row],[Cuenta Bancaria]],Cuentas!$C:$C,Cuentas!$A:$A,"No encontrado"))</f>
        <v>SSP Group</v>
      </c>
      <c r="R177" s="91" t="str">
        <f>TRIM(_xlfn.XLOOKUP(tblMovimientos[[#This Row],[Cuenta Bancaria]],Cuentas!$C:$C,Cuentas!$B:$B,""))</f>
        <v/>
      </c>
    </row>
    <row r="178" spans="2:18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f>SUMIFS('Saldos Iniciales'!$D:$D,'Saldos Iniciales'!$A:$A,C178,'Saldos Iniciales'!$B:$B,D178)+SUMIFS($K$1:$K$1325,$C$1:$C$1325,C178,$D$1:$D$1325,D178,$B$1:$B$1325,"&lt;="&amp;B178)</f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91" t="str">
        <f>IF(tblMovimientos[[#This Row],[Cuenta Bancaria]]="","",_xlfn.XLOOKUP(tblMovimientos[[#This Row],[Cuenta Bancaria]],Cuentas!$C:$C,Cuentas!$A:$A,"No encontrado"))</f>
        <v>Trust</v>
      </c>
      <c r="R178" s="91" t="str">
        <f>TRIM(_xlfn.XLOOKUP(tblMovimientos[[#This Row],[Cuenta Bancaria]],Cuentas!$C:$C,Cuentas!$B:$B,""))</f>
        <v/>
      </c>
    </row>
    <row r="179" spans="2:18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f>SUMIFS('Saldos Iniciales'!$D:$D,'Saldos Iniciales'!$A:$A,C179,'Saldos Iniciales'!$B:$B,D179)+SUMIFS($K$1:$K$1325,$C$1:$C$1325,C179,$D$1:$D$1325,D179,$B$1:$B$1325,"&lt;="&amp;B179)</f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91" t="str">
        <f>IF(tblMovimientos[[#This Row],[Cuenta Bancaria]]="","",_xlfn.XLOOKUP(tblMovimientos[[#This Row],[Cuenta Bancaria]],Cuentas!$C:$C,Cuentas!$A:$A,"No encontrado"))</f>
        <v>SSP Group</v>
      </c>
      <c r="R179" s="91" t="str">
        <f>TRIM(_xlfn.XLOOKUP(tblMovimientos[[#This Row],[Cuenta Bancaria]],Cuentas!$C:$C,Cuentas!$B:$B,""))</f>
        <v/>
      </c>
    </row>
    <row r="180" spans="2:18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f>SUMIFS('Saldos Iniciales'!$D:$D,'Saldos Iniciales'!$A:$A,C180,'Saldos Iniciales'!$B:$B,D180)+SUMIFS($K$1:$K$1325,$C$1:$C$1325,C180,$D$1:$D$1325,D180,$B$1:$B$1325,"&lt;="&amp;B180)</f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91" t="str">
        <f>IF(tblMovimientos[[#This Row],[Cuenta Bancaria]]="","",_xlfn.XLOOKUP(tblMovimientos[[#This Row],[Cuenta Bancaria]],Cuentas!$C:$C,Cuentas!$A:$A,"No encontrado"))</f>
        <v>SSP Group</v>
      </c>
      <c r="R180" s="91" t="str">
        <f>TRIM(_xlfn.XLOOKUP(tblMovimientos[[#This Row],[Cuenta Bancaria]],Cuentas!$C:$C,Cuentas!$B:$B,""))</f>
        <v/>
      </c>
    </row>
    <row r="181" spans="2:18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f>SUMIFS('Saldos Iniciales'!$D:$D,'Saldos Iniciales'!$A:$A,C181,'Saldos Iniciales'!$B:$B,D181)+SUMIFS($K$1:$K$1325,$C$1:$C$1325,C181,$D$1:$D$1325,D181,$B$1:$B$1325,"&lt;="&amp;B181)</f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91" t="str">
        <f>IF(tblMovimientos[[#This Row],[Cuenta Bancaria]]="","",_xlfn.XLOOKUP(tblMovimientos[[#This Row],[Cuenta Bancaria]],Cuentas!$C:$C,Cuentas!$A:$A,"No encontrado"))</f>
        <v>SSP Group</v>
      </c>
      <c r="R181" s="91" t="str">
        <f>TRIM(_xlfn.XLOOKUP(tblMovimientos[[#This Row],[Cuenta Bancaria]],Cuentas!$C:$C,Cuentas!$B:$B,""))</f>
        <v/>
      </c>
    </row>
    <row r="182" spans="2:18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f>SUMIFS('Saldos Iniciales'!$D:$D,'Saldos Iniciales'!$A:$A,C182,'Saldos Iniciales'!$B:$B,D182)+SUMIFS($K$1:$K$1325,$C$1:$C$1325,C182,$D$1:$D$1325,D182,$B$1:$B$1325,"&lt;="&amp;B182)</f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91" t="str">
        <f>IF(tblMovimientos[[#This Row],[Cuenta Bancaria]]="","",_xlfn.XLOOKUP(tblMovimientos[[#This Row],[Cuenta Bancaria]],Cuentas!$C:$C,Cuentas!$A:$A,"No encontrado"))</f>
        <v>SSP Group</v>
      </c>
      <c r="R182" s="91" t="str">
        <f>TRIM(_xlfn.XLOOKUP(tblMovimientos[[#This Row],[Cuenta Bancaria]],Cuentas!$C:$C,Cuentas!$B:$B,""))</f>
        <v/>
      </c>
    </row>
    <row r="183" spans="2:18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f>SUMIFS('Saldos Iniciales'!$D:$D,'Saldos Iniciales'!$A:$A,C183,'Saldos Iniciales'!$B:$B,D183)+SUMIFS($K$1:$K$1325,$C$1:$C$1325,C183,$D$1:$D$1325,D183,$B$1:$B$1325,"&lt;="&amp;B183)</f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91" t="str">
        <f>IF(tblMovimientos[[#This Row],[Cuenta Bancaria]]="","",_xlfn.XLOOKUP(tblMovimientos[[#This Row],[Cuenta Bancaria]],Cuentas!$C:$C,Cuentas!$A:$A,"No encontrado"))</f>
        <v>SSP Group</v>
      </c>
      <c r="R183" s="91" t="str">
        <f>TRIM(_xlfn.XLOOKUP(tblMovimientos[[#This Row],[Cuenta Bancaria]],Cuentas!$C:$C,Cuentas!$B:$B,""))</f>
        <v/>
      </c>
    </row>
    <row r="184" spans="2:18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f>SUMIFS('Saldos Iniciales'!$D:$D,'Saldos Iniciales'!$A:$A,C184,'Saldos Iniciales'!$B:$B,D184)+SUMIFS($K$1:$K$1325,$C$1:$C$1325,C184,$D$1:$D$1325,D184,$B$1:$B$1325,"&lt;="&amp;B184)</f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91" t="str">
        <f>IF(tblMovimientos[[#This Row],[Cuenta Bancaria]]="","",_xlfn.XLOOKUP(tblMovimientos[[#This Row],[Cuenta Bancaria]],Cuentas!$C:$C,Cuentas!$A:$A,"No encontrado"))</f>
        <v>SSP Group</v>
      </c>
      <c r="R184" s="91" t="str">
        <f>TRIM(_xlfn.XLOOKUP(tblMovimientos[[#This Row],[Cuenta Bancaria]],Cuentas!$C:$C,Cuentas!$B:$B,""))</f>
        <v/>
      </c>
    </row>
    <row r="185" spans="2:18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f>SUMIFS('Saldos Iniciales'!$D:$D,'Saldos Iniciales'!$A:$A,C185,'Saldos Iniciales'!$B:$B,D185)+SUMIFS($K$1:$K$1325,$C$1:$C$1325,C185,$D$1:$D$1325,D185,$B$1:$B$1325,"&lt;="&amp;B185)</f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91" t="str">
        <f>IF(tblMovimientos[[#This Row],[Cuenta Bancaria]]="","",_xlfn.XLOOKUP(tblMovimientos[[#This Row],[Cuenta Bancaria]],Cuentas!$C:$C,Cuentas!$A:$A,"No encontrado"))</f>
        <v>SSP Group</v>
      </c>
      <c r="R185" s="91" t="str">
        <f>TRIM(_xlfn.XLOOKUP(tblMovimientos[[#This Row],[Cuenta Bancaria]],Cuentas!$C:$C,Cuentas!$B:$B,""))</f>
        <v>Cross Security Trust</v>
      </c>
    </row>
    <row r="186" spans="2:18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f>SUMIFS('Saldos Iniciales'!$D:$D,'Saldos Iniciales'!$A:$A,C186,'Saldos Iniciales'!$B:$B,D186)+SUMIFS($K$1:$K$1325,$C$1:$C$1325,C186,$D$1:$D$1325,D186,$B$1:$B$1325,"&lt;="&amp;B186)</f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91" t="str">
        <f>IF(tblMovimientos[[#This Row],[Cuenta Bancaria]]="","",_xlfn.XLOOKUP(tblMovimientos[[#This Row],[Cuenta Bancaria]],Cuentas!$C:$C,Cuentas!$A:$A,"No encontrado"))</f>
        <v>SSP Group</v>
      </c>
      <c r="R186" s="91" t="str">
        <f>TRIM(_xlfn.XLOOKUP(tblMovimientos[[#This Row],[Cuenta Bancaria]],Cuentas!$C:$C,Cuentas!$B:$B,""))</f>
        <v>Cross Security Trust</v>
      </c>
    </row>
    <row r="187" spans="2:18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f>SUMIFS('Saldos Iniciales'!$D:$D,'Saldos Iniciales'!$A:$A,C187,'Saldos Iniciales'!$B:$B,D187)+SUMIFS($K$1:$K$1325,$C$1:$C$1325,C187,$D$1:$D$1325,D187,$B$1:$B$1325,"&lt;="&amp;B187)</f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91" t="str">
        <f>IF(tblMovimientos[[#This Row],[Cuenta Bancaria]]="","",_xlfn.XLOOKUP(tblMovimientos[[#This Row],[Cuenta Bancaria]],Cuentas!$C:$C,Cuentas!$A:$A,"No encontrado"))</f>
        <v>SSP Group</v>
      </c>
      <c r="R187" s="91" t="str">
        <f>TRIM(_xlfn.XLOOKUP(tblMovimientos[[#This Row],[Cuenta Bancaria]],Cuentas!$C:$C,Cuentas!$B:$B,""))</f>
        <v>Cross Security Trust</v>
      </c>
    </row>
    <row r="188" spans="2:18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f>SUMIFS('Saldos Iniciales'!$D:$D,'Saldos Iniciales'!$A:$A,C188,'Saldos Iniciales'!$B:$B,D188)+SUMIFS($K$1:$K$1325,$C$1:$C$1325,C188,$D$1:$D$1325,D188,$B$1:$B$1325,"&lt;="&amp;B188)</f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91" t="str">
        <f>IF(tblMovimientos[[#This Row],[Cuenta Bancaria]]="","",_xlfn.XLOOKUP(tblMovimientos[[#This Row],[Cuenta Bancaria]],Cuentas!$C:$C,Cuentas!$A:$A,"No encontrado"))</f>
        <v>SSP Group</v>
      </c>
      <c r="R188" s="91" t="str">
        <f>TRIM(_xlfn.XLOOKUP(tblMovimientos[[#This Row],[Cuenta Bancaria]],Cuentas!$C:$C,Cuentas!$B:$B,""))</f>
        <v/>
      </c>
    </row>
    <row r="189" spans="2:18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f>SUMIFS('Saldos Iniciales'!$D:$D,'Saldos Iniciales'!$A:$A,C189,'Saldos Iniciales'!$B:$B,D189)+SUMIFS($K$1:$K$1325,$C$1:$C$1325,C189,$D$1:$D$1325,D189,$B$1:$B$1325,"&lt;="&amp;B189)</f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91" t="str">
        <f>IF(tblMovimientos[[#This Row],[Cuenta Bancaria]]="","",_xlfn.XLOOKUP(tblMovimientos[[#This Row],[Cuenta Bancaria]],Cuentas!$C:$C,Cuentas!$A:$A,"No encontrado"))</f>
        <v>SSP Group</v>
      </c>
      <c r="R189" s="91" t="str">
        <f>TRIM(_xlfn.XLOOKUP(tblMovimientos[[#This Row],[Cuenta Bancaria]],Cuentas!$C:$C,Cuentas!$B:$B,""))</f>
        <v/>
      </c>
    </row>
    <row r="190" spans="2:18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f>SUMIFS('Saldos Iniciales'!$D:$D,'Saldos Iniciales'!$A:$A,C190,'Saldos Iniciales'!$B:$B,D190)+SUMIFS($K$1:$K$1325,$C$1:$C$1325,C190,$D$1:$D$1325,D190,$B$1:$B$1325,"&lt;="&amp;B190)</f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91" t="str">
        <f>IF(tblMovimientos[[#This Row],[Cuenta Bancaria]]="","",_xlfn.XLOOKUP(tblMovimientos[[#This Row],[Cuenta Bancaria]],Cuentas!$C:$C,Cuentas!$A:$A,"No encontrado"))</f>
        <v>SSP Group</v>
      </c>
      <c r="R190" s="91" t="str">
        <f>TRIM(_xlfn.XLOOKUP(tblMovimientos[[#This Row],[Cuenta Bancaria]],Cuentas!$C:$C,Cuentas!$B:$B,""))</f>
        <v/>
      </c>
    </row>
    <row r="191" spans="2:18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f>SUMIFS('Saldos Iniciales'!$D:$D,'Saldos Iniciales'!$A:$A,C191,'Saldos Iniciales'!$B:$B,D191)+SUMIFS($K$1:$K$1325,$C$1:$C$1325,C191,$D$1:$D$1325,D191,$B$1:$B$1325,"&lt;="&amp;B191)</f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91" t="str">
        <f>IF(tblMovimientos[[#This Row],[Cuenta Bancaria]]="","",_xlfn.XLOOKUP(tblMovimientos[[#This Row],[Cuenta Bancaria]],Cuentas!$C:$C,Cuentas!$A:$A,"No encontrado"))</f>
        <v>SSP Group</v>
      </c>
      <c r="R191" s="91" t="str">
        <f>TRIM(_xlfn.XLOOKUP(tblMovimientos[[#This Row],[Cuenta Bancaria]],Cuentas!$C:$C,Cuentas!$B:$B,""))</f>
        <v/>
      </c>
    </row>
    <row r="192" spans="2:18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f>SUMIFS('Saldos Iniciales'!$D:$D,'Saldos Iniciales'!$A:$A,C192,'Saldos Iniciales'!$B:$B,D192)+SUMIFS($K$1:$K$1325,$C$1:$C$1325,C192,$D$1:$D$1325,D192,$B$1:$B$1325,"&lt;="&amp;B192)</f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91" t="str">
        <f>IF(tblMovimientos[[#This Row],[Cuenta Bancaria]]="","",_xlfn.XLOOKUP(tblMovimientos[[#This Row],[Cuenta Bancaria]],Cuentas!$C:$C,Cuentas!$A:$A,"No encontrado"))</f>
        <v>SSP Group</v>
      </c>
      <c r="R192" s="91" t="str">
        <f>TRIM(_xlfn.XLOOKUP(tblMovimientos[[#This Row],[Cuenta Bancaria]],Cuentas!$C:$C,Cuentas!$B:$B,""))</f>
        <v/>
      </c>
    </row>
    <row r="193" spans="2:18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f>SUMIFS('Saldos Iniciales'!$D:$D,'Saldos Iniciales'!$A:$A,C193,'Saldos Iniciales'!$B:$B,D193)+SUMIFS($K$1:$K$1325,$C$1:$C$1325,C193,$D$1:$D$1325,D193,$B$1:$B$1325,"&lt;="&amp;B193)</f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91" t="str">
        <f>IF(tblMovimientos[[#This Row],[Cuenta Bancaria]]="","",_xlfn.XLOOKUP(tblMovimientos[[#This Row],[Cuenta Bancaria]],Cuentas!$C:$C,Cuentas!$A:$A,"No encontrado"))</f>
        <v>SSP Group</v>
      </c>
      <c r="R193" s="91" t="str">
        <f>TRIM(_xlfn.XLOOKUP(tblMovimientos[[#This Row],[Cuenta Bancaria]],Cuentas!$C:$C,Cuentas!$B:$B,""))</f>
        <v/>
      </c>
    </row>
    <row r="194" spans="2:18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f>SUMIFS('Saldos Iniciales'!$D:$D,'Saldos Iniciales'!$A:$A,C194,'Saldos Iniciales'!$B:$B,D194)+SUMIFS($K$1:$K$1325,$C$1:$C$1325,C194,$D$1:$D$1325,D194,$B$1:$B$1325,"&lt;="&amp;B194)</f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91" t="str">
        <f>IF(tblMovimientos[[#This Row],[Cuenta Bancaria]]="","",_xlfn.XLOOKUP(tblMovimientos[[#This Row],[Cuenta Bancaria]],Cuentas!$C:$C,Cuentas!$A:$A,"No encontrado"))</f>
        <v>SSP Group</v>
      </c>
      <c r="R194" s="91" t="str">
        <f>TRIM(_xlfn.XLOOKUP(tblMovimientos[[#This Row],[Cuenta Bancaria]],Cuentas!$C:$C,Cuentas!$B:$B,""))</f>
        <v/>
      </c>
    </row>
    <row r="195" spans="2:18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f>SUMIFS('Saldos Iniciales'!$D:$D,'Saldos Iniciales'!$A:$A,C195,'Saldos Iniciales'!$B:$B,D195)+SUMIFS($K$1:$K$1325,$C$1:$C$1325,C195,$D$1:$D$1325,D195,$B$1:$B$1325,"&lt;="&amp;B195)</f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91" t="str">
        <f>IF(tblMovimientos[[#This Row],[Cuenta Bancaria]]="","",_xlfn.XLOOKUP(tblMovimientos[[#This Row],[Cuenta Bancaria]],Cuentas!$C:$C,Cuentas!$A:$A,"No encontrado"))</f>
        <v>SSP Group</v>
      </c>
      <c r="R195" s="91" t="str">
        <f>TRIM(_xlfn.XLOOKUP(tblMovimientos[[#This Row],[Cuenta Bancaria]],Cuentas!$C:$C,Cuentas!$B:$B,""))</f>
        <v/>
      </c>
    </row>
    <row r="196" spans="2:18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f>SUMIFS('Saldos Iniciales'!$D:$D,'Saldos Iniciales'!$A:$A,C196,'Saldos Iniciales'!$B:$B,D196)+SUMIFS($K$1:$K$1325,$C$1:$C$1325,C196,$D$1:$D$1325,D196,$B$1:$B$1325,"&lt;="&amp;B196)</f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91" t="str">
        <f>IF(tblMovimientos[[#This Row],[Cuenta Bancaria]]="","",_xlfn.XLOOKUP(tblMovimientos[[#This Row],[Cuenta Bancaria]],Cuentas!$C:$C,Cuentas!$A:$A,"No encontrado"))</f>
        <v>SSP Group</v>
      </c>
      <c r="R196" s="91" t="str">
        <f>TRIM(_xlfn.XLOOKUP(tblMovimientos[[#This Row],[Cuenta Bancaria]],Cuentas!$C:$C,Cuentas!$B:$B,""))</f>
        <v/>
      </c>
    </row>
    <row r="197" spans="2:18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f>SUMIFS('Saldos Iniciales'!$D:$D,'Saldos Iniciales'!$A:$A,C197,'Saldos Iniciales'!$B:$B,D197)+SUMIFS($K$1:$K$1325,$C$1:$C$1325,C197,$D$1:$D$1325,D197,$B$1:$B$1325,"&lt;="&amp;B197)</f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91" t="str">
        <f>IF(tblMovimientos[[#This Row],[Cuenta Bancaria]]="","",_xlfn.XLOOKUP(tblMovimientos[[#This Row],[Cuenta Bancaria]],Cuentas!$C:$C,Cuentas!$A:$A,"No encontrado"))</f>
        <v>SSP Group</v>
      </c>
      <c r="R197" s="91" t="str">
        <f>TRIM(_xlfn.XLOOKUP(tblMovimientos[[#This Row],[Cuenta Bancaria]],Cuentas!$C:$C,Cuentas!$B:$B,""))</f>
        <v/>
      </c>
    </row>
    <row r="198" spans="2:18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f>SUMIFS('Saldos Iniciales'!$D:$D,'Saldos Iniciales'!$A:$A,C198,'Saldos Iniciales'!$B:$B,D198)+SUMIFS($K$1:$K$1325,$C$1:$C$1325,C198,$D$1:$D$1325,D198,$B$1:$B$1325,"&lt;="&amp;B198)</f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91" t="str">
        <f>IF(tblMovimientos[[#This Row],[Cuenta Bancaria]]="","",_xlfn.XLOOKUP(tblMovimientos[[#This Row],[Cuenta Bancaria]],Cuentas!$C:$C,Cuentas!$A:$A,"No encontrado"))</f>
        <v>SSP Group</v>
      </c>
      <c r="R198" s="91" t="str">
        <f>TRIM(_xlfn.XLOOKUP(tblMovimientos[[#This Row],[Cuenta Bancaria]],Cuentas!$C:$C,Cuentas!$B:$B,""))</f>
        <v/>
      </c>
    </row>
    <row r="199" spans="2:18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f>SUMIFS('Saldos Iniciales'!$D:$D,'Saldos Iniciales'!$A:$A,C199,'Saldos Iniciales'!$B:$B,D199)+SUMIFS($K$1:$K$1325,$C$1:$C$1325,C199,$D$1:$D$1325,D199,$B$1:$B$1325,"&lt;="&amp;B199)</f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91" t="str">
        <f>IF(tblMovimientos[[#This Row],[Cuenta Bancaria]]="","",_xlfn.XLOOKUP(tblMovimientos[[#This Row],[Cuenta Bancaria]],Cuentas!$C:$C,Cuentas!$A:$A,"No encontrado"))</f>
        <v>SSP Group</v>
      </c>
      <c r="R199" s="91" t="str">
        <f>TRIM(_xlfn.XLOOKUP(tblMovimientos[[#This Row],[Cuenta Bancaria]],Cuentas!$C:$C,Cuentas!$B:$B,""))</f>
        <v/>
      </c>
    </row>
    <row r="200" spans="2:18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f>SUMIFS('Saldos Iniciales'!$D:$D,'Saldos Iniciales'!$A:$A,C200,'Saldos Iniciales'!$B:$B,D200)+SUMIFS($K$1:$K$1325,$C$1:$C$1325,C200,$D$1:$D$1325,D200,$B$1:$B$1325,"&lt;="&amp;B200)</f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91" t="str">
        <f>IF(tblMovimientos[[#This Row],[Cuenta Bancaria]]="","",_xlfn.XLOOKUP(tblMovimientos[[#This Row],[Cuenta Bancaria]],Cuentas!$C:$C,Cuentas!$A:$A,"No encontrado"))</f>
        <v>SSP Group</v>
      </c>
      <c r="R200" s="91" t="str">
        <f>TRIM(_xlfn.XLOOKUP(tblMovimientos[[#This Row],[Cuenta Bancaria]],Cuentas!$C:$C,Cuentas!$B:$B,""))</f>
        <v/>
      </c>
    </row>
    <row r="201" spans="2:18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f>SUMIFS('Saldos Iniciales'!$D:$D,'Saldos Iniciales'!$A:$A,C201,'Saldos Iniciales'!$B:$B,D201)+SUMIFS($K$1:$K$1325,$C$1:$C$1325,C201,$D$1:$D$1325,D201,$B$1:$B$1325,"&lt;="&amp;B201)</f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91" t="str">
        <f>IF(tblMovimientos[[#This Row],[Cuenta Bancaria]]="","",_xlfn.XLOOKUP(tblMovimientos[[#This Row],[Cuenta Bancaria]],Cuentas!$C:$C,Cuentas!$A:$A,"No encontrado"))</f>
        <v>SSP Group</v>
      </c>
      <c r="R201" s="91" t="str">
        <f>TRIM(_xlfn.XLOOKUP(tblMovimientos[[#This Row],[Cuenta Bancaria]],Cuentas!$C:$C,Cuentas!$B:$B,""))</f>
        <v/>
      </c>
    </row>
    <row r="202" spans="2:18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f>SUMIFS('Saldos Iniciales'!$D:$D,'Saldos Iniciales'!$A:$A,C202,'Saldos Iniciales'!$B:$B,D202)+SUMIFS($K$1:$K$1325,$C$1:$C$1325,C202,$D$1:$D$1325,D202,$B$1:$B$1325,"&lt;="&amp;B202)</f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91" t="str">
        <f>IF(tblMovimientos[[#This Row],[Cuenta Bancaria]]="","",_xlfn.XLOOKUP(tblMovimientos[[#This Row],[Cuenta Bancaria]],Cuentas!$C:$C,Cuentas!$A:$A,"No encontrado"))</f>
        <v>SSP Group</v>
      </c>
      <c r="R202" s="91" t="str">
        <f>TRIM(_xlfn.XLOOKUP(tblMovimientos[[#This Row],[Cuenta Bancaria]],Cuentas!$C:$C,Cuentas!$B:$B,""))</f>
        <v/>
      </c>
    </row>
    <row r="203" spans="2:18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f>SUMIFS('Saldos Iniciales'!$D:$D,'Saldos Iniciales'!$A:$A,C203,'Saldos Iniciales'!$B:$B,D203)+SUMIFS($K$1:$K$1325,$C$1:$C$1325,C203,$D$1:$D$1325,D203,$B$1:$B$1325,"&lt;="&amp;B203)</f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91" t="str">
        <f>IF(tblMovimientos[[#This Row],[Cuenta Bancaria]]="","",_xlfn.XLOOKUP(tblMovimientos[[#This Row],[Cuenta Bancaria]],Cuentas!$C:$C,Cuentas!$A:$A,"No encontrado"))</f>
        <v>SSP Group</v>
      </c>
      <c r="R203" s="91" t="str">
        <f>TRIM(_xlfn.XLOOKUP(tblMovimientos[[#This Row],[Cuenta Bancaria]],Cuentas!$C:$C,Cuentas!$B:$B,""))</f>
        <v/>
      </c>
    </row>
    <row r="204" spans="2:18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f>SUMIFS('Saldos Iniciales'!$D:$D,'Saldos Iniciales'!$A:$A,C204,'Saldos Iniciales'!$B:$B,D204)+SUMIFS($K$1:$K$1325,$C$1:$C$1325,C204,$D$1:$D$1325,D204,$B$1:$B$1325,"&lt;="&amp;B204)</f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91" t="str">
        <f>IF(tblMovimientos[[#This Row],[Cuenta Bancaria]]="","",_xlfn.XLOOKUP(tblMovimientos[[#This Row],[Cuenta Bancaria]],Cuentas!$C:$C,Cuentas!$A:$A,"No encontrado"))</f>
        <v>SSP Group</v>
      </c>
      <c r="R204" s="91" t="str">
        <f>TRIM(_xlfn.XLOOKUP(tblMovimientos[[#This Row],[Cuenta Bancaria]],Cuentas!$C:$C,Cuentas!$B:$B,""))</f>
        <v/>
      </c>
    </row>
    <row r="205" spans="2:18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f>SUMIFS('Saldos Iniciales'!$D:$D,'Saldos Iniciales'!$A:$A,C205,'Saldos Iniciales'!$B:$B,D205)+SUMIFS($K$1:$K$1325,$C$1:$C$1325,C205,$D$1:$D$1325,D205,$B$1:$B$1325,"&lt;="&amp;B205)</f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91" t="str">
        <f>IF(tblMovimientos[[#This Row],[Cuenta Bancaria]]="","",_xlfn.XLOOKUP(tblMovimientos[[#This Row],[Cuenta Bancaria]],Cuentas!$C:$C,Cuentas!$A:$A,"No encontrado"))</f>
        <v>SSP Group</v>
      </c>
      <c r="R205" s="91" t="str">
        <f>TRIM(_xlfn.XLOOKUP(tblMovimientos[[#This Row],[Cuenta Bancaria]],Cuentas!$C:$C,Cuentas!$B:$B,""))</f>
        <v/>
      </c>
    </row>
    <row r="206" spans="2:18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f>SUMIFS('Saldos Iniciales'!$D:$D,'Saldos Iniciales'!$A:$A,C206,'Saldos Iniciales'!$B:$B,D206)+SUMIFS($K$1:$K$1325,$C$1:$C$1325,C206,$D$1:$D$1325,D206,$B$1:$B$1325,"&lt;="&amp;B206)</f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91" t="str">
        <f>IF(tblMovimientos[[#This Row],[Cuenta Bancaria]]="","",_xlfn.XLOOKUP(tblMovimientos[[#This Row],[Cuenta Bancaria]],Cuentas!$C:$C,Cuentas!$A:$A,"No encontrado"))</f>
        <v>SSP Group</v>
      </c>
      <c r="R206" s="91" t="str">
        <f>TRIM(_xlfn.XLOOKUP(tblMovimientos[[#This Row],[Cuenta Bancaria]],Cuentas!$C:$C,Cuentas!$B:$B,""))</f>
        <v/>
      </c>
    </row>
    <row r="207" spans="2:18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f>SUMIFS('Saldos Iniciales'!$D:$D,'Saldos Iniciales'!$A:$A,C207,'Saldos Iniciales'!$B:$B,D207)+SUMIFS($K$1:$K$1325,$C$1:$C$1325,C207,$D$1:$D$1325,D207,$B$1:$B$1325,"&lt;="&amp;B207)</f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91" t="str">
        <f>IF(tblMovimientos[[#This Row],[Cuenta Bancaria]]="","",_xlfn.XLOOKUP(tblMovimientos[[#This Row],[Cuenta Bancaria]],Cuentas!$C:$C,Cuentas!$A:$A,"No encontrado"))</f>
        <v>SSP Group</v>
      </c>
      <c r="R207" s="91" t="str">
        <f>TRIM(_xlfn.XLOOKUP(tblMovimientos[[#This Row],[Cuenta Bancaria]],Cuentas!$C:$C,Cuentas!$B:$B,""))</f>
        <v/>
      </c>
    </row>
    <row r="208" spans="2:18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f>SUMIFS('Saldos Iniciales'!$D:$D,'Saldos Iniciales'!$A:$A,C208,'Saldos Iniciales'!$B:$B,D208)+SUMIFS($K$1:$K$1325,$C$1:$C$1325,C208,$D$1:$D$1325,D208,$B$1:$B$1325,"&lt;="&amp;B208)</f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91" t="str">
        <f>IF(tblMovimientos[[#This Row],[Cuenta Bancaria]]="","",_xlfn.XLOOKUP(tblMovimientos[[#This Row],[Cuenta Bancaria]],Cuentas!$C:$C,Cuentas!$A:$A,"No encontrado"))</f>
        <v>SSP Group</v>
      </c>
      <c r="R208" s="91" t="str">
        <f>TRIM(_xlfn.XLOOKUP(tblMovimientos[[#This Row],[Cuenta Bancaria]],Cuentas!$C:$C,Cuentas!$B:$B,""))</f>
        <v/>
      </c>
    </row>
    <row r="209" spans="2:18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f>SUMIFS('Saldos Iniciales'!$D:$D,'Saldos Iniciales'!$A:$A,C209,'Saldos Iniciales'!$B:$B,D209)+SUMIFS($K$1:$K$1325,$C$1:$C$1325,C209,$D$1:$D$1325,D209,$B$1:$B$1325,"&lt;="&amp;B209)</f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91" t="str">
        <f>IF(tblMovimientos[[#This Row],[Cuenta Bancaria]]="","",_xlfn.XLOOKUP(tblMovimientos[[#This Row],[Cuenta Bancaria]],Cuentas!$C:$C,Cuentas!$A:$A,"No encontrado"))</f>
        <v>SSP Group</v>
      </c>
      <c r="R209" s="91" t="str">
        <f>TRIM(_xlfn.XLOOKUP(tblMovimientos[[#This Row],[Cuenta Bancaria]],Cuentas!$C:$C,Cuentas!$B:$B,""))</f>
        <v/>
      </c>
    </row>
    <row r="210" spans="2:18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f>SUMIFS('Saldos Iniciales'!$D:$D,'Saldos Iniciales'!$A:$A,C210,'Saldos Iniciales'!$B:$B,D210)+SUMIFS($K$1:$K$1325,$C$1:$C$1325,C210,$D$1:$D$1325,D210,$B$1:$B$1325,"&lt;="&amp;B210)</f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91" t="str">
        <f>IF(tblMovimientos[[#This Row],[Cuenta Bancaria]]="","",_xlfn.XLOOKUP(tblMovimientos[[#This Row],[Cuenta Bancaria]],Cuentas!$C:$C,Cuentas!$A:$A,"No encontrado"))</f>
        <v>SSP Group</v>
      </c>
      <c r="R210" s="91" t="str">
        <f>TRIM(_xlfn.XLOOKUP(tblMovimientos[[#This Row],[Cuenta Bancaria]],Cuentas!$C:$C,Cuentas!$B:$B,""))</f>
        <v/>
      </c>
    </row>
    <row r="211" spans="2:18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f>SUMIFS('Saldos Iniciales'!$D:$D,'Saldos Iniciales'!$A:$A,C211,'Saldos Iniciales'!$B:$B,D211)+SUMIFS($K$1:$K$1325,$C$1:$C$1325,C211,$D$1:$D$1325,D211,$B$1:$B$1325,"&lt;="&amp;B211)</f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91" t="str">
        <f>IF(tblMovimientos[[#This Row],[Cuenta Bancaria]]="","",_xlfn.XLOOKUP(tblMovimientos[[#This Row],[Cuenta Bancaria]],Cuentas!$C:$C,Cuentas!$A:$A,"No encontrado"))</f>
        <v>SSP Group</v>
      </c>
      <c r="R211" s="91" t="str">
        <f>TRIM(_xlfn.XLOOKUP(tblMovimientos[[#This Row],[Cuenta Bancaria]],Cuentas!$C:$C,Cuentas!$B:$B,""))</f>
        <v/>
      </c>
    </row>
    <row r="212" spans="2:18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f>SUMIFS('Saldos Iniciales'!$D:$D,'Saldos Iniciales'!$A:$A,C212,'Saldos Iniciales'!$B:$B,D212)+SUMIFS($K$1:$K$1325,$C$1:$C$1325,C212,$D$1:$D$1325,D212,$B$1:$B$1325,"&lt;="&amp;B212)</f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91" t="str">
        <f>IF(tblMovimientos[[#This Row],[Cuenta Bancaria]]="","",_xlfn.XLOOKUP(tblMovimientos[[#This Row],[Cuenta Bancaria]],Cuentas!$C:$C,Cuentas!$A:$A,"No encontrado"))</f>
        <v>SSP Group</v>
      </c>
      <c r="R212" s="91" t="str">
        <f>TRIM(_xlfn.XLOOKUP(tblMovimientos[[#This Row],[Cuenta Bancaria]],Cuentas!$C:$C,Cuentas!$B:$B,""))</f>
        <v/>
      </c>
    </row>
    <row r="213" spans="2:18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f>SUMIFS('Saldos Iniciales'!$D:$D,'Saldos Iniciales'!$A:$A,C213,'Saldos Iniciales'!$B:$B,D213)+SUMIFS($K$1:$K$1325,$C$1:$C$1325,C213,$D$1:$D$1325,D213,$B$1:$B$1325,"&lt;="&amp;B213)</f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91" t="str">
        <f>IF(tblMovimientos[[#This Row],[Cuenta Bancaria]]="","",_xlfn.XLOOKUP(tblMovimientos[[#This Row],[Cuenta Bancaria]],Cuentas!$C:$C,Cuentas!$A:$A,"No encontrado"))</f>
        <v>SSP Group</v>
      </c>
      <c r="R213" s="91" t="str">
        <f>TRIM(_xlfn.XLOOKUP(tblMovimientos[[#This Row],[Cuenta Bancaria]],Cuentas!$C:$C,Cuentas!$B:$B,""))</f>
        <v>Cross Security Trust</v>
      </c>
    </row>
    <row r="214" spans="2:18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f>SUMIFS('Saldos Iniciales'!$D:$D,'Saldos Iniciales'!$A:$A,C214,'Saldos Iniciales'!$B:$B,D214)+SUMIFS($K$1:$K$1325,$C$1:$C$1325,C214,$D$1:$D$1325,D214,$B$1:$B$1325,"&lt;="&amp;B214)</f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91" t="str">
        <f>IF(tblMovimientos[[#This Row],[Cuenta Bancaria]]="","",_xlfn.XLOOKUP(tblMovimientos[[#This Row],[Cuenta Bancaria]],Cuentas!$C:$C,Cuentas!$A:$A,"No encontrado"))</f>
        <v>SSP Group</v>
      </c>
      <c r="R214" s="91" t="str">
        <f>TRIM(_xlfn.XLOOKUP(tblMovimientos[[#This Row],[Cuenta Bancaria]],Cuentas!$C:$C,Cuentas!$B:$B,""))</f>
        <v>Cross Security Trust</v>
      </c>
    </row>
    <row r="215" spans="2:18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f>SUMIFS('Saldos Iniciales'!$D:$D,'Saldos Iniciales'!$A:$A,C215,'Saldos Iniciales'!$B:$B,D215)+SUMIFS($K$1:$K$1325,$C$1:$C$1325,C215,$D$1:$D$1325,D215,$B$1:$B$1325,"&lt;="&amp;B215)</f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91" t="str">
        <f>IF(tblMovimientos[[#This Row],[Cuenta Bancaria]]="","",_xlfn.XLOOKUP(tblMovimientos[[#This Row],[Cuenta Bancaria]],Cuentas!$C:$C,Cuentas!$A:$A,"No encontrado"))</f>
        <v>SSP Group</v>
      </c>
      <c r="R215" s="91" t="str">
        <f>TRIM(_xlfn.XLOOKUP(tblMovimientos[[#This Row],[Cuenta Bancaria]],Cuentas!$C:$C,Cuentas!$B:$B,""))</f>
        <v/>
      </c>
    </row>
    <row r="216" spans="2:18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f>SUMIFS('Saldos Iniciales'!$D:$D,'Saldos Iniciales'!$A:$A,C216,'Saldos Iniciales'!$B:$B,D216)+SUMIFS($K$1:$K$1325,$C$1:$C$1325,C216,$D$1:$D$1325,D216,$B$1:$B$1325,"&lt;="&amp;B216)</f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91" t="str">
        <f>IF(tblMovimientos[[#This Row],[Cuenta Bancaria]]="","",_xlfn.XLOOKUP(tblMovimientos[[#This Row],[Cuenta Bancaria]],Cuentas!$C:$C,Cuentas!$A:$A,"No encontrado"))</f>
        <v>SSP Group</v>
      </c>
      <c r="R216" s="91" t="str">
        <f>TRIM(_xlfn.XLOOKUP(tblMovimientos[[#This Row],[Cuenta Bancaria]],Cuentas!$C:$C,Cuentas!$B:$B,""))</f>
        <v/>
      </c>
    </row>
    <row r="217" spans="2:18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f>SUMIFS('Saldos Iniciales'!$D:$D,'Saldos Iniciales'!$A:$A,C217,'Saldos Iniciales'!$B:$B,D217)+SUMIFS($K$1:$K$1325,$C$1:$C$1325,C217,$D$1:$D$1325,D217,$B$1:$B$1325,"&lt;="&amp;B217)</f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91" t="str">
        <f>IF(tblMovimientos[[#This Row],[Cuenta Bancaria]]="","",_xlfn.XLOOKUP(tblMovimientos[[#This Row],[Cuenta Bancaria]],Cuentas!$C:$C,Cuentas!$A:$A,"No encontrado"))</f>
        <v>SSP Group</v>
      </c>
      <c r="R217" s="91" t="str">
        <f>TRIM(_xlfn.XLOOKUP(tblMovimientos[[#This Row],[Cuenta Bancaria]],Cuentas!$C:$C,Cuentas!$B:$B,""))</f>
        <v/>
      </c>
    </row>
    <row r="218" spans="2:18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f>SUMIFS('Saldos Iniciales'!$D:$D,'Saldos Iniciales'!$A:$A,C218,'Saldos Iniciales'!$B:$B,D218)+SUMIFS($K$1:$K$1325,$C$1:$C$1325,C218,$D$1:$D$1325,D218,$B$1:$B$1325,"&lt;="&amp;B218)</f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91" t="str">
        <f>IF(tblMovimientos[[#This Row],[Cuenta Bancaria]]="","",_xlfn.XLOOKUP(tblMovimientos[[#This Row],[Cuenta Bancaria]],Cuentas!$C:$C,Cuentas!$A:$A,"No encontrado"))</f>
        <v>SSP Group</v>
      </c>
      <c r="R218" s="91" t="str">
        <f>TRIM(_xlfn.XLOOKUP(tblMovimientos[[#This Row],[Cuenta Bancaria]],Cuentas!$C:$C,Cuentas!$B:$B,""))</f>
        <v/>
      </c>
    </row>
    <row r="219" spans="2:18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f>SUMIFS('Saldos Iniciales'!$D:$D,'Saldos Iniciales'!$A:$A,C219,'Saldos Iniciales'!$B:$B,D219)+SUMIFS($K$1:$K$1325,$C$1:$C$1325,C219,$D$1:$D$1325,D219,$B$1:$B$1325,"&lt;="&amp;B219)</f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91" t="str">
        <f>IF(tblMovimientos[[#This Row],[Cuenta Bancaria]]="","",_xlfn.XLOOKUP(tblMovimientos[[#This Row],[Cuenta Bancaria]],Cuentas!$C:$C,Cuentas!$A:$A,"No encontrado"))</f>
        <v>SSP Group</v>
      </c>
      <c r="R219" s="91" t="str">
        <f>TRIM(_xlfn.XLOOKUP(tblMovimientos[[#This Row],[Cuenta Bancaria]],Cuentas!$C:$C,Cuentas!$B:$B,""))</f>
        <v/>
      </c>
    </row>
    <row r="220" spans="2:18" x14ac:dyDescent="0.3">
      <c r="B220" s="39">
        <v>46171</v>
      </c>
      <c r="C220" s="4" t="s">
        <v>24</v>
      </c>
      <c r="D220" s="41" t="s">
        <v>113</v>
      </c>
      <c r="E220" s="4" t="s">
        <v>148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f>SUMIFS('Saldos Iniciales'!$D:$D,'Saldos Iniciales'!$A:$A,C220,'Saldos Iniciales'!$B:$B,D220)+SUMIFS($K$1:$K$1325,$C$1:$C$1325,C220,$D$1:$D$1325,D220,$B$1:$B$1325,"&lt;="&amp;B220)</f>
        <v>511.15999999999985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91" t="str">
        <f>IF(tblMovimientos[[#This Row],[Cuenta Bancaria]]="","",_xlfn.XLOOKUP(tblMovimientos[[#This Row],[Cuenta Bancaria]],Cuentas!$C:$C,Cuentas!$A:$A,"No encontrado"))</f>
        <v>SSP Group</v>
      </c>
      <c r="R220" s="91" t="str">
        <f>TRIM(_xlfn.XLOOKUP(tblMovimientos[[#This Row],[Cuenta Bancaria]],Cuentas!$C:$C,Cuentas!$B:$B,""))</f>
        <v/>
      </c>
    </row>
    <row r="221" spans="2:18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f>SUMIFS('Saldos Iniciales'!$D:$D,'Saldos Iniciales'!$A:$A,C221,'Saldos Iniciales'!$B:$B,D221)+SUMIFS($K$1:$K$1325,$C$1:$C$1325,C221,$D$1:$D$1325,D221,$B$1:$B$1325,"&lt;="&amp;B221)</f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91" t="str">
        <f>IF(tblMovimientos[[#This Row],[Cuenta Bancaria]]="","",_xlfn.XLOOKUP(tblMovimientos[[#This Row],[Cuenta Bancaria]],Cuentas!$C:$C,Cuentas!$A:$A,"No encontrado"))</f>
        <v>SSP Group</v>
      </c>
      <c r="R221" s="91" t="str">
        <f>TRIM(_xlfn.XLOOKUP(tblMovimientos[[#This Row],[Cuenta Bancaria]],Cuentas!$C:$C,Cuentas!$B:$B,""))</f>
        <v>Cross Security Trust</v>
      </c>
    </row>
    <row r="222" spans="2:18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f>SUMIFS('Saldos Iniciales'!$D:$D,'Saldos Iniciales'!$A:$A,C222,'Saldos Iniciales'!$B:$B,D222)+SUMIFS($K$1:$K$1325,$C$1:$C$1325,C222,$D$1:$D$1325,D222,$B$1:$B$1325,"&lt;="&amp;B222)</f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91" t="str">
        <f>IF(tblMovimientos[[#This Row],[Cuenta Bancaria]]="","",_xlfn.XLOOKUP(tblMovimientos[[#This Row],[Cuenta Bancaria]],Cuentas!$C:$C,Cuentas!$A:$A,"No encontrado"))</f>
        <v>SSP Group</v>
      </c>
      <c r="R222" s="91" t="str">
        <f>TRIM(_xlfn.XLOOKUP(tblMovimientos[[#This Row],[Cuenta Bancaria]],Cuentas!$C:$C,Cuentas!$B:$B,""))</f>
        <v/>
      </c>
    </row>
    <row r="223" spans="2:18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f>SUMIFS('Saldos Iniciales'!$D:$D,'Saldos Iniciales'!$A:$A,C223,'Saldos Iniciales'!$B:$B,D223)+SUMIFS($K$1:$K$1325,$C$1:$C$1325,C223,$D$1:$D$1325,D223,$B$1:$B$1325,"&lt;="&amp;B223)</f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91" t="str">
        <f>IF(tblMovimientos[[#This Row],[Cuenta Bancaria]]="","",_xlfn.XLOOKUP(tblMovimientos[[#This Row],[Cuenta Bancaria]],Cuentas!$C:$C,Cuentas!$A:$A,"No encontrado"))</f>
        <v>SSP Group</v>
      </c>
      <c r="R223" s="91" t="str">
        <f>TRIM(_xlfn.XLOOKUP(tblMovimientos[[#This Row],[Cuenta Bancaria]],Cuentas!$C:$C,Cuentas!$B:$B,""))</f>
        <v/>
      </c>
    </row>
    <row r="224" spans="2:18" x14ac:dyDescent="0.3">
      <c r="B224" s="39">
        <v>46174</v>
      </c>
      <c r="C224" s="4" t="s">
        <v>30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f>SUMIFS('Saldos Iniciales'!$D:$D,'Saldos Iniciales'!$A:$A,C224,'Saldos Iniciales'!$B:$B,D224)+SUMIFS($K$1:$K$1325,$C$1:$C$1325,C224,$D$1:$D$1325,D224,$B$1:$B$1325,"&lt;="&amp;B224)</f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91" t="str">
        <f>IF(tblMovimientos[[#This Row],[Cuenta Bancaria]]="","",_xlfn.XLOOKUP(tblMovimientos[[#This Row],[Cuenta Bancaria]],Cuentas!$C:$C,Cuentas!$A:$A,"No encontrado"))</f>
        <v>SSP Group</v>
      </c>
      <c r="R224" s="91" t="str">
        <f>TRIM(_xlfn.XLOOKUP(tblMovimientos[[#This Row],[Cuenta Bancaria]],Cuentas!$C:$C,Cuentas!$B:$B,""))</f>
        <v/>
      </c>
    </row>
    <row r="225" spans="2:18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f>SUMIFS('Saldos Iniciales'!$D:$D,'Saldos Iniciales'!$A:$A,C225,'Saldos Iniciales'!$B:$B,D225)+SUMIFS($K$1:$K$1325,$C$1:$C$1325,C225,$D$1:$D$1325,D225,$B$1:$B$1325,"&lt;="&amp;B225)</f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91" t="str">
        <f>IF(tblMovimientos[[#This Row],[Cuenta Bancaria]]="","",_xlfn.XLOOKUP(tblMovimientos[[#This Row],[Cuenta Bancaria]],Cuentas!$C:$C,Cuentas!$A:$A,"No encontrado"))</f>
        <v>SSP Group</v>
      </c>
      <c r="R225" s="91" t="str">
        <f>TRIM(_xlfn.XLOOKUP(tblMovimientos[[#This Row],[Cuenta Bancaria]],Cuentas!$C:$C,Cuentas!$B:$B,""))</f>
        <v/>
      </c>
    </row>
    <row r="226" spans="2:18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f>SUMIFS('Saldos Iniciales'!$D:$D,'Saldos Iniciales'!$A:$A,C226,'Saldos Iniciales'!$B:$B,D226)+SUMIFS($K$1:$K$1325,$C$1:$C$1325,C226,$D$1:$D$1325,D226,$B$1:$B$1325,"&lt;="&amp;B226)</f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91" t="str">
        <f>IF(tblMovimientos[[#This Row],[Cuenta Bancaria]]="","",_xlfn.XLOOKUP(tblMovimientos[[#This Row],[Cuenta Bancaria]],Cuentas!$C:$C,Cuentas!$A:$A,"No encontrado"))</f>
        <v>SSP Group</v>
      </c>
      <c r="R226" s="91" t="str">
        <f>TRIM(_xlfn.XLOOKUP(tblMovimientos[[#This Row],[Cuenta Bancaria]],Cuentas!$C:$C,Cuentas!$B:$B,""))</f>
        <v/>
      </c>
    </row>
    <row r="227" spans="2:18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f>SUMIFS('Saldos Iniciales'!$D:$D,'Saldos Iniciales'!$A:$A,C227,'Saldos Iniciales'!$B:$B,D227)+SUMIFS($K$1:$K$1325,$C$1:$C$1325,C227,$D$1:$D$1325,D227,$B$1:$B$1325,"&lt;="&amp;B227)</f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91" t="str">
        <f>IF(tblMovimientos[[#This Row],[Cuenta Bancaria]]="","",_xlfn.XLOOKUP(tblMovimientos[[#This Row],[Cuenta Bancaria]],Cuentas!$C:$C,Cuentas!$A:$A,"No encontrado"))</f>
        <v>SSP Group</v>
      </c>
      <c r="R227" s="91" t="str">
        <f>TRIM(_xlfn.XLOOKUP(tblMovimientos[[#This Row],[Cuenta Bancaria]],Cuentas!$C:$C,Cuentas!$B:$B,""))</f>
        <v/>
      </c>
    </row>
    <row r="228" spans="2:18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f>SUMIFS('Saldos Iniciales'!$D:$D,'Saldos Iniciales'!$A:$A,C228,'Saldos Iniciales'!$B:$B,D228)+SUMIFS($K$1:$K$1325,$C$1:$C$1325,C228,$D$1:$D$1325,D228,$B$1:$B$1325,"&lt;="&amp;B228)</f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91" t="str">
        <f>IF(tblMovimientos[[#This Row],[Cuenta Bancaria]]="","",_xlfn.XLOOKUP(tblMovimientos[[#This Row],[Cuenta Bancaria]],Cuentas!$C:$C,Cuentas!$A:$A,"No encontrado"))</f>
        <v>SSP Group</v>
      </c>
      <c r="R228" s="91" t="str">
        <f>TRIM(_xlfn.XLOOKUP(tblMovimientos[[#This Row],[Cuenta Bancaria]],Cuentas!$C:$C,Cuentas!$B:$B,""))</f>
        <v/>
      </c>
    </row>
    <row r="229" spans="2:18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f>SUMIFS('Saldos Iniciales'!$D:$D,'Saldos Iniciales'!$A:$A,C229,'Saldos Iniciales'!$B:$B,D229)+SUMIFS($K$1:$K$1325,$C$1:$C$1325,C229,$D$1:$D$1325,D229,$B$1:$B$1325,"&lt;="&amp;B229)</f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91" t="str">
        <f>IF(tblMovimientos[[#This Row],[Cuenta Bancaria]]="","",_xlfn.XLOOKUP(tblMovimientos[[#This Row],[Cuenta Bancaria]],Cuentas!$C:$C,Cuentas!$A:$A,"No encontrado"))</f>
        <v>SSP Group</v>
      </c>
      <c r="R229" s="91" t="str">
        <f>TRIM(_xlfn.XLOOKUP(tblMovimientos[[#This Row],[Cuenta Bancaria]],Cuentas!$C:$C,Cuentas!$B:$B,""))</f>
        <v/>
      </c>
    </row>
    <row r="230" spans="2:18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f>SUMIFS('Saldos Iniciales'!$D:$D,'Saldos Iniciales'!$A:$A,C230,'Saldos Iniciales'!$B:$B,D230)+SUMIFS($K$1:$K$1325,$C$1:$C$1325,C230,$D$1:$D$1325,D230,$B$1:$B$1325,"&lt;="&amp;B230)</f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91" t="str">
        <f>IF(tblMovimientos[[#This Row],[Cuenta Bancaria]]="","",_xlfn.XLOOKUP(tblMovimientos[[#This Row],[Cuenta Bancaria]],Cuentas!$C:$C,Cuentas!$A:$A,"No encontrado"))</f>
        <v>SSP Group</v>
      </c>
      <c r="R230" s="91" t="str">
        <f>TRIM(_xlfn.XLOOKUP(tblMovimientos[[#This Row],[Cuenta Bancaria]],Cuentas!$C:$C,Cuentas!$B:$B,""))</f>
        <v/>
      </c>
    </row>
    <row r="231" spans="2:18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f>SUMIFS('Saldos Iniciales'!$D:$D,'Saldos Iniciales'!$A:$A,C231,'Saldos Iniciales'!$B:$B,D231)+SUMIFS($K$1:$K$1325,$C$1:$C$1325,C231,$D$1:$D$1325,D231,$B$1:$B$1325,"&lt;="&amp;B231)</f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91" t="str">
        <f>IF(tblMovimientos[[#This Row],[Cuenta Bancaria]]="","",_xlfn.XLOOKUP(tblMovimientos[[#This Row],[Cuenta Bancaria]],Cuentas!$C:$C,Cuentas!$A:$A,"No encontrado"))</f>
        <v>SSP Group</v>
      </c>
      <c r="R231" s="91" t="str">
        <f>TRIM(_xlfn.XLOOKUP(tblMovimientos[[#This Row],[Cuenta Bancaria]],Cuentas!$C:$C,Cuentas!$B:$B,""))</f>
        <v/>
      </c>
    </row>
    <row r="232" spans="2:18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f>SUMIFS('Saldos Iniciales'!$D:$D,'Saldos Iniciales'!$A:$A,C232,'Saldos Iniciales'!$B:$B,D232)+SUMIFS($K$1:$K$1325,$C$1:$C$1325,C232,$D$1:$D$1325,D232,$B$1:$B$1325,"&lt;="&amp;B232)</f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91" t="str">
        <f>IF(tblMovimientos[[#This Row],[Cuenta Bancaria]]="","",_xlfn.XLOOKUP(tblMovimientos[[#This Row],[Cuenta Bancaria]],Cuentas!$C:$C,Cuentas!$A:$A,"No encontrado"))</f>
        <v>SSP Group</v>
      </c>
      <c r="R232" s="91" t="str">
        <f>TRIM(_xlfn.XLOOKUP(tblMovimientos[[#This Row],[Cuenta Bancaria]],Cuentas!$C:$C,Cuentas!$B:$B,""))</f>
        <v/>
      </c>
    </row>
    <row r="233" spans="2:18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f>SUMIFS('Saldos Iniciales'!$D:$D,'Saldos Iniciales'!$A:$A,C233,'Saldos Iniciales'!$B:$B,D233)+SUMIFS($K$1:$K$1325,$C$1:$C$1325,C233,$D$1:$D$1325,D233,$B$1:$B$1325,"&lt;="&amp;B233)</f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91" t="str">
        <f>IF(tblMovimientos[[#This Row],[Cuenta Bancaria]]="","",_xlfn.XLOOKUP(tblMovimientos[[#This Row],[Cuenta Bancaria]],Cuentas!$C:$C,Cuentas!$A:$A,"No encontrado"))</f>
        <v>SSP Group</v>
      </c>
      <c r="R233" s="91" t="str">
        <f>TRIM(_xlfn.XLOOKUP(tblMovimientos[[#This Row],[Cuenta Bancaria]],Cuentas!$C:$C,Cuentas!$B:$B,""))</f>
        <v/>
      </c>
    </row>
    <row r="234" spans="2:18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>Amerant Bank DACA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Iniciales'!$D:$D,'Saldos Iniciales'!$A:$A,C234,'Saldos Iniciales'!$B:$B,D234)+SUMIFS($K$1:$K$1325,$C$1:$C$1325,C234,$D$1:$D$1325,D234,$B$1:$B$1325,"&lt;="&amp;B234)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91" t="str">
        <f>IF(tblMovimientos[[#This Row],[Cuenta Bancaria]]="","",_xlfn.XLOOKUP(tblMovimientos[[#This Row],[Cuenta Bancaria]],Cuentas!$C:$C,Cuentas!$A:$A,"No encontrado"))</f>
        <v>SSP Group</v>
      </c>
      <c r="R234" s="91" t="str">
        <f>TRIM(_xlfn.XLOOKUP(tblMovimientos[[#This Row],[Cuenta Bancaria]],Cuentas!$C:$C,Cuentas!$B:$B,""))</f>
        <v/>
      </c>
    </row>
    <row r="235" spans="2:18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>Amerant Bank DACA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Iniciales'!$D:$D,'Saldos Iniciales'!$A:$A,C235,'Saldos Iniciales'!$B:$B,D235)+SUMIFS($K$1:$K$1325,$C$1:$C$1325,C235,$D$1:$D$1325,D235,$B$1:$B$1325,"&lt;="&amp;B235)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91" t="str">
        <f>IF(tblMovimientos[[#This Row],[Cuenta Bancaria]]="","",_xlfn.XLOOKUP(tblMovimientos[[#This Row],[Cuenta Bancaria]],Cuentas!$C:$C,Cuentas!$A:$A,"No encontrado"))</f>
        <v>SSP Group</v>
      </c>
      <c r="R235" s="91" t="str">
        <f>TRIM(_xlfn.XLOOKUP(tblMovimientos[[#This Row],[Cuenta Bancaria]],Cuentas!$C:$C,Cuentas!$B:$B,""))</f>
        <v/>
      </c>
    </row>
    <row r="236" spans="2:18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Iniciales'!$D:$D,'Saldos Iniciales'!$A:$A,C236,'Saldos Iniciales'!$B:$B,D236)+SUMIFS($K$1:$K$1325,$C$1:$C$1325,C236,$D$1:$D$1325,D236,$B$1:$B$1325,"&lt;="&amp;B236)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91" t="str">
        <f>IF(tblMovimientos[[#This Row],[Cuenta Bancaria]]="","",_xlfn.XLOOKUP(tblMovimientos[[#This Row],[Cuenta Bancaria]],Cuentas!$C:$C,Cuentas!$A:$A,"No encontrado"))</f>
        <v>Trust</v>
      </c>
      <c r="R236" s="91" t="str">
        <f>TRIM(_xlfn.XLOOKUP(tblMovimientos[[#This Row],[Cuenta Bancaria]],Cuentas!$C:$C,Cuentas!$B:$B,""))</f>
        <v/>
      </c>
    </row>
    <row r="237" spans="2:18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Iniciales'!$D:$D,'Saldos Iniciales'!$A:$A,C237,'Saldos Iniciales'!$B:$B,D237)+SUMIFS($K$1:$K$1325,$C$1:$C$1325,C237,$D$1:$D$1325,D237,$B$1:$B$1325,"&lt;="&amp;B237)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91" t="str">
        <f>IF(tblMovimientos[[#This Row],[Cuenta Bancaria]]="","",_xlfn.XLOOKUP(tblMovimientos[[#This Row],[Cuenta Bancaria]],Cuentas!$C:$C,Cuentas!$A:$A,"No encontrado"))</f>
        <v>Trust</v>
      </c>
      <c r="R237" s="91" t="str">
        <f>TRIM(_xlfn.XLOOKUP(tblMovimientos[[#This Row],[Cuenta Bancaria]],Cuentas!$C:$C,Cuentas!$B:$B,""))</f>
        <v/>
      </c>
    </row>
    <row r="238" spans="2:18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Iniciales'!$D:$D,'Saldos Iniciales'!$A:$A,C238,'Saldos Iniciales'!$B:$B,D238)+SUMIFS($K$1:$K$1325,$C$1:$C$1325,C238,$D$1:$D$1325,D238,$B$1:$B$1325,"&lt;="&amp;B238)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91" t="str">
        <f>IF(tblMovimientos[[#This Row],[Cuenta Bancaria]]="","",_xlfn.XLOOKUP(tblMovimientos[[#This Row],[Cuenta Bancaria]],Cuentas!$C:$C,Cuentas!$A:$A,"No encontrado"))</f>
        <v>SSP Group</v>
      </c>
      <c r="R238" s="91" t="str">
        <f>TRIM(_xlfn.XLOOKUP(tblMovimientos[[#This Row],[Cuenta Bancaria]],Cuentas!$C:$C,Cuentas!$B:$B,""))</f>
        <v/>
      </c>
    </row>
    <row r="239" spans="2:18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Iniciales'!$D:$D,'Saldos Iniciales'!$A:$A,C239,'Saldos Iniciales'!$B:$B,D239)+SUMIFS($K$1:$K$1325,$C$1:$C$1325,C239,$D$1:$D$1325,D239,$B$1:$B$1325,"&lt;="&amp;B239)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91" t="str">
        <f>IF(tblMovimientos[[#This Row],[Cuenta Bancaria]]="","",_xlfn.XLOOKUP(tblMovimientos[[#This Row],[Cuenta Bancaria]],Cuentas!$C:$C,Cuentas!$A:$A,"No encontrado"))</f>
        <v>SSP Group</v>
      </c>
      <c r="R239" s="91" t="str">
        <f>TRIM(_xlfn.XLOOKUP(tblMovimientos[[#This Row],[Cuenta Bancaria]],Cuentas!$C:$C,Cuentas!$B:$B,""))</f>
        <v/>
      </c>
    </row>
    <row r="240" spans="2:18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f>SUMIFS('Saldos Iniciales'!$D:$D,'Saldos Iniciales'!$A:$A,C240,'Saldos Iniciales'!$B:$B,D240)+SUMIFS($K$1:$K$1325,$C$1:$C$1325,C240,$D$1:$D$1325,D240,$B$1:$B$1325,"&lt;="&amp;B240)</f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  <c r="Q240" s="91" t="str">
        <f>IF(tblMovimientos[[#This Row],[Cuenta Bancaria]]="","",_xlfn.XLOOKUP(tblMovimientos[[#This Row],[Cuenta Bancaria]],Cuentas!$C:$C,Cuentas!$A:$A,"No encontrado"))</f>
        <v>SSP Group</v>
      </c>
      <c r="R240" s="91" t="str">
        <f>TRIM(_xlfn.XLOOKUP(tblMovimientos[[#This Row],[Cuenta Bancaria]],Cuentas!$C:$C,Cuentas!$B:$B,""))</f>
        <v/>
      </c>
    </row>
    <row r="241" spans="2:18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f>SUMIFS('Saldos Iniciales'!$D:$D,'Saldos Iniciales'!$A:$A,C241,'Saldos Iniciales'!$B:$B,D241)+SUMIFS($K$1:$K$1325,$C$1:$C$1325,C241,$D$1:$D$1325,D241,$B$1:$B$1325,"&lt;="&amp;B241)</f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  <c r="Q241" s="91" t="str">
        <f>IF(tblMovimientos[[#This Row],[Cuenta Bancaria]]="","",_xlfn.XLOOKUP(tblMovimientos[[#This Row],[Cuenta Bancaria]],Cuentas!$C:$C,Cuentas!$A:$A,"No encontrado"))</f>
        <v>SSP Group</v>
      </c>
      <c r="R241" s="91" t="str">
        <f>TRIM(_xlfn.XLOOKUP(tblMovimientos[[#This Row],[Cuenta Bancaria]],Cuentas!$C:$C,Cuentas!$B:$B,""))</f>
        <v/>
      </c>
    </row>
    <row r="242" spans="2:18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f>SUMIFS('Saldos Iniciales'!$D:$D,'Saldos Iniciales'!$A:$A,C242,'Saldos Iniciales'!$B:$B,D242)+SUMIFS($K$1:$K$1325,$C$1:$C$1325,C242,$D$1:$D$1325,D242,$B$1:$B$1325,"&lt;="&amp;B242)</f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  <c r="Q242" s="91" t="str">
        <f>IF(tblMovimientos[[#This Row],[Cuenta Bancaria]]="","",_xlfn.XLOOKUP(tblMovimientos[[#This Row],[Cuenta Bancaria]],Cuentas!$C:$C,Cuentas!$A:$A,"No encontrado"))</f>
        <v>SSP Group</v>
      </c>
      <c r="R242" s="91" t="str">
        <f>TRIM(_xlfn.XLOOKUP(tblMovimientos[[#This Row],[Cuenta Bancaria]],Cuentas!$C:$C,Cuentas!$B:$B,""))</f>
        <v/>
      </c>
    </row>
    <row r="243" spans="2:18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f>SUMIFS('Saldos Iniciales'!$D:$D,'Saldos Iniciales'!$A:$A,C243,'Saldos Iniciales'!$B:$B,D243)+SUMIFS($K$1:$K$1325,$C$1:$C$1325,C243,$D$1:$D$1325,D243,$B$1:$B$1325,"&lt;="&amp;B243)</f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  <c r="Q243" s="91" t="str">
        <f>IF(tblMovimientos[[#This Row],[Cuenta Bancaria]]="","",_xlfn.XLOOKUP(tblMovimientos[[#This Row],[Cuenta Bancaria]],Cuentas!$C:$C,Cuentas!$A:$A,"No encontrado"))</f>
        <v>Trust</v>
      </c>
      <c r="R243" s="91" t="str">
        <f>TRIM(_xlfn.XLOOKUP(tblMovimientos[[#This Row],[Cuenta Bancaria]],Cuentas!$C:$C,Cuentas!$B:$B,""))</f>
        <v/>
      </c>
    </row>
    <row r="244" spans="2:18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f>SUMIFS('Saldos Iniciales'!$D:$D,'Saldos Iniciales'!$A:$A,C244,'Saldos Iniciales'!$B:$B,D244)+SUMIFS($K$1:$K$1325,$C$1:$C$1325,C244,$D$1:$D$1325,D244,$B$1:$B$1325,"&lt;="&amp;B244)</f>
        <v>2422.7400000000034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  <c r="Q244" s="91" t="str">
        <f>IF(tblMovimientos[[#This Row],[Cuenta Bancaria]]="","",_xlfn.XLOOKUP(tblMovimientos[[#This Row],[Cuenta Bancaria]],Cuentas!$C:$C,Cuentas!$A:$A,"No encontrado"))</f>
        <v>SSP Group</v>
      </c>
      <c r="R244" s="91" t="str">
        <f>TRIM(_xlfn.XLOOKUP(tblMovimientos[[#This Row],[Cuenta Bancaria]],Cuentas!$C:$C,Cuentas!$B:$B,""))</f>
        <v/>
      </c>
    </row>
    <row r="245" spans="2:18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f>SUMIFS('Saldos Iniciales'!$D:$D,'Saldos Iniciales'!$A:$A,C245,'Saldos Iniciales'!$B:$B,D245)+SUMIFS($K$1:$K$1325,$C$1:$C$1325,C245,$D$1:$D$1325,D245,$B$1:$B$1325,"&lt;="&amp;B245)</f>
        <v>2422.7400000000034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  <c r="Q245" s="91" t="str">
        <f>IF(tblMovimientos[[#This Row],[Cuenta Bancaria]]="","",_xlfn.XLOOKUP(tblMovimientos[[#This Row],[Cuenta Bancaria]],Cuentas!$C:$C,Cuentas!$A:$A,"No encontrado"))</f>
        <v>SSP Group</v>
      </c>
      <c r="R245" s="91" t="str">
        <f>TRIM(_xlfn.XLOOKUP(tblMovimientos[[#This Row],[Cuenta Bancaria]],Cuentas!$C:$C,Cuentas!$B:$B,""))</f>
        <v/>
      </c>
    </row>
    <row r="246" spans="2:18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f>SUMIFS('Saldos Iniciales'!$D:$D,'Saldos Iniciales'!$A:$A,C246,'Saldos Iniciales'!$B:$B,D246)+SUMIFS($K$1:$K$1325,$C$1:$C$1325,C246,$D$1:$D$1325,D246,$B$1:$B$1325,"&lt;="&amp;B246)</f>
        <v>2422.7400000000034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91" t="str">
        <f>IF(tblMovimientos[[#This Row],[Cuenta Bancaria]]="","",_xlfn.XLOOKUP(tblMovimientos[[#This Row],[Cuenta Bancaria]],Cuentas!$C:$C,Cuentas!$A:$A,"No encontrado"))</f>
        <v>SSP Group</v>
      </c>
      <c r="R246" s="91" t="str">
        <f>TRIM(_xlfn.XLOOKUP(tblMovimientos[[#This Row],[Cuenta Bancaria]],Cuentas!$C:$C,Cuentas!$B:$B,""))</f>
        <v/>
      </c>
    </row>
    <row r="247" spans="2:18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f>SUMIFS('Saldos Iniciales'!$D:$D,'Saldos Iniciales'!$A:$A,C247,'Saldos Iniciales'!$B:$B,D247)+SUMIFS($K$1:$K$1325,$C$1:$C$1325,C247,$D$1:$D$1325,D247,$B$1:$B$1325,"&lt;="&amp;B247)</f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  <c r="Q247" s="91" t="str">
        <f>IF(tblMovimientos[[#This Row],[Cuenta Bancaria]]="","",_xlfn.XLOOKUP(tblMovimientos[[#This Row],[Cuenta Bancaria]],Cuentas!$C:$C,Cuentas!$A:$A,"No encontrado"))</f>
        <v>SSP Group</v>
      </c>
      <c r="R247" s="91" t="str">
        <f>TRIM(_xlfn.XLOOKUP(tblMovimientos[[#This Row],[Cuenta Bancaria]],Cuentas!$C:$C,Cuentas!$B:$B,""))</f>
        <v/>
      </c>
    </row>
    <row r="248" spans="2:18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f>SUMIFS('Saldos Iniciales'!$D:$D,'Saldos Iniciales'!$A:$A,C248,'Saldos Iniciales'!$B:$B,D248)+SUMIFS($K$1:$K$1325,$C$1:$C$1325,C248,$D$1:$D$1325,D248,$B$1:$B$1325,"&lt;="&amp;B248)</f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  <c r="Q248" s="91" t="str">
        <f>IF(tblMovimientos[[#This Row],[Cuenta Bancaria]]="","",_xlfn.XLOOKUP(tblMovimientos[[#This Row],[Cuenta Bancaria]],Cuentas!$C:$C,Cuentas!$A:$A,"No encontrado"))</f>
        <v>SSP Group</v>
      </c>
      <c r="R248" s="91" t="str">
        <f>TRIM(_xlfn.XLOOKUP(tblMovimientos[[#This Row],[Cuenta Bancaria]],Cuentas!$C:$C,Cuentas!$B:$B,""))</f>
        <v/>
      </c>
    </row>
    <row r="249" spans="2:18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f>SUMIFS('Saldos Iniciales'!$D:$D,'Saldos Iniciales'!$A:$A,C249,'Saldos Iniciales'!$B:$B,D249)+SUMIFS($K$1:$K$1325,$C$1:$C$1325,C249,$D$1:$D$1325,D249,$B$1:$B$1325,"&lt;="&amp;B249)</f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  <c r="Q249" s="91" t="str">
        <f>IF(tblMovimientos[[#This Row],[Cuenta Bancaria]]="","",_xlfn.XLOOKUP(tblMovimientos[[#This Row],[Cuenta Bancaria]],Cuentas!$C:$C,Cuentas!$A:$A,"No encontrado"))</f>
        <v>SSP Group</v>
      </c>
      <c r="R249" s="91" t="str">
        <f>TRIM(_xlfn.XLOOKUP(tblMovimientos[[#This Row],[Cuenta Bancaria]],Cuentas!$C:$C,Cuentas!$B:$B,""))</f>
        <v>Cross Security Trust</v>
      </c>
    </row>
    <row r="250" spans="2:18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f>SUMIFS('Saldos Iniciales'!$D:$D,'Saldos Iniciales'!$A:$A,C250,'Saldos Iniciales'!$B:$B,D250)+SUMIFS($K$1:$K$1325,$C$1:$C$1325,C250,$D$1:$D$1325,D250,$B$1:$B$1325,"&lt;="&amp;B250)</f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  <c r="Q250" s="91" t="str">
        <f>IF(tblMovimientos[[#This Row],[Cuenta Bancaria]]="","",_xlfn.XLOOKUP(tblMovimientos[[#This Row],[Cuenta Bancaria]],Cuentas!$C:$C,Cuentas!$A:$A,"No encontrado"))</f>
        <v>SSP Group</v>
      </c>
      <c r="R250" s="91" t="str">
        <f>TRIM(_xlfn.XLOOKUP(tblMovimientos[[#This Row],[Cuenta Bancaria]],Cuentas!$C:$C,Cuentas!$B:$B,""))</f>
        <v>Cross Security Trust</v>
      </c>
    </row>
    <row r="251" spans="2:18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f>SUMIFS('Saldos Iniciales'!$D:$D,'Saldos Iniciales'!$A:$A,C251,'Saldos Iniciales'!$B:$B,D251)+SUMIFS($K$1:$K$1325,$C$1:$C$1325,C251,$D$1:$D$1325,D251,$B$1:$B$1325,"&lt;="&amp;B251)</f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  <c r="Q251" s="91" t="str">
        <f>IF(tblMovimientos[[#This Row],[Cuenta Bancaria]]="","",_xlfn.XLOOKUP(tblMovimientos[[#This Row],[Cuenta Bancaria]],Cuentas!$C:$C,Cuentas!$A:$A,"No encontrado"))</f>
        <v>SSP Group</v>
      </c>
      <c r="R251" s="91" t="str">
        <f>TRIM(_xlfn.XLOOKUP(tblMovimientos[[#This Row],[Cuenta Bancaria]],Cuentas!$C:$C,Cuentas!$B:$B,""))</f>
        <v/>
      </c>
    </row>
    <row r="252" spans="2:18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f>SUMIFS('Saldos Iniciales'!$D:$D,'Saldos Iniciales'!$A:$A,C252,'Saldos Iniciales'!$B:$B,D252)+SUMIFS($K$1:$K$1325,$C$1:$C$1325,C252,$D$1:$D$1325,D252,$B$1:$B$1325,"&lt;="&amp;B252)</f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  <c r="Q252" s="91" t="str">
        <f>IF(tblMovimientos[[#This Row],[Cuenta Bancaria]]="","",_xlfn.XLOOKUP(tblMovimientos[[#This Row],[Cuenta Bancaria]],Cuentas!$C:$C,Cuentas!$A:$A,"No encontrado"))</f>
        <v>SSP Group</v>
      </c>
      <c r="R252" s="91" t="str">
        <f>TRIM(_xlfn.XLOOKUP(tblMovimientos[[#This Row],[Cuenta Bancaria]],Cuentas!$C:$C,Cuentas!$B:$B,""))</f>
        <v/>
      </c>
    </row>
    <row r="253" spans="2:18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f>SUMIFS('Saldos Iniciales'!$D:$D,'Saldos Iniciales'!$A:$A,C253,'Saldos Iniciales'!$B:$B,D253)+SUMIFS($K$1:$K$1325,$C$1:$C$1325,C253,$D$1:$D$1325,D253,$B$1:$B$1325,"&lt;="&amp;B253)</f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  <c r="Q253" s="91" t="str">
        <f>IF(tblMovimientos[[#This Row],[Cuenta Bancaria]]="","",_xlfn.XLOOKUP(tblMovimientos[[#This Row],[Cuenta Bancaria]],Cuentas!$C:$C,Cuentas!$A:$A,"No encontrado"))</f>
        <v>SSP Group</v>
      </c>
      <c r="R253" s="91" t="str">
        <f>TRIM(_xlfn.XLOOKUP(tblMovimientos[[#This Row],[Cuenta Bancaria]],Cuentas!$C:$C,Cuentas!$B:$B,""))</f>
        <v/>
      </c>
    </row>
    <row r="254" spans="2:18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f>SUMIFS('Saldos Iniciales'!$D:$D,'Saldos Iniciales'!$A:$A,C254,'Saldos Iniciales'!$B:$B,D254)+SUMIFS($K$1:$K$1325,$C$1:$C$1325,C254,$D$1:$D$1325,D254,$B$1:$B$1325,"&lt;="&amp;B254)</f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  <c r="Q254" s="91" t="str">
        <f>IF(tblMovimientos[[#This Row],[Cuenta Bancaria]]="","",_xlfn.XLOOKUP(tblMovimientos[[#This Row],[Cuenta Bancaria]],Cuentas!$C:$C,Cuentas!$A:$A,"No encontrado"))</f>
        <v>SSP Group</v>
      </c>
      <c r="R254" s="91" t="str">
        <f>TRIM(_xlfn.XLOOKUP(tblMovimientos[[#This Row],[Cuenta Bancaria]],Cuentas!$C:$C,Cuentas!$B:$B,""))</f>
        <v/>
      </c>
    </row>
    <row r="255" spans="2:18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f>SUMIFS('Saldos Iniciales'!$D:$D,'Saldos Iniciales'!$A:$A,C255,'Saldos Iniciales'!$B:$B,D255)+SUMIFS($K$1:$K$1325,$C$1:$C$1325,C255,$D$1:$D$1325,D255,$B$1:$B$1325,"&lt;="&amp;B255)</f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  <c r="Q255" s="91" t="str">
        <f>IF(tblMovimientos[[#This Row],[Cuenta Bancaria]]="","",_xlfn.XLOOKUP(tblMovimientos[[#This Row],[Cuenta Bancaria]],Cuentas!$C:$C,Cuentas!$A:$A,"No encontrado"))</f>
        <v>SSP Group</v>
      </c>
      <c r="R255" s="91" t="str">
        <f>TRIM(_xlfn.XLOOKUP(tblMovimientos[[#This Row],[Cuenta Bancaria]],Cuentas!$C:$C,Cuentas!$B:$B,""))</f>
        <v/>
      </c>
    </row>
    <row r="256" spans="2:18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f>SUMIFS('Saldos Iniciales'!$D:$D,'Saldos Iniciales'!$A:$A,C256,'Saldos Iniciales'!$B:$B,D256)+SUMIFS($K$1:$K$1325,$C$1:$C$1325,C256,$D$1:$D$1325,D256,$B$1:$B$1325,"&lt;="&amp;B256)</f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  <c r="Q256" s="91" t="str">
        <f>IF(tblMovimientos[[#This Row],[Cuenta Bancaria]]="","",_xlfn.XLOOKUP(tblMovimientos[[#This Row],[Cuenta Bancaria]],Cuentas!$C:$C,Cuentas!$A:$A,"No encontrado"))</f>
        <v>SSP Group</v>
      </c>
      <c r="R256" s="91" t="str">
        <f>TRIM(_xlfn.XLOOKUP(tblMovimientos[[#This Row],[Cuenta Bancaria]],Cuentas!$C:$C,Cuentas!$B:$B,""))</f>
        <v/>
      </c>
    </row>
    <row r="257" spans="2:18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f>SUMIFS('Saldos Iniciales'!$D:$D,'Saldos Iniciales'!$A:$A,C257,'Saldos Iniciales'!$B:$B,D257)+SUMIFS($K$1:$K$1325,$C$1:$C$1325,C257,$D$1:$D$1325,D257,$B$1:$B$1325,"&lt;="&amp;B257)</f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  <c r="Q257" s="91" t="str">
        <f>IF(tblMovimientos[[#This Row],[Cuenta Bancaria]]="","",_xlfn.XLOOKUP(tblMovimientos[[#This Row],[Cuenta Bancaria]],Cuentas!$C:$C,Cuentas!$A:$A,"No encontrado"))</f>
        <v>Trust</v>
      </c>
      <c r="R257" s="91" t="str">
        <f>TRIM(_xlfn.XLOOKUP(tblMovimientos[[#This Row],[Cuenta Bancaria]],Cuentas!$C:$C,Cuentas!$B:$B,""))</f>
        <v/>
      </c>
    </row>
    <row r="258" spans="2:18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f>SUMIFS('Saldos Iniciales'!$D:$D,'Saldos Iniciales'!$A:$A,C258,'Saldos Iniciales'!$B:$B,D258)+SUMIFS($K$1:$K$1325,$C$1:$C$1325,C258,$D$1:$D$1325,D258,$B$1:$B$1325,"&lt;="&amp;B258)</f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  <c r="Q258" s="91" t="str">
        <f>IF(tblMovimientos[[#This Row],[Cuenta Bancaria]]="","",_xlfn.XLOOKUP(tblMovimientos[[#This Row],[Cuenta Bancaria]],Cuentas!$C:$C,Cuentas!$A:$A,"No encontrado"))</f>
        <v>SSP Group</v>
      </c>
      <c r="R258" s="91" t="str">
        <f>TRIM(_xlfn.XLOOKUP(tblMovimientos[[#This Row],[Cuenta Bancaria]],Cuentas!$C:$C,Cuentas!$B:$B,""))</f>
        <v/>
      </c>
    </row>
    <row r="259" spans="2:18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f>SUMIFS('Saldos Iniciales'!$D:$D,'Saldos Iniciales'!$A:$A,C259,'Saldos Iniciales'!$B:$B,D259)+SUMIFS($K$1:$K$1325,$C$1:$C$1325,C259,$D$1:$D$1325,D259,$B$1:$B$1325,"&lt;="&amp;B259)</f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  <c r="Q259" s="91" t="str">
        <f>IF(tblMovimientos[[#This Row],[Cuenta Bancaria]]="","",_xlfn.XLOOKUP(tblMovimientos[[#This Row],[Cuenta Bancaria]],Cuentas!$C:$C,Cuentas!$A:$A,"No encontrado"))</f>
        <v>SSP Group</v>
      </c>
      <c r="R259" s="91" t="str">
        <f>TRIM(_xlfn.XLOOKUP(tblMovimientos[[#This Row],[Cuenta Bancaria]],Cuentas!$C:$C,Cuentas!$B:$B,""))</f>
        <v/>
      </c>
    </row>
    <row r="260" spans="2:18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f>SUMIFS('Saldos Iniciales'!$D:$D,'Saldos Iniciales'!$A:$A,C260,'Saldos Iniciales'!$B:$B,D260)+SUMIFS($K$1:$K$1325,$C$1:$C$1325,C260,$D$1:$D$1325,D260,$B$1:$B$1325,"&lt;="&amp;B260)</f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  <c r="Q260" s="91" t="str">
        <f>IF(tblMovimientos[[#This Row],[Cuenta Bancaria]]="","",_xlfn.XLOOKUP(tblMovimientos[[#This Row],[Cuenta Bancaria]],Cuentas!$C:$C,Cuentas!$A:$A,"No encontrado"))</f>
        <v>SSP Group</v>
      </c>
      <c r="R260" s="91" t="str">
        <f>TRIM(_xlfn.XLOOKUP(tblMovimientos[[#This Row],[Cuenta Bancaria]],Cuentas!$C:$C,Cuentas!$B:$B,""))</f>
        <v/>
      </c>
    </row>
    <row r="261" spans="2:18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f>SUMIFS('Saldos Iniciales'!$D:$D,'Saldos Iniciales'!$A:$A,C261,'Saldos Iniciales'!$B:$B,D261)+SUMIFS($K$1:$K$1325,$C$1:$C$1325,C261,$D$1:$D$1325,D261,$B$1:$B$1325,"&lt;="&amp;B261)</f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  <c r="Q261" s="91" t="str">
        <f>IF(tblMovimientos[[#This Row],[Cuenta Bancaria]]="","",_xlfn.XLOOKUP(tblMovimientos[[#This Row],[Cuenta Bancaria]],Cuentas!$C:$C,Cuentas!$A:$A,"No encontrado"))</f>
        <v>SSP Group</v>
      </c>
      <c r="R261" s="91" t="str">
        <f>TRIM(_xlfn.XLOOKUP(tblMovimientos[[#This Row],[Cuenta Bancaria]],Cuentas!$C:$C,Cuentas!$B:$B,""))</f>
        <v/>
      </c>
    </row>
    <row r="262" spans="2:18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f>SUMIFS('Saldos Iniciales'!$D:$D,'Saldos Iniciales'!$A:$A,C262,'Saldos Iniciales'!$B:$B,D262)+SUMIFS($K$1:$K$1325,$C$1:$C$1325,C262,$D$1:$D$1325,D262,$B$1:$B$1325,"&lt;="&amp;B262)</f>
        <v>2422.7400000000034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  <c r="Q262" s="91" t="str">
        <f>IF(tblMovimientos[[#This Row],[Cuenta Bancaria]]="","",_xlfn.XLOOKUP(tblMovimientos[[#This Row],[Cuenta Bancaria]],Cuentas!$C:$C,Cuentas!$A:$A,"No encontrado"))</f>
        <v>SSP Group</v>
      </c>
      <c r="R262" s="91" t="str">
        <f>TRIM(_xlfn.XLOOKUP(tblMovimientos[[#This Row],[Cuenta Bancaria]],Cuentas!$C:$C,Cuentas!$B:$B,""))</f>
        <v/>
      </c>
    </row>
    <row r="263" spans="2:18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f>SUMIFS('Saldos Iniciales'!$D:$D,'Saldos Iniciales'!$A:$A,C263,'Saldos Iniciales'!$B:$B,D263)+SUMIFS($K$1:$K$1325,$C$1:$C$1325,C263,$D$1:$D$1325,D263,$B$1:$B$1325,"&lt;="&amp;B263)</f>
        <v>2422.7400000000034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  <c r="Q263" s="91" t="str">
        <f>IF(tblMovimientos[[#This Row],[Cuenta Bancaria]]="","",_xlfn.XLOOKUP(tblMovimientos[[#This Row],[Cuenta Bancaria]],Cuentas!$C:$C,Cuentas!$A:$A,"No encontrado"))</f>
        <v>SSP Group</v>
      </c>
      <c r="R263" s="91" t="str">
        <f>TRIM(_xlfn.XLOOKUP(tblMovimientos[[#This Row],[Cuenta Bancaria]],Cuentas!$C:$C,Cuentas!$B:$B,""))</f>
        <v/>
      </c>
    </row>
    <row r="264" spans="2:18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f>SUMIFS('Saldos Iniciales'!$D:$D,'Saldos Iniciales'!$A:$A,C264,'Saldos Iniciales'!$B:$B,D264)+SUMIFS($K$1:$K$1325,$C$1:$C$1325,C264,$D$1:$D$1325,D264,$B$1:$B$1325,"&lt;="&amp;B264)</f>
        <v>2422.7400000000034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  <c r="Q264" s="91" t="str">
        <f>IF(tblMovimientos[[#This Row],[Cuenta Bancaria]]="","",_xlfn.XLOOKUP(tblMovimientos[[#This Row],[Cuenta Bancaria]],Cuentas!$C:$C,Cuentas!$A:$A,"No encontrado"))</f>
        <v>SSP Group</v>
      </c>
      <c r="R264" s="91" t="str">
        <f>TRIM(_xlfn.XLOOKUP(tblMovimientos[[#This Row],[Cuenta Bancaria]],Cuentas!$C:$C,Cuentas!$B:$B,""))</f>
        <v/>
      </c>
    </row>
    <row r="265" spans="2:18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f>SUMIFS('Saldos Iniciales'!$D:$D,'Saldos Iniciales'!$A:$A,C265,'Saldos Iniciales'!$B:$B,D265)+SUMIFS($K$1:$K$1325,$C$1:$C$1325,C265,$D$1:$D$1325,D265,$B$1:$B$1325,"&lt;="&amp;B265)</f>
        <v>2422.7400000000034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  <c r="Q265" s="91" t="str">
        <f>IF(tblMovimientos[[#This Row],[Cuenta Bancaria]]="","",_xlfn.XLOOKUP(tblMovimientos[[#This Row],[Cuenta Bancaria]],Cuentas!$C:$C,Cuentas!$A:$A,"No encontrado"))</f>
        <v>SSP Group</v>
      </c>
      <c r="R265" s="91" t="str">
        <f>TRIM(_xlfn.XLOOKUP(tblMovimientos[[#This Row],[Cuenta Bancaria]],Cuentas!$C:$C,Cuentas!$B:$B,""))</f>
        <v/>
      </c>
    </row>
    <row r="266" spans="2:18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f>SUMIFS('Saldos Iniciales'!$D:$D,'Saldos Iniciales'!$A:$A,C266,'Saldos Iniciales'!$B:$B,D266)+SUMIFS($K$1:$K$1325,$C$1:$C$1325,C266,$D$1:$D$1325,D266,$B$1:$B$1325,"&lt;="&amp;B266)</f>
        <v>2422.7400000000034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  <c r="Q266" s="91" t="str">
        <f>IF(tblMovimientos[[#This Row],[Cuenta Bancaria]]="","",_xlfn.XLOOKUP(tblMovimientos[[#This Row],[Cuenta Bancaria]],Cuentas!$C:$C,Cuentas!$A:$A,"No encontrado"))</f>
        <v>SSP Group</v>
      </c>
      <c r="R266" s="91" t="str">
        <f>TRIM(_xlfn.XLOOKUP(tblMovimientos[[#This Row],[Cuenta Bancaria]],Cuentas!$C:$C,Cuentas!$B:$B,""))</f>
        <v/>
      </c>
    </row>
    <row r="267" spans="2:18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f>SUMIFS('Saldos Iniciales'!$D:$D,'Saldos Iniciales'!$A:$A,C267,'Saldos Iniciales'!$B:$B,D267)+SUMIFS($K$1:$K$1325,$C$1:$C$1325,C267,$D$1:$D$1325,D267,$B$1:$B$1325,"&lt;="&amp;B267)</f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  <c r="Q267" s="91" t="str">
        <f>IF(tblMovimientos[[#This Row],[Cuenta Bancaria]]="","",_xlfn.XLOOKUP(tblMovimientos[[#This Row],[Cuenta Bancaria]],Cuentas!$C:$C,Cuentas!$A:$A,"No encontrado"))</f>
        <v>SSP Group</v>
      </c>
      <c r="R267" s="91" t="str">
        <f>TRIM(_xlfn.XLOOKUP(tblMovimientos[[#This Row],[Cuenta Bancaria]],Cuentas!$C:$C,Cuentas!$B:$B,""))</f>
        <v/>
      </c>
    </row>
    <row r="268" spans="2:18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f>SUMIFS('Saldos Iniciales'!$D:$D,'Saldos Iniciales'!$A:$A,C268,'Saldos Iniciales'!$B:$B,D268)+SUMIFS($K$1:$K$1325,$C$1:$C$1325,C268,$D$1:$D$1325,D268,$B$1:$B$1325,"&lt;="&amp;B268)</f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  <c r="Q268" s="91" t="str">
        <f>IF(tblMovimientos[[#This Row],[Cuenta Bancaria]]="","",_xlfn.XLOOKUP(tblMovimientos[[#This Row],[Cuenta Bancaria]],Cuentas!$C:$C,Cuentas!$A:$A,"No encontrado"))</f>
        <v>SSP Group</v>
      </c>
      <c r="R268" s="91" t="str">
        <f>TRIM(_xlfn.XLOOKUP(tblMovimientos[[#This Row],[Cuenta Bancaria]],Cuentas!$C:$C,Cuentas!$B:$B,""))</f>
        <v/>
      </c>
    </row>
    <row r="269" spans="2:18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f>SUMIFS('Saldos Iniciales'!$D:$D,'Saldos Iniciales'!$A:$A,C269,'Saldos Iniciales'!$B:$B,D269)+SUMIFS($K$1:$K$1325,$C$1:$C$1325,C269,$D$1:$D$1325,D269,$B$1:$B$1325,"&lt;="&amp;B269)</f>
        <v>1451.1500000000033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  <c r="Q269" s="91" t="str">
        <f>IF(tblMovimientos[[#This Row],[Cuenta Bancaria]]="","",_xlfn.XLOOKUP(tblMovimientos[[#This Row],[Cuenta Bancaria]],Cuentas!$C:$C,Cuentas!$A:$A,"No encontrado"))</f>
        <v>SSP Group</v>
      </c>
      <c r="R269" s="91" t="str">
        <f>TRIM(_xlfn.XLOOKUP(tblMovimientos[[#This Row],[Cuenta Bancaria]],Cuentas!$C:$C,Cuentas!$B:$B,""))</f>
        <v/>
      </c>
    </row>
    <row r="270" spans="2:18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f>SUMIFS('Saldos Iniciales'!$D:$D,'Saldos Iniciales'!$A:$A,C270,'Saldos Iniciales'!$B:$B,D270)+SUMIFS($K$1:$K$1325,$C$1:$C$1325,C270,$D$1:$D$1325,D270,$B$1:$B$1325,"&lt;="&amp;B270)</f>
        <v>1451.1500000000033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  <c r="Q270" s="91" t="str">
        <f>IF(tblMovimientos[[#This Row],[Cuenta Bancaria]]="","",_xlfn.XLOOKUP(tblMovimientos[[#This Row],[Cuenta Bancaria]],Cuentas!$C:$C,Cuentas!$A:$A,"No encontrado"))</f>
        <v>SSP Group</v>
      </c>
      <c r="R270" s="91" t="str">
        <f>TRIM(_xlfn.XLOOKUP(tblMovimientos[[#This Row],[Cuenta Bancaria]],Cuentas!$C:$C,Cuentas!$B:$B,""))</f>
        <v/>
      </c>
    </row>
    <row r="271" spans="2:18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f>SUMIFS('Saldos Iniciales'!$D:$D,'Saldos Iniciales'!$A:$A,C271,'Saldos Iniciales'!$B:$B,D271)+SUMIFS($K$1:$K$1325,$C$1:$C$1325,C271,$D$1:$D$1325,D271,$B$1:$B$1325,"&lt;="&amp;B271)</f>
        <v>1451.1500000000033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  <c r="Q271" s="91" t="str">
        <f>IF(tblMovimientos[[#This Row],[Cuenta Bancaria]]="","",_xlfn.XLOOKUP(tblMovimientos[[#This Row],[Cuenta Bancaria]],Cuentas!$C:$C,Cuentas!$A:$A,"No encontrado"))</f>
        <v>SSP Group</v>
      </c>
      <c r="R271" s="91" t="str">
        <f>TRIM(_xlfn.XLOOKUP(tblMovimientos[[#This Row],[Cuenta Bancaria]],Cuentas!$C:$C,Cuentas!$B:$B,""))</f>
        <v/>
      </c>
    </row>
    <row r="272" spans="2:18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f>SUMIFS('Saldos Iniciales'!$D:$D,'Saldos Iniciales'!$A:$A,C272,'Saldos Iniciales'!$B:$B,D272)+SUMIFS($K$1:$K$1325,$C$1:$C$1325,C272,$D$1:$D$1325,D272,$B$1:$B$1325,"&lt;="&amp;B272)</f>
        <v>1289.7300000000032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  <c r="Q272" s="91" t="str">
        <f>IF(tblMovimientos[[#This Row],[Cuenta Bancaria]]="","",_xlfn.XLOOKUP(tblMovimientos[[#This Row],[Cuenta Bancaria]],Cuentas!$C:$C,Cuentas!$A:$A,"No encontrado"))</f>
        <v>SSP Group</v>
      </c>
      <c r="R272" s="91" t="str">
        <f>TRIM(_xlfn.XLOOKUP(tblMovimientos[[#This Row],[Cuenta Bancaria]],Cuentas!$C:$C,Cuentas!$B:$B,""))</f>
        <v/>
      </c>
    </row>
    <row r="273" spans="2:18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f>SUMIFS('Saldos Iniciales'!$D:$D,'Saldos Iniciales'!$A:$A,C273,'Saldos Iniciales'!$B:$B,D273)+SUMIFS($K$1:$K$1325,$C$1:$C$1325,C273,$D$1:$D$1325,D273,$B$1:$B$1325,"&lt;="&amp;B273)</f>
        <v>1289.7300000000032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  <c r="Q273" s="91" t="str">
        <f>IF(tblMovimientos[[#This Row],[Cuenta Bancaria]]="","",_xlfn.XLOOKUP(tblMovimientos[[#This Row],[Cuenta Bancaria]],Cuentas!$C:$C,Cuentas!$A:$A,"No encontrado"))</f>
        <v>SSP Group</v>
      </c>
      <c r="R273" s="91" t="str">
        <f>TRIM(_xlfn.XLOOKUP(tblMovimientos[[#This Row],[Cuenta Bancaria]],Cuentas!$C:$C,Cuentas!$B:$B,""))</f>
        <v/>
      </c>
    </row>
    <row r="274" spans="2:18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f>SUMIFS('Saldos Iniciales'!$D:$D,'Saldos Iniciales'!$A:$A,C274,'Saldos Iniciales'!$B:$B,D274)+SUMIFS($K$1:$K$1325,$C$1:$C$1325,C274,$D$1:$D$1325,D274,$B$1:$B$1325,"&lt;="&amp;B274)</f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  <c r="Q274" s="91" t="str">
        <f>IF(tblMovimientos[[#This Row],[Cuenta Bancaria]]="","",_xlfn.XLOOKUP(tblMovimientos[[#This Row],[Cuenta Bancaria]],Cuentas!$C:$C,Cuentas!$A:$A,"No encontrado"))</f>
        <v>SSP Group</v>
      </c>
      <c r="R274" s="91" t="str">
        <f>TRIM(_xlfn.XLOOKUP(tblMovimientos[[#This Row],[Cuenta Bancaria]],Cuentas!$C:$C,Cuentas!$B:$B,""))</f>
        <v/>
      </c>
    </row>
    <row r="275" spans="2:18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f>SUMIFS('Saldos Iniciales'!$D:$D,'Saldos Iniciales'!$A:$A,C275,'Saldos Iniciales'!$B:$B,D275)+SUMIFS($K$1:$K$1325,$C$1:$C$1325,C275,$D$1:$D$1325,D275,$B$1:$B$1325,"&lt;="&amp;B275)</f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  <c r="Q275" s="91" t="str">
        <f>IF(tblMovimientos[[#This Row],[Cuenta Bancaria]]="","",_xlfn.XLOOKUP(tblMovimientos[[#This Row],[Cuenta Bancaria]],Cuentas!$C:$C,Cuentas!$A:$A,"No encontrado"))</f>
        <v>SSP Group</v>
      </c>
      <c r="R275" s="91" t="str">
        <f>TRIM(_xlfn.XLOOKUP(tblMovimientos[[#This Row],[Cuenta Bancaria]],Cuentas!$C:$C,Cuentas!$B:$B,""))</f>
        <v/>
      </c>
    </row>
    <row r="276" spans="2:18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f>SUMIFS('Saldos Iniciales'!$D:$D,'Saldos Iniciales'!$A:$A,C276,'Saldos Iniciales'!$B:$B,D276)+SUMIFS($K$1:$K$1325,$C$1:$C$1325,C276,$D$1:$D$1325,D276,$B$1:$B$1325,"&lt;="&amp;B276)</f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  <c r="Q276" s="91" t="str">
        <f>IF(tblMovimientos[[#This Row],[Cuenta Bancaria]]="","",_xlfn.XLOOKUP(tblMovimientos[[#This Row],[Cuenta Bancaria]],Cuentas!$C:$C,Cuentas!$A:$A,"No encontrado"))</f>
        <v>SSP Group</v>
      </c>
      <c r="R276" s="91" t="str">
        <f>TRIM(_xlfn.XLOOKUP(tblMovimientos[[#This Row],[Cuenta Bancaria]],Cuentas!$C:$C,Cuentas!$B:$B,""))</f>
        <v/>
      </c>
    </row>
    <row r="277" spans="2:18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f>SUMIFS('Saldos Iniciales'!$D:$D,'Saldos Iniciales'!$A:$A,C277,'Saldos Iniciales'!$B:$B,D277)+SUMIFS($K$1:$K$1325,$C$1:$C$1325,C277,$D$1:$D$1325,D277,$B$1:$B$1325,"&lt;="&amp;B277)</f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  <c r="Q277" s="91" t="str">
        <f>IF(tblMovimientos[[#This Row],[Cuenta Bancaria]]="","",_xlfn.XLOOKUP(tblMovimientos[[#This Row],[Cuenta Bancaria]],Cuentas!$C:$C,Cuentas!$A:$A,"No encontrado"))</f>
        <v>SSP Group</v>
      </c>
      <c r="R277" s="91" t="str">
        <f>TRIM(_xlfn.XLOOKUP(tblMovimientos[[#This Row],[Cuenta Bancaria]],Cuentas!$C:$C,Cuentas!$B:$B,""))</f>
        <v/>
      </c>
    </row>
    <row r="278" spans="2:18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f>SUMIFS('Saldos Iniciales'!$D:$D,'Saldos Iniciales'!$A:$A,C278,'Saldos Iniciales'!$B:$B,D278)+SUMIFS($K$1:$K$1325,$C$1:$C$1325,C278,$D$1:$D$1325,D278,$B$1:$B$1325,"&lt;="&amp;B278)</f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  <c r="Q278" s="91" t="str">
        <f>IF(tblMovimientos[[#This Row],[Cuenta Bancaria]]="","",_xlfn.XLOOKUP(tblMovimientos[[#This Row],[Cuenta Bancaria]],Cuentas!$C:$C,Cuentas!$A:$A,"No encontrado"))</f>
        <v>SSP Group</v>
      </c>
      <c r="R278" s="91" t="str">
        <f>TRIM(_xlfn.XLOOKUP(tblMovimientos[[#This Row],[Cuenta Bancaria]],Cuentas!$C:$C,Cuentas!$B:$B,""))</f>
        <v/>
      </c>
    </row>
    <row r="279" spans="2:18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f>SUMIFS('Saldos Iniciales'!$D:$D,'Saldos Iniciales'!$A:$A,C279,'Saldos Iniciales'!$B:$B,D279)+SUMIFS($K$1:$K$1325,$C$1:$C$1325,C279,$D$1:$D$1325,D279,$B$1:$B$1325,"&lt;="&amp;B279)</f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  <c r="Q279" s="91" t="str">
        <f>IF(tblMovimientos[[#This Row],[Cuenta Bancaria]]="","",_xlfn.XLOOKUP(tblMovimientos[[#This Row],[Cuenta Bancaria]],Cuentas!$C:$C,Cuentas!$A:$A,"No encontrado"))</f>
        <v>SSP Group</v>
      </c>
      <c r="R279" s="91" t="str">
        <f>TRIM(_xlfn.XLOOKUP(tblMovimientos[[#This Row],[Cuenta Bancaria]],Cuentas!$C:$C,Cuentas!$B:$B,""))</f>
        <v>Cross Security Trust</v>
      </c>
    </row>
    <row r="280" spans="2:18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f>SUMIFS('Saldos Iniciales'!$D:$D,'Saldos Iniciales'!$A:$A,C280,'Saldos Iniciales'!$B:$B,D280)+SUMIFS($K$1:$K$1325,$C$1:$C$1325,C280,$D$1:$D$1325,D280,$B$1:$B$1325,"&lt;="&amp;B280)</f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  <c r="Q280" s="91" t="str">
        <f>IF(tblMovimientos[[#This Row],[Cuenta Bancaria]]="","",_xlfn.XLOOKUP(tblMovimientos[[#This Row],[Cuenta Bancaria]],Cuentas!$C:$C,Cuentas!$A:$A,"No encontrado"))</f>
        <v>SSP Group</v>
      </c>
      <c r="R280" s="91" t="str">
        <f>TRIM(_xlfn.XLOOKUP(tblMovimientos[[#This Row],[Cuenta Bancaria]],Cuentas!$C:$C,Cuentas!$B:$B,""))</f>
        <v/>
      </c>
    </row>
    <row r="281" spans="2:18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f>SUMIFS('Saldos Iniciales'!$D:$D,'Saldos Iniciales'!$A:$A,C281,'Saldos Iniciales'!$B:$B,D281)+SUMIFS($K$1:$K$1325,$C$1:$C$1325,C281,$D$1:$D$1325,D281,$B$1:$B$1325,"&lt;="&amp;B281)</f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  <c r="Q281" s="91" t="str">
        <f>IF(tblMovimientos[[#This Row],[Cuenta Bancaria]]="","",_xlfn.XLOOKUP(tblMovimientos[[#This Row],[Cuenta Bancaria]],Cuentas!$C:$C,Cuentas!$A:$A,"No encontrado"))</f>
        <v>SSP Group</v>
      </c>
      <c r="R281" s="91" t="str">
        <f>TRIM(_xlfn.XLOOKUP(tblMovimientos[[#This Row],[Cuenta Bancaria]],Cuentas!$C:$C,Cuentas!$B:$B,""))</f>
        <v/>
      </c>
    </row>
    <row r="282" spans="2:18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f>SUMIFS('Saldos Iniciales'!$D:$D,'Saldos Iniciales'!$A:$A,C282,'Saldos Iniciales'!$B:$B,D282)+SUMIFS($K$1:$K$1325,$C$1:$C$1325,C282,$D$1:$D$1325,D282,$B$1:$B$1325,"&lt;="&amp;B282)</f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  <c r="Q282" s="91" t="str">
        <f>IF(tblMovimientos[[#This Row],[Cuenta Bancaria]]="","",_xlfn.XLOOKUP(tblMovimientos[[#This Row],[Cuenta Bancaria]],Cuentas!$C:$C,Cuentas!$A:$A,"No encontrado"))</f>
        <v>SSP Group</v>
      </c>
      <c r="R282" s="91" t="str">
        <f>TRIM(_xlfn.XLOOKUP(tblMovimientos[[#This Row],[Cuenta Bancaria]],Cuentas!$C:$C,Cuentas!$B:$B,""))</f>
        <v/>
      </c>
    </row>
    <row r="283" spans="2:18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Iniciales'!$D:$D,'Saldos Iniciales'!$A:$A,C283,'Saldos Iniciales'!$B:$B,D283)+SUMIFS($K$1:$K$1325,$C$1:$C$1325,C283,$D$1:$D$1325,D283,$B$1:$B$1325,"&lt;="&amp;B283)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  <c r="Q283" s="91" t="str">
        <f>IF(tblMovimientos[[#This Row],[Cuenta Bancaria]]="","",_xlfn.XLOOKUP(tblMovimientos[[#This Row],[Cuenta Bancaria]],Cuentas!$C:$C,Cuentas!$A:$A,"No encontrado"))</f>
        <v>SSP Group</v>
      </c>
      <c r="R283" s="91" t="str">
        <f>TRIM(_xlfn.XLOOKUP(tblMovimientos[[#This Row],[Cuenta Bancaria]],Cuentas!$C:$C,Cuentas!$B:$B,""))</f>
        <v/>
      </c>
    </row>
    <row r="284" spans="2:18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f>SUMIFS('Saldos Iniciales'!$D:$D,'Saldos Iniciales'!$A:$A,C284,'Saldos Iniciales'!$B:$B,D284)+SUMIFS($K$1:$K$1325,$C$1:$C$1325,C284,$D$1:$D$1325,D284,$B$1:$B$1325,"&lt;="&amp;B284)</f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  <c r="Q284" s="91" t="str">
        <f>IF(tblMovimientos[[#This Row],[Cuenta Bancaria]]="","",_xlfn.XLOOKUP(tblMovimientos[[#This Row],[Cuenta Bancaria]],Cuentas!$C:$C,Cuentas!$A:$A,"No encontrado"))</f>
        <v>SSP Group</v>
      </c>
      <c r="R284" s="91" t="str">
        <f>TRIM(_xlfn.XLOOKUP(tblMovimientos[[#This Row],[Cuenta Bancaria]],Cuentas!$C:$C,Cuentas!$B:$B,""))</f>
        <v>Cross Security Trust</v>
      </c>
    </row>
    <row r="285" spans="2:18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f>SUMIFS('Saldos Iniciales'!$D:$D,'Saldos Iniciales'!$A:$A,C285,'Saldos Iniciales'!$B:$B,D285)+SUMIFS($K$1:$K$1325,$C$1:$C$1325,C285,$D$1:$D$1325,D285,$B$1:$B$1325,"&lt;="&amp;B285)</f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  <c r="Q285" s="91" t="str">
        <f>IF(tblMovimientos[[#This Row],[Cuenta Bancaria]]="","",_xlfn.XLOOKUP(tblMovimientos[[#This Row],[Cuenta Bancaria]],Cuentas!$C:$C,Cuentas!$A:$A,"No encontrado"))</f>
        <v>SSP Group</v>
      </c>
      <c r="R285" s="91" t="str">
        <f>TRIM(_xlfn.XLOOKUP(tblMovimientos[[#This Row],[Cuenta Bancaria]],Cuentas!$C:$C,Cuentas!$B:$B,""))</f>
        <v>Cross Security Trust</v>
      </c>
    </row>
    <row r="286" spans="2:18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f>SUMIFS('Saldos Iniciales'!$D:$D,'Saldos Iniciales'!$A:$A,C286,'Saldos Iniciales'!$B:$B,D286)+SUMIFS($K$1:$K$1325,$C$1:$C$1325,C286,$D$1:$D$1325,D286,$B$1:$B$1325,"&lt;="&amp;B286)</f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  <c r="Q286" s="91" t="str">
        <f>IF(tblMovimientos[[#This Row],[Cuenta Bancaria]]="","",_xlfn.XLOOKUP(tblMovimientos[[#This Row],[Cuenta Bancaria]],Cuentas!$C:$C,Cuentas!$A:$A,"No encontrado"))</f>
        <v>SSP Group</v>
      </c>
      <c r="R286" s="91" t="str">
        <f>TRIM(_xlfn.XLOOKUP(tblMovimientos[[#This Row],[Cuenta Bancaria]],Cuentas!$C:$C,Cuentas!$B:$B,""))</f>
        <v/>
      </c>
    </row>
    <row r="287" spans="2:18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f>SUMIFS('Saldos Iniciales'!$D:$D,'Saldos Iniciales'!$A:$A,C287,'Saldos Iniciales'!$B:$B,D287)+SUMIFS($K$1:$K$1325,$C$1:$C$1325,C287,$D$1:$D$1325,D287,$B$1:$B$1325,"&lt;="&amp;B287)</f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  <c r="Q287" s="91" t="str">
        <f>IF(tblMovimientos[[#This Row],[Cuenta Bancaria]]="","",_xlfn.XLOOKUP(tblMovimientos[[#This Row],[Cuenta Bancaria]],Cuentas!$C:$C,Cuentas!$A:$A,"No encontrado"))</f>
        <v>SSP Group</v>
      </c>
      <c r="R287" s="91" t="str">
        <f>TRIM(_xlfn.XLOOKUP(tblMovimientos[[#This Row],[Cuenta Bancaria]],Cuentas!$C:$C,Cuentas!$B:$B,""))</f>
        <v/>
      </c>
    </row>
    <row r="288" spans="2:18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f>SUMIFS('Saldos Iniciales'!$D:$D,'Saldos Iniciales'!$A:$A,C288,'Saldos Iniciales'!$B:$B,D288)+SUMIFS($K$1:$K$1325,$C$1:$C$1325,C288,$D$1:$D$1325,D288,$B$1:$B$1325,"&lt;="&amp;B288)</f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  <c r="Q288" s="91" t="str">
        <f>IF(tblMovimientos[[#This Row],[Cuenta Bancaria]]="","",_xlfn.XLOOKUP(tblMovimientos[[#This Row],[Cuenta Bancaria]],Cuentas!$C:$C,Cuentas!$A:$A,"No encontrado"))</f>
        <v>SSP Group</v>
      </c>
      <c r="R288" s="91" t="str">
        <f>TRIM(_xlfn.XLOOKUP(tblMovimientos[[#This Row],[Cuenta Bancaria]],Cuentas!$C:$C,Cuentas!$B:$B,""))</f>
        <v/>
      </c>
    </row>
    <row r="289" spans="1:18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f>SUMIFS('Saldos Iniciales'!$D:$D,'Saldos Iniciales'!$A:$A,C289,'Saldos Iniciales'!$B:$B,D289)+SUMIFS($K$1:$K$1325,$C$1:$C$1325,C289,$D$1:$D$1325,D289,$B$1:$B$1325,"&lt;="&amp;B289)</f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  <c r="Q289" s="91" t="str">
        <f>IF(tblMovimientos[[#This Row],[Cuenta Bancaria]]="","",_xlfn.XLOOKUP(tblMovimientos[[#This Row],[Cuenta Bancaria]],Cuentas!$C:$C,Cuentas!$A:$A,"No encontrado"))</f>
        <v>SSP Group</v>
      </c>
      <c r="R289" s="91" t="str">
        <f>TRIM(_xlfn.XLOOKUP(tblMovimientos[[#This Row],[Cuenta Bancaria]],Cuentas!$C:$C,Cuentas!$B:$B,""))</f>
        <v/>
      </c>
    </row>
    <row r="290" spans="1:18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f>SUMIFS('Saldos Iniciales'!$D:$D,'Saldos Iniciales'!$A:$A,C290,'Saldos Iniciales'!$B:$B,D290)+SUMIFS($K$1:$K$1325,$C$1:$C$1325,C290,$D$1:$D$1325,D290,$B$1:$B$1325,"&lt;="&amp;B290)</f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  <c r="Q290" s="91" t="str">
        <f>IF(tblMovimientos[[#This Row],[Cuenta Bancaria]]="","",_xlfn.XLOOKUP(tblMovimientos[[#This Row],[Cuenta Bancaria]],Cuentas!$C:$C,Cuentas!$A:$A,"No encontrado"))</f>
        <v>SSP Group</v>
      </c>
      <c r="R290" s="91" t="str">
        <f>TRIM(_xlfn.XLOOKUP(tblMovimientos[[#This Row],[Cuenta Bancaria]],Cuentas!$C:$C,Cuentas!$B:$B,""))</f>
        <v/>
      </c>
    </row>
    <row r="291" spans="1:18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f>SUMIFS('Saldos Iniciales'!$D:$D,'Saldos Iniciales'!$A:$A,C291,'Saldos Iniciales'!$B:$B,D291)+SUMIFS($K$1:$K$1325,$C$1:$C$1325,C291,$D$1:$D$1325,D291,$B$1:$B$1325,"&lt;="&amp;B291)</f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  <c r="Q291" s="91" t="str">
        <f>IF(tblMovimientos[[#This Row],[Cuenta Bancaria]]="","",_xlfn.XLOOKUP(tblMovimientos[[#This Row],[Cuenta Bancaria]],Cuentas!$C:$C,Cuentas!$A:$A,"No encontrado"))</f>
        <v>SSP Group</v>
      </c>
      <c r="R291" s="91" t="str">
        <f>TRIM(_xlfn.XLOOKUP(tblMovimientos[[#This Row],[Cuenta Bancaria]],Cuentas!$C:$C,Cuentas!$B:$B,""))</f>
        <v/>
      </c>
    </row>
    <row r="292" spans="1:18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f>SUMIFS('Saldos Iniciales'!$D:$D,'Saldos Iniciales'!$A:$A,C292,'Saldos Iniciales'!$B:$B,D292)+SUMIFS($K$1:$K$1325,$C$1:$C$1325,C292,$D$1:$D$1325,D292,$B$1:$B$1325,"&lt;="&amp;B292)</f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  <c r="Q292" s="91" t="str">
        <f>IF(tblMovimientos[[#This Row],[Cuenta Bancaria]]="","",_xlfn.XLOOKUP(tblMovimientos[[#This Row],[Cuenta Bancaria]],Cuentas!$C:$C,Cuentas!$A:$A,"No encontrado"))</f>
        <v>SSP Group</v>
      </c>
      <c r="R292" s="91" t="str">
        <f>TRIM(_xlfn.XLOOKUP(tblMovimientos[[#This Row],[Cuenta Bancaria]],Cuentas!$C:$C,Cuentas!$B:$B,""))</f>
        <v/>
      </c>
    </row>
    <row r="293" spans="1:18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f>SUMIFS('Saldos Iniciales'!$D:$D,'Saldos Iniciales'!$A:$A,C293,'Saldos Iniciales'!$B:$B,D293)+SUMIFS($K$1:$K$1325,$C$1:$C$1325,C293,$D$1:$D$1325,D293,$B$1:$B$1325,"&lt;="&amp;B293)</f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  <c r="Q293" s="91" t="str">
        <f>IF(tblMovimientos[[#This Row],[Cuenta Bancaria]]="","",_xlfn.XLOOKUP(tblMovimientos[[#This Row],[Cuenta Bancaria]],Cuentas!$C:$C,Cuentas!$A:$A,"No encontrado"))</f>
        <v>SSP Group</v>
      </c>
      <c r="R293" s="91" t="str">
        <f>TRIM(_xlfn.XLOOKUP(tblMovimientos[[#This Row],[Cuenta Bancaria]],Cuentas!$C:$C,Cuentas!$B:$B,""))</f>
        <v/>
      </c>
    </row>
    <row r="294" spans="1:18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f>SUMIFS('Saldos Iniciales'!$D:$D,'Saldos Iniciales'!$A:$A,C294,'Saldos Iniciales'!$B:$B,D294)+SUMIFS($K$1:$K$1325,$C$1:$C$1325,C294,$D$1:$D$1325,D294,$B$1:$B$1325,"&lt;="&amp;B294)</f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  <c r="Q294" s="91" t="str">
        <f>IF(tblMovimientos[[#This Row],[Cuenta Bancaria]]="","",_xlfn.XLOOKUP(tblMovimientos[[#This Row],[Cuenta Bancaria]],Cuentas!$C:$C,Cuentas!$A:$A,"No encontrado"))</f>
        <v>SSP Group</v>
      </c>
      <c r="R294" s="91" t="str">
        <f>TRIM(_xlfn.XLOOKUP(tblMovimientos[[#This Row],[Cuenta Bancaria]],Cuentas!$C:$C,Cuentas!$B:$B,""))</f>
        <v/>
      </c>
    </row>
    <row r="295" spans="1:18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f>SUMIFS('Saldos Iniciales'!$D:$D,'Saldos Iniciales'!$A:$A,C295,'Saldos Iniciales'!$B:$B,D295)+SUMIFS($K$1:$K$1325,$C$1:$C$1325,C295,$D$1:$D$1325,D295,$B$1:$B$1325,"&lt;="&amp;B295)</f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  <c r="Q295" s="91" t="str">
        <f>IF(tblMovimientos[[#This Row],[Cuenta Bancaria]]="","",_xlfn.XLOOKUP(tblMovimientos[[#This Row],[Cuenta Bancaria]],Cuentas!$C:$C,Cuentas!$A:$A,"No encontrado"))</f>
        <v>Trust</v>
      </c>
      <c r="R295" s="91" t="str">
        <f>TRIM(_xlfn.XLOOKUP(tblMovimientos[[#This Row],[Cuenta Bancaria]],Cuentas!$C:$C,Cuentas!$B:$B,""))</f>
        <v/>
      </c>
    </row>
    <row r="296" spans="1:18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f>SUMIFS('Saldos Iniciales'!$D:$D,'Saldos Iniciales'!$A:$A,C296,'Saldos Iniciales'!$B:$B,D296)+SUMIFS($K$1:$K$1325,$C$1:$C$1325,C296,$D$1:$D$1325,D296,$B$1:$B$1325,"&lt;="&amp;B296)</f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  <c r="Q296" s="91" t="str">
        <f>IF(tblMovimientos[[#This Row],[Cuenta Bancaria]]="","",_xlfn.XLOOKUP(tblMovimientos[[#This Row],[Cuenta Bancaria]],Cuentas!$C:$C,Cuentas!$A:$A,"No encontrado"))</f>
        <v>Trust</v>
      </c>
      <c r="R296" s="91" t="str">
        <f>TRIM(_xlfn.XLOOKUP(tblMovimientos[[#This Row],[Cuenta Bancaria]],Cuentas!$C:$C,Cuentas!$B:$B,""))</f>
        <v/>
      </c>
    </row>
    <row r="297" spans="1:18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f>SUMIFS('Saldos Iniciales'!$D:$D,'Saldos Iniciales'!$A:$A,C297,'Saldos Iniciales'!$B:$B,D297)+SUMIFS($K$1:$K$1325,$C$1:$C$1325,C297,$D$1:$D$1325,D297,$B$1:$B$1325,"&lt;="&amp;B297)</f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  <c r="Q297" s="91" t="str">
        <f>IF(tblMovimientos[[#This Row],[Cuenta Bancaria]]="","",_xlfn.XLOOKUP(tblMovimientos[[#This Row],[Cuenta Bancaria]],Cuentas!$C:$C,Cuentas!$A:$A,"No encontrado"))</f>
        <v>SSP Group</v>
      </c>
      <c r="R297" s="91" t="str">
        <f>TRIM(_xlfn.XLOOKUP(tblMovimientos[[#This Row],[Cuenta Bancaria]],Cuentas!$C:$C,Cuentas!$B:$B,""))</f>
        <v/>
      </c>
    </row>
    <row r="298" spans="1:18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f>SUMIFS('Saldos Iniciales'!$D:$D,'Saldos Iniciales'!$A:$A,C298,'Saldos Iniciales'!$B:$B,D298)+SUMIFS($K$1:$K$1325,$C$1:$C$1325,C298,$D$1:$D$1325,D298,$B$1:$B$1325,"&lt;="&amp;B298)</f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  <c r="Q298" s="91" t="str">
        <f>IF(tblMovimientos[[#This Row],[Cuenta Bancaria]]="","",_xlfn.XLOOKUP(tblMovimientos[[#This Row],[Cuenta Bancaria]],Cuentas!$C:$C,Cuentas!$A:$A,"No encontrado"))</f>
        <v>SSP Group</v>
      </c>
      <c r="R298" s="91" t="str">
        <f>TRIM(_xlfn.XLOOKUP(tblMovimientos[[#This Row],[Cuenta Bancaria]],Cuentas!$C:$C,Cuentas!$B:$B,""))</f>
        <v/>
      </c>
    </row>
    <row r="299" spans="1:18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f>SUMIFS('Saldos Iniciales'!$D:$D,'Saldos Iniciales'!$A:$A,C299,'Saldos Iniciales'!$B:$B,D299)+SUMIFS($K$1:$K$1325,$C$1:$C$1325,C299,$D$1:$D$1325,D299,$B$1:$B$1325,"&lt;="&amp;B299)</f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  <c r="Q299" s="91" t="str">
        <f>IF(tblMovimientos[[#This Row],[Cuenta Bancaria]]="","",_xlfn.XLOOKUP(tblMovimientos[[#This Row],[Cuenta Bancaria]],Cuentas!$C:$C,Cuentas!$A:$A,"No encontrado"))</f>
        <v>SSP Group</v>
      </c>
      <c r="R299" s="91" t="str">
        <f>TRIM(_xlfn.XLOOKUP(tblMovimientos[[#This Row],[Cuenta Bancaria]],Cuentas!$C:$C,Cuentas!$B:$B,""))</f>
        <v/>
      </c>
    </row>
    <row r="300" spans="1:18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f>SUMIFS('Saldos Iniciales'!$D:$D,'Saldos Iniciales'!$A:$A,C300,'Saldos Iniciales'!$B:$B,D300)+SUMIFS($K$1:$K$1325,$C$1:$C$1325,C300,$D$1:$D$1325,D300,$B$1:$B$1325,"&lt;="&amp;B300)</f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  <c r="Q300" s="91" t="str">
        <f>IF(tblMovimientos[[#This Row],[Cuenta Bancaria]]="","",_xlfn.XLOOKUP(tblMovimientos[[#This Row],[Cuenta Bancaria]],Cuentas!$C:$C,Cuentas!$A:$A,"No encontrado"))</f>
        <v>SSP Group</v>
      </c>
      <c r="R300" s="91" t="str">
        <f>TRIM(_xlfn.XLOOKUP(tblMovimientos[[#This Row],[Cuenta Bancaria]],Cuentas!$C:$C,Cuentas!$B:$B,""))</f>
        <v/>
      </c>
    </row>
    <row r="301" spans="1:18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f>SUMIFS('Saldos Iniciales'!$D:$D,'Saldos Iniciales'!$A:$A,C301,'Saldos Iniciales'!$B:$B,D301)+SUMIFS($K$1:$K$1325,$C$1:$C$1325,C301,$D$1:$D$1325,D301,$B$1:$B$1325,"&lt;="&amp;B301)</f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  <c r="Q301" s="91" t="str">
        <f>IF(tblMovimientos[[#This Row],[Cuenta Bancaria]]="","",_xlfn.XLOOKUP(tblMovimientos[[#This Row],[Cuenta Bancaria]],Cuentas!$C:$C,Cuentas!$A:$A,"No encontrado"))</f>
        <v>SSP Group</v>
      </c>
      <c r="R301" s="91" t="str">
        <f>TRIM(_xlfn.XLOOKUP(tblMovimientos[[#This Row],[Cuenta Bancaria]],Cuentas!$C:$C,Cuentas!$B:$B,""))</f>
        <v/>
      </c>
    </row>
    <row r="302" spans="1:18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f>SUMIFS('Saldos Iniciales'!$D:$D,'Saldos Iniciales'!$A:$A,C302,'Saldos Iniciales'!$B:$B,D302)+SUMIFS($K$1:$K$1325,$C$1:$C$1325,C302,$D$1:$D$1325,D302,$B$1:$B$1325,"&lt;="&amp;B302)</f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  <c r="Q302" s="91" t="str">
        <f>IF(tblMovimientos[[#This Row],[Cuenta Bancaria]]="","",_xlfn.XLOOKUP(tblMovimientos[[#This Row],[Cuenta Bancaria]],Cuentas!$C:$C,Cuentas!$A:$A,"No encontrado"))</f>
        <v>SSP Group</v>
      </c>
      <c r="R302" s="91" t="str">
        <f>TRIM(_xlfn.XLOOKUP(tblMovimientos[[#This Row],[Cuenta Bancaria]],Cuentas!$C:$C,Cuentas!$B:$B,""))</f>
        <v/>
      </c>
    </row>
    <row r="303" spans="1:18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f>SUMIFS('Saldos Iniciales'!$D:$D,'Saldos Iniciales'!$A:$A,C303,'Saldos Iniciales'!$B:$B,D303)+SUMIFS($K$1:$K$1325,$C$1:$C$1325,C303,$D$1:$D$1325,D303,$B$1:$B$1325,"&lt;="&amp;B303)</f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  <c r="Q303" s="91" t="str">
        <f>IF(tblMovimientos[[#This Row],[Cuenta Bancaria]]="","",_xlfn.XLOOKUP(tblMovimientos[[#This Row],[Cuenta Bancaria]],Cuentas!$C:$C,Cuentas!$A:$A,"No encontrado"))</f>
        <v>SSP Group</v>
      </c>
      <c r="R303" s="91" t="str">
        <f>TRIM(_xlfn.XLOOKUP(tblMovimientos[[#This Row],[Cuenta Bancaria]],Cuentas!$C:$C,Cuentas!$B:$B,""))</f>
        <v/>
      </c>
    </row>
    <row r="304" spans="1:18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f>SUMIFS('Saldos Iniciales'!$D:$D,'Saldos Iniciales'!$A:$A,C304,'Saldos Iniciales'!$B:$B,D304)+SUMIFS($K$1:$K$1325,$C$1:$C$1325,C304,$D$1:$D$1325,D304,$B$1:$B$1325,"&lt;="&amp;B304)</f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  <c r="Q304" s="91" t="str">
        <f>IF(tblMovimientos[[#This Row],[Cuenta Bancaria]]="","",_xlfn.XLOOKUP(tblMovimientos[[#This Row],[Cuenta Bancaria]],Cuentas!$C:$C,Cuentas!$A:$A,"No encontrado"))</f>
        <v>SSP Group</v>
      </c>
      <c r="R304" s="91" t="str">
        <f>TRIM(_xlfn.XLOOKUP(tblMovimientos[[#This Row],[Cuenta Bancaria]],Cuentas!$C:$C,Cuentas!$B:$B,""))</f>
        <v/>
      </c>
    </row>
    <row r="305" spans="2:18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f>SUMIFS('Saldos Iniciales'!$D:$D,'Saldos Iniciales'!$A:$A,C305,'Saldos Iniciales'!$B:$B,D305)+SUMIFS($K$1:$K$1325,$C$1:$C$1325,C305,$D$1:$D$1325,D305,$B$1:$B$1325,"&lt;="&amp;B305)</f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  <c r="Q305" s="91" t="str">
        <f>IF(tblMovimientos[[#This Row],[Cuenta Bancaria]]="","",_xlfn.XLOOKUP(tblMovimientos[[#This Row],[Cuenta Bancaria]],Cuentas!$C:$C,Cuentas!$A:$A,"No encontrado"))</f>
        <v>SSP Group</v>
      </c>
      <c r="R305" s="91" t="str">
        <f>TRIM(_xlfn.XLOOKUP(tblMovimientos[[#This Row],[Cuenta Bancaria]],Cuentas!$C:$C,Cuentas!$B:$B,""))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69" si="0">IF(F306="Ingreso",J306,-J306)</f>
        <v>-2500</v>
      </c>
      <c r="L306" s="15" t="s">
        <v>128</v>
      </c>
      <c r="M306" s="44">
        <f>SUMIFS('Saldos Iniciales'!$D:$D,'Saldos Iniciales'!$A:$A,C306,'Saldos Iniciales'!$B:$B,D306)+SUMIFS($K$1:$K$1325,$C$1:$C$1325,C306,$D$1:$D$1325,D306,$B$1:$B$1325,"&lt;="&amp;B306)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  <c r="Q306" s="91" t="str">
        <f>IF(tblMovimientos[[#This Row],[Cuenta Bancaria]]="","",_xlfn.XLOOKUP(tblMovimientos[[#This Row],[Cuenta Bancaria]],Cuentas!$C:$C,Cuentas!$A:$A,"No encontrado"))</f>
        <v>SSP Group</v>
      </c>
      <c r="R306" s="91" t="str">
        <f>TRIM(_xlfn.XLOOKUP(tblMovimientos[[#This Row],[Cuenta Bancaria]],Cuentas!$C:$C,Cuentas!$B:$B,""))</f>
        <v/>
      </c>
    </row>
    <row r="307" spans="2:18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Iniciales'!$D:$D,'Saldos Iniciales'!$A:$A,C307,'Saldos Iniciales'!$B:$B,D307)+SUMIFS($K$1:$K$1325,$C$1:$C$1325,C307,$D$1:$D$1325,D307,$B$1:$B$1325,"&lt;="&amp;B307)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  <c r="Q307" s="91" t="str">
        <f>IF(tblMovimientos[[#This Row],[Cuenta Bancaria]]="","",_xlfn.XLOOKUP(tblMovimientos[[#This Row],[Cuenta Bancaria]],Cuentas!$C:$C,Cuentas!$A:$A,"No encontrado"))</f>
        <v>SSP Group</v>
      </c>
      <c r="R307" s="91" t="str">
        <f>TRIM(_xlfn.XLOOKUP(tblMovimientos[[#This Row],[Cuenta Bancaria]],Cuentas!$C:$C,Cuentas!$B:$B,""))</f>
        <v/>
      </c>
    </row>
    <row r="308" spans="2:18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Iniciales'!$D:$D,'Saldos Iniciales'!$A:$A,C308,'Saldos Iniciales'!$B:$B,D308)+SUMIFS($K$1:$K$1325,$C$1:$C$1325,C308,$D$1:$D$1325,D308,$B$1:$B$1325,"&lt;="&amp;B308)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  <c r="Q308" s="91" t="str">
        <f>IF(tblMovimientos[[#This Row],[Cuenta Bancaria]]="","",_xlfn.XLOOKUP(tblMovimientos[[#This Row],[Cuenta Bancaria]],Cuentas!$C:$C,Cuentas!$A:$A,"No encontrado"))</f>
        <v>SSP Group</v>
      </c>
      <c r="R308" s="91" t="str">
        <f>TRIM(_xlfn.XLOOKUP(tblMovimientos[[#This Row],[Cuenta Bancaria]],Cuentas!$C:$C,Cuentas!$B:$B,""))</f>
        <v/>
      </c>
    </row>
    <row r="309" spans="2:18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Iniciales'!$D:$D,'Saldos Iniciales'!$A:$A,C309,'Saldos Iniciales'!$B:$B,D309)+SUMIFS($K$1:$K$1325,$C$1:$C$1325,C309,$D$1:$D$1325,D309,$B$1:$B$1325,"&lt;="&amp;B309)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  <c r="Q309" s="91" t="str">
        <f>IF(tblMovimientos[[#This Row],[Cuenta Bancaria]]="","",_xlfn.XLOOKUP(tblMovimientos[[#This Row],[Cuenta Bancaria]],Cuentas!$C:$C,Cuentas!$A:$A,"No encontrado"))</f>
        <v>SSP Group</v>
      </c>
      <c r="R309" s="91" t="str">
        <f>TRIM(_xlfn.XLOOKUP(tblMovimientos[[#This Row],[Cuenta Bancaria]],Cuentas!$C:$C,Cuentas!$B:$B,""))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Iniciales'!$D:$D,'Saldos Iniciales'!$A:$A,C310,'Saldos Iniciales'!$B:$B,D310)+SUMIFS($K$1:$K$1325,$C$1:$C$1325,C310,$D$1:$D$1325,D310,$B$1:$B$1325,"&lt;="&amp;B310)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  <c r="Q310" s="91" t="str">
        <f>IF(tblMovimientos[[#This Row],[Cuenta Bancaria]]="","",_xlfn.XLOOKUP(tblMovimientos[[#This Row],[Cuenta Bancaria]],Cuentas!$C:$C,Cuentas!$A:$A,"No encontrado"))</f>
        <v>SSP Group</v>
      </c>
      <c r="R310" s="91" t="str">
        <f>TRIM(_xlfn.XLOOKUP(tblMovimientos[[#This Row],[Cuenta Bancaria]],Cuentas!$C:$C,Cuentas!$B:$B,""))</f>
        <v/>
      </c>
    </row>
    <row r="311" spans="2:18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Iniciales'!$D:$D,'Saldos Iniciales'!$A:$A,C311,'Saldos Iniciales'!$B:$B,D311)+SUMIFS($K$1:$K$1325,$C$1:$C$1325,C311,$D$1:$D$1325,D311,$B$1:$B$1325,"&lt;="&amp;B311)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  <c r="Q311" s="91" t="str">
        <f>IF(tblMovimientos[[#This Row],[Cuenta Bancaria]]="","",_xlfn.XLOOKUP(tblMovimientos[[#This Row],[Cuenta Bancaria]],Cuentas!$C:$C,Cuentas!$A:$A,"No encontrado"))</f>
        <v>SSP Group</v>
      </c>
      <c r="R311" s="91" t="str">
        <f>TRIM(_xlfn.XLOOKUP(tblMovimientos[[#This Row],[Cuenta Bancaria]],Cuentas!$C:$C,Cuentas!$B:$B,""))</f>
        <v/>
      </c>
    </row>
    <row r="312" spans="2:18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Iniciales'!$D:$D,'Saldos Iniciales'!$A:$A,C312,'Saldos Iniciales'!$B:$B,D312)+SUMIFS($K$1:$K$1325,$C$1:$C$1325,C312,$D$1:$D$1325,D312,$B$1:$B$1325,"&lt;="&amp;B312)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  <c r="Q312" s="91" t="str">
        <f>IF(tblMovimientos[[#This Row],[Cuenta Bancaria]]="","",_xlfn.XLOOKUP(tblMovimientos[[#This Row],[Cuenta Bancaria]],Cuentas!$C:$C,Cuentas!$A:$A,"No encontrado"))</f>
        <v>SSP Group</v>
      </c>
      <c r="R312" s="91" t="str">
        <f>TRIM(_xlfn.XLOOKUP(tblMovimientos[[#This Row],[Cuenta Bancaria]],Cuentas!$C:$C,Cuentas!$B:$B,""))</f>
        <v/>
      </c>
    </row>
    <row r="313" spans="2:18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Iniciales'!$D:$D,'Saldos Iniciales'!$A:$A,C313,'Saldos Iniciales'!$B:$B,D313)+SUMIFS($K$1:$K$1325,$C$1:$C$1325,C313,$D$1:$D$1325,D313,$B$1:$B$1325,"&lt;="&amp;B313)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  <c r="Q313" s="91" t="str">
        <f>IF(tblMovimientos[[#This Row],[Cuenta Bancaria]]="","",_xlfn.XLOOKUP(tblMovimientos[[#This Row],[Cuenta Bancaria]],Cuentas!$C:$C,Cuentas!$A:$A,"No encontrado"))</f>
        <v>SSP Group</v>
      </c>
      <c r="R313" s="91" t="str">
        <f>TRIM(_xlfn.XLOOKUP(tblMovimientos[[#This Row],[Cuenta Bancaria]],Cuentas!$C:$C,Cuentas!$B:$B,""))</f>
        <v/>
      </c>
    </row>
    <row r="314" spans="2:18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Iniciales'!$D:$D,'Saldos Iniciales'!$A:$A,C314,'Saldos Iniciales'!$B:$B,D314)+SUMIFS($K$1:$K$1325,$C$1:$C$1325,C314,$D$1:$D$1325,D314,$B$1:$B$1325,"&lt;="&amp;B314)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  <c r="Q314" s="91" t="str">
        <f>IF(tblMovimientos[[#This Row],[Cuenta Bancaria]]="","",_xlfn.XLOOKUP(tblMovimientos[[#This Row],[Cuenta Bancaria]],Cuentas!$C:$C,Cuentas!$A:$A,"No encontrado"))</f>
        <v>SSP Group</v>
      </c>
      <c r="R314" s="91" t="str">
        <f>TRIM(_xlfn.XLOOKUP(tblMovimientos[[#This Row],[Cuenta Bancaria]],Cuentas!$C:$C,Cuentas!$B:$B,""))</f>
        <v/>
      </c>
    </row>
    <row r="315" spans="2:18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Iniciales'!$D:$D,'Saldos Iniciales'!$A:$A,C315,'Saldos Iniciales'!$B:$B,D315)+SUMIFS($K$1:$K$1325,$C$1:$C$1325,C315,$D$1:$D$1325,D315,$B$1:$B$1325,"&lt;="&amp;B315)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  <c r="Q315" s="91" t="str">
        <f>IF(tblMovimientos[[#This Row],[Cuenta Bancaria]]="","",_xlfn.XLOOKUP(tblMovimientos[[#This Row],[Cuenta Bancaria]],Cuentas!$C:$C,Cuentas!$A:$A,"No encontrado"))</f>
        <v>SSP Group</v>
      </c>
      <c r="R315" s="91" t="str">
        <f>TRIM(_xlfn.XLOOKUP(tblMovimientos[[#This Row],[Cuenta Bancaria]],Cuentas!$C:$C,Cuentas!$B:$B,""))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Iniciales'!$D:$D,'Saldos Iniciales'!$A:$A,C316,'Saldos Iniciales'!$B:$B,D316)+SUMIFS($K$1:$K$1325,$C$1:$C$1325,C316,$D$1:$D$1325,D316,$B$1:$B$1325,"&lt;="&amp;B316)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  <c r="Q316" s="91" t="str">
        <f>IF(tblMovimientos[[#This Row],[Cuenta Bancaria]]="","",_xlfn.XLOOKUP(tblMovimientos[[#This Row],[Cuenta Bancaria]],Cuentas!$C:$C,Cuentas!$A:$A,"No encontrado"))</f>
        <v>SSP Group</v>
      </c>
      <c r="R316" s="91" t="str">
        <f>TRIM(_xlfn.XLOOKUP(tblMovimientos[[#This Row],[Cuenta Bancaria]],Cuentas!$C:$C,Cuentas!$B:$B,""))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Iniciales'!$D:$D,'Saldos Iniciales'!$A:$A,C317,'Saldos Iniciales'!$B:$B,D317)+SUMIFS($K$1:$K$1325,$C$1:$C$1325,C317,$D$1:$D$1325,D317,$B$1:$B$1325,"&lt;="&amp;B317)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  <c r="Q317" s="91" t="str">
        <f>IF(tblMovimientos[[#This Row],[Cuenta Bancaria]]="","",_xlfn.XLOOKUP(tblMovimientos[[#This Row],[Cuenta Bancaria]],Cuentas!$C:$C,Cuentas!$A:$A,"No encontrado"))</f>
        <v>SSP Group</v>
      </c>
      <c r="R317" s="91" t="str">
        <f>TRIM(_xlfn.XLOOKUP(tblMovimientos[[#This Row],[Cuenta Bancaria]],Cuentas!$C:$C,Cuentas!$B:$B,""))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Iniciales'!$D:$D,'Saldos Iniciales'!$A:$A,C318,'Saldos Iniciales'!$B:$B,D318)+SUMIFS($K$1:$K$1325,$C$1:$C$1325,C318,$D$1:$D$1325,D318,$B$1:$B$1325,"&lt;="&amp;B318)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  <c r="Q318" s="91" t="str">
        <f>IF(tblMovimientos[[#This Row],[Cuenta Bancaria]]="","",_xlfn.XLOOKUP(tblMovimientos[[#This Row],[Cuenta Bancaria]],Cuentas!$C:$C,Cuentas!$A:$A,"No encontrado"))</f>
        <v>SSP Group</v>
      </c>
      <c r="R318" s="91" t="str">
        <f>TRIM(_xlfn.XLOOKUP(tblMovimientos[[#This Row],[Cuenta Bancaria]],Cuentas!$C:$C,Cuentas!$B:$B,""))</f>
        <v/>
      </c>
    </row>
    <row r="319" spans="2:18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Iniciales'!$D:$D,'Saldos Iniciales'!$A:$A,C319,'Saldos Iniciales'!$B:$B,D319)+SUMIFS($K$1:$K$1325,$C$1:$C$1325,C319,$D$1:$D$1325,D319,$B$1:$B$1325,"&lt;="&amp;B319)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  <c r="Q319" s="91" t="str">
        <f>IF(tblMovimientos[[#This Row],[Cuenta Bancaria]]="","",_xlfn.XLOOKUP(tblMovimientos[[#This Row],[Cuenta Bancaria]],Cuentas!$C:$C,Cuentas!$A:$A,"No encontrado"))</f>
        <v>SSP Group</v>
      </c>
      <c r="R319" s="91" t="str">
        <f>TRIM(_xlfn.XLOOKUP(tblMovimientos[[#This Row],[Cuenta Bancaria]],Cuentas!$C:$C,Cuentas!$B:$B,""))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Iniciales'!$D:$D,'Saldos Iniciales'!$A:$A,C320,'Saldos Iniciales'!$B:$B,D320)+SUMIFS($K$1:$K$1325,$C$1:$C$1325,C320,$D$1:$D$1325,D320,$B$1:$B$1325,"&lt;="&amp;B320)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  <c r="Q320" s="91" t="str">
        <f>IF(tblMovimientos[[#This Row],[Cuenta Bancaria]]="","",_xlfn.XLOOKUP(tblMovimientos[[#This Row],[Cuenta Bancaria]],Cuentas!$C:$C,Cuentas!$A:$A,"No encontrado"))</f>
        <v>SSP Group</v>
      </c>
      <c r="R320" s="91" t="str">
        <f>TRIM(_xlfn.XLOOKUP(tblMovimientos[[#This Row],[Cuenta Bancaria]],Cuentas!$C:$C,Cuentas!$B:$B,""))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Iniciales'!$D:$D,'Saldos Iniciales'!$A:$A,C321,'Saldos Iniciales'!$B:$B,D321)+SUMIFS($K$1:$K$1325,$C$1:$C$1325,C321,$D$1:$D$1325,D321,$B$1:$B$1325,"&lt;="&amp;B321)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  <c r="Q321" s="91" t="str">
        <f>IF(tblMovimientos[[#This Row],[Cuenta Bancaria]]="","",_xlfn.XLOOKUP(tblMovimientos[[#This Row],[Cuenta Bancaria]],Cuentas!$C:$C,Cuentas!$A:$A,"No encontrado"))</f>
        <v>SSP Group</v>
      </c>
      <c r="R321" s="91" t="str">
        <f>TRIM(_xlfn.XLOOKUP(tblMovimientos[[#This Row],[Cuenta Bancaria]],Cuentas!$C:$C,Cuentas!$B:$B,""))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Iniciales'!$D:$D,'Saldos Iniciales'!$A:$A,C322,'Saldos Iniciales'!$B:$B,D322)+SUMIFS($K$1:$K$1325,$C$1:$C$1325,C322,$D$1:$D$1325,D322,$B$1:$B$1325,"&lt;="&amp;B322)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  <c r="Q322" s="91" t="str">
        <f>IF(tblMovimientos[[#This Row],[Cuenta Bancaria]]="","",_xlfn.XLOOKUP(tblMovimientos[[#This Row],[Cuenta Bancaria]],Cuentas!$C:$C,Cuentas!$A:$A,"No encontrado"))</f>
        <v>SSP Group</v>
      </c>
      <c r="R322" s="91" t="str">
        <f>TRIM(_xlfn.XLOOKUP(tblMovimientos[[#This Row],[Cuenta Bancaria]],Cuentas!$C:$C,Cuentas!$B:$B,""))</f>
        <v/>
      </c>
    </row>
    <row r="323" spans="1:18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Iniciales'!$D:$D,'Saldos Iniciales'!$A:$A,C323,'Saldos Iniciales'!$B:$B,D323)+SUMIFS($K$1:$K$1325,$C$1:$C$1325,C323,$D$1:$D$1325,D323,$B$1:$B$1325,"&lt;="&amp;B323)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  <c r="Q323" s="91" t="str">
        <f>IF(tblMovimientos[[#This Row],[Cuenta Bancaria]]="","",_xlfn.XLOOKUP(tblMovimientos[[#This Row],[Cuenta Bancaria]],Cuentas!$C:$C,Cuentas!$A:$A,"No encontrado"))</f>
        <v>SSP Group</v>
      </c>
      <c r="R323" s="91" t="str">
        <f>TRIM(_xlfn.XLOOKUP(tblMovimientos[[#This Row],[Cuenta Bancaria]],Cuentas!$C:$C,Cuentas!$B:$B,""))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Iniciales'!$D:$D,'Saldos Iniciales'!$A:$A,C324,'Saldos Iniciales'!$B:$B,D324)+SUMIFS($K$1:$K$1325,$C$1:$C$1325,C324,$D$1:$D$1325,D324,$B$1:$B$1325,"&lt;="&amp;B324)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  <c r="Q324" s="91" t="str">
        <f>IF(tblMovimientos[[#This Row],[Cuenta Bancaria]]="","",_xlfn.XLOOKUP(tblMovimientos[[#This Row],[Cuenta Bancaria]],Cuentas!$C:$C,Cuentas!$A:$A,"No encontrado"))</f>
        <v>SSP Group</v>
      </c>
      <c r="R324" s="91" t="str">
        <f>TRIM(_xlfn.XLOOKUP(tblMovimientos[[#This Row],[Cuenta Bancaria]],Cuentas!$C:$C,Cuentas!$B:$B,""))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Iniciales'!$D:$D,'Saldos Iniciales'!$A:$A,C325,'Saldos Iniciales'!$B:$B,D325)+SUMIFS($K$1:$K$1325,$C$1:$C$1325,C325,$D$1:$D$1325,D325,$B$1:$B$1325,"&lt;="&amp;B325)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  <c r="Q325" s="91" t="str">
        <f>IF(tblMovimientos[[#This Row],[Cuenta Bancaria]]="","",_xlfn.XLOOKUP(tblMovimientos[[#This Row],[Cuenta Bancaria]],Cuentas!$C:$C,Cuentas!$A:$A,"No encontrado"))</f>
        <v>SSP Group</v>
      </c>
      <c r="R325" s="91" t="str">
        <f>TRIM(_xlfn.XLOOKUP(tblMovimientos[[#This Row],[Cuenta Bancaria]],Cuentas!$C:$C,Cuentas!$B:$B,""))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Iniciales'!$D:$D,'Saldos Iniciales'!$A:$A,C326,'Saldos Iniciales'!$B:$B,D326)+SUMIFS($K$1:$K$1325,$C$1:$C$1325,C326,$D$1:$D$1325,D326,$B$1:$B$1325,"&lt;="&amp;B326)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  <c r="Q326" s="91" t="str">
        <f>IF(tblMovimientos[[#This Row],[Cuenta Bancaria]]="","",_xlfn.XLOOKUP(tblMovimientos[[#This Row],[Cuenta Bancaria]],Cuentas!$C:$C,Cuentas!$A:$A,"No encontrado"))</f>
        <v>SSP Group</v>
      </c>
      <c r="R326" s="91" t="str">
        <f>TRIM(_xlfn.XLOOKUP(tblMovimientos[[#This Row],[Cuenta Bancaria]],Cuentas!$C:$C,Cuentas!$B:$B,""))</f>
        <v/>
      </c>
    </row>
    <row r="327" spans="1:18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Iniciales'!$D:$D,'Saldos Iniciales'!$A:$A,C327,'Saldos Iniciales'!$B:$B,D327)+SUMIFS($K$1:$K$1325,$C$1:$C$1325,C327,$D$1:$D$1325,D327,$B$1:$B$1325,"&lt;="&amp;B327)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  <c r="Q327" s="91" t="str">
        <f>IF(tblMovimientos[[#This Row],[Cuenta Bancaria]]="","",_xlfn.XLOOKUP(tblMovimientos[[#This Row],[Cuenta Bancaria]],Cuentas!$C:$C,Cuentas!$A:$A,"No encontrado"))</f>
        <v>SSP Group</v>
      </c>
      <c r="R327" s="91" t="str">
        <f>TRIM(_xlfn.XLOOKUP(tblMovimientos[[#This Row],[Cuenta Bancaria]],Cuentas!$C:$C,Cuentas!$B:$B,""))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Iniciales'!$D:$D,'Saldos Iniciales'!$A:$A,C328,'Saldos Iniciales'!$B:$B,D328)+SUMIFS($K$1:$K$1325,$C$1:$C$1325,C328,$D$1:$D$1325,D328,$B$1:$B$1325,"&lt;="&amp;B328)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  <c r="Q328" s="91" t="str">
        <f>IF(tblMovimientos[[#This Row],[Cuenta Bancaria]]="","",_xlfn.XLOOKUP(tblMovimientos[[#This Row],[Cuenta Bancaria]],Cuentas!$C:$C,Cuentas!$A:$A,"No encontrado"))</f>
        <v>SSP Group</v>
      </c>
      <c r="R328" s="91" t="str">
        <f>TRIM(_xlfn.XLOOKUP(tblMovimientos[[#This Row],[Cuenta Bancaria]],Cuentas!$C:$C,Cuentas!$B:$B,""))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Iniciales'!$D:$D,'Saldos Iniciales'!$A:$A,C329,'Saldos Iniciales'!$B:$B,D329)+SUMIFS($K$1:$K$1325,$C$1:$C$1325,C329,$D$1:$D$1325,D329,$B$1:$B$1325,"&lt;="&amp;B329)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  <c r="Q329" s="91" t="str">
        <f>IF(tblMovimientos[[#This Row],[Cuenta Bancaria]]="","",_xlfn.XLOOKUP(tblMovimientos[[#This Row],[Cuenta Bancaria]],Cuentas!$C:$C,Cuentas!$A:$A,"No encontrado"))</f>
        <v>SSP Group</v>
      </c>
      <c r="R329" s="91" t="str">
        <f>TRIM(_xlfn.XLOOKUP(tblMovimientos[[#This Row],[Cuenta Bancaria]],Cuentas!$C:$C,Cuentas!$B:$B,""))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Iniciales'!$D:$D,'Saldos Iniciales'!$A:$A,C330,'Saldos Iniciales'!$B:$B,D330)+SUMIFS($K$1:$K$1325,$C$1:$C$1325,C330,$D$1:$D$1325,D330,$B$1:$B$1325,"&lt;="&amp;B330)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  <c r="Q330" s="91" t="str">
        <f>IF(tblMovimientos[[#This Row],[Cuenta Bancaria]]="","",_xlfn.XLOOKUP(tblMovimientos[[#This Row],[Cuenta Bancaria]],Cuentas!$C:$C,Cuentas!$A:$A,"No encontrado"))</f>
        <v>SSP Group</v>
      </c>
      <c r="R330" s="91" t="str">
        <f>TRIM(_xlfn.XLOOKUP(tblMovimientos[[#This Row],[Cuenta Bancaria]],Cuentas!$C:$C,Cuentas!$B:$B,""))</f>
        <v/>
      </c>
    </row>
    <row r="331" spans="1:18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Iniciales'!$D:$D,'Saldos Iniciales'!$A:$A,C331,'Saldos Iniciales'!$B:$B,D331)+SUMIFS($K$1:$K$1325,$C$1:$C$1325,C331,$D$1:$D$1325,D331,$B$1:$B$1325,"&lt;="&amp;B331)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  <c r="Q331" s="91" t="str">
        <f>IF(tblMovimientos[[#This Row],[Cuenta Bancaria]]="","",_xlfn.XLOOKUP(tblMovimientos[[#This Row],[Cuenta Bancaria]],Cuentas!$C:$C,Cuentas!$A:$A,"No encontrado"))</f>
        <v>SSP Group</v>
      </c>
      <c r="R331" s="91" t="str">
        <f>TRIM(_xlfn.XLOOKUP(tblMovimientos[[#This Row],[Cuenta Bancaria]],Cuentas!$C:$C,Cuentas!$B:$B,""))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Iniciales'!$D:$D,'Saldos Iniciales'!$A:$A,C332,'Saldos Iniciales'!$B:$B,D332)+SUMIFS($K$1:$K$1325,$C$1:$C$1325,C332,$D$1:$D$1325,D332,$B$1:$B$1325,"&lt;="&amp;B332)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  <c r="Q332" s="91" t="str">
        <f>IF(tblMovimientos[[#This Row],[Cuenta Bancaria]]="","",_xlfn.XLOOKUP(tblMovimientos[[#This Row],[Cuenta Bancaria]],Cuentas!$C:$C,Cuentas!$A:$A,"No encontrado"))</f>
        <v>SSP Group</v>
      </c>
      <c r="R332" s="91" t="str">
        <f>TRIM(_xlfn.XLOOKUP(tblMovimientos[[#This Row],[Cuenta Bancaria]],Cuentas!$C:$C,Cuentas!$B:$B,""))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Iniciales'!$D:$D,'Saldos Iniciales'!$A:$A,C333,'Saldos Iniciales'!$B:$B,D333)+SUMIFS($K$1:$K$1325,$C$1:$C$1325,C333,$D$1:$D$1325,D333,$B$1:$B$1325,"&lt;="&amp;B333)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  <c r="Q333" s="91" t="str">
        <f>IF(tblMovimientos[[#This Row],[Cuenta Bancaria]]="","",_xlfn.XLOOKUP(tblMovimientos[[#This Row],[Cuenta Bancaria]],Cuentas!$C:$C,Cuentas!$A:$A,"No encontrado"))</f>
        <v>SSP Group</v>
      </c>
      <c r="R333" s="91" t="str">
        <f>TRIM(_xlfn.XLOOKUP(tblMovimientos[[#This Row],[Cuenta Bancaria]],Cuentas!$C:$C,Cuentas!$B:$B,""))</f>
        <v>Cross Security Trust</v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Iniciales'!$D:$D,'Saldos Iniciales'!$A:$A,C334,'Saldos Iniciales'!$B:$B,D334)+SUMIFS($K$1:$K$1325,$C$1:$C$1325,C334,$D$1:$D$1325,D334,$B$1:$B$1325,"&lt;="&amp;B334)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  <c r="Q334" s="91" t="str">
        <f>IF(tblMovimientos[[#This Row],[Cuenta Bancaria]]="","",_xlfn.XLOOKUP(tblMovimientos[[#This Row],[Cuenta Bancaria]],Cuentas!$C:$C,Cuentas!$A:$A,"No encontrado"))</f>
        <v>SSP Group</v>
      </c>
      <c r="R334" s="91" t="str">
        <f>TRIM(_xlfn.XLOOKUP(tblMovimientos[[#This Row],[Cuenta Bancaria]],Cuentas!$C:$C,Cuentas!$B:$B,""))</f>
        <v>Cross Security Trust</v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Iniciales'!$D:$D,'Saldos Iniciales'!$A:$A,C335,'Saldos Iniciales'!$B:$B,D335)+SUMIFS($K$1:$K$1325,$C$1:$C$1325,C335,$D$1:$D$1325,D335,$B$1:$B$1325,"&lt;="&amp;B335)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  <c r="Q335" s="91" t="str">
        <f>IF(tblMovimientos[[#This Row],[Cuenta Bancaria]]="","",_xlfn.XLOOKUP(tblMovimientos[[#This Row],[Cuenta Bancaria]],Cuentas!$C:$C,Cuentas!$A:$A,"No encontrado"))</f>
        <v>SSP Group</v>
      </c>
      <c r="R335" s="91" t="str">
        <f>TRIM(_xlfn.XLOOKUP(tblMovimientos[[#This Row],[Cuenta Bancaria]],Cuentas!$C:$C,Cuentas!$B:$B,""))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Iniciales'!$D:$D,'Saldos Iniciales'!$A:$A,C336,'Saldos Iniciales'!$B:$B,D336)+SUMIFS($K$1:$K$1325,$C$1:$C$1325,C336,$D$1:$D$1325,D336,$B$1:$B$1325,"&lt;="&amp;B336)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  <c r="Q336" s="91" t="str">
        <f>IF(tblMovimientos[[#This Row],[Cuenta Bancaria]]="","",_xlfn.XLOOKUP(tblMovimientos[[#This Row],[Cuenta Bancaria]],Cuentas!$C:$C,Cuentas!$A:$A,"No encontrado"))</f>
        <v>SSP Group</v>
      </c>
      <c r="R336" s="91" t="str">
        <f>TRIM(_xlfn.XLOOKUP(tblMovimientos[[#This Row],[Cuenta Bancaria]],Cuentas!$C:$C,Cuentas!$B:$B,""))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Iniciales'!$D:$D,'Saldos Iniciales'!$A:$A,C337,'Saldos Iniciales'!$B:$B,D337)+SUMIFS($K$1:$K$1325,$C$1:$C$1325,C337,$D$1:$D$1325,D337,$B$1:$B$1325,"&lt;="&amp;B337)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  <c r="Q337" s="91" t="str">
        <f>IF(tblMovimientos[[#This Row],[Cuenta Bancaria]]="","",_xlfn.XLOOKUP(tblMovimientos[[#This Row],[Cuenta Bancaria]],Cuentas!$C:$C,Cuentas!$A:$A,"No encontrado"))</f>
        <v>SSP Group</v>
      </c>
      <c r="R337" s="91" t="str">
        <f>TRIM(_xlfn.XLOOKUP(tblMovimientos[[#This Row],[Cuenta Bancaria]],Cuentas!$C:$C,Cuentas!$B:$B,""))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si="0"/>
        <v>2000</v>
      </c>
      <c r="L338" s="15" t="s">
        <v>128</v>
      </c>
      <c r="M338" s="44">
        <f>SUMIFS('Saldos Iniciales'!$D:$D,'Saldos Iniciales'!$A:$A,C338,'Saldos Iniciales'!$B:$B,D338)+SUMIFS($K$1:$K$1325,$C$1:$C$1325,C338,$D$1:$D$1325,D338,$B$1:$B$1325,"&lt;="&amp;B338)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  <c r="Q338" s="91" t="str">
        <f>IF(tblMovimientos[[#This Row],[Cuenta Bancaria]]="","",_xlfn.XLOOKUP(tblMovimientos[[#This Row],[Cuenta Bancaria]],Cuentas!$C:$C,Cuentas!$A:$A,"No encontrado"))</f>
        <v>SSP Group</v>
      </c>
      <c r="R338" s="91" t="str">
        <f>TRIM(_xlfn.XLOOKUP(tblMovimientos[[#This Row],[Cuenta Bancaria]],Cuentas!$C:$C,Cuentas!$B:$B,""))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0"/>
        <v>-4000</v>
      </c>
      <c r="L339" s="15" t="s">
        <v>128</v>
      </c>
      <c r="M339" s="44">
        <f>SUMIFS('Saldos Iniciales'!$D:$D,'Saldos Iniciales'!$A:$A,C339,'Saldos Iniciales'!$B:$B,D339)+SUMIFS($K$1:$K$1325,$C$1:$C$1325,C339,$D$1:$D$1325,D339,$B$1:$B$1325,"&lt;="&amp;B339)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  <c r="Q339" s="91" t="str">
        <f>IF(tblMovimientos[[#This Row],[Cuenta Bancaria]]="","",_xlfn.XLOOKUP(tblMovimientos[[#This Row],[Cuenta Bancaria]],Cuentas!$C:$C,Cuentas!$A:$A,"No encontrado"))</f>
        <v>SSP Group</v>
      </c>
      <c r="R339" s="91" t="str">
        <f>TRIM(_xlfn.XLOOKUP(tblMovimientos[[#This Row],[Cuenta Bancaria]],Cuentas!$C:$C,Cuentas!$B:$B,""))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>Amerant Bank Money Market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0"/>
        <v>54600</v>
      </c>
      <c r="L340" s="15" t="s">
        <v>128</v>
      </c>
      <c r="M340" s="44">
        <f>SUMIFS('Saldos Iniciales'!$D:$D,'Saldos Iniciales'!$A:$A,C340,'Saldos Iniciales'!$B:$B,D340)+SUMIFS($K$1:$K$1325,$C$1:$C$1325,C340,$D$1:$D$1325,D340,$B$1:$B$1325,"&lt;="&amp;B340)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  <c r="Q340" s="91" t="str">
        <f>IF(tblMovimientos[[#This Row],[Cuenta Bancaria]]="","",_xlfn.XLOOKUP(tblMovimientos[[#This Row],[Cuenta Bancaria]],Cuentas!$C:$C,Cuentas!$A:$A,"No encontrado"))</f>
        <v>SSP Group</v>
      </c>
      <c r="R340" s="91" t="str">
        <f>TRIM(_xlfn.XLOOKUP(tblMovimientos[[#This Row],[Cuenta Bancaria]],Cuentas!$C:$C,Cuentas!$B:$B,""))</f>
        <v/>
      </c>
    </row>
    <row r="341" spans="1:18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0"/>
        <v>-522</v>
      </c>
      <c r="L341" s="15" t="s">
        <v>128</v>
      </c>
      <c r="M341" s="44">
        <f>SUMIFS('Saldos Iniciales'!$D:$D,'Saldos Iniciales'!$A:$A,C341,'Saldos Iniciales'!$B:$B,D341)+SUMIFS($K$1:$K$1325,$C$1:$C$1325,C341,$D$1:$D$1325,D341,$B$1:$B$1325,"&lt;="&amp;B341)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  <c r="Q341" s="91" t="str">
        <f>IF(tblMovimientos[[#This Row],[Cuenta Bancaria]]="","",_xlfn.XLOOKUP(tblMovimientos[[#This Row],[Cuenta Bancaria]],Cuentas!$C:$C,Cuentas!$A:$A,"No encontrado"))</f>
        <v>SSP Group</v>
      </c>
      <c r="R341" s="91" t="str">
        <f>TRIM(_xlfn.XLOOKUP(tblMovimientos[[#This Row],[Cuenta Bancaria]],Cuentas!$C:$C,Cuentas!$B:$B,""))</f>
        <v/>
      </c>
    </row>
    <row r="342" spans="1:18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0"/>
        <v>-2161.7199999999998</v>
      </c>
      <c r="L342" s="15" t="s">
        <v>128</v>
      </c>
      <c r="M342" s="44">
        <f>SUMIFS('Saldos Iniciales'!$D:$D,'Saldos Iniciales'!$A:$A,C342,'Saldos Iniciales'!$B:$B,D342)+SUMIFS($K$1:$K$1325,$C$1:$C$1325,C342,$D$1:$D$1325,D342,$B$1:$B$1325,"&lt;="&amp;B342)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  <c r="Q342" s="91" t="str">
        <f>IF(tblMovimientos[[#This Row],[Cuenta Bancaria]]="","",_xlfn.XLOOKUP(tblMovimientos[[#This Row],[Cuenta Bancaria]],Cuentas!$C:$C,Cuentas!$A:$A,"No encontrado"))</f>
        <v>SSP Group</v>
      </c>
      <c r="R342" s="91" t="str">
        <f>TRIM(_xlfn.XLOOKUP(tblMovimientos[[#This Row],[Cuenta Bancaria]],Cuentas!$C:$C,Cuentas!$B:$B,""))</f>
        <v/>
      </c>
    </row>
    <row r="343" spans="1:18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0"/>
        <v>-2490.36</v>
      </c>
      <c r="L343" s="15" t="s">
        <v>128</v>
      </c>
      <c r="M343" s="44">
        <f>SUMIFS('Saldos Iniciales'!$D:$D,'Saldos Iniciales'!$A:$A,C343,'Saldos Iniciales'!$B:$B,D343)+SUMIFS($K$1:$K$1325,$C$1:$C$1325,C343,$D$1:$D$1325,D343,$B$1:$B$1325,"&lt;="&amp;B343)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  <c r="Q343" s="91" t="str">
        <f>IF(tblMovimientos[[#This Row],[Cuenta Bancaria]]="","",_xlfn.XLOOKUP(tblMovimientos[[#This Row],[Cuenta Bancaria]],Cuentas!$C:$C,Cuentas!$A:$A,"No encontrado"))</f>
        <v>SSP Group</v>
      </c>
      <c r="R343" s="91" t="str">
        <f>TRIM(_xlfn.XLOOKUP(tblMovimientos[[#This Row],[Cuenta Bancaria]],Cuentas!$C:$C,Cuentas!$B:$B,""))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0"/>
        <v>100392.81</v>
      </c>
      <c r="L344" s="15" t="s">
        <v>128</v>
      </c>
      <c r="M344" s="44">
        <f>SUMIFS('Saldos Iniciales'!$D:$D,'Saldos Iniciales'!$A:$A,C344,'Saldos Iniciales'!$B:$B,D344)+SUMIFS($K$1:$K$1325,$C$1:$C$1325,C344,$D$1:$D$1325,D344,$B$1:$B$1325,"&lt;="&amp;B344)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  <c r="Q344" s="91" t="str">
        <f>IF(tblMovimientos[[#This Row],[Cuenta Bancaria]]="","",_xlfn.XLOOKUP(tblMovimientos[[#This Row],[Cuenta Bancaria]],Cuentas!$C:$C,Cuentas!$A:$A,"No encontrado"))</f>
        <v>SSP Group</v>
      </c>
      <c r="R344" s="91" t="str">
        <f>TRIM(_xlfn.XLOOKUP(tblMovimientos[[#This Row],[Cuenta Bancaria]],Cuentas!$C:$C,Cuentas!$B:$B,""))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0"/>
        <v>-5</v>
      </c>
      <c r="L345" s="15" t="s">
        <v>128</v>
      </c>
      <c r="M345" s="44">
        <f>SUMIFS('Saldos Iniciales'!$D:$D,'Saldos Iniciales'!$A:$A,C345,'Saldos Iniciales'!$B:$B,D345)+SUMIFS($K$1:$K$1325,$C$1:$C$1325,C345,$D$1:$D$1325,D345,$B$1:$B$1325,"&lt;="&amp;B345)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  <c r="Q345" s="91" t="str">
        <f>IF(tblMovimientos[[#This Row],[Cuenta Bancaria]]="","",_xlfn.XLOOKUP(tblMovimientos[[#This Row],[Cuenta Bancaria]],Cuentas!$C:$C,Cuentas!$A:$A,"No encontrado"))</f>
        <v>SSP Group</v>
      </c>
      <c r="R345" s="91" t="str">
        <f>TRIM(_xlfn.XLOOKUP(tblMovimientos[[#This Row],[Cuenta Bancaria]],Cuentas!$C:$C,Cuentas!$B:$B,""))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0"/>
        <v>-5</v>
      </c>
      <c r="L346" s="15" t="s">
        <v>128</v>
      </c>
      <c r="M346" s="44">
        <f>SUMIFS('Saldos Iniciales'!$D:$D,'Saldos Iniciales'!$A:$A,C346,'Saldos Iniciales'!$B:$B,D346)+SUMIFS($K$1:$K$1325,$C$1:$C$1325,C346,$D$1:$D$1325,D346,$B$1:$B$1325,"&lt;="&amp;B346)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  <c r="Q346" s="91" t="str">
        <f>IF(tblMovimientos[[#This Row],[Cuenta Bancaria]]="","",_xlfn.XLOOKUP(tblMovimientos[[#This Row],[Cuenta Bancaria]],Cuentas!$C:$C,Cuentas!$A:$A,"No encontrado"))</f>
        <v>SSP Group</v>
      </c>
      <c r="R346" s="91" t="str">
        <f>TRIM(_xlfn.XLOOKUP(tblMovimientos[[#This Row],[Cuenta Bancaria]],Cuentas!$C:$C,Cuentas!$B:$B,""))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0"/>
        <v>15000</v>
      </c>
      <c r="L347" s="15" t="s">
        <v>128</v>
      </c>
      <c r="M347" s="44">
        <f>SUMIFS('Saldos Iniciales'!$D:$D,'Saldos Iniciales'!$A:$A,C347,'Saldos Iniciales'!$B:$B,D347)+SUMIFS($K$1:$K$1325,$C$1:$C$1325,C347,$D$1:$D$1325,D347,$B$1:$B$1325,"&lt;="&amp;B347)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  <c r="Q347" s="91" t="str">
        <f>IF(tblMovimientos[[#This Row],[Cuenta Bancaria]]="","",_xlfn.XLOOKUP(tblMovimientos[[#This Row],[Cuenta Bancaria]],Cuentas!$C:$C,Cuentas!$A:$A,"No encontrado"))</f>
        <v>SSP Group</v>
      </c>
      <c r="R347" s="91" t="str">
        <f>TRIM(_xlfn.XLOOKUP(tblMovimientos[[#This Row],[Cuenta Bancaria]],Cuentas!$C:$C,Cuentas!$B:$B,""))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0"/>
        <v>-173.5</v>
      </c>
      <c r="L348" s="15" t="s">
        <v>128</v>
      </c>
      <c r="M348" s="44">
        <f>SUMIFS('Saldos Iniciales'!$D:$D,'Saldos Iniciales'!$A:$A,C348,'Saldos Iniciales'!$B:$B,D348)+SUMIFS($K$1:$K$1325,$C$1:$C$1325,C348,$D$1:$D$1325,D348,$B$1:$B$1325,"&lt;="&amp;B348)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  <c r="Q348" s="91" t="str">
        <f>IF(tblMovimientos[[#This Row],[Cuenta Bancaria]]="","",_xlfn.XLOOKUP(tblMovimientos[[#This Row],[Cuenta Bancaria]],Cuentas!$C:$C,Cuentas!$A:$A,"No encontrado"))</f>
        <v>SSP Group</v>
      </c>
      <c r="R348" s="91" t="str">
        <f>TRIM(_xlfn.XLOOKUP(tblMovimientos[[#This Row],[Cuenta Bancaria]],Cuentas!$C:$C,Cuentas!$B:$B,""))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0"/>
        <v>-220</v>
      </c>
      <c r="L349" s="15" t="s">
        <v>128</v>
      </c>
      <c r="M349" s="44">
        <f>SUMIFS('Saldos Iniciales'!$D:$D,'Saldos Iniciales'!$A:$A,C349,'Saldos Iniciales'!$B:$B,D349)+SUMIFS($K$1:$K$1325,$C$1:$C$1325,C349,$D$1:$D$1325,D349,$B$1:$B$1325,"&lt;="&amp;B349)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  <c r="Q349" s="91" t="str">
        <f>IF(tblMovimientos[[#This Row],[Cuenta Bancaria]]="","",_xlfn.XLOOKUP(tblMovimientos[[#This Row],[Cuenta Bancaria]],Cuentas!$C:$C,Cuentas!$A:$A,"No encontrado"))</f>
        <v>SSP Group</v>
      </c>
      <c r="R349" s="91" t="str">
        <f>TRIM(_xlfn.XLOOKUP(tblMovimientos[[#This Row],[Cuenta Bancaria]],Cuentas!$C:$C,Cuentas!$B:$B,""))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0"/>
        <v>-80</v>
      </c>
      <c r="L350" s="15" t="s">
        <v>128</v>
      </c>
      <c r="M350" s="44">
        <f>SUMIFS('Saldos Iniciales'!$D:$D,'Saldos Iniciales'!$A:$A,C350,'Saldos Iniciales'!$B:$B,D350)+SUMIFS($K$1:$K$1325,$C$1:$C$1325,C350,$D$1:$D$1325,D350,$B$1:$B$1325,"&lt;="&amp;B350)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  <c r="Q350" s="91" t="str">
        <f>IF(tblMovimientos[[#This Row],[Cuenta Bancaria]]="","",_xlfn.XLOOKUP(tblMovimientos[[#This Row],[Cuenta Bancaria]],Cuentas!$C:$C,Cuentas!$A:$A,"No encontrado"))</f>
        <v>SSP Group</v>
      </c>
      <c r="R350" s="91" t="str">
        <f>TRIM(_xlfn.XLOOKUP(tblMovimientos[[#This Row],[Cuenta Bancaria]],Cuentas!$C:$C,Cuentas!$B:$B,""))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0"/>
        <v>-200</v>
      </c>
      <c r="L351" s="15" t="s">
        <v>128</v>
      </c>
      <c r="M351" s="44">
        <f>SUMIFS('Saldos Iniciales'!$D:$D,'Saldos Iniciales'!$A:$A,C351,'Saldos Iniciales'!$B:$B,D351)+SUMIFS($K$1:$K$1325,$C$1:$C$1325,C351,$D$1:$D$1325,D351,$B$1:$B$1325,"&lt;="&amp;B351)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  <c r="Q351" s="91" t="str">
        <f>IF(tblMovimientos[[#This Row],[Cuenta Bancaria]]="","",_xlfn.XLOOKUP(tblMovimientos[[#This Row],[Cuenta Bancaria]],Cuentas!$C:$C,Cuentas!$A:$A,"No encontrado"))</f>
        <v>SSP Group</v>
      </c>
      <c r="R351" s="91" t="str">
        <f>TRIM(_xlfn.XLOOKUP(tblMovimientos[[#This Row],[Cuenta Bancaria]],Cuentas!$C:$C,Cuentas!$B:$B,""))</f>
        <v/>
      </c>
    </row>
    <row r="352" spans="1:18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0"/>
        <v>-1000</v>
      </c>
      <c r="L352" s="15" t="s">
        <v>128</v>
      </c>
      <c r="M352" s="44">
        <f>SUMIFS('Saldos Iniciales'!$D:$D,'Saldos Iniciales'!$A:$A,C352,'Saldos Iniciales'!$B:$B,D352)+SUMIFS($K$1:$K$1325,$C$1:$C$1325,C352,$D$1:$D$1325,D352,$B$1:$B$1325,"&lt;="&amp;B352)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  <c r="Q352" s="91" t="str">
        <f>IF(tblMovimientos[[#This Row],[Cuenta Bancaria]]="","",_xlfn.XLOOKUP(tblMovimientos[[#This Row],[Cuenta Bancaria]],Cuentas!$C:$C,Cuentas!$A:$A,"No encontrado"))</f>
        <v>SSP Group</v>
      </c>
      <c r="R352" s="91" t="str">
        <f>TRIM(_xlfn.XLOOKUP(tblMovimientos[[#This Row],[Cuenta Bancaria]],Cuentas!$C:$C,Cuentas!$B:$B,""))</f>
        <v/>
      </c>
    </row>
    <row r="353" spans="1:18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0"/>
        <v>-2383.4899999999998</v>
      </c>
      <c r="L353" s="15" t="s">
        <v>128</v>
      </c>
      <c r="M353" s="44">
        <f>SUMIFS('Saldos Iniciales'!$D:$D,'Saldos Iniciales'!$A:$A,C353,'Saldos Iniciales'!$B:$B,D353)+SUMIFS($K$1:$K$1325,$C$1:$C$1325,C353,$D$1:$D$1325,D353,$B$1:$B$1325,"&lt;="&amp;B353)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  <c r="Q353" s="91" t="str">
        <f>IF(tblMovimientos[[#This Row],[Cuenta Bancaria]]="","",_xlfn.XLOOKUP(tblMovimientos[[#This Row],[Cuenta Bancaria]],Cuentas!$C:$C,Cuentas!$A:$A,"No encontrado"))</f>
        <v>SSP Group</v>
      </c>
      <c r="R353" s="91" t="str">
        <f>TRIM(_xlfn.XLOOKUP(tblMovimientos[[#This Row],[Cuenta Bancaria]],Cuentas!$C:$C,Cuentas!$B:$B,""))</f>
        <v/>
      </c>
    </row>
    <row r="354" spans="1:18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0"/>
        <v>12000</v>
      </c>
      <c r="L354" s="15" t="s">
        <v>128</v>
      </c>
      <c r="M354" s="44">
        <f>SUMIFS('Saldos Iniciales'!$D:$D,'Saldos Iniciales'!$A:$A,C354,'Saldos Iniciales'!$B:$B,D354)+SUMIFS($K$1:$K$1325,$C$1:$C$1325,C354,$D$1:$D$1325,D354,$B$1:$B$1325,"&lt;="&amp;B354)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  <c r="Q354" s="91" t="str">
        <f>IF(tblMovimientos[[#This Row],[Cuenta Bancaria]]="","",_xlfn.XLOOKUP(tblMovimientos[[#This Row],[Cuenta Bancaria]],Cuentas!$C:$C,Cuentas!$A:$A,"No encontrado"))</f>
        <v>SSP Group</v>
      </c>
      <c r="R354" s="91" t="str">
        <f>TRIM(_xlfn.XLOOKUP(tblMovimientos[[#This Row],[Cuenta Bancaria]],Cuentas!$C:$C,Cuentas!$B:$B,""))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0"/>
        <v>-2200</v>
      </c>
      <c r="L355" s="15" t="s">
        <v>128</v>
      </c>
      <c r="M355" s="44">
        <f>SUMIFS('Saldos Iniciales'!$D:$D,'Saldos Iniciales'!$A:$A,C355,'Saldos Iniciales'!$B:$B,D355)+SUMIFS($K$1:$K$1325,$C$1:$C$1325,C355,$D$1:$D$1325,D355,$B$1:$B$1325,"&lt;="&amp;B355)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  <c r="Q355" s="91" t="str">
        <f>IF(tblMovimientos[[#This Row],[Cuenta Bancaria]]="","",_xlfn.XLOOKUP(tblMovimientos[[#This Row],[Cuenta Bancaria]],Cuentas!$C:$C,Cuentas!$A:$A,"No encontrado"))</f>
        <v>SSP Group</v>
      </c>
      <c r="R355" s="91" t="str">
        <f>TRIM(_xlfn.XLOOKUP(tblMovimientos[[#This Row],[Cuenta Bancaria]],Cuentas!$C:$C,Cuentas!$B:$B,""))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0"/>
        <v>-900</v>
      </c>
      <c r="L356" s="15" t="s">
        <v>128</v>
      </c>
      <c r="M356" s="44">
        <f>SUMIFS('Saldos Iniciales'!$D:$D,'Saldos Iniciales'!$A:$A,C356,'Saldos Iniciales'!$B:$B,D356)+SUMIFS($K$1:$K$1325,$C$1:$C$1325,C356,$D$1:$D$1325,D356,$B$1:$B$1325,"&lt;="&amp;B356)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  <c r="Q356" s="91" t="str">
        <f>IF(tblMovimientos[[#This Row],[Cuenta Bancaria]]="","",_xlfn.XLOOKUP(tblMovimientos[[#This Row],[Cuenta Bancaria]],Cuentas!$C:$C,Cuentas!$A:$A,"No encontrado"))</f>
        <v>SSP Group</v>
      </c>
      <c r="R356" s="91" t="str">
        <f>TRIM(_xlfn.XLOOKUP(tblMovimientos[[#This Row],[Cuenta Bancaria]],Cuentas!$C:$C,Cuentas!$B:$B,""))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0"/>
        <v>-30</v>
      </c>
      <c r="L357" s="15" t="s">
        <v>128</v>
      </c>
      <c r="M357" s="44">
        <f>SUMIFS('Saldos Iniciales'!$D:$D,'Saldos Iniciales'!$A:$A,C357,'Saldos Iniciales'!$B:$B,D357)+SUMIFS($K$1:$K$1325,$C$1:$C$1325,C357,$D$1:$D$1325,D357,$B$1:$B$1325,"&lt;="&amp;B357)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  <c r="Q357" s="91" t="str">
        <f>IF(tblMovimientos[[#This Row],[Cuenta Bancaria]]="","",_xlfn.XLOOKUP(tblMovimientos[[#This Row],[Cuenta Bancaria]],Cuentas!$C:$C,Cuentas!$A:$A,"No encontrado"))</f>
        <v>SSP Group</v>
      </c>
      <c r="R357" s="91" t="str">
        <f>TRIM(_xlfn.XLOOKUP(tblMovimientos[[#This Row],[Cuenta Bancaria]],Cuentas!$C:$C,Cuentas!$B:$B,""))</f>
        <v/>
      </c>
    </row>
    <row r="358" spans="1:18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0"/>
        <v>-166.66</v>
      </c>
      <c r="L358" s="15" t="s">
        <v>128</v>
      </c>
      <c r="M358" s="44">
        <f>SUMIFS('Saldos Iniciales'!$D:$D,'Saldos Iniciales'!$A:$A,C358,'Saldos Iniciales'!$B:$B,D358)+SUMIFS($K$1:$K$1325,$C$1:$C$1325,C358,$D$1:$D$1325,D358,$B$1:$B$1325,"&lt;="&amp;B358)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  <c r="Q358" s="91" t="str">
        <f>IF(tblMovimientos[[#This Row],[Cuenta Bancaria]]="","",_xlfn.XLOOKUP(tblMovimientos[[#This Row],[Cuenta Bancaria]],Cuentas!$C:$C,Cuentas!$A:$A,"No encontrado"))</f>
        <v>SSP Group</v>
      </c>
      <c r="R358" s="91" t="str">
        <f>TRIM(_xlfn.XLOOKUP(tblMovimientos[[#This Row],[Cuenta Bancaria]],Cuentas!$C:$C,Cuentas!$B:$B,""))</f>
        <v/>
      </c>
    </row>
    <row r="359" spans="1:18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0"/>
        <v>-737.04</v>
      </c>
      <c r="L359" s="15" t="s">
        <v>128</v>
      </c>
      <c r="M359" s="44">
        <f>SUMIFS('Saldos Iniciales'!$D:$D,'Saldos Iniciales'!$A:$A,C359,'Saldos Iniciales'!$B:$B,D359)+SUMIFS($K$1:$K$1325,$C$1:$C$1325,C359,$D$1:$D$1325,D359,$B$1:$B$1325,"&lt;="&amp;B359)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  <c r="Q359" s="91" t="str">
        <f>IF(tblMovimientos[[#This Row],[Cuenta Bancaria]]="","",_xlfn.XLOOKUP(tblMovimientos[[#This Row],[Cuenta Bancaria]],Cuentas!$C:$C,Cuentas!$A:$A,"No encontrado"))</f>
        <v>SSP Group</v>
      </c>
      <c r="R359" s="91" t="str">
        <f>TRIM(_xlfn.XLOOKUP(tblMovimientos[[#This Row],[Cuenta Bancaria]],Cuentas!$C:$C,Cuentas!$B:$B,""))</f>
        <v/>
      </c>
    </row>
    <row r="360" spans="1:18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0"/>
        <v>-91</v>
      </c>
      <c r="L360" s="15" t="s">
        <v>128</v>
      </c>
      <c r="M360" s="44">
        <f>SUMIFS('Saldos Iniciales'!$D:$D,'Saldos Iniciales'!$A:$A,C360,'Saldos Iniciales'!$B:$B,D360)+SUMIFS($K$1:$K$1325,$C$1:$C$1325,C360,$D$1:$D$1325,D360,$B$1:$B$1325,"&lt;="&amp;B360)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  <c r="Q360" s="91" t="str">
        <f>IF(tblMovimientos[[#This Row],[Cuenta Bancaria]]="","",_xlfn.XLOOKUP(tblMovimientos[[#This Row],[Cuenta Bancaria]],Cuentas!$C:$C,Cuentas!$A:$A,"No encontrado"))</f>
        <v>SSP Group</v>
      </c>
      <c r="R360" s="91" t="str">
        <f>TRIM(_xlfn.XLOOKUP(tblMovimientos[[#This Row],[Cuenta Bancaria]],Cuentas!$C:$C,Cuentas!$B:$B,""))</f>
        <v/>
      </c>
    </row>
    <row r="361" spans="1:18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0"/>
        <v>1250</v>
      </c>
      <c r="L361" s="15" t="s">
        <v>128</v>
      </c>
      <c r="M361" s="44">
        <f>SUMIFS('Saldos Iniciales'!$D:$D,'Saldos Iniciales'!$A:$A,C361,'Saldos Iniciales'!$B:$B,D361)+SUMIFS($K$1:$K$1325,$C$1:$C$1325,C361,$D$1:$D$1325,D361,$B$1:$B$1325,"&lt;="&amp;B361)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  <c r="Q361" s="91" t="str">
        <f>IF(tblMovimientos[[#This Row],[Cuenta Bancaria]]="","",_xlfn.XLOOKUP(tblMovimientos[[#This Row],[Cuenta Bancaria]],Cuentas!$C:$C,Cuentas!$A:$A,"No encontrado"))</f>
        <v>SSP Group</v>
      </c>
      <c r="R361" s="91" t="str">
        <f>TRIM(_xlfn.XLOOKUP(tblMovimientos[[#This Row],[Cuenta Bancaria]],Cuentas!$C:$C,Cuentas!$B:$B,""))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0"/>
        <v>114973.39</v>
      </c>
      <c r="L362" s="15" t="s">
        <v>128</v>
      </c>
      <c r="M362" s="44">
        <f>SUMIFS('Saldos Iniciales'!$D:$D,'Saldos Iniciales'!$A:$A,C362,'Saldos Iniciales'!$B:$B,D362)+SUMIFS($K$1:$K$1325,$C$1:$C$1325,C362,$D$1:$D$1325,D362,$B$1:$B$1325,"&lt;="&amp;B362)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  <c r="Q362" s="91" t="str">
        <f>IF(tblMovimientos[[#This Row],[Cuenta Bancaria]]="","",_xlfn.XLOOKUP(tblMovimientos[[#This Row],[Cuenta Bancaria]],Cuentas!$C:$C,Cuentas!$A:$A,"No encontrado"))</f>
        <v>SSP Group</v>
      </c>
      <c r="R362" s="91" t="str">
        <f>TRIM(_xlfn.XLOOKUP(tblMovimientos[[#This Row],[Cuenta Bancaria]],Cuentas!$C:$C,Cuentas!$B:$B,""))</f>
        <v/>
      </c>
    </row>
    <row r="363" spans="1:18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0"/>
        <v>6400000</v>
      </c>
      <c r="L363" s="15" t="s">
        <v>128</v>
      </c>
      <c r="M363" s="58">
        <f>SUMIFS('Saldos Iniciales'!$D:$D,'Saldos Iniciales'!$A:$A,C363,'Saldos Iniciales'!$B:$B,D363)+SUMIFS($K$1:$K$1325,$C$1:$C$1325,C363,$D$1:$D$1325,D363,$B$1:$B$1325,"&lt;="&amp;B363)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  <c r="Q363" s="91" t="str">
        <f>IF(tblMovimientos[[#This Row],[Cuenta Bancaria]]="","",_xlfn.XLOOKUP(tblMovimientos[[#This Row],[Cuenta Bancaria]],Cuentas!$C:$C,Cuentas!$A:$A,"No encontrado"))</f>
        <v>SSP Group</v>
      </c>
      <c r="R363" s="91" t="str">
        <f>TRIM(_xlfn.XLOOKUP(tblMovimientos[[#This Row],[Cuenta Bancaria]],Cuentas!$C:$C,Cuentas!$B:$B,""))</f>
        <v/>
      </c>
    </row>
    <row r="364" spans="1:18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0"/>
        <v>-224.68</v>
      </c>
      <c r="L364" s="15" t="s">
        <v>128</v>
      </c>
      <c r="M364" s="44">
        <f>SUMIFS('Saldos Iniciales'!$D:$D,'Saldos Iniciales'!$A:$A,C364,'Saldos Iniciales'!$B:$B,D364)+SUMIFS($K$1:$K$1325,$C$1:$C$1325,C364,$D$1:$D$1325,D364,$B$1:$B$1325,"&lt;="&amp;B364)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  <c r="Q364" s="91" t="str">
        <f>IF(tblMovimientos[[#This Row],[Cuenta Bancaria]]="","",_xlfn.XLOOKUP(tblMovimientos[[#This Row],[Cuenta Bancaria]],Cuentas!$C:$C,Cuentas!$A:$A,"No encontrado"))</f>
        <v>SSP Group</v>
      </c>
      <c r="R364" s="91" t="str">
        <f>TRIM(_xlfn.XLOOKUP(tblMovimientos[[#This Row],[Cuenta Bancaria]],Cuentas!$C:$C,Cuentas!$B:$B,""))</f>
        <v/>
      </c>
    </row>
    <row r="365" spans="1:18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0"/>
        <v>-42.79</v>
      </c>
      <c r="L365" s="15" t="s">
        <v>128</v>
      </c>
      <c r="M365" s="44">
        <f>SUMIFS('Saldos Iniciales'!$D:$D,'Saldos Iniciales'!$A:$A,C365,'Saldos Iniciales'!$B:$B,D365)+SUMIFS($K$1:$K$1325,$C$1:$C$1325,C365,$D$1:$D$1325,D365,$B$1:$B$1325,"&lt;="&amp;B365)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  <c r="Q365" s="91" t="str">
        <f>IF(tblMovimientos[[#This Row],[Cuenta Bancaria]]="","",_xlfn.XLOOKUP(tblMovimientos[[#This Row],[Cuenta Bancaria]],Cuentas!$C:$C,Cuentas!$A:$A,"No encontrado"))</f>
        <v>SSP Group</v>
      </c>
      <c r="R365" s="91" t="str">
        <f>TRIM(_xlfn.XLOOKUP(tblMovimientos[[#This Row],[Cuenta Bancaria]],Cuentas!$C:$C,Cuentas!$B:$B,""))</f>
        <v/>
      </c>
    </row>
    <row r="366" spans="1:18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0"/>
        <v>-42.79</v>
      </c>
      <c r="L366" s="15" t="s">
        <v>128</v>
      </c>
      <c r="M366" s="58">
        <f>SUMIFS('Saldos Iniciales'!$D:$D,'Saldos Iniciales'!$A:$A,C366,'Saldos Iniciales'!$B:$B,D366)+SUMIFS($K$1:$K$1325,$C$1:$C$1325,C366,$D$1:$D$1325,D366,$B$1:$B$1325,"&lt;="&amp;B366)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  <c r="Q366" s="91" t="str">
        <f>IF(tblMovimientos[[#This Row],[Cuenta Bancaria]]="","",_xlfn.XLOOKUP(tblMovimientos[[#This Row],[Cuenta Bancaria]],Cuentas!$C:$C,Cuentas!$A:$A,"No encontrado"))</f>
        <v>SSP Group</v>
      </c>
      <c r="R366" s="91" t="str">
        <f>TRIM(_xlfn.XLOOKUP(tblMovimientos[[#This Row],[Cuenta Bancaria]],Cuentas!$C:$C,Cuentas!$B:$B,""))</f>
        <v/>
      </c>
    </row>
    <row r="367" spans="1:18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0"/>
        <v>-42.79</v>
      </c>
      <c r="L367" s="15" t="s">
        <v>128</v>
      </c>
      <c r="M367" s="44">
        <f>SUMIFS('Saldos Iniciales'!$D:$D,'Saldos Iniciales'!$A:$A,C367,'Saldos Iniciales'!$B:$B,D367)+SUMIFS($K$1:$K$1325,$C$1:$C$1325,C367,$D$1:$D$1325,D367,$B$1:$B$1325,"&lt;="&amp;B367)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  <c r="Q367" s="91" t="str">
        <f>IF(tblMovimientos[[#This Row],[Cuenta Bancaria]]="","",_xlfn.XLOOKUP(tblMovimientos[[#This Row],[Cuenta Bancaria]],Cuentas!$C:$C,Cuentas!$A:$A,"No encontrado"))</f>
        <v>SSP Group</v>
      </c>
      <c r="R367" s="91" t="str">
        <f>TRIM(_xlfn.XLOOKUP(tblMovimientos[[#This Row],[Cuenta Bancaria]],Cuentas!$C:$C,Cuentas!$B:$B,""))</f>
        <v/>
      </c>
    </row>
    <row r="368" spans="1:18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0"/>
        <v>62409.45</v>
      </c>
      <c r="L368" s="15" t="s">
        <v>128</v>
      </c>
      <c r="M368" s="44">
        <f>SUMIFS('Saldos Iniciales'!$D:$D,'Saldos Iniciales'!$A:$A,C368,'Saldos Iniciales'!$B:$B,D368)+SUMIFS($K$1:$K$1325,$C$1:$C$1325,C368,$D$1:$D$1325,D368,$B$1:$B$1325,"&lt;="&amp;B368)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  <c r="Q368" s="91" t="str">
        <f>IF(tblMovimientos[[#This Row],[Cuenta Bancaria]]="","",_xlfn.XLOOKUP(tblMovimientos[[#This Row],[Cuenta Bancaria]],Cuentas!$C:$C,Cuentas!$A:$A,"No encontrado"))</f>
        <v>SSP Group</v>
      </c>
      <c r="R368" s="91" t="str">
        <f>TRIM(_xlfn.XLOOKUP(tblMovimientos[[#This Row],[Cuenta Bancaria]],Cuentas!$C:$C,Cuentas!$B:$B,""))</f>
        <v/>
      </c>
    </row>
    <row r="369" spans="1:18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0"/>
        <v>23134.93</v>
      </c>
      <c r="L369" s="15" t="s">
        <v>128</v>
      </c>
      <c r="M369" s="44">
        <f>SUMIFS('Saldos Iniciales'!$D:$D,'Saldos Iniciales'!$A:$A,C369,'Saldos Iniciales'!$B:$B,D369)+SUMIFS($K$1:$K$1325,$C$1:$C$1325,C369,$D$1:$D$1325,D369,$B$1:$B$1325,"&lt;="&amp;B369)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  <c r="Q369" s="91" t="str">
        <f>IF(tblMovimientos[[#This Row],[Cuenta Bancaria]]="","",_xlfn.XLOOKUP(tblMovimientos[[#This Row],[Cuenta Bancaria]],Cuentas!$C:$C,Cuentas!$A:$A,"No encontrado"))</f>
        <v>SSP Group</v>
      </c>
      <c r="R369" s="91" t="str">
        <f>TRIM(_xlfn.XLOOKUP(tblMovimientos[[#This Row],[Cuenta Bancaria]],Cuentas!$C:$C,Cuentas!$B:$B,""))</f>
        <v>Cross Security Trust</v>
      </c>
    </row>
    <row r="370" spans="1:18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33" si="1">IF(F370="Ingreso",J370,-J370)</f>
        <v>5726.99</v>
      </c>
      <c r="L370" s="15" t="s">
        <v>128</v>
      </c>
      <c r="M370" s="44">
        <f>SUMIFS('Saldos Iniciales'!$D:$D,'Saldos Iniciales'!$A:$A,C370,'Saldos Iniciales'!$B:$B,D370)+SUMIFS($K$1:$K$1325,$C$1:$C$1325,C370,$D$1:$D$1325,D370,$B$1:$B$1325,"&lt;="&amp;B370)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  <c r="Q370" s="91" t="str">
        <f>IF(tblMovimientos[[#This Row],[Cuenta Bancaria]]="","",_xlfn.XLOOKUP(tblMovimientos[[#This Row],[Cuenta Bancaria]],Cuentas!$C:$C,Cuentas!$A:$A,"No encontrado"))</f>
        <v>SSP Group</v>
      </c>
      <c r="R370" s="91" t="str">
        <f>TRIM(_xlfn.XLOOKUP(tblMovimientos[[#This Row],[Cuenta Bancaria]],Cuentas!$C:$C,Cuentas!$B:$B,""))</f>
        <v>Cross Security Trust</v>
      </c>
    </row>
    <row r="371" spans="1:18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1"/>
        <v>67069.119999999995</v>
      </c>
      <c r="L371" s="15" t="s">
        <v>128</v>
      </c>
      <c r="M371" s="44">
        <f>SUMIFS('Saldos Iniciales'!$D:$D,'Saldos Iniciales'!$A:$A,C371,'Saldos Iniciales'!$B:$B,D371)+SUMIFS($K$1:$K$1325,$C$1:$C$1325,C371,$D$1:$D$1325,D371,$B$1:$B$1325,"&lt;="&amp;B371)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  <c r="Q371" s="91" t="str">
        <f>IF(tblMovimientos[[#This Row],[Cuenta Bancaria]]="","",_xlfn.XLOOKUP(tblMovimientos[[#This Row],[Cuenta Bancaria]],Cuentas!$C:$C,Cuentas!$A:$A,"No encontrado"))</f>
        <v>SSP Group</v>
      </c>
      <c r="R371" s="91" t="str">
        <f>TRIM(_xlfn.XLOOKUP(tblMovimientos[[#This Row],[Cuenta Bancaria]],Cuentas!$C:$C,Cuentas!$B:$B,""))</f>
        <v/>
      </c>
    </row>
    <row r="372" spans="1:18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1"/>
        <v>457.74</v>
      </c>
      <c r="L372" s="15" t="s">
        <v>128</v>
      </c>
      <c r="M372" s="58">
        <f>SUMIFS('Saldos Iniciales'!$D:$D,'Saldos Iniciales'!$A:$A,C372,'Saldos Iniciales'!$B:$B,D372)+SUMIFS($K$1:$K$1325,$C$1:$C$1325,C372,$D$1:$D$1325,D372,$B$1:$B$1325,"&lt;="&amp;B372)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  <c r="Q372" s="91" t="str">
        <f>IF(tblMovimientos[[#This Row],[Cuenta Bancaria]]="","",_xlfn.XLOOKUP(tblMovimientos[[#This Row],[Cuenta Bancaria]],Cuentas!$C:$C,Cuentas!$A:$A,"No encontrado"))</f>
        <v>SSP Group</v>
      </c>
      <c r="R372" s="91" t="str">
        <f>TRIM(_xlfn.XLOOKUP(tblMovimientos[[#This Row],[Cuenta Bancaria]],Cuentas!$C:$C,Cuentas!$B:$B,""))</f>
        <v/>
      </c>
    </row>
    <row r="373" spans="1:18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1"/>
        <v>2552.06</v>
      </c>
      <c r="L373" s="15" t="s">
        <v>128</v>
      </c>
      <c r="M373" s="44">
        <f>SUMIFS('Saldos Iniciales'!$D:$D,'Saldos Iniciales'!$A:$A,C373,'Saldos Iniciales'!$B:$B,D373)+SUMIFS($K$1:$K$1325,$C$1:$C$1325,C373,$D$1:$D$1325,D373,$B$1:$B$1325,"&lt;="&amp;B373)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  <c r="Q373" s="91" t="str">
        <f>IF(tblMovimientos[[#This Row],[Cuenta Bancaria]]="","",_xlfn.XLOOKUP(tblMovimientos[[#This Row],[Cuenta Bancaria]],Cuentas!$C:$C,Cuentas!$A:$A,"No encontrado"))</f>
        <v>SSP Group</v>
      </c>
      <c r="R373" s="91" t="str">
        <f>TRIM(_xlfn.XLOOKUP(tblMovimientos[[#This Row],[Cuenta Bancaria]],Cuentas!$C:$C,Cuentas!$B:$B,""))</f>
        <v/>
      </c>
    </row>
    <row r="374" spans="1:18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1"/>
        <v>-60000</v>
      </c>
      <c r="L374" s="15" t="s">
        <v>128</v>
      </c>
      <c r="M374" s="44">
        <f>SUMIFS('Saldos Iniciales'!$D:$D,'Saldos Iniciales'!$A:$A,C374,'Saldos Iniciales'!$B:$B,D374)+SUMIFS($K$1:$K$1325,$C$1:$C$1325,C374,$D$1:$D$1325,D374,$B$1:$B$1325,"&lt;="&amp;B374)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  <c r="Q374" s="91" t="str">
        <f>IF(tblMovimientos[[#This Row],[Cuenta Bancaria]]="","",_xlfn.XLOOKUP(tblMovimientos[[#This Row],[Cuenta Bancaria]],Cuentas!$C:$C,Cuentas!$A:$A,"No encontrado"))</f>
        <v>SSP Group</v>
      </c>
      <c r="R374" s="91" t="str">
        <f>TRIM(_xlfn.XLOOKUP(tblMovimientos[[#This Row],[Cuenta Bancaria]],Cuentas!$C:$C,Cuentas!$B:$B,""))</f>
        <v>Cross Security Trust</v>
      </c>
    </row>
    <row r="375" spans="1:18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1"/>
        <v>-150000</v>
      </c>
      <c r="L375" s="15" t="s">
        <v>128</v>
      </c>
      <c r="M375" s="44">
        <f>SUMIFS('Saldos Iniciales'!$D:$D,'Saldos Iniciales'!$A:$A,C375,'Saldos Iniciales'!$B:$B,D375)+SUMIFS($K$1:$K$1325,$C$1:$C$1325,C375,$D$1:$D$1325,D375,$B$1:$B$1325,"&lt;="&amp;B375)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  <c r="Q375" s="91" t="str">
        <f>IF(tblMovimientos[[#This Row],[Cuenta Bancaria]]="","",_xlfn.XLOOKUP(tblMovimientos[[#This Row],[Cuenta Bancaria]],Cuentas!$C:$C,Cuentas!$A:$A,"No encontrado"))</f>
        <v>SSP Group</v>
      </c>
      <c r="R375" s="91" t="str">
        <f>TRIM(_xlfn.XLOOKUP(tblMovimientos[[#This Row],[Cuenta Bancaria]],Cuentas!$C:$C,Cuentas!$B:$B,""))</f>
        <v/>
      </c>
    </row>
    <row r="376" spans="1:18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1"/>
        <v>-12000</v>
      </c>
      <c r="L376" s="15" t="s">
        <v>128</v>
      </c>
      <c r="M376" s="44">
        <f>SUMIFS('Saldos Iniciales'!$D:$D,'Saldos Iniciales'!$A:$A,C376,'Saldos Iniciales'!$B:$B,D376)+SUMIFS($K$1:$K$1325,$C$1:$C$1325,C376,$D$1:$D$1325,D376,$B$1:$B$1325,"&lt;="&amp;B376)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  <c r="Q376" s="91" t="str">
        <f>IF(tblMovimientos[[#This Row],[Cuenta Bancaria]]="","",_xlfn.XLOOKUP(tblMovimientos[[#This Row],[Cuenta Bancaria]],Cuentas!$C:$C,Cuentas!$A:$A,"No encontrado"))</f>
        <v>SSP Group</v>
      </c>
      <c r="R376" s="91" t="str">
        <f>TRIM(_xlfn.XLOOKUP(tblMovimientos[[#This Row],[Cuenta Bancaria]],Cuentas!$C:$C,Cuentas!$B:$B,""))</f>
        <v/>
      </c>
    </row>
    <row r="377" spans="1:18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1"/>
        <v>12000</v>
      </c>
      <c r="L377" s="15" t="s">
        <v>128</v>
      </c>
      <c r="M377" s="44">
        <f>SUMIFS('Saldos Iniciales'!$D:$D,'Saldos Iniciales'!$A:$A,C377,'Saldos Iniciales'!$B:$B,D377)+SUMIFS($K$1:$K$1325,$C$1:$C$1325,C377,$D$1:$D$1325,D377,$B$1:$B$1325,"&lt;="&amp;B377)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  <c r="Q377" s="91" t="str">
        <f>IF(tblMovimientos[[#This Row],[Cuenta Bancaria]]="","",_xlfn.XLOOKUP(tblMovimientos[[#This Row],[Cuenta Bancaria]],Cuentas!$C:$C,Cuentas!$A:$A,"No encontrado"))</f>
        <v>SSP Group</v>
      </c>
      <c r="R377" s="91" t="str">
        <f>TRIM(_xlfn.XLOOKUP(tblMovimientos[[#This Row],[Cuenta Bancaria]],Cuentas!$C:$C,Cuentas!$B:$B,""))</f>
        <v/>
      </c>
    </row>
    <row r="378" spans="1:18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1"/>
        <v>-207.75</v>
      </c>
      <c r="L378" s="15" t="s">
        <v>128</v>
      </c>
      <c r="M378" s="58">
        <f>SUMIFS('Saldos Iniciales'!$D:$D,'Saldos Iniciales'!$A:$A,C378,'Saldos Iniciales'!$B:$B,D378)+SUMIFS($K$1:$K$1325,$C$1:$C$1325,C378,$D$1:$D$1325,D378,$B$1:$B$1325,"&lt;="&amp;B378)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  <c r="Q378" s="91" t="str">
        <f>IF(tblMovimientos[[#This Row],[Cuenta Bancaria]]="","",_xlfn.XLOOKUP(tblMovimientos[[#This Row],[Cuenta Bancaria]],Cuentas!$C:$C,Cuentas!$A:$A,"No encontrado"))</f>
        <v>SSP Group</v>
      </c>
      <c r="R378" s="91" t="str">
        <f>TRIM(_xlfn.XLOOKUP(tblMovimientos[[#This Row],[Cuenta Bancaria]],Cuentas!$C:$C,Cuentas!$B:$B,""))</f>
        <v/>
      </c>
    </row>
    <row r="379" spans="1:18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1"/>
        <v>10000</v>
      </c>
      <c r="L379" s="15" t="s">
        <v>128</v>
      </c>
      <c r="M379" s="44">
        <f>SUMIFS('Saldos Iniciales'!$D:$D,'Saldos Iniciales'!$A:$A,C379,'Saldos Iniciales'!$B:$B,D379)+SUMIFS($K$1:$K$1325,$C$1:$C$1325,C379,$D$1:$D$1325,D379,$B$1:$B$1325,"&lt;="&amp;B379)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  <c r="Q379" s="91" t="str">
        <f>IF(tblMovimientos[[#This Row],[Cuenta Bancaria]]="","",_xlfn.XLOOKUP(tblMovimientos[[#This Row],[Cuenta Bancaria]],Cuentas!$C:$C,Cuentas!$A:$A,"No encontrado"))</f>
        <v>SSP Group</v>
      </c>
      <c r="R379" s="91" t="str">
        <f>TRIM(_xlfn.XLOOKUP(tblMovimientos[[#This Row],[Cuenta Bancaria]],Cuentas!$C:$C,Cuentas!$B:$B,""))</f>
        <v/>
      </c>
    </row>
    <row r="380" spans="1:18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1"/>
        <v>150000</v>
      </c>
      <c r="L380" s="15" t="s">
        <v>128</v>
      </c>
      <c r="M380" s="44">
        <f>SUMIFS('Saldos Iniciales'!$D:$D,'Saldos Iniciales'!$A:$A,C380,'Saldos Iniciales'!$B:$B,D380)+SUMIFS($K$1:$K$1325,$C$1:$C$1325,C380,$D$1:$D$1325,D380,$B$1:$B$1325,"&lt;="&amp;B380)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  <c r="Q380" s="91" t="str">
        <f>IF(tblMovimientos[[#This Row],[Cuenta Bancaria]]="","",_xlfn.XLOOKUP(tblMovimientos[[#This Row],[Cuenta Bancaria]],Cuentas!$C:$C,Cuentas!$A:$A,"No encontrado"))</f>
        <v>SSP Group</v>
      </c>
      <c r="R380" s="91" t="str">
        <f>TRIM(_xlfn.XLOOKUP(tblMovimientos[[#This Row],[Cuenta Bancaria]],Cuentas!$C:$C,Cuentas!$B:$B,""))</f>
        <v/>
      </c>
    </row>
    <row r="381" spans="1:18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1"/>
        <v>500000</v>
      </c>
      <c r="L381" s="15" t="s">
        <v>128</v>
      </c>
      <c r="M381" s="44">
        <f>SUMIFS('Saldos Iniciales'!$D:$D,'Saldos Iniciales'!$A:$A,C381,'Saldos Iniciales'!$B:$B,D381)+SUMIFS($K$1:$K$1325,$C$1:$C$1325,C381,$D$1:$D$1325,D381,$B$1:$B$1325,"&lt;="&amp;B381)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  <c r="Q381" s="91" t="str">
        <f>IF(tblMovimientos[[#This Row],[Cuenta Bancaria]]="","",_xlfn.XLOOKUP(tblMovimientos[[#This Row],[Cuenta Bancaria]],Cuentas!$C:$C,Cuentas!$A:$A,"No encontrado"))</f>
        <v>SSP Group</v>
      </c>
      <c r="R381" s="91" t="str">
        <f>TRIM(_xlfn.XLOOKUP(tblMovimientos[[#This Row],[Cuenta Bancaria]],Cuentas!$C:$C,Cuentas!$B:$B,""))</f>
        <v/>
      </c>
    </row>
    <row r="382" spans="1:18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1"/>
        <v>-10000</v>
      </c>
      <c r="L382" s="15" t="s">
        <v>128</v>
      </c>
      <c r="M382" s="44">
        <f>SUMIFS('Saldos Iniciales'!$D:$D,'Saldos Iniciales'!$A:$A,C382,'Saldos Iniciales'!$B:$B,D382)+SUMIFS($K$1:$K$1325,$C$1:$C$1325,C382,$D$1:$D$1325,D382,$B$1:$B$1325,"&lt;="&amp;B382)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  <c r="Q382" s="91" t="str">
        <f>IF(tblMovimientos[[#This Row],[Cuenta Bancaria]]="","",_xlfn.XLOOKUP(tblMovimientos[[#This Row],[Cuenta Bancaria]],Cuentas!$C:$C,Cuentas!$A:$A,"No encontrado"))</f>
        <v>SSP Group</v>
      </c>
      <c r="R382" s="91" t="str">
        <f>TRIM(_xlfn.XLOOKUP(tblMovimientos[[#This Row],[Cuenta Bancaria]],Cuentas!$C:$C,Cuentas!$B:$B,""))</f>
        <v/>
      </c>
    </row>
    <row r="383" spans="1:18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1"/>
        <v>-10833.33</v>
      </c>
      <c r="L383" s="15" t="s">
        <v>128</v>
      </c>
      <c r="M383" s="44">
        <f>SUMIFS('Saldos Iniciales'!$D:$D,'Saldos Iniciales'!$A:$A,C383,'Saldos Iniciales'!$B:$B,D383)+SUMIFS($K$1:$K$1325,$C$1:$C$1325,C383,$D$1:$D$1325,D383,$B$1:$B$1325,"&lt;="&amp;B383)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  <c r="Q383" s="91" t="str">
        <f>IF(tblMovimientos[[#This Row],[Cuenta Bancaria]]="","",_xlfn.XLOOKUP(tblMovimientos[[#This Row],[Cuenta Bancaria]],Cuentas!$C:$C,Cuentas!$A:$A,"No encontrado"))</f>
        <v>SSP Group</v>
      </c>
      <c r="R383" s="91" t="str">
        <f>TRIM(_xlfn.XLOOKUP(tblMovimientos[[#This Row],[Cuenta Bancaria]],Cuentas!$C:$C,Cuentas!$B:$B,""))</f>
        <v/>
      </c>
    </row>
    <row r="384" spans="1:18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1"/>
        <v>-71041.67</v>
      </c>
      <c r="L384" s="15" t="s">
        <v>128</v>
      </c>
      <c r="M384" s="58">
        <f>SUMIFS('Saldos Iniciales'!$D:$D,'Saldos Iniciales'!$A:$A,C384,'Saldos Iniciales'!$B:$B,D384)+SUMIFS($K$1:$K$1325,$C$1:$C$1325,C384,$D$1:$D$1325,D384,$B$1:$B$1325,"&lt;="&amp;B384)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  <c r="Q384" s="91" t="str">
        <f>IF(tblMovimientos[[#This Row],[Cuenta Bancaria]]="","",_xlfn.XLOOKUP(tblMovimientos[[#This Row],[Cuenta Bancaria]],Cuentas!$C:$C,Cuentas!$A:$A,"No encontrado"))</f>
        <v>SSP Group</v>
      </c>
      <c r="R384" s="91" t="str">
        <f>TRIM(_xlfn.XLOOKUP(tblMovimientos[[#This Row],[Cuenta Bancaria]],Cuentas!$C:$C,Cuentas!$B:$B,""))</f>
        <v/>
      </c>
    </row>
    <row r="385" spans="2:18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1"/>
        <v>-1850000</v>
      </c>
      <c r="L385" s="15" t="s">
        <v>128</v>
      </c>
      <c r="M385" s="44">
        <f>SUMIFS('Saldos Iniciales'!$D:$D,'Saldos Iniciales'!$A:$A,C385,'Saldos Iniciales'!$B:$B,D385)+SUMIFS($K$1:$K$1325,$C$1:$C$1325,C385,$D$1:$D$1325,D385,$B$1:$B$1325,"&lt;="&amp;B385)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  <c r="Q385" s="91" t="str">
        <f>IF(tblMovimientos[[#This Row],[Cuenta Bancaria]]="","",_xlfn.XLOOKUP(tblMovimientos[[#This Row],[Cuenta Bancaria]],Cuentas!$C:$C,Cuentas!$A:$A,"No encontrado"))</f>
        <v>SSP Group</v>
      </c>
      <c r="R385" s="91" t="str">
        <f>TRIM(_xlfn.XLOOKUP(tblMovimientos[[#This Row],[Cuenta Bancaria]],Cuentas!$C:$C,Cuentas!$B:$B,""))</f>
        <v/>
      </c>
    </row>
    <row r="386" spans="2:18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1"/>
        <v>150000</v>
      </c>
      <c r="L386" s="15" t="s">
        <v>128</v>
      </c>
      <c r="M386" s="44">
        <f>SUMIFS('Saldos Iniciales'!$D:$D,'Saldos Iniciales'!$A:$A,C386,'Saldos Iniciales'!$B:$B,D386)+SUMIFS($K$1:$K$1325,$C$1:$C$1325,C386,$D$1:$D$1325,D386,$B$1:$B$1325,"&lt;="&amp;B386)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  <c r="Q386" s="91" t="str">
        <f>IF(tblMovimientos[[#This Row],[Cuenta Bancaria]]="","",_xlfn.XLOOKUP(tblMovimientos[[#This Row],[Cuenta Bancaria]],Cuentas!$C:$C,Cuentas!$A:$A,"No encontrado"))</f>
        <v>Trust</v>
      </c>
      <c r="R386" s="91" t="str">
        <f>TRIM(_xlfn.XLOOKUP(tblMovimientos[[#This Row],[Cuenta Bancaria]],Cuentas!$C:$C,Cuentas!$B:$B,""))</f>
        <v/>
      </c>
    </row>
    <row r="387" spans="2:18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1"/>
        <v>2380000</v>
      </c>
      <c r="L387" s="15" t="s">
        <v>128</v>
      </c>
      <c r="M387" s="44">
        <f>SUMIFS('Saldos Iniciales'!$D:$D,'Saldos Iniciales'!$A:$A,C387,'Saldos Iniciales'!$B:$B,D387)+SUMIFS($K$1:$K$1325,$C$1:$C$1325,C387,$D$1:$D$1325,D387,$B$1:$B$1325,"&lt;="&amp;B387)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  <c r="Q387" s="91" t="str">
        <f>IF(tblMovimientos[[#This Row],[Cuenta Bancaria]]="","",_xlfn.XLOOKUP(tblMovimientos[[#This Row],[Cuenta Bancaria]],Cuentas!$C:$C,Cuentas!$A:$A,"No encontrado"))</f>
        <v>Trust</v>
      </c>
      <c r="R387" s="91" t="str">
        <f>TRIM(_xlfn.XLOOKUP(tblMovimientos[[#This Row],[Cuenta Bancaria]],Cuentas!$C:$C,Cuentas!$B:$B,""))</f>
        <v/>
      </c>
    </row>
    <row r="388" spans="2:18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1"/>
        <v>-150000</v>
      </c>
      <c r="L388" s="15" t="s">
        <v>128</v>
      </c>
      <c r="M388" s="44">
        <f>SUMIFS('Saldos Iniciales'!$D:$D,'Saldos Iniciales'!$A:$A,C388,'Saldos Iniciales'!$B:$B,D388)+SUMIFS($K$1:$K$1325,$C$1:$C$1325,C388,$D$1:$D$1325,D388,$B$1:$B$1325,"&lt;="&amp;B388)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  <c r="Q388" s="91" t="str">
        <f>IF(tblMovimientos[[#This Row],[Cuenta Bancaria]]="","",_xlfn.XLOOKUP(tblMovimientos[[#This Row],[Cuenta Bancaria]],Cuentas!$C:$C,Cuentas!$A:$A,"No encontrado"))</f>
        <v>Trust</v>
      </c>
      <c r="R388" s="91" t="str">
        <f>TRIM(_xlfn.XLOOKUP(tblMovimientos[[#This Row],[Cuenta Bancaria]],Cuentas!$C:$C,Cuentas!$B:$B,""))</f>
        <v/>
      </c>
    </row>
    <row r="389" spans="2:18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1"/>
        <v>-500000</v>
      </c>
      <c r="L389" s="15" t="s">
        <v>128</v>
      </c>
      <c r="M389" s="44">
        <f>SUMIFS('Saldos Iniciales'!$D:$D,'Saldos Iniciales'!$A:$A,C389,'Saldos Iniciales'!$B:$B,D389)+SUMIFS($K$1:$K$1325,$C$1:$C$1325,C389,$D$1:$D$1325,D389,$B$1:$B$1325,"&lt;="&amp;B389)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  <c r="Q389" s="91" t="str">
        <f>IF(tblMovimientos[[#This Row],[Cuenta Bancaria]]="","",_xlfn.XLOOKUP(tblMovimientos[[#This Row],[Cuenta Bancaria]],Cuentas!$C:$C,Cuentas!$A:$A,"No encontrado"))</f>
        <v>Trust</v>
      </c>
      <c r="R389" s="91" t="str">
        <f>TRIM(_xlfn.XLOOKUP(tblMovimientos[[#This Row],[Cuenta Bancaria]],Cuentas!$C:$C,Cuentas!$B:$B,""))</f>
        <v/>
      </c>
    </row>
    <row r="390" spans="2:18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1"/>
        <v>1850000</v>
      </c>
      <c r="L390" s="15" t="s">
        <v>128</v>
      </c>
      <c r="M390" s="58">
        <f>SUMIFS('Saldos Iniciales'!$D:$D,'Saldos Iniciales'!$A:$A,C390,'Saldos Iniciales'!$B:$B,D390)+SUMIFS($K$1:$K$1325,$C$1:$C$1325,C390,$D$1:$D$1325,D390,$B$1:$B$1325,"&lt;="&amp;B390)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  <c r="Q390" s="91" t="str">
        <f>IF(tblMovimientos[[#This Row],[Cuenta Bancaria]]="","",_xlfn.XLOOKUP(tblMovimientos[[#This Row],[Cuenta Bancaria]],Cuentas!$C:$C,Cuentas!$A:$A,"No encontrado"))</f>
        <v>SSP Group</v>
      </c>
      <c r="R390" s="91" t="str">
        <f>TRIM(_xlfn.XLOOKUP(tblMovimientos[[#This Row],[Cuenta Bancaria]],Cuentas!$C:$C,Cuentas!$B:$B,""))</f>
        <v/>
      </c>
    </row>
    <row r="391" spans="2:18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1"/>
        <v>-4071.45</v>
      </c>
      <c r="L391" s="15" t="s">
        <v>128</v>
      </c>
      <c r="M391" s="44">
        <f>SUMIFS('Saldos Iniciales'!$D:$D,'Saldos Iniciales'!$A:$A,C391,'Saldos Iniciales'!$B:$B,D391)+SUMIFS($K$1:$K$1325,$C$1:$C$1325,C391,$D$1:$D$1325,D391,$B$1:$B$1325,"&lt;="&amp;B391)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  <c r="Q391" s="91" t="str">
        <f>IF(tblMovimientos[[#This Row],[Cuenta Bancaria]]="","",_xlfn.XLOOKUP(tblMovimientos[[#This Row],[Cuenta Bancaria]],Cuentas!$C:$C,Cuentas!$A:$A,"No encontrado"))</f>
        <v>SSP Group</v>
      </c>
      <c r="R391" s="91" t="str">
        <f>TRIM(_xlfn.XLOOKUP(tblMovimientos[[#This Row],[Cuenta Bancaria]],Cuentas!$C:$C,Cuentas!$B:$B,""))</f>
        <v/>
      </c>
    </row>
    <row r="392" spans="2:18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1"/>
        <v>-8400</v>
      </c>
      <c r="L392" s="15" t="s">
        <v>128</v>
      </c>
      <c r="M392" s="44">
        <f>SUMIFS('Saldos Iniciales'!$D:$D,'Saldos Iniciales'!$A:$A,C392,'Saldos Iniciales'!$B:$B,D392)+SUMIFS($K$1:$K$1325,$C$1:$C$1325,C392,$D$1:$D$1325,D392,$B$1:$B$1325,"&lt;="&amp;B392)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  <c r="Q392" s="91" t="str">
        <f>IF(tblMovimientos[[#This Row],[Cuenta Bancaria]]="","",_xlfn.XLOOKUP(tblMovimientos[[#This Row],[Cuenta Bancaria]],Cuentas!$C:$C,Cuentas!$A:$A,"No encontrado"))</f>
        <v>SSP Group</v>
      </c>
      <c r="R392" s="91" t="str">
        <f>TRIM(_xlfn.XLOOKUP(tblMovimientos[[#This Row],[Cuenta Bancaria]],Cuentas!$C:$C,Cuentas!$B:$B,""))</f>
        <v/>
      </c>
    </row>
    <row r="393" spans="2:18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1"/>
        <v>-8666.67</v>
      </c>
      <c r="L393" s="15" t="s">
        <v>128</v>
      </c>
      <c r="M393" s="44">
        <f>SUMIFS('Saldos Iniciales'!$D:$D,'Saldos Iniciales'!$A:$A,C393,'Saldos Iniciales'!$B:$B,D393)+SUMIFS($K$1:$K$1325,$C$1:$C$1325,C393,$D$1:$D$1325,D393,$B$1:$B$1325,"&lt;="&amp;B393)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  <c r="Q393" s="91" t="str">
        <f>IF(tblMovimientos[[#This Row],[Cuenta Bancaria]]="","",_xlfn.XLOOKUP(tblMovimientos[[#This Row],[Cuenta Bancaria]],Cuentas!$C:$C,Cuentas!$A:$A,"No encontrado"))</f>
        <v>SSP Group</v>
      </c>
      <c r="R393" s="91" t="str">
        <f>TRIM(_xlfn.XLOOKUP(tblMovimientos[[#This Row],[Cuenta Bancaria]],Cuentas!$C:$C,Cuentas!$B:$B,""))</f>
        <v/>
      </c>
    </row>
    <row r="394" spans="2:18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1"/>
        <v>-10753.2</v>
      </c>
      <c r="L394" s="15" t="s">
        <v>128</v>
      </c>
      <c r="M394" s="44">
        <f>SUMIFS('Saldos Iniciales'!$D:$D,'Saldos Iniciales'!$A:$A,C394,'Saldos Iniciales'!$B:$B,D394)+SUMIFS($K$1:$K$1325,$C$1:$C$1325,C394,$D$1:$D$1325,D394,$B$1:$B$1325,"&lt;="&amp;B394)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  <c r="Q394" s="91" t="str">
        <f>IF(tblMovimientos[[#This Row],[Cuenta Bancaria]]="","",_xlfn.XLOOKUP(tblMovimientos[[#This Row],[Cuenta Bancaria]],Cuentas!$C:$C,Cuentas!$A:$A,"No encontrado"))</f>
        <v>SSP Group</v>
      </c>
      <c r="R394" s="91" t="str">
        <f>TRIM(_xlfn.XLOOKUP(tblMovimientos[[#This Row],[Cuenta Bancaria]],Cuentas!$C:$C,Cuentas!$B:$B,""))</f>
        <v/>
      </c>
    </row>
    <row r="395" spans="2:18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1"/>
        <v>-33463.550000000003</v>
      </c>
      <c r="L395" s="15" t="s">
        <v>128</v>
      </c>
      <c r="M395" s="44">
        <f>SUMIFS('Saldos Iniciales'!$D:$D,'Saldos Iniciales'!$A:$A,C395,'Saldos Iniciales'!$B:$B,D395)+SUMIFS($K$1:$K$1325,$C$1:$C$1325,C395,$D$1:$D$1325,D395,$B$1:$B$1325,"&lt;="&amp;B395)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  <c r="Q395" s="91" t="str">
        <f>IF(tblMovimientos[[#This Row],[Cuenta Bancaria]]="","",_xlfn.XLOOKUP(tblMovimientos[[#This Row],[Cuenta Bancaria]],Cuentas!$C:$C,Cuentas!$A:$A,"No encontrado"))</f>
        <v>SSP Group</v>
      </c>
      <c r="R395" s="91" t="str">
        <f>TRIM(_xlfn.XLOOKUP(tblMovimientos[[#This Row],[Cuenta Bancaria]],Cuentas!$C:$C,Cuentas!$B:$B,""))</f>
        <v/>
      </c>
    </row>
    <row r="396" spans="2:18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1"/>
        <v>-47361.11</v>
      </c>
      <c r="L396" s="15" t="s">
        <v>128</v>
      </c>
      <c r="M396" s="58">
        <f>SUMIFS('Saldos Iniciales'!$D:$D,'Saldos Iniciales'!$A:$A,C396,'Saldos Iniciales'!$B:$B,D396)+SUMIFS($K$1:$K$1325,$C$1:$C$1325,C396,$D$1:$D$1325,D396,$B$1:$B$1325,"&lt;="&amp;B396)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  <c r="Q396" s="91" t="str">
        <f>IF(tblMovimientos[[#This Row],[Cuenta Bancaria]]="","",_xlfn.XLOOKUP(tblMovimientos[[#This Row],[Cuenta Bancaria]],Cuentas!$C:$C,Cuentas!$A:$A,"No encontrado"))</f>
        <v>SSP Group</v>
      </c>
      <c r="R396" s="91" t="str">
        <f>TRIM(_xlfn.XLOOKUP(tblMovimientos[[#This Row],[Cuenta Bancaria]],Cuentas!$C:$C,Cuentas!$B:$B,""))</f>
        <v/>
      </c>
    </row>
    <row r="397" spans="2:18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1"/>
        <v>-310000</v>
      </c>
      <c r="L397" s="15" t="s">
        <v>128</v>
      </c>
      <c r="M397" s="44">
        <f>SUMIFS('Saldos Iniciales'!$D:$D,'Saldos Iniciales'!$A:$A,C397,'Saldos Iniciales'!$B:$B,D397)+SUMIFS($K$1:$K$1325,$C$1:$C$1325,C397,$D$1:$D$1325,D397,$B$1:$B$1325,"&lt;="&amp;B397)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  <c r="Q397" s="91" t="str">
        <f>IF(tblMovimientos[[#This Row],[Cuenta Bancaria]]="","",_xlfn.XLOOKUP(tblMovimientos[[#This Row],[Cuenta Bancaria]],Cuentas!$C:$C,Cuentas!$A:$A,"No encontrado"))</f>
        <v>SSP Group</v>
      </c>
      <c r="R397" s="91" t="str">
        <f>TRIM(_xlfn.XLOOKUP(tblMovimientos[[#This Row],[Cuenta Bancaria]],Cuentas!$C:$C,Cuentas!$B:$B,""))</f>
        <v/>
      </c>
    </row>
    <row r="398" spans="2:18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1"/>
        <v>-90000</v>
      </c>
      <c r="L398" s="15" t="s">
        <v>128</v>
      </c>
      <c r="M398" s="44">
        <f>SUMIFS('Saldos Iniciales'!$D:$D,'Saldos Iniciales'!$A:$A,C398,'Saldos Iniciales'!$B:$B,D398)+SUMIFS($K$1:$K$1325,$C$1:$C$1325,C398,$D$1:$D$1325,D398,$B$1:$B$1325,"&lt;="&amp;B398)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  <c r="Q398" s="91" t="str">
        <f>IF(tblMovimientos[[#This Row],[Cuenta Bancaria]]="","",_xlfn.XLOOKUP(tblMovimientos[[#This Row],[Cuenta Bancaria]],Cuentas!$C:$C,Cuentas!$A:$A,"No encontrado"))</f>
        <v>SSP Group</v>
      </c>
      <c r="R398" s="91" t="str">
        <f>TRIM(_xlfn.XLOOKUP(tblMovimientos[[#This Row],[Cuenta Bancaria]],Cuentas!$C:$C,Cuentas!$B:$B,""))</f>
        <v/>
      </c>
    </row>
    <row r="399" spans="2:18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1"/>
        <v>-150000</v>
      </c>
      <c r="L399" s="15" t="s">
        <v>128</v>
      </c>
      <c r="M399" s="44">
        <f>SUMIFS('Saldos Iniciales'!$D:$D,'Saldos Iniciales'!$A:$A,C399,'Saldos Iniciales'!$B:$B,D399)+SUMIFS($K$1:$K$1325,$C$1:$C$1325,C399,$D$1:$D$1325,D399,$B$1:$B$1325,"&lt;="&amp;B399)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  <c r="Q399" s="91" t="str">
        <f>IF(tblMovimientos[[#This Row],[Cuenta Bancaria]]="","",_xlfn.XLOOKUP(tblMovimientos[[#This Row],[Cuenta Bancaria]],Cuentas!$C:$C,Cuentas!$A:$A,"No encontrado"))</f>
        <v>SSP Group</v>
      </c>
      <c r="R399" s="91" t="str">
        <f>TRIM(_xlfn.XLOOKUP(tblMovimientos[[#This Row],[Cuenta Bancaria]],Cuentas!$C:$C,Cuentas!$B:$B,""))</f>
        <v/>
      </c>
    </row>
    <row r="400" spans="2:18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1"/>
        <v>-200000</v>
      </c>
      <c r="L400" s="15" t="s">
        <v>128</v>
      </c>
      <c r="M400" s="44">
        <f>SUMIFS('Saldos Iniciales'!$D:$D,'Saldos Iniciales'!$A:$A,C400,'Saldos Iniciales'!$B:$B,D400)+SUMIFS($K$1:$K$1325,$C$1:$C$1325,C400,$D$1:$D$1325,D400,$B$1:$B$1325,"&lt;="&amp;B400)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  <c r="Q400" s="91" t="str">
        <f>IF(tblMovimientos[[#This Row],[Cuenta Bancaria]]="","",_xlfn.XLOOKUP(tblMovimientos[[#This Row],[Cuenta Bancaria]],Cuentas!$C:$C,Cuentas!$A:$A,"No encontrado"))</f>
        <v>SSP Group</v>
      </c>
      <c r="R400" s="91" t="str">
        <f>TRIM(_xlfn.XLOOKUP(tblMovimientos[[#This Row],[Cuenta Bancaria]],Cuentas!$C:$C,Cuentas!$B:$B,""))</f>
        <v/>
      </c>
    </row>
    <row r="401" spans="1:18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1"/>
        <v>-2380000</v>
      </c>
      <c r="L401" s="15" t="s">
        <v>128</v>
      </c>
      <c r="M401" s="44">
        <f>SUMIFS('Saldos Iniciales'!$D:$D,'Saldos Iniciales'!$A:$A,C401,'Saldos Iniciales'!$B:$B,D401)+SUMIFS($K$1:$K$1325,$C$1:$C$1325,C401,$D$1:$D$1325,D401,$B$1:$B$1325,"&lt;="&amp;B401)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  <c r="Q401" s="91" t="str">
        <f>IF(tblMovimientos[[#This Row],[Cuenta Bancaria]]="","",_xlfn.XLOOKUP(tblMovimientos[[#This Row],[Cuenta Bancaria]],Cuentas!$C:$C,Cuentas!$A:$A,"No encontrado"))</f>
        <v>SSP Group</v>
      </c>
      <c r="R401" s="91" t="str">
        <f>TRIM(_xlfn.XLOOKUP(tblMovimientos[[#This Row],[Cuenta Bancaria]],Cuentas!$C:$C,Cuentas!$B:$B,""))</f>
        <v/>
      </c>
    </row>
    <row r="402" spans="1:18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si="1"/>
        <v>-1896.6</v>
      </c>
      <c r="L402" s="15" t="s">
        <v>128</v>
      </c>
      <c r="M402" s="58">
        <f>SUMIFS('Saldos Iniciales'!$D:$D,'Saldos Iniciales'!$A:$A,C402,'Saldos Iniciales'!$B:$B,D402)+SUMIFS($K$1:$K$1325,$C$1:$C$1325,C402,$D$1:$D$1325,D402,$B$1:$B$1325,"&lt;="&amp;B402)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  <c r="Q402" s="91" t="str">
        <f>IF(tblMovimientos[[#This Row],[Cuenta Bancaria]]="","",_xlfn.XLOOKUP(tblMovimientos[[#This Row],[Cuenta Bancaria]],Cuentas!$C:$C,Cuentas!$A:$A,"No encontrado"))</f>
        <v>SSP Group</v>
      </c>
      <c r="R402" s="91" t="str">
        <f>TRIM(_xlfn.XLOOKUP(tblMovimientos[[#This Row],[Cuenta Bancaria]],Cuentas!$C:$C,Cuentas!$B:$B,""))</f>
        <v/>
      </c>
    </row>
    <row r="403" spans="1:18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1"/>
        <v>-15</v>
      </c>
      <c r="L403" s="15" t="s">
        <v>128</v>
      </c>
      <c r="M403" s="44">
        <f>SUMIFS('Saldos Iniciales'!$D:$D,'Saldos Iniciales'!$A:$A,C403,'Saldos Iniciales'!$B:$B,D403)+SUMIFS($K$1:$K$1325,$C$1:$C$1325,C403,$D$1:$D$1325,D403,$B$1:$B$1325,"&lt;="&amp;B403)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  <c r="Q403" s="91" t="str">
        <f>IF(tblMovimientos[[#This Row],[Cuenta Bancaria]]="","",_xlfn.XLOOKUP(tblMovimientos[[#This Row],[Cuenta Bancaria]],Cuentas!$C:$C,Cuentas!$A:$A,"No encontrado"))</f>
        <v>SSP Group</v>
      </c>
      <c r="R403" s="91" t="str">
        <f>TRIM(_xlfn.XLOOKUP(tblMovimientos[[#This Row],[Cuenta Bancaria]],Cuentas!$C:$C,Cuentas!$B:$B,""))</f>
        <v/>
      </c>
    </row>
    <row r="404" spans="1:18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1"/>
        <v>-2500</v>
      </c>
      <c r="L404" s="15" t="s">
        <v>128</v>
      </c>
      <c r="M404" s="44">
        <f>SUMIFS('Saldos Iniciales'!$D:$D,'Saldos Iniciales'!$A:$A,C404,'Saldos Iniciales'!$B:$B,D404)+SUMIFS($K$1:$K$1325,$C$1:$C$1325,C404,$D$1:$D$1325,D404,$B$1:$B$1325,"&lt;="&amp;B404)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  <c r="Q404" s="91" t="str">
        <f>IF(tblMovimientos[[#This Row],[Cuenta Bancaria]]="","",_xlfn.XLOOKUP(tblMovimientos[[#This Row],[Cuenta Bancaria]],Cuentas!$C:$C,Cuentas!$A:$A,"No encontrado"))</f>
        <v>SSP Group</v>
      </c>
      <c r="R404" s="91" t="str">
        <f>TRIM(_xlfn.XLOOKUP(tblMovimientos[[#This Row],[Cuenta Bancaria]],Cuentas!$C:$C,Cuentas!$B:$B,""))</f>
        <v/>
      </c>
    </row>
    <row r="405" spans="1:18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1"/>
        <v>-15</v>
      </c>
      <c r="L405" s="15" t="s">
        <v>128</v>
      </c>
      <c r="M405" s="44">
        <f>SUMIFS('Saldos Iniciales'!$D:$D,'Saldos Iniciales'!$A:$A,C405,'Saldos Iniciales'!$B:$B,D405)+SUMIFS($K$1:$K$1325,$C$1:$C$1325,C405,$D$1:$D$1325,D405,$B$1:$B$1325,"&lt;="&amp;B405)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  <c r="Q405" s="91" t="str">
        <f>IF(tblMovimientos[[#This Row],[Cuenta Bancaria]]="","",_xlfn.XLOOKUP(tblMovimientos[[#This Row],[Cuenta Bancaria]],Cuentas!$C:$C,Cuentas!$A:$A,"No encontrado"))</f>
        <v>SSP Group</v>
      </c>
      <c r="R405" s="91" t="str">
        <f>TRIM(_xlfn.XLOOKUP(tblMovimientos[[#This Row],[Cuenta Bancaria]],Cuentas!$C:$C,Cuentas!$B:$B,""))</f>
        <v/>
      </c>
    </row>
    <row r="406" spans="1:18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1"/>
        <v>-2577.2800000000002</v>
      </c>
      <c r="L406" s="15" t="s">
        <v>128</v>
      </c>
      <c r="M406" s="44">
        <f>SUMIFS('Saldos Iniciales'!$D:$D,'Saldos Iniciales'!$A:$A,C406,'Saldos Iniciales'!$B:$B,D406)+SUMIFS($K$1:$K$1325,$C$1:$C$1325,C406,$D$1:$D$1325,D406,$B$1:$B$1325,"&lt;="&amp;B406)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  <c r="Q406" s="91" t="str">
        <f>IF(tblMovimientos[[#This Row],[Cuenta Bancaria]]="","",_xlfn.XLOOKUP(tblMovimientos[[#This Row],[Cuenta Bancaria]],Cuentas!$C:$C,Cuentas!$A:$A,"No encontrado"))</f>
        <v>SSP Group</v>
      </c>
      <c r="R406" s="91" t="str">
        <f>TRIM(_xlfn.XLOOKUP(tblMovimientos[[#This Row],[Cuenta Bancaria]],Cuentas!$C:$C,Cuentas!$B:$B,""))</f>
        <v/>
      </c>
    </row>
    <row r="407" spans="1:18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1"/>
        <v>-15</v>
      </c>
      <c r="L407" s="15" t="s">
        <v>128</v>
      </c>
      <c r="M407" s="44">
        <f>SUMIFS('Saldos Iniciales'!$D:$D,'Saldos Iniciales'!$A:$A,C407,'Saldos Iniciales'!$B:$B,D407)+SUMIFS($K$1:$K$1325,$C$1:$C$1325,C407,$D$1:$D$1325,D407,$B$1:$B$1325,"&lt;="&amp;B407)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  <c r="Q407" s="91" t="str">
        <f>IF(tblMovimientos[[#This Row],[Cuenta Bancaria]]="","",_xlfn.XLOOKUP(tblMovimientos[[#This Row],[Cuenta Bancaria]],Cuentas!$C:$C,Cuentas!$A:$A,"No encontrado"))</f>
        <v>SSP Group</v>
      </c>
      <c r="R407" s="91" t="str">
        <f>TRIM(_xlfn.XLOOKUP(tblMovimientos[[#This Row],[Cuenta Bancaria]],Cuentas!$C:$C,Cuentas!$B:$B,""))</f>
        <v/>
      </c>
    </row>
    <row r="408" spans="1:18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1"/>
        <v>-4922</v>
      </c>
      <c r="L408" s="15" t="s">
        <v>128</v>
      </c>
      <c r="M408" s="58">
        <f>SUMIFS('Saldos Iniciales'!$D:$D,'Saldos Iniciales'!$A:$A,C408,'Saldos Iniciales'!$B:$B,D408)+SUMIFS($K$1:$K$1325,$C$1:$C$1325,C408,$D$1:$D$1325,D408,$B$1:$B$1325,"&lt;="&amp;B408)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  <c r="Q408" s="91" t="str">
        <f>IF(tblMovimientos[[#This Row],[Cuenta Bancaria]]="","",_xlfn.XLOOKUP(tblMovimientos[[#This Row],[Cuenta Bancaria]],Cuentas!$C:$C,Cuentas!$A:$A,"No encontrado"))</f>
        <v>SSP Group</v>
      </c>
      <c r="R408" s="91" t="str">
        <f>TRIM(_xlfn.XLOOKUP(tblMovimientos[[#This Row],[Cuenta Bancaria]],Cuentas!$C:$C,Cuentas!$B:$B,""))</f>
        <v/>
      </c>
    </row>
    <row r="409" spans="1:18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1"/>
        <v>-15</v>
      </c>
      <c r="L409" s="15" t="s">
        <v>128</v>
      </c>
      <c r="M409" s="44">
        <f>SUMIFS('Saldos Iniciales'!$D:$D,'Saldos Iniciales'!$A:$A,C409,'Saldos Iniciales'!$B:$B,D409)+SUMIFS($K$1:$K$1325,$C$1:$C$1325,C409,$D$1:$D$1325,D409,$B$1:$B$1325,"&lt;="&amp;B409)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  <c r="Q409" s="91" t="str">
        <f>IF(tblMovimientos[[#This Row],[Cuenta Bancaria]]="","",_xlfn.XLOOKUP(tblMovimientos[[#This Row],[Cuenta Bancaria]],Cuentas!$C:$C,Cuentas!$A:$A,"No encontrado"))</f>
        <v>SSP Group</v>
      </c>
      <c r="R409" s="91" t="str">
        <f>TRIM(_xlfn.XLOOKUP(tblMovimientos[[#This Row],[Cuenta Bancaria]],Cuentas!$C:$C,Cuentas!$B:$B,""))</f>
        <v/>
      </c>
    </row>
    <row r="410" spans="1:18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1"/>
        <v>-762.99</v>
      </c>
      <c r="L410" s="15" t="s">
        <v>128</v>
      </c>
      <c r="M410" s="44">
        <f>SUMIFS('Saldos Iniciales'!$D:$D,'Saldos Iniciales'!$A:$A,C410,'Saldos Iniciales'!$B:$B,D410)+SUMIFS($K$1:$K$1325,$C$1:$C$1325,C410,$D$1:$D$1325,D410,$B$1:$B$1325,"&lt;="&amp;B410)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  <c r="Q410" s="91" t="str">
        <f>IF(tblMovimientos[[#This Row],[Cuenta Bancaria]]="","",_xlfn.XLOOKUP(tblMovimientos[[#This Row],[Cuenta Bancaria]],Cuentas!$C:$C,Cuentas!$A:$A,"No encontrado"))</f>
        <v>SSP Group</v>
      </c>
      <c r="R410" s="91" t="str">
        <f>TRIM(_xlfn.XLOOKUP(tblMovimientos[[#This Row],[Cuenta Bancaria]],Cuentas!$C:$C,Cuentas!$B:$B,""))</f>
        <v/>
      </c>
    </row>
    <row r="411" spans="1:18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1"/>
        <v>-850</v>
      </c>
      <c r="L411" s="15" t="s">
        <v>128</v>
      </c>
      <c r="M411" s="44">
        <f>SUMIFS('Saldos Iniciales'!$D:$D,'Saldos Iniciales'!$A:$A,C411,'Saldos Iniciales'!$B:$B,D411)+SUMIFS($K$1:$K$1325,$C$1:$C$1325,C411,$D$1:$D$1325,D411,$B$1:$B$1325,"&lt;="&amp;B411)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  <c r="Q411" s="91" t="str">
        <f>IF(tblMovimientos[[#This Row],[Cuenta Bancaria]]="","",_xlfn.XLOOKUP(tblMovimientos[[#This Row],[Cuenta Bancaria]],Cuentas!$C:$C,Cuentas!$A:$A,"No encontrado"))</f>
        <v>SSP Group</v>
      </c>
      <c r="R411" s="91" t="str">
        <f>TRIM(_xlfn.XLOOKUP(tblMovimientos[[#This Row],[Cuenta Bancaria]],Cuentas!$C:$C,Cuentas!$B:$B,""))</f>
        <v/>
      </c>
    </row>
    <row r="412" spans="1:18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1"/>
        <v>-30</v>
      </c>
      <c r="L412" s="15" t="s">
        <v>128</v>
      </c>
      <c r="M412" s="44">
        <f>SUMIFS('Saldos Iniciales'!$D:$D,'Saldos Iniciales'!$A:$A,C412,'Saldos Iniciales'!$B:$B,D412)+SUMIFS($K$1:$K$1325,$C$1:$C$1325,C412,$D$1:$D$1325,D412,$B$1:$B$1325,"&lt;="&amp;B412)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  <c r="Q412" s="91" t="str">
        <f>IF(tblMovimientos[[#This Row],[Cuenta Bancaria]]="","",_xlfn.XLOOKUP(tblMovimientos[[#This Row],[Cuenta Bancaria]],Cuentas!$C:$C,Cuentas!$A:$A,"No encontrado"))</f>
        <v>SSP Group</v>
      </c>
      <c r="R412" s="91" t="str">
        <f>TRIM(_xlfn.XLOOKUP(tblMovimientos[[#This Row],[Cuenta Bancaria]],Cuentas!$C:$C,Cuentas!$B:$B,""))</f>
        <v/>
      </c>
    </row>
    <row r="413" spans="1:18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1"/>
        <v>-15</v>
      </c>
      <c r="L413" s="15" t="s">
        <v>128</v>
      </c>
      <c r="M413" s="44">
        <f>SUMIFS('Saldos Iniciales'!$D:$D,'Saldos Iniciales'!$A:$A,C413,'Saldos Iniciales'!$B:$B,D413)+SUMIFS($K$1:$K$1325,$C$1:$C$1325,C413,$D$1:$D$1325,D413,$B$1:$B$1325,"&lt;="&amp;B413)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  <c r="Q413" s="91" t="str">
        <f>IF(tblMovimientos[[#This Row],[Cuenta Bancaria]]="","",_xlfn.XLOOKUP(tblMovimientos[[#This Row],[Cuenta Bancaria]],Cuentas!$C:$C,Cuentas!$A:$A,"No encontrado"))</f>
        <v>SSP Group</v>
      </c>
      <c r="R413" s="91" t="str">
        <f>TRIM(_xlfn.XLOOKUP(tblMovimientos[[#This Row],[Cuenta Bancaria]],Cuentas!$C:$C,Cuentas!$B:$B,""))</f>
        <v/>
      </c>
    </row>
    <row r="414" spans="1:18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1"/>
        <v>-10000</v>
      </c>
      <c r="L414" s="15" t="s">
        <v>128</v>
      </c>
      <c r="M414" s="58">
        <f>SUMIFS('Saldos Iniciales'!$D:$D,'Saldos Iniciales'!$A:$A,C414,'Saldos Iniciales'!$B:$B,D414)+SUMIFS($K$1:$K$1325,$C$1:$C$1325,C414,$D$1:$D$1325,D414,$B$1:$B$1325,"&lt;="&amp;B414)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  <c r="Q414" s="91" t="str">
        <f>IF(tblMovimientos[[#This Row],[Cuenta Bancaria]]="","",_xlfn.XLOOKUP(tblMovimientos[[#This Row],[Cuenta Bancaria]],Cuentas!$C:$C,Cuentas!$A:$A,"No encontrado"))</f>
        <v>SSP Group</v>
      </c>
      <c r="R414" s="91" t="str">
        <f>TRIM(_xlfn.XLOOKUP(tblMovimientos[[#This Row],[Cuenta Bancaria]],Cuentas!$C:$C,Cuentas!$B:$B,""))</f>
        <v/>
      </c>
    </row>
    <row r="415" spans="1:18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1"/>
        <v>-600000</v>
      </c>
      <c r="L415" s="15" t="s">
        <v>128</v>
      </c>
      <c r="M415" s="44">
        <f>SUMIFS('Saldos Iniciales'!$D:$D,'Saldos Iniciales'!$A:$A,C415,'Saldos Iniciales'!$B:$B,D415)+SUMIFS($K$1:$K$1325,$C$1:$C$1325,C415,$D$1:$D$1325,D415,$B$1:$B$1325,"&lt;="&amp;B415)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  <c r="Q415" s="91" t="str">
        <f>IF(tblMovimientos[[#This Row],[Cuenta Bancaria]]="","",_xlfn.XLOOKUP(tblMovimientos[[#This Row],[Cuenta Bancaria]],Cuentas!$C:$C,Cuentas!$A:$A,"No encontrado"))</f>
        <v>Trust</v>
      </c>
      <c r="R415" s="91" t="str">
        <f>TRIM(_xlfn.XLOOKUP(tblMovimientos[[#This Row],[Cuenta Bancaria]],Cuentas!$C:$C,Cuentas!$B:$B,""))</f>
        <v/>
      </c>
    </row>
    <row r="416" spans="1:18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1"/>
        <v>-3091.79</v>
      </c>
      <c r="L416" s="15" t="s">
        <v>128</v>
      </c>
      <c r="M416" s="44">
        <f>SUMIFS('Saldos Iniciales'!$D:$D,'Saldos Iniciales'!$A:$A,C416,'Saldos Iniciales'!$B:$B,D416)+SUMIFS($K$1:$K$1325,$C$1:$C$1325,C416,$D$1:$D$1325,D416,$B$1:$B$1325,"&lt;="&amp;B416)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  <c r="Q416" s="91" t="str">
        <f>IF(tblMovimientos[[#This Row],[Cuenta Bancaria]]="","",_xlfn.XLOOKUP(tblMovimientos[[#This Row],[Cuenta Bancaria]],Cuentas!$C:$C,Cuentas!$A:$A,"No encontrado"))</f>
        <v>SSP Group</v>
      </c>
      <c r="R416" s="91" t="str">
        <f>TRIM(_xlfn.XLOOKUP(tblMovimientos[[#This Row],[Cuenta Bancaria]],Cuentas!$C:$C,Cuentas!$B:$B,""))</f>
        <v/>
      </c>
    </row>
    <row r="417" spans="1:18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1"/>
        <v>-15</v>
      </c>
      <c r="L417" s="15" t="s">
        <v>128</v>
      </c>
      <c r="M417" s="44">
        <f>SUMIFS('Saldos Iniciales'!$D:$D,'Saldos Iniciales'!$A:$A,C417,'Saldos Iniciales'!$B:$B,D417)+SUMIFS($K$1:$K$1325,$C$1:$C$1325,C417,$D$1:$D$1325,D417,$B$1:$B$1325,"&lt;="&amp;B417)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91" t="str">
        <f>IF(tblMovimientos[[#This Row],[Cuenta Bancaria]]="","",_xlfn.XLOOKUP(tblMovimientos[[#This Row],[Cuenta Bancaria]],Cuentas!$C:$C,Cuentas!$A:$A,"No encontrado"))</f>
        <v>SSP Group</v>
      </c>
      <c r="R417" s="91" t="str">
        <f>TRIM(_xlfn.XLOOKUP(tblMovimientos[[#This Row],[Cuenta Bancaria]],Cuentas!$C:$C,Cuentas!$B:$B,""))</f>
        <v/>
      </c>
    </row>
    <row r="418" spans="1:18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1"/>
        <v>-5000</v>
      </c>
      <c r="L418" s="15" t="s">
        <v>128</v>
      </c>
      <c r="M418" s="44">
        <f>SUMIFS('Saldos Iniciales'!$D:$D,'Saldos Iniciales'!$A:$A,C418,'Saldos Iniciales'!$B:$B,D418)+SUMIFS($K$1:$K$1325,$C$1:$C$1325,C418,$D$1:$D$1325,D418,$B$1:$B$1325,"&lt;="&amp;B418)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  <c r="Q418" s="91" t="str">
        <f>IF(tblMovimientos[[#This Row],[Cuenta Bancaria]]="","",_xlfn.XLOOKUP(tblMovimientos[[#This Row],[Cuenta Bancaria]],Cuentas!$C:$C,Cuentas!$A:$A,"No encontrado"))</f>
        <v>SSP Group</v>
      </c>
      <c r="R418" s="91" t="str">
        <f>TRIM(_xlfn.XLOOKUP(tblMovimientos[[#This Row],[Cuenta Bancaria]],Cuentas!$C:$C,Cuentas!$B:$B,""))</f>
        <v/>
      </c>
    </row>
    <row r="419" spans="1:18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1"/>
        <v>16978.900000000001</v>
      </c>
      <c r="L419" s="15" t="s">
        <v>128</v>
      </c>
      <c r="M419" s="44">
        <f>SUMIFS('Saldos Iniciales'!$D:$D,'Saldos Iniciales'!$A:$A,C419,'Saldos Iniciales'!$B:$B,D419)+SUMIFS($K$1:$K$1325,$C$1:$C$1325,C419,$D$1:$D$1325,D419,$B$1:$B$1325,"&lt;="&amp;B419)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  <c r="Q419" s="91" t="str">
        <f>IF(tblMovimientos[[#This Row],[Cuenta Bancaria]]="","",_xlfn.XLOOKUP(tblMovimientos[[#This Row],[Cuenta Bancaria]],Cuentas!$C:$C,Cuentas!$A:$A,"No encontrado"))</f>
        <v>SSP Group</v>
      </c>
      <c r="R419" s="91" t="str">
        <f>TRIM(_xlfn.XLOOKUP(tblMovimientos[[#This Row],[Cuenta Bancaria]],Cuentas!$C:$C,Cuentas!$B:$B,""))</f>
        <v>Cross Security Trust</v>
      </c>
    </row>
    <row r="420" spans="1:18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1"/>
        <v>6021.16</v>
      </c>
      <c r="L420" s="15" t="s">
        <v>128</v>
      </c>
      <c r="M420" s="58">
        <f>SUMIFS('Saldos Iniciales'!$D:$D,'Saldos Iniciales'!$A:$A,C420,'Saldos Iniciales'!$B:$B,D420)+SUMIFS($K$1:$K$1325,$C$1:$C$1325,C420,$D$1:$D$1325,D420,$B$1:$B$1325,"&lt;="&amp;B420)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  <c r="Q420" s="91" t="str">
        <f>IF(tblMovimientos[[#This Row],[Cuenta Bancaria]]="","",_xlfn.XLOOKUP(tblMovimientos[[#This Row],[Cuenta Bancaria]],Cuentas!$C:$C,Cuentas!$A:$A,"No encontrado"))</f>
        <v>SSP Group</v>
      </c>
      <c r="R420" s="91" t="str">
        <f>TRIM(_xlfn.XLOOKUP(tblMovimientos[[#This Row],[Cuenta Bancaria]],Cuentas!$C:$C,Cuentas!$B:$B,""))</f>
        <v/>
      </c>
    </row>
    <row r="421" spans="1:18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1"/>
        <v>5097.9399999999996</v>
      </c>
      <c r="L421" s="15" t="s">
        <v>128</v>
      </c>
      <c r="M421" s="44">
        <f>SUMIFS('Saldos Iniciales'!$D:$D,'Saldos Iniciales'!$A:$A,C421,'Saldos Iniciales'!$B:$B,D421)+SUMIFS($K$1:$K$1325,$C$1:$C$1325,C421,$D$1:$D$1325,D421,$B$1:$B$1325,"&lt;="&amp;B421)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  <c r="Q421" s="91" t="str">
        <f>IF(tblMovimientos[[#This Row],[Cuenta Bancaria]]="","",_xlfn.XLOOKUP(tblMovimientos[[#This Row],[Cuenta Bancaria]],Cuentas!$C:$C,Cuentas!$A:$A,"No encontrado"))</f>
        <v>SSP Group</v>
      </c>
      <c r="R421" s="91" t="str">
        <f>TRIM(_xlfn.XLOOKUP(tblMovimientos[[#This Row],[Cuenta Bancaria]],Cuentas!$C:$C,Cuentas!$B:$B,""))</f>
        <v/>
      </c>
    </row>
    <row r="422" spans="1:18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1"/>
        <v>-1000000</v>
      </c>
      <c r="L422" s="15" t="s">
        <v>128</v>
      </c>
      <c r="M422" s="44">
        <f>SUMIFS('Saldos Iniciales'!$D:$D,'Saldos Iniciales'!$A:$A,C422,'Saldos Iniciales'!$B:$B,D422)+SUMIFS($K$1:$K$1325,$C$1:$C$1325,C422,$D$1:$D$1325,D422,$B$1:$B$1325,"&lt;="&amp;B422)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  <c r="Q422" s="91" t="str">
        <f>IF(tblMovimientos[[#This Row],[Cuenta Bancaria]]="","",_xlfn.XLOOKUP(tblMovimientos[[#This Row],[Cuenta Bancaria]],Cuentas!$C:$C,Cuentas!$A:$A,"No encontrado"))</f>
        <v>Trust</v>
      </c>
      <c r="R422" s="91" t="str">
        <f>TRIM(_xlfn.XLOOKUP(tblMovimientos[[#This Row],[Cuenta Bancaria]],Cuentas!$C:$C,Cuentas!$B:$B,""))</f>
        <v/>
      </c>
    </row>
    <row r="423" spans="1:18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1"/>
        <v>-164221.79999999999</v>
      </c>
      <c r="L423" s="15" t="s">
        <v>128</v>
      </c>
      <c r="M423" s="44">
        <f>SUMIFS('Saldos Iniciales'!$D:$D,'Saldos Iniciales'!$A:$A,C423,'Saldos Iniciales'!$B:$B,D423)+SUMIFS($K$1:$K$1325,$C$1:$C$1325,C423,$D$1:$D$1325,D423,$B$1:$B$1325,"&lt;="&amp;B423)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  <c r="Q423" s="91" t="str">
        <f>IF(tblMovimientos[[#This Row],[Cuenta Bancaria]]="","",_xlfn.XLOOKUP(tblMovimientos[[#This Row],[Cuenta Bancaria]],Cuentas!$C:$C,Cuentas!$A:$A,"No encontrado"))</f>
        <v>SSP Group</v>
      </c>
      <c r="R423" s="91" t="str">
        <f>TRIM(_xlfn.XLOOKUP(tblMovimientos[[#This Row],[Cuenta Bancaria]],Cuentas!$C:$C,Cuentas!$B:$B,""))</f>
        <v/>
      </c>
    </row>
    <row r="424" spans="1:18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1"/>
        <v>-45.86</v>
      </c>
      <c r="L424" s="15" t="s">
        <v>128</v>
      </c>
      <c r="M424" s="44">
        <f>SUMIFS('Saldos Iniciales'!$D:$D,'Saldos Iniciales'!$A:$A,C424,'Saldos Iniciales'!$B:$B,D424)+SUMIFS($K$1:$K$1325,$C$1:$C$1325,C424,$D$1:$D$1325,D424,$B$1:$B$1325,"&lt;="&amp;B424)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  <c r="Q424" s="91" t="str">
        <f>IF(tblMovimientos[[#This Row],[Cuenta Bancaria]]="","",_xlfn.XLOOKUP(tblMovimientos[[#This Row],[Cuenta Bancaria]],Cuentas!$C:$C,Cuentas!$A:$A,"No encontrado"))</f>
        <v>SSP Group</v>
      </c>
      <c r="R424" s="91" t="str">
        <f>TRIM(_xlfn.XLOOKUP(tblMovimientos[[#This Row],[Cuenta Bancaria]],Cuentas!$C:$C,Cuentas!$B:$B,""))</f>
        <v/>
      </c>
    </row>
    <row r="425" spans="1:18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1"/>
        <v>-6000</v>
      </c>
      <c r="L425" s="15" t="s">
        <v>128</v>
      </c>
      <c r="M425" s="44">
        <f>SUMIFS('Saldos Iniciales'!$D:$D,'Saldos Iniciales'!$A:$A,C425,'Saldos Iniciales'!$B:$B,D425)+SUMIFS($K$1:$K$1325,$C$1:$C$1325,C425,$D$1:$D$1325,D425,$B$1:$B$1325,"&lt;="&amp;B425)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  <c r="Q425" s="91" t="str">
        <f>IF(tblMovimientos[[#This Row],[Cuenta Bancaria]]="","",_xlfn.XLOOKUP(tblMovimientos[[#This Row],[Cuenta Bancaria]],Cuentas!$C:$C,Cuentas!$A:$A,"No encontrado"))</f>
        <v>SSP Group</v>
      </c>
      <c r="R425" s="91" t="str">
        <f>TRIM(_xlfn.XLOOKUP(tblMovimientos[[#This Row],[Cuenta Bancaria]],Cuentas!$C:$C,Cuentas!$B:$B,""))</f>
        <v/>
      </c>
    </row>
    <row r="426" spans="1:18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1"/>
        <v>6753.49</v>
      </c>
      <c r="L426" s="15" t="s">
        <v>128</v>
      </c>
      <c r="M426" s="58">
        <f>SUMIFS('Saldos Iniciales'!$D:$D,'Saldos Iniciales'!$A:$A,C426,'Saldos Iniciales'!$B:$B,D426)+SUMIFS($K$1:$K$1325,$C$1:$C$1325,C426,$D$1:$D$1325,D426,$B$1:$B$1325,"&lt;="&amp;B426)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  <c r="Q426" s="91" t="str">
        <f>IF(tblMovimientos[[#This Row],[Cuenta Bancaria]]="","",_xlfn.XLOOKUP(tblMovimientos[[#This Row],[Cuenta Bancaria]],Cuentas!$C:$C,Cuentas!$A:$A,"No encontrado"))</f>
        <v>SSP Group</v>
      </c>
      <c r="R426" s="91" t="str">
        <f>TRIM(_xlfn.XLOOKUP(tblMovimientos[[#This Row],[Cuenta Bancaria]],Cuentas!$C:$C,Cuentas!$B:$B,""))</f>
        <v/>
      </c>
    </row>
    <row r="427" spans="1:18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>Amerant Bank Money Market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1"/>
        <v>2267.66</v>
      </c>
      <c r="L427" s="15" t="s">
        <v>128</v>
      </c>
      <c r="M427" s="44">
        <f>SUMIFS('Saldos Iniciales'!$D:$D,'Saldos Iniciales'!$A:$A,C427,'Saldos Iniciales'!$B:$B,D427)+SUMIFS($K$1:$K$1325,$C$1:$C$1325,C427,$D$1:$D$1325,D427,$B$1:$B$1325,"&lt;="&amp;B427)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  <c r="Q427" s="91" t="str">
        <f>IF(tblMovimientos[[#This Row],[Cuenta Bancaria]]="","",_xlfn.XLOOKUP(tblMovimientos[[#This Row],[Cuenta Bancaria]],Cuentas!$C:$C,Cuentas!$A:$A,"No encontrado"))</f>
        <v>SSP Group</v>
      </c>
      <c r="R427" s="91" t="str">
        <f>TRIM(_xlfn.XLOOKUP(tblMovimientos[[#This Row],[Cuenta Bancaria]],Cuentas!$C:$C,Cuentas!$B:$B,""))</f>
        <v/>
      </c>
    </row>
    <row r="428" spans="1:18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1"/>
        <v>-73431.09</v>
      </c>
      <c r="L428" s="15" t="s">
        <v>128</v>
      </c>
      <c r="M428" s="44">
        <f>SUMIFS('Saldos Iniciales'!$D:$D,'Saldos Iniciales'!$A:$A,C428,'Saldos Iniciales'!$B:$B,D428)+SUMIFS($K$1:$K$1325,$C$1:$C$1325,C428,$D$1:$D$1325,D428,$B$1:$B$1325,"&lt;="&amp;B428)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  <c r="Q428" s="91" t="str">
        <f>IF(tblMovimientos[[#This Row],[Cuenta Bancaria]]="","",_xlfn.XLOOKUP(tblMovimientos[[#This Row],[Cuenta Bancaria]],Cuentas!$C:$C,Cuentas!$A:$A,"No encontrado"))</f>
        <v>SSP Group</v>
      </c>
      <c r="R428" s="91" t="str">
        <f>TRIM(_xlfn.XLOOKUP(tblMovimientos[[#This Row],[Cuenta Bancaria]],Cuentas!$C:$C,Cuentas!$B:$B,""))</f>
        <v/>
      </c>
    </row>
    <row r="429" spans="1:18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1"/>
        <v>-526.75</v>
      </c>
      <c r="L429" s="15" t="s">
        <v>128</v>
      </c>
      <c r="M429" s="44">
        <f>SUMIFS('Saldos Iniciales'!$D:$D,'Saldos Iniciales'!$A:$A,C429,'Saldos Iniciales'!$B:$B,D429)+SUMIFS($K$1:$K$1325,$C$1:$C$1325,C429,$D$1:$D$1325,D429,$B$1:$B$1325,"&lt;="&amp;B429)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  <c r="Q429" s="91" t="str">
        <f>IF(tblMovimientos[[#This Row],[Cuenta Bancaria]]="","",_xlfn.XLOOKUP(tblMovimientos[[#This Row],[Cuenta Bancaria]],Cuentas!$C:$C,Cuentas!$A:$A,"No encontrado"))</f>
        <v>SSP Group</v>
      </c>
      <c r="R429" s="91" t="str">
        <f>TRIM(_xlfn.XLOOKUP(tblMovimientos[[#This Row],[Cuenta Bancaria]],Cuentas!$C:$C,Cuentas!$B:$B,""))</f>
        <v/>
      </c>
    </row>
    <row r="430" spans="1:18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1"/>
        <v>-193.01</v>
      </c>
      <c r="L430" s="15" t="s">
        <v>128</v>
      </c>
      <c r="M430" s="44">
        <f>SUMIFS('Saldos Iniciales'!$D:$D,'Saldos Iniciales'!$A:$A,C430,'Saldos Iniciales'!$B:$B,D430)+SUMIFS($K$1:$K$1325,$C$1:$C$1325,C430,$D$1:$D$1325,D430,$B$1:$B$1325,"&lt;="&amp;B430)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  <c r="Q430" s="91" t="str">
        <f>IF(tblMovimientos[[#This Row],[Cuenta Bancaria]]="","",_xlfn.XLOOKUP(tblMovimientos[[#This Row],[Cuenta Bancaria]],Cuentas!$C:$C,Cuentas!$A:$A,"No encontrado"))</f>
        <v>SSP Group</v>
      </c>
      <c r="R430" s="91" t="str">
        <f>TRIM(_xlfn.XLOOKUP(tblMovimientos[[#This Row],[Cuenta Bancaria]],Cuentas!$C:$C,Cuentas!$B:$B,""))</f>
        <v/>
      </c>
    </row>
    <row r="431" spans="1:18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1"/>
        <v>-2977.94</v>
      </c>
      <c r="L431" s="15" t="s">
        <v>128</v>
      </c>
      <c r="M431" s="44">
        <f>SUMIFS('Saldos Iniciales'!$D:$D,'Saldos Iniciales'!$A:$A,C431,'Saldos Iniciales'!$B:$B,D431)+SUMIFS($K$1:$K$1325,$C$1:$C$1325,C431,$D$1:$D$1325,D431,$B$1:$B$1325,"&lt;="&amp;B431)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  <c r="Q431" s="91" t="str">
        <f>IF(tblMovimientos[[#This Row],[Cuenta Bancaria]]="","",_xlfn.XLOOKUP(tblMovimientos[[#This Row],[Cuenta Bancaria]],Cuentas!$C:$C,Cuentas!$A:$A,"No encontrado"))</f>
        <v>SSP Group</v>
      </c>
      <c r="R431" s="91" t="str">
        <f>TRIM(_xlfn.XLOOKUP(tblMovimientos[[#This Row],[Cuenta Bancaria]],Cuentas!$C:$C,Cuentas!$B:$B,""))</f>
        <v/>
      </c>
    </row>
    <row r="432" spans="1:18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1"/>
        <v>-611.12</v>
      </c>
      <c r="L432" s="15" t="s">
        <v>128</v>
      </c>
      <c r="M432" s="58">
        <f>SUMIFS('Saldos Iniciales'!$D:$D,'Saldos Iniciales'!$A:$A,C432,'Saldos Iniciales'!$B:$B,D432)+SUMIFS($K$1:$K$1325,$C$1:$C$1325,C432,$D$1:$D$1325,D432,$B$1:$B$1325,"&lt;="&amp;B432)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  <c r="Q432" s="91" t="str">
        <f>IF(tblMovimientos[[#This Row],[Cuenta Bancaria]]="","",_xlfn.XLOOKUP(tblMovimientos[[#This Row],[Cuenta Bancaria]],Cuentas!$C:$C,Cuentas!$A:$A,"No encontrado"))</f>
        <v>SSP Group</v>
      </c>
      <c r="R432" s="91" t="str">
        <f>TRIM(_xlfn.XLOOKUP(tblMovimientos[[#This Row],[Cuenta Bancaria]],Cuentas!$C:$C,Cuentas!$B:$B,""))</f>
        <v/>
      </c>
    </row>
    <row r="433" spans="1:18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1"/>
        <v>-6000</v>
      </c>
      <c r="L433" s="15" t="s">
        <v>128</v>
      </c>
      <c r="M433" s="44">
        <f>SUMIFS('Saldos Iniciales'!$D:$D,'Saldos Iniciales'!$A:$A,C433,'Saldos Iniciales'!$B:$B,D433)+SUMIFS($K$1:$K$1325,$C$1:$C$1325,C433,$D$1:$D$1325,D433,$B$1:$B$1325,"&lt;="&amp;B433)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  <c r="Q433" s="91" t="str">
        <f>IF(tblMovimientos[[#This Row],[Cuenta Bancaria]]="","",_xlfn.XLOOKUP(tblMovimientos[[#This Row],[Cuenta Bancaria]],Cuentas!$C:$C,Cuentas!$A:$A,"No encontrado"))</f>
        <v>Trust</v>
      </c>
      <c r="R433" s="91" t="str">
        <f>TRIM(_xlfn.XLOOKUP(tblMovimientos[[#This Row],[Cuenta Bancaria]],Cuentas!$C:$C,Cuentas!$B:$B,""))</f>
        <v/>
      </c>
    </row>
    <row r="434" spans="1:18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97" si="2">IF(F434="Ingreso",J434,-J434)</f>
        <v>-175</v>
      </c>
      <c r="L434" s="15" t="s">
        <v>129</v>
      </c>
      <c r="M434" s="44">
        <f>SUMIFS('Saldos Iniciales'!$D:$D,'Saldos Iniciales'!$A:$A,C434,'Saldos Iniciales'!$B:$B,D434)+SUMIFS($K$1:$K$1325,$C$1:$C$1325,C434,$D$1:$D$1325,D434,$B$1:$B$1325,"&lt;="&amp;B434)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  <c r="Q434" s="91" t="str">
        <f>IF(tblMovimientos[[#This Row],[Cuenta Bancaria]]="","",_xlfn.XLOOKUP(tblMovimientos[[#This Row],[Cuenta Bancaria]],Cuentas!$C:$C,Cuentas!$A:$A,"No encontrado"))</f>
        <v>SSP Group</v>
      </c>
      <c r="R434" s="91" t="str">
        <f>TRIM(_xlfn.XLOOKUP(tblMovimientos[[#This Row],[Cuenta Bancaria]],Cuentas!$C:$C,Cuentas!$B:$B,""))</f>
        <v/>
      </c>
    </row>
    <row r="435" spans="1:18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2"/>
        <v>16785.27</v>
      </c>
      <c r="L435" s="15" t="s">
        <v>129</v>
      </c>
      <c r="M435" s="44">
        <f>SUMIFS('Saldos Iniciales'!$D:$D,'Saldos Iniciales'!$A:$A,C435,'Saldos Iniciales'!$B:$B,D435)+SUMIFS($K$1:$K$1325,$C$1:$C$1325,C435,$D$1:$D$1325,D435,$B$1:$B$1325,"&lt;="&amp;B435)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  <c r="Q435" s="91" t="str">
        <f>IF(tblMovimientos[[#This Row],[Cuenta Bancaria]]="","",_xlfn.XLOOKUP(tblMovimientos[[#This Row],[Cuenta Bancaria]],Cuentas!$C:$C,Cuentas!$A:$A,"No encontrado"))</f>
        <v>SSP Group</v>
      </c>
      <c r="R435" s="91" t="str">
        <f>TRIM(_xlfn.XLOOKUP(tblMovimientos[[#This Row],[Cuenta Bancaria]],Cuentas!$C:$C,Cuentas!$B:$B,""))</f>
        <v>Cross Security Trust</v>
      </c>
    </row>
    <row r="436" spans="1:18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2"/>
        <v>1405.48</v>
      </c>
      <c r="L436" s="15" t="s">
        <v>129</v>
      </c>
      <c r="M436" s="44">
        <f>SUMIFS('Saldos Iniciales'!$D:$D,'Saldos Iniciales'!$A:$A,C436,'Saldos Iniciales'!$B:$B,D436)+SUMIFS($K$1:$K$1325,$C$1:$C$1325,C436,$D$1:$D$1325,D436,$B$1:$B$1325,"&lt;="&amp;B436)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  <c r="Q436" s="91" t="str">
        <f>IF(tblMovimientos[[#This Row],[Cuenta Bancaria]]="","",_xlfn.XLOOKUP(tblMovimientos[[#This Row],[Cuenta Bancaria]],Cuentas!$C:$C,Cuentas!$A:$A,"No encontrado"))</f>
        <v>SSP Group</v>
      </c>
      <c r="R436" s="91" t="str">
        <f>TRIM(_xlfn.XLOOKUP(tblMovimientos[[#This Row],[Cuenta Bancaria]],Cuentas!$C:$C,Cuentas!$B:$B,""))</f>
        <v>Cross Security Trust</v>
      </c>
    </row>
    <row r="437" spans="1:18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2"/>
        <v>-29.95</v>
      </c>
      <c r="L437" s="15" t="s">
        <v>129</v>
      </c>
      <c r="M437" s="44">
        <f>SUMIFS('Saldos Iniciales'!$D:$D,'Saldos Iniciales'!$A:$A,C437,'Saldos Iniciales'!$B:$B,D437)+SUMIFS($K$1:$K$1325,$C$1:$C$1325,C437,$D$1:$D$1325,D437,$B$1:$B$1325,"&lt;="&amp;B437)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  <c r="Q437" s="91" t="str">
        <f>IF(tblMovimientos[[#This Row],[Cuenta Bancaria]]="","",_xlfn.XLOOKUP(tblMovimientos[[#This Row],[Cuenta Bancaria]],Cuentas!$C:$C,Cuentas!$A:$A,"No encontrado"))</f>
        <v>SSP Group</v>
      </c>
      <c r="R437" s="91" t="str">
        <f>TRIM(_xlfn.XLOOKUP(tblMovimientos[[#This Row],[Cuenta Bancaria]],Cuentas!$C:$C,Cuentas!$B:$B,""))</f>
        <v/>
      </c>
    </row>
    <row r="438" spans="1:18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2"/>
        <v>-29.95</v>
      </c>
      <c r="L438" s="15" t="s">
        <v>129</v>
      </c>
      <c r="M438" s="44">
        <f>SUMIFS('Saldos Iniciales'!$D:$D,'Saldos Iniciales'!$A:$A,C438,'Saldos Iniciales'!$B:$B,D438)+SUMIFS($K$1:$K$1325,$C$1:$C$1325,C438,$D$1:$D$1325,D438,$B$1:$B$1325,"&lt;="&amp;B438)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  <c r="Q438" s="91" t="str">
        <f>IF(tblMovimientos[[#This Row],[Cuenta Bancaria]]="","",_xlfn.XLOOKUP(tblMovimientos[[#This Row],[Cuenta Bancaria]],Cuentas!$C:$C,Cuentas!$A:$A,"No encontrado"))</f>
        <v>SSP Group</v>
      </c>
      <c r="R438" s="91" t="str">
        <f>TRIM(_xlfn.XLOOKUP(tblMovimientos[[#This Row],[Cuenta Bancaria]],Cuentas!$C:$C,Cuentas!$B:$B,""))</f>
        <v/>
      </c>
    </row>
    <row r="439" spans="1:18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4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2"/>
        <v>-16</v>
      </c>
      <c r="L439" s="15" t="s">
        <v>129</v>
      </c>
      <c r="M439" s="44">
        <f>SUMIFS('Saldos Iniciales'!$D:$D,'Saldos Iniciales'!$A:$A,C439,'Saldos Iniciales'!$B:$B,D439)+SUMIFS($K$1:$K$1325,$C$1:$C$1325,C439,$D$1:$D$1325,D439,$B$1:$B$1325,"&lt;="&amp;B439)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  <c r="Q439" s="91" t="str">
        <f>IF(tblMovimientos[[#This Row],[Cuenta Bancaria]]="","",_xlfn.XLOOKUP(tblMovimientos[[#This Row],[Cuenta Bancaria]],Cuentas!$C:$C,Cuentas!$A:$A,"No encontrado"))</f>
        <v>SSP Group</v>
      </c>
      <c r="R439" s="91" t="str">
        <f>TRIM(_xlfn.XLOOKUP(tblMovimientos[[#This Row],[Cuenta Bancaria]],Cuentas!$C:$C,Cuentas!$B:$B,""))</f>
        <v/>
      </c>
    </row>
    <row r="440" spans="1:18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2"/>
        <v>-8533.33</v>
      </c>
      <c r="L440" s="15" t="s">
        <v>129</v>
      </c>
      <c r="M440" s="44">
        <f>SUMIFS('Saldos Iniciales'!$D:$D,'Saldos Iniciales'!$A:$A,C440,'Saldos Iniciales'!$B:$B,D440)+SUMIFS($K$1:$K$1325,$C$1:$C$1325,C440,$D$1:$D$1325,D440,$B$1:$B$1325,"&lt;="&amp;B440)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  <c r="Q440" s="91" t="str">
        <f>IF(tblMovimientos[[#This Row],[Cuenta Bancaria]]="","",_xlfn.XLOOKUP(tblMovimientos[[#This Row],[Cuenta Bancaria]],Cuentas!$C:$C,Cuentas!$A:$A,"No encontrado"))</f>
        <v>SSP Group</v>
      </c>
      <c r="R440" s="91" t="str">
        <f>TRIM(_xlfn.XLOOKUP(tblMovimientos[[#This Row],[Cuenta Bancaria]],Cuentas!$C:$C,Cuentas!$B:$B,""))</f>
        <v/>
      </c>
    </row>
    <row r="441" spans="1:18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2"/>
        <v>-10</v>
      </c>
      <c r="L441" s="15" t="s">
        <v>129</v>
      </c>
      <c r="M441" s="44">
        <f>SUMIFS('Saldos Iniciales'!$D:$D,'Saldos Iniciales'!$A:$A,C441,'Saldos Iniciales'!$B:$B,D441)+SUMIFS($K$1:$K$1325,$C$1:$C$1325,C441,$D$1:$D$1325,D441,$B$1:$B$1325,"&lt;="&amp;B441)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  <c r="Q441" s="91" t="str">
        <f>IF(tblMovimientos[[#This Row],[Cuenta Bancaria]]="","",_xlfn.XLOOKUP(tblMovimientos[[#This Row],[Cuenta Bancaria]],Cuentas!$C:$C,Cuentas!$A:$A,"No encontrado"))</f>
        <v>SSP Group</v>
      </c>
      <c r="R441" s="91" t="str">
        <f>TRIM(_xlfn.XLOOKUP(tblMovimientos[[#This Row],[Cuenta Bancaria]],Cuentas!$C:$C,Cuentas!$B:$B,""))</f>
        <v/>
      </c>
    </row>
    <row r="442" spans="1:18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2"/>
        <v>-9798.6299999999992</v>
      </c>
      <c r="L442" s="15" t="s">
        <v>129</v>
      </c>
      <c r="M442" s="44">
        <f>SUMIFS('Saldos Iniciales'!$D:$D,'Saldos Iniciales'!$A:$A,C442,'Saldos Iniciales'!$B:$B,D442)+SUMIFS($K$1:$K$1325,$C$1:$C$1325,C442,$D$1:$D$1325,D442,$B$1:$B$1325,"&lt;="&amp;B442)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  <c r="Q442" s="91" t="str">
        <f>IF(tblMovimientos[[#This Row],[Cuenta Bancaria]]="","",_xlfn.XLOOKUP(tblMovimientos[[#This Row],[Cuenta Bancaria]],Cuentas!$C:$C,Cuentas!$A:$A,"No encontrado"))</f>
        <v>SSP Group</v>
      </c>
      <c r="R442" s="91" t="str">
        <f>TRIM(_xlfn.XLOOKUP(tblMovimientos[[#This Row],[Cuenta Bancaria]],Cuentas!$C:$C,Cuentas!$B:$B,""))</f>
        <v/>
      </c>
    </row>
    <row r="443" spans="1:18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2"/>
        <v>-8773.0400000000009</v>
      </c>
      <c r="L443" s="15" t="s">
        <v>129</v>
      </c>
      <c r="M443" s="44">
        <f>SUMIFS('Saldos Iniciales'!$D:$D,'Saldos Iniciales'!$A:$A,C443,'Saldos Iniciales'!$B:$B,D443)+SUMIFS($K$1:$K$1325,$C$1:$C$1325,C443,$D$1:$D$1325,D443,$B$1:$B$1325,"&lt;="&amp;B443)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  <c r="Q443" s="91" t="str">
        <f>IF(tblMovimientos[[#This Row],[Cuenta Bancaria]]="","",_xlfn.XLOOKUP(tblMovimientos[[#This Row],[Cuenta Bancaria]],Cuentas!$C:$C,Cuentas!$A:$A,"No encontrado"))</f>
        <v>SSP Group</v>
      </c>
      <c r="R443" s="91" t="str">
        <f>TRIM(_xlfn.XLOOKUP(tblMovimientos[[#This Row],[Cuenta Bancaria]],Cuentas!$C:$C,Cuentas!$B:$B,""))</f>
        <v/>
      </c>
    </row>
    <row r="444" spans="1:18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165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2"/>
        <v>-258.5</v>
      </c>
      <c r="L444" s="15" t="s">
        <v>129</v>
      </c>
      <c r="M444" s="44">
        <f>SUMIFS('Saldos Iniciales'!$D:$D,'Saldos Iniciales'!$A:$A,C444,'Saldos Iniciales'!$B:$B,D444)+SUMIFS($K$1:$K$1325,$C$1:$C$1325,C444,$D$1:$D$1325,D444,$B$1:$B$1325,"&lt;="&amp;B444)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  <c r="Q444" s="91" t="str">
        <f>IF(tblMovimientos[[#This Row],[Cuenta Bancaria]]="","",_xlfn.XLOOKUP(tblMovimientos[[#This Row],[Cuenta Bancaria]],Cuentas!$C:$C,Cuentas!$A:$A,"No encontrado"))</f>
        <v>SSP Group</v>
      </c>
      <c r="R444" s="91" t="str">
        <f>TRIM(_xlfn.XLOOKUP(tblMovimientos[[#This Row],[Cuenta Bancaria]],Cuentas!$C:$C,Cuentas!$B:$B,""))</f>
        <v/>
      </c>
    </row>
    <row r="445" spans="1:18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2"/>
        <v>15280.15</v>
      </c>
      <c r="L445" s="15" t="s">
        <v>129</v>
      </c>
      <c r="M445" s="44">
        <f>SUMIFS('Saldos Iniciales'!$D:$D,'Saldos Iniciales'!$A:$A,C445,'Saldos Iniciales'!$B:$B,D445)+SUMIFS($K$1:$K$1325,$C$1:$C$1325,C445,$D$1:$D$1325,D445,$B$1:$B$1325,"&lt;="&amp;B445)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  <c r="Q445" s="91" t="str">
        <f>IF(tblMovimientos[[#This Row],[Cuenta Bancaria]]="","",_xlfn.XLOOKUP(tblMovimientos[[#This Row],[Cuenta Bancaria]],Cuentas!$C:$C,Cuentas!$A:$A,"No encontrado"))</f>
        <v>SSP Group</v>
      </c>
      <c r="R445" s="91" t="str">
        <f>TRIM(_xlfn.XLOOKUP(tblMovimientos[[#This Row],[Cuenta Bancaria]],Cuentas!$C:$C,Cuentas!$B:$B,""))</f>
        <v/>
      </c>
    </row>
    <row r="446" spans="1:18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2"/>
        <v>-60000</v>
      </c>
      <c r="L446" s="15" t="s">
        <v>129</v>
      </c>
      <c r="M446" s="44">
        <f>SUMIFS('Saldos Iniciales'!$D:$D,'Saldos Iniciales'!$A:$A,C446,'Saldos Iniciales'!$B:$B,D446)+SUMIFS($K$1:$K$1325,$C$1:$C$1325,C446,$D$1:$D$1325,D446,$B$1:$B$1325,"&lt;="&amp;B446)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  <c r="Q446" s="91" t="str">
        <f>IF(tblMovimientos[[#This Row],[Cuenta Bancaria]]="","",_xlfn.XLOOKUP(tblMovimientos[[#This Row],[Cuenta Bancaria]],Cuentas!$C:$C,Cuentas!$A:$A,"No encontrado"))</f>
        <v>SSP Group</v>
      </c>
      <c r="R446" s="91" t="str">
        <f>TRIM(_xlfn.XLOOKUP(tblMovimientos[[#This Row],[Cuenta Bancaria]],Cuentas!$C:$C,Cuentas!$B:$B,""))</f>
        <v>Cross Security Trust</v>
      </c>
    </row>
    <row r="447" spans="1:18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2"/>
        <v>-15280.15</v>
      </c>
      <c r="L447" s="15" t="s">
        <v>129</v>
      </c>
      <c r="M447" s="44">
        <f>SUMIFS('Saldos Iniciales'!$D:$D,'Saldos Iniciales'!$A:$A,C447,'Saldos Iniciales'!$B:$B,D447)+SUMIFS($K$1:$K$1325,$C$1:$C$1325,C447,$D$1:$D$1325,D447,$B$1:$B$1325,"&lt;="&amp;B447)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  <c r="Q447" s="91" t="str">
        <f>IF(tblMovimientos[[#This Row],[Cuenta Bancaria]]="","",_xlfn.XLOOKUP(tblMovimientos[[#This Row],[Cuenta Bancaria]],Cuentas!$C:$C,Cuentas!$A:$A,"No encontrado"))</f>
        <v>SSP Group</v>
      </c>
      <c r="R447" s="91" t="str">
        <f>TRIM(_xlfn.XLOOKUP(tblMovimientos[[#This Row],[Cuenta Bancaria]],Cuentas!$C:$C,Cuentas!$B:$B,""))</f>
        <v>Cross Security Trust</v>
      </c>
    </row>
    <row r="448" spans="1:18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2"/>
        <v>-82180.600000000006</v>
      </c>
      <c r="L448" s="15" t="s">
        <v>129</v>
      </c>
      <c r="M448" s="44">
        <f>SUMIFS('Saldos Iniciales'!$D:$D,'Saldos Iniciales'!$A:$A,C448,'Saldos Iniciales'!$B:$B,D448)+SUMIFS($K$1:$K$1325,$C$1:$C$1325,C448,$D$1:$D$1325,D448,$B$1:$B$1325,"&lt;="&amp;B448)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  <c r="Q448" s="91" t="str">
        <f>IF(tblMovimientos[[#This Row],[Cuenta Bancaria]]="","",_xlfn.XLOOKUP(tblMovimientos[[#This Row],[Cuenta Bancaria]],Cuentas!$C:$C,Cuentas!$A:$A,"No encontrado"))</f>
        <v>SSP Group</v>
      </c>
      <c r="R448" s="91" t="str">
        <f>TRIM(_xlfn.XLOOKUP(tblMovimientos[[#This Row],[Cuenta Bancaria]],Cuentas!$C:$C,Cuentas!$B:$B,""))</f>
        <v>Cross Security Trust</v>
      </c>
    </row>
    <row r="449" spans="2:18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2"/>
        <v>4400</v>
      </c>
      <c r="L449" s="15" t="s">
        <v>129</v>
      </c>
      <c r="M449" s="44">
        <f>SUMIFS('Saldos Iniciales'!$D:$D,'Saldos Iniciales'!$A:$A,C449,'Saldos Iniciales'!$B:$B,D449)+SUMIFS($K$1:$K$1325,$C$1:$C$1325,C449,$D$1:$D$1325,D449,$B$1:$B$1325,"&lt;="&amp;B449)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  <c r="Q449" s="91" t="str">
        <f>IF(tblMovimientos[[#This Row],[Cuenta Bancaria]]="","",_xlfn.XLOOKUP(tblMovimientos[[#This Row],[Cuenta Bancaria]],Cuentas!$C:$C,Cuentas!$A:$A,"No encontrado"))</f>
        <v>SSP Group</v>
      </c>
      <c r="R449" s="91" t="str">
        <f>TRIM(_xlfn.XLOOKUP(tblMovimientos[[#This Row],[Cuenta Bancaria]],Cuentas!$C:$C,Cuentas!$B:$B,""))</f>
        <v/>
      </c>
    </row>
    <row r="450" spans="2:18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2"/>
        <v>-3000</v>
      </c>
      <c r="L450" s="15" t="s">
        <v>129</v>
      </c>
      <c r="M450" s="44">
        <f>SUMIFS('Saldos Iniciales'!$D:$D,'Saldos Iniciales'!$A:$A,C450,'Saldos Iniciales'!$B:$B,D450)+SUMIFS($K$1:$K$1325,$C$1:$C$1325,C450,$D$1:$D$1325,D450,$B$1:$B$1325,"&lt;="&amp;B450)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  <c r="Q450" s="91" t="str">
        <f>IF(tblMovimientos[[#This Row],[Cuenta Bancaria]]="","",_xlfn.XLOOKUP(tblMovimientos[[#This Row],[Cuenta Bancaria]],Cuentas!$C:$C,Cuentas!$A:$A,"No encontrado"))</f>
        <v>SSP Group</v>
      </c>
      <c r="R450" s="91" t="str">
        <f>TRIM(_xlfn.XLOOKUP(tblMovimientos[[#This Row],[Cuenta Bancaria]],Cuentas!$C:$C,Cuentas!$B:$B,""))</f>
        <v/>
      </c>
    </row>
    <row r="451" spans="2:18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2"/>
        <v>-55000</v>
      </c>
      <c r="L451" s="15" t="s">
        <v>129</v>
      </c>
      <c r="M451" s="44">
        <f>SUMIFS('Saldos Iniciales'!$D:$D,'Saldos Iniciales'!$A:$A,C451,'Saldos Iniciales'!$B:$B,D451)+SUMIFS($K$1:$K$1325,$C$1:$C$1325,C451,$D$1:$D$1325,D451,$B$1:$B$1325,"&lt;="&amp;B451)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  <c r="Q451" s="91" t="str">
        <f>IF(tblMovimientos[[#This Row],[Cuenta Bancaria]]="","",_xlfn.XLOOKUP(tblMovimientos[[#This Row],[Cuenta Bancaria]],Cuentas!$C:$C,Cuentas!$A:$A,"No encontrado"))</f>
        <v>SSP Group</v>
      </c>
      <c r="R451" s="91" t="str">
        <f>TRIM(_xlfn.XLOOKUP(tblMovimientos[[#This Row],[Cuenta Bancaria]],Cuentas!$C:$C,Cuentas!$B:$B,""))</f>
        <v/>
      </c>
    </row>
    <row r="452" spans="2:18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2"/>
        <v>-60000</v>
      </c>
      <c r="L452" s="15" t="s">
        <v>129</v>
      </c>
      <c r="M452" s="44">
        <f>SUMIFS('Saldos Iniciales'!$D:$D,'Saldos Iniciales'!$A:$A,C452,'Saldos Iniciales'!$B:$B,D452)+SUMIFS($K$1:$K$1325,$C$1:$C$1325,C452,$D$1:$D$1325,D452,$B$1:$B$1325,"&lt;="&amp;B452)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  <c r="Q452" s="91" t="str">
        <f>IF(tblMovimientos[[#This Row],[Cuenta Bancaria]]="","",_xlfn.XLOOKUP(tblMovimientos[[#This Row],[Cuenta Bancaria]],Cuentas!$C:$C,Cuentas!$A:$A,"No encontrado"))</f>
        <v>SSP Group</v>
      </c>
      <c r="R452" s="91" t="str">
        <f>TRIM(_xlfn.XLOOKUP(tblMovimientos[[#This Row],[Cuenta Bancaria]],Cuentas!$C:$C,Cuentas!$B:$B,""))</f>
        <v/>
      </c>
    </row>
    <row r="453" spans="2:18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2"/>
        <v>-85000</v>
      </c>
      <c r="L453" s="15" t="s">
        <v>129</v>
      </c>
      <c r="M453" s="44">
        <f>SUMIFS('Saldos Iniciales'!$D:$D,'Saldos Iniciales'!$A:$A,C453,'Saldos Iniciales'!$B:$B,D453)+SUMIFS($K$1:$K$1325,$C$1:$C$1325,C453,$D$1:$D$1325,D453,$B$1:$B$1325,"&lt;="&amp;B453)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  <c r="Q453" s="91" t="str">
        <f>IF(tblMovimientos[[#This Row],[Cuenta Bancaria]]="","",_xlfn.XLOOKUP(tblMovimientos[[#This Row],[Cuenta Bancaria]],Cuentas!$C:$C,Cuentas!$A:$A,"No encontrado"))</f>
        <v>SSP Group</v>
      </c>
      <c r="R453" s="91" t="str">
        <f>TRIM(_xlfn.XLOOKUP(tblMovimientos[[#This Row],[Cuenta Bancaria]],Cuentas!$C:$C,Cuentas!$B:$B,""))</f>
        <v/>
      </c>
    </row>
    <row r="454" spans="2:18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2"/>
        <v>-100000</v>
      </c>
      <c r="L454" s="15" t="s">
        <v>129</v>
      </c>
      <c r="M454" s="44">
        <f>SUMIFS('Saldos Iniciales'!$D:$D,'Saldos Iniciales'!$A:$A,C454,'Saldos Iniciales'!$B:$B,D454)+SUMIFS($K$1:$K$1325,$C$1:$C$1325,C454,$D$1:$D$1325,D454,$B$1:$B$1325,"&lt;="&amp;B454)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  <c r="Q454" s="91" t="str">
        <f>IF(tblMovimientos[[#This Row],[Cuenta Bancaria]]="","",_xlfn.XLOOKUP(tblMovimientos[[#This Row],[Cuenta Bancaria]],Cuentas!$C:$C,Cuentas!$A:$A,"No encontrado"))</f>
        <v>SSP Group</v>
      </c>
      <c r="R454" s="91" t="str">
        <f>TRIM(_xlfn.XLOOKUP(tblMovimientos[[#This Row],[Cuenta Bancaria]],Cuentas!$C:$C,Cuentas!$B:$B,""))</f>
        <v/>
      </c>
    </row>
    <row r="455" spans="2:18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2"/>
        <v>-100000</v>
      </c>
      <c r="L455" s="15" t="s">
        <v>129</v>
      </c>
      <c r="M455" s="44">
        <f>SUMIFS('Saldos Iniciales'!$D:$D,'Saldos Iniciales'!$A:$A,C455,'Saldos Iniciales'!$B:$B,D455)+SUMIFS($K$1:$K$1325,$C$1:$C$1325,C455,$D$1:$D$1325,D455,$B$1:$B$1325,"&lt;="&amp;B455)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  <c r="Q455" s="91" t="str">
        <f>IF(tblMovimientos[[#This Row],[Cuenta Bancaria]]="","",_xlfn.XLOOKUP(tblMovimientos[[#This Row],[Cuenta Bancaria]],Cuentas!$C:$C,Cuentas!$A:$A,"No encontrado"))</f>
        <v>SSP Group</v>
      </c>
      <c r="R455" s="91" t="str">
        <f>TRIM(_xlfn.XLOOKUP(tblMovimientos[[#This Row],[Cuenta Bancaria]],Cuentas!$C:$C,Cuentas!$B:$B,""))</f>
        <v/>
      </c>
    </row>
    <row r="456" spans="2:18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2"/>
        <v>-100000</v>
      </c>
      <c r="L456" s="15" t="s">
        <v>129</v>
      </c>
      <c r="M456" s="44">
        <f>SUMIFS('Saldos Iniciales'!$D:$D,'Saldos Iniciales'!$A:$A,C456,'Saldos Iniciales'!$B:$B,D456)+SUMIFS($K$1:$K$1325,$C$1:$C$1325,C456,$D$1:$D$1325,D456,$B$1:$B$1325,"&lt;="&amp;B456)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  <c r="Q456" s="91" t="str">
        <f>IF(tblMovimientos[[#This Row],[Cuenta Bancaria]]="","",_xlfn.XLOOKUP(tblMovimientos[[#This Row],[Cuenta Bancaria]],Cuentas!$C:$C,Cuentas!$A:$A,"No encontrado"))</f>
        <v>SSP Group</v>
      </c>
      <c r="R456" s="91" t="str">
        <f>TRIM(_xlfn.XLOOKUP(tblMovimientos[[#This Row],[Cuenta Bancaria]],Cuentas!$C:$C,Cuentas!$B:$B,""))</f>
        <v/>
      </c>
    </row>
    <row r="457" spans="2:18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2"/>
        <v>-200000</v>
      </c>
      <c r="L457" s="15" t="s">
        <v>129</v>
      </c>
      <c r="M457" s="44">
        <f>SUMIFS('Saldos Iniciales'!$D:$D,'Saldos Iniciales'!$A:$A,C457,'Saldos Iniciales'!$B:$B,D457)+SUMIFS($K$1:$K$1325,$C$1:$C$1325,C457,$D$1:$D$1325,D457,$B$1:$B$1325,"&lt;="&amp;B457)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  <c r="Q457" s="91" t="str">
        <f>IF(tblMovimientos[[#This Row],[Cuenta Bancaria]]="","",_xlfn.XLOOKUP(tblMovimientos[[#This Row],[Cuenta Bancaria]],Cuentas!$C:$C,Cuentas!$A:$A,"No encontrado"))</f>
        <v>SSP Group</v>
      </c>
      <c r="R457" s="91" t="str">
        <f>TRIM(_xlfn.XLOOKUP(tblMovimientos[[#This Row],[Cuenta Bancaria]],Cuentas!$C:$C,Cuentas!$B:$B,""))</f>
        <v/>
      </c>
    </row>
    <row r="458" spans="2:18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2"/>
        <v>-20000</v>
      </c>
      <c r="L458" s="15" t="s">
        <v>129</v>
      </c>
      <c r="M458" s="44">
        <f>SUMIFS('Saldos Iniciales'!$D:$D,'Saldos Iniciales'!$A:$A,C458,'Saldos Iniciales'!$B:$B,D458)+SUMIFS($K$1:$K$1325,$C$1:$C$1325,C458,$D$1:$D$1325,D458,$B$1:$B$1325,"&lt;="&amp;B458)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  <c r="Q458" s="91" t="str">
        <f>IF(tblMovimientos[[#This Row],[Cuenta Bancaria]]="","",_xlfn.XLOOKUP(tblMovimientos[[#This Row],[Cuenta Bancaria]],Cuentas!$C:$C,Cuentas!$A:$A,"No encontrado"))</f>
        <v>Trust</v>
      </c>
      <c r="R458" s="91" t="str">
        <f>TRIM(_xlfn.XLOOKUP(tblMovimientos[[#This Row],[Cuenta Bancaria]],Cuentas!$C:$C,Cuentas!$B:$B,""))</f>
        <v/>
      </c>
    </row>
    <row r="459" spans="2:18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2"/>
        <v>-150000</v>
      </c>
      <c r="L459" s="15" t="s">
        <v>129</v>
      </c>
      <c r="M459" s="44">
        <f>SUMIFS('Saldos Iniciales'!$D:$D,'Saldos Iniciales'!$A:$A,C459,'Saldos Iniciales'!$B:$B,D459)+SUMIFS($K$1:$K$1325,$C$1:$C$1325,C459,$D$1:$D$1325,D459,$B$1:$B$1325,"&lt;="&amp;B459)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  <c r="Q459" s="91" t="str">
        <f>IF(tblMovimientos[[#This Row],[Cuenta Bancaria]]="","",_xlfn.XLOOKUP(tblMovimientos[[#This Row],[Cuenta Bancaria]],Cuentas!$C:$C,Cuentas!$A:$A,"No encontrado"))</f>
        <v>Trust</v>
      </c>
      <c r="R459" s="91" t="str">
        <f>TRIM(_xlfn.XLOOKUP(tblMovimientos[[#This Row],[Cuenta Bancaria]],Cuentas!$C:$C,Cuentas!$B:$B,""))</f>
        <v/>
      </c>
    </row>
    <row r="460" spans="2:18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2"/>
        <v>150000</v>
      </c>
      <c r="L460" s="15" t="s">
        <v>129</v>
      </c>
      <c r="M460" s="44">
        <f>SUMIFS('Saldos Iniciales'!$D:$D,'Saldos Iniciales'!$A:$A,C460,'Saldos Iniciales'!$B:$B,D460)+SUMIFS($K$1:$K$1325,$C$1:$C$1325,C460,$D$1:$D$1325,D460,$B$1:$B$1325,"&lt;="&amp;B460)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  <c r="Q460" s="91" t="str">
        <f>IF(tblMovimientos[[#This Row],[Cuenta Bancaria]]="","",_xlfn.XLOOKUP(tblMovimientos[[#This Row],[Cuenta Bancaria]],Cuentas!$C:$C,Cuentas!$A:$A,"No encontrado"))</f>
        <v>SSP Group</v>
      </c>
      <c r="R460" s="91" t="str">
        <f>TRIM(_xlfn.XLOOKUP(tblMovimientos[[#This Row],[Cuenta Bancaria]],Cuentas!$C:$C,Cuentas!$B:$B,""))</f>
        <v/>
      </c>
    </row>
    <row r="461" spans="2:18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2"/>
        <v>-100000</v>
      </c>
      <c r="L461" s="15" t="s">
        <v>129</v>
      </c>
      <c r="M461" s="44">
        <f>SUMIFS('Saldos Iniciales'!$D:$D,'Saldos Iniciales'!$A:$A,C461,'Saldos Iniciales'!$B:$B,D461)+SUMIFS($K$1:$K$1325,$C$1:$C$1325,C461,$D$1:$D$1325,D461,$B$1:$B$1325,"&lt;="&amp;B461)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91" t="str">
        <f>IF(tblMovimientos[[#This Row],[Cuenta Bancaria]]="","",_xlfn.XLOOKUP(tblMovimientos[[#This Row],[Cuenta Bancaria]],Cuentas!$C:$C,Cuentas!$A:$A,"No encontrado"))</f>
        <v>SSP Group</v>
      </c>
      <c r="R461" s="91" t="str">
        <f>TRIM(_xlfn.XLOOKUP(tblMovimientos[[#This Row],[Cuenta Bancaria]],Cuentas!$C:$C,Cuentas!$B:$B,""))</f>
        <v/>
      </c>
    </row>
    <row r="462" spans="2:18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2"/>
        <v>20000</v>
      </c>
      <c r="L462" s="15" t="s">
        <v>129</v>
      </c>
      <c r="M462" s="44">
        <f>SUMIFS('Saldos Iniciales'!$D:$D,'Saldos Iniciales'!$A:$A,C462,'Saldos Iniciales'!$B:$B,D462)+SUMIFS($K$1:$K$1325,$C$1:$C$1325,C462,$D$1:$D$1325,D462,$B$1:$B$1325,"&lt;="&amp;B462)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  <c r="Q462" s="91" t="str">
        <f>IF(tblMovimientos[[#This Row],[Cuenta Bancaria]]="","",_xlfn.XLOOKUP(tblMovimientos[[#This Row],[Cuenta Bancaria]],Cuentas!$C:$C,Cuentas!$A:$A,"No encontrado"))</f>
        <v>SSP Group</v>
      </c>
      <c r="R462" s="91" t="str">
        <f>TRIM(_xlfn.XLOOKUP(tblMovimientos[[#This Row],[Cuenta Bancaria]],Cuentas!$C:$C,Cuentas!$B:$B,""))</f>
        <v/>
      </c>
    </row>
    <row r="463" spans="2:18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2"/>
        <v>-20000</v>
      </c>
      <c r="L463" s="15" t="s">
        <v>129</v>
      </c>
      <c r="M463" s="44">
        <f>SUMIFS('Saldos Iniciales'!$D:$D,'Saldos Iniciales'!$A:$A,C463,'Saldos Iniciales'!$B:$B,D463)+SUMIFS($K$1:$K$1325,$C$1:$C$1325,C463,$D$1:$D$1325,D463,$B$1:$B$1325,"&lt;="&amp;B463)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  <c r="Q463" s="91" t="str">
        <f>IF(tblMovimientos[[#This Row],[Cuenta Bancaria]]="","",_xlfn.XLOOKUP(tblMovimientos[[#This Row],[Cuenta Bancaria]],Cuentas!$C:$C,Cuentas!$A:$A,"No encontrado"))</f>
        <v>SSP Group</v>
      </c>
      <c r="R463" s="91" t="str">
        <f>TRIM(_xlfn.XLOOKUP(tblMovimientos[[#This Row],[Cuenta Bancaria]],Cuentas!$C:$C,Cuentas!$B:$B,""))</f>
        <v/>
      </c>
    </row>
    <row r="464" spans="2:18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2"/>
        <v>20000</v>
      </c>
      <c r="L464" s="15" t="s">
        <v>129</v>
      </c>
      <c r="M464" s="44">
        <f>SUMIFS('Saldos Iniciales'!$D:$D,'Saldos Iniciales'!$A:$A,C464,'Saldos Iniciales'!$B:$B,D464)+SUMIFS($K$1:$K$1325,$C$1:$C$1325,C464,$D$1:$D$1325,D464,$B$1:$B$1325,"&lt;="&amp;B464)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  <c r="Q464" s="91" t="str">
        <f>IF(tblMovimientos[[#This Row],[Cuenta Bancaria]]="","",_xlfn.XLOOKUP(tblMovimientos[[#This Row],[Cuenta Bancaria]],Cuentas!$C:$C,Cuentas!$A:$A,"No encontrado"))</f>
        <v>SSP Group</v>
      </c>
      <c r="R464" s="91" t="str">
        <f>TRIM(_xlfn.XLOOKUP(tblMovimientos[[#This Row],[Cuenta Bancaria]],Cuentas!$C:$C,Cuentas!$B:$B,""))</f>
        <v/>
      </c>
    </row>
    <row r="465" spans="1:18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2"/>
        <v>-2830.5</v>
      </c>
      <c r="L465" s="15" t="s">
        <v>129</v>
      </c>
      <c r="M465" s="44">
        <f>SUMIFS('Saldos Iniciales'!$D:$D,'Saldos Iniciales'!$A:$A,C465,'Saldos Iniciales'!$B:$B,D465)+SUMIFS($K$1:$K$1325,$C$1:$C$1325,C465,$D$1:$D$1325,D465,$B$1:$B$1325,"&lt;="&amp;B465)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  <c r="Q465" s="91" t="str">
        <f>IF(tblMovimientos[[#This Row],[Cuenta Bancaria]]="","",_xlfn.XLOOKUP(tblMovimientos[[#This Row],[Cuenta Bancaria]],Cuentas!$C:$C,Cuentas!$A:$A,"No encontrado"))</f>
        <v>SSP Group</v>
      </c>
      <c r="R465" s="91" t="str">
        <f>TRIM(_xlfn.XLOOKUP(tblMovimientos[[#This Row],[Cuenta Bancaria]],Cuentas!$C:$C,Cuentas!$B:$B,""))</f>
        <v/>
      </c>
    </row>
    <row r="466" spans="1:18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2"/>
        <v>-350</v>
      </c>
      <c r="L466" s="15" t="s">
        <v>129</v>
      </c>
      <c r="M466" s="44">
        <f>SUMIFS('Saldos Iniciales'!$D:$D,'Saldos Iniciales'!$A:$A,C466,'Saldos Iniciales'!$B:$B,D466)+SUMIFS($K$1:$K$1325,$C$1:$C$1325,C466,$D$1:$D$1325,D466,$B$1:$B$1325,"&lt;="&amp;B466)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  <c r="Q466" s="91" t="str">
        <f>IF(tblMovimientos[[#This Row],[Cuenta Bancaria]]="","",_xlfn.XLOOKUP(tblMovimientos[[#This Row],[Cuenta Bancaria]],Cuentas!$C:$C,Cuentas!$A:$A,"No encontrado"))</f>
        <v>SSP Group</v>
      </c>
      <c r="R466" s="91" t="str">
        <f>TRIM(_xlfn.XLOOKUP(tblMovimientos[[#This Row],[Cuenta Bancaria]],Cuentas!$C:$C,Cuentas!$B:$B,""))</f>
        <v/>
      </c>
    </row>
    <row r="467" spans="1:18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2"/>
        <v>-610</v>
      </c>
      <c r="L467" s="15" t="s">
        <v>129</v>
      </c>
      <c r="M467" s="44">
        <f>SUMIFS('Saldos Iniciales'!$D:$D,'Saldos Iniciales'!$A:$A,C467,'Saldos Iniciales'!$B:$B,D467)+SUMIFS($K$1:$K$1325,$C$1:$C$1325,C467,$D$1:$D$1325,D467,$B$1:$B$1325,"&lt;="&amp;B467)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  <c r="Q467" s="91" t="str">
        <f>IF(tblMovimientos[[#This Row],[Cuenta Bancaria]]="","",_xlfn.XLOOKUP(tblMovimientos[[#This Row],[Cuenta Bancaria]],Cuentas!$C:$C,Cuentas!$A:$A,"No encontrado"))</f>
        <v>SSP Group</v>
      </c>
      <c r="R467" s="91" t="str">
        <f>TRIM(_xlfn.XLOOKUP(tblMovimientos[[#This Row],[Cuenta Bancaria]],Cuentas!$C:$C,Cuentas!$B:$B,""))</f>
        <v/>
      </c>
    </row>
    <row r="468" spans="1:18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2"/>
        <v>-15</v>
      </c>
      <c r="L468" s="15" t="s">
        <v>129</v>
      </c>
      <c r="M468" s="44">
        <f>SUMIFS('Saldos Iniciales'!$D:$D,'Saldos Iniciales'!$A:$A,C468,'Saldos Iniciales'!$B:$B,D468)+SUMIFS($K$1:$K$1325,$C$1:$C$1325,C468,$D$1:$D$1325,D468,$B$1:$B$1325,"&lt;="&amp;B468)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  <c r="Q468" s="91" t="str">
        <f>IF(tblMovimientos[[#This Row],[Cuenta Bancaria]]="","",_xlfn.XLOOKUP(tblMovimientos[[#This Row],[Cuenta Bancaria]],Cuentas!$C:$C,Cuentas!$A:$A,"No encontrado"))</f>
        <v>SSP Group</v>
      </c>
      <c r="R468" s="91" t="str">
        <f>TRIM(_xlfn.XLOOKUP(tblMovimientos[[#This Row],[Cuenta Bancaria]],Cuentas!$C:$C,Cuentas!$B:$B,""))</f>
        <v/>
      </c>
    </row>
    <row r="469" spans="1:18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2"/>
        <v>-82.98</v>
      </c>
      <c r="L469" s="15" t="s">
        <v>129</v>
      </c>
      <c r="M469" s="44">
        <f>SUMIFS('Saldos Iniciales'!$D:$D,'Saldos Iniciales'!$A:$A,C469,'Saldos Iniciales'!$B:$B,D469)+SUMIFS($K$1:$K$1325,$C$1:$C$1325,C469,$D$1:$D$1325,D469,$B$1:$B$1325,"&lt;="&amp;B469)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  <c r="Q469" s="91" t="str">
        <f>IF(tblMovimientos[[#This Row],[Cuenta Bancaria]]="","",_xlfn.XLOOKUP(tblMovimientos[[#This Row],[Cuenta Bancaria]],Cuentas!$C:$C,Cuentas!$A:$A,"No encontrado"))</f>
        <v>SSP Group</v>
      </c>
      <c r="R469" s="91" t="str">
        <f>TRIM(_xlfn.XLOOKUP(tblMovimientos[[#This Row],[Cuenta Bancaria]],Cuentas!$C:$C,Cuentas!$B:$B,""))</f>
        <v/>
      </c>
    </row>
    <row r="470" spans="1:18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2"/>
        <v>-3309.58</v>
      </c>
      <c r="L470" s="15" t="s">
        <v>129</v>
      </c>
      <c r="M470" s="44">
        <f>SUMIFS('Saldos Iniciales'!$D:$D,'Saldos Iniciales'!$A:$A,C470,'Saldos Iniciales'!$B:$B,D470)+SUMIFS($K$1:$K$1325,$C$1:$C$1325,C470,$D$1:$D$1325,D470,$B$1:$B$1325,"&lt;="&amp;B470)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  <c r="Q470" s="91" t="str">
        <f>IF(tblMovimientos[[#This Row],[Cuenta Bancaria]]="","",_xlfn.XLOOKUP(tblMovimientos[[#This Row],[Cuenta Bancaria]],Cuentas!$C:$C,Cuentas!$A:$A,"No encontrado"))</f>
        <v>SSP Group</v>
      </c>
      <c r="R470" s="91" t="str">
        <f>TRIM(_xlfn.XLOOKUP(tblMovimientos[[#This Row],[Cuenta Bancaria]],Cuentas!$C:$C,Cuentas!$B:$B,""))</f>
        <v/>
      </c>
    </row>
    <row r="471" spans="1:18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152</v>
      </c>
      <c r="J471" s="43">
        <v>4400</v>
      </c>
      <c r="K471" s="5">
        <f t="shared" si="2"/>
        <v>4400</v>
      </c>
      <c r="L471" s="15" t="s">
        <v>129</v>
      </c>
      <c r="M471" s="44">
        <f>SUMIFS('Saldos Iniciales'!$D:$D,'Saldos Iniciales'!$A:$A,C471,'Saldos Iniciales'!$B:$B,D471)+SUMIFS($K$1:$K$1325,$C$1:$C$1325,C471,$D$1:$D$1325,D471,$B$1:$B$1325,"&lt;="&amp;B471)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  <c r="Q471" s="91" t="str">
        <f>IF(tblMovimientos[[#This Row],[Cuenta Bancaria]]="","",_xlfn.XLOOKUP(tblMovimientos[[#This Row],[Cuenta Bancaria]],Cuentas!$C:$C,Cuentas!$A:$A,"No encontrado"))</f>
        <v>SSP Group</v>
      </c>
      <c r="R471" s="91" t="str">
        <f>TRIM(_xlfn.XLOOKUP(tblMovimientos[[#This Row],[Cuenta Bancaria]],Cuentas!$C:$C,Cuentas!$B:$B,""))</f>
        <v/>
      </c>
    </row>
    <row r="472" spans="1:18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2"/>
        <v>-2363.85</v>
      </c>
      <c r="L472" s="15" t="s">
        <v>129</v>
      </c>
      <c r="M472" s="44">
        <f>SUMIFS('Saldos Iniciales'!$D:$D,'Saldos Iniciales'!$A:$A,C472,'Saldos Iniciales'!$B:$B,D472)+SUMIFS($K$1:$K$1325,$C$1:$C$1325,C472,$D$1:$D$1325,D472,$B$1:$B$1325,"&lt;="&amp;B472)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  <c r="Q472" s="91" t="str">
        <f>IF(tblMovimientos[[#This Row],[Cuenta Bancaria]]="","",_xlfn.XLOOKUP(tblMovimientos[[#This Row],[Cuenta Bancaria]],Cuentas!$C:$C,Cuentas!$A:$A,"No encontrado"))</f>
        <v>SSP Group</v>
      </c>
      <c r="R472" s="91" t="str">
        <f>TRIM(_xlfn.XLOOKUP(tblMovimientos[[#This Row],[Cuenta Bancaria]],Cuentas!$C:$C,Cuentas!$B:$B,""))</f>
        <v/>
      </c>
    </row>
    <row r="473" spans="1:18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165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2"/>
        <v>-229.15</v>
      </c>
      <c r="L473" s="15" t="s">
        <v>129</v>
      </c>
      <c r="M473" s="44">
        <f>SUMIFS('Saldos Iniciales'!$D:$D,'Saldos Iniciales'!$A:$A,C473,'Saldos Iniciales'!$B:$B,D473)+SUMIFS($K$1:$K$1325,$C$1:$C$1325,C473,$D$1:$D$1325,D473,$B$1:$B$1325,"&lt;="&amp;B473)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  <c r="Q473" s="91" t="str">
        <f>IF(tblMovimientos[[#This Row],[Cuenta Bancaria]]="","",_xlfn.XLOOKUP(tblMovimientos[[#This Row],[Cuenta Bancaria]],Cuentas!$C:$C,Cuentas!$A:$A,"No encontrado"))</f>
        <v>SSP Group</v>
      </c>
      <c r="R473" s="91" t="str">
        <f>TRIM(_xlfn.XLOOKUP(tblMovimientos[[#This Row],[Cuenta Bancaria]],Cuentas!$C:$C,Cuentas!$B:$B,""))</f>
        <v/>
      </c>
    </row>
    <row r="474" spans="1:18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165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2"/>
        <v>-499.22</v>
      </c>
      <c r="L474" s="15" t="s">
        <v>129</v>
      </c>
      <c r="M474" s="44">
        <f>SUMIFS('Saldos Iniciales'!$D:$D,'Saldos Iniciales'!$A:$A,C474,'Saldos Iniciales'!$B:$B,D474)+SUMIFS($K$1:$K$1325,$C$1:$C$1325,C474,$D$1:$D$1325,D474,$B$1:$B$1325,"&lt;="&amp;B474)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  <c r="Q474" s="91" t="str">
        <f>IF(tblMovimientos[[#This Row],[Cuenta Bancaria]]="","",_xlfn.XLOOKUP(tblMovimientos[[#This Row],[Cuenta Bancaria]],Cuentas!$C:$C,Cuentas!$A:$A,"No encontrado"))</f>
        <v>SSP Group</v>
      </c>
      <c r="R474" s="91" t="str">
        <f>TRIM(_xlfn.XLOOKUP(tblMovimientos[[#This Row],[Cuenta Bancaria]],Cuentas!$C:$C,Cuentas!$B:$B,""))</f>
        <v/>
      </c>
    </row>
    <row r="475" spans="1:18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165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2"/>
        <v>-29.96</v>
      </c>
      <c r="L475" s="15" t="s">
        <v>129</v>
      </c>
      <c r="M475" s="44">
        <f>SUMIFS('Saldos Iniciales'!$D:$D,'Saldos Iniciales'!$A:$A,C475,'Saldos Iniciales'!$B:$B,D475)+SUMIFS($K$1:$K$1325,$C$1:$C$1325,C475,$D$1:$D$1325,D475,$B$1:$B$1325,"&lt;="&amp;B475)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  <c r="Q475" s="91" t="str">
        <f>IF(tblMovimientos[[#This Row],[Cuenta Bancaria]]="","",_xlfn.XLOOKUP(tblMovimientos[[#This Row],[Cuenta Bancaria]],Cuentas!$C:$C,Cuentas!$A:$A,"No encontrado"))</f>
        <v>SSP Group</v>
      </c>
      <c r="R475" s="91" t="str">
        <f>TRIM(_xlfn.XLOOKUP(tblMovimientos[[#This Row],[Cuenta Bancaria]],Cuentas!$C:$C,Cuentas!$B:$B,""))</f>
        <v/>
      </c>
    </row>
    <row r="476" spans="1:18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2"/>
        <v>-40</v>
      </c>
      <c r="L476" s="15" t="s">
        <v>129</v>
      </c>
      <c r="M476" s="44">
        <f>SUMIFS('Saldos Iniciales'!$D:$D,'Saldos Iniciales'!$A:$A,C476,'Saldos Iniciales'!$B:$B,D476)+SUMIFS($K$1:$K$1325,$C$1:$C$1325,C476,$D$1:$D$1325,D476,$B$1:$B$1325,"&lt;="&amp;B476)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  <c r="Q476" s="91" t="str">
        <f>IF(tblMovimientos[[#This Row],[Cuenta Bancaria]]="","",_xlfn.XLOOKUP(tblMovimientos[[#This Row],[Cuenta Bancaria]],Cuentas!$C:$C,Cuentas!$A:$A,"No encontrado"))</f>
        <v>SSP Group</v>
      </c>
      <c r="R476" s="91" t="str">
        <f>TRIM(_xlfn.XLOOKUP(tblMovimientos[[#This Row],[Cuenta Bancaria]],Cuentas!$C:$C,Cuentas!$B:$B,""))</f>
        <v/>
      </c>
    </row>
    <row r="477" spans="1:18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2"/>
        <v>-538.41999999999996</v>
      </c>
      <c r="L477" s="15" t="s">
        <v>129</v>
      </c>
      <c r="M477" s="44">
        <f>SUMIFS('Saldos Iniciales'!$D:$D,'Saldos Iniciales'!$A:$A,C477,'Saldos Iniciales'!$B:$B,D477)+SUMIFS($K$1:$K$1325,$C$1:$C$1325,C477,$D$1:$D$1325,D477,$B$1:$B$1325,"&lt;="&amp;B477)</f>
        <v>22518.97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  <c r="Q477" s="91" t="str">
        <f>IF(tblMovimientos[[#This Row],[Cuenta Bancaria]]="","",_xlfn.XLOOKUP(tblMovimientos[[#This Row],[Cuenta Bancaria]],Cuentas!$C:$C,Cuentas!$A:$A,"No encontrado"))</f>
        <v>SSP Group</v>
      </c>
      <c r="R477" s="91" t="str">
        <f>TRIM(_xlfn.XLOOKUP(tblMovimientos[[#This Row],[Cuenta Bancaria]],Cuentas!$C:$C,Cuentas!$B:$B,""))</f>
        <v/>
      </c>
    </row>
    <row r="478" spans="1:18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2"/>
        <v>-17151.490000000002</v>
      </c>
      <c r="L478" s="15" t="s">
        <v>129</v>
      </c>
      <c r="M478" s="44">
        <f>SUMIFS('Saldos Iniciales'!$D:$D,'Saldos Iniciales'!$A:$A,C478,'Saldos Iniciales'!$B:$B,D478)+SUMIFS($K$1:$K$1325,$C$1:$C$1325,C478,$D$1:$D$1325,D478,$B$1:$B$1325,"&lt;="&amp;B478)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  <c r="Q478" s="91" t="str">
        <f>IF(tblMovimientos[[#This Row],[Cuenta Bancaria]]="","",_xlfn.XLOOKUP(tblMovimientos[[#This Row],[Cuenta Bancaria]],Cuentas!$C:$C,Cuentas!$A:$A,"No encontrado"))</f>
        <v>SSP Group</v>
      </c>
      <c r="R478" s="91" t="str">
        <f>TRIM(_xlfn.XLOOKUP(tblMovimientos[[#This Row],[Cuenta Bancaria]],Cuentas!$C:$C,Cuentas!$B:$B,""))</f>
        <v/>
      </c>
    </row>
    <row r="479" spans="1:18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165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2"/>
        <v>-30</v>
      </c>
      <c r="L479" s="15" t="s">
        <v>129</v>
      </c>
      <c r="M479" s="44">
        <f>SUMIFS('Saldos Iniciales'!$D:$D,'Saldos Iniciales'!$A:$A,C479,'Saldos Iniciales'!$B:$B,D479)+SUMIFS($K$1:$K$1325,$C$1:$C$1325,C479,$D$1:$D$1325,D479,$B$1:$B$1325,"&lt;="&amp;B479)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  <c r="Q479" s="91" t="str">
        <f>IF(tblMovimientos[[#This Row],[Cuenta Bancaria]]="","",_xlfn.XLOOKUP(tblMovimientos[[#This Row],[Cuenta Bancaria]],Cuentas!$C:$C,Cuentas!$A:$A,"No encontrado"))</f>
        <v>SSP Group</v>
      </c>
      <c r="R479" s="91" t="str">
        <f>TRIM(_xlfn.XLOOKUP(tblMovimientos[[#This Row],[Cuenta Bancaria]],Cuentas!$C:$C,Cuentas!$B:$B,""))</f>
        <v/>
      </c>
    </row>
    <row r="480" spans="1:18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165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2"/>
        <v>-18</v>
      </c>
      <c r="L480" s="15" t="s">
        <v>129</v>
      </c>
      <c r="M480" s="44">
        <f>SUMIFS('Saldos Iniciales'!$D:$D,'Saldos Iniciales'!$A:$A,C480,'Saldos Iniciales'!$B:$B,D480)+SUMIFS($K$1:$K$1325,$C$1:$C$1325,C480,$D$1:$D$1325,D480,$B$1:$B$1325,"&lt;="&amp;B480)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  <c r="Q480" s="91" t="str">
        <f>IF(tblMovimientos[[#This Row],[Cuenta Bancaria]]="","",_xlfn.XLOOKUP(tblMovimientos[[#This Row],[Cuenta Bancaria]],Cuentas!$C:$C,Cuentas!$A:$A,"No encontrado"))</f>
        <v>SSP Group</v>
      </c>
      <c r="R480" s="91" t="str">
        <f>TRIM(_xlfn.XLOOKUP(tblMovimientos[[#This Row],[Cuenta Bancaria]],Cuentas!$C:$C,Cuentas!$B:$B,""))</f>
        <v/>
      </c>
    </row>
    <row r="481" spans="2:18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165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2"/>
        <v>-458.35</v>
      </c>
      <c r="L481" s="15" t="s">
        <v>129</v>
      </c>
      <c r="M481" s="44">
        <f>SUMIFS('Saldos Iniciales'!$D:$D,'Saldos Iniciales'!$A:$A,C481,'Saldos Iniciales'!$B:$B,D481)+SUMIFS($K$1:$K$1325,$C$1:$C$1325,C481,$D$1:$D$1325,D481,$B$1:$B$1325,"&lt;="&amp;B481)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  <c r="Q481" s="91" t="str">
        <f>IF(tblMovimientos[[#This Row],[Cuenta Bancaria]]="","",_xlfn.XLOOKUP(tblMovimientos[[#This Row],[Cuenta Bancaria]],Cuentas!$C:$C,Cuentas!$A:$A,"No encontrado"))</f>
        <v>SSP Group</v>
      </c>
      <c r="R481" s="91" t="str">
        <f>TRIM(_xlfn.XLOOKUP(tblMovimientos[[#This Row],[Cuenta Bancaria]],Cuentas!$C:$C,Cuentas!$B:$B,""))</f>
        <v/>
      </c>
    </row>
    <row r="482" spans="2:18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165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2"/>
        <v>-24</v>
      </c>
      <c r="L482" s="15" t="s">
        <v>129</v>
      </c>
      <c r="M482" s="44">
        <f>SUMIFS('Saldos Iniciales'!$D:$D,'Saldos Iniciales'!$A:$A,C482,'Saldos Iniciales'!$B:$B,D482)+SUMIFS($K$1:$K$1325,$C$1:$C$1325,C482,$D$1:$D$1325,D482,$B$1:$B$1325,"&lt;="&amp;B482)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  <c r="Q482" s="91" t="str">
        <f>IF(tblMovimientos[[#This Row],[Cuenta Bancaria]]="","",_xlfn.XLOOKUP(tblMovimientos[[#This Row],[Cuenta Bancaria]],Cuentas!$C:$C,Cuentas!$A:$A,"No encontrado"))</f>
        <v>SSP Group</v>
      </c>
      <c r="R482" s="91" t="str">
        <f>TRIM(_xlfn.XLOOKUP(tblMovimientos[[#This Row],[Cuenta Bancaria]],Cuentas!$C:$C,Cuentas!$B:$B,""))</f>
        <v/>
      </c>
    </row>
    <row r="483" spans="2:18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165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2"/>
        <v>-271.86</v>
      </c>
      <c r="L483" s="15" t="s">
        <v>129</v>
      </c>
      <c r="M483" s="44">
        <f>SUMIFS('Saldos Iniciales'!$D:$D,'Saldos Iniciales'!$A:$A,C483,'Saldos Iniciales'!$B:$B,D483)+SUMIFS($K$1:$K$1325,$C$1:$C$1325,C483,$D$1:$D$1325,D483,$B$1:$B$1325,"&lt;="&amp;B483)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  <c r="Q483" s="91" t="str">
        <f>IF(tblMovimientos[[#This Row],[Cuenta Bancaria]]="","",_xlfn.XLOOKUP(tblMovimientos[[#This Row],[Cuenta Bancaria]],Cuentas!$C:$C,Cuentas!$A:$A,"No encontrado"))</f>
        <v>SSP Group</v>
      </c>
      <c r="R483" s="91" t="str">
        <f>TRIM(_xlfn.XLOOKUP(tblMovimientos[[#This Row],[Cuenta Bancaria]],Cuentas!$C:$C,Cuentas!$B:$B,""))</f>
        <v/>
      </c>
    </row>
    <row r="484" spans="2:18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2"/>
        <v>-614.75</v>
      </c>
      <c r="L484" s="15" t="s">
        <v>129</v>
      </c>
      <c r="M484" s="44">
        <f>SUMIFS('Saldos Iniciales'!$D:$D,'Saldos Iniciales'!$A:$A,C484,'Saldos Iniciales'!$B:$B,D484)+SUMIFS($K$1:$K$1325,$C$1:$C$1325,C484,$D$1:$D$1325,D484,$B$1:$B$1325,"&lt;="&amp;B484)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  <c r="Q484" s="91" t="str">
        <f>IF(tblMovimientos[[#This Row],[Cuenta Bancaria]]="","",_xlfn.XLOOKUP(tblMovimientos[[#This Row],[Cuenta Bancaria]],Cuentas!$C:$C,Cuentas!$A:$A,"No encontrado"))</f>
        <v>SSP Group</v>
      </c>
      <c r="R484" s="91" t="str">
        <f>TRIM(_xlfn.XLOOKUP(tblMovimientos[[#This Row],[Cuenta Bancaria]],Cuentas!$C:$C,Cuentas!$B:$B,""))</f>
        <v/>
      </c>
    </row>
    <row r="485" spans="2:18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165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2"/>
        <v>-52</v>
      </c>
      <c r="L485" s="15" t="s">
        <v>129</v>
      </c>
      <c r="M485" s="44">
        <f>SUMIFS('Saldos Iniciales'!$D:$D,'Saldos Iniciales'!$A:$A,C485,'Saldos Iniciales'!$B:$B,D485)+SUMIFS($K$1:$K$1325,$C$1:$C$1325,C485,$D$1:$D$1325,D485,$B$1:$B$1325,"&lt;="&amp;B485)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  <c r="Q485" s="91" t="str">
        <f>IF(tblMovimientos[[#This Row],[Cuenta Bancaria]]="","",_xlfn.XLOOKUP(tblMovimientos[[#This Row],[Cuenta Bancaria]],Cuentas!$C:$C,Cuentas!$A:$A,"No encontrado"))</f>
        <v>SSP Group</v>
      </c>
      <c r="R485" s="91" t="str">
        <f>TRIM(_xlfn.XLOOKUP(tblMovimientos[[#This Row],[Cuenta Bancaria]],Cuentas!$C:$C,Cuentas!$B:$B,""))</f>
        <v/>
      </c>
    </row>
    <row r="486" spans="2:18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2"/>
        <v>-7679.78</v>
      </c>
      <c r="L486" s="15" t="s">
        <v>129</v>
      </c>
      <c r="M486" s="44">
        <f>SUMIFS('Saldos Iniciales'!$D:$D,'Saldos Iniciales'!$A:$A,C486,'Saldos Iniciales'!$B:$B,D486)+SUMIFS($K$1:$K$1325,$C$1:$C$1325,C486,$D$1:$D$1325,D486,$B$1:$B$1325,"&lt;="&amp;B486)</f>
        <v>14839.189999999999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  <c r="Q486" s="91" t="str">
        <f>IF(tblMovimientos[[#This Row],[Cuenta Bancaria]]="","",_xlfn.XLOOKUP(tblMovimientos[[#This Row],[Cuenta Bancaria]],Cuentas!$C:$C,Cuentas!$A:$A,"No encontrado"))</f>
        <v>SSP Group</v>
      </c>
      <c r="R486" s="91" t="str">
        <f>TRIM(_xlfn.XLOOKUP(tblMovimientos[[#This Row],[Cuenta Bancaria]],Cuentas!$C:$C,Cuentas!$B:$B,""))</f>
        <v/>
      </c>
    </row>
    <row r="487" spans="2:18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2"/>
        <v>-4000</v>
      </c>
      <c r="L487" s="15" t="s">
        <v>129</v>
      </c>
      <c r="M487" s="44">
        <f>SUMIFS('Saldos Iniciales'!$D:$D,'Saldos Iniciales'!$A:$A,C487,'Saldos Iniciales'!$B:$B,D487)+SUMIFS($K$1:$K$1325,$C$1:$C$1325,C487,$D$1:$D$1325,D487,$B$1:$B$1325,"&lt;="&amp;B487)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  <c r="Q487" s="91" t="str">
        <f>IF(tblMovimientos[[#This Row],[Cuenta Bancaria]]="","",_xlfn.XLOOKUP(tblMovimientos[[#This Row],[Cuenta Bancaria]],Cuentas!$C:$C,Cuentas!$A:$A,"No encontrado"))</f>
        <v>SSP Group</v>
      </c>
      <c r="R487" s="91" t="str">
        <f>TRIM(_xlfn.XLOOKUP(tblMovimientos[[#This Row],[Cuenta Bancaria]],Cuentas!$C:$C,Cuentas!$B:$B,""))</f>
        <v/>
      </c>
    </row>
    <row r="488" spans="2:18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2"/>
        <v>-1650.84</v>
      </c>
      <c r="L488" s="15" t="s">
        <v>129</v>
      </c>
      <c r="M488" s="44">
        <f>SUMIFS('Saldos Iniciales'!$D:$D,'Saldos Iniciales'!$A:$A,C488,'Saldos Iniciales'!$B:$B,D488)+SUMIFS($K$1:$K$1325,$C$1:$C$1325,C488,$D$1:$D$1325,D488,$B$1:$B$1325,"&lt;="&amp;B488)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  <c r="Q488" s="91" t="str">
        <f>IF(tblMovimientos[[#This Row],[Cuenta Bancaria]]="","",_xlfn.XLOOKUP(tblMovimientos[[#This Row],[Cuenta Bancaria]],Cuentas!$C:$C,Cuentas!$A:$A,"No encontrado"))</f>
        <v>SSP Group</v>
      </c>
      <c r="R488" s="91" t="str">
        <f>TRIM(_xlfn.XLOOKUP(tblMovimientos[[#This Row],[Cuenta Bancaria]],Cuentas!$C:$C,Cuentas!$B:$B,""))</f>
        <v/>
      </c>
    </row>
    <row r="489" spans="2:18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2"/>
        <v>-15</v>
      </c>
      <c r="L489" s="15" t="s">
        <v>129</v>
      </c>
      <c r="M489" s="44">
        <f>SUMIFS('Saldos Iniciales'!$D:$D,'Saldos Iniciales'!$A:$A,C489,'Saldos Iniciales'!$B:$B,D489)+SUMIFS($K$1:$K$1325,$C$1:$C$1325,C489,$D$1:$D$1325,D489,$B$1:$B$1325,"&lt;="&amp;B489)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  <c r="Q489" s="91" t="str">
        <f>IF(tblMovimientos[[#This Row],[Cuenta Bancaria]]="","",_xlfn.XLOOKUP(tblMovimientos[[#This Row],[Cuenta Bancaria]],Cuentas!$C:$C,Cuentas!$A:$A,"No encontrado"))</f>
        <v>SSP Group</v>
      </c>
      <c r="R489" s="91" t="str">
        <f>TRIM(_xlfn.XLOOKUP(tblMovimientos[[#This Row],[Cuenta Bancaria]],Cuentas!$C:$C,Cuentas!$B:$B,""))</f>
        <v/>
      </c>
    </row>
    <row r="490" spans="2:18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2"/>
        <v>-1291.6500000000001</v>
      </c>
      <c r="L490" s="15" t="s">
        <v>129</v>
      </c>
      <c r="M490" s="44">
        <f>SUMIFS('Saldos Iniciales'!$D:$D,'Saldos Iniciales'!$A:$A,C490,'Saldos Iniciales'!$B:$B,D490)+SUMIFS($K$1:$K$1325,$C$1:$C$1325,C490,$D$1:$D$1325,D490,$B$1:$B$1325,"&lt;="&amp;B490)</f>
        <v>13547.539999999999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  <c r="Q490" s="91" t="str">
        <f>IF(tblMovimientos[[#This Row],[Cuenta Bancaria]]="","",_xlfn.XLOOKUP(tblMovimientos[[#This Row],[Cuenta Bancaria]],Cuentas!$C:$C,Cuentas!$A:$A,"No encontrado"))</f>
        <v>SSP Group</v>
      </c>
      <c r="R490" s="91" t="str">
        <f>TRIM(_xlfn.XLOOKUP(tblMovimientos[[#This Row],[Cuenta Bancaria]],Cuentas!$C:$C,Cuentas!$B:$B,""))</f>
        <v/>
      </c>
    </row>
    <row r="491" spans="2:18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2"/>
        <v>-60000</v>
      </c>
      <c r="L491" s="15" t="s">
        <v>129</v>
      </c>
      <c r="M491" s="44">
        <f>SUMIFS('Saldos Iniciales'!$D:$D,'Saldos Iniciales'!$A:$A,C491,'Saldos Iniciales'!$B:$B,D491)+SUMIFS($K$1:$K$1325,$C$1:$C$1325,C491,$D$1:$D$1325,D491,$B$1:$B$1325,"&lt;="&amp;B491)</f>
        <v>290475.62999999989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  <c r="Q491" s="91" t="str">
        <f>IF(tblMovimientos[[#This Row],[Cuenta Bancaria]]="","",_xlfn.XLOOKUP(tblMovimientos[[#This Row],[Cuenta Bancaria]],Cuentas!$C:$C,Cuentas!$A:$A,"No encontrado"))</f>
        <v>SSP Group</v>
      </c>
      <c r="R491" s="91" t="str">
        <f>TRIM(_xlfn.XLOOKUP(tblMovimientos[[#This Row],[Cuenta Bancaria]],Cuentas!$C:$C,Cuentas!$B:$B,""))</f>
        <v>Cross Security Trust</v>
      </c>
    </row>
    <row r="492" spans="2:18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2"/>
        <v>-5982</v>
      </c>
      <c r="L492" s="15" t="s">
        <v>129</v>
      </c>
      <c r="M492" s="44">
        <f>SUMIFS('Saldos Iniciales'!$D:$D,'Saldos Iniciales'!$A:$A,C492,'Saldos Iniciales'!$B:$B,D492)+SUMIFS($K$1:$K$1325,$C$1:$C$1325,C492,$D$1:$D$1325,D492,$B$1:$B$1325,"&lt;="&amp;B492)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  <c r="Q492" s="91" t="str">
        <f>IF(tblMovimientos[[#This Row],[Cuenta Bancaria]]="","",_xlfn.XLOOKUP(tblMovimientos[[#This Row],[Cuenta Bancaria]],Cuentas!$C:$C,Cuentas!$A:$A,"No encontrado"))</f>
        <v>SSP Group</v>
      </c>
      <c r="R492" s="91" t="str">
        <f>TRIM(_xlfn.XLOOKUP(tblMovimientos[[#This Row],[Cuenta Bancaria]],Cuentas!$C:$C,Cuentas!$B:$B,""))</f>
        <v/>
      </c>
    </row>
    <row r="493" spans="2:18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165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2"/>
        <v>-47.47</v>
      </c>
      <c r="L493" s="15" t="s">
        <v>129</v>
      </c>
      <c r="M493" s="44">
        <f>SUMIFS('Saldos Iniciales'!$D:$D,'Saldos Iniciales'!$A:$A,C493,'Saldos Iniciales'!$B:$B,D493)+SUMIFS($K$1:$K$1325,$C$1:$C$1325,C493,$D$1:$D$1325,D493,$B$1:$B$1325,"&lt;="&amp;B493)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  <c r="Q493" s="91" t="str">
        <f>IF(tblMovimientos[[#This Row],[Cuenta Bancaria]]="","",_xlfn.XLOOKUP(tblMovimientos[[#This Row],[Cuenta Bancaria]],Cuentas!$C:$C,Cuentas!$A:$A,"No encontrado"))</f>
        <v>SSP Group</v>
      </c>
      <c r="R493" s="91" t="str">
        <f>TRIM(_xlfn.XLOOKUP(tblMovimientos[[#This Row],[Cuenta Bancaria]],Cuentas!$C:$C,Cuentas!$B:$B,""))</f>
        <v/>
      </c>
    </row>
    <row r="494" spans="2:18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165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2"/>
        <v>-36</v>
      </c>
      <c r="L494" s="15" t="s">
        <v>129</v>
      </c>
      <c r="M494" s="44">
        <f>SUMIFS('Saldos Iniciales'!$D:$D,'Saldos Iniciales'!$A:$A,C494,'Saldos Iniciales'!$B:$B,D494)+SUMIFS($K$1:$K$1325,$C$1:$C$1325,C494,$D$1:$D$1325,D494,$B$1:$B$1325,"&lt;="&amp;B494)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  <c r="Q494" s="91" t="str">
        <f>IF(tblMovimientos[[#This Row],[Cuenta Bancaria]]="","",_xlfn.XLOOKUP(tblMovimientos[[#This Row],[Cuenta Bancaria]],Cuentas!$C:$C,Cuentas!$A:$A,"No encontrado"))</f>
        <v>SSP Group</v>
      </c>
      <c r="R494" s="91" t="str">
        <f>TRIM(_xlfn.XLOOKUP(tblMovimientos[[#This Row],[Cuenta Bancaria]],Cuentas!$C:$C,Cuentas!$B:$B,""))</f>
        <v/>
      </c>
    </row>
    <row r="495" spans="2:18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2"/>
        <v>-2975</v>
      </c>
      <c r="L495" s="15" t="s">
        <v>129</v>
      </c>
      <c r="M495" s="44">
        <f>SUMIFS('Saldos Iniciales'!$D:$D,'Saldos Iniciales'!$A:$A,C495,'Saldos Iniciales'!$B:$B,D495)+SUMIFS($K$1:$K$1325,$C$1:$C$1325,C495,$D$1:$D$1325,D495,$B$1:$B$1325,"&lt;="&amp;B495)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  <c r="Q495" s="91" t="str">
        <f>IF(tblMovimientos[[#This Row],[Cuenta Bancaria]]="","",_xlfn.XLOOKUP(tblMovimientos[[#This Row],[Cuenta Bancaria]],Cuentas!$C:$C,Cuentas!$A:$A,"No encontrado"))</f>
        <v>SSP Group</v>
      </c>
      <c r="R495" s="91" t="str">
        <f>TRIM(_xlfn.XLOOKUP(tblMovimientos[[#This Row],[Cuenta Bancaria]],Cuentas!$C:$C,Cuentas!$B:$B,""))</f>
        <v/>
      </c>
    </row>
    <row r="496" spans="2:18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2"/>
        <v>-11666.67</v>
      </c>
      <c r="L496" s="15" t="s">
        <v>129</v>
      </c>
      <c r="M496" s="44">
        <f>SUMIFS('Saldos Iniciales'!$D:$D,'Saldos Iniciales'!$A:$A,C496,'Saldos Iniciales'!$B:$B,D496)+SUMIFS($K$1:$K$1325,$C$1:$C$1325,C496,$D$1:$D$1325,D496,$B$1:$B$1325,"&lt;="&amp;B496)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  <c r="Q496" s="91" t="str">
        <f>IF(tblMovimientos[[#This Row],[Cuenta Bancaria]]="","",_xlfn.XLOOKUP(tblMovimientos[[#This Row],[Cuenta Bancaria]],Cuentas!$C:$C,Cuentas!$A:$A,"No encontrado"))</f>
        <v>SSP Group</v>
      </c>
      <c r="R496" s="91" t="str">
        <f>TRIM(_xlfn.XLOOKUP(tblMovimientos[[#This Row],[Cuenta Bancaria]],Cuentas!$C:$C,Cuentas!$B:$B,""))</f>
        <v/>
      </c>
    </row>
    <row r="497" spans="1:18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2"/>
        <v>-40000</v>
      </c>
      <c r="L497" s="15" t="s">
        <v>129</v>
      </c>
      <c r="M497" s="44">
        <f>SUMIFS('Saldos Iniciales'!$D:$D,'Saldos Iniciales'!$A:$A,C497,'Saldos Iniciales'!$B:$B,D497)+SUMIFS($K$1:$K$1325,$C$1:$C$1325,C497,$D$1:$D$1325,D497,$B$1:$B$1325,"&lt;="&amp;B497)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  <c r="Q497" s="91" t="str">
        <f>IF(tblMovimientos[[#This Row],[Cuenta Bancaria]]="","",_xlfn.XLOOKUP(tblMovimientos[[#This Row],[Cuenta Bancaria]],Cuentas!$C:$C,Cuentas!$A:$A,"No encontrado"))</f>
        <v>SSP Group</v>
      </c>
      <c r="R497" s="91" t="str">
        <f>TRIM(_xlfn.XLOOKUP(tblMovimientos[[#This Row],[Cuenta Bancaria]],Cuentas!$C:$C,Cuentas!$B:$B,""))</f>
        <v/>
      </c>
    </row>
    <row r="498" spans="1:18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ref="K498:K561" si="3">IF(F498="Ingreso",J498,-J498)</f>
        <v>-60000</v>
      </c>
      <c r="L498" s="15" t="s">
        <v>129</v>
      </c>
      <c r="M498" s="44">
        <f>SUMIFS('Saldos Iniciales'!$D:$D,'Saldos Iniciales'!$A:$A,C498,'Saldos Iniciales'!$B:$B,D498)+SUMIFS($K$1:$K$1325,$C$1:$C$1325,C498,$D$1:$D$1325,D498,$B$1:$B$1325,"&lt;="&amp;B498)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91" t="str">
        <f>IF(tblMovimientos[[#This Row],[Cuenta Bancaria]]="","",_xlfn.XLOOKUP(tblMovimientos[[#This Row],[Cuenta Bancaria]],Cuentas!$C:$C,Cuentas!$A:$A,"No encontrado"))</f>
        <v>SSP Group</v>
      </c>
      <c r="R498" s="91" t="str">
        <f>TRIM(_xlfn.XLOOKUP(tblMovimientos[[#This Row],[Cuenta Bancaria]],Cuentas!$C:$C,Cuentas!$B:$B,""))</f>
        <v/>
      </c>
    </row>
    <row r="499" spans="1:18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3"/>
        <v>-100000</v>
      </c>
      <c r="L499" s="15" t="s">
        <v>129</v>
      </c>
      <c r="M499" s="44">
        <f>SUMIFS('Saldos Iniciales'!$D:$D,'Saldos Iniciales'!$A:$A,C499,'Saldos Iniciales'!$B:$B,D499)+SUMIFS($K$1:$K$1325,$C$1:$C$1325,C499,$D$1:$D$1325,D499,$B$1:$B$1325,"&lt;="&amp;B499)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  <c r="Q499" s="91" t="str">
        <f>IF(tblMovimientos[[#This Row],[Cuenta Bancaria]]="","",_xlfn.XLOOKUP(tblMovimientos[[#This Row],[Cuenta Bancaria]],Cuentas!$C:$C,Cuentas!$A:$A,"No encontrado"))</f>
        <v>SSP Group</v>
      </c>
      <c r="R499" s="91" t="str">
        <f>TRIM(_xlfn.XLOOKUP(tblMovimientos[[#This Row],[Cuenta Bancaria]],Cuentas!$C:$C,Cuentas!$B:$B,""))</f>
        <v/>
      </c>
    </row>
    <row r="500" spans="1:18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3"/>
        <v>-100000</v>
      </c>
      <c r="L500" s="15" t="s">
        <v>129</v>
      </c>
      <c r="M500" s="44">
        <f>SUMIFS('Saldos Iniciales'!$D:$D,'Saldos Iniciales'!$A:$A,C500,'Saldos Iniciales'!$B:$B,D500)+SUMIFS($K$1:$K$1325,$C$1:$C$1325,C500,$D$1:$D$1325,D500,$B$1:$B$1325,"&lt;="&amp;B500)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  <c r="Q500" s="91" t="str">
        <f>IF(tblMovimientos[[#This Row],[Cuenta Bancaria]]="","",_xlfn.XLOOKUP(tblMovimientos[[#This Row],[Cuenta Bancaria]],Cuentas!$C:$C,Cuentas!$A:$A,"No encontrado"))</f>
        <v>SSP Group</v>
      </c>
      <c r="R500" s="91" t="str">
        <f>TRIM(_xlfn.XLOOKUP(tblMovimientos[[#This Row],[Cuenta Bancaria]],Cuentas!$C:$C,Cuentas!$B:$B,""))</f>
        <v/>
      </c>
    </row>
    <row r="501" spans="1:18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3"/>
        <v>-100000</v>
      </c>
      <c r="L501" s="15" t="s">
        <v>129</v>
      </c>
      <c r="M501" s="44">
        <f>SUMIFS('Saldos Iniciales'!$D:$D,'Saldos Iniciales'!$A:$A,C501,'Saldos Iniciales'!$B:$B,D501)+SUMIFS($K$1:$K$1325,$C$1:$C$1325,C501,$D$1:$D$1325,D501,$B$1:$B$1325,"&lt;="&amp;B501)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  <c r="Q501" s="91" t="str">
        <f>IF(tblMovimientos[[#This Row],[Cuenta Bancaria]]="","",_xlfn.XLOOKUP(tblMovimientos[[#This Row],[Cuenta Bancaria]],Cuentas!$C:$C,Cuentas!$A:$A,"No encontrado"))</f>
        <v>SSP Group</v>
      </c>
      <c r="R501" s="91" t="str">
        <f>TRIM(_xlfn.XLOOKUP(tblMovimientos[[#This Row],[Cuenta Bancaria]],Cuentas!$C:$C,Cuentas!$B:$B,""))</f>
        <v/>
      </c>
    </row>
    <row r="502" spans="1:18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3"/>
        <v>-200000</v>
      </c>
      <c r="L502" s="15" t="s">
        <v>129</v>
      </c>
      <c r="M502" s="44">
        <f>SUMIFS('Saldos Iniciales'!$D:$D,'Saldos Iniciales'!$A:$A,C502,'Saldos Iniciales'!$B:$B,D502)+SUMIFS($K$1:$K$1325,$C$1:$C$1325,C502,$D$1:$D$1325,D502,$B$1:$B$1325,"&lt;="&amp;B502)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  <c r="Q502" s="91" t="str">
        <f>IF(tblMovimientos[[#This Row],[Cuenta Bancaria]]="","",_xlfn.XLOOKUP(tblMovimientos[[#This Row],[Cuenta Bancaria]],Cuentas!$C:$C,Cuentas!$A:$A,"No encontrado"))</f>
        <v>SSP Group</v>
      </c>
      <c r="R502" s="91" t="str">
        <f>TRIM(_xlfn.XLOOKUP(tblMovimientos[[#This Row],[Cuenta Bancaria]],Cuentas!$C:$C,Cuentas!$B:$B,""))</f>
        <v/>
      </c>
    </row>
    <row r="503" spans="1:18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3"/>
        <v>-600000</v>
      </c>
      <c r="L503" s="15" t="s">
        <v>129</v>
      </c>
      <c r="M503" s="44">
        <f>SUMIFS('Saldos Iniciales'!$D:$D,'Saldos Iniciales'!$A:$A,C503,'Saldos Iniciales'!$B:$B,D503)+SUMIFS($K$1:$K$1325,$C$1:$C$1325,C503,$D$1:$D$1325,D503,$B$1:$B$1325,"&lt;="&amp;B503)</f>
        <v>4336744.6900000004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  <c r="Q503" s="91" t="str">
        <f>IF(tblMovimientos[[#This Row],[Cuenta Bancaria]]="","",_xlfn.XLOOKUP(tblMovimientos[[#This Row],[Cuenta Bancaria]],Cuentas!$C:$C,Cuentas!$A:$A,"No encontrado"))</f>
        <v>SSP Group</v>
      </c>
      <c r="R503" s="91" t="str">
        <f>TRIM(_xlfn.XLOOKUP(tblMovimientos[[#This Row],[Cuenta Bancaria]],Cuentas!$C:$C,Cuentas!$B:$B,""))</f>
        <v/>
      </c>
    </row>
    <row r="504" spans="1:18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3"/>
        <v>-20000</v>
      </c>
      <c r="L504" s="15" t="s">
        <v>129</v>
      </c>
      <c r="M504" s="44">
        <f>SUMIFS('Saldos Iniciales'!$D:$D,'Saldos Iniciales'!$A:$A,C504,'Saldos Iniciales'!$B:$B,D504)+SUMIFS($K$1:$K$1325,$C$1:$C$1325,C504,$D$1:$D$1325,D504,$B$1:$B$1325,"&lt;="&amp;B504)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  <c r="Q504" s="91" t="str">
        <f>IF(tblMovimientos[[#This Row],[Cuenta Bancaria]]="","",_xlfn.XLOOKUP(tblMovimientos[[#This Row],[Cuenta Bancaria]],Cuentas!$C:$C,Cuentas!$A:$A,"No encontrado"))</f>
        <v>Trust</v>
      </c>
      <c r="R504" s="91" t="str">
        <f>TRIM(_xlfn.XLOOKUP(tblMovimientos[[#This Row],[Cuenta Bancaria]],Cuentas!$C:$C,Cuentas!$B:$B,""))</f>
        <v/>
      </c>
    </row>
    <row r="505" spans="1:18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3"/>
        <v>600000</v>
      </c>
      <c r="L505" s="15" t="s">
        <v>129</v>
      </c>
      <c r="M505" s="44">
        <f>SUMIFS('Saldos Iniciales'!$D:$D,'Saldos Iniciales'!$A:$A,C505,'Saldos Iniciales'!$B:$B,D505)+SUMIFS($K$1:$K$1325,$C$1:$C$1325,C505,$D$1:$D$1325,D505,$B$1:$B$1325,"&lt;="&amp;B505)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  <c r="Q505" s="91" t="str">
        <f>IF(tblMovimientos[[#This Row],[Cuenta Bancaria]]="","",_xlfn.XLOOKUP(tblMovimientos[[#This Row],[Cuenta Bancaria]],Cuentas!$C:$C,Cuentas!$A:$A,"No encontrado"))</f>
        <v>SSP Group</v>
      </c>
      <c r="R505" s="91" t="str">
        <f>TRIM(_xlfn.XLOOKUP(tblMovimientos[[#This Row],[Cuenta Bancaria]],Cuentas!$C:$C,Cuentas!$B:$B,""))</f>
        <v/>
      </c>
    </row>
    <row r="506" spans="1:18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3"/>
        <v>-295</v>
      </c>
      <c r="L506" s="15" t="s">
        <v>129</v>
      </c>
      <c r="M506" s="44">
        <f>SUMIFS('Saldos Iniciales'!$D:$D,'Saldos Iniciales'!$A:$A,C506,'Saldos Iniciales'!$B:$B,D506)+SUMIFS($K$1:$K$1325,$C$1:$C$1325,C506,$D$1:$D$1325,D506,$B$1:$B$1325,"&lt;="&amp;B506)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  <c r="Q506" s="91" t="str">
        <f>IF(tblMovimientos[[#This Row],[Cuenta Bancaria]]="","",_xlfn.XLOOKUP(tblMovimientos[[#This Row],[Cuenta Bancaria]],Cuentas!$C:$C,Cuentas!$A:$A,"No encontrado"))</f>
        <v>SSP Group</v>
      </c>
      <c r="R506" s="91" t="str">
        <f>TRIM(_xlfn.XLOOKUP(tblMovimientos[[#This Row],[Cuenta Bancaria]],Cuentas!$C:$C,Cuentas!$B:$B,""))</f>
        <v/>
      </c>
    </row>
    <row r="507" spans="1:18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3"/>
        <v>-24255</v>
      </c>
      <c r="L507" s="15" t="s">
        <v>129</v>
      </c>
      <c r="M507" s="44">
        <f>SUMIFS('Saldos Iniciales'!$D:$D,'Saldos Iniciales'!$A:$A,C507,'Saldos Iniciales'!$B:$B,D507)+SUMIFS($K$1:$K$1325,$C$1:$C$1325,C507,$D$1:$D$1325,D507,$B$1:$B$1325,"&lt;="&amp;B507)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  <c r="Q507" s="91" t="str">
        <f>IF(tblMovimientos[[#This Row],[Cuenta Bancaria]]="","",_xlfn.XLOOKUP(tblMovimientos[[#This Row],[Cuenta Bancaria]],Cuentas!$C:$C,Cuentas!$A:$A,"No encontrado"))</f>
        <v>SSP Group</v>
      </c>
      <c r="R507" s="91" t="str">
        <f>TRIM(_xlfn.XLOOKUP(tblMovimientos[[#This Row],[Cuenta Bancaria]],Cuentas!$C:$C,Cuentas!$B:$B,""))</f>
        <v/>
      </c>
    </row>
    <row r="508" spans="1:18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3"/>
        <v>-66261.25</v>
      </c>
      <c r="L508" s="15" t="s">
        <v>129</v>
      </c>
      <c r="M508" s="44">
        <f>SUMIFS('Saldos Iniciales'!$D:$D,'Saldos Iniciales'!$A:$A,C508,'Saldos Iniciales'!$B:$B,D508)+SUMIFS($K$1:$K$1325,$C$1:$C$1325,C508,$D$1:$D$1325,D508,$B$1:$B$1325,"&lt;="&amp;B508)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  <c r="Q508" s="91" t="str">
        <f>IF(tblMovimientos[[#This Row],[Cuenta Bancaria]]="","",_xlfn.XLOOKUP(tblMovimientos[[#This Row],[Cuenta Bancaria]],Cuentas!$C:$C,Cuentas!$A:$A,"No encontrado"))</f>
        <v>SSP Group</v>
      </c>
      <c r="R508" s="91" t="str">
        <f>TRIM(_xlfn.XLOOKUP(tblMovimientos[[#This Row],[Cuenta Bancaria]],Cuentas!$C:$C,Cuentas!$B:$B,""))</f>
        <v/>
      </c>
    </row>
    <row r="509" spans="1:18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3"/>
        <v>-140000</v>
      </c>
      <c r="L509" s="15" t="s">
        <v>129</v>
      </c>
      <c r="M509" s="44">
        <f>SUMIFS('Saldos Iniciales'!$D:$D,'Saldos Iniciales'!$A:$A,C509,'Saldos Iniciales'!$B:$B,D509)+SUMIFS($K$1:$K$1325,$C$1:$C$1325,C509,$D$1:$D$1325,D509,$B$1:$B$1325,"&lt;="&amp;B509)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  <c r="Q509" s="91" t="str">
        <f>IF(tblMovimientos[[#This Row],[Cuenta Bancaria]]="","",_xlfn.XLOOKUP(tblMovimientos[[#This Row],[Cuenta Bancaria]],Cuentas!$C:$C,Cuentas!$A:$A,"No encontrado"))</f>
        <v>SSP Group</v>
      </c>
      <c r="R509" s="91" t="str">
        <f>TRIM(_xlfn.XLOOKUP(tblMovimientos[[#This Row],[Cuenta Bancaria]],Cuentas!$C:$C,Cuentas!$B:$B,""))</f>
        <v/>
      </c>
    </row>
    <row r="510" spans="1:18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3"/>
        <v>20000</v>
      </c>
      <c r="L510" s="15" t="s">
        <v>129</v>
      </c>
      <c r="M510" s="44">
        <f>SUMIFS('Saldos Iniciales'!$D:$D,'Saldos Iniciales'!$A:$A,C510,'Saldos Iniciales'!$B:$B,D510)+SUMIFS($K$1:$K$1325,$C$1:$C$1325,C510,$D$1:$D$1325,D510,$B$1:$B$1325,"&lt;="&amp;B510)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  <c r="Q510" s="91" t="str">
        <f>IF(tblMovimientos[[#This Row],[Cuenta Bancaria]]="","",_xlfn.XLOOKUP(tblMovimientos[[#This Row],[Cuenta Bancaria]],Cuentas!$C:$C,Cuentas!$A:$A,"No encontrado"))</f>
        <v>SSP Group</v>
      </c>
      <c r="R510" s="91" t="str">
        <f>TRIM(_xlfn.XLOOKUP(tblMovimientos[[#This Row],[Cuenta Bancaria]],Cuentas!$C:$C,Cuentas!$B:$B,""))</f>
        <v/>
      </c>
    </row>
    <row r="511" spans="1:18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3"/>
        <v>-20000</v>
      </c>
      <c r="L511" s="15" t="s">
        <v>129</v>
      </c>
      <c r="M511" s="44">
        <f>SUMIFS('Saldos Iniciales'!$D:$D,'Saldos Iniciales'!$A:$A,C511,'Saldos Iniciales'!$B:$B,D511)+SUMIFS($K$1:$K$1325,$C$1:$C$1325,C511,$D$1:$D$1325,D511,$B$1:$B$1325,"&lt;="&amp;B511)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91" t="str">
        <f>IF(tblMovimientos[[#This Row],[Cuenta Bancaria]]="","",_xlfn.XLOOKUP(tblMovimientos[[#This Row],[Cuenta Bancaria]],Cuentas!$C:$C,Cuentas!$A:$A,"No encontrado"))</f>
        <v>SSP Group</v>
      </c>
      <c r="R511" s="91" t="str">
        <f>TRIM(_xlfn.XLOOKUP(tblMovimientos[[#This Row],[Cuenta Bancaria]],Cuentas!$C:$C,Cuentas!$B:$B,""))</f>
        <v/>
      </c>
    </row>
    <row r="512" spans="1:18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3"/>
        <v>20000</v>
      </c>
      <c r="L512" s="15" t="s">
        <v>129</v>
      </c>
      <c r="M512" s="44">
        <f>SUMIFS('Saldos Iniciales'!$D:$D,'Saldos Iniciales'!$A:$A,C512,'Saldos Iniciales'!$B:$B,D512)+SUMIFS($K$1:$K$1325,$C$1:$C$1325,C512,$D$1:$D$1325,D512,$B$1:$B$1325,"&lt;="&amp;B512)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  <c r="Q512" s="91" t="str">
        <f>IF(tblMovimientos[[#This Row],[Cuenta Bancaria]]="","",_xlfn.XLOOKUP(tblMovimientos[[#This Row],[Cuenta Bancaria]],Cuentas!$C:$C,Cuentas!$A:$A,"No encontrado"))</f>
        <v>SSP Group</v>
      </c>
      <c r="R512" s="91" t="str">
        <f>TRIM(_xlfn.XLOOKUP(tblMovimientos[[#This Row],[Cuenta Bancaria]],Cuentas!$C:$C,Cuentas!$B:$B,""))</f>
        <v/>
      </c>
    </row>
    <row r="513" spans="2:18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3"/>
        <v>-2500</v>
      </c>
      <c r="L513" s="15" t="s">
        <v>129</v>
      </c>
      <c r="M513" s="44">
        <f>SUMIFS('Saldos Iniciales'!$D:$D,'Saldos Iniciales'!$A:$A,C513,'Saldos Iniciales'!$B:$B,D513)+SUMIFS($K$1:$K$1325,$C$1:$C$1325,C513,$D$1:$D$1325,D513,$B$1:$B$1325,"&lt;="&amp;B513)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  <c r="Q513" s="91" t="str">
        <f>IF(tblMovimientos[[#This Row],[Cuenta Bancaria]]="","",_xlfn.XLOOKUP(tblMovimientos[[#This Row],[Cuenta Bancaria]],Cuentas!$C:$C,Cuentas!$A:$A,"No encontrado"))</f>
        <v>SSP Group</v>
      </c>
      <c r="R513" s="91" t="str">
        <f>TRIM(_xlfn.XLOOKUP(tblMovimientos[[#This Row],[Cuenta Bancaria]],Cuentas!$C:$C,Cuentas!$B:$B,""))</f>
        <v/>
      </c>
    </row>
    <row r="514" spans="2:18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3"/>
        <v>-15</v>
      </c>
      <c r="L514" s="15" t="s">
        <v>129</v>
      </c>
      <c r="M514" s="44">
        <f>SUMIFS('Saldos Iniciales'!$D:$D,'Saldos Iniciales'!$A:$A,C514,'Saldos Iniciales'!$B:$B,D514)+SUMIFS($K$1:$K$1325,$C$1:$C$1325,C514,$D$1:$D$1325,D514,$B$1:$B$1325,"&lt;="&amp;B514)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  <c r="Q514" s="91" t="str">
        <f>IF(tblMovimientos[[#This Row],[Cuenta Bancaria]]="","",_xlfn.XLOOKUP(tblMovimientos[[#This Row],[Cuenta Bancaria]],Cuentas!$C:$C,Cuentas!$A:$A,"No encontrado"))</f>
        <v>SSP Group</v>
      </c>
      <c r="R514" s="91" t="str">
        <f>TRIM(_xlfn.XLOOKUP(tblMovimientos[[#This Row],[Cuenta Bancaria]],Cuentas!$C:$C,Cuentas!$B:$B,""))</f>
        <v/>
      </c>
    </row>
    <row r="515" spans="2:18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3"/>
        <v>14659.29</v>
      </c>
      <c r="L515" s="15" t="s">
        <v>129</v>
      </c>
      <c r="M515" s="44">
        <f>SUMIFS('Saldos Iniciales'!$D:$D,'Saldos Iniciales'!$A:$A,C515,'Saldos Iniciales'!$B:$B,D515)+SUMIFS($K$1:$K$1325,$C$1:$C$1325,C515,$D$1:$D$1325,D515,$B$1:$B$1325,"&lt;="&amp;B515)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  <c r="Q515" s="91" t="str">
        <f>IF(tblMovimientos[[#This Row],[Cuenta Bancaria]]="","",_xlfn.XLOOKUP(tblMovimientos[[#This Row],[Cuenta Bancaria]],Cuentas!$C:$C,Cuentas!$A:$A,"No encontrado"))</f>
        <v>SSP Group</v>
      </c>
      <c r="R515" s="91" t="str">
        <f>TRIM(_xlfn.XLOOKUP(tblMovimientos[[#This Row],[Cuenta Bancaria]],Cuentas!$C:$C,Cuentas!$B:$B,""))</f>
        <v/>
      </c>
    </row>
    <row r="516" spans="2:18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3"/>
        <v>1451269.78</v>
      </c>
      <c r="L516" s="15" t="s">
        <v>129</v>
      </c>
      <c r="M516" s="44">
        <f>SUMIFS('Saldos Iniciales'!$D:$D,'Saldos Iniciales'!$A:$A,C516,'Saldos Iniciales'!$B:$B,D516)+SUMIFS($K$1:$K$1325,$C$1:$C$1325,C516,$D$1:$D$1325,D516,$B$1:$B$1325,"&lt;="&amp;B516)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  <c r="Q516" s="91" t="str">
        <f>IF(tblMovimientos[[#This Row],[Cuenta Bancaria]]="","",_xlfn.XLOOKUP(tblMovimientos[[#This Row],[Cuenta Bancaria]],Cuentas!$C:$C,Cuentas!$A:$A,"No encontrado"))</f>
        <v>SSP Group</v>
      </c>
      <c r="R516" s="91" t="str">
        <f>TRIM(_xlfn.XLOOKUP(tblMovimientos[[#This Row],[Cuenta Bancaria]],Cuentas!$C:$C,Cuentas!$B:$B,""))</f>
        <v/>
      </c>
    </row>
    <row r="517" spans="2:18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3"/>
        <v>-424</v>
      </c>
      <c r="L517" s="15" t="s">
        <v>129</v>
      </c>
      <c r="M517" s="44">
        <f>SUMIFS('Saldos Iniciales'!$D:$D,'Saldos Iniciales'!$A:$A,C517,'Saldos Iniciales'!$B:$B,D517)+SUMIFS($K$1:$K$1325,$C$1:$C$1325,C517,$D$1:$D$1325,D517,$B$1:$B$1325,"&lt;="&amp;B517)</f>
        <v>13123.539999999999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  <c r="Q517" s="91" t="str">
        <f>IF(tblMovimientos[[#This Row],[Cuenta Bancaria]]="","",_xlfn.XLOOKUP(tblMovimientos[[#This Row],[Cuenta Bancaria]],Cuentas!$C:$C,Cuentas!$A:$A,"No encontrado"))</f>
        <v>SSP Group</v>
      </c>
      <c r="R517" s="91" t="str">
        <f>TRIM(_xlfn.XLOOKUP(tblMovimientos[[#This Row],[Cuenta Bancaria]],Cuentas!$C:$C,Cuentas!$B:$B,""))</f>
        <v/>
      </c>
    </row>
    <row r="518" spans="2:18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3"/>
        <v>-334</v>
      </c>
      <c r="L518" s="15" t="s">
        <v>129</v>
      </c>
      <c r="M518" s="44">
        <f>SUMIFS('Saldos Iniciales'!$D:$D,'Saldos Iniciales'!$A:$A,C518,'Saldos Iniciales'!$B:$B,D518)+SUMIFS($K$1:$K$1325,$C$1:$C$1325,C518,$D$1:$D$1325,D518,$B$1:$B$1325,"&lt;="&amp;B518)</f>
        <v>290141.62999999989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  <c r="Q518" s="91" t="str">
        <f>IF(tblMovimientos[[#This Row],[Cuenta Bancaria]]="","",_xlfn.XLOOKUP(tblMovimientos[[#This Row],[Cuenta Bancaria]],Cuentas!$C:$C,Cuentas!$A:$A,"No encontrado"))</f>
        <v>SSP Group</v>
      </c>
      <c r="R518" s="91" t="str">
        <f>TRIM(_xlfn.XLOOKUP(tblMovimientos[[#This Row],[Cuenta Bancaria]],Cuentas!$C:$C,Cuentas!$B:$B,""))</f>
        <v>Cross Security Trust</v>
      </c>
    </row>
    <row r="519" spans="2:18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3"/>
        <v>-355</v>
      </c>
      <c r="L519" s="15" t="s">
        <v>129</v>
      </c>
      <c r="M519" s="44">
        <f>SUMIFS('Saldos Iniciales'!$D:$D,'Saldos Iniciales'!$A:$A,C519,'Saldos Iniciales'!$B:$B,D519)+SUMIFS($K$1:$K$1325,$C$1:$C$1325,C519,$D$1:$D$1325,D519,$B$1:$B$1325,"&lt;="&amp;B519)</f>
        <v>35588.359999999986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  <c r="Q519" s="91" t="str">
        <f>IF(tblMovimientos[[#This Row],[Cuenta Bancaria]]="","",_xlfn.XLOOKUP(tblMovimientos[[#This Row],[Cuenta Bancaria]],Cuentas!$C:$C,Cuentas!$A:$A,"No encontrado"))</f>
        <v>SSP Group</v>
      </c>
      <c r="R519" s="91" t="str">
        <f>TRIM(_xlfn.XLOOKUP(tblMovimientos[[#This Row],[Cuenta Bancaria]],Cuentas!$C:$C,Cuentas!$B:$B,""))</f>
        <v/>
      </c>
    </row>
    <row r="520" spans="2:18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165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3"/>
        <v>2000</v>
      </c>
      <c r="L520" s="15" t="s">
        <v>129</v>
      </c>
      <c r="M520" s="44">
        <f>SUMIFS('Saldos Iniciales'!$D:$D,'Saldos Iniciales'!$A:$A,C520,'Saldos Iniciales'!$B:$B,D520)+SUMIFS($K$1:$K$1325,$C$1:$C$1325,C520,$D$1:$D$1325,D520,$B$1:$B$1325,"&lt;="&amp;B520)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  <c r="Q520" s="91" t="str">
        <f>IF(tblMovimientos[[#This Row],[Cuenta Bancaria]]="","",_xlfn.XLOOKUP(tblMovimientos[[#This Row],[Cuenta Bancaria]],Cuentas!$C:$C,Cuentas!$A:$A,"No encontrado"))</f>
        <v>SSP Group</v>
      </c>
      <c r="R520" s="91" t="str">
        <f>TRIM(_xlfn.XLOOKUP(tblMovimientos[[#This Row],[Cuenta Bancaria]],Cuentas!$C:$C,Cuentas!$B:$B,""))</f>
        <v/>
      </c>
    </row>
    <row r="521" spans="2:18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3"/>
        <v>-5000</v>
      </c>
      <c r="L521" s="15" t="s">
        <v>129</v>
      </c>
      <c r="M521" s="44">
        <f>SUMIFS('Saldos Iniciales'!$D:$D,'Saldos Iniciales'!$A:$A,C521,'Saldos Iniciales'!$B:$B,D521)+SUMIFS($K$1:$K$1325,$C$1:$C$1325,C521,$D$1:$D$1325,D521,$B$1:$B$1325,"&lt;="&amp;B521)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  <c r="Q521" s="91" t="str">
        <f>IF(tblMovimientos[[#This Row],[Cuenta Bancaria]]="","",_xlfn.XLOOKUP(tblMovimientos[[#This Row],[Cuenta Bancaria]],Cuentas!$C:$C,Cuentas!$A:$A,"No encontrado"))</f>
        <v>SSP Group</v>
      </c>
      <c r="R521" s="91" t="str">
        <f>TRIM(_xlfn.XLOOKUP(tblMovimientos[[#This Row],[Cuenta Bancaria]],Cuentas!$C:$C,Cuentas!$B:$B,""))</f>
        <v/>
      </c>
    </row>
    <row r="522" spans="2:18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3"/>
        <v>-56000</v>
      </c>
      <c r="L522" s="15" t="s">
        <v>129</v>
      </c>
      <c r="M522" s="44">
        <f>SUMIFS('Saldos Iniciales'!$D:$D,'Saldos Iniciales'!$A:$A,C522,'Saldos Iniciales'!$B:$B,D522)+SUMIFS($K$1:$K$1325,$C$1:$C$1325,C522,$D$1:$D$1325,D522,$B$1:$B$1325,"&lt;="&amp;B522)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  <c r="Q522" s="91" t="str">
        <f>IF(tblMovimientos[[#This Row],[Cuenta Bancaria]]="","",_xlfn.XLOOKUP(tblMovimientos[[#This Row],[Cuenta Bancaria]],Cuentas!$C:$C,Cuentas!$A:$A,"No encontrado"))</f>
        <v>SSP Group</v>
      </c>
      <c r="R522" s="91" t="str">
        <f>TRIM(_xlfn.XLOOKUP(tblMovimientos[[#This Row],[Cuenta Bancaria]],Cuentas!$C:$C,Cuentas!$B:$B,""))</f>
        <v/>
      </c>
    </row>
    <row r="523" spans="2:18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3"/>
        <v>-70000</v>
      </c>
      <c r="L523" s="15" t="s">
        <v>129</v>
      </c>
      <c r="M523" s="44">
        <f>SUMIFS('Saldos Iniciales'!$D:$D,'Saldos Iniciales'!$A:$A,C523,'Saldos Iniciales'!$B:$B,D523)+SUMIFS($K$1:$K$1325,$C$1:$C$1325,C523,$D$1:$D$1325,D523,$B$1:$B$1325,"&lt;="&amp;B523)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  <c r="Q523" s="91" t="str">
        <f>IF(tblMovimientos[[#This Row],[Cuenta Bancaria]]="","",_xlfn.XLOOKUP(tblMovimientos[[#This Row],[Cuenta Bancaria]],Cuentas!$C:$C,Cuentas!$A:$A,"No encontrado"))</f>
        <v>SSP Group</v>
      </c>
      <c r="R523" s="91" t="str">
        <f>TRIM(_xlfn.XLOOKUP(tblMovimientos[[#This Row],[Cuenta Bancaria]],Cuentas!$C:$C,Cuentas!$B:$B,""))</f>
        <v/>
      </c>
    </row>
    <row r="524" spans="2:18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3"/>
        <v>-82833.33</v>
      </c>
      <c r="L524" s="15" t="s">
        <v>129</v>
      </c>
      <c r="M524" s="44">
        <f>SUMIFS('Saldos Iniciales'!$D:$D,'Saldos Iniciales'!$A:$A,C524,'Saldos Iniciales'!$B:$B,D524)+SUMIFS($K$1:$K$1325,$C$1:$C$1325,C524,$D$1:$D$1325,D524,$B$1:$B$1325,"&lt;="&amp;B524)</f>
        <v>4122911.3600000003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  <c r="Q524" s="91" t="str">
        <f>IF(tblMovimientos[[#This Row],[Cuenta Bancaria]]="","",_xlfn.XLOOKUP(tblMovimientos[[#This Row],[Cuenta Bancaria]],Cuentas!$C:$C,Cuentas!$A:$A,"No encontrado"))</f>
        <v>SSP Group</v>
      </c>
      <c r="R524" s="91" t="str">
        <f>TRIM(_xlfn.XLOOKUP(tblMovimientos[[#This Row],[Cuenta Bancaria]],Cuentas!$C:$C,Cuentas!$B:$B,""))</f>
        <v/>
      </c>
    </row>
    <row r="525" spans="2:18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3"/>
        <v>-9583.33</v>
      </c>
      <c r="L525" s="15" t="s">
        <v>129</v>
      </c>
      <c r="M525" s="44">
        <f>SUMIFS('Saldos Iniciales'!$D:$D,'Saldos Iniciales'!$A:$A,C525,'Saldos Iniciales'!$B:$B,D525)+SUMIFS($K$1:$K$1325,$C$1:$C$1325,C525,$D$1:$D$1325,D525,$B$1:$B$1325,"&lt;="&amp;B525)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  <c r="Q525" s="91" t="str">
        <f>IF(tblMovimientos[[#This Row],[Cuenta Bancaria]]="","",_xlfn.XLOOKUP(tblMovimientos[[#This Row],[Cuenta Bancaria]],Cuentas!$C:$C,Cuentas!$A:$A,"No encontrado"))</f>
        <v>SSP Group</v>
      </c>
      <c r="R525" s="91" t="str">
        <f>TRIM(_xlfn.XLOOKUP(tblMovimientos[[#This Row],[Cuenta Bancaria]],Cuentas!$C:$C,Cuentas!$B:$B,""))</f>
        <v/>
      </c>
    </row>
    <row r="526" spans="2:18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3"/>
        <v>-53666.67</v>
      </c>
      <c r="L526" s="15" t="s">
        <v>129</v>
      </c>
      <c r="M526" s="44">
        <f>SUMIFS('Saldos Iniciales'!$D:$D,'Saldos Iniciales'!$A:$A,C526,'Saldos Iniciales'!$B:$B,D526)+SUMIFS($K$1:$K$1325,$C$1:$C$1325,C526,$D$1:$D$1325,D526,$B$1:$B$1325,"&lt;="&amp;B526)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  <c r="Q526" s="91" t="str">
        <f>IF(tblMovimientos[[#This Row],[Cuenta Bancaria]]="","",_xlfn.XLOOKUP(tblMovimientos[[#This Row],[Cuenta Bancaria]],Cuentas!$C:$C,Cuentas!$A:$A,"No encontrado"))</f>
        <v>SSP Group</v>
      </c>
      <c r="R526" s="91" t="str">
        <f>TRIM(_xlfn.XLOOKUP(tblMovimientos[[#This Row],[Cuenta Bancaria]],Cuentas!$C:$C,Cuentas!$B:$B,""))</f>
        <v/>
      </c>
    </row>
    <row r="527" spans="2:18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3"/>
        <v>-134166.67000000001</v>
      </c>
      <c r="L527" s="15" t="s">
        <v>129</v>
      </c>
      <c r="M527" s="44">
        <f>SUMIFS('Saldos Iniciales'!$D:$D,'Saldos Iniciales'!$A:$A,C527,'Saldos Iniciales'!$B:$B,D527)+SUMIFS($K$1:$K$1325,$C$1:$C$1325,C527,$D$1:$D$1325,D527,$B$1:$B$1325,"&lt;="&amp;B527)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  <c r="Q527" s="91" t="str">
        <f>IF(tblMovimientos[[#This Row],[Cuenta Bancaria]]="","",_xlfn.XLOOKUP(tblMovimientos[[#This Row],[Cuenta Bancaria]],Cuentas!$C:$C,Cuentas!$A:$A,"No encontrado"))</f>
        <v>SSP Group</v>
      </c>
      <c r="R527" s="91" t="str">
        <f>TRIM(_xlfn.XLOOKUP(tblMovimientos[[#This Row],[Cuenta Bancaria]],Cuentas!$C:$C,Cuentas!$B:$B,""))</f>
        <v/>
      </c>
    </row>
    <row r="528" spans="2:18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3"/>
        <v>-2000</v>
      </c>
      <c r="L528" s="15" t="s">
        <v>129</v>
      </c>
      <c r="M528" s="44">
        <f>SUMIFS('Saldos Iniciales'!$D:$D,'Saldos Iniciales'!$A:$A,C528,'Saldos Iniciales'!$B:$B,D528)+SUMIFS($K$1:$K$1325,$C$1:$C$1325,C528,$D$1:$D$1325,D528,$B$1:$B$1325,"&lt;="&amp;B528)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  <c r="Q528" s="91" t="str">
        <f>IF(tblMovimientos[[#This Row],[Cuenta Bancaria]]="","",_xlfn.XLOOKUP(tblMovimientos[[#This Row],[Cuenta Bancaria]],Cuentas!$C:$C,Cuentas!$A:$A,"No encontrado"))</f>
        <v>SSP Group</v>
      </c>
      <c r="R528" s="91" t="str">
        <f>TRIM(_xlfn.XLOOKUP(tblMovimientos[[#This Row],[Cuenta Bancaria]],Cuentas!$C:$C,Cuentas!$B:$B,""))</f>
        <v/>
      </c>
    </row>
    <row r="529" spans="2:18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3"/>
        <v>-550</v>
      </c>
      <c r="L529" s="15" t="s">
        <v>129</v>
      </c>
      <c r="M529" s="44">
        <f>SUMIFS('Saldos Iniciales'!$D:$D,'Saldos Iniciales'!$A:$A,C529,'Saldos Iniciales'!$B:$B,D529)+SUMIFS($K$1:$K$1325,$C$1:$C$1325,C529,$D$1:$D$1325,D529,$B$1:$B$1325,"&lt;="&amp;B529)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  <c r="Q529" s="91" t="str">
        <f>IF(tblMovimientos[[#This Row],[Cuenta Bancaria]]="","",_xlfn.XLOOKUP(tblMovimientos[[#This Row],[Cuenta Bancaria]],Cuentas!$C:$C,Cuentas!$A:$A,"No encontrado"))</f>
        <v>SSP Group</v>
      </c>
      <c r="R529" s="91" t="str">
        <f>TRIM(_xlfn.XLOOKUP(tblMovimientos[[#This Row],[Cuenta Bancaria]],Cuentas!$C:$C,Cuentas!$B:$B,""))</f>
        <v/>
      </c>
    </row>
    <row r="530" spans="2:18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3"/>
        <v>-15</v>
      </c>
      <c r="L530" s="15" t="s">
        <v>129</v>
      </c>
      <c r="M530" s="44">
        <f>SUMIFS('Saldos Iniciales'!$D:$D,'Saldos Iniciales'!$A:$A,C530,'Saldos Iniciales'!$B:$B,D530)+SUMIFS($K$1:$K$1325,$C$1:$C$1325,C530,$D$1:$D$1325,D530,$B$1:$B$1325,"&lt;="&amp;B530)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  <c r="Q530" s="91" t="str">
        <f>IF(tblMovimientos[[#This Row],[Cuenta Bancaria]]="","",_xlfn.XLOOKUP(tblMovimientos[[#This Row],[Cuenta Bancaria]],Cuentas!$C:$C,Cuentas!$A:$A,"No encontrado"))</f>
        <v>SSP Group</v>
      </c>
      <c r="R530" s="91" t="str">
        <f>TRIM(_xlfn.XLOOKUP(tblMovimientos[[#This Row],[Cuenta Bancaria]],Cuentas!$C:$C,Cuentas!$B:$B,""))</f>
        <v/>
      </c>
    </row>
    <row r="531" spans="2:18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165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3"/>
        <v>-24</v>
      </c>
      <c r="L531" s="15" t="s">
        <v>129</v>
      </c>
      <c r="M531" s="44">
        <f>SUMIFS('Saldos Iniciales'!$D:$D,'Saldos Iniciales'!$A:$A,C531,'Saldos Iniciales'!$B:$B,D531)+SUMIFS($K$1:$K$1325,$C$1:$C$1325,C531,$D$1:$D$1325,D531,$B$1:$B$1325,"&lt;="&amp;B531)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  <c r="Q531" s="91" t="str">
        <f>IF(tblMovimientos[[#This Row],[Cuenta Bancaria]]="","",_xlfn.XLOOKUP(tblMovimientos[[#This Row],[Cuenta Bancaria]],Cuentas!$C:$C,Cuentas!$A:$A,"No encontrado"))</f>
        <v>SSP Group</v>
      </c>
      <c r="R531" s="91" t="str">
        <f>TRIM(_xlfn.XLOOKUP(tblMovimientos[[#This Row],[Cuenta Bancaria]],Cuentas!$C:$C,Cuentas!$B:$B,""))</f>
        <v/>
      </c>
    </row>
    <row r="532" spans="2:18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165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3"/>
        <v>-764.97</v>
      </c>
      <c r="L532" s="15" t="s">
        <v>129</v>
      </c>
      <c r="M532" s="44">
        <f>SUMIFS('Saldos Iniciales'!$D:$D,'Saldos Iniciales'!$A:$A,C532,'Saldos Iniciales'!$B:$B,D532)+SUMIFS($K$1:$K$1325,$C$1:$C$1325,C532,$D$1:$D$1325,D532,$B$1:$B$1325,"&lt;="&amp;B532)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  <c r="Q532" s="91" t="str">
        <f>IF(tblMovimientos[[#This Row],[Cuenta Bancaria]]="","",_xlfn.XLOOKUP(tblMovimientos[[#This Row],[Cuenta Bancaria]],Cuentas!$C:$C,Cuentas!$A:$A,"No encontrado"))</f>
        <v>SSP Group</v>
      </c>
      <c r="R532" s="91" t="str">
        <f>TRIM(_xlfn.XLOOKUP(tblMovimientos[[#This Row],[Cuenta Bancaria]],Cuentas!$C:$C,Cuentas!$B:$B,""))</f>
        <v/>
      </c>
    </row>
    <row r="533" spans="2:18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165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3"/>
        <v>-24</v>
      </c>
      <c r="L533" s="15" t="s">
        <v>129</v>
      </c>
      <c r="M533" s="44">
        <f>SUMIFS('Saldos Iniciales'!$D:$D,'Saldos Iniciales'!$A:$A,C533,'Saldos Iniciales'!$B:$B,D533)+SUMIFS($K$1:$K$1325,$C$1:$C$1325,C533,$D$1:$D$1325,D533,$B$1:$B$1325,"&lt;="&amp;B533)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  <c r="Q533" s="91" t="str">
        <f>IF(tblMovimientos[[#This Row],[Cuenta Bancaria]]="","",_xlfn.XLOOKUP(tblMovimientos[[#This Row],[Cuenta Bancaria]],Cuentas!$C:$C,Cuentas!$A:$A,"No encontrado"))</f>
        <v>SSP Group</v>
      </c>
      <c r="R533" s="91" t="str">
        <f>TRIM(_xlfn.XLOOKUP(tblMovimientos[[#This Row],[Cuenta Bancaria]],Cuentas!$C:$C,Cuentas!$B:$B,""))</f>
        <v/>
      </c>
    </row>
    <row r="534" spans="2:18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165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si="3"/>
        <v>-29.47</v>
      </c>
      <c r="L534" s="15" t="s">
        <v>129</v>
      </c>
      <c r="M534" s="44">
        <f>SUMIFS('Saldos Iniciales'!$D:$D,'Saldos Iniciales'!$A:$A,C534,'Saldos Iniciales'!$B:$B,D534)+SUMIFS($K$1:$K$1325,$C$1:$C$1325,C534,$D$1:$D$1325,D534,$B$1:$B$1325,"&lt;="&amp;B534)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  <c r="Q534" s="91" t="str">
        <f>IF(tblMovimientos[[#This Row],[Cuenta Bancaria]]="","",_xlfn.XLOOKUP(tblMovimientos[[#This Row],[Cuenta Bancaria]],Cuentas!$C:$C,Cuentas!$A:$A,"No encontrado"))</f>
        <v>SSP Group</v>
      </c>
      <c r="R534" s="91" t="str">
        <f>TRIM(_xlfn.XLOOKUP(tblMovimientos[[#This Row],[Cuenta Bancaria]],Cuentas!$C:$C,Cuentas!$B:$B,""))</f>
        <v/>
      </c>
    </row>
    <row r="535" spans="2:18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165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3"/>
        <v>-38.4</v>
      </c>
      <c r="L535" s="15" t="s">
        <v>129</v>
      </c>
      <c r="M535" s="44">
        <f>SUMIFS('Saldos Iniciales'!$D:$D,'Saldos Iniciales'!$A:$A,C535,'Saldos Iniciales'!$B:$B,D535)+SUMIFS($K$1:$K$1325,$C$1:$C$1325,C535,$D$1:$D$1325,D535,$B$1:$B$1325,"&lt;="&amp;B535)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  <c r="Q535" s="91" t="str">
        <f>IF(tblMovimientos[[#This Row],[Cuenta Bancaria]]="","",_xlfn.XLOOKUP(tblMovimientos[[#This Row],[Cuenta Bancaria]],Cuentas!$C:$C,Cuentas!$A:$A,"No encontrado"))</f>
        <v>SSP Group</v>
      </c>
      <c r="R535" s="91" t="str">
        <f>TRIM(_xlfn.XLOOKUP(tblMovimientos[[#This Row],[Cuenta Bancaria]],Cuentas!$C:$C,Cuentas!$B:$B,""))</f>
        <v/>
      </c>
    </row>
    <row r="536" spans="2:18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3"/>
        <v>518.65</v>
      </c>
      <c r="L536" s="15" t="s">
        <v>129</v>
      </c>
      <c r="M536" s="44">
        <f>SUMIFS('Saldos Iniciales'!$D:$D,'Saldos Iniciales'!$A:$A,C536,'Saldos Iniciales'!$B:$B,D536)+SUMIFS($K$1:$K$1325,$C$1:$C$1325,C536,$D$1:$D$1325,D536,$B$1:$B$1325,"&lt;="&amp;B536)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  <c r="Q536" s="91" t="str">
        <f>IF(tblMovimientos[[#This Row],[Cuenta Bancaria]]="","",_xlfn.XLOOKUP(tblMovimientos[[#This Row],[Cuenta Bancaria]],Cuentas!$C:$C,Cuentas!$A:$A,"No encontrado"))</f>
        <v>SSP Group</v>
      </c>
      <c r="R536" s="91" t="str">
        <f>TRIM(_xlfn.XLOOKUP(tblMovimientos[[#This Row],[Cuenta Bancaria]],Cuentas!$C:$C,Cuentas!$B:$B,""))</f>
        <v/>
      </c>
    </row>
    <row r="537" spans="2:18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3"/>
        <v>-1104.78</v>
      </c>
      <c r="L537" s="15" t="s">
        <v>129</v>
      </c>
      <c r="M537" s="44">
        <f>SUMIFS('Saldos Iniciales'!$D:$D,'Saldos Iniciales'!$A:$A,C537,'Saldos Iniciales'!$B:$B,D537)+SUMIFS($K$1:$K$1325,$C$1:$C$1325,C537,$D$1:$D$1325,D537,$B$1:$B$1325,"&lt;="&amp;B537)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  <c r="Q537" s="91" t="str">
        <f>IF(tblMovimientos[[#This Row],[Cuenta Bancaria]]="","",_xlfn.XLOOKUP(tblMovimientos[[#This Row],[Cuenta Bancaria]],Cuentas!$C:$C,Cuentas!$A:$A,"No encontrado"))</f>
        <v>SSP Group</v>
      </c>
      <c r="R537" s="91" t="str">
        <f>TRIM(_xlfn.XLOOKUP(tblMovimientos[[#This Row],[Cuenta Bancaria]],Cuentas!$C:$C,Cuentas!$B:$B,""))</f>
        <v/>
      </c>
    </row>
    <row r="538" spans="2:18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3"/>
        <v>-2209.56</v>
      </c>
      <c r="L538" s="15" t="s">
        <v>129</v>
      </c>
      <c r="M538" s="44">
        <f>SUMIFS('Saldos Iniciales'!$D:$D,'Saldos Iniciales'!$A:$A,C538,'Saldos Iniciales'!$B:$B,D538)+SUMIFS($K$1:$K$1325,$C$1:$C$1325,C538,$D$1:$D$1325,D538,$B$1:$B$1325,"&lt;="&amp;B538)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  <c r="Q538" s="91" t="str">
        <f>IF(tblMovimientos[[#This Row],[Cuenta Bancaria]]="","",_xlfn.XLOOKUP(tblMovimientos[[#This Row],[Cuenta Bancaria]],Cuentas!$C:$C,Cuentas!$A:$A,"No encontrado"))</f>
        <v>SSP Group</v>
      </c>
      <c r="R538" s="91" t="str">
        <f>TRIM(_xlfn.XLOOKUP(tblMovimientos[[#This Row],[Cuenta Bancaria]],Cuentas!$C:$C,Cuentas!$B:$B,""))</f>
        <v/>
      </c>
    </row>
    <row r="539" spans="2:18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3"/>
        <v>-2506.6999999999998</v>
      </c>
      <c r="L539" s="15" t="s">
        <v>129</v>
      </c>
      <c r="M539" s="44">
        <f>SUMIFS('Saldos Iniciales'!$D:$D,'Saldos Iniciales'!$A:$A,C539,'Saldos Iniciales'!$B:$B,D539)+SUMIFS($K$1:$K$1325,$C$1:$C$1325,C539,$D$1:$D$1325,D539,$B$1:$B$1325,"&lt;="&amp;B539)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  <c r="Q539" s="91" t="str">
        <f>IF(tblMovimientos[[#This Row],[Cuenta Bancaria]]="","",_xlfn.XLOOKUP(tblMovimientos[[#This Row],[Cuenta Bancaria]],Cuentas!$C:$C,Cuentas!$A:$A,"No encontrado"))</f>
        <v>SSP Group</v>
      </c>
      <c r="R539" s="91" t="str">
        <f>TRIM(_xlfn.XLOOKUP(tblMovimientos[[#This Row],[Cuenta Bancaria]],Cuentas!$C:$C,Cuentas!$B:$B,""))</f>
        <v/>
      </c>
    </row>
    <row r="540" spans="2:18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3"/>
        <v>800000</v>
      </c>
      <c r="L540" s="15" t="s">
        <v>129</v>
      </c>
      <c r="M540" s="44">
        <f>SUMIFS('Saldos Iniciales'!$D:$D,'Saldos Iniciales'!$A:$A,C540,'Saldos Iniciales'!$B:$B,D540)+SUMIFS($K$1:$K$1325,$C$1:$C$1325,C540,$D$1:$D$1325,D540,$B$1:$B$1325,"&lt;="&amp;B540)</f>
        <v>1090141.6299999999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  <c r="Q540" s="91" t="str">
        <f>IF(tblMovimientos[[#This Row],[Cuenta Bancaria]]="","",_xlfn.XLOOKUP(tblMovimientos[[#This Row],[Cuenta Bancaria]],Cuentas!$C:$C,Cuentas!$A:$A,"No encontrado"))</f>
        <v>SSP Group</v>
      </c>
      <c r="R540" s="91" t="str">
        <f>TRIM(_xlfn.XLOOKUP(tblMovimientos[[#This Row],[Cuenta Bancaria]],Cuentas!$C:$C,Cuentas!$B:$B,""))</f>
        <v>Cross Security Trust</v>
      </c>
    </row>
    <row r="541" spans="2:18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3"/>
        <v>-149.07</v>
      </c>
      <c r="L541" s="15" t="s">
        <v>129</v>
      </c>
      <c r="M541" s="44">
        <f>SUMIFS('Saldos Iniciales'!$D:$D,'Saldos Iniciales'!$A:$A,C541,'Saldos Iniciales'!$B:$B,D541)+SUMIFS($K$1:$K$1325,$C$1:$C$1325,C541,$D$1:$D$1325,D541,$B$1:$B$1325,"&lt;="&amp;B541)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  <c r="Q541" s="91" t="str">
        <f>IF(tblMovimientos[[#This Row],[Cuenta Bancaria]]="","",_xlfn.XLOOKUP(tblMovimientos[[#This Row],[Cuenta Bancaria]],Cuentas!$C:$C,Cuentas!$A:$A,"No encontrado"))</f>
        <v>SSP Group</v>
      </c>
      <c r="R541" s="91" t="str">
        <f>TRIM(_xlfn.XLOOKUP(tblMovimientos[[#This Row],[Cuenta Bancaria]],Cuentas!$C:$C,Cuentas!$B:$B,""))</f>
        <v/>
      </c>
    </row>
    <row r="542" spans="2:18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3"/>
        <v>-800000</v>
      </c>
      <c r="L542" s="15" t="s">
        <v>129</v>
      </c>
      <c r="M542" s="44">
        <f>SUMIFS('Saldos Iniciales'!$D:$D,'Saldos Iniciales'!$A:$A,C542,'Saldos Iniciales'!$B:$B,D542)+SUMIFS($K$1:$K$1325,$C$1:$C$1325,C542,$D$1:$D$1325,D542,$B$1:$B$1325,"&lt;="&amp;B542)</f>
        <v>3322911.3600000003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  <c r="Q542" s="91" t="str">
        <f>IF(tblMovimientos[[#This Row],[Cuenta Bancaria]]="","",_xlfn.XLOOKUP(tblMovimientos[[#This Row],[Cuenta Bancaria]],Cuentas!$C:$C,Cuentas!$A:$A,"No encontrado"))</f>
        <v>SSP Group</v>
      </c>
      <c r="R542" s="91" t="str">
        <f>TRIM(_xlfn.XLOOKUP(tblMovimientos[[#This Row],[Cuenta Bancaria]],Cuentas!$C:$C,Cuentas!$B:$B,""))</f>
        <v/>
      </c>
    </row>
    <row r="543" spans="2:18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3"/>
        <v>-65209.38</v>
      </c>
      <c r="L543" s="15" t="s">
        <v>129</v>
      </c>
      <c r="M543" s="44">
        <f>SUMIFS('Saldos Iniciales'!$D:$D,'Saldos Iniciales'!$A:$A,C543,'Saldos Iniciales'!$B:$B,D543)+SUMIFS($K$1:$K$1325,$C$1:$C$1325,C543,$D$1:$D$1325,D543,$B$1:$B$1325,"&lt;="&amp;B543)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  <c r="Q543" s="91" t="str">
        <f>IF(tblMovimientos[[#This Row],[Cuenta Bancaria]]="","",_xlfn.XLOOKUP(tblMovimientos[[#This Row],[Cuenta Bancaria]],Cuentas!$C:$C,Cuentas!$A:$A,"No encontrado"))</f>
        <v>SSP Group</v>
      </c>
      <c r="R543" s="91" t="str">
        <f>TRIM(_xlfn.XLOOKUP(tblMovimientos[[#This Row],[Cuenta Bancaria]],Cuentas!$C:$C,Cuentas!$B:$B,""))</f>
        <v/>
      </c>
    </row>
    <row r="544" spans="2:18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3"/>
        <v>-29.44</v>
      </c>
      <c r="L544" s="15" t="s">
        <v>129</v>
      </c>
      <c r="M544" s="44">
        <f>SUMIFS('Saldos Iniciales'!$D:$D,'Saldos Iniciales'!$A:$A,C544,'Saldos Iniciales'!$B:$B,D544)+SUMIFS($K$1:$K$1325,$C$1:$C$1325,C544,$D$1:$D$1325,D544,$B$1:$B$1325,"&lt;="&amp;B544)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  <c r="Q544" s="91" t="str">
        <f>IF(tblMovimientos[[#This Row],[Cuenta Bancaria]]="","",_xlfn.XLOOKUP(tblMovimientos[[#This Row],[Cuenta Bancaria]],Cuentas!$C:$C,Cuentas!$A:$A,"No encontrado"))</f>
        <v>SSP Group</v>
      </c>
      <c r="R544" s="91" t="str">
        <f>TRIM(_xlfn.XLOOKUP(tblMovimientos[[#This Row],[Cuenta Bancaria]],Cuentas!$C:$C,Cuentas!$B:$B,""))</f>
        <v/>
      </c>
    </row>
    <row r="545" spans="2:18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3"/>
        <v>-336.88</v>
      </c>
      <c r="L545" s="15" t="s">
        <v>129</v>
      </c>
      <c r="M545" s="44">
        <f>SUMIFS('Saldos Iniciales'!$D:$D,'Saldos Iniciales'!$A:$A,C545,'Saldos Iniciales'!$B:$B,D545)+SUMIFS($K$1:$K$1325,$C$1:$C$1325,C545,$D$1:$D$1325,D545,$B$1:$B$1325,"&lt;="&amp;B545)</f>
        <v>1089804.7499999998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  <c r="Q545" s="91" t="str">
        <f>IF(tblMovimientos[[#This Row],[Cuenta Bancaria]]="","",_xlfn.XLOOKUP(tblMovimientos[[#This Row],[Cuenta Bancaria]],Cuentas!$C:$C,Cuentas!$A:$A,"No encontrado"))</f>
        <v>SSP Group</v>
      </c>
      <c r="R545" s="91" t="str">
        <f>TRIM(_xlfn.XLOOKUP(tblMovimientos[[#This Row],[Cuenta Bancaria]],Cuentas!$C:$C,Cuentas!$B:$B,""))</f>
        <v>Cross Security Trust</v>
      </c>
    </row>
    <row r="546" spans="2:18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3"/>
        <v>-175</v>
      </c>
      <c r="L546" s="15" t="s">
        <v>129</v>
      </c>
      <c r="M546" s="44">
        <f>SUMIFS('Saldos Iniciales'!$D:$D,'Saldos Iniciales'!$A:$A,C546,'Saldos Iniciales'!$B:$B,D546)+SUMIFS($K$1:$K$1325,$C$1:$C$1325,C546,$D$1:$D$1325,D546,$B$1:$B$1325,"&lt;="&amp;B546)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  <c r="Q546" s="91" t="str">
        <f>IF(tblMovimientos[[#This Row],[Cuenta Bancaria]]="","",_xlfn.XLOOKUP(tblMovimientos[[#This Row],[Cuenta Bancaria]],Cuentas!$C:$C,Cuentas!$A:$A,"No encontrado"))</f>
        <v>SSP Group</v>
      </c>
      <c r="R546" s="91" t="str">
        <f>TRIM(_xlfn.XLOOKUP(tblMovimientos[[#This Row],[Cuenta Bancaria]],Cuentas!$C:$C,Cuentas!$B:$B,""))</f>
        <v/>
      </c>
    </row>
    <row r="547" spans="2:18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3"/>
        <v>-2490.36</v>
      </c>
      <c r="L547" s="15" t="s">
        <v>129</v>
      </c>
      <c r="M547" s="44">
        <f>SUMIFS('Saldos Iniciales'!$D:$D,'Saldos Iniciales'!$A:$A,C547,'Saldos Iniciales'!$B:$B,D547)+SUMIFS($K$1:$K$1325,$C$1:$C$1325,C547,$D$1:$D$1325,D547,$B$1:$B$1325,"&lt;="&amp;B547)</f>
        <v>10633.18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  <c r="Q547" s="91" t="str">
        <f>IF(tblMovimientos[[#This Row],[Cuenta Bancaria]]="","",_xlfn.XLOOKUP(tblMovimientos[[#This Row],[Cuenta Bancaria]],Cuentas!$C:$C,Cuentas!$A:$A,"No encontrado"))</f>
        <v>SSP Group</v>
      </c>
      <c r="R547" s="91" t="str">
        <f>TRIM(_xlfn.XLOOKUP(tblMovimientos[[#This Row],[Cuenta Bancaria]],Cuentas!$C:$C,Cuentas!$B:$B,""))</f>
        <v/>
      </c>
    </row>
    <row r="548" spans="2:18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3"/>
        <v>-60000</v>
      </c>
      <c r="L548" s="15" t="s">
        <v>129</v>
      </c>
      <c r="M548" s="44">
        <f>SUMIFS('Saldos Iniciales'!$D:$D,'Saldos Iniciales'!$A:$A,C548,'Saldos Iniciales'!$B:$B,D548)+SUMIFS($K$1:$K$1325,$C$1:$C$1325,C548,$D$1:$D$1325,D548,$B$1:$B$1325,"&lt;="&amp;B548)</f>
        <v>1029804.7499999998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  <c r="Q548" s="91" t="str">
        <f>IF(tblMovimientos[[#This Row],[Cuenta Bancaria]]="","",_xlfn.XLOOKUP(tblMovimientos[[#This Row],[Cuenta Bancaria]],Cuentas!$C:$C,Cuentas!$A:$A,"No encontrado"))</f>
        <v>SSP Group</v>
      </c>
      <c r="R548" s="91" t="str">
        <f>TRIM(_xlfn.XLOOKUP(tblMovimientos[[#This Row],[Cuenta Bancaria]],Cuentas!$C:$C,Cuentas!$B:$B,""))</f>
        <v>Cross Security Trust</v>
      </c>
    </row>
    <row r="549" spans="2:18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3"/>
        <v>-3000</v>
      </c>
      <c r="L549" s="15" t="s">
        <v>129</v>
      </c>
      <c r="M549" s="44">
        <f>SUMIFS('Saldos Iniciales'!$D:$D,'Saldos Iniciales'!$A:$A,C549,'Saldos Iniciales'!$B:$B,D549)+SUMIFS($K$1:$K$1325,$C$1:$C$1325,C549,$D$1:$D$1325,D549,$B$1:$B$1325,"&lt;="&amp;B549)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  <c r="Q549" s="91" t="str">
        <f>IF(tblMovimientos[[#This Row],[Cuenta Bancaria]]="","",_xlfn.XLOOKUP(tblMovimientos[[#This Row],[Cuenta Bancaria]],Cuentas!$C:$C,Cuentas!$A:$A,"No encontrado"))</f>
        <v>SSP Group</v>
      </c>
      <c r="R549" s="91" t="str">
        <f>TRIM(_xlfn.XLOOKUP(tblMovimientos[[#This Row],[Cuenta Bancaria]],Cuentas!$C:$C,Cuentas!$B:$B,""))</f>
        <v/>
      </c>
    </row>
    <row r="550" spans="2:18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165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3"/>
        <v>2000</v>
      </c>
      <c r="L550" s="15" t="s">
        <v>129</v>
      </c>
      <c r="M550" s="44">
        <f>SUMIFS('Saldos Iniciales'!$D:$D,'Saldos Iniciales'!$A:$A,C550,'Saldos Iniciales'!$B:$B,D550)+SUMIFS($K$1:$K$1325,$C$1:$C$1325,C550,$D$1:$D$1325,D550,$B$1:$B$1325,"&lt;="&amp;B550)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  <c r="Q550" s="91" t="str">
        <f>IF(tblMovimientos[[#This Row],[Cuenta Bancaria]]="","",_xlfn.XLOOKUP(tblMovimientos[[#This Row],[Cuenta Bancaria]],Cuentas!$C:$C,Cuentas!$A:$A,"No encontrado"))</f>
        <v>SSP Group</v>
      </c>
      <c r="R550" s="91" t="str">
        <f>TRIM(_xlfn.XLOOKUP(tblMovimientos[[#This Row],[Cuenta Bancaria]],Cuentas!$C:$C,Cuentas!$B:$B,""))</f>
        <v/>
      </c>
    </row>
    <row r="551" spans="2:18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165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3"/>
        <v>-938</v>
      </c>
      <c r="L551" s="15" t="s">
        <v>129</v>
      </c>
      <c r="M551" s="44">
        <f>SUMIFS('Saldos Iniciales'!$D:$D,'Saldos Iniciales'!$A:$A,C551,'Saldos Iniciales'!$B:$B,D551)+SUMIFS($K$1:$K$1325,$C$1:$C$1325,C551,$D$1:$D$1325,D551,$B$1:$B$1325,"&lt;="&amp;B551)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  <c r="Q551" s="91" t="str">
        <f>IF(tblMovimientos[[#This Row],[Cuenta Bancaria]]="","",_xlfn.XLOOKUP(tblMovimientos[[#This Row],[Cuenta Bancaria]],Cuentas!$C:$C,Cuentas!$A:$A,"No encontrado"))</f>
        <v>SSP Group</v>
      </c>
      <c r="R551" s="91" t="str">
        <f>TRIM(_xlfn.XLOOKUP(tblMovimientos[[#This Row],[Cuenta Bancaria]],Cuentas!$C:$C,Cuentas!$B:$B,""))</f>
        <v/>
      </c>
    </row>
    <row r="552" spans="2:18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165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3"/>
        <v>-92.41</v>
      </c>
      <c r="L552" s="15" t="s">
        <v>129</v>
      </c>
      <c r="M552" s="44">
        <f>SUMIFS('Saldos Iniciales'!$D:$D,'Saldos Iniciales'!$A:$A,C552,'Saldos Iniciales'!$B:$B,D552)+SUMIFS($K$1:$K$1325,$C$1:$C$1325,C552,$D$1:$D$1325,D552,$B$1:$B$1325,"&lt;="&amp;B552)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  <c r="Q552" s="91" t="str">
        <f>IF(tblMovimientos[[#This Row],[Cuenta Bancaria]]="","",_xlfn.XLOOKUP(tblMovimientos[[#This Row],[Cuenta Bancaria]],Cuentas!$C:$C,Cuentas!$A:$A,"No encontrado"))</f>
        <v>SSP Group</v>
      </c>
      <c r="R552" s="91" t="str">
        <f>TRIM(_xlfn.XLOOKUP(tblMovimientos[[#This Row],[Cuenta Bancaria]],Cuentas!$C:$C,Cuentas!$B:$B,""))</f>
        <v/>
      </c>
    </row>
    <row r="553" spans="2:18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165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3"/>
        <v>-13.98</v>
      </c>
      <c r="L553" s="15" t="s">
        <v>129</v>
      </c>
      <c r="M553" s="44">
        <f>SUMIFS('Saldos Iniciales'!$D:$D,'Saldos Iniciales'!$A:$A,C553,'Saldos Iniciales'!$B:$B,D553)+SUMIFS($K$1:$K$1325,$C$1:$C$1325,C553,$D$1:$D$1325,D553,$B$1:$B$1325,"&lt;="&amp;B553)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  <c r="Q553" s="91" t="str">
        <f>IF(tblMovimientos[[#This Row],[Cuenta Bancaria]]="","",_xlfn.XLOOKUP(tblMovimientos[[#This Row],[Cuenta Bancaria]],Cuentas!$C:$C,Cuentas!$A:$A,"No encontrado"))</f>
        <v>SSP Group</v>
      </c>
      <c r="R553" s="91" t="str">
        <f>TRIM(_xlfn.XLOOKUP(tblMovimientos[[#This Row],[Cuenta Bancaria]],Cuentas!$C:$C,Cuentas!$B:$B,""))</f>
        <v/>
      </c>
    </row>
    <row r="554" spans="2:18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3"/>
        <v>250000</v>
      </c>
      <c r="L554" s="15" t="s">
        <v>129</v>
      </c>
      <c r="M554" s="44">
        <f>SUMIFS('Saldos Iniciales'!$D:$D,'Saldos Iniciales'!$A:$A,C554,'Saldos Iniciales'!$B:$B,D554)+SUMIFS($K$1:$K$1325,$C$1:$C$1325,C554,$D$1:$D$1325,D554,$B$1:$B$1325,"&lt;="&amp;B554)</f>
        <v>3069494.6800000006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  <c r="Q554" s="91" t="str">
        <f>IF(tblMovimientos[[#This Row],[Cuenta Bancaria]]="","",_xlfn.XLOOKUP(tblMovimientos[[#This Row],[Cuenta Bancaria]],Cuentas!$C:$C,Cuentas!$A:$A,"No encontrado"))</f>
        <v>SSP Group</v>
      </c>
      <c r="R554" s="91" t="str">
        <f>TRIM(_xlfn.XLOOKUP(tblMovimientos[[#This Row],[Cuenta Bancaria]],Cuentas!$C:$C,Cuentas!$B:$B,""))</f>
        <v/>
      </c>
    </row>
    <row r="555" spans="2:18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3"/>
        <v>-2366.67</v>
      </c>
      <c r="L555" s="15" t="s">
        <v>129</v>
      </c>
      <c r="M555" s="44">
        <f>SUMIFS('Saldos Iniciales'!$D:$D,'Saldos Iniciales'!$A:$A,C555,'Saldos Iniciales'!$B:$B,D555)+SUMIFS($K$1:$K$1325,$C$1:$C$1325,C555,$D$1:$D$1325,D555,$B$1:$B$1325,"&lt;="&amp;B555)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  <c r="Q555" s="91" t="str">
        <f>IF(tblMovimientos[[#This Row],[Cuenta Bancaria]]="","",_xlfn.XLOOKUP(tblMovimientos[[#This Row],[Cuenta Bancaria]],Cuentas!$C:$C,Cuentas!$A:$A,"No encontrado"))</f>
        <v>SSP Group</v>
      </c>
      <c r="R555" s="91" t="str">
        <f>TRIM(_xlfn.XLOOKUP(tblMovimientos[[#This Row],[Cuenta Bancaria]],Cuentas!$C:$C,Cuentas!$B:$B,""))</f>
        <v/>
      </c>
    </row>
    <row r="556" spans="2:18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3"/>
        <v>-2916.67</v>
      </c>
      <c r="L556" s="15" t="s">
        <v>129</v>
      </c>
      <c r="M556" s="44">
        <f>SUMIFS('Saldos Iniciales'!$D:$D,'Saldos Iniciales'!$A:$A,C556,'Saldos Iniciales'!$B:$B,D556)+SUMIFS($K$1:$K$1325,$C$1:$C$1325,C556,$D$1:$D$1325,D556,$B$1:$B$1325,"&lt;="&amp;B556)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  <c r="Q556" s="91" t="str">
        <f>IF(tblMovimientos[[#This Row],[Cuenta Bancaria]]="","",_xlfn.XLOOKUP(tblMovimientos[[#This Row],[Cuenta Bancaria]],Cuentas!$C:$C,Cuentas!$A:$A,"No encontrado"))</f>
        <v>SSP Group</v>
      </c>
      <c r="R556" s="91" t="str">
        <f>TRIM(_xlfn.XLOOKUP(tblMovimientos[[#This Row],[Cuenta Bancaria]],Cuentas!$C:$C,Cuentas!$B:$B,""))</f>
        <v/>
      </c>
    </row>
    <row r="557" spans="2:18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3"/>
        <v>-3616.67</v>
      </c>
      <c r="L557" s="15" t="s">
        <v>129</v>
      </c>
      <c r="M557" s="44">
        <f>SUMIFS('Saldos Iniciales'!$D:$D,'Saldos Iniciales'!$A:$A,C557,'Saldos Iniciales'!$B:$B,D557)+SUMIFS($K$1:$K$1325,$C$1:$C$1325,C557,$D$1:$D$1325,D557,$B$1:$B$1325,"&lt;="&amp;B557)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  <c r="Q557" s="91" t="str">
        <f>IF(tblMovimientos[[#This Row],[Cuenta Bancaria]]="","",_xlfn.XLOOKUP(tblMovimientos[[#This Row],[Cuenta Bancaria]],Cuentas!$C:$C,Cuentas!$A:$A,"No encontrado"))</f>
        <v>SSP Group</v>
      </c>
      <c r="R557" s="91" t="str">
        <f>TRIM(_xlfn.XLOOKUP(tblMovimientos[[#This Row],[Cuenta Bancaria]],Cuentas!$C:$C,Cuentas!$B:$B,""))</f>
        <v/>
      </c>
    </row>
    <row r="558" spans="2:18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3"/>
        <v>-10266.67</v>
      </c>
      <c r="L558" s="15" t="s">
        <v>129</v>
      </c>
      <c r="M558" s="44">
        <f>SUMIFS('Saldos Iniciales'!$D:$D,'Saldos Iniciales'!$A:$A,C558,'Saldos Iniciales'!$B:$B,D558)+SUMIFS($K$1:$K$1325,$C$1:$C$1325,C558,$D$1:$D$1325,D558,$B$1:$B$1325,"&lt;="&amp;B558)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  <c r="Q558" s="91" t="str">
        <f>IF(tblMovimientos[[#This Row],[Cuenta Bancaria]]="","",_xlfn.XLOOKUP(tblMovimientos[[#This Row],[Cuenta Bancaria]],Cuentas!$C:$C,Cuentas!$A:$A,"No encontrado"))</f>
        <v>SSP Group</v>
      </c>
      <c r="R558" s="91" t="str">
        <f>TRIM(_xlfn.XLOOKUP(tblMovimientos[[#This Row],[Cuenta Bancaria]],Cuentas!$C:$C,Cuentas!$B:$B,""))</f>
        <v/>
      </c>
    </row>
    <row r="559" spans="2:18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3"/>
        <v>-11666.67</v>
      </c>
      <c r="L559" s="15" t="s">
        <v>129</v>
      </c>
      <c r="M559" s="44">
        <f>SUMIFS('Saldos Iniciales'!$D:$D,'Saldos Iniciales'!$A:$A,C559,'Saldos Iniciales'!$B:$B,D559)+SUMIFS($K$1:$K$1325,$C$1:$C$1325,C559,$D$1:$D$1325,D559,$B$1:$B$1325,"&lt;="&amp;B559)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  <c r="Q559" s="91" t="str">
        <f>IF(tblMovimientos[[#This Row],[Cuenta Bancaria]]="","",_xlfn.XLOOKUP(tblMovimientos[[#This Row],[Cuenta Bancaria]],Cuentas!$C:$C,Cuentas!$A:$A,"No encontrado"))</f>
        <v>SSP Group</v>
      </c>
      <c r="R559" s="91" t="str">
        <f>TRIM(_xlfn.XLOOKUP(tblMovimientos[[#This Row],[Cuenta Bancaria]],Cuentas!$C:$C,Cuentas!$B:$B,""))</f>
        <v/>
      </c>
    </row>
    <row r="560" spans="2:18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3"/>
        <v>-22166.67</v>
      </c>
      <c r="L560" s="15" t="s">
        <v>129</v>
      </c>
      <c r="M560" s="44">
        <f>SUMIFS('Saldos Iniciales'!$D:$D,'Saldos Iniciales'!$A:$A,C560,'Saldos Iniciales'!$B:$B,D560)+SUMIFS($K$1:$K$1325,$C$1:$C$1325,C560,$D$1:$D$1325,D560,$B$1:$B$1325,"&lt;="&amp;B560)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  <c r="Q560" s="91" t="str">
        <f>IF(tblMovimientos[[#This Row],[Cuenta Bancaria]]="","",_xlfn.XLOOKUP(tblMovimientos[[#This Row],[Cuenta Bancaria]],Cuentas!$C:$C,Cuentas!$A:$A,"No encontrado"))</f>
        <v>SSP Group</v>
      </c>
      <c r="R560" s="91" t="str">
        <f>TRIM(_xlfn.XLOOKUP(tblMovimientos[[#This Row],[Cuenta Bancaria]],Cuentas!$C:$C,Cuentas!$B:$B,""))</f>
        <v/>
      </c>
    </row>
    <row r="561" spans="1:18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3"/>
        <v>-23333.33</v>
      </c>
      <c r="L561" s="15" t="s">
        <v>129</v>
      </c>
      <c r="M561" s="44">
        <f>SUMIFS('Saldos Iniciales'!$D:$D,'Saldos Iniciales'!$A:$A,C561,'Saldos Iniciales'!$B:$B,D561)+SUMIFS($K$1:$K$1325,$C$1:$C$1325,C561,$D$1:$D$1325,D561,$B$1:$B$1325,"&lt;="&amp;B561)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  <c r="Q561" s="91" t="str">
        <f>IF(tblMovimientos[[#This Row],[Cuenta Bancaria]]="","",_xlfn.XLOOKUP(tblMovimientos[[#This Row],[Cuenta Bancaria]],Cuentas!$C:$C,Cuentas!$A:$A,"No encontrado"))</f>
        <v>SSP Group</v>
      </c>
      <c r="R561" s="91" t="str">
        <f>TRIM(_xlfn.XLOOKUP(tblMovimientos[[#This Row],[Cuenta Bancaria]],Cuentas!$C:$C,Cuentas!$B:$B,""))</f>
        <v/>
      </c>
    </row>
    <row r="562" spans="1:18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ref="K562:K625" si="4">IF(F562="Ingreso",J562,-J562)</f>
        <v>-27083.33</v>
      </c>
      <c r="L562" s="15" t="s">
        <v>129</v>
      </c>
      <c r="M562" s="44">
        <f>SUMIFS('Saldos Iniciales'!$D:$D,'Saldos Iniciales'!$A:$A,C562,'Saldos Iniciales'!$B:$B,D562)+SUMIFS($K$1:$K$1325,$C$1:$C$1325,C562,$D$1:$D$1325,D562,$B$1:$B$1325,"&lt;="&amp;B562)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  <c r="Q562" s="91" t="str">
        <f>IF(tblMovimientos[[#This Row],[Cuenta Bancaria]]="","",_xlfn.XLOOKUP(tblMovimientos[[#This Row],[Cuenta Bancaria]],Cuentas!$C:$C,Cuentas!$A:$A,"No encontrado"))</f>
        <v>SSP Group</v>
      </c>
      <c r="R562" s="91" t="str">
        <f>TRIM(_xlfn.XLOOKUP(tblMovimientos[[#This Row],[Cuenta Bancaria]],Cuentas!$C:$C,Cuentas!$B:$B,""))</f>
        <v/>
      </c>
    </row>
    <row r="563" spans="1:18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4"/>
        <v>-30000</v>
      </c>
      <c r="L563" s="15" t="s">
        <v>129</v>
      </c>
      <c r="M563" s="44">
        <f>SUMIFS('Saldos Iniciales'!$D:$D,'Saldos Iniciales'!$A:$A,C563,'Saldos Iniciales'!$B:$B,D563)+SUMIFS($K$1:$K$1325,$C$1:$C$1325,C563,$D$1:$D$1325,D563,$B$1:$B$1325,"&lt;="&amp;B563)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  <c r="Q563" s="91" t="str">
        <f>IF(tblMovimientos[[#This Row],[Cuenta Bancaria]]="","",_xlfn.XLOOKUP(tblMovimientos[[#This Row],[Cuenta Bancaria]],Cuentas!$C:$C,Cuentas!$A:$A,"No encontrado"))</f>
        <v>SSP Group</v>
      </c>
      <c r="R563" s="91" t="str">
        <f>TRIM(_xlfn.XLOOKUP(tblMovimientos[[#This Row],[Cuenta Bancaria]],Cuentas!$C:$C,Cuentas!$B:$B,""))</f>
        <v/>
      </c>
    </row>
    <row r="564" spans="1:18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4"/>
        <v>-70000</v>
      </c>
      <c r="L564" s="15" t="s">
        <v>129</v>
      </c>
      <c r="M564" s="44">
        <f>SUMIFS('Saldos Iniciales'!$D:$D,'Saldos Iniciales'!$A:$A,C564,'Saldos Iniciales'!$B:$B,D564)+SUMIFS($K$1:$K$1325,$C$1:$C$1325,C564,$D$1:$D$1325,D564,$B$1:$B$1325,"&lt;="&amp;B564)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  <c r="Q564" s="91" t="str">
        <f>IF(tblMovimientos[[#This Row],[Cuenta Bancaria]]="","",_xlfn.XLOOKUP(tblMovimientos[[#This Row],[Cuenta Bancaria]],Cuentas!$C:$C,Cuentas!$A:$A,"No encontrado"))</f>
        <v>SSP Group</v>
      </c>
      <c r="R564" s="91" t="str">
        <f>TRIM(_xlfn.XLOOKUP(tblMovimientos[[#This Row],[Cuenta Bancaria]],Cuentas!$C:$C,Cuentas!$B:$B,""))</f>
        <v/>
      </c>
    </row>
    <row r="565" spans="1:18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4"/>
        <v>-100000</v>
      </c>
      <c r="L565" s="15" t="s">
        <v>129</v>
      </c>
      <c r="M565" s="44">
        <f>SUMIFS('Saldos Iniciales'!$D:$D,'Saldos Iniciales'!$A:$A,C565,'Saldos Iniciales'!$B:$B,D565)+SUMIFS($K$1:$K$1325,$C$1:$C$1325,C565,$D$1:$D$1325,D565,$B$1:$B$1325,"&lt;="&amp;B565)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  <c r="Q565" s="91" t="str">
        <f>IF(tblMovimientos[[#This Row],[Cuenta Bancaria]]="","",_xlfn.XLOOKUP(tblMovimientos[[#This Row],[Cuenta Bancaria]],Cuentas!$C:$C,Cuentas!$A:$A,"No encontrado"))</f>
        <v>SSP Group</v>
      </c>
      <c r="R565" s="91" t="str">
        <f>TRIM(_xlfn.XLOOKUP(tblMovimientos[[#This Row],[Cuenta Bancaria]],Cuentas!$C:$C,Cuentas!$B:$B,""))</f>
        <v/>
      </c>
    </row>
    <row r="566" spans="1:18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4"/>
        <v>-100000</v>
      </c>
      <c r="L566" s="15" t="s">
        <v>129</v>
      </c>
      <c r="M566" s="44">
        <f>SUMIFS('Saldos Iniciales'!$D:$D,'Saldos Iniciales'!$A:$A,C566,'Saldos Iniciales'!$B:$B,D566)+SUMIFS($K$1:$K$1325,$C$1:$C$1325,C566,$D$1:$D$1325,D566,$B$1:$B$1325,"&lt;="&amp;B566)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  <c r="Q566" s="91" t="str">
        <f>IF(tblMovimientos[[#This Row],[Cuenta Bancaria]]="","",_xlfn.XLOOKUP(tblMovimientos[[#This Row],[Cuenta Bancaria]],Cuentas!$C:$C,Cuentas!$A:$A,"No encontrado"))</f>
        <v>SSP Group</v>
      </c>
      <c r="R566" s="91" t="str">
        <f>TRIM(_xlfn.XLOOKUP(tblMovimientos[[#This Row],[Cuenta Bancaria]],Cuentas!$C:$C,Cuentas!$B:$B,""))</f>
        <v/>
      </c>
    </row>
    <row r="567" spans="1:18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4"/>
        <v>-100000</v>
      </c>
      <c r="L567" s="15" t="s">
        <v>129</v>
      </c>
      <c r="M567" s="44">
        <f>SUMIFS('Saldos Iniciales'!$D:$D,'Saldos Iniciales'!$A:$A,C567,'Saldos Iniciales'!$B:$B,D567)+SUMIFS($K$1:$K$1325,$C$1:$C$1325,C567,$D$1:$D$1325,D567,$B$1:$B$1325,"&lt;="&amp;B567)</f>
        <v>3069494.6800000006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  <c r="Q567" s="91" t="str">
        <f>IF(tblMovimientos[[#This Row],[Cuenta Bancaria]]="","",_xlfn.XLOOKUP(tblMovimientos[[#This Row],[Cuenta Bancaria]],Cuentas!$C:$C,Cuentas!$A:$A,"No encontrado"))</f>
        <v>SSP Group</v>
      </c>
      <c r="R567" s="91" t="str">
        <f>TRIM(_xlfn.XLOOKUP(tblMovimientos[[#This Row],[Cuenta Bancaria]],Cuentas!$C:$C,Cuentas!$B:$B,""))</f>
        <v/>
      </c>
    </row>
    <row r="568" spans="1:18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4"/>
        <v>-26250</v>
      </c>
      <c r="L568" s="15" t="s">
        <v>129</v>
      </c>
      <c r="M568" s="44">
        <f>SUMIFS('Saldos Iniciales'!$D:$D,'Saldos Iniciales'!$A:$A,C568,'Saldos Iniciales'!$B:$B,D568)+SUMIFS($K$1:$K$1325,$C$1:$C$1325,C568,$D$1:$D$1325,D568,$B$1:$B$1325,"&lt;="&amp;B568)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  <c r="Q568" s="91" t="str">
        <f>IF(tblMovimientos[[#This Row],[Cuenta Bancaria]]="","",_xlfn.XLOOKUP(tblMovimientos[[#This Row],[Cuenta Bancaria]],Cuentas!$C:$C,Cuentas!$A:$A,"No encontrado"))</f>
        <v>SSP Group</v>
      </c>
      <c r="R568" s="91" t="str">
        <f>TRIM(_xlfn.XLOOKUP(tblMovimientos[[#This Row],[Cuenta Bancaria]],Cuentas!$C:$C,Cuentas!$B:$B,""))</f>
        <v/>
      </c>
    </row>
    <row r="569" spans="1:18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4"/>
        <v>-49583.34</v>
      </c>
      <c r="L569" s="15" t="s">
        <v>129</v>
      </c>
      <c r="M569" s="44">
        <f>SUMIFS('Saldos Iniciales'!$D:$D,'Saldos Iniciales'!$A:$A,C569,'Saldos Iniciales'!$B:$B,D569)+SUMIFS($K$1:$K$1325,$C$1:$C$1325,C569,$D$1:$D$1325,D569,$B$1:$B$1325,"&lt;="&amp;B569)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  <c r="Q569" s="91" t="str">
        <f>IF(tblMovimientos[[#This Row],[Cuenta Bancaria]]="","",_xlfn.XLOOKUP(tblMovimientos[[#This Row],[Cuenta Bancaria]],Cuentas!$C:$C,Cuentas!$A:$A,"No encontrado"))</f>
        <v>SSP Group</v>
      </c>
      <c r="R569" s="91" t="str">
        <f>TRIM(_xlfn.XLOOKUP(tblMovimientos[[#This Row],[Cuenta Bancaria]],Cuentas!$C:$C,Cuentas!$B:$B,""))</f>
        <v/>
      </c>
    </row>
    <row r="570" spans="1:18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4"/>
        <v>-100000</v>
      </c>
      <c r="L570" s="15" t="s">
        <v>129</v>
      </c>
      <c r="M570" s="44">
        <f>SUMIFS('Saldos Iniciales'!$D:$D,'Saldos Iniciales'!$A:$A,C570,'Saldos Iniciales'!$B:$B,D570)+SUMIFS($K$1:$K$1325,$C$1:$C$1325,C570,$D$1:$D$1325,D570,$B$1:$B$1325,"&lt;="&amp;B570)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  <c r="Q570" s="91" t="str">
        <f>IF(tblMovimientos[[#This Row],[Cuenta Bancaria]]="","",_xlfn.XLOOKUP(tblMovimientos[[#This Row],[Cuenta Bancaria]],Cuentas!$C:$C,Cuentas!$A:$A,"No encontrado"))</f>
        <v>SSP Group</v>
      </c>
      <c r="R570" s="91" t="str">
        <f>TRIM(_xlfn.XLOOKUP(tblMovimientos[[#This Row],[Cuenta Bancaria]],Cuentas!$C:$C,Cuentas!$B:$B,""))</f>
        <v/>
      </c>
    </row>
    <row r="571" spans="1:18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4"/>
        <v>-2000</v>
      </c>
      <c r="L571" s="15" t="s">
        <v>129</v>
      </c>
      <c r="M571" s="44">
        <f>SUMIFS('Saldos Iniciales'!$D:$D,'Saldos Iniciales'!$A:$A,C571,'Saldos Iniciales'!$B:$B,D571)+SUMIFS($K$1:$K$1325,$C$1:$C$1325,C571,$D$1:$D$1325,D571,$B$1:$B$1325,"&lt;="&amp;B571)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  <c r="Q571" s="91" t="str">
        <f>IF(tblMovimientos[[#This Row],[Cuenta Bancaria]]="","",_xlfn.XLOOKUP(tblMovimientos[[#This Row],[Cuenta Bancaria]],Cuentas!$C:$C,Cuentas!$A:$A,"No encontrado"))</f>
        <v>SSP Group</v>
      </c>
      <c r="R571" s="91" t="str">
        <f>TRIM(_xlfn.XLOOKUP(tblMovimientos[[#This Row],[Cuenta Bancaria]],Cuentas!$C:$C,Cuentas!$B:$B,""))</f>
        <v/>
      </c>
    </row>
    <row r="572" spans="1:18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165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4"/>
        <v>-24</v>
      </c>
      <c r="L572" s="15" t="s">
        <v>129</v>
      </c>
      <c r="M572" s="44">
        <f>SUMIFS('Saldos Iniciales'!$D:$D,'Saldos Iniciales'!$A:$A,C572,'Saldos Iniciales'!$B:$B,D572)+SUMIFS($K$1:$K$1325,$C$1:$C$1325,C572,$D$1:$D$1325,D572,$B$1:$B$1325,"&lt;="&amp;B572)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  <c r="Q572" s="91" t="str">
        <f>IF(tblMovimientos[[#This Row],[Cuenta Bancaria]]="","",_xlfn.XLOOKUP(tblMovimientos[[#This Row],[Cuenta Bancaria]],Cuentas!$C:$C,Cuentas!$A:$A,"No encontrado"))</f>
        <v>SSP Group</v>
      </c>
      <c r="R572" s="91" t="str">
        <f>TRIM(_xlfn.XLOOKUP(tblMovimientos[[#This Row],[Cuenta Bancaria]],Cuentas!$C:$C,Cuentas!$B:$B,""))</f>
        <v/>
      </c>
    </row>
    <row r="573" spans="1:18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165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4"/>
        <v>-2300.0300000000002</v>
      </c>
      <c r="L573" s="15" t="s">
        <v>129</v>
      </c>
      <c r="M573" s="44">
        <f>SUMIFS('Saldos Iniciales'!$D:$D,'Saldos Iniciales'!$A:$A,C573,'Saldos Iniciales'!$B:$B,D573)+SUMIFS($K$1:$K$1325,$C$1:$C$1325,C573,$D$1:$D$1325,D573,$B$1:$B$1325,"&lt;="&amp;B573)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  <c r="Q573" s="91" t="str">
        <f>IF(tblMovimientos[[#This Row],[Cuenta Bancaria]]="","",_xlfn.XLOOKUP(tblMovimientos[[#This Row],[Cuenta Bancaria]],Cuentas!$C:$C,Cuentas!$A:$A,"No encontrado"))</f>
        <v>SSP Group</v>
      </c>
      <c r="R573" s="91" t="str">
        <f>TRIM(_xlfn.XLOOKUP(tblMovimientos[[#This Row],[Cuenta Bancaria]],Cuentas!$C:$C,Cuentas!$B:$B,""))</f>
        <v/>
      </c>
    </row>
    <row r="574" spans="1:18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165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4"/>
        <v>-21.73</v>
      </c>
      <c r="L574" s="15" t="s">
        <v>129</v>
      </c>
      <c r="M574" s="44">
        <f>SUMIFS('Saldos Iniciales'!$D:$D,'Saldos Iniciales'!$A:$A,C574,'Saldos Iniciales'!$B:$B,D574)+SUMIFS($K$1:$K$1325,$C$1:$C$1325,C574,$D$1:$D$1325,D574,$B$1:$B$1325,"&lt;="&amp;B574)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  <c r="Q574" s="91" t="str">
        <f>IF(tblMovimientos[[#This Row],[Cuenta Bancaria]]="","",_xlfn.XLOOKUP(tblMovimientos[[#This Row],[Cuenta Bancaria]],Cuentas!$C:$C,Cuentas!$A:$A,"No encontrado"))</f>
        <v>SSP Group</v>
      </c>
      <c r="R574" s="91" t="str">
        <f>TRIM(_xlfn.XLOOKUP(tblMovimientos[[#This Row],[Cuenta Bancaria]],Cuentas!$C:$C,Cuentas!$B:$B,""))</f>
        <v/>
      </c>
    </row>
    <row r="575" spans="1:18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4"/>
        <v>70000</v>
      </c>
      <c r="L575" s="15" t="s">
        <v>129</v>
      </c>
      <c r="M575" s="44">
        <f>SUMIFS('Saldos Iniciales'!$D:$D,'Saldos Iniciales'!$A:$A,C575,'Saldos Iniciales'!$B:$B,D575)+SUMIFS($K$1:$K$1325,$C$1:$C$1325,C575,$D$1:$D$1325,D575,$B$1:$B$1325,"&lt;="&amp;B575)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  <c r="Q575" s="91" t="str">
        <f>IF(tblMovimientos[[#This Row],[Cuenta Bancaria]]="","",_xlfn.XLOOKUP(tblMovimientos[[#This Row],[Cuenta Bancaria]],Cuentas!$C:$C,Cuentas!$A:$A,"No encontrado"))</f>
        <v>SSP Group</v>
      </c>
      <c r="R575" s="91" t="str">
        <f>TRIM(_xlfn.XLOOKUP(tblMovimientos[[#This Row],[Cuenta Bancaria]],Cuentas!$C:$C,Cuentas!$B:$B,""))</f>
        <v/>
      </c>
    </row>
    <row r="576" spans="1:18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4"/>
        <v>-5402.47</v>
      </c>
      <c r="L576" s="15" t="s">
        <v>129</v>
      </c>
      <c r="M576" s="44">
        <f>SUMIFS('Saldos Iniciales'!$D:$D,'Saldos Iniciales'!$A:$A,C576,'Saldos Iniciales'!$B:$B,D576)+SUMIFS($K$1:$K$1325,$C$1:$C$1325,C576,$D$1:$D$1325,D576,$B$1:$B$1325,"&lt;="&amp;B576)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  <c r="Q576" s="91" t="str">
        <f>IF(tblMovimientos[[#This Row],[Cuenta Bancaria]]="","",_xlfn.XLOOKUP(tblMovimientos[[#This Row],[Cuenta Bancaria]],Cuentas!$C:$C,Cuentas!$A:$A,"No encontrado"))</f>
        <v>SSP Group</v>
      </c>
      <c r="R576" s="91" t="str">
        <f>TRIM(_xlfn.XLOOKUP(tblMovimientos[[#This Row],[Cuenta Bancaria]],Cuentas!$C:$C,Cuentas!$B:$B,""))</f>
        <v/>
      </c>
    </row>
    <row r="577" spans="1:18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4"/>
        <v>-2383.48</v>
      </c>
      <c r="L577" s="15" t="s">
        <v>129</v>
      </c>
      <c r="M577" s="44">
        <f>SUMIFS('Saldos Iniciales'!$D:$D,'Saldos Iniciales'!$A:$A,C577,'Saldos Iniciales'!$B:$B,D577)+SUMIFS($K$1:$K$1325,$C$1:$C$1325,C577,$D$1:$D$1325,D577,$B$1:$B$1325,"&lt;="&amp;B577)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  <c r="Q577" s="91" t="str">
        <f>IF(tblMovimientos[[#This Row],[Cuenta Bancaria]]="","",_xlfn.XLOOKUP(tblMovimientos[[#This Row],[Cuenta Bancaria]],Cuentas!$C:$C,Cuentas!$A:$A,"No encontrado"))</f>
        <v>SSP Group</v>
      </c>
      <c r="R577" s="91" t="str">
        <f>TRIM(_xlfn.XLOOKUP(tblMovimientos[[#This Row],[Cuenta Bancaria]],Cuentas!$C:$C,Cuentas!$B:$B,""))</f>
        <v/>
      </c>
    </row>
    <row r="578" spans="1:18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4"/>
        <v>-737.04</v>
      </c>
      <c r="L578" s="15" t="s">
        <v>129</v>
      </c>
      <c r="M578" s="44">
        <f>SUMIFS('Saldos Iniciales'!$D:$D,'Saldos Iniciales'!$A:$A,C578,'Saldos Iniciales'!$B:$B,D578)+SUMIFS($K$1:$K$1325,$C$1:$C$1325,C578,$D$1:$D$1325,D578,$B$1:$B$1325,"&lt;="&amp;B578)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  <c r="Q578" s="91" t="str">
        <f>IF(tblMovimientos[[#This Row],[Cuenta Bancaria]]="","",_xlfn.XLOOKUP(tblMovimientos[[#This Row],[Cuenta Bancaria]],Cuentas!$C:$C,Cuentas!$A:$A,"No encontrado"))</f>
        <v>SSP Group</v>
      </c>
      <c r="R578" s="91" t="str">
        <f>TRIM(_xlfn.XLOOKUP(tblMovimientos[[#This Row],[Cuenta Bancaria]],Cuentas!$C:$C,Cuentas!$B:$B,""))</f>
        <v/>
      </c>
    </row>
    <row r="579" spans="1:18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4"/>
        <v>-644.70000000000005</v>
      </c>
      <c r="L579" s="15" t="s">
        <v>129</v>
      </c>
      <c r="M579" s="44">
        <f>SUMIFS('Saldos Iniciales'!$D:$D,'Saldos Iniciales'!$A:$A,C579,'Saldos Iniciales'!$B:$B,D579)+SUMIFS($K$1:$K$1325,$C$1:$C$1325,C579,$D$1:$D$1325,D579,$B$1:$B$1325,"&lt;="&amp;B579)</f>
        <v>6867.9599999999991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  <c r="Q579" s="91" t="str">
        <f>IF(tblMovimientos[[#This Row],[Cuenta Bancaria]]="","",_xlfn.XLOOKUP(tblMovimientos[[#This Row],[Cuenta Bancaria]],Cuentas!$C:$C,Cuentas!$A:$A,"No encontrado"))</f>
        <v>SSP Group</v>
      </c>
      <c r="R579" s="91" t="str">
        <f>TRIM(_xlfn.XLOOKUP(tblMovimientos[[#This Row],[Cuenta Bancaria]],Cuentas!$C:$C,Cuentas!$B:$B,""))</f>
        <v/>
      </c>
    </row>
    <row r="580" spans="1:18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4"/>
        <v>-166.66</v>
      </c>
      <c r="L580" s="15" t="s">
        <v>129</v>
      </c>
      <c r="M580" s="44">
        <f>SUMIFS('Saldos Iniciales'!$D:$D,'Saldos Iniciales'!$A:$A,C580,'Saldos Iniciales'!$B:$B,D580)+SUMIFS($K$1:$K$1325,$C$1:$C$1325,C580,$D$1:$D$1325,D580,$B$1:$B$1325,"&lt;="&amp;B580)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  <c r="Q580" s="91" t="str">
        <f>IF(tblMovimientos[[#This Row],[Cuenta Bancaria]]="","",_xlfn.XLOOKUP(tblMovimientos[[#This Row],[Cuenta Bancaria]],Cuentas!$C:$C,Cuentas!$A:$A,"No encontrado"))</f>
        <v>SSP Group</v>
      </c>
      <c r="R580" s="91" t="str">
        <f>TRIM(_xlfn.XLOOKUP(tblMovimientos[[#This Row],[Cuenta Bancaria]],Cuentas!$C:$C,Cuentas!$B:$B,""))</f>
        <v/>
      </c>
    </row>
    <row r="581" spans="1:18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165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4"/>
        <v>-2133.14</v>
      </c>
      <c r="L581" s="15" t="s">
        <v>129</v>
      </c>
      <c r="M581" s="44">
        <f>SUMIFS('Saldos Iniciales'!$D:$D,'Saldos Iniciales'!$A:$A,C581,'Saldos Iniciales'!$B:$B,D581)+SUMIFS($K$1:$K$1325,$C$1:$C$1325,C581,$D$1:$D$1325,D581,$B$1:$B$1325,"&lt;="&amp;B581)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  <c r="Q581" s="91" t="str">
        <f>IF(tblMovimientos[[#This Row],[Cuenta Bancaria]]="","",_xlfn.XLOOKUP(tblMovimientos[[#This Row],[Cuenta Bancaria]],Cuentas!$C:$C,Cuentas!$A:$A,"No encontrado"))</f>
        <v>SSP Group</v>
      </c>
      <c r="R581" s="91" t="str">
        <f>TRIM(_xlfn.XLOOKUP(tblMovimientos[[#This Row],[Cuenta Bancaria]],Cuentas!$C:$C,Cuentas!$B:$B,""))</f>
        <v/>
      </c>
    </row>
    <row r="582" spans="1:18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165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4"/>
        <v>-205.5</v>
      </c>
      <c r="L582" s="15" t="s">
        <v>129</v>
      </c>
      <c r="M582" s="44">
        <f>SUMIFS('Saldos Iniciales'!$D:$D,'Saldos Iniciales'!$A:$A,C582,'Saldos Iniciales'!$B:$B,D582)+SUMIFS($K$1:$K$1325,$C$1:$C$1325,C582,$D$1:$D$1325,D582,$B$1:$B$1325,"&lt;="&amp;B582)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  <c r="Q582" s="91" t="str">
        <f>IF(tblMovimientos[[#This Row],[Cuenta Bancaria]]="","",_xlfn.XLOOKUP(tblMovimientos[[#This Row],[Cuenta Bancaria]],Cuentas!$C:$C,Cuentas!$A:$A,"No encontrado"))</f>
        <v>SSP Group</v>
      </c>
      <c r="R582" s="91" t="str">
        <f>TRIM(_xlfn.XLOOKUP(tblMovimientos[[#This Row],[Cuenta Bancaria]],Cuentas!$C:$C,Cuentas!$B:$B,""))</f>
        <v/>
      </c>
    </row>
    <row r="583" spans="1:18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165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4"/>
        <v>-146.13</v>
      </c>
      <c r="L583" s="15" t="s">
        <v>129</v>
      </c>
      <c r="M583" s="44">
        <f>SUMIFS('Saldos Iniciales'!$D:$D,'Saldos Iniciales'!$A:$A,C583,'Saldos Iniciales'!$B:$B,D583)+SUMIFS($K$1:$K$1325,$C$1:$C$1325,C583,$D$1:$D$1325,D583,$B$1:$B$1325,"&lt;="&amp;B583)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  <c r="Q583" s="91" t="str">
        <f>IF(tblMovimientos[[#This Row],[Cuenta Bancaria]]="","",_xlfn.XLOOKUP(tblMovimientos[[#This Row],[Cuenta Bancaria]],Cuentas!$C:$C,Cuentas!$A:$A,"No encontrado"))</f>
        <v>SSP Group</v>
      </c>
      <c r="R583" s="91" t="str">
        <f>TRIM(_xlfn.XLOOKUP(tblMovimientos[[#This Row],[Cuenta Bancaria]],Cuentas!$C:$C,Cuentas!$B:$B,""))</f>
        <v/>
      </c>
    </row>
    <row r="584" spans="1:18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4"/>
        <v>32950.239999999998</v>
      </c>
      <c r="L584" s="15" t="s">
        <v>129</v>
      </c>
      <c r="M584" s="44">
        <f>SUMIFS('Saldos Iniciales'!$D:$D,'Saldos Iniciales'!$A:$A,C584,'Saldos Iniciales'!$B:$B,D584)+SUMIFS($K$1:$K$1325,$C$1:$C$1325,C584,$D$1:$D$1325,D584,$B$1:$B$1325,"&lt;="&amp;B584)</f>
        <v>1002754.9899999998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  <c r="Q584" s="91" t="str">
        <f>IF(tblMovimientos[[#This Row],[Cuenta Bancaria]]="","",_xlfn.XLOOKUP(tblMovimientos[[#This Row],[Cuenta Bancaria]],Cuentas!$C:$C,Cuentas!$A:$A,"No encontrado"))</f>
        <v>SSP Group</v>
      </c>
      <c r="R584" s="91" t="str">
        <f>TRIM(_xlfn.XLOOKUP(tblMovimientos[[#This Row],[Cuenta Bancaria]],Cuentas!$C:$C,Cuentas!$B:$B,""))</f>
        <v>Cross Security Trust</v>
      </c>
    </row>
    <row r="585" spans="1:18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4"/>
        <v>-60000</v>
      </c>
      <c r="L585" s="15" t="s">
        <v>129</v>
      </c>
      <c r="M585" s="44">
        <f>SUMIFS('Saldos Iniciales'!$D:$D,'Saldos Iniciales'!$A:$A,C585,'Saldos Iniciales'!$B:$B,D585)+SUMIFS($K$1:$K$1325,$C$1:$C$1325,C585,$D$1:$D$1325,D585,$B$1:$B$1325,"&lt;="&amp;B585)</f>
        <v>1002754.9899999998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  <c r="Q585" s="91" t="str">
        <f>IF(tblMovimientos[[#This Row],[Cuenta Bancaria]]="","",_xlfn.XLOOKUP(tblMovimientos[[#This Row],[Cuenta Bancaria]],Cuentas!$C:$C,Cuentas!$A:$A,"No encontrado"))</f>
        <v>SSP Group</v>
      </c>
      <c r="R585" s="91" t="str">
        <f>TRIM(_xlfn.XLOOKUP(tblMovimientos[[#This Row],[Cuenta Bancaria]],Cuentas!$C:$C,Cuentas!$B:$B,""))</f>
        <v>Cross Security Trust</v>
      </c>
    </row>
    <row r="586" spans="1:18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4"/>
        <v>-15000</v>
      </c>
      <c r="L586" s="15" t="s">
        <v>129</v>
      </c>
      <c r="M586" s="44">
        <f>SUMIFS('Saldos Iniciales'!$D:$D,'Saldos Iniciales'!$A:$A,C586,'Saldos Iniciales'!$B:$B,D586)+SUMIFS($K$1:$K$1325,$C$1:$C$1325,C586,$D$1:$D$1325,D586,$B$1:$B$1325,"&lt;="&amp;B586)</f>
        <v>20588.359999999986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  <c r="Q586" s="91" t="str">
        <f>IF(tblMovimientos[[#This Row],[Cuenta Bancaria]]="","",_xlfn.XLOOKUP(tblMovimientos[[#This Row],[Cuenta Bancaria]],Cuentas!$C:$C,Cuentas!$A:$A,"No encontrado"))</f>
        <v>SSP Group</v>
      </c>
      <c r="R586" s="91" t="str">
        <f>TRIM(_xlfn.XLOOKUP(tblMovimientos[[#This Row],[Cuenta Bancaria]],Cuentas!$C:$C,Cuentas!$B:$B,""))</f>
        <v/>
      </c>
    </row>
    <row r="587" spans="1:18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165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4"/>
        <v>5000</v>
      </c>
      <c r="L587" s="15" t="s">
        <v>129</v>
      </c>
      <c r="M587" s="44">
        <f>SUMIFS('Saldos Iniciales'!$D:$D,'Saldos Iniciales'!$A:$A,C587,'Saldos Iniciales'!$B:$B,D587)+SUMIFS($K$1:$K$1325,$C$1:$C$1325,C587,$D$1:$D$1325,D587,$B$1:$B$1325,"&lt;="&amp;B587)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  <c r="Q587" s="91" t="str">
        <f>IF(tblMovimientos[[#This Row],[Cuenta Bancaria]]="","",_xlfn.XLOOKUP(tblMovimientos[[#This Row],[Cuenta Bancaria]],Cuentas!$C:$C,Cuentas!$A:$A,"No encontrado"))</f>
        <v>SSP Group</v>
      </c>
      <c r="R587" s="91" t="str">
        <f>TRIM(_xlfn.XLOOKUP(tblMovimientos[[#This Row],[Cuenta Bancaria]],Cuentas!$C:$C,Cuentas!$B:$B,""))</f>
        <v/>
      </c>
    </row>
    <row r="588" spans="1:18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165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4"/>
        <v>-205.5</v>
      </c>
      <c r="L588" s="15" t="s">
        <v>129</v>
      </c>
      <c r="M588" s="44">
        <f>SUMIFS('Saldos Iniciales'!$D:$D,'Saldos Iniciales'!$A:$A,C588,'Saldos Iniciales'!$B:$B,D588)+SUMIFS($K$1:$K$1325,$C$1:$C$1325,C588,$D$1:$D$1325,D588,$B$1:$B$1325,"&lt;="&amp;B588)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  <c r="Q588" s="91" t="str">
        <f>IF(tblMovimientos[[#This Row],[Cuenta Bancaria]]="","",_xlfn.XLOOKUP(tblMovimientos[[#This Row],[Cuenta Bancaria]],Cuentas!$C:$C,Cuentas!$A:$A,"No encontrado"))</f>
        <v>SSP Group</v>
      </c>
      <c r="R588" s="91" t="str">
        <f>TRIM(_xlfn.XLOOKUP(tblMovimientos[[#This Row],[Cuenta Bancaria]],Cuentas!$C:$C,Cuentas!$B:$B,""))</f>
        <v/>
      </c>
    </row>
    <row r="589" spans="1:18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165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4"/>
        <v>-84</v>
      </c>
      <c r="L589" s="15" t="s">
        <v>129</v>
      </c>
      <c r="M589" s="44">
        <f>SUMIFS('Saldos Iniciales'!$D:$D,'Saldos Iniciales'!$A:$A,C589,'Saldos Iniciales'!$B:$B,D589)+SUMIFS($K$1:$K$1325,$C$1:$C$1325,C589,$D$1:$D$1325,D589,$B$1:$B$1325,"&lt;="&amp;B589)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  <c r="Q589" s="91" t="str">
        <f>IF(tblMovimientos[[#This Row],[Cuenta Bancaria]]="","",_xlfn.XLOOKUP(tblMovimientos[[#This Row],[Cuenta Bancaria]],Cuentas!$C:$C,Cuentas!$A:$A,"No encontrado"))</f>
        <v>SSP Group</v>
      </c>
      <c r="R589" s="91" t="str">
        <f>TRIM(_xlfn.XLOOKUP(tblMovimientos[[#This Row],[Cuenta Bancaria]],Cuentas!$C:$C,Cuentas!$B:$B,""))</f>
        <v/>
      </c>
    </row>
    <row r="590" spans="1:18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4"/>
        <v>-10000</v>
      </c>
      <c r="L590" s="15" t="s">
        <v>129</v>
      </c>
      <c r="M590" s="44">
        <f>SUMIFS('Saldos Iniciales'!$D:$D,'Saldos Iniciales'!$A:$A,C590,'Saldos Iniciales'!$B:$B,D590)+SUMIFS($K$1:$K$1325,$C$1:$C$1325,C590,$D$1:$D$1325,D590,$B$1:$B$1325,"&lt;="&amp;B590)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  <c r="Q590" s="91" t="str">
        <f>IF(tblMovimientos[[#This Row],[Cuenta Bancaria]]="","",_xlfn.XLOOKUP(tblMovimientos[[#This Row],[Cuenta Bancaria]],Cuentas!$C:$C,Cuentas!$A:$A,"No encontrado"))</f>
        <v>SSP Group</v>
      </c>
      <c r="R590" s="91" t="str">
        <f>TRIM(_xlfn.XLOOKUP(tblMovimientos[[#This Row],[Cuenta Bancaria]],Cuentas!$C:$C,Cuentas!$B:$B,""))</f>
        <v/>
      </c>
    </row>
    <row r="591" spans="1:18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4"/>
        <v>-10833.33</v>
      </c>
      <c r="L591" s="15" t="s">
        <v>129</v>
      </c>
      <c r="M591" s="44">
        <f>SUMIFS('Saldos Iniciales'!$D:$D,'Saldos Iniciales'!$A:$A,C591,'Saldos Iniciales'!$B:$B,D591)+SUMIFS($K$1:$K$1325,$C$1:$C$1325,C591,$D$1:$D$1325,D591,$B$1:$B$1325,"&lt;="&amp;B591)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  <c r="Q591" s="91" t="str">
        <f>IF(tblMovimientos[[#This Row],[Cuenta Bancaria]]="","",_xlfn.XLOOKUP(tblMovimientos[[#This Row],[Cuenta Bancaria]],Cuentas!$C:$C,Cuentas!$A:$A,"No encontrado"))</f>
        <v>SSP Group</v>
      </c>
      <c r="R591" s="91" t="str">
        <f>TRIM(_xlfn.XLOOKUP(tblMovimientos[[#This Row],[Cuenta Bancaria]],Cuentas!$C:$C,Cuentas!$B:$B,""))</f>
        <v/>
      </c>
    </row>
    <row r="592" spans="1:18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4"/>
        <v>-40000</v>
      </c>
      <c r="L592" s="15" t="s">
        <v>129</v>
      </c>
      <c r="M592" s="44">
        <f>SUMIFS('Saldos Iniciales'!$D:$D,'Saldos Iniciales'!$A:$A,C592,'Saldos Iniciales'!$B:$B,D592)+SUMIFS($K$1:$K$1325,$C$1:$C$1325,C592,$D$1:$D$1325,D592,$B$1:$B$1325,"&lt;="&amp;B592)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  <c r="Q592" s="91" t="str">
        <f>IF(tblMovimientos[[#This Row],[Cuenta Bancaria]]="","",_xlfn.XLOOKUP(tblMovimientos[[#This Row],[Cuenta Bancaria]],Cuentas!$C:$C,Cuentas!$A:$A,"No encontrado"))</f>
        <v>SSP Group</v>
      </c>
      <c r="R592" s="91" t="str">
        <f>TRIM(_xlfn.XLOOKUP(tblMovimientos[[#This Row],[Cuenta Bancaria]],Cuentas!$C:$C,Cuentas!$B:$B,""))</f>
        <v/>
      </c>
    </row>
    <row r="593" spans="2:18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4"/>
        <v>-50000</v>
      </c>
      <c r="L593" s="15" t="s">
        <v>129</v>
      </c>
      <c r="M593" s="44">
        <f>SUMIFS('Saldos Iniciales'!$D:$D,'Saldos Iniciales'!$A:$A,C593,'Saldos Iniciales'!$B:$B,D593)+SUMIFS($K$1:$K$1325,$C$1:$C$1325,C593,$D$1:$D$1325,D593,$B$1:$B$1325,"&lt;="&amp;B593)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  <c r="Q593" s="91" t="str">
        <f>IF(tblMovimientos[[#This Row],[Cuenta Bancaria]]="","",_xlfn.XLOOKUP(tblMovimientos[[#This Row],[Cuenta Bancaria]],Cuentas!$C:$C,Cuentas!$A:$A,"No encontrado"))</f>
        <v>SSP Group</v>
      </c>
      <c r="R593" s="91" t="str">
        <f>TRIM(_xlfn.XLOOKUP(tblMovimientos[[#This Row],[Cuenta Bancaria]],Cuentas!$C:$C,Cuentas!$B:$B,""))</f>
        <v/>
      </c>
    </row>
    <row r="594" spans="2:18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4"/>
        <v>-60000</v>
      </c>
      <c r="L594" s="15" t="s">
        <v>129</v>
      </c>
      <c r="M594" s="44">
        <f>SUMIFS('Saldos Iniciales'!$D:$D,'Saldos Iniciales'!$A:$A,C594,'Saldos Iniciales'!$B:$B,D594)+SUMIFS($K$1:$K$1325,$C$1:$C$1325,C594,$D$1:$D$1325,D594,$B$1:$B$1325,"&lt;="&amp;B594)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  <c r="Q594" s="91" t="str">
        <f>IF(tblMovimientos[[#This Row],[Cuenta Bancaria]]="","",_xlfn.XLOOKUP(tblMovimientos[[#This Row],[Cuenta Bancaria]],Cuentas!$C:$C,Cuentas!$A:$A,"No encontrado"))</f>
        <v>SSP Group</v>
      </c>
      <c r="R594" s="91" t="str">
        <f>TRIM(_xlfn.XLOOKUP(tblMovimientos[[#This Row],[Cuenta Bancaria]],Cuentas!$C:$C,Cuentas!$B:$B,""))</f>
        <v/>
      </c>
    </row>
    <row r="595" spans="2:18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4"/>
        <v>-68750</v>
      </c>
      <c r="L595" s="15" t="s">
        <v>129</v>
      </c>
      <c r="M595" s="44">
        <f>SUMIFS('Saldos Iniciales'!$D:$D,'Saldos Iniciales'!$A:$A,C595,'Saldos Iniciales'!$B:$B,D595)+SUMIFS($K$1:$K$1325,$C$1:$C$1325,C595,$D$1:$D$1325,D595,$B$1:$B$1325,"&lt;="&amp;B595)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  <c r="Q595" s="91" t="str">
        <f>IF(tblMovimientos[[#This Row],[Cuenta Bancaria]]="","",_xlfn.XLOOKUP(tblMovimientos[[#This Row],[Cuenta Bancaria]],Cuentas!$C:$C,Cuentas!$A:$A,"No encontrado"))</f>
        <v>SSP Group</v>
      </c>
      <c r="R595" s="91" t="str">
        <f>TRIM(_xlfn.XLOOKUP(tblMovimientos[[#This Row],[Cuenta Bancaria]],Cuentas!$C:$C,Cuentas!$B:$B,""))</f>
        <v/>
      </c>
    </row>
    <row r="596" spans="2:18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4"/>
        <v>-100000</v>
      </c>
      <c r="L596" s="15" t="s">
        <v>129</v>
      </c>
      <c r="M596" s="44">
        <f>SUMIFS('Saldos Iniciales'!$D:$D,'Saldos Iniciales'!$A:$A,C596,'Saldos Iniciales'!$B:$B,D596)+SUMIFS($K$1:$K$1325,$C$1:$C$1325,C596,$D$1:$D$1325,D596,$B$1:$B$1325,"&lt;="&amp;B596)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  <c r="Q596" s="91" t="str">
        <f>IF(tblMovimientos[[#This Row],[Cuenta Bancaria]]="","",_xlfn.XLOOKUP(tblMovimientos[[#This Row],[Cuenta Bancaria]],Cuentas!$C:$C,Cuentas!$A:$A,"No encontrado"))</f>
        <v>SSP Group</v>
      </c>
      <c r="R596" s="91" t="str">
        <f>TRIM(_xlfn.XLOOKUP(tblMovimientos[[#This Row],[Cuenta Bancaria]],Cuentas!$C:$C,Cuentas!$B:$B,""))</f>
        <v/>
      </c>
    </row>
    <row r="597" spans="2:18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4"/>
        <v>-500000</v>
      </c>
      <c r="L597" s="15" t="s">
        <v>129</v>
      </c>
      <c r="M597" s="44">
        <f>SUMIFS('Saldos Iniciales'!$D:$D,'Saldos Iniciales'!$A:$A,C597,'Saldos Iniciales'!$B:$B,D597)+SUMIFS($K$1:$K$1325,$C$1:$C$1325,C597,$D$1:$D$1325,D597,$B$1:$B$1325,"&lt;="&amp;B597)</f>
        <v>2229911.3500000006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  <c r="Q597" s="91" t="str">
        <f>IF(tblMovimientos[[#This Row],[Cuenta Bancaria]]="","",_xlfn.XLOOKUP(tblMovimientos[[#This Row],[Cuenta Bancaria]],Cuentas!$C:$C,Cuentas!$A:$A,"No encontrado"))</f>
        <v>SSP Group</v>
      </c>
      <c r="R597" s="91" t="str">
        <f>TRIM(_xlfn.XLOOKUP(tblMovimientos[[#This Row],[Cuenta Bancaria]],Cuentas!$C:$C,Cuentas!$B:$B,""))</f>
        <v/>
      </c>
    </row>
    <row r="598" spans="2:18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si="4"/>
        <v>500000</v>
      </c>
      <c r="L598" s="15" t="s">
        <v>129</v>
      </c>
      <c r="M598" s="44">
        <f>SUMIFS('Saldos Iniciales'!$D:$D,'Saldos Iniciales'!$A:$A,C598,'Saldos Iniciales'!$B:$B,D598)+SUMIFS($K$1:$K$1325,$C$1:$C$1325,C598,$D$1:$D$1325,D598,$B$1:$B$1325,"&lt;="&amp;B598)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  <c r="Q598" s="91" t="str">
        <f>IF(tblMovimientos[[#This Row],[Cuenta Bancaria]]="","",_xlfn.XLOOKUP(tblMovimientos[[#This Row],[Cuenta Bancaria]],Cuentas!$C:$C,Cuentas!$A:$A,"No encontrado"))</f>
        <v>SSP Group</v>
      </c>
      <c r="R598" s="91" t="str">
        <f>TRIM(_xlfn.XLOOKUP(tblMovimientos[[#This Row],[Cuenta Bancaria]],Cuentas!$C:$C,Cuentas!$B:$B,""))</f>
        <v/>
      </c>
    </row>
    <row r="599" spans="2:18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4"/>
        <v>-4939.9799999999996</v>
      </c>
      <c r="L599" s="15" t="s">
        <v>129</v>
      </c>
      <c r="M599" s="44">
        <f>SUMIFS('Saldos Iniciales'!$D:$D,'Saldos Iniciales'!$A:$A,C599,'Saldos Iniciales'!$B:$B,D599)+SUMIFS($K$1:$K$1325,$C$1:$C$1325,C599,$D$1:$D$1325,D599,$B$1:$B$1325,"&lt;="&amp;B599)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  <c r="Q599" s="91" t="str">
        <f>IF(tblMovimientos[[#This Row],[Cuenta Bancaria]]="","",_xlfn.XLOOKUP(tblMovimientos[[#This Row],[Cuenta Bancaria]],Cuentas!$C:$C,Cuentas!$A:$A,"No encontrado"))</f>
        <v>SSP Group</v>
      </c>
      <c r="R599" s="91" t="str">
        <f>TRIM(_xlfn.XLOOKUP(tblMovimientos[[#This Row],[Cuenta Bancaria]],Cuentas!$C:$C,Cuentas!$B:$B,""))</f>
        <v/>
      </c>
    </row>
    <row r="600" spans="2:18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4"/>
        <v>-8666.67</v>
      </c>
      <c r="L600" s="15" t="s">
        <v>129</v>
      </c>
      <c r="M600" s="44">
        <f>SUMIFS('Saldos Iniciales'!$D:$D,'Saldos Iniciales'!$A:$A,C600,'Saldos Iniciales'!$B:$B,D600)+SUMIFS($K$1:$K$1325,$C$1:$C$1325,C600,$D$1:$D$1325,D600,$B$1:$B$1325,"&lt;="&amp;B600)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  <c r="Q600" s="91" t="str">
        <f>IF(tblMovimientos[[#This Row],[Cuenta Bancaria]]="","",_xlfn.XLOOKUP(tblMovimientos[[#This Row],[Cuenta Bancaria]],Cuentas!$C:$C,Cuentas!$A:$A,"No encontrado"))</f>
        <v>SSP Group</v>
      </c>
      <c r="R600" s="91" t="str">
        <f>TRIM(_xlfn.XLOOKUP(tblMovimientos[[#This Row],[Cuenta Bancaria]],Cuentas!$C:$C,Cuentas!$B:$B,""))</f>
        <v/>
      </c>
    </row>
    <row r="601" spans="2:18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4"/>
        <v>-10753.2</v>
      </c>
      <c r="L601" s="15" t="s">
        <v>129</v>
      </c>
      <c r="M601" s="44">
        <f>SUMIFS('Saldos Iniciales'!$D:$D,'Saldos Iniciales'!$A:$A,C601,'Saldos Iniciales'!$B:$B,D601)+SUMIFS($K$1:$K$1325,$C$1:$C$1325,C601,$D$1:$D$1325,D601,$B$1:$B$1325,"&lt;="&amp;B601)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  <c r="Q601" s="91" t="str">
        <f>IF(tblMovimientos[[#This Row],[Cuenta Bancaria]]="","",_xlfn.XLOOKUP(tblMovimientos[[#This Row],[Cuenta Bancaria]],Cuentas!$C:$C,Cuentas!$A:$A,"No encontrado"))</f>
        <v>SSP Group</v>
      </c>
      <c r="R601" s="91" t="str">
        <f>TRIM(_xlfn.XLOOKUP(tblMovimientos[[#This Row],[Cuenta Bancaria]],Cuentas!$C:$C,Cuentas!$B:$B,""))</f>
        <v/>
      </c>
    </row>
    <row r="602" spans="2:18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4"/>
        <v>-13300.05</v>
      </c>
      <c r="L602" s="15" t="s">
        <v>129</v>
      </c>
      <c r="M602" s="44">
        <f>SUMIFS('Saldos Iniciales'!$D:$D,'Saldos Iniciales'!$A:$A,C602,'Saldos Iniciales'!$B:$B,D602)+SUMIFS($K$1:$K$1325,$C$1:$C$1325,C602,$D$1:$D$1325,D602,$B$1:$B$1325,"&lt;="&amp;B602)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  <c r="Q602" s="91" t="str">
        <f>IF(tblMovimientos[[#This Row],[Cuenta Bancaria]]="","",_xlfn.XLOOKUP(tblMovimientos[[#This Row],[Cuenta Bancaria]],Cuentas!$C:$C,Cuentas!$A:$A,"No encontrado"))</f>
        <v>SSP Group</v>
      </c>
      <c r="R602" s="91" t="str">
        <f>TRIM(_xlfn.XLOOKUP(tblMovimientos[[#This Row],[Cuenta Bancaria]],Cuentas!$C:$C,Cuentas!$B:$B,""))</f>
        <v/>
      </c>
    </row>
    <row r="603" spans="2:18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4"/>
        <v>-28686.82</v>
      </c>
      <c r="L603" s="15" t="s">
        <v>129</v>
      </c>
      <c r="M603" s="44">
        <f>SUMIFS('Saldos Iniciales'!$D:$D,'Saldos Iniciales'!$A:$A,C603,'Saldos Iniciales'!$B:$B,D603)+SUMIFS($K$1:$K$1325,$C$1:$C$1325,C603,$D$1:$D$1325,D603,$B$1:$B$1325,"&lt;="&amp;B603)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  <c r="Q603" s="91" t="str">
        <f>IF(tblMovimientos[[#This Row],[Cuenta Bancaria]]="","",_xlfn.XLOOKUP(tblMovimientos[[#This Row],[Cuenta Bancaria]],Cuentas!$C:$C,Cuentas!$A:$A,"No encontrado"))</f>
        <v>SSP Group</v>
      </c>
      <c r="R603" s="91" t="str">
        <f>TRIM(_xlfn.XLOOKUP(tblMovimientos[[#This Row],[Cuenta Bancaria]],Cuentas!$C:$C,Cuentas!$B:$B,""))</f>
        <v/>
      </c>
    </row>
    <row r="604" spans="2:18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4"/>
        <v>-45833.33</v>
      </c>
      <c r="L604" s="15" t="s">
        <v>129</v>
      </c>
      <c r="M604" s="44">
        <f>SUMIFS('Saldos Iniciales'!$D:$D,'Saldos Iniciales'!$A:$A,C604,'Saldos Iniciales'!$B:$B,D604)+SUMIFS($K$1:$K$1325,$C$1:$C$1325,C604,$D$1:$D$1325,D604,$B$1:$B$1325,"&lt;="&amp;B604)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  <c r="Q604" s="91" t="str">
        <f>IF(tblMovimientos[[#This Row],[Cuenta Bancaria]]="","",_xlfn.XLOOKUP(tblMovimientos[[#This Row],[Cuenta Bancaria]],Cuentas!$C:$C,Cuentas!$A:$A,"No encontrado"))</f>
        <v>SSP Group</v>
      </c>
      <c r="R604" s="91" t="str">
        <f>TRIM(_xlfn.XLOOKUP(tblMovimientos[[#This Row],[Cuenta Bancaria]],Cuentas!$C:$C,Cuentas!$B:$B,""))</f>
        <v/>
      </c>
    </row>
    <row r="605" spans="2:18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4"/>
        <v>-109199.95</v>
      </c>
      <c r="L605" s="15" t="s">
        <v>129</v>
      </c>
      <c r="M605" s="44">
        <f>SUMIFS('Saldos Iniciales'!$D:$D,'Saldos Iniciales'!$A:$A,C605,'Saldos Iniciales'!$B:$B,D605)+SUMIFS($K$1:$K$1325,$C$1:$C$1325,C605,$D$1:$D$1325,D605,$B$1:$B$1325,"&lt;="&amp;B605)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  <c r="Q605" s="91" t="str">
        <f>IF(tblMovimientos[[#This Row],[Cuenta Bancaria]]="","",_xlfn.XLOOKUP(tblMovimientos[[#This Row],[Cuenta Bancaria]],Cuentas!$C:$C,Cuentas!$A:$A,"No encontrado"))</f>
        <v>SSP Group</v>
      </c>
      <c r="R605" s="91" t="str">
        <f>TRIM(_xlfn.XLOOKUP(tblMovimientos[[#This Row],[Cuenta Bancaria]],Cuentas!$C:$C,Cuentas!$B:$B,""))</f>
        <v/>
      </c>
    </row>
    <row r="606" spans="2:18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4"/>
        <v>-674.06</v>
      </c>
      <c r="L606" s="15" t="s">
        <v>129</v>
      </c>
      <c r="M606" s="44">
        <f>SUMIFS('Saldos Iniciales'!$D:$D,'Saldos Iniciales'!$A:$A,C606,'Saldos Iniciales'!$B:$B,D606)+SUMIFS($K$1:$K$1325,$C$1:$C$1325,C606,$D$1:$D$1325,D606,$B$1:$B$1325,"&lt;="&amp;B606)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  <c r="Q606" s="91" t="str">
        <f>IF(tblMovimientos[[#This Row],[Cuenta Bancaria]]="","",_xlfn.XLOOKUP(tblMovimientos[[#This Row],[Cuenta Bancaria]],Cuentas!$C:$C,Cuentas!$A:$A,"No encontrado"))</f>
        <v>SSP Group</v>
      </c>
      <c r="R606" s="91" t="str">
        <f>TRIM(_xlfn.XLOOKUP(tblMovimientos[[#This Row],[Cuenta Bancaria]],Cuentas!$C:$C,Cuentas!$B:$B,""))</f>
        <v/>
      </c>
    </row>
    <row r="607" spans="2:18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4"/>
        <v>-15</v>
      </c>
      <c r="L607" s="15" t="s">
        <v>129</v>
      </c>
      <c r="M607" s="44">
        <f>SUMIFS('Saldos Iniciales'!$D:$D,'Saldos Iniciales'!$A:$A,C607,'Saldos Iniciales'!$B:$B,D607)+SUMIFS($K$1:$K$1325,$C$1:$C$1325,C607,$D$1:$D$1325,D607,$B$1:$B$1325,"&lt;="&amp;B607)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  <c r="Q607" s="91" t="str">
        <f>IF(tblMovimientos[[#This Row],[Cuenta Bancaria]]="","",_xlfn.XLOOKUP(tblMovimientos[[#This Row],[Cuenta Bancaria]],Cuentas!$C:$C,Cuentas!$A:$A,"No encontrado"))</f>
        <v>SSP Group</v>
      </c>
      <c r="R607" s="91" t="str">
        <f>TRIM(_xlfn.XLOOKUP(tblMovimientos[[#This Row],[Cuenta Bancaria]],Cuentas!$C:$C,Cuentas!$B:$B,""))</f>
        <v/>
      </c>
    </row>
    <row r="608" spans="2:18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4"/>
        <v>-2500</v>
      </c>
      <c r="L608" s="15" t="s">
        <v>129</v>
      </c>
      <c r="M608" s="44">
        <f>SUMIFS('Saldos Iniciales'!$D:$D,'Saldos Iniciales'!$A:$A,C608,'Saldos Iniciales'!$B:$B,D608)+SUMIFS($K$1:$K$1325,$C$1:$C$1325,C608,$D$1:$D$1325,D608,$B$1:$B$1325,"&lt;="&amp;B608)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  <c r="Q608" s="91" t="str">
        <f>IF(tblMovimientos[[#This Row],[Cuenta Bancaria]]="","",_xlfn.XLOOKUP(tblMovimientos[[#This Row],[Cuenta Bancaria]],Cuentas!$C:$C,Cuentas!$A:$A,"No encontrado"))</f>
        <v>SSP Group</v>
      </c>
      <c r="R608" s="91" t="str">
        <f>TRIM(_xlfn.XLOOKUP(tblMovimientos[[#This Row],[Cuenta Bancaria]],Cuentas!$C:$C,Cuentas!$B:$B,""))</f>
        <v/>
      </c>
    </row>
    <row r="609" spans="1:18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4"/>
        <v>-15</v>
      </c>
      <c r="L609" s="15" t="s">
        <v>129</v>
      </c>
      <c r="M609" s="44">
        <f>SUMIFS('Saldos Iniciales'!$D:$D,'Saldos Iniciales'!$A:$A,C609,'Saldos Iniciales'!$B:$B,D609)+SUMIFS($K$1:$K$1325,$C$1:$C$1325,C609,$D$1:$D$1325,D609,$B$1:$B$1325,"&lt;="&amp;B609)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  <c r="Q609" s="91" t="str">
        <f>IF(tblMovimientos[[#This Row],[Cuenta Bancaria]]="","",_xlfn.XLOOKUP(tblMovimientos[[#This Row],[Cuenta Bancaria]],Cuentas!$C:$C,Cuentas!$A:$A,"No encontrado"))</f>
        <v>SSP Group</v>
      </c>
      <c r="R609" s="91" t="str">
        <f>TRIM(_xlfn.XLOOKUP(tblMovimientos[[#This Row],[Cuenta Bancaria]],Cuentas!$C:$C,Cuentas!$B:$B,""))</f>
        <v/>
      </c>
    </row>
    <row r="610" spans="1:18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4"/>
        <v>-5000</v>
      </c>
      <c r="L610" s="15" t="s">
        <v>129</v>
      </c>
      <c r="M610" s="44">
        <f>SUMIFS('Saldos Iniciales'!$D:$D,'Saldos Iniciales'!$A:$A,C610,'Saldos Iniciales'!$B:$B,D610)+SUMIFS($K$1:$K$1325,$C$1:$C$1325,C610,$D$1:$D$1325,D610,$B$1:$B$1325,"&lt;="&amp;B610)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  <c r="Q610" s="91" t="str">
        <f>IF(tblMovimientos[[#This Row],[Cuenta Bancaria]]="","",_xlfn.XLOOKUP(tblMovimientos[[#This Row],[Cuenta Bancaria]],Cuentas!$C:$C,Cuentas!$A:$A,"No encontrado"))</f>
        <v>SSP Group</v>
      </c>
      <c r="R610" s="91" t="str">
        <f>TRIM(_xlfn.XLOOKUP(tblMovimientos[[#This Row],[Cuenta Bancaria]],Cuentas!$C:$C,Cuentas!$B:$B,""))</f>
        <v/>
      </c>
    </row>
    <row r="611" spans="1:18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4"/>
        <v>39989.699999999997</v>
      </c>
      <c r="L611" s="15" t="s">
        <v>129</v>
      </c>
      <c r="M611" s="44">
        <f>SUMIFS('Saldos Iniciales'!$D:$D,'Saldos Iniciales'!$A:$A,C611,'Saldos Iniciales'!$B:$B,D611)+SUMIFS($K$1:$K$1325,$C$1:$C$1325,C611,$D$1:$D$1325,D611,$B$1:$B$1325,"&lt;="&amp;B611)</f>
        <v>1042744.6899999997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  <c r="Q611" s="91" t="str">
        <f>IF(tblMovimientos[[#This Row],[Cuenta Bancaria]]="","",_xlfn.XLOOKUP(tblMovimientos[[#This Row],[Cuenta Bancaria]],Cuentas!$C:$C,Cuentas!$A:$A,"No encontrado"))</f>
        <v>SSP Group</v>
      </c>
      <c r="R611" s="91" t="str">
        <f>TRIM(_xlfn.XLOOKUP(tblMovimientos[[#This Row],[Cuenta Bancaria]],Cuentas!$C:$C,Cuentas!$B:$B,""))</f>
        <v>Cross Security Trust</v>
      </c>
    </row>
    <row r="612" spans="1:18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4"/>
        <v>-5</v>
      </c>
      <c r="L612" s="15" t="s">
        <v>129</v>
      </c>
      <c r="M612" s="44">
        <f>SUMIFS('Saldos Iniciales'!$D:$D,'Saldos Iniciales'!$A:$A,C612,'Saldos Iniciales'!$B:$B,D612)+SUMIFS($K$1:$K$1325,$C$1:$C$1325,C612,$D$1:$D$1325,D612,$B$1:$B$1325,"&lt;="&amp;B612)</f>
        <v>20583.359999999986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  <c r="Q612" s="91" t="str">
        <f>IF(tblMovimientos[[#This Row],[Cuenta Bancaria]]="","",_xlfn.XLOOKUP(tblMovimientos[[#This Row],[Cuenta Bancaria]],Cuentas!$C:$C,Cuentas!$A:$A,"No encontrado"))</f>
        <v>SSP Group</v>
      </c>
      <c r="R612" s="91" t="str">
        <f>TRIM(_xlfn.XLOOKUP(tblMovimientos[[#This Row],[Cuenta Bancaria]],Cuentas!$C:$C,Cuentas!$B:$B,""))</f>
        <v/>
      </c>
    </row>
    <row r="613" spans="1:18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4"/>
        <v>15000</v>
      </c>
      <c r="L613" s="15" t="s">
        <v>129</v>
      </c>
      <c r="M613" s="44">
        <f>SUMIFS('Saldos Iniciales'!$D:$D,'Saldos Iniciales'!$A:$A,C613,'Saldos Iniciales'!$B:$B,D613)+SUMIFS($K$1:$K$1325,$C$1:$C$1325,C613,$D$1:$D$1325,D613,$B$1:$B$1325,"&lt;="&amp;B613)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  <c r="Q613" s="91" t="str">
        <f>IF(tblMovimientos[[#This Row],[Cuenta Bancaria]]="","",_xlfn.XLOOKUP(tblMovimientos[[#This Row],[Cuenta Bancaria]],Cuentas!$C:$C,Cuentas!$A:$A,"No encontrado"))</f>
        <v>SSP Group</v>
      </c>
      <c r="R613" s="91" t="str">
        <f>TRIM(_xlfn.XLOOKUP(tblMovimientos[[#This Row],[Cuenta Bancaria]],Cuentas!$C:$C,Cuentas!$B:$B,""))</f>
        <v/>
      </c>
    </row>
    <row r="614" spans="1:18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165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4"/>
        <v>-185.5</v>
      </c>
      <c r="L614" s="15" t="s">
        <v>129</v>
      </c>
      <c r="M614" s="44">
        <f>SUMIFS('Saldos Iniciales'!$D:$D,'Saldos Iniciales'!$A:$A,C614,'Saldos Iniciales'!$B:$B,D614)+SUMIFS($K$1:$K$1325,$C$1:$C$1325,C614,$D$1:$D$1325,D614,$B$1:$B$1325,"&lt;="&amp;B614)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  <c r="Q614" s="91" t="str">
        <f>IF(tblMovimientos[[#This Row],[Cuenta Bancaria]]="","",_xlfn.XLOOKUP(tblMovimientos[[#This Row],[Cuenta Bancaria]],Cuentas!$C:$C,Cuentas!$A:$A,"No encontrado"))</f>
        <v>SSP Group</v>
      </c>
      <c r="R614" s="91" t="str">
        <f>TRIM(_xlfn.XLOOKUP(tblMovimientos[[#This Row],[Cuenta Bancaria]],Cuentas!$C:$C,Cuentas!$B:$B,""))</f>
        <v/>
      </c>
    </row>
    <row r="615" spans="1:18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165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4"/>
        <v>-108.08</v>
      </c>
      <c r="L615" s="15" t="s">
        <v>129</v>
      </c>
      <c r="M615" s="44">
        <f>SUMIFS('Saldos Iniciales'!$D:$D,'Saldos Iniciales'!$A:$A,C615,'Saldos Iniciales'!$B:$B,D615)+SUMIFS($K$1:$K$1325,$C$1:$C$1325,C615,$D$1:$D$1325,D615,$B$1:$B$1325,"&lt;="&amp;B615)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  <c r="Q615" s="91" t="str">
        <f>IF(tblMovimientos[[#This Row],[Cuenta Bancaria]]="","",_xlfn.XLOOKUP(tblMovimientos[[#This Row],[Cuenta Bancaria]],Cuentas!$C:$C,Cuentas!$A:$A,"No encontrado"))</f>
        <v>SSP Group</v>
      </c>
      <c r="R615" s="91" t="str">
        <f>TRIM(_xlfn.XLOOKUP(tblMovimientos[[#This Row],[Cuenta Bancaria]],Cuentas!$C:$C,Cuentas!$B:$B,""))</f>
        <v/>
      </c>
    </row>
    <row r="616" spans="1:18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165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4"/>
        <v>-236.32</v>
      </c>
      <c r="L616" s="15" t="s">
        <v>129</v>
      </c>
      <c r="M616" s="44">
        <f>SUMIFS('Saldos Iniciales'!$D:$D,'Saldos Iniciales'!$A:$A,C616,'Saldos Iniciales'!$B:$B,D616)+SUMIFS($K$1:$K$1325,$C$1:$C$1325,C616,$D$1:$D$1325,D616,$B$1:$B$1325,"&lt;="&amp;B616)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  <c r="Q616" s="91" t="str">
        <f>IF(tblMovimientos[[#This Row],[Cuenta Bancaria]]="","",_xlfn.XLOOKUP(tblMovimientos[[#This Row],[Cuenta Bancaria]],Cuentas!$C:$C,Cuentas!$A:$A,"No encontrado"))</f>
        <v>SSP Group</v>
      </c>
      <c r="R616" s="91" t="str">
        <f>TRIM(_xlfn.XLOOKUP(tblMovimientos[[#This Row],[Cuenta Bancaria]],Cuentas!$C:$C,Cuentas!$B:$B,""))</f>
        <v/>
      </c>
    </row>
    <row r="617" spans="1:18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165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4"/>
        <v>-164.76</v>
      </c>
      <c r="L617" s="15" t="s">
        <v>129</v>
      </c>
      <c r="M617" s="44">
        <f>SUMIFS('Saldos Iniciales'!$D:$D,'Saldos Iniciales'!$A:$A,C617,'Saldos Iniciales'!$B:$B,D617)+SUMIFS($K$1:$K$1325,$C$1:$C$1325,C617,$D$1:$D$1325,D617,$B$1:$B$1325,"&lt;="&amp;B617)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  <c r="Q617" s="91" t="str">
        <f>IF(tblMovimientos[[#This Row],[Cuenta Bancaria]]="","",_xlfn.XLOOKUP(tblMovimientos[[#This Row],[Cuenta Bancaria]],Cuentas!$C:$C,Cuentas!$A:$A,"No encontrado"))</f>
        <v>SSP Group</v>
      </c>
      <c r="R617" s="91" t="str">
        <f>TRIM(_xlfn.XLOOKUP(tblMovimientos[[#This Row],[Cuenta Bancaria]],Cuentas!$C:$C,Cuentas!$B:$B,""))</f>
        <v/>
      </c>
    </row>
    <row r="618" spans="1:18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4"/>
        <v>350000</v>
      </c>
      <c r="L618" s="15" t="s">
        <v>129</v>
      </c>
      <c r="M618" s="44">
        <f>SUMIFS('Saldos Iniciales'!$D:$D,'Saldos Iniciales'!$A:$A,C618,'Saldos Iniciales'!$B:$B,D618)+SUMIFS($K$1:$K$1325,$C$1:$C$1325,C618,$D$1:$D$1325,D618,$B$1:$B$1325,"&lt;="&amp;B618)</f>
        <v>1392744.6899999997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  <c r="Q618" s="91" t="str">
        <f>IF(tblMovimientos[[#This Row],[Cuenta Bancaria]]="","",_xlfn.XLOOKUP(tblMovimientos[[#This Row],[Cuenta Bancaria]],Cuentas!$C:$C,Cuentas!$A:$A,"No encontrado"))</f>
        <v>SSP Group</v>
      </c>
      <c r="R618" s="91" t="str">
        <f>TRIM(_xlfn.XLOOKUP(tblMovimientos[[#This Row],[Cuenta Bancaria]],Cuentas!$C:$C,Cuentas!$B:$B,""))</f>
        <v>Cross Security Trust</v>
      </c>
    </row>
    <row r="619" spans="1:18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165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4"/>
        <v>4000</v>
      </c>
      <c r="L619" s="15" t="s">
        <v>129</v>
      </c>
      <c r="M619" s="44">
        <f>SUMIFS('Saldos Iniciales'!$D:$D,'Saldos Iniciales'!$A:$A,C619,'Saldos Iniciales'!$B:$B,D619)+SUMIFS($K$1:$K$1325,$C$1:$C$1325,C619,$D$1:$D$1325,D619,$B$1:$B$1325,"&lt;="&amp;B619)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  <c r="Q619" s="91" t="str">
        <f>IF(tblMovimientos[[#This Row],[Cuenta Bancaria]]="","",_xlfn.XLOOKUP(tblMovimientos[[#This Row],[Cuenta Bancaria]],Cuentas!$C:$C,Cuentas!$A:$A,"No encontrado"))</f>
        <v>SSP Group</v>
      </c>
      <c r="R619" s="91" t="str">
        <f>TRIM(_xlfn.XLOOKUP(tblMovimientos[[#This Row],[Cuenta Bancaria]],Cuentas!$C:$C,Cuentas!$B:$B,""))</f>
        <v/>
      </c>
    </row>
    <row r="620" spans="1:18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165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4"/>
        <v>-1969.07</v>
      </c>
      <c r="L620" s="15" t="s">
        <v>129</v>
      </c>
      <c r="M620" s="44">
        <f>SUMIFS('Saldos Iniciales'!$D:$D,'Saldos Iniciales'!$A:$A,C620,'Saldos Iniciales'!$B:$B,D620)+SUMIFS($K$1:$K$1325,$C$1:$C$1325,C620,$D$1:$D$1325,D620,$B$1:$B$1325,"&lt;="&amp;B620)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  <c r="Q620" s="91" t="str">
        <f>IF(tblMovimientos[[#This Row],[Cuenta Bancaria]]="","",_xlfn.XLOOKUP(tblMovimientos[[#This Row],[Cuenta Bancaria]],Cuentas!$C:$C,Cuentas!$A:$A,"No encontrado"))</f>
        <v>SSP Group</v>
      </c>
      <c r="R620" s="91" t="str">
        <f>TRIM(_xlfn.XLOOKUP(tblMovimientos[[#This Row],[Cuenta Bancaria]],Cuentas!$C:$C,Cuentas!$B:$B,""))</f>
        <v/>
      </c>
    </row>
    <row r="621" spans="1:18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165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4"/>
        <v>-145.56</v>
      </c>
      <c r="L621" s="15" t="s">
        <v>129</v>
      </c>
      <c r="M621" s="44">
        <f>SUMIFS('Saldos Iniciales'!$D:$D,'Saldos Iniciales'!$A:$A,C621,'Saldos Iniciales'!$B:$B,D621)+SUMIFS($K$1:$K$1325,$C$1:$C$1325,C621,$D$1:$D$1325,D621,$B$1:$B$1325,"&lt;="&amp;B621)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  <c r="Q621" s="91" t="str">
        <f>IF(tblMovimientos[[#This Row],[Cuenta Bancaria]]="","",_xlfn.XLOOKUP(tblMovimientos[[#This Row],[Cuenta Bancaria]],Cuentas!$C:$C,Cuentas!$A:$A,"No encontrado"))</f>
        <v>SSP Group</v>
      </c>
      <c r="R621" s="91" t="str">
        <f>TRIM(_xlfn.XLOOKUP(tblMovimientos[[#This Row],[Cuenta Bancaria]],Cuentas!$C:$C,Cuentas!$B:$B,""))</f>
        <v/>
      </c>
    </row>
    <row r="622" spans="1:18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165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4"/>
        <v>-132.26</v>
      </c>
      <c r="L622" s="15" t="s">
        <v>129</v>
      </c>
      <c r="M622" s="44">
        <f>SUMIFS('Saldos Iniciales'!$D:$D,'Saldos Iniciales'!$A:$A,C622,'Saldos Iniciales'!$B:$B,D622)+SUMIFS($K$1:$K$1325,$C$1:$C$1325,C622,$D$1:$D$1325,D622,$B$1:$B$1325,"&lt;="&amp;B622)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  <c r="Q622" s="91" t="str">
        <f>IF(tblMovimientos[[#This Row],[Cuenta Bancaria]]="","",_xlfn.XLOOKUP(tblMovimientos[[#This Row],[Cuenta Bancaria]],Cuentas!$C:$C,Cuentas!$A:$A,"No encontrado"))</f>
        <v>SSP Group</v>
      </c>
      <c r="R622" s="91" t="str">
        <f>TRIM(_xlfn.XLOOKUP(tblMovimientos[[#This Row],[Cuenta Bancaria]],Cuentas!$C:$C,Cuentas!$B:$B,""))</f>
        <v/>
      </c>
    </row>
    <row r="623" spans="1:18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165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4"/>
        <v>-1463.85</v>
      </c>
      <c r="L623" s="15" t="s">
        <v>129</v>
      </c>
      <c r="M623" s="44">
        <f>SUMIFS('Saldos Iniciales'!$D:$D,'Saldos Iniciales'!$A:$A,C623,'Saldos Iniciales'!$B:$B,D623)+SUMIFS($K$1:$K$1325,$C$1:$C$1325,C623,$D$1:$D$1325,D623,$B$1:$B$1325,"&lt;="&amp;B623)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  <c r="Q623" s="91" t="str">
        <f>IF(tblMovimientos[[#This Row],[Cuenta Bancaria]]="","",_xlfn.XLOOKUP(tblMovimientos[[#This Row],[Cuenta Bancaria]],Cuentas!$C:$C,Cuentas!$A:$A,"No encontrado"))</f>
        <v>SSP Group</v>
      </c>
      <c r="R623" s="91" t="str">
        <f>TRIM(_xlfn.XLOOKUP(tblMovimientos[[#This Row],[Cuenta Bancaria]],Cuentas!$C:$C,Cuentas!$B:$B,""))</f>
        <v/>
      </c>
    </row>
    <row r="624" spans="1:18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165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4"/>
        <v>-74.7</v>
      </c>
      <c r="L624" s="15" t="s">
        <v>129</v>
      </c>
      <c r="M624" s="44">
        <f>SUMIFS('Saldos Iniciales'!$D:$D,'Saldos Iniciales'!$A:$A,C624,'Saldos Iniciales'!$B:$B,D624)+SUMIFS($K$1:$K$1325,$C$1:$C$1325,C624,$D$1:$D$1325,D624,$B$1:$B$1325,"&lt;="&amp;B624)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  <c r="Q624" s="91" t="str">
        <f>IF(tblMovimientos[[#This Row],[Cuenta Bancaria]]="","",_xlfn.XLOOKUP(tblMovimientos[[#This Row],[Cuenta Bancaria]],Cuentas!$C:$C,Cuentas!$A:$A,"No encontrado"))</f>
        <v>SSP Group</v>
      </c>
      <c r="R624" s="91" t="str">
        <f>TRIM(_xlfn.XLOOKUP(tblMovimientos[[#This Row],[Cuenta Bancaria]],Cuentas!$C:$C,Cuentas!$B:$B,""))</f>
        <v/>
      </c>
    </row>
    <row r="625" spans="2:18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165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4"/>
        <v>-116.96</v>
      </c>
      <c r="L625" s="15" t="s">
        <v>129</v>
      </c>
      <c r="M625" s="44">
        <f>SUMIFS('Saldos Iniciales'!$D:$D,'Saldos Iniciales'!$A:$A,C625,'Saldos Iniciales'!$B:$B,D625)+SUMIFS($K$1:$K$1325,$C$1:$C$1325,C625,$D$1:$D$1325,D625,$B$1:$B$1325,"&lt;="&amp;B625)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  <c r="Q625" s="91" t="str">
        <f>IF(tblMovimientos[[#This Row],[Cuenta Bancaria]]="","",_xlfn.XLOOKUP(tblMovimientos[[#This Row],[Cuenta Bancaria]],Cuentas!$C:$C,Cuentas!$A:$A,"No encontrado"))</f>
        <v>SSP Group</v>
      </c>
      <c r="R625" s="91" t="str">
        <f>TRIM(_xlfn.XLOOKUP(tblMovimientos[[#This Row],[Cuenta Bancaria]],Cuentas!$C:$C,Cuentas!$B:$B,""))</f>
        <v/>
      </c>
    </row>
    <row r="626" spans="2:18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165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ref="K626:K689" si="5">IF(F626="Ingreso",J626,-J626)</f>
        <v>-79.430000000000007</v>
      </c>
      <c r="L626" s="15" t="s">
        <v>129</v>
      </c>
      <c r="M626" s="44">
        <f>SUMIFS('Saldos Iniciales'!$D:$D,'Saldos Iniciales'!$A:$A,C626,'Saldos Iniciales'!$B:$B,D626)+SUMIFS($K$1:$K$1325,$C$1:$C$1325,C626,$D$1:$D$1325,D626,$B$1:$B$1325,"&lt;="&amp;B626)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  <c r="Q626" s="91" t="str">
        <f>IF(tblMovimientos[[#This Row],[Cuenta Bancaria]]="","",_xlfn.XLOOKUP(tblMovimientos[[#This Row],[Cuenta Bancaria]],Cuentas!$C:$C,Cuentas!$A:$A,"No encontrado"))</f>
        <v>SSP Group</v>
      </c>
      <c r="R626" s="91" t="str">
        <f>TRIM(_xlfn.XLOOKUP(tblMovimientos[[#This Row],[Cuenta Bancaria]],Cuentas!$C:$C,Cuentas!$B:$B,""))</f>
        <v/>
      </c>
    </row>
    <row r="627" spans="2:18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165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5"/>
        <v>-81.56</v>
      </c>
      <c r="L627" s="15" t="s">
        <v>129</v>
      </c>
      <c r="M627" s="44">
        <f>SUMIFS('Saldos Iniciales'!$D:$D,'Saldos Iniciales'!$A:$A,C627,'Saldos Iniciales'!$B:$B,D627)+SUMIFS($K$1:$K$1325,$C$1:$C$1325,C627,$D$1:$D$1325,D627,$B$1:$B$1325,"&lt;="&amp;B627)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  <c r="Q627" s="91" t="str">
        <f>IF(tblMovimientos[[#This Row],[Cuenta Bancaria]]="","",_xlfn.XLOOKUP(tblMovimientos[[#This Row],[Cuenta Bancaria]],Cuentas!$C:$C,Cuentas!$A:$A,"No encontrado"))</f>
        <v>SSP Group</v>
      </c>
      <c r="R627" s="91" t="str">
        <f>TRIM(_xlfn.XLOOKUP(tblMovimientos[[#This Row],[Cuenta Bancaria]],Cuentas!$C:$C,Cuentas!$B:$B,""))</f>
        <v/>
      </c>
    </row>
    <row r="628" spans="2:18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165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5"/>
        <v>-76.06</v>
      </c>
      <c r="L628" s="15" t="s">
        <v>129</v>
      </c>
      <c r="M628" s="44">
        <f>SUMIFS('Saldos Iniciales'!$D:$D,'Saldos Iniciales'!$A:$A,C628,'Saldos Iniciales'!$B:$B,D628)+SUMIFS($K$1:$K$1325,$C$1:$C$1325,C628,$D$1:$D$1325,D628,$B$1:$B$1325,"&lt;="&amp;B628)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  <c r="Q628" s="91" t="str">
        <f>IF(tblMovimientos[[#This Row],[Cuenta Bancaria]]="","",_xlfn.XLOOKUP(tblMovimientos[[#This Row],[Cuenta Bancaria]],Cuentas!$C:$C,Cuentas!$A:$A,"No encontrado"))</f>
        <v>SSP Group</v>
      </c>
      <c r="R628" s="91" t="str">
        <f>TRIM(_xlfn.XLOOKUP(tblMovimientos[[#This Row],[Cuenta Bancaria]],Cuentas!$C:$C,Cuentas!$B:$B,""))</f>
        <v/>
      </c>
    </row>
    <row r="629" spans="2:18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5"/>
        <v>-10000</v>
      </c>
      <c r="L629" s="15" t="s">
        <v>129</v>
      </c>
      <c r="M629" s="44">
        <f>SUMIFS('Saldos Iniciales'!$D:$D,'Saldos Iniciales'!$A:$A,C629,'Saldos Iniciales'!$B:$B,D629)+SUMIFS($K$1:$K$1325,$C$1:$C$1325,C629,$D$1:$D$1325,D629,$B$1:$B$1325,"&lt;="&amp;B629)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  <c r="Q629" s="91" t="str">
        <f>IF(tblMovimientos[[#This Row],[Cuenta Bancaria]]="","",_xlfn.XLOOKUP(tblMovimientos[[#This Row],[Cuenta Bancaria]],Cuentas!$C:$C,Cuentas!$A:$A,"No encontrado"))</f>
        <v>Trust</v>
      </c>
      <c r="R629" s="91" t="str">
        <f>TRIM(_xlfn.XLOOKUP(tblMovimientos[[#This Row],[Cuenta Bancaria]],Cuentas!$C:$C,Cuentas!$B:$B,""))</f>
        <v/>
      </c>
    </row>
    <row r="630" spans="2:18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5"/>
        <v>10000</v>
      </c>
      <c r="L630" s="15" t="s">
        <v>129</v>
      </c>
      <c r="M630" s="44">
        <f>SUMIFS('Saldos Iniciales'!$D:$D,'Saldos Iniciales'!$A:$A,C630,'Saldos Iniciales'!$B:$B,D630)+SUMIFS($K$1:$K$1325,$C$1:$C$1325,C630,$D$1:$D$1325,D630,$B$1:$B$1325,"&lt;="&amp;B630)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  <c r="Q630" s="91" t="str">
        <f>IF(tblMovimientos[[#This Row],[Cuenta Bancaria]]="","",_xlfn.XLOOKUP(tblMovimientos[[#This Row],[Cuenta Bancaria]],Cuentas!$C:$C,Cuentas!$A:$A,"No encontrado"))</f>
        <v>SSP Group</v>
      </c>
      <c r="R630" s="91" t="str">
        <f>TRIM(_xlfn.XLOOKUP(tblMovimientos[[#This Row],[Cuenta Bancaria]],Cuentas!$C:$C,Cuentas!$B:$B,""))</f>
        <v/>
      </c>
    </row>
    <row r="631" spans="2:18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5"/>
        <v>-10000</v>
      </c>
      <c r="L631" s="15" t="s">
        <v>129</v>
      </c>
      <c r="M631" s="44">
        <f>SUMIFS('Saldos Iniciales'!$D:$D,'Saldos Iniciales'!$A:$A,C631,'Saldos Iniciales'!$B:$B,D631)+SUMIFS($K$1:$K$1325,$C$1:$C$1325,C631,$D$1:$D$1325,D631,$B$1:$B$1325,"&lt;="&amp;B631)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  <c r="Q631" s="91" t="str">
        <f>IF(tblMovimientos[[#This Row],[Cuenta Bancaria]]="","",_xlfn.XLOOKUP(tblMovimientos[[#This Row],[Cuenta Bancaria]],Cuentas!$C:$C,Cuentas!$A:$A,"No encontrado"))</f>
        <v>SSP Group</v>
      </c>
      <c r="R631" s="91" t="str">
        <f>TRIM(_xlfn.XLOOKUP(tblMovimientos[[#This Row],[Cuenta Bancaria]],Cuentas!$C:$C,Cuentas!$B:$B,""))</f>
        <v/>
      </c>
    </row>
    <row r="632" spans="2:18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5"/>
        <v>10000</v>
      </c>
      <c r="L632" s="15" t="s">
        <v>129</v>
      </c>
      <c r="M632" s="44">
        <f>SUMIFS('Saldos Iniciales'!$D:$D,'Saldos Iniciales'!$A:$A,C632,'Saldos Iniciales'!$B:$B,D632)+SUMIFS($K$1:$K$1325,$C$1:$C$1325,C632,$D$1:$D$1325,D632,$B$1:$B$1325,"&lt;="&amp;B632)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  <c r="Q632" s="91" t="str">
        <f>IF(tblMovimientos[[#This Row],[Cuenta Bancaria]]="","",_xlfn.XLOOKUP(tblMovimientos[[#This Row],[Cuenta Bancaria]],Cuentas!$C:$C,Cuentas!$A:$A,"No encontrado"))</f>
        <v>SSP Group</v>
      </c>
      <c r="R632" s="91" t="str">
        <f>TRIM(_xlfn.XLOOKUP(tblMovimientos[[#This Row],[Cuenta Bancaria]],Cuentas!$C:$C,Cuentas!$B:$B,""))</f>
        <v/>
      </c>
    </row>
    <row r="633" spans="2:18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5"/>
        <v>-4000</v>
      </c>
      <c r="L633" s="15" t="s">
        <v>129</v>
      </c>
      <c r="M633" s="44">
        <f>SUMIFS('Saldos Iniciales'!$D:$D,'Saldos Iniciales'!$A:$A,C633,'Saldos Iniciales'!$B:$B,D633)+SUMIFS($K$1:$K$1325,$C$1:$C$1325,C633,$D$1:$D$1325,D633,$B$1:$B$1325,"&lt;="&amp;B633)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  <c r="Q633" s="91" t="str">
        <f>IF(tblMovimientos[[#This Row],[Cuenta Bancaria]]="","",_xlfn.XLOOKUP(tblMovimientos[[#This Row],[Cuenta Bancaria]],Cuentas!$C:$C,Cuentas!$A:$A,"No encontrado"))</f>
        <v>SSP Group</v>
      </c>
      <c r="R633" s="91" t="str">
        <f>TRIM(_xlfn.XLOOKUP(tblMovimientos[[#This Row],[Cuenta Bancaria]],Cuentas!$C:$C,Cuentas!$B:$B,""))</f>
        <v/>
      </c>
    </row>
    <row r="634" spans="2:18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5"/>
        <v>-526.75</v>
      </c>
      <c r="L634" s="15" t="s">
        <v>129</v>
      </c>
      <c r="M634" s="44">
        <f>SUMIFS('Saldos Iniciales'!$D:$D,'Saldos Iniciales'!$A:$A,C634,'Saldos Iniciales'!$B:$B,D634)+SUMIFS($K$1:$K$1325,$C$1:$C$1325,C634,$D$1:$D$1325,D634,$B$1:$B$1325,"&lt;="&amp;B634)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  <c r="Q634" s="91" t="str">
        <f>IF(tblMovimientos[[#This Row],[Cuenta Bancaria]]="","",_xlfn.XLOOKUP(tblMovimientos[[#This Row],[Cuenta Bancaria]],Cuentas!$C:$C,Cuentas!$A:$A,"No encontrado"))</f>
        <v>SSP Group</v>
      </c>
      <c r="R634" s="91" t="str">
        <f>TRIM(_xlfn.XLOOKUP(tblMovimientos[[#This Row],[Cuenta Bancaria]],Cuentas!$C:$C,Cuentas!$B:$B,""))</f>
        <v/>
      </c>
    </row>
    <row r="635" spans="2:18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5"/>
        <v>-193.19</v>
      </c>
      <c r="L635" s="15" t="s">
        <v>129</v>
      </c>
      <c r="M635" s="44">
        <f>SUMIFS('Saldos Iniciales'!$D:$D,'Saldos Iniciales'!$A:$A,C635,'Saldos Iniciales'!$B:$B,D635)+SUMIFS($K$1:$K$1325,$C$1:$C$1325,C635,$D$1:$D$1325,D635,$B$1:$B$1325,"&lt;="&amp;B635)</f>
        <v>6148.0199999999995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  <c r="Q635" s="91" t="str">
        <f>IF(tblMovimientos[[#This Row],[Cuenta Bancaria]]="","",_xlfn.XLOOKUP(tblMovimientos[[#This Row],[Cuenta Bancaria]],Cuentas!$C:$C,Cuentas!$A:$A,"No encontrado"))</f>
        <v>SSP Group</v>
      </c>
      <c r="R635" s="91" t="str">
        <f>TRIM(_xlfn.XLOOKUP(tblMovimientos[[#This Row],[Cuenta Bancaria]],Cuentas!$C:$C,Cuentas!$B:$B,""))</f>
        <v/>
      </c>
    </row>
    <row r="636" spans="2:18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5"/>
        <v>17345.61</v>
      </c>
      <c r="L636" s="15" t="s">
        <v>129</v>
      </c>
      <c r="M636" s="44">
        <f>SUMIFS('Saldos Iniciales'!$D:$D,'Saldos Iniciales'!$A:$A,C636,'Saldos Iniciales'!$B:$B,D636)+SUMIFS($K$1:$K$1325,$C$1:$C$1325,C636,$D$1:$D$1325,D636,$B$1:$B$1325,"&lt;="&amp;B636)</f>
        <v>1415636.7399999998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  <c r="Q636" s="91" t="str">
        <f>IF(tblMovimientos[[#This Row],[Cuenta Bancaria]]="","",_xlfn.XLOOKUP(tblMovimientos[[#This Row],[Cuenta Bancaria]],Cuentas!$C:$C,Cuentas!$A:$A,"No encontrado"))</f>
        <v>SSP Group</v>
      </c>
      <c r="R636" s="91" t="str">
        <f>TRIM(_xlfn.XLOOKUP(tblMovimientos[[#This Row],[Cuenta Bancaria]],Cuentas!$C:$C,Cuentas!$B:$B,""))</f>
        <v>Cross Security Trust</v>
      </c>
    </row>
    <row r="637" spans="2:18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5"/>
        <v>5546.44</v>
      </c>
      <c r="L637" s="15" t="s">
        <v>129</v>
      </c>
      <c r="M637" s="44">
        <f>SUMIFS('Saldos Iniciales'!$D:$D,'Saldos Iniciales'!$A:$A,C637,'Saldos Iniciales'!$B:$B,D637)+SUMIFS($K$1:$K$1325,$C$1:$C$1325,C637,$D$1:$D$1325,D637,$B$1:$B$1325,"&lt;="&amp;B637)</f>
        <v>1415636.7399999998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  <c r="Q637" s="91" t="str">
        <f>IF(tblMovimientos[[#This Row],[Cuenta Bancaria]]="","",_xlfn.XLOOKUP(tblMovimientos[[#This Row],[Cuenta Bancaria]],Cuentas!$C:$C,Cuentas!$A:$A,"No encontrado"))</f>
        <v>SSP Group</v>
      </c>
      <c r="R637" s="91" t="str">
        <f>TRIM(_xlfn.XLOOKUP(tblMovimientos[[#This Row],[Cuenta Bancaria]],Cuentas!$C:$C,Cuentas!$B:$B,""))</f>
        <v>Cross Security Trust</v>
      </c>
    </row>
    <row r="638" spans="2:18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5"/>
        <v>442.33</v>
      </c>
      <c r="L638" s="15" t="s">
        <v>129</v>
      </c>
      <c r="M638" s="44">
        <f>SUMIFS('Saldos Iniciales'!$D:$D,'Saldos Iniciales'!$A:$A,C638,'Saldos Iniciales'!$B:$B,D638)+SUMIFS($K$1:$K$1325,$C$1:$C$1325,C638,$D$1:$D$1325,D638,$B$1:$B$1325,"&lt;="&amp;B638)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  <c r="Q638" s="91" t="str">
        <f>IF(tblMovimientos[[#This Row],[Cuenta Bancaria]]="","",_xlfn.XLOOKUP(tblMovimientos[[#This Row],[Cuenta Bancaria]],Cuentas!$C:$C,Cuentas!$A:$A,"No encontrado"))</f>
        <v>SSP Group</v>
      </c>
      <c r="R638" s="91" t="str">
        <f>TRIM(_xlfn.XLOOKUP(tblMovimientos[[#This Row],[Cuenta Bancaria]],Cuentas!$C:$C,Cuentas!$B:$B,""))</f>
        <v/>
      </c>
    </row>
    <row r="639" spans="2:18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5"/>
        <v>6974.11</v>
      </c>
      <c r="L639" s="15" t="s">
        <v>129</v>
      </c>
      <c r="M639" s="44">
        <f>SUMIFS('Saldos Iniciales'!$D:$D,'Saldos Iniciales'!$A:$A,C639,'Saldos Iniciales'!$B:$B,D639)+SUMIFS($K$1:$K$1325,$C$1:$C$1325,C639,$D$1:$D$1325,D639,$B$1:$B$1325,"&lt;="&amp;B639)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  <c r="Q639" s="91" t="str">
        <f>IF(tblMovimientos[[#This Row],[Cuenta Bancaria]]="","",_xlfn.XLOOKUP(tblMovimientos[[#This Row],[Cuenta Bancaria]],Cuentas!$C:$C,Cuentas!$A:$A,"No encontrado"))</f>
        <v>SSP Group</v>
      </c>
      <c r="R639" s="91" t="str">
        <f>TRIM(_xlfn.XLOOKUP(tblMovimientos[[#This Row],[Cuenta Bancaria]],Cuentas!$C:$C,Cuentas!$B:$B,""))</f>
        <v/>
      </c>
    </row>
    <row r="640" spans="2:18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165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5"/>
        <v>-237</v>
      </c>
      <c r="L640" s="15" t="s">
        <v>129</v>
      </c>
      <c r="M640" s="44">
        <f>SUMIFS('Saldos Iniciales'!$D:$D,'Saldos Iniciales'!$A:$A,C640,'Saldos Iniciales'!$B:$B,D640)+SUMIFS($K$1:$K$1325,$C$1:$C$1325,C640,$D$1:$D$1325,D640,$B$1:$B$1325,"&lt;="&amp;B640)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  <c r="Q640" s="91" t="str">
        <f>IF(tblMovimientos[[#This Row],[Cuenta Bancaria]]="","",_xlfn.XLOOKUP(tblMovimientos[[#This Row],[Cuenta Bancaria]],Cuentas!$C:$C,Cuentas!$A:$A,"No encontrado"))</f>
        <v>SSP Group</v>
      </c>
      <c r="R640" s="91" t="str">
        <f>TRIM(_xlfn.XLOOKUP(tblMovimientos[[#This Row],[Cuenta Bancaria]],Cuentas!$C:$C,Cuentas!$B:$B,""))</f>
        <v/>
      </c>
    </row>
    <row r="641" spans="2:18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165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5"/>
        <v>-87.09</v>
      </c>
      <c r="L641" s="15" t="s">
        <v>129</v>
      </c>
      <c r="M641" s="44">
        <f>SUMIFS('Saldos Iniciales'!$D:$D,'Saldos Iniciales'!$A:$A,C641,'Saldos Iniciales'!$B:$B,D641)+SUMIFS($K$1:$K$1325,$C$1:$C$1325,C641,$D$1:$D$1325,D641,$B$1:$B$1325,"&lt;="&amp;B641)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  <c r="Q641" s="91" t="str">
        <f>IF(tblMovimientos[[#This Row],[Cuenta Bancaria]]="","",_xlfn.XLOOKUP(tblMovimientos[[#This Row],[Cuenta Bancaria]],Cuentas!$C:$C,Cuentas!$A:$A,"No encontrado"))</f>
        <v>SSP Group</v>
      </c>
      <c r="R641" s="91" t="str">
        <f>TRIM(_xlfn.XLOOKUP(tblMovimientos[[#This Row],[Cuenta Bancaria]],Cuentas!$C:$C,Cuentas!$B:$B,""))</f>
        <v/>
      </c>
    </row>
    <row r="642" spans="2:18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5"/>
        <v>-164160.82999999999</v>
      </c>
      <c r="L642" s="15" t="s">
        <v>129</v>
      </c>
      <c r="M642" s="44">
        <f>SUMIFS('Saldos Iniciales'!$D:$D,'Saldos Iniciales'!$A:$A,C642,'Saldos Iniciales'!$B:$B,D642)+SUMIFS($K$1:$K$1325,$C$1:$C$1325,C642,$D$1:$D$1325,D642,$B$1:$B$1325,"&lt;="&amp;B642)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  <c r="Q642" s="91" t="str">
        <f>IF(tblMovimientos[[#This Row],[Cuenta Bancaria]]="","",_xlfn.XLOOKUP(tblMovimientos[[#This Row],[Cuenta Bancaria]],Cuentas!$C:$C,Cuentas!$A:$A,"No encontrado"))</f>
        <v>SSP Group</v>
      </c>
      <c r="R642" s="91" t="str">
        <f>TRIM(_xlfn.XLOOKUP(tblMovimientos[[#This Row],[Cuenta Bancaria]],Cuentas!$C:$C,Cuentas!$B:$B,""))</f>
        <v/>
      </c>
    </row>
    <row r="643" spans="2:18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5"/>
        <v>17545.53</v>
      </c>
      <c r="L643" s="15" t="s">
        <v>129</v>
      </c>
      <c r="M643" s="44">
        <f>SUMIFS('Saldos Iniciales'!$D:$D,'Saldos Iniciales'!$A:$A,C643,'Saldos Iniciales'!$B:$B,D643)+SUMIFS($K$1:$K$1325,$C$1:$C$1325,C643,$D$1:$D$1325,D643,$B$1:$B$1325,"&lt;="&amp;B643)</f>
        <v>1434634.5999999999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  <c r="Q643" s="91" t="str">
        <f>IF(tblMovimientos[[#This Row],[Cuenta Bancaria]]="","",_xlfn.XLOOKUP(tblMovimientos[[#This Row],[Cuenta Bancaria]],Cuentas!$C:$C,Cuentas!$A:$A,"No encontrado"))</f>
        <v>SSP Group</v>
      </c>
      <c r="R643" s="91" t="str">
        <f>TRIM(_xlfn.XLOOKUP(tblMovimientos[[#This Row],[Cuenta Bancaria]],Cuentas!$C:$C,Cuentas!$B:$B,""))</f>
        <v>Cross Security Trust</v>
      </c>
    </row>
    <row r="644" spans="2:18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5"/>
        <v>1452.33</v>
      </c>
      <c r="L644" s="15" t="s">
        <v>129</v>
      </c>
      <c r="M644" s="44">
        <f>SUMIFS('Saldos Iniciales'!$D:$D,'Saldos Iniciales'!$A:$A,C644,'Saldos Iniciales'!$B:$B,D644)+SUMIFS($K$1:$K$1325,$C$1:$C$1325,C644,$D$1:$D$1325,D644,$B$1:$B$1325,"&lt;="&amp;B644)</f>
        <v>1434634.5999999999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  <c r="Q644" s="91" t="str">
        <f>IF(tblMovimientos[[#This Row],[Cuenta Bancaria]]="","",_xlfn.XLOOKUP(tblMovimientos[[#This Row],[Cuenta Bancaria]],Cuentas!$C:$C,Cuentas!$A:$A,"No encontrado"))</f>
        <v>SSP Group</v>
      </c>
      <c r="R644" s="91" t="str">
        <f>TRIM(_xlfn.XLOOKUP(tblMovimientos[[#This Row],[Cuenta Bancaria]],Cuentas!$C:$C,Cuentas!$B:$B,""))</f>
        <v>Cross Security Trust</v>
      </c>
    </row>
    <row r="645" spans="2:18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5"/>
        <v>7471.23</v>
      </c>
      <c r="L645" s="15" t="s">
        <v>129</v>
      </c>
      <c r="M645" s="44">
        <f>SUMIFS('Saldos Iniciales'!$D:$D,'Saldos Iniciales'!$A:$A,C645,'Saldos Iniciales'!$B:$B,D645)+SUMIFS($K$1:$K$1325,$C$1:$C$1325,C645,$D$1:$D$1325,D645,$B$1:$B$1325,"&lt;="&amp;B645)</f>
        <v>35371.749999999985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  <c r="Q645" s="91" t="str">
        <f>IF(tblMovimientos[[#This Row],[Cuenta Bancaria]]="","",_xlfn.XLOOKUP(tblMovimientos[[#This Row],[Cuenta Bancaria]],Cuentas!$C:$C,Cuentas!$A:$A,"No encontrado"))</f>
        <v>SSP Group</v>
      </c>
      <c r="R645" s="91" t="str">
        <f>TRIM(_xlfn.XLOOKUP(tblMovimientos[[#This Row],[Cuenta Bancaria]],Cuentas!$C:$C,Cuentas!$B:$B,""))</f>
        <v/>
      </c>
    </row>
    <row r="646" spans="2:18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5"/>
        <v>7317.16</v>
      </c>
      <c r="L646" s="15" t="s">
        <v>129</v>
      </c>
      <c r="M646" s="44">
        <f>SUMIFS('Saldos Iniciales'!$D:$D,'Saldos Iniciales'!$A:$A,C646,'Saldos Iniciales'!$B:$B,D646)+SUMIFS($K$1:$K$1325,$C$1:$C$1325,C646,$D$1:$D$1325,D646,$B$1:$B$1325,"&lt;="&amp;B646)</f>
        <v>35371.749999999985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  <c r="Q646" s="91" t="str">
        <f>IF(tblMovimientos[[#This Row],[Cuenta Bancaria]]="","",_xlfn.XLOOKUP(tblMovimientos[[#This Row],[Cuenta Bancaria]],Cuentas!$C:$C,Cuentas!$A:$A,"No encontrado"))</f>
        <v>SSP Group</v>
      </c>
      <c r="R646" s="91" t="str">
        <f>TRIM(_xlfn.XLOOKUP(tblMovimientos[[#This Row],[Cuenta Bancaria]],Cuentas!$C:$C,Cuentas!$B:$B,""))</f>
        <v/>
      </c>
    </row>
    <row r="647" spans="2:18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5"/>
        <v>2637.13</v>
      </c>
      <c r="L647" s="15" t="s">
        <v>129</v>
      </c>
      <c r="M647" s="44">
        <f>SUMIFS('Saldos Iniciales'!$D:$D,'Saldos Iniciales'!$A:$A,C647,'Saldos Iniciales'!$B:$B,D647)+SUMIFS($K$1:$K$1325,$C$1:$C$1325,C647,$D$1:$D$1325,D647,$B$1:$B$1325,"&lt;="&amp;B647)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  <c r="Q647" s="91" t="str">
        <f>IF(tblMovimientos[[#This Row],[Cuenta Bancaria]]="","",_xlfn.XLOOKUP(tblMovimientos[[#This Row],[Cuenta Bancaria]],Cuentas!$C:$C,Cuentas!$A:$A,"No encontrado"))</f>
        <v>SSP Group</v>
      </c>
      <c r="R647" s="91" t="str">
        <f>TRIM(_xlfn.XLOOKUP(tblMovimientos[[#This Row],[Cuenta Bancaria]],Cuentas!$C:$C,Cuentas!$B:$B,""))</f>
        <v/>
      </c>
    </row>
    <row r="648" spans="2:18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165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5"/>
        <v>-168.79</v>
      </c>
      <c r="L648" s="15" t="s">
        <v>129</v>
      </c>
      <c r="M648" s="44">
        <f>SUMIFS('Saldos Iniciales'!$D:$D,'Saldos Iniciales'!$A:$A,C648,'Saldos Iniciales'!$B:$B,D648)+SUMIFS($K$1:$K$1325,$C$1:$C$1325,C648,$D$1:$D$1325,D648,$B$1:$B$1325,"&lt;="&amp;B648)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  <c r="Q648" s="91" t="str">
        <f>IF(tblMovimientos[[#This Row],[Cuenta Bancaria]]="","",_xlfn.XLOOKUP(tblMovimientos[[#This Row],[Cuenta Bancaria]],Cuentas!$C:$C,Cuentas!$A:$A,"No encontrado"))</f>
        <v>SSP Group</v>
      </c>
      <c r="R648" s="91" t="str">
        <f>TRIM(_xlfn.XLOOKUP(tblMovimientos[[#This Row],[Cuenta Bancaria]],Cuentas!$C:$C,Cuentas!$B:$B,""))</f>
        <v/>
      </c>
    </row>
    <row r="649" spans="2:18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165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5"/>
        <v>-1300.76</v>
      </c>
      <c r="L649" s="15" t="s">
        <v>129</v>
      </c>
      <c r="M649" s="44">
        <f>SUMIFS('Saldos Iniciales'!$D:$D,'Saldos Iniciales'!$A:$A,C649,'Saldos Iniciales'!$B:$B,D649)+SUMIFS($K$1:$K$1325,$C$1:$C$1325,C649,$D$1:$D$1325,D649,$B$1:$B$1325,"&lt;="&amp;B649)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  <c r="Q649" s="91" t="str">
        <f>IF(tblMovimientos[[#This Row],[Cuenta Bancaria]]="","",_xlfn.XLOOKUP(tblMovimientos[[#This Row],[Cuenta Bancaria]],Cuentas!$C:$C,Cuentas!$A:$A,"No encontrado"))</f>
        <v>SSP Group</v>
      </c>
      <c r="R649" s="91" t="str">
        <f>TRIM(_xlfn.XLOOKUP(tblMovimientos[[#This Row],[Cuenta Bancaria]],Cuentas!$C:$C,Cuentas!$B:$B,""))</f>
        <v/>
      </c>
    </row>
    <row r="650" spans="2:18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165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5"/>
        <v>-132.08000000000001</v>
      </c>
      <c r="L650" s="15" t="s">
        <v>129</v>
      </c>
      <c r="M650" s="44">
        <f>SUMIFS('Saldos Iniciales'!$D:$D,'Saldos Iniciales'!$A:$A,C650,'Saldos Iniciales'!$B:$B,D650)+SUMIFS($K$1:$K$1325,$C$1:$C$1325,C650,$D$1:$D$1325,D650,$B$1:$B$1325,"&lt;="&amp;B650)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  <c r="Q650" s="91" t="str">
        <f>IF(tblMovimientos[[#This Row],[Cuenta Bancaria]]="","",_xlfn.XLOOKUP(tblMovimientos[[#This Row],[Cuenta Bancaria]],Cuentas!$C:$C,Cuentas!$A:$A,"No encontrado"))</f>
        <v>SSP Group</v>
      </c>
      <c r="R650" s="91" t="str">
        <f>TRIM(_xlfn.XLOOKUP(tblMovimientos[[#This Row],[Cuenta Bancaria]],Cuentas!$C:$C,Cuentas!$B:$B,""))</f>
        <v/>
      </c>
    </row>
    <row r="651" spans="2:18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165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5"/>
        <v>-22.68</v>
      </c>
      <c r="L651" s="15" t="s">
        <v>129</v>
      </c>
      <c r="M651" s="44">
        <f>SUMIFS('Saldos Iniciales'!$D:$D,'Saldos Iniciales'!$A:$A,C651,'Saldos Iniciales'!$B:$B,D651)+SUMIFS($K$1:$K$1325,$C$1:$C$1325,C651,$D$1:$D$1325,D651,$B$1:$B$1325,"&lt;="&amp;B651)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  <c r="Q651" s="91" t="str">
        <f>IF(tblMovimientos[[#This Row],[Cuenta Bancaria]]="","",_xlfn.XLOOKUP(tblMovimientos[[#This Row],[Cuenta Bancaria]],Cuentas!$C:$C,Cuentas!$A:$A,"No encontrado"))</f>
        <v>SSP Group</v>
      </c>
      <c r="R651" s="91" t="str">
        <f>TRIM(_xlfn.XLOOKUP(tblMovimientos[[#This Row],[Cuenta Bancaria]],Cuentas!$C:$C,Cuentas!$B:$B,""))</f>
        <v/>
      </c>
    </row>
    <row r="652" spans="2:18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5"/>
        <v>-3.25</v>
      </c>
      <c r="L652" s="15" t="s">
        <v>129</v>
      </c>
      <c r="M652" s="44">
        <f>SUMIFS('Saldos Iniciales'!$D:$D,'Saldos Iniciales'!$A:$A,C652,'Saldos Iniciales'!$B:$B,D652)+SUMIFS($K$1:$K$1325,$C$1:$C$1325,C652,$D$1:$D$1325,D652,$B$1:$B$1325,"&lt;="&amp;B652)</f>
        <v>6144.7699999999995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  <c r="Q652" s="91" t="str">
        <f>IF(tblMovimientos[[#This Row],[Cuenta Bancaria]]="","",_xlfn.XLOOKUP(tblMovimientos[[#This Row],[Cuenta Bancaria]],Cuentas!$C:$C,Cuentas!$A:$A,"No encontrado"))</f>
        <v>SSP Group</v>
      </c>
      <c r="R652" s="91" t="str">
        <f>TRIM(_xlfn.XLOOKUP(tblMovimientos[[#This Row],[Cuenta Bancaria]],Cuentas!$C:$C,Cuentas!$B:$B,""))</f>
        <v/>
      </c>
    </row>
    <row r="653" spans="2:18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5"/>
        <v>23791.439999999999</v>
      </c>
      <c r="L653" s="15" t="s">
        <v>129</v>
      </c>
      <c r="M653" s="44">
        <f>SUMIFS('Saldos Iniciales'!$D:$D,'Saldos Iniciales'!$A:$A,C653,'Saldos Iniciales'!$B:$B,D653)+SUMIFS($K$1:$K$1325,$C$1:$C$1325,C653,$D$1:$D$1325,D653,$B$1:$B$1325,"&lt;="&amp;B653)</f>
        <v>1458426.0399999998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  <c r="Q653" s="91" t="str">
        <f>IF(tblMovimientos[[#This Row],[Cuenta Bancaria]]="","",_xlfn.XLOOKUP(tblMovimientos[[#This Row],[Cuenta Bancaria]],Cuentas!$C:$C,Cuentas!$A:$A,"No encontrado"))</f>
        <v>SSP Group</v>
      </c>
      <c r="R653" s="91" t="str">
        <f>TRIM(_xlfn.XLOOKUP(tblMovimientos[[#This Row],[Cuenta Bancaria]],Cuentas!$C:$C,Cuentas!$B:$B,""))</f>
        <v>Cross Security Trust</v>
      </c>
    </row>
    <row r="654" spans="2:18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5"/>
        <v>129678.6</v>
      </c>
      <c r="L654" s="15" t="s">
        <v>129</v>
      </c>
      <c r="M654" s="44">
        <f>SUMIFS('Saldos Iniciales'!$D:$D,'Saldos Iniciales'!$A:$A,C654,'Saldos Iniciales'!$B:$B,D654)+SUMIFS($K$1:$K$1325,$C$1:$C$1325,C654,$D$1:$D$1325,D654,$B$1:$B$1325,"&lt;="&amp;B654)</f>
        <v>235183.32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  <c r="Q654" s="91" t="str">
        <f>IF(tblMovimientos[[#This Row],[Cuenta Bancaria]]="","",_xlfn.XLOOKUP(tblMovimientos[[#This Row],[Cuenta Bancaria]],Cuentas!$C:$C,Cuentas!$A:$A,"No encontrado"))</f>
        <v>SSP Group</v>
      </c>
      <c r="R654" s="91" t="str">
        <f>TRIM(_xlfn.XLOOKUP(tblMovimientos[[#This Row],[Cuenta Bancaria]],Cuentas!$C:$C,Cuentas!$B:$B,""))</f>
        <v/>
      </c>
    </row>
    <row r="655" spans="2:18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5"/>
        <v>71403.73</v>
      </c>
      <c r="L655" s="15" t="s">
        <v>129</v>
      </c>
      <c r="M655" s="44">
        <f>SUMIFS('Saldos Iniciales'!$D:$D,'Saldos Iniciales'!$A:$A,C655,'Saldos Iniciales'!$B:$B,D655)+SUMIFS($K$1:$K$1325,$C$1:$C$1325,C655,$D$1:$D$1325,D655,$B$1:$B$1325,"&lt;="&amp;B655)</f>
        <v>235183.32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  <c r="Q655" s="91" t="str">
        <f>IF(tblMovimientos[[#This Row],[Cuenta Bancaria]]="","",_xlfn.XLOOKUP(tblMovimientos[[#This Row],[Cuenta Bancaria]],Cuentas!$C:$C,Cuentas!$A:$A,"No encontrado"))</f>
        <v>SSP Group</v>
      </c>
      <c r="R655" s="91" t="str">
        <f>TRIM(_xlfn.XLOOKUP(tblMovimientos[[#This Row],[Cuenta Bancaria]],Cuentas!$C:$C,Cuentas!$B:$B,""))</f>
        <v/>
      </c>
    </row>
    <row r="656" spans="2:18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5"/>
        <v>-1270.43</v>
      </c>
      <c r="L656" s="15" t="s">
        <v>129</v>
      </c>
      <c r="M656" s="44">
        <f>SUMIFS('Saldos Iniciales'!$D:$D,'Saldos Iniciales'!$A:$A,C656,'Saldos Iniciales'!$B:$B,D656)+SUMIFS($K$1:$K$1325,$C$1:$C$1325,C656,$D$1:$D$1325,D656,$B$1:$B$1325,"&lt;="&amp;B656)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  <c r="Q656" s="91" t="str">
        <f>IF(tblMovimientos[[#This Row],[Cuenta Bancaria]]="","",_xlfn.XLOOKUP(tblMovimientos[[#This Row],[Cuenta Bancaria]],Cuentas!$C:$C,Cuentas!$A:$A,"No encontrado"))</f>
        <v>SSP Group</v>
      </c>
      <c r="R656" s="91" t="str">
        <f>TRIM(_xlfn.XLOOKUP(tblMovimientos[[#This Row],[Cuenta Bancaria]],Cuentas!$C:$C,Cuentas!$B:$B,""))</f>
        <v/>
      </c>
    </row>
    <row r="657" spans="1:18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5"/>
        <v>-0.33</v>
      </c>
      <c r="L657" s="15" t="s">
        <v>129</v>
      </c>
      <c r="M657" s="44">
        <f>SUMIFS('Saldos Iniciales'!$D:$D,'Saldos Iniciales'!$A:$A,C657,'Saldos Iniciales'!$B:$B,D657)+SUMIFS($K$1:$K$1325,$C$1:$C$1325,C657,$D$1:$D$1325,D657,$B$1:$B$1325,"&lt;="&amp;B657)</f>
        <v>235183.32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  <c r="Q657" s="91" t="str">
        <f>IF(tblMovimientos[[#This Row],[Cuenta Bancaria]]="","",_xlfn.XLOOKUP(tblMovimientos[[#This Row],[Cuenta Bancaria]],Cuentas!$C:$C,Cuentas!$A:$A,"No encontrado"))</f>
        <v>SSP Group</v>
      </c>
      <c r="R657" s="91" t="str">
        <f>TRIM(_xlfn.XLOOKUP(tblMovimientos[[#This Row],[Cuenta Bancaria]],Cuentas!$C:$C,Cuentas!$B:$B,""))</f>
        <v/>
      </c>
    </row>
    <row r="658" spans="1:18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165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5"/>
        <v>2000</v>
      </c>
      <c r="L658" s="15" t="s">
        <v>129</v>
      </c>
      <c r="M658" s="44">
        <f>SUMIFS('Saldos Iniciales'!$D:$D,'Saldos Iniciales'!$A:$A,C658,'Saldos Iniciales'!$B:$B,D658)+SUMIFS($K$1:$K$1325,$C$1:$C$1325,C658,$D$1:$D$1325,D658,$B$1:$B$1325,"&lt;="&amp;B658)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  <c r="Q658" s="91" t="str">
        <f>IF(tblMovimientos[[#This Row],[Cuenta Bancaria]]="","",_xlfn.XLOOKUP(tblMovimientos[[#This Row],[Cuenta Bancaria]],Cuentas!$C:$C,Cuentas!$A:$A,"No encontrado"))</f>
        <v>SSP Group</v>
      </c>
      <c r="R658" s="91" t="str">
        <f>TRIM(_xlfn.XLOOKUP(tblMovimientos[[#This Row],[Cuenta Bancaria]],Cuentas!$C:$C,Cuentas!$B:$B,""))</f>
        <v/>
      </c>
    </row>
    <row r="659" spans="1:18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165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5"/>
        <v>-694</v>
      </c>
      <c r="L659" s="15" t="s">
        <v>129</v>
      </c>
      <c r="M659" s="44">
        <f>SUMIFS('Saldos Iniciales'!$D:$D,'Saldos Iniciales'!$A:$A,C659,'Saldos Iniciales'!$B:$B,D659)+SUMIFS($K$1:$K$1325,$C$1:$C$1325,C659,$D$1:$D$1325,D659,$B$1:$B$1325,"&lt;="&amp;B659)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  <c r="Q659" s="91" t="str">
        <f>IF(tblMovimientos[[#This Row],[Cuenta Bancaria]]="","",_xlfn.XLOOKUP(tblMovimientos[[#This Row],[Cuenta Bancaria]],Cuentas!$C:$C,Cuentas!$A:$A,"No encontrado"))</f>
        <v>SSP Group</v>
      </c>
      <c r="R659" s="91" t="str">
        <f>TRIM(_xlfn.XLOOKUP(tblMovimientos[[#This Row],[Cuenta Bancaria]],Cuentas!$C:$C,Cuentas!$B:$B,""))</f>
        <v/>
      </c>
    </row>
    <row r="660" spans="1:18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165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5"/>
        <v>-1032.81</v>
      </c>
      <c r="L660" s="15" t="s">
        <v>129</v>
      </c>
      <c r="M660" s="44">
        <f>SUMIFS('Saldos Iniciales'!$D:$D,'Saldos Iniciales'!$A:$A,C660,'Saldos Iniciales'!$B:$B,D660)+SUMIFS($K$1:$K$1325,$C$1:$C$1325,C660,$D$1:$D$1325,D660,$B$1:$B$1325,"&lt;="&amp;B660)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  <c r="Q660" s="91" t="str">
        <f>IF(tblMovimientos[[#This Row],[Cuenta Bancaria]]="","",_xlfn.XLOOKUP(tblMovimientos[[#This Row],[Cuenta Bancaria]],Cuentas!$C:$C,Cuentas!$A:$A,"No encontrado"))</f>
        <v>SSP Group</v>
      </c>
      <c r="R660" s="91" t="str">
        <f>TRIM(_xlfn.XLOOKUP(tblMovimientos[[#This Row],[Cuenta Bancaria]],Cuentas!$C:$C,Cuentas!$B:$B,""))</f>
        <v/>
      </c>
    </row>
    <row r="661" spans="1:18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165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5"/>
        <v>-108.04</v>
      </c>
      <c r="L661" s="15" t="s">
        <v>129</v>
      </c>
      <c r="M661" s="44">
        <f>SUMIFS('Saldos Iniciales'!$D:$D,'Saldos Iniciales'!$A:$A,C661,'Saldos Iniciales'!$B:$B,D661)+SUMIFS($K$1:$K$1325,$C$1:$C$1325,C661,$D$1:$D$1325,D661,$B$1:$B$1325,"&lt;="&amp;B661)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  <c r="Q661" s="91" t="str">
        <f>IF(tblMovimientos[[#This Row],[Cuenta Bancaria]]="","",_xlfn.XLOOKUP(tblMovimientos[[#This Row],[Cuenta Bancaria]],Cuentas!$C:$C,Cuentas!$A:$A,"No encontrado"))</f>
        <v>SSP Group</v>
      </c>
      <c r="R661" s="91" t="str">
        <f>TRIM(_xlfn.XLOOKUP(tblMovimientos[[#This Row],[Cuenta Bancaria]],Cuentas!$C:$C,Cuentas!$B:$B,""))</f>
        <v/>
      </c>
    </row>
    <row r="662" spans="1:18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si="5"/>
        <v>-2000</v>
      </c>
      <c r="L662" s="15" t="s">
        <v>129</v>
      </c>
      <c r="M662" s="44">
        <f>SUMIFS('Saldos Iniciales'!$D:$D,'Saldos Iniciales'!$A:$A,C662,'Saldos Iniciales'!$B:$B,D662)+SUMIFS($K$1:$K$1325,$C$1:$C$1325,C662,$D$1:$D$1325,D662,$B$1:$B$1325,"&lt;="&amp;B662)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  <c r="Q662" s="91" t="str">
        <f>IF(tblMovimientos[[#This Row],[Cuenta Bancaria]]="","",_xlfn.XLOOKUP(tblMovimientos[[#This Row],[Cuenta Bancaria]],Cuentas!$C:$C,Cuentas!$A:$A,"No encontrado"))</f>
        <v>SSP Group</v>
      </c>
      <c r="R662" s="91" t="str">
        <f>TRIM(_xlfn.XLOOKUP(tblMovimientos[[#This Row],[Cuenta Bancaria]],Cuentas!$C:$C,Cuentas!$B:$B,""))</f>
        <v/>
      </c>
    </row>
    <row r="663" spans="1:18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5"/>
        <v>-1000</v>
      </c>
      <c r="L663" s="15" t="s">
        <v>129</v>
      </c>
      <c r="M663" s="44">
        <f>SUMIFS('Saldos Iniciales'!$D:$D,'Saldos Iniciales'!$A:$A,C663,'Saldos Iniciales'!$B:$B,D663)+SUMIFS($K$1:$K$1325,$C$1:$C$1325,C663,$D$1:$D$1325,D663,$B$1:$B$1325,"&lt;="&amp;B663)</f>
        <v>5144.7699999999995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  <c r="Q663" s="91" t="str">
        <f>IF(tblMovimientos[[#This Row],[Cuenta Bancaria]]="","",_xlfn.XLOOKUP(tblMovimientos[[#This Row],[Cuenta Bancaria]],Cuentas!$C:$C,Cuentas!$A:$A,"No encontrado"))</f>
        <v>SSP Group</v>
      </c>
      <c r="R663" s="91" t="str">
        <f>TRIM(_xlfn.XLOOKUP(tblMovimientos[[#This Row],[Cuenta Bancaria]],Cuentas!$C:$C,Cuentas!$B:$B,""))</f>
        <v/>
      </c>
    </row>
    <row r="664" spans="1:18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5"/>
        <v>1000</v>
      </c>
      <c r="L664" s="15" t="s">
        <v>129</v>
      </c>
      <c r="M664" s="44">
        <f>SUMIFS('Saldos Iniciales'!$D:$D,'Saldos Iniciales'!$A:$A,C664,'Saldos Iniciales'!$B:$B,D664)+SUMIFS($K$1:$K$1325,$C$1:$C$1325,C664,$D$1:$D$1325,D664,$B$1:$B$1325,"&lt;="&amp;B664)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  <c r="Q664" s="91" t="str">
        <f>IF(tblMovimientos[[#This Row],[Cuenta Bancaria]]="","",_xlfn.XLOOKUP(tblMovimientos[[#This Row],[Cuenta Bancaria]],Cuentas!$C:$C,Cuentas!$A:$A,"No encontrado"))</f>
        <v>SSP Group</v>
      </c>
      <c r="R664" s="91" t="str">
        <f>TRIM(_xlfn.XLOOKUP(tblMovimientos[[#This Row],[Cuenta Bancaria]],Cuentas!$C:$C,Cuentas!$B:$B,""))</f>
        <v/>
      </c>
    </row>
    <row r="665" spans="1:18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5"/>
        <v>-1707.52</v>
      </c>
      <c r="L665" s="15" t="s">
        <v>129</v>
      </c>
      <c r="M665" s="44">
        <f>SUMIFS('Saldos Iniciales'!$D:$D,'Saldos Iniciales'!$A:$A,C665,'Saldos Iniciales'!$B:$B,D665)+SUMIFS($K$1:$K$1325,$C$1:$C$1325,C665,$D$1:$D$1325,D665,$B$1:$B$1325,"&lt;="&amp;B665)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  <c r="Q665" s="91" t="str">
        <f>IF(tblMovimientos[[#This Row],[Cuenta Bancaria]]="","",_xlfn.XLOOKUP(tblMovimientos[[#This Row],[Cuenta Bancaria]],Cuentas!$C:$C,Cuentas!$A:$A,"No encontrado"))</f>
        <v>SSP Group</v>
      </c>
      <c r="R665" s="91" t="str">
        <f>TRIM(_xlfn.XLOOKUP(tblMovimientos[[#This Row],[Cuenta Bancaria]],Cuentas!$C:$C,Cuentas!$B:$B,""))</f>
        <v/>
      </c>
    </row>
    <row r="666" spans="1:18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5"/>
        <v>-611.1</v>
      </c>
      <c r="L666" s="15" t="s">
        <v>129</v>
      </c>
      <c r="M666" s="44">
        <f>SUMIFS('Saldos Iniciales'!$D:$D,'Saldos Iniciales'!$A:$A,C666,'Saldos Iniciales'!$B:$B,D666)+SUMIFS($K$1:$K$1325,$C$1:$C$1325,C666,$D$1:$D$1325,D666,$B$1:$B$1325,"&lt;="&amp;B666)</f>
        <v>232864.69999999998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  <c r="Q666" s="91" t="str">
        <f>IF(tblMovimientos[[#This Row],[Cuenta Bancaria]]="","",_xlfn.XLOOKUP(tblMovimientos[[#This Row],[Cuenta Bancaria]],Cuentas!$C:$C,Cuentas!$A:$A,"No encontrado"))</f>
        <v>SSP Group</v>
      </c>
      <c r="R666" s="91" t="str">
        <f>TRIM(_xlfn.XLOOKUP(tblMovimientos[[#This Row],[Cuenta Bancaria]],Cuentas!$C:$C,Cuentas!$B:$B,""))</f>
        <v/>
      </c>
    </row>
    <row r="667" spans="1:18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>Amerant Bank Money Market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5"/>
        <v>2426.71</v>
      </c>
      <c r="L667" s="15" t="s">
        <v>129</v>
      </c>
      <c r="M667" s="44">
        <f>SUMIFS('Saldos Iniciales'!$D:$D,'Saldos Iniciales'!$A:$A,C667,'Saldos Iniciales'!$B:$B,D667)+SUMIFS($K$1:$K$1325,$C$1:$C$1325,C667,$D$1:$D$1325,D667,$B$1:$B$1325,"&lt;="&amp;B667)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  <c r="Q667" s="91" t="str">
        <f>IF(tblMovimientos[[#This Row],[Cuenta Bancaria]]="","",_xlfn.XLOOKUP(tblMovimientos[[#This Row],[Cuenta Bancaria]],Cuentas!$C:$C,Cuentas!$A:$A,"No encontrado"))</f>
        <v>SSP Group</v>
      </c>
      <c r="R667" s="91" t="str">
        <f>TRIM(_xlfn.XLOOKUP(tblMovimientos[[#This Row],[Cuenta Bancaria]],Cuentas!$C:$C,Cuentas!$B:$B,""))</f>
        <v/>
      </c>
    </row>
    <row r="668" spans="1:18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5"/>
        <v>-345943.44</v>
      </c>
      <c r="L668" s="15" t="s">
        <v>129</v>
      </c>
      <c r="M668" s="44">
        <f>SUMIFS('Saldos Iniciales'!$D:$D,'Saldos Iniciales'!$A:$A,C668,'Saldos Iniciales'!$B:$B,D668)+SUMIFS($K$1:$K$1325,$C$1:$C$1325,C668,$D$1:$D$1325,D668,$B$1:$B$1325,"&lt;="&amp;B668)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  <c r="Q668" s="91" t="str">
        <f>IF(tblMovimientos[[#This Row],[Cuenta Bancaria]]="","",_xlfn.XLOOKUP(tblMovimientos[[#This Row],[Cuenta Bancaria]],Cuentas!$C:$C,Cuentas!$A:$A,"No encontrado"))</f>
        <v>SSP Group</v>
      </c>
      <c r="R668" s="91" t="str">
        <f>TRIM(_xlfn.XLOOKUP(tblMovimientos[[#This Row],[Cuenta Bancaria]],Cuentas!$C:$C,Cuentas!$B:$B,""))</f>
        <v/>
      </c>
    </row>
    <row r="669" spans="1:18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5"/>
        <v>-29.95</v>
      </c>
      <c r="L669" s="15" t="s">
        <v>132</v>
      </c>
      <c r="M669" s="44">
        <f>SUMIFS('Saldos Iniciales'!$D:$D,'Saldos Iniciales'!$A:$A,C669,'Saldos Iniciales'!$B:$B,D669)+SUMIFS($K$1:$K$1325,$C$1:$C$1325,C669,$D$1:$D$1325,D669,$B$1:$B$1325,"&lt;="&amp;B669)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  <c r="Q669" s="91" t="str">
        <f>IF(tblMovimientos[[#This Row],[Cuenta Bancaria]]="","",_xlfn.XLOOKUP(tblMovimientos[[#This Row],[Cuenta Bancaria]],Cuentas!$C:$C,Cuentas!$A:$A,"No encontrado"))</f>
        <v>SSP Group</v>
      </c>
      <c r="R669" s="91" t="str">
        <f>TRIM(_xlfn.XLOOKUP(tblMovimientos[[#This Row],[Cuenta Bancaria]],Cuentas!$C:$C,Cuentas!$B:$B,""))</f>
        <v/>
      </c>
    </row>
    <row r="670" spans="1:18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5"/>
        <v>-29.95</v>
      </c>
      <c r="L670" s="15" t="s">
        <v>132</v>
      </c>
      <c r="M670" s="44">
        <f>SUMIFS('Saldos Iniciales'!$D:$D,'Saldos Iniciales'!$A:$A,C670,'Saldos Iniciales'!$B:$B,D670)+SUMIFS($K$1:$K$1325,$C$1:$C$1325,C670,$D$1:$D$1325,D670,$B$1:$B$1325,"&lt;="&amp;B670)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  <c r="Q670" s="91" t="str">
        <f>IF(tblMovimientos[[#This Row],[Cuenta Bancaria]]="","",_xlfn.XLOOKUP(tblMovimientos[[#This Row],[Cuenta Bancaria]],Cuentas!$C:$C,Cuentas!$A:$A,"No encontrado"))</f>
        <v>SSP Group</v>
      </c>
      <c r="R670" s="91" t="str">
        <f>TRIM(_xlfn.XLOOKUP(tblMovimientos[[#This Row],[Cuenta Bancaria]],Cuentas!$C:$C,Cuentas!$B:$B,""))</f>
        <v/>
      </c>
    </row>
    <row r="671" spans="1:18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si="5"/>
        <v>-16</v>
      </c>
      <c r="L671" s="15" t="s">
        <v>132</v>
      </c>
      <c r="M671" s="44">
        <f>SUMIFS('Saldos Iniciales'!$D:$D,'Saldos Iniciales'!$A:$A,C671,'Saldos Iniciales'!$B:$B,D671)+SUMIFS($K$1:$K$1325,$C$1:$C$1325,C671,$D$1:$D$1325,D671,$B$1:$B$1325,"&lt;="&amp;B671)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  <c r="Q671" s="91" t="str">
        <f>IF(tblMovimientos[[#This Row],[Cuenta Bancaria]]="","",_xlfn.XLOOKUP(tblMovimientos[[#This Row],[Cuenta Bancaria]],Cuentas!$C:$C,Cuentas!$A:$A,"No encontrado"))</f>
        <v>SSP Group</v>
      </c>
      <c r="R671" s="91" t="str">
        <f>TRIM(_xlfn.XLOOKUP(tblMovimientos[[#This Row],[Cuenta Bancaria]],Cuentas!$C:$C,Cuentas!$B:$B,""))</f>
        <v/>
      </c>
    </row>
    <row r="672" spans="1:18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5"/>
        <v>-8533.33</v>
      </c>
      <c r="L672" s="15" t="s">
        <v>132</v>
      </c>
      <c r="M672" s="44">
        <f>SUMIFS('Saldos Iniciales'!$D:$D,'Saldos Iniciales'!$A:$A,C672,'Saldos Iniciales'!$B:$B,D672)+SUMIFS($K$1:$K$1325,$C$1:$C$1325,C672,$D$1:$D$1325,D672,$B$1:$B$1325,"&lt;="&amp;B672)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  <c r="Q672" s="91" t="str">
        <f>IF(tblMovimientos[[#This Row],[Cuenta Bancaria]]="","",_xlfn.XLOOKUP(tblMovimientos[[#This Row],[Cuenta Bancaria]],Cuentas!$C:$C,Cuentas!$A:$A,"No encontrado"))</f>
        <v>SSP Group</v>
      </c>
      <c r="R672" s="91" t="str">
        <f>TRIM(_xlfn.XLOOKUP(tblMovimientos[[#This Row],[Cuenta Bancaria]],Cuentas!$C:$C,Cuentas!$B:$B,""))</f>
        <v/>
      </c>
    </row>
    <row r="673" spans="1:18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5"/>
        <v>-10</v>
      </c>
      <c r="L673" s="15" t="s">
        <v>132</v>
      </c>
      <c r="M673" s="44">
        <f>SUMIFS('Saldos Iniciales'!$D:$D,'Saldos Iniciales'!$A:$A,C673,'Saldos Iniciales'!$B:$B,D673)+SUMIFS($K$1:$K$1325,$C$1:$C$1325,C673,$D$1:$D$1325,D673,$B$1:$B$1325,"&lt;="&amp;B673)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  <c r="Q673" s="91" t="str">
        <f>IF(tblMovimientos[[#This Row],[Cuenta Bancaria]]="","",_xlfn.XLOOKUP(tblMovimientos[[#This Row],[Cuenta Bancaria]],Cuentas!$C:$C,Cuentas!$A:$A,"No encontrado"))</f>
        <v>SSP Group</v>
      </c>
      <c r="R673" s="91" t="str">
        <f>TRIM(_xlfn.XLOOKUP(tblMovimientos[[#This Row],[Cuenta Bancaria]],Cuentas!$C:$C,Cuentas!$B:$B,""))</f>
        <v/>
      </c>
    </row>
    <row r="674" spans="1:18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5"/>
        <v>-9798.6299999999992</v>
      </c>
      <c r="L674" s="15" t="s">
        <v>132</v>
      </c>
      <c r="M674" s="44">
        <f>SUMIFS('Saldos Iniciales'!$D:$D,'Saldos Iniciales'!$A:$A,C674,'Saldos Iniciales'!$B:$B,D674)+SUMIFS($K$1:$K$1325,$C$1:$C$1325,C674,$D$1:$D$1325,D674,$B$1:$B$1325,"&lt;="&amp;B674)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  <c r="Q674" s="91" t="str">
        <f>IF(tblMovimientos[[#This Row],[Cuenta Bancaria]]="","",_xlfn.XLOOKUP(tblMovimientos[[#This Row],[Cuenta Bancaria]],Cuentas!$C:$C,Cuentas!$A:$A,"No encontrado"))</f>
        <v>SSP Group</v>
      </c>
      <c r="R674" s="91" t="str">
        <f>TRIM(_xlfn.XLOOKUP(tblMovimientos[[#This Row],[Cuenta Bancaria]],Cuentas!$C:$C,Cuentas!$B:$B,""))</f>
        <v/>
      </c>
    </row>
    <row r="675" spans="1:18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5"/>
        <v>-1900</v>
      </c>
      <c r="L675" s="15" t="s">
        <v>132</v>
      </c>
      <c r="M675" s="44">
        <f>SUMIFS('Saldos Iniciales'!$D:$D,'Saldos Iniciales'!$A:$A,C675,'Saldos Iniciales'!$B:$B,D675)+SUMIFS($K$1:$K$1325,$C$1:$C$1325,C675,$D$1:$D$1325,D675,$B$1:$B$1325,"&lt;="&amp;B675)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  <c r="Q675" s="91" t="str">
        <f>IF(tblMovimientos[[#This Row],[Cuenta Bancaria]]="","",_xlfn.XLOOKUP(tblMovimientos[[#This Row],[Cuenta Bancaria]],Cuentas!$C:$C,Cuentas!$A:$A,"No encontrado"))</f>
        <v>SSP Group</v>
      </c>
      <c r="R675" s="91" t="str">
        <f>TRIM(_xlfn.XLOOKUP(tblMovimientos[[#This Row],[Cuenta Bancaria]],Cuentas!$C:$C,Cuentas!$B:$B,""))</f>
        <v/>
      </c>
    </row>
    <row r="676" spans="1:18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5"/>
        <v>-240</v>
      </c>
      <c r="L676" s="15" t="s">
        <v>132</v>
      </c>
      <c r="M676" s="44">
        <f>SUMIFS('Saldos Iniciales'!$D:$D,'Saldos Iniciales'!$A:$A,C676,'Saldos Iniciales'!$B:$B,D676)+SUMIFS($K$1:$K$1325,$C$1:$C$1325,C676,$D$1:$D$1325,D676,$B$1:$B$1325,"&lt;="&amp;B676)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  <c r="Q676" s="91" t="str">
        <f>IF(tblMovimientos[[#This Row],[Cuenta Bancaria]]="","",_xlfn.XLOOKUP(tblMovimientos[[#This Row],[Cuenta Bancaria]],Cuentas!$C:$C,Cuentas!$A:$A,"No encontrado"))</f>
        <v>SSP Group</v>
      </c>
      <c r="R676" s="91" t="str">
        <f>TRIM(_xlfn.XLOOKUP(tblMovimientos[[#This Row],[Cuenta Bancaria]],Cuentas!$C:$C,Cuentas!$B:$B,""))</f>
        <v/>
      </c>
    </row>
    <row r="677" spans="1:18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5"/>
        <v>-100</v>
      </c>
      <c r="L677" s="15" t="s">
        <v>132</v>
      </c>
      <c r="M677" s="44">
        <f>SUMIFS('Saldos Iniciales'!$D:$D,'Saldos Iniciales'!$A:$A,C677,'Saldos Iniciales'!$B:$B,D677)+SUMIFS($K$1:$K$1325,$C$1:$C$1325,C677,$D$1:$D$1325,D677,$B$1:$B$1325,"&lt;="&amp;B677)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  <c r="Q677" s="91" t="str">
        <f>IF(tblMovimientos[[#This Row],[Cuenta Bancaria]]="","",_xlfn.XLOOKUP(tblMovimientos[[#This Row],[Cuenta Bancaria]],Cuentas!$C:$C,Cuentas!$A:$A,"No encontrado"))</f>
        <v>SSP Group</v>
      </c>
      <c r="R677" s="91" t="str">
        <f>TRIM(_xlfn.XLOOKUP(tblMovimientos[[#This Row],[Cuenta Bancaria]],Cuentas!$C:$C,Cuentas!$B:$B,""))</f>
        <v/>
      </c>
    </row>
    <row r="678" spans="1:18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5"/>
        <v>-220</v>
      </c>
      <c r="L678" s="15" t="s">
        <v>132</v>
      </c>
      <c r="M678" s="44">
        <f>SUMIFS('Saldos Iniciales'!$D:$D,'Saldos Iniciales'!$A:$A,C678,'Saldos Iniciales'!$B:$B,D678)+SUMIFS($K$1:$K$1325,$C$1:$C$1325,C678,$D$1:$D$1325,D678,$B$1:$B$1325,"&lt;="&amp;B678)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  <c r="Q678" s="91" t="str">
        <f>IF(tblMovimientos[[#This Row],[Cuenta Bancaria]]="","",_xlfn.XLOOKUP(tblMovimientos[[#This Row],[Cuenta Bancaria]],Cuentas!$C:$C,Cuentas!$A:$A,"No encontrado"))</f>
        <v>SSP Group</v>
      </c>
      <c r="R678" s="91" t="str">
        <f>TRIM(_xlfn.XLOOKUP(tblMovimientos[[#This Row],[Cuenta Bancaria]],Cuentas!$C:$C,Cuentas!$B:$B,""))</f>
        <v/>
      </c>
    </row>
    <row r="679" spans="1:18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5"/>
        <v>-220</v>
      </c>
      <c r="L679" s="15" t="s">
        <v>132</v>
      </c>
      <c r="M679" s="44">
        <f>SUMIFS('Saldos Iniciales'!$D:$D,'Saldos Iniciales'!$A:$A,C679,'Saldos Iniciales'!$B:$B,D679)+SUMIFS($K$1:$K$1325,$C$1:$C$1325,C679,$D$1:$D$1325,D679,$B$1:$B$1325,"&lt;="&amp;B679)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  <c r="Q679" s="91" t="str">
        <f>IF(tblMovimientos[[#This Row],[Cuenta Bancaria]]="","",_xlfn.XLOOKUP(tblMovimientos[[#This Row],[Cuenta Bancaria]],Cuentas!$C:$C,Cuentas!$A:$A,"No encontrado"))</f>
        <v>SSP Group</v>
      </c>
      <c r="R679" s="91" t="str">
        <f>TRIM(_xlfn.XLOOKUP(tblMovimientos[[#This Row],[Cuenta Bancaria]],Cuentas!$C:$C,Cuentas!$B:$B,""))</f>
        <v/>
      </c>
    </row>
    <row r="680" spans="1:18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5"/>
        <v>-150</v>
      </c>
      <c r="L680" s="15" t="s">
        <v>132</v>
      </c>
      <c r="M680" s="44">
        <f>SUMIFS('Saldos Iniciales'!$D:$D,'Saldos Iniciales'!$A:$A,C680,'Saldos Iniciales'!$B:$B,D680)+SUMIFS($K$1:$K$1325,$C$1:$C$1325,C680,$D$1:$D$1325,D680,$B$1:$B$1325,"&lt;="&amp;B680)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  <c r="Q680" s="91" t="str">
        <f>IF(tblMovimientos[[#This Row],[Cuenta Bancaria]]="","",_xlfn.XLOOKUP(tblMovimientos[[#This Row],[Cuenta Bancaria]],Cuentas!$C:$C,Cuentas!$A:$A,"No encontrado"))</f>
        <v>SSP Group</v>
      </c>
      <c r="R680" s="91" t="str">
        <f>TRIM(_xlfn.XLOOKUP(tblMovimientos[[#This Row],[Cuenta Bancaria]],Cuentas!$C:$C,Cuentas!$B:$B,""))</f>
        <v/>
      </c>
    </row>
    <row r="681" spans="1:18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5"/>
        <v>-295</v>
      </c>
      <c r="L681" s="15" t="s">
        <v>132</v>
      </c>
      <c r="M681" s="44">
        <f>SUMIFS('Saldos Iniciales'!$D:$D,'Saldos Iniciales'!$A:$A,C681,'Saldos Iniciales'!$B:$B,D681)+SUMIFS($K$1:$K$1325,$C$1:$C$1325,C681,$D$1:$D$1325,D681,$B$1:$B$1325,"&lt;="&amp;B681)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  <c r="Q681" s="91" t="str">
        <f>IF(tblMovimientos[[#This Row],[Cuenta Bancaria]]="","",_xlfn.XLOOKUP(tblMovimientos[[#This Row],[Cuenta Bancaria]],Cuentas!$C:$C,Cuentas!$A:$A,"No encontrado"))</f>
        <v>SSP Group</v>
      </c>
      <c r="R681" s="91" t="str">
        <f>TRIM(_xlfn.XLOOKUP(tblMovimientos[[#This Row],[Cuenta Bancaria]],Cuentas!$C:$C,Cuentas!$B:$B,""))</f>
        <v/>
      </c>
    </row>
    <row r="682" spans="1:18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5"/>
        <v>-395</v>
      </c>
      <c r="L682" s="15" t="s">
        <v>132</v>
      </c>
      <c r="M682" s="44">
        <f>SUMIFS('Saldos Iniciales'!$D:$D,'Saldos Iniciales'!$A:$A,C682,'Saldos Iniciales'!$B:$B,D682)+SUMIFS($K$1:$K$1325,$C$1:$C$1325,C682,$D$1:$D$1325,D682,$B$1:$B$1325,"&lt;="&amp;B682)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  <c r="Q682" s="91" t="str">
        <f>IF(tblMovimientos[[#This Row],[Cuenta Bancaria]]="","",_xlfn.XLOOKUP(tblMovimientos[[#This Row],[Cuenta Bancaria]],Cuentas!$C:$C,Cuentas!$A:$A,"No encontrado"))</f>
        <v>SSP Group</v>
      </c>
      <c r="R682" s="91" t="str">
        <f>TRIM(_xlfn.XLOOKUP(tblMovimientos[[#This Row],[Cuenta Bancaria]],Cuentas!$C:$C,Cuentas!$B:$B,""))</f>
        <v/>
      </c>
    </row>
    <row r="683" spans="1:18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5"/>
        <v>-1086.42</v>
      </c>
      <c r="L683" s="15" t="s">
        <v>132</v>
      </c>
      <c r="M683" s="44">
        <f>SUMIFS('Saldos Iniciales'!$D:$D,'Saldos Iniciales'!$A:$A,C683,'Saldos Iniciales'!$B:$B,D683)+SUMIFS($K$1:$K$1325,$C$1:$C$1325,C683,$D$1:$D$1325,D683,$B$1:$B$1325,"&lt;="&amp;B683)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  <c r="Q683" s="91" t="str">
        <f>IF(tblMovimientos[[#This Row],[Cuenta Bancaria]]="","",_xlfn.XLOOKUP(tblMovimientos[[#This Row],[Cuenta Bancaria]],Cuentas!$C:$C,Cuentas!$A:$A,"No encontrado"))</f>
        <v>SSP Group</v>
      </c>
      <c r="R683" s="91" t="str">
        <f>TRIM(_xlfn.XLOOKUP(tblMovimientos[[#This Row],[Cuenta Bancaria]],Cuentas!$C:$C,Cuentas!$B:$B,""))</f>
        <v/>
      </c>
    </row>
    <row r="684" spans="1:18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5"/>
        <v>-55</v>
      </c>
      <c r="L684" s="15" t="s">
        <v>132</v>
      </c>
      <c r="M684" s="44">
        <f>SUMIFS('Saldos Iniciales'!$D:$D,'Saldos Iniciales'!$A:$A,C684,'Saldos Iniciales'!$B:$B,D684)+SUMIFS($K$1:$K$1325,$C$1:$C$1325,C684,$D$1:$D$1325,D684,$B$1:$B$1325,"&lt;="&amp;B684)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  <c r="Q684" s="91" t="str">
        <f>IF(tblMovimientos[[#This Row],[Cuenta Bancaria]]="","",_xlfn.XLOOKUP(tblMovimientos[[#This Row],[Cuenta Bancaria]],Cuentas!$C:$C,Cuentas!$A:$A,"No encontrado"))</f>
        <v>SSP Group</v>
      </c>
      <c r="R684" s="91" t="str">
        <f>TRIM(_xlfn.XLOOKUP(tblMovimientos[[#This Row],[Cuenta Bancaria]],Cuentas!$C:$C,Cuentas!$B:$B,""))</f>
        <v/>
      </c>
    </row>
    <row r="685" spans="1:18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5"/>
        <v>-3309.58</v>
      </c>
      <c r="L685" s="15" t="s">
        <v>132</v>
      </c>
      <c r="M685" s="44">
        <f>SUMIFS('Saldos Iniciales'!$D:$D,'Saldos Iniciales'!$A:$A,C685,'Saldos Iniciales'!$B:$B,D685)+SUMIFS($K$1:$K$1325,$C$1:$C$1325,C685,$D$1:$D$1325,D685,$B$1:$B$1325,"&lt;="&amp;B685)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  <c r="Q685" s="91" t="str">
        <f>IF(tblMovimientos[[#This Row],[Cuenta Bancaria]]="","",_xlfn.XLOOKUP(tblMovimientos[[#This Row],[Cuenta Bancaria]],Cuentas!$C:$C,Cuentas!$A:$A,"No encontrado"))</f>
        <v>SSP Group</v>
      </c>
      <c r="R685" s="91" t="str">
        <f>TRIM(_xlfn.XLOOKUP(tblMovimientos[[#This Row],[Cuenta Bancaria]],Cuentas!$C:$C,Cuentas!$B:$B,""))</f>
        <v/>
      </c>
    </row>
    <row r="686" spans="1:18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5"/>
        <v>-8773.0400000000009</v>
      </c>
      <c r="L686" s="15" t="s">
        <v>132</v>
      </c>
      <c r="M686" s="44">
        <f>SUMIFS('Saldos Iniciales'!$D:$D,'Saldos Iniciales'!$A:$A,C686,'Saldos Iniciales'!$B:$B,D686)+SUMIFS($K$1:$K$1325,$C$1:$C$1325,C686,$D$1:$D$1325,D686,$B$1:$B$1325,"&lt;="&amp;B686)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  <c r="Q686" s="91" t="str">
        <f>IF(tblMovimientos[[#This Row],[Cuenta Bancaria]]="","",_xlfn.XLOOKUP(tblMovimientos[[#This Row],[Cuenta Bancaria]],Cuentas!$C:$C,Cuentas!$A:$A,"No encontrado"))</f>
        <v>SSP Group</v>
      </c>
      <c r="R686" s="91" t="str">
        <f>TRIM(_xlfn.XLOOKUP(tblMovimientos[[#This Row],[Cuenta Bancaria]],Cuentas!$C:$C,Cuentas!$B:$B,""))</f>
        <v/>
      </c>
    </row>
    <row r="687" spans="1:18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5"/>
        <v>-609.70000000000005</v>
      </c>
      <c r="L687" s="15" t="s">
        <v>132</v>
      </c>
      <c r="M687" s="44">
        <f>SUMIFS('Saldos Iniciales'!$D:$D,'Saldos Iniciales'!$A:$A,C687,'Saldos Iniciales'!$B:$B,D687)+SUMIFS($K$1:$K$1325,$C$1:$C$1325,C687,$D$1:$D$1325,D687,$B$1:$B$1325,"&lt;="&amp;B687)</f>
        <v>4535.07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  <c r="Q687" s="91" t="str">
        <f>IF(tblMovimientos[[#This Row],[Cuenta Bancaria]]="","",_xlfn.XLOOKUP(tblMovimientos[[#This Row],[Cuenta Bancaria]],Cuentas!$C:$C,Cuentas!$A:$A,"No encontrado"))</f>
        <v>SSP Group</v>
      </c>
      <c r="R687" s="91" t="str">
        <f>TRIM(_xlfn.XLOOKUP(tblMovimientos[[#This Row],[Cuenta Bancaria]],Cuentas!$C:$C,Cuentas!$B:$B,""))</f>
        <v/>
      </c>
    </row>
    <row r="688" spans="1:18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5"/>
        <v>-6000</v>
      </c>
      <c r="L688" s="15" t="s">
        <v>132</v>
      </c>
      <c r="M688" s="44">
        <f>SUMIFS('Saldos Iniciales'!$D:$D,'Saldos Iniciales'!$A:$A,C688,'Saldos Iniciales'!$B:$B,D688)+SUMIFS($K$1:$K$1325,$C$1:$C$1325,C688,$D$1:$D$1325,D688,$B$1:$B$1325,"&lt;="&amp;B688)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  <c r="Q688" s="91" t="str">
        <f>IF(tblMovimientos[[#This Row],[Cuenta Bancaria]]="","",_xlfn.XLOOKUP(tblMovimientos[[#This Row],[Cuenta Bancaria]],Cuentas!$C:$C,Cuentas!$A:$A,"No encontrado"))</f>
        <v>Trust</v>
      </c>
      <c r="R688" s="91" t="str">
        <f>TRIM(_xlfn.XLOOKUP(tblMovimientos[[#This Row],[Cuenta Bancaria]],Cuentas!$C:$C,Cuentas!$B:$B,""))</f>
        <v/>
      </c>
    </row>
    <row r="689" spans="2:18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165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5"/>
        <v>-390.93</v>
      </c>
      <c r="L689" s="15" t="s">
        <v>132</v>
      </c>
      <c r="M689" s="44">
        <f>SUMIFS('Saldos Iniciales'!$D:$D,'Saldos Iniciales'!$A:$A,C689,'Saldos Iniciales'!$B:$B,D689)+SUMIFS($K$1:$K$1325,$C$1:$C$1325,C689,$D$1:$D$1325,D689,$B$1:$B$1325,"&lt;="&amp;B689)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  <c r="Q689" s="91" t="str">
        <f>IF(tblMovimientos[[#This Row],[Cuenta Bancaria]]="","",_xlfn.XLOOKUP(tblMovimientos[[#This Row],[Cuenta Bancaria]],Cuentas!$C:$C,Cuentas!$A:$A,"No encontrado"))</f>
        <v>SSP Group</v>
      </c>
      <c r="R689" s="91" t="str">
        <f>TRIM(_xlfn.XLOOKUP(tblMovimientos[[#This Row],[Cuenta Bancaria]],Cuentas!$C:$C,Cuentas!$B:$B,""))</f>
        <v/>
      </c>
    </row>
    <row r="690" spans="2:18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ref="K690:K753" si="6">IF(F690="Ingreso",J690,-J690)</f>
        <v>4000</v>
      </c>
      <c r="L690" s="15" t="s">
        <v>132</v>
      </c>
      <c r="M690" s="44">
        <f>SUMIFS('Saldos Iniciales'!$D:$D,'Saldos Iniciales'!$A:$A,C690,'Saldos Iniciales'!$B:$B,D690)+SUMIFS($K$1:$K$1325,$C$1:$C$1325,C690,$D$1:$D$1325,D690,$B$1:$B$1325,"&lt;="&amp;B690)</f>
        <v>2855.2900000000009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  <c r="Q690" s="91" t="str">
        <f>IF(tblMovimientos[[#This Row],[Cuenta Bancaria]]="","",_xlfn.XLOOKUP(tblMovimientos[[#This Row],[Cuenta Bancaria]],Cuentas!$C:$C,Cuentas!$A:$A,"No encontrado"))</f>
        <v>SSP Group</v>
      </c>
      <c r="R690" s="91" t="str">
        <f>TRIM(_xlfn.XLOOKUP(tblMovimientos[[#This Row],[Cuenta Bancaria]],Cuentas!$C:$C,Cuentas!$B:$B,""))</f>
        <v/>
      </c>
    </row>
    <row r="691" spans="2:18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6"/>
        <v>2000</v>
      </c>
      <c r="L691" s="15" t="s">
        <v>132</v>
      </c>
      <c r="M691" s="44">
        <f>SUMIFS('Saldos Iniciales'!$D:$D,'Saldos Iniciales'!$A:$A,C691,'Saldos Iniciales'!$B:$B,D691)+SUMIFS($K$1:$K$1325,$C$1:$C$1325,C691,$D$1:$D$1325,D691,$B$1:$B$1325,"&lt;="&amp;B691)</f>
        <v>2855.2900000000009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  <c r="Q691" s="91" t="str">
        <f>IF(tblMovimientos[[#This Row],[Cuenta Bancaria]]="","",_xlfn.XLOOKUP(tblMovimientos[[#This Row],[Cuenta Bancaria]],Cuentas!$C:$C,Cuentas!$A:$A,"No encontrado"))</f>
        <v>SSP Group</v>
      </c>
      <c r="R691" s="91" t="str">
        <f>TRIM(_xlfn.XLOOKUP(tblMovimientos[[#This Row],[Cuenta Bancaria]],Cuentas!$C:$C,Cuentas!$B:$B,""))</f>
        <v/>
      </c>
    </row>
    <row r="692" spans="2:18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6"/>
        <v>-7679.78</v>
      </c>
      <c r="L692" s="15" t="s">
        <v>132</v>
      </c>
      <c r="M692" s="44">
        <f>SUMIFS('Saldos Iniciales'!$D:$D,'Saldos Iniciales'!$A:$A,C692,'Saldos Iniciales'!$B:$B,D692)+SUMIFS($K$1:$K$1325,$C$1:$C$1325,C692,$D$1:$D$1325,D692,$B$1:$B$1325,"&lt;="&amp;B692)</f>
        <v>2855.2900000000009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  <c r="Q692" s="91" t="str">
        <f>IF(tblMovimientos[[#This Row],[Cuenta Bancaria]]="","",_xlfn.XLOOKUP(tblMovimientos[[#This Row],[Cuenta Bancaria]],Cuentas!$C:$C,Cuentas!$A:$A,"No encontrado"))</f>
        <v>SSP Group</v>
      </c>
      <c r="R692" s="91" t="str">
        <f>TRIM(_xlfn.XLOOKUP(tblMovimientos[[#This Row],[Cuenta Bancaria]],Cuentas!$C:$C,Cuentas!$B:$B,""))</f>
        <v/>
      </c>
    </row>
    <row r="693" spans="2:18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6"/>
        <v>-4000</v>
      </c>
      <c r="L693" s="15" t="s">
        <v>132</v>
      </c>
      <c r="M693" s="44">
        <f>SUMIFS('Saldos Iniciales'!$D:$D,'Saldos Iniciales'!$A:$A,C693,'Saldos Iniciales'!$B:$B,D693)+SUMIFS($K$1:$K$1325,$C$1:$C$1325,C693,$D$1:$D$1325,D693,$B$1:$B$1325,"&lt;="&amp;B693)</f>
        <v>1452426.0399999998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  <c r="Q693" s="91" t="str">
        <f>IF(tblMovimientos[[#This Row],[Cuenta Bancaria]]="","",_xlfn.XLOOKUP(tblMovimientos[[#This Row],[Cuenta Bancaria]],Cuentas!$C:$C,Cuentas!$A:$A,"No encontrado"))</f>
        <v>SSP Group</v>
      </c>
      <c r="R693" s="91" t="str">
        <f>TRIM(_xlfn.XLOOKUP(tblMovimientos[[#This Row],[Cuenta Bancaria]],Cuentas!$C:$C,Cuentas!$B:$B,""))</f>
        <v>Cross Security Trust</v>
      </c>
    </row>
    <row r="694" spans="2:18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6"/>
        <v>-2000</v>
      </c>
      <c r="L694" s="15" t="s">
        <v>132</v>
      </c>
      <c r="M694" s="44">
        <f>SUMIFS('Saldos Iniciales'!$D:$D,'Saldos Iniciales'!$A:$A,C694,'Saldos Iniciales'!$B:$B,D694)+SUMIFS($K$1:$K$1325,$C$1:$C$1325,C694,$D$1:$D$1325,D694,$B$1:$B$1325,"&lt;="&amp;B694)</f>
        <v>1452426.0399999998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  <c r="Q694" s="91" t="str">
        <f>IF(tblMovimientos[[#This Row],[Cuenta Bancaria]]="","",_xlfn.XLOOKUP(tblMovimientos[[#This Row],[Cuenta Bancaria]],Cuentas!$C:$C,Cuentas!$A:$A,"No encontrado"))</f>
        <v>SSP Group</v>
      </c>
      <c r="R694" s="91" t="str">
        <f>TRIM(_xlfn.XLOOKUP(tblMovimientos[[#This Row],[Cuenta Bancaria]],Cuentas!$C:$C,Cuentas!$B:$B,""))</f>
        <v>Cross Security Trust</v>
      </c>
    </row>
    <row r="695" spans="2:18" x14ac:dyDescent="0.3">
      <c r="B695" s="39">
        <v>46239</v>
      </c>
      <c r="C695" s="46" t="str">
        <f>_xlfn.XLOOKUP(tblMovimientos[[#This Row],[Cuenta Bancaria]],Listas!$B:$B,Listas!$A:$A,"")</f>
        <v>Electrama</v>
      </c>
      <c r="D695" s="41" t="s">
        <v>113</v>
      </c>
      <c r="E695" s="4" t="str">
        <f>_xlfn.XLOOKUP(tblMovimientos[[#This Row],[Cuenta Bancaria]],Listas!$B:$B,Listas!$C:$C,"")</f>
        <v>Chase Bank</v>
      </c>
      <c r="F695" s="41" t="s">
        <v>10</v>
      </c>
      <c r="G695" s="41" t="s">
        <v>44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40</v>
      </c>
      <c r="K695" s="5">
        <f t="shared" si="6"/>
        <v>-40</v>
      </c>
      <c r="L695" s="15" t="s">
        <v>132</v>
      </c>
      <c r="M695" s="44">
        <f>SUMIFS('Saldos Iniciales'!$D:$D,'Saldos Iniciales'!$A:$A,C695,'Saldos Iniciales'!$B:$B,D695)+SUMIFS($K$1:$K$1325,$C$1:$C$1325,C695,$D$1:$D$1325,D695,$B$1:$B$1325,"&lt;="&amp;B695)</f>
        <v>14540.45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40</v>
      </c>
      <c r="P695" s="28">
        <f>IF(tblMovimientos[[#This Row],[Tipo de Movimiento]]="Ingreso",tblMovimientos[[#This Row],[Ingreso]],-tblMovimientos[[#This Row],[Egreso]])</f>
        <v>-40</v>
      </c>
      <c r="Q695" s="91" t="str">
        <f>IF(tblMovimientos[[#This Row],[Cuenta Bancaria]]="","",_xlfn.XLOOKUP(tblMovimientos[[#This Row],[Cuenta Bancaria]],Cuentas!$C:$C,Cuentas!$A:$A,"No encontrado"))</f>
        <v>SSP Group</v>
      </c>
      <c r="R695" s="91" t="str">
        <f>TRIM(_xlfn.XLOOKUP(tblMovimientos[[#This Row],[Cuenta Bancaria]],Cuentas!$C:$C,Cuentas!$B:$B,""))</f>
        <v/>
      </c>
    </row>
    <row r="696" spans="2:18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85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20000</v>
      </c>
      <c r="K696" s="5">
        <f t="shared" si="6"/>
        <v>20000</v>
      </c>
      <c r="L696" s="15" t="s">
        <v>132</v>
      </c>
      <c r="M696" s="44">
        <f>SUMIFS('Saldos Iniciales'!$D:$D,'Saldos Iniciales'!$A:$A,C696,'Saldos Iniciales'!$B:$B,D696)+SUMIFS($K$1:$K$1325,$C$1:$C$1325,C696,$D$1:$D$1325,D696,$B$1:$B$1325,"&lt;="&amp;B696)</f>
        <v>32135.440000000002</v>
      </c>
      <c r="N696" s="65">
        <f>IF(tblMovimientos[[#This Row],[Tipo de Movimiento]]="Ingreso",tblMovimientos[[#This Row],[Monto (S/)]],"0")</f>
        <v>20000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20000</v>
      </c>
      <c r="Q696" s="91" t="str">
        <f>IF(tblMovimientos[[#This Row],[Cuenta Bancaria]]="","",_xlfn.XLOOKUP(tblMovimientos[[#This Row],[Cuenta Bancaria]],Cuentas!$C:$C,Cuentas!$A:$A,"No encontrado"))</f>
        <v>SSP Group</v>
      </c>
      <c r="R696" s="91" t="str">
        <f>TRIM(_xlfn.XLOOKUP(tblMovimientos[[#This Row],[Cuenta Bancaria]],Cuentas!$C:$C,Cuentas!$B:$B,""))</f>
        <v/>
      </c>
    </row>
    <row r="697" spans="2:18" x14ac:dyDescent="0.3">
      <c r="B697" s="39">
        <v>46240</v>
      </c>
      <c r="C697" s="46" t="str">
        <f>_xlfn.XLOOKUP(tblMovimientos[[#This Row],[Cuenta Bancaria]],Listas!$B:$B,Listas!$A:$A,"")</f>
        <v>SSP Capital</v>
      </c>
      <c r="D697" s="41" t="s">
        <v>101</v>
      </c>
      <c r="E697" s="4" t="str">
        <f>_xlfn.XLOOKUP(tblMovimientos[[#This Row],[Cuenta Bancaria]],Listas!$B:$B,Listas!$C:$C,"")</f>
        <v>Bank of America</v>
      </c>
      <c r="F697" s="41" t="s">
        <v>9</v>
      </c>
      <c r="G697" s="41" t="s">
        <v>69</v>
      </c>
      <c r="H697" s="4" t="str">
        <f>IFERROR(_xlfn.XLOOKUP(G697,Listas!E:E,Listas!F:F,""),"")</f>
        <v>Operativo</v>
      </c>
      <c r="I697" s="46" t="str">
        <f>IFERROR(_xlfn.XLOOKUP(G697,Listas!E:E,Listas!G:G,""),"")</f>
        <v>Interno</v>
      </c>
      <c r="J697" s="43">
        <v>9280.15</v>
      </c>
      <c r="K697" s="5">
        <f t="shared" si="6"/>
        <v>9280.15</v>
      </c>
      <c r="L697" s="15" t="s">
        <v>132</v>
      </c>
      <c r="M697" s="44">
        <f>SUMIFS('Saldos Iniciales'!$D:$D,'Saldos Iniciales'!$A:$A,C697,'Saldos Iniciales'!$B:$B,D697)+SUMIFS($K$1:$K$1325,$C$1:$C$1325,C697,$D$1:$D$1325,D697,$B$1:$B$1325,"&lt;="&amp;B697)</f>
        <v>32135.440000000002</v>
      </c>
      <c r="N697" s="65">
        <f>IF(tblMovimientos[[#This Row],[Tipo de Movimiento]]="Ingreso",tblMovimientos[[#This Row],[Monto (S/)]],"0")</f>
        <v>9280.15</v>
      </c>
      <c r="O697" s="65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9280.15</v>
      </c>
      <c r="Q697" s="91" t="str">
        <f>IF(tblMovimientos[[#This Row],[Cuenta Bancaria]]="","",_xlfn.XLOOKUP(tblMovimientos[[#This Row],[Cuenta Bancaria]],Cuentas!$C:$C,Cuentas!$A:$A,"No encontrado"))</f>
        <v>SSP Group</v>
      </c>
      <c r="R697" s="91" t="str">
        <f>TRIM(_xlfn.XLOOKUP(tblMovimientos[[#This Row],[Cuenta Bancaria]],Cuentas!$C:$C,Cuentas!$B:$B,""))</f>
        <v/>
      </c>
    </row>
    <row r="698" spans="2:18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61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60000</v>
      </c>
      <c r="K698" s="5">
        <f t="shared" si="6"/>
        <v>-60000</v>
      </c>
      <c r="L698" s="15" t="s">
        <v>132</v>
      </c>
      <c r="M698" s="44">
        <f>SUMIFS('Saldos Iniciales'!$D:$D,'Saldos Iniciales'!$A:$A,C698,'Saldos Iniciales'!$B:$B,D698)+SUMIFS($K$1:$K$1325,$C$1:$C$1325,C698,$D$1:$D$1325,D698,$B$1:$B$1325,"&lt;="&amp;B698)</f>
        <v>1349451.94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60000</v>
      </c>
      <c r="P698" s="28">
        <f>IF(tblMovimientos[[#This Row],[Tipo de Movimiento]]="Ingreso",tblMovimientos[[#This Row],[Ingreso]],-tblMovimientos[[#This Row],[Egreso]])</f>
        <v>-60000</v>
      </c>
      <c r="Q698" s="91" t="str">
        <f>IF(tblMovimientos[[#This Row],[Cuenta Bancaria]]="","",_xlfn.XLOOKUP(tblMovimientos[[#This Row],[Cuenta Bancaria]],Cuentas!$C:$C,Cuentas!$A:$A,"No encontrado"))</f>
        <v>SSP Group</v>
      </c>
      <c r="R698" s="91" t="str">
        <f>TRIM(_xlfn.XLOOKUP(tblMovimientos[[#This Row],[Cuenta Bancaria]],Cuentas!$C:$C,Cuentas!$B:$B,""))</f>
        <v>Cross Security Trust</v>
      </c>
    </row>
    <row r="699" spans="2:18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9280.15</v>
      </c>
      <c r="K699" s="5">
        <f t="shared" si="6"/>
        <v>-9280.15</v>
      </c>
      <c r="L699" s="15" t="s">
        <v>132</v>
      </c>
      <c r="M699" s="44">
        <f>SUMIFS('Saldos Iniciales'!$D:$D,'Saldos Iniciales'!$A:$A,C699,'Saldos Iniciales'!$B:$B,D699)+SUMIFS($K$1:$K$1325,$C$1:$C$1325,C699,$D$1:$D$1325,D699,$B$1:$B$1325,"&lt;="&amp;B699)</f>
        <v>1349451.94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9280.15</v>
      </c>
      <c r="P699" s="28">
        <f>IF(tblMovimientos[[#This Row],[Tipo de Movimiento]]="Ingreso",tblMovimientos[[#This Row],[Ingreso]],-tblMovimientos[[#This Row],[Egreso]])</f>
        <v>-9280.15</v>
      </c>
      <c r="Q699" s="91" t="str">
        <f>IF(tblMovimientos[[#This Row],[Cuenta Bancaria]]="","",_xlfn.XLOOKUP(tblMovimientos[[#This Row],[Cuenta Bancaria]],Cuentas!$C:$C,Cuentas!$A:$A,"No encontrado"))</f>
        <v>SSP Group</v>
      </c>
      <c r="R699" s="91" t="str">
        <f>TRIM(_xlfn.XLOOKUP(tblMovimientos[[#This Row],[Cuenta Bancaria]],Cuentas!$C:$C,Cuentas!$B:$B,""))</f>
        <v>Cross Security Trust</v>
      </c>
    </row>
    <row r="700" spans="2:18" x14ac:dyDescent="0.3">
      <c r="B700" s="39">
        <v>46240</v>
      </c>
      <c r="C700" s="46" t="str">
        <f>_xlfn.XLOOKUP(tblMovimientos[[#This Row],[Cuenta Bancaria]],Listas!$B:$B,Listas!$A:$A,"")</f>
        <v>A&amp;M Imports</v>
      </c>
      <c r="D700" s="41" t="s">
        <v>100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48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33693.949999999997</v>
      </c>
      <c r="K700" s="5">
        <f t="shared" si="6"/>
        <v>-33693.949999999997</v>
      </c>
      <c r="L700" s="15" t="s">
        <v>132</v>
      </c>
      <c r="M700" s="44">
        <f>SUMIFS('Saldos Iniciales'!$D:$D,'Saldos Iniciales'!$A:$A,C700,'Saldos Iniciales'!$B:$B,D700)+SUMIFS($K$1:$K$1325,$C$1:$C$1325,C700,$D$1:$D$1325,D700,$B$1:$B$1325,"&lt;="&amp;B700)</f>
        <v>1349451.94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33693.949999999997</v>
      </c>
      <c r="P700" s="28">
        <f>IF(tblMovimientos[[#This Row],[Tipo de Movimiento]]="Ingreso",tblMovimientos[[#This Row],[Ingreso]],-tblMovimientos[[#This Row],[Egreso]])</f>
        <v>-33693.949999999997</v>
      </c>
      <c r="Q700" s="91" t="str">
        <f>IF(tblMovimientos[[#This Row],[Cuenta Bancaria]]="","",_xlfn.XLOOKUP(tblMovimientos[[#This Row],[Cuenta Bancaria]],Cuentas!$C:$C,Cuentas!$A:$A,"No encontrado"))</f>
        <v>SSP Group</v>
      </c>
      <c r="R700" s="91" t="str">
        <f>TRIM(_xlfn.XLOOKUP(tblMovimientos[[#This Row],[Cuenta Bancaria]],Cuentas!$C:$C,Cuentas!$B:$B,""))</f>
        <v>Cross Security Trust</v>
      </c>
    </row>
    <row r="701" spans="2:18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2975</v>
      </c>
      <c r="K701" s="5">
        <f t="shared" si="6"/>
        <v>-2975</v>
      </c>
      <c r="L701" s="15" t="s">
        <v>132</v>
      </c>
      <c r="M701" s="44">
        <f>SUMIFS('Saldos Iniciales'!$D:$D,'Saldos Iniciales'!$A:$A,C701,'Saldos Iniciales'!$B:$B,D701)+SUMIFS($K$1:$K$1325,$C$1:$C$1325,C701,$D$1:$D$1325,D701,$B$1:$B$1325,"&lt;="&amp;B701)</f>
        <v>915269.68000000063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2975</v>
      </c>
      <c r="P701" s="28">
        <f>IF(tblMovimientos[[#This Row],[Tipo de Movimiento]]="Ingreso",tblMovimientos[[#This Row],[Ingreso]],-tblMovimientos[[#This Row],[Egreso]])</f>
        <v>-2975</v>
      </c>
      <c r="Q701" s="91" t="str">
        <f>IF(tblMovimientos[[#This Row],[Cuenta Bancaria]]="","",_xlfn.XLOOKUP(tblMovimientos[[#This Row],[Cuenta Bancaria]],Cuentas!$C:$C,Cuentas!$A:$A,"No encontrado"))</f>
        <v>SSP Group</v>
      </c>
      <c r="R701" s="91" t="str">
        <f>TRIM(_xlfn.XLOOKUP(tblMovimientos[[#This Row],[Cuenta Bancaria]],Cuentas!$C:$C,Cuentas!$B:$B,""))</f>
        <v/>
      </c>
    </row>
    <row r="702" spans="2:18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46</v>
      </c>
      <c r="H702" s="4" t="str">
        <f>IFERROR(_xlfn.XLOOKUP(G702,Listas!E:E,Listas!F:F,""),"")</f>
        <v>Financiamiento</v>
      </c>
      <c r="I702" s="46" t="str">
        <f>IFERROR(_xlfn.XLOOKUP(G702,Listas!E:E,Listas!G:G,""),"")</f>
        <v>Externo</v>
      </c>
      <c r="J702" s="43">
        <v>11666.67</v>
      </c>
      <c r="K702" s="5">
        <f t="shared" si="6"/>
        <v>-11666.67</v>
      </c>
      <c r="L702" s="15" t="s">
        <v>132</v>
      </c>
      <c r="M702" s="44">
        <f>SUMIFS('Saldos Iniciales'!$D:$D,'Saldos Iniciales'!$A:$A,C702,'Saldos Iniciales'!$B:$B,D702)+SUMIFS($K$1:$K$1325,$C$1:$C$1325,C702,$D$1:$D$1325,D702,$B$1:$B$1325,"&lt;="&amp;B702)</f>
        <v>915269.68000000063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11666.67</v>
      </c>
      <c r="P702" s="28">
        <f>IF(tblMovimientos[[#This Row],[Tipo de Movimiento]]="Ingreso",tblMovimientos[[#This Row],[Ingreso]],-tblMovimientos[[#This Row],[Egreso]])</f>
        <v>-11666.67</v>
      </c>
      <c r="Q702" s="91" t="str">
        <f>IF(tblMovimientos[[#This Row],[Cuenta Bancaria]]="","",_xlfn.XLOOKUP(tblMovimientos[[#This Row],[Cuenta Bancaria]],Cuentas!$C:$C,Cuentas!$A:$A,"No encontrado"))</f>
        <v>SSP Group</v>
      </c>
      <c r="R702" s="91" t="str">
        <f>TRIM(_xlfn.XLOOKUP(tblMovimientos[[#This Row],[Cuenta Bancaria]],Cuentas!$C:$C,Cuentas!$B:$B,""))</f>
        <v/>
      </c>
    </row>
    <row r="703" spans="2:18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45000</v>
      </c>
      <c r="K703" s="5">
        <f t="shared" si="6"/>
        <v>-45000</v>
      </c>
      <c r="L703" s="15" t="s">
        <v>132</v>
      </c>
      <c r="M703" s="44">
        <f>SUMIFS('Saldos Iniciales'!$D:$D,'Saldos Iniciales'!$A:$A,C703,'Saldos Iniciales'!$B:$B,D703)+SUMIFS($K$1:$K$1325,$C$1:$C$1325,C703,$D$1:$D$1325,D703,$B$1:$B$1325,"&lt;="&amp;B703)</f>
        <v>915269.68000000063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45000</v>
      </c>
      <c r="P703" s="28">
        <f>IF(tblMovimientos[[#This Row],[Tipo de Movimiento]]="Ingreso",tblMovimientos[[#This Row],[Ingreso]],-tblMovimientos[[#This Row],[Egreso]])</f>
        <v>-45000</v>
      </c>
      <c r="Q703" s="91" t="str">
        <f>IF(tblMovimientos[[#This Row],[Cuenta Bancaria]]="","",_xlfn.XLOOKUP(tblMovimientos[[#This Row],[Cuenta Bancaria]],Cuentas!$C:$C,Cuentas!$A:$A,"No encontrado"))</f>
        <v>SSP Group</v>
      </c>
      <c r="R703" s="91" t="str">
        <f>TRIM(_xlfn.XLOOKUP(tblMovimientos[[#This Row],[Cuenta Bancaria]],Cuentas!$C:$C,Cuentas!$B:$B,""))</f>
        <v/>
      </c>
    </row>
    <row r="704" spans="2:18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75000</v>
      </c>
      <c r="K704" s="5">
        <f t="shared" si="6"/>
        <v>-75000</v>
      </c>
      <c r="L704" s="15" t="s">
        <v>132</v>
      </c>
      <c r="M704" s="44">
        <f>SUMIFS('Saldos Iniciales'!$D:$D,'Saldos Iniciales'!$A:$A,C704,'Saldos Iniciales'!$B:$B,D704)+SUMIFS($K$1:$K$1325,$C$1:$C$1325,C704,$D$1:$D$1325,D704,$B$1:$B$1325,"&lt;="&amp;B704)</f>
        <v>915269.68000000063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75000</v>
      </c>
      <c r="P704" s="28">
        <f>IF(tblMovimientos[[#This Row],[Tipo de Movimiento]]="Ingreso",tblMovimientos[[#This Row],[Ingreso]],-tblMovimientos[[#This Row],[Egreso]])</f>
        <v>-75000</v>
      </c>
      <c r="Q704" s="91" t="str">
        <f>IF(tblMovimientos[[#This Row],[Cuenta Bancaria]]="","",_xlfn.XLOOKUP(tblMovimientos[[#This Row],[Cuenta Bancaria]],Cuentas!$C:$C,Cuentas!$A:$A,"No encontrado"))</f>
        <v>SSP Group</v>
      </c>
      <c r="R704" s="91" t="str">
        <f>TRIM(_xlfn.XLOOKUP(tblMovimientos[[#This Row],[Cuenta Bancaria]],Cuentas!$C:$C,Cuentas!$B:$B,""))</f>
        <v/>
      </c>
    </row>
    <row r="705" spans="2:18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80000</v>
      </c>
      <c r="K705" s="5">
        <f t="shared" si="6"/>
        <v>-80000</v>
      </c>
      <c r="L705" s="15" t="s">
        <v>132</v>
      </c>
      <c r="M705" s="44">
        <f>SUMIFS('Saldos Iniciales'!$D:$D,'Saldos Iniciales'!$A:$A,C705,'Saldos Iniciales'!$B:$B,D705)+SUMIFS($K$1:$K$1325,$C$1:$C$1325,C705,$D$1:$D$1325,D705,$B$1:$B$1325,"&lt;="&amp;B705)</f>
        <v>915269.68000000063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80000</v>
      </c>
      <c r="P705" s="28">
        <f>IF(tblMovimientos[[#This Row],[Tipo de Movimiento]]="Ingreso",tblMovimientos[[#This Row],[Ingreso]],-tblMovimientos[[#This Row],[Egreso]])</f>
        <v>-80000</v>
      </c>
      <c r="Q705" s="91" t="str">
        <f>IF(tblMovimientos[[#This Row],[Cuenta Bancaria]]="","",_xlfn.XLOOKUP(tblMovimientos[[#This Row],[Cuenta Bancaria]],Cuentas!$C:$C,Cuentas!$A:$A,"No encontrado"))</f>
        <v>SSP Group</v>
      </c>
      <c r="R705" s="91" t="str">
        <f>TRIM(_xlfn.XLOOKUP(tblMovimientos[[#This Row],[Cuenta Bancaria]],Cuentas!$C:$C,Cuentas!$B:$B,""))</f>
        <v/>
      </c>
    </row>
    <row r="706" spans="2:18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6"/>
        <v>-100000</v>
      </c>
      <c r="L706" s="15" t="s">
        <v>132</v>
      </c>
      <c r="M706" s="44">
        <f>SUMIFS('Saldos Iniciales'!$D:$D,'Saldos Iniciales'!$A:$A,C706,'Saldos Iniciales'!$B:$B,D706)+SUMIFS($K$1:$K$1325,$C$1:$C$1325,C706,$D$1:$D$1325,D706,$B$1:$B$1325,"&lt;="&amp;B706)</f>
        <v>915269.68000000063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  <c r="Q706" s="91" t="str">
        <f>IF(tblMovimientos[[#This Row],[Cuenta Bancaria]]="","",_xlfn.XLOOKUP(tblMovimientos[[#This Row],[Cuenta Bancaria]],Cuentas!$C:$C,Cuentas!$A:$A,"No encontrado"))</f>
        <v>SSP Group</v>
      </c>
      <c r="R706" s="91" t="str">
        <f>TRIM(_xlfn.XLOOKUP(tblMovimientos[[#This Row],[Cuenta Bancaria]],Cuentas!$C:$C,Cuentas!$B:$B,""))</f>
        <v/>
      </c>
    </row>
    <row r="707" spans="2:18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6"/>
        <v>-100000</v>
      </c>
      <c r="L707" s="15" t="s">
        <v>132</v>
      </c>
      <c r="M707" s="44">
        <f>SUMIFS('Saldos Iniciales'!$D:$D,'Saldos Iniciales'!$A:$A,C707,'Saldos Iniciales'!$B:$B,D707)+SUMIFS($K$1:$K$1325,$C$1:$C$1325,C707,$D$1:$D$1325,D707,$B$1:$B$1325,"&lt;="&amp;B707)</f>
        <v>915269.68000000063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  <c r="Q707" s="91" t="str">
        <f>IF(tblMovimientos[[#This Row],[Cuenta Bancaria]]="","",_xlfn.XLOOKUP(tblMovimientos[[#This Row],[Cuenta Bancaria]],Cuentas!$C:$C,Cuentas!$A:$A,"No encontrado"))</f>
        <v>SSP Group</v>
      </c>
      <c r="R707" s="91" t="str">
        <f>TRIM(_xlfn.XLOOKUP(tblMovimientos[[#This Row],[Cuenta Bancaria]],Cuentas!$C:$C,Cuentas!$B:$B,""))</f>
        <v/>
      </c>
    </row>
    <row r="708" spans="2:18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100000</v>
      </c>
      <c r="K708" s="5">
        <f t="shared" si="6"/>
        <v>-100000</v>
      </c>
      <c r="L708" s="15" t="s">
        <v>132</v>
      </c>
      <c r="M708" s="44">
        <f>SUMIFS('Saldos Iniciales'!$D:$D,'Saldos Iniciales'!$A:$A,C708,'Saldos Iniciales'!$B:$B,D708)+SUMIFS($K$1:$K$1325,$C$1:$C$1325,C708,$D$1:$D$1325,D708,$B$1:$B$1325,"&lt;="&amp;B708)</f>
        <v>915269.68000000063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100000</v>
      </c>
      <c r="P708" s="28">
        <f>IF(tblMovimientos[[#This Row],[Tipo de Movimiento]]="Ingreso",tblMovimientos[[#This Row],[Ingreso]],-tblMovimientos[[#This Row],[Egreso]])</f>
        <v>-100000</v>
      </c>
      <c r="Q708" s="91" t="str">
        <f>IF(tblMovimientos[[#This Row],[Cuenta Bancaria]]="","",_xlfn.XLOOKUP(tblMovimientos[[#This Row],[Cuenta Bancaria]],Cuentas!$C:$C,Cuentas!$A:$A,"No encontrado"))</f>
        <v>SSP Group</v>
      </c>
      <c r="R708" s="91" t="str">
        <f>TRIM(_xlfn.XLOOKUP(tblMovimientos[[#This Row],[Cuenta Bancaria]],Cuentas!$C:$C,Cuentas!$B:$B,""))</f>
        <v/>
      </c>
    </row>
    <row r="709" spans="2:18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61</v>
      </c>
      <c r="H709" s="4" t="str">
        <f>IFERROR(_xlfn.XLOOKUP(G709,Listas!E:E,Listas!F:F,""),"")</f>
        <v>Operativo</v>
      </c>
      <c r="I709" s="46" t="str">
        <f>IFERROR(_xlfn.XLOOKUP(G709,Listas!E:E,Listas!G:G,""),"")</f>
        <v>Externo</v>
      </c>
      <c r="J709" s="43">
        <v>200000</v>
      </c>
      <c r="K709" s="5">
        <f t="shared" si="6"/>
        <v>-200000</v>
      </c>
      <c r="L709" s="15" t="s">
        <v>132</v>
      </c>
      <c r="M709" s="44">
        <f>SUMIFS('Saldos Iniciales'!$D:$D,'Saldos Iniciales'!$A:$A,C709,'Saldos Iniciales'!$B:$B,D709)+SUMIFS($K$1:$K$1325,$C$1:$C$1325,C709,$D$1:$D$1325,D709,$B$1:$B$1325,"&lt;="&amp;B709)</f>
        <v>915269.68000000063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200000</v>
      </c>
      <c r="P709" s="28">
        <f>IF(tblMovimientos[[#This Row],[Tipo de Movimiento]]="Ingreso",tblMovimientos[[#This Row],[Ingreso]],-tblMovimientos[[#This Row],[Egreso]])</f>
        <v>-200000</v>
      </c>
      <c r="Q709" s="91" t="str">
        <f>IF(tblMovimientos[[#This Row],[Cuenta Bancaria]]="","",_xlfn.XLOOKUP(tblMovimientos[[#This Row],[Cuenta Bancaria]],Cuentas!$C:$C,Cuentas!$A:$A,"No encontrado"))</f>
        <v>SSP Group</v>
      </c>
      <c r="R709" s="91" t="str">
        <f>TRIM(_xlfn.XLOOKUP(tblMovimientos[[#This Row],[Cuenta Bancaria]],Cuentas!$C:$C,Cuentas!$B:$B,""))</f>
        <v/>
      </c>
    </row>
    <row r="710" spans="2:18" x14ac:dyDescent="0.3">
      <c r="B710" s="39">
        <v>46240</v>
      </c>
      <c r="C710" s="46" t="str">
        <f>_xlfn.XLOOKUP(tblMovimientos[[#This Row],[Cuenta Bancaria]],Listas!$B:$B,Listas!$A:$A,"")</f>
        <v>CFT Group</v>
      </c>
      <c r="D710" s="41" t="s">
        <v>95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50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600000</v>
      </c>
      <c r="K710" s="5">
        <f t="shared" si="6"/>
        <v>-600000</v>
      </c>
      <c r="L710" s="15" t="s">
        <v>132</v>
      </c>
      <c r="M710" s="44">
        <f>SUMIFS('Saldos Iniciales'!$D:$D,'Saldos Iniciales'!$A:$A,C710,'Saldos Iniciales'!$B:$B,D710)+SUMIFS($K$1:$K$1325,$C$1:$C$1325,C710,$D$1:$D$1325,D710,$B$1:$B$1325,"&lt;="&amp;B710)</f>
        <v>915269.68000000063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600000</v>
      </c>
      <c r="P710" s="28">
        <f>IF(tblMovimientos[[#This Row],[Tipo de Movimiento]]="Ingreso",tblMovimientos[[#This Row],[Ingreso]],-tblMovimientos[[#This Row],[Egreso]])</f>
        <v>-600000</v>
      </c>
      <c r="Q710" s="91" t="str">
        <f>IF(tblMovimientos[[#This Row],[Cuenta Bancaria]]="","",_xlfn.XLOOKUP(tblMovimientos[[#This Row],[Cuenta Bancaria]],Cuentas!$C:$C,Cuentas!$A:$A,"No encontrado"))</f>
        <v>SSP Group</v>
      </c>
      <c r="R710" s="91" t="str">
        <f>TRIM(_xlfn.XLOOKUP(tblMovimientos[[#This Row],[Cuenta Bancaria]],Cuentas!$C:$C,Cuentas!$B:$B,""))</f>
        <v/>
      </c>
    </row>
    <row r="711" spans="2:18" x14ac:dyDescent="0.3">
      <c r="B711" s="39">
        <v>46240</v>
      </c>
      <c r="C711" s="46" t="str">
        <f>_xlfn.XLOOKUP(tblMovimientos[[#This Row],[Cuenta Bancaria]],Listas!$B:$B,Listas!$A:$A,"")</f>
        <v>Cross Family Trust</v>
      </c>
      <c r="D711" s="41" t="s">
        <v>111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53</v>
      </c>
      <c r="H711" s="4" t="str">
        <f>IFERROR(_xlfn.XLOOKUP(G711,Listas!E:E,Listas!F:F,""),"")</f>
        <v>Inversion</v>
      </c>
      <c r="I711" s="46" t="str">
        <f>IFERROR(_xlfn.XLOOKUP(G711,Listas!E:E,Listas!G:G,""),"")</f>
        <v>Interno</v>
      </c>
      <c r="J711" s="43">
        <v>13000</v>
      </c>
      <c r="K711" s="5">
        <f t="shared" si="6"/>
        <v>-13000</v>
      </c>
      <c r="L711" s="15" t="s">
        <v>132</v>
      </c>
      <c r="M711" s="44">
        <f>SUMIFS('Saldos Iniciales'!$D:$D,'Saldos Iniciales'!$A:$A,C711,'Saldos Iniciales'!$B:$B,D711)+SUMIFS($K$1:$K$1325,$C$1:$C$1325,C711,$D$1:$D$1325,D711,$B$1:$B$1325,"&lt;="&amp;B711)</f>
        <v>68717.600000000006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13000</v>
      </c>
      <c r="P711" s="28">
        <f>IF(tblMovimientos[[#This Row],[Tipo de Movimiento]]="Ingreso",tblMovimientos[[#This Row],[Ingreso]],-tblMovimientos[[#This Row],[Egreso]])</f>
        <v>-13000</v>
      </c>
      <c r="Q711" s="91" t="str">
        <f>IF(tblMovimientos[[#This Row],[Cuenta Bancaria]]="","",_xlfn.XLOOKUP(tblMovimientos[[#This Row],[Cuenta Bancaria]],Cuentas!$C:$C,Cuentas!$A:$A,"No encontrado"))</f>
        <v>Trust</v>
      </c>
      <c r="R711" s="91" t="str">
        <f>TRIM(_xlfn.XLOOKUP(tblMovimientos[[#This Row],[Cuenta Bancaria]],Cuentas!$C:$C,Cuentas!$B:$B,""))</f>
        <v/>
      </c>
    </row>
    <row r="712" spans="2:18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9</v>
      </c>
      <c r="G712" s="41" t="s">
        <v>71</v>
      </c>
      <c r="H712" s="4" t="str">
        <f>IFERROR(_xlfn.XLOOKUP(G712,Listas!E:E,Listas!F:F,""),"")</f>
        <v>Operativo</v>
      </c>
      <c r="I712" s="46" t="str">
        <f>IFERROR(_xlfn.XLOOKUP(G712,Listas!E:E,Listas!G:G,""),"")</f>
        <v>Interno</v>
      </c>
      <c r="J712" s="43">
        <v>600000</v>
      </c>
      <c r="K712" s="5">
        <f t="shared" si="6"/>
        <v>600000</v>
      </c>
      <c r="L712" s="15" t="s">
        <v>132</v>
      </c>
      <c r="M712" s="44">
        <f>SUMIFS('Saldos Iniciales'!$D:$D,'Saldos Iniciales'!$A:$A,C712,'Saldos Iniciales'!$B:$B,D712)+SUMIFS($K$1:$K$1325,$C$1:$C$1325,C712,$D$1:$D$1325,D712,$B$1:$B$1325,"&lt;="&amp;B712)</f>
        <v>1249899.0099999993</v>
      </c>
      <c r="N712" s="65">
        <f>IF(tblMovimientos[[#This Row],[Tipo de Movimiento]]="Ingreso",tblMovimientos[[#This Row],[Monto (S/)]],"0")</f>
        <v>600000</v>
      </c>
      <c r="O712" s="65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600000</v>
      </c>
      <c r="Q712" s="91" t="str">
        <f>IF(tblMovimientos[[#This Row],[Cuenta Bancaria]]="","",_xlfn.XLOOKUP(tblMovimientos[[#This Row],[Cuenta Bancaria]],Cuentas!$C:$C,Cuentas!$A:$A,"No encontrado"))</f>
        <v>SSP Group</v>
      </c>
      <c r="R712" s="91" t="str">
        <f>TRIM(_xlfn.XLOOKUP(tblMovimientos[[#This Row],[Cuenta Bancaria]],Cuentas!$C:$C,Cuentas!$B:$B,""))</f>
        <v/>
      </c>
    </row>
    <row r="713" spans="2:18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385</v>
      </c>
      <c r="K713" s="5">
        <f t="shared" si="6"/>
        <v>-385</v>
      </c>
      <c r="L713" s="15" t="s">
        <v>132</v>
      </c>
      <c r="M713" s="44">
        <f>SUMIFS('Saldos Iniciales'!$D:$D,'Saldos Iniciales'!$A:$A,C713,'Saldos Iniciales'!$B:$B,D713)+SUMIFS($K$1:$K$1325,$C$1:$C$1325,C713,$D$1:$D$1325,D713,$B$1:$B$1325,"&lt;="&amp;B713)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385</v>
      </c>
      <c r="P713" s="28">
        <f>IF(tblMovimientos[[#This Row],[Tipo de Movimiento]]="Ingreso",tblMovimientos[[#This Row],[Ingreso]],-tblMovimientos[[#This Row],[Egreso]])</f>
        <v>-385</v>
      </c>
      <c r="Q713" s="91" t="str">
        <f>IF(tblMovimientos[[#This Row],[Cuenta Bancaria]]="","",_xlfn.XLOOKUP(tblMovimientos[[#This Row],[Cuenta Bancaria]],Cuentas!$C:$C,Cuentas!$A:$A,"No encontrado"))</f>
        <v>SSP Group</v>
      </c>
      <c r="R713" s="91" t="str">
        <f>TRIM(_xlfn.XLOOKUP(tblMovimientos[[#This Row],[Cuenta Bancaria]],Cuentas!$C:$C,Cuentas!$B:$B,""))</f>
        <v/>
      </c>
    </row>
    <row r="714" spans="2:18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56</v>
      </c>
      <c r="H714" s="4" t="str">
        <f>IFERROR(_xlfn.XLOOKUP(G714,Listas!E:E,Listas!F:F,""),"")</f>
        <v>Inversion</v>
      </c>
      <c r="I714" s="46" t="str">
        <f>IFERROR(_xlfn.XLOOKUP(G714,Listas!E:E,Listas!G:G,""),"")</f>
        <v>Externo</v>
      </c>
      <c r="J714" s="43">
        <v>4375</v>
      </c>
      <c r="K714" s="5">
        <f t="shared" si="6"/>
        <v>-4375</v>
      </c>
      <c r="L714" s="15" t="s">
        <v>132</v>
      </c>
      <c r="M714" s="44">
        <f>SUMIFS('Saldos Iniciales'!$D:$D,'Saldos Iniciales'!$A:$A,C714,'Saldos Iniciales'!$B:$B,D714)+SUMIFS($K$1:$K$1325,$C$1:$C$1325,C714,$D$1:$D$1325,D714,$B$1:$B$1325,"&lt;="&amp;B714)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4375</v>
      </c>
      <c r="P714" s="28">
        <f>IF(tblMovimientos[[#This Row],[Tipo de Movimiento]]="Ingreso",tblMovimientos[[#This Row],[Ingreso]],-tblMovimientos[[#This Row],[Egreso]])</f>
        <v>-4375</v>
      </c>
      <c r="Q714" s="91" t="str">
        <f>IF(tblMovimientos[[#This Row],[Cuenta Bancaria]]="","",_xlfn.XLOOKUP(tblMovimientos[[#This Row],[Cuenta Bancaria]],Cuentas!$C:$C,Cuentas!$A:$A,"No encontrado"))</f>
        <v>SSP Group</v>
      </c>
      <c r="R714" s="91" t="str">
        <f>TRIM(_xlfn.XLOOKUP(tblMovimientos[[#This Row],[Cuenta Bancaria]],Cuentas!$C:$C,Cuentas!$B:$B,""))</f>
        <v/>
      </c>
    </row>
    <row r="715" spans="2:18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38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14634</v>
      </c>
      <c r="K715" s="5">
        <f t="shared" si="6"/>
        <v>-14634</v>
      </c>
      <c r="L715" s="15" t="s">
        <v>132</v>
      </c>
      <c r="M715" s="44">
        <f>SUMIFS('Saldos Iniciales'!$D:$D,'Saldos Iniciales'!$A:$A,C715,'Saldos Iniciales'!$B:$B,D715)+SUMIFS($K$1:$K$1325,$C$1:$C$1325,C715,$D$1:$D$1325,D715,$B$1:$B$1325,"&lt;="&amp;B715)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14634</v>
      </c>
      <c r="P715" s="28">
        <f>IF(tblMovimientos[[#This Row],[Tipo de Movimiento]]="Ingreso",tblMovimientos[[#This Row],[Ingreso]],-tblMovimientos[[#This Row],[Egreso]])</f>
        <v>-14634</v>
      </c>
      <c r="Q715" s="91" t="str">
        <f>IF(tblMovimientos[[#This Row],[Cuenta Bancaria]]="","",_xlfn.XLOOKUP(tblMovimientos[[#This Row],[Cuenta Bancaria]],Cuentas!$C:$C,Cuentas!$A:$A,"No encontrado"))</f>
        <v>SSP Group</v>
      </c>
      <c r="R715" s="91" t="str">
        <f>TRIM(_xlfn.XLOOKUP(tblMovimientos[[#This Row],[Cuenta Bancaria]],Cuentas!$C:$C,Cuentas!$B:$B,""))</f>
        <v/>
      </c>
    </row>
    <row r="716" spans="2:18" x14ac:dyDescent="0.3">
      <c r="B716" s="39">
        <v>46240</v>
      </c>
      <c r="C716" s="46" t="str">
        <f>_xlfn.XLOOKUP(tblMovimientos[[#This Row],[Cuenta Bancaria]],Listas!$B:$B,Listas!$A:$A,"")</f>
        <v>SSP Capital</v>
      </c>
      <c r="D716" s="41" t="s">
        <v>104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64</v>
      </c>
      <c r="H716" s="4" t="str">
        <f>IFERROR(_xlfn.XLOOKUP(G716,Listas!E:E,Listas!F:F,""),"")</f>
        <v>Operativo</v>
      </c>
      <c r="I716" s="46" t="str">
        <f>IFERROR(_xlfn.XLOOKUP(G716,Listas!E:E,Listas!G:G,""),"")</f>
        <v>Interno</v>
      </c>
      <c r="J716" s="43">
        <v>20000</v>
      </c>
      <c r="K716" s="5">
        <f t="shared" si="6"/>
        <v>-20000</v>
      </c>
      <c r="L716" s="15" t="s">
        <v>132</v>
      </c>
      <c r="M716" s="44">
        <f>SUMIFS('Saldos Iniciales'!$D:$D,'Saldos Iniciales'!$A:$A,C716,'Saldos Iniciales'!$B:$B,D716)+SUMIFS($K$1:$K$1325,$C$1:$C$1325,C716,$D$1:$D$1325,D716,$B$1:$B$1325,"&lt;="&amp;B716)</f>
        <v>1249899.0099999993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20000</v>
      </c>
      <c r="P716" s="28">
        <f>IF(tblMovimientos[[#This Row],[Tipo de Movimiento]]="Ingreso",tblMovimientos[[#This Row],[Ingreso]],-tblMovimientos[[#This Row],[Egreso]])</f>
        <v>-20000</v>
      </c>
      <c r="Q716" s="91" t="str">
        <f>IF(tblMovimientos[[#This Row],[Cuenta Bancaria]]="","",_xlfn.XLOOKUP(tblMovimientos[[#This Row],[Cuenta Bancaria]],Cuentas!$C:$C,Cuentas!$A:$A,"No encontrado"))</f>
        <v>SSP Group</v>
      </c>
      <c r="R716" s="91" t="str">
        <f>TRIM(_xlfn.XLOOKUP(tblMovimientos[[#This Row],[Cuenta Bancaria]],Cuentas!$C:$C,Cuentas!$B:$B,""))</f>
        <v/>
      </c>
    </row>
    <row r="717" spans="2:18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6"/>
        <v>13000</v>
      </c>
      <c r="L717" s="15" t="s">
        <v>132</v>
      </c>
      <c r="M717" s="44">
        <f>SUMIFS('Saldos Iniciales'!$D:$D,'Saldos Iniciales'!$A:$A,C717,'Saldos Iniciales'!$B:$B,D717)+SUMIFS($K$1:$K$1325,$C$1:$C$1325,C717,$D$1:$D$1325,D717,$B$1:$B$1325,"&lt;="&amp;B717)</f>
        <v>345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  <c r="Q717" s="91" t="str">
        <f>IF(tblMovimientos[[#This Row],[Cuenta Bancaria]]="","",_xlfn.XLOOKUP(tblMovimientos[[#This Row],[Cuenta Bancaria]],Cuentas!$C:$C,Cuentas!$A:$A,"No encontrado"))</f>
        <v>SSP Group</v>
      </c>
      <c r="R717" s="91" t="str">
        <f>TRIM(_xlfn.XLOOKUP(tblMovimientos[[#This Row],[Cuenta Bancaria]],Cuentas!$C:$C,Cuentas!$B:$B,""))</f>
        <v/>
      </c>
    </row>
    <row r="718" spans="2:18" x14ac:dyDescent="0.3">
      <c r="B718" s="39">
        <v>46240</v>
      </c>
      <c r="C718" s="46" t="str">
        <f>_xlfn.XLOOKUP(tblMovimientos[[#This Row],[Cuenta Bancaria]],Listas!$B:$B,Listas!$A:$A,"")</f>
        <v>Green Harbor Trust</v>
      </c>
      <c r="D718" s="41" t="s">
        <v>125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52</v>
      </c>
      <c r="H718" s="4" t="str">
        <f>IFERROR(_xlfn.XLOOKUP(G718,Listas!E:E,Listas!F:F,""),"")</f>
        <v>Inversion</v>
      </c>
      <c r="I718" s="46" t="str">
        <f>IFERROR(_xlfn.XLOOKUP(G718,Listas!E:E,Listas!G:G,""),"")</f>
        <v>Externo</v>
      </c>
      <c r="J718" s="43">
        <v>13000</v>
      </c>
      <c r="K718" s="5">
        <f t="shared" si="6"/>
        <v>-13000</v>
      </c>
      <c r="L718" s="15" t="s">
        <v>132</v>
      </c>
      <c r="M718" s="44">
        <f>SUMIFS('Saldos Iniciales'!$D:$D,'Saldos Iniciales'!$A:$A,C718,'Saldos Iniciales'!$B:$B,D718)+SUMIFS($K$1:$K$1325,$C$1:$C$1325,C718,$D$1:$D$1325,D718,$B$1:$B$1325,"&lt;="&amp;B718)</f>
        <v>345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13000</v>
      </c>
      <c r="P718" s="28">
        <f>IF(tblMovimientos[[#This Row],[Tipo de Movimiento]]="Ingreso",tblMovimientos[[#This Row],[Ingreso]],-tblMovimientos[[#This Row],[Egreso]])</f>
        <v>-13000</v>
      </c>
      <c r="Q718" s="91" t="str">
        <f>IF(tblMovimientos[[#This Row],[Cuenta Bancaria]]="","",_xlfn.XLOOKUP(tblMovimientos[[#This Row],[Cuenta Bancaria]],Cuentas!$C:$C,Cuentas!$A:$A,"No encontrado"))</f>
        <v>SSP Group</v>
      </c>
      <c r="R718" s="91" t="str">
        <f>TRIM(_xlfn.XLOOKUP(tblMovimientos[[#This Row],[Cuenta Bancaria]],Cuentas!$C:$C,Cuentas!$B:$B,""))</f>
        <v/>
      </c>
    </row>
    <row r="719" spans="2:18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9</v>
      </c>
      <c r="G719" s="41" t="s">
        <v>77</v>
      </c>
      <c r="H719" s="4" t="str">
        <f>IFERROR(_xlfn.XLOOKUP(G719,Listas!E:E,Listas!F:F,""),"")</f>
        <v>Inversion</v>
      </c>
      <c r="I719" s="46" t="str">
        <f>IFERROR(_xlfn.XLOOKUP(G719,Listas!E:E,Listas!G:G,""),"")</f>
        <v>Interno</v>
      </c>
      <c r="J719" s="43">
        <v>13000</v>
      </c>
      <c r="K719" s="5">
        <f t="shared" si="6"/>
        <v>13000</v>
      </c>
      <c r="L719" s="15" t="s">
        <v>132</v>
      </c>
      <c r="M719" s="44">
        <f>SUMIFS('Saldos Iniciales'!$D:$D,'Saldos Iniciales'!$A:$A,C719,'Saldos Iniciales'!$B:$B,D719)+SUMIFS($K$1:$K$1325,$C$1:$C$1325,C719,$D$1:$D$1325,D719,$B$1:$B$1325,"&lt;="&amp;B719)</f>
        <v>10184.749999999998</v>
      </c>
      <c r="N719" s="65">
        <f>IF(tblMovimientos[[#This Row],[Tipo de Movimiento]]="Ingreso",tblMovimientos[[#This Row],[Monto (S/)]],"0")</f>
        <v>13000</v>
      </c>
      <c r="O719" s="65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13000</v>
      </c>
      <c r="Q719" s="91" t="str">
        <f>IF(tblMovimientos[[#This Row],[Cuenta Bancaria]]="","",_xlfn.XLOOKUP(tblMovimientos[[#This Row],[Cuenta Bancaria]],Cuentas!$C:$C,Cuentas!$A:$A,"No encontrado"))</f>
        <v>SSP Group</v>
      </c>
      <c r="R719" s="91" t="str">
        <f>TRIM(_xlfn.XLOOKUP(tblMovimientos[[#This Row],[Cuenta Bancaria]],Cuentas!$C:$C,Cuentas!$B:$B,""))</f>
        <v/>
      </c>
    </row>
    <row r="720" spans="2:18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6"/>
        <v>-15</v>
      </c>
      <c r="L720" s="15" t="s">
        <v>132</v>
      </c>
      <c r="M720" s="44">
        <f>SUMIFS('Saldos Iniciales'!$D:$D,'Saldos Iniciales'!$A:$A,C720,'Saldos Iniciales'!$B:$B,D720)+SUMIFS($K$1:$K$1325,$C$1:$C$1325,C720,$D$1:$D$1325,D720,$B$1:$B$1325,"&lt;="&amp;B720)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  <c r="Q720" s="91" t="str">
        <f>IF(tblMovimientos[[#This Row],[Cuenta Bancaria]]="","",_xlfn.XLOOKUP(tblMovimientos[[#This Row],[Cuenta Bancaria]],Cuentas!$C:$C,Cuentas!$A:$A,"No encontrado"))</f>
        <v>SSP Group</v>
      </c>
      <c r="R720" s="91" t="str">
        <f>TRIM(_xlfn.XLOOKUP(tblMovimientos[[#This Row],[Cuenta Bancaria]],Cuentas!$C:$C,Cuentas!$B:$B,""))</f>
        <v/>
      </c>
    </row>
    <row r="721" spans="1:18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2413.56</v>
      </c>
      <c r="K721" s="5">
        <f t="shared" si="6"/>
        <v>-2413.56</v>
      </c>
      <c r="L721" s="15" t="s">
        <v>132</v>
      </c>
      <c r="M721" s="44">
        <f>SUMIFS('Saldos Iniciales'!$D:$D,'Saldos Iniciales'!$A:$A,C721,'Saldos Iniciales'!$B:$B,D721)+SUMIFS($K$1:$K$1325,$C$1:$C$1325,C721,$D$1:$D$1325,D721,$B$1:$B$1325,"&lt;="&amp;B721)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2413.56</v>
      </c>
      <c r="P721" s="28">
        <f>IF(tblMovimientos[[#This Row],[Tipo de Movimiento]]="Ingreso",tblMovimientos[[#This Row],[Ingreso]],-tblMovimientos[[#This Row],[Egreso]])</f>
        <v>-2413.56</v>
      </c>
      <c r="Q721" s="91" t="str">
        <f>IF(tblMovimientos[[#This Row],[Cuenta Bancaria]]="","",_xlfn.XLOOKUP(tblMovimientos[[#This Row],[Cuenta Bancaria]],Cuentas!$C:$C,Cuentas!$A:$A,"No encontrado"))</f>
        <v>SSP Group</v>
      </c>
      <c r="R721" s="91" t="str">
        <f>TRIM(_xlfn.XLOOKUP(tblMovimientos[[#This Row],[Cuenta Bancaria]],Cuentas!$C:$C,Cuentas!$B:$B,""))</f>
        <v/>
      </c>
    </row>
    <row r="722" spans="1:18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6"/>
        <v>-15</v>
      </c>
      <c r="L722" s="15" t="s">
        <v>132</v>
      </c>
      <c r="M722" s="44">
        <f>SUMIFS('Saldos Iniciales'!$D:$D,'Saldos Iniciales'!$A:$A,C722,'Saldos Iniciales'!$B:$B,D722)+SUMIFS($K$1:$K$1325,$C$1:$C$1325,C722,$D$1:$D$1325,D722,$B$1:$B$1325,"&lt;="&amp;B722)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  <c r="Q722" s="91" t="str">
        <f>IF(tblMovimientos[[#This Row],[Cuenta Bancaria]]="","",_xlfn.XLOOKUP(tblMovimientos[[#This Row],[Cuenta Bancaria]],Cuentas!$C:$C,Cuentas!$A:$A,"No encontrado"))</f>
        <v>SSP Group</v>
      </c>
      <c r="R722" s="91" t="str">
        <f>TRIM(_xlfn.XLOOKUP(tblMovimientos[[#This Row],[Cuenta Bancaria]],Cuentas!$C:$C,Cuentas!$B:$B,""))</f>
        <v/>
      </c>
    </row>
    <row r="723" spans="1:18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5950.82</v>
      </c>
      <c r="K723" s="5">
        <f t="shared" si="6"/>
        <v>-5950.82</v>
      </c>
      <c r="L723" s="15" t="s">
        <v>132</v>
      </c>
      <c r="M723" s="44">
        <f>SUMIFS('Saldos Iniciales'!$D:$D,'Saldos Iniciales'!$A:$A,C723,'Saldos Iniciales'!$B:$B,D723)+SUMIFS($K$1:$K$1325,$C$1:$C$1325,C723,$D$1:$D$1325,D723,$B$1:$B$1325,"&lt;="&amp;B723)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5950.82</v>
      </c>
      <c r="P723" s="28">
        <f>IF(tblMovimientos[[#This Row],[Tipo de Movimiento]]="Ingreso",tblMovimientos[[#This Row],[Ingreso]],-tblMovimientos[[#This Row],[Egreso]])</f>
        <v>-5950.82</v>
      </c>
      <c r="Q723" s="91" t="str">
        <f>IF(tblMovimientos[[#This Row],[Cuenta Bancaria]]="","",_xlfn.XLOOKUP(tblMovimientos[[#This Row],[Cuenta Bancaria]],Cuentas!$C:$C,Cuentas!$A:$A,"No encontrado"))</f>
        <v>SSP Group</v>
      </c>
      <c r="R723" s="91" t="str">
        <f>TRIM(_xlfn.XLOOKUP(tblMovimientos[[#This Row],[Cuenta Bancaria]],Cuentas!$C:$C,Cuentas!$B:$B,""))</f>
        <v/>
      </c>
    </row>
    <row r="724" spans="1:18" x14ac:dyDescent="0.3">
      <c r="B724" s="39">
        <v>46240</v>
      </c>
      <c r="C724" s="46" t="str">
        <f>_xlfn.XLOOKUP(tblMovimientos[[#This Row],[Cuenta Bancaria]],Listas!$B:$B,Listas!$A:$A,"")</f>
        <v>Go Blue</v>
      </c>
      <c r="D724" s="41" t="s">
        <v>126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44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15</v>
      </c>
      <c r="K724" s="5">
        <f t="shared" si="6"/>
        <v>-15</v>
      </c>
      <c r="L724" s="15" t="s">
        <v>132</v>
      </c>
      <c r="M724" s="44">
        <f>SUMIFS('Saldos Iniciales'!$D:$D,'Saldos Iniciales'!$A:$A,C724,'Saldos Iniciales'!$B:$B,D724)+SUMIFS($K$1:$K$1325,$C$1:$C$1325,C724,$D$1:$D$1325,D724,$B$1:$B$1325,"&lt;="&amp;B724)</f>
        <v>10184.749999999998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15</v>
      </c>
      <c r="P724" s="28">
        <f>IF(tblMovimientos[[#This Row],[Tipo de Movimiento]]="Ingreso",tblMovimientos[[#This Row],[Ingreso]],-tblMovimientos[[#This Row],[Egreso]])</f>
        <v>-15</v>
      </c>
      <c r="Q724" s="91" t="str">
        <f>IF(tblMovimientos[[#This Row],[Cuenta Bancaria]]="","",_xlfn.XLOOKUP(tblMovimientos[[#This Row],[Cuenta Bancaria]],Cuentas!$C:$C,Cuentas!$A:$A,"No encontrado"))</f>
        <v>SSP Group</v>
      </c>
      <c r="R724" s="91" t="str">
        <f>TRIM(_xlfn.XLOOKUP(tblMovimientos[[#This Row],[Cuenta Bancaria]],Cuentas!$C:$C,Cuentas!$B:$B,""))</f>
        <v/>
      </c>
    </row>
    <row r="725" spans="1:18" x14ac:dyDescent="0.3">
      <c r="B725" s="39">
        <v>46240</v>
      </c>
      <c r="C725" s="46" t="str">
        <f>_xlfn.XLOOKUP(tblMovimientos[[#This Row],[Cuenta Bancaria]],Listas!$B:$B,Listas!$A:$A,"")</f>
        <v>Cross Security Trust</v>
      </c>
      <c r="D725" s="41" t="s">
        <v>112</v>
      </c>
      <c r="E725" s="4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22.98</v>
      </c>
      <c r="K725" s="5">
        <f t="shared" si="6"/>
        <v>-22.98</v>
      </c>
      <c r="L725" s="15" t="s">
        <v>132</v>
      </c>
      <c r="M725" s="44">
        <f>SUMIFS('Saldos Iniciales'!$D:$D,'Saldos Iniciales'!$A:$A,C725,'Saldos Iniciales'!$B:$B,D725)+SUMIFS($K$1:$K$1325,$C$1:$C$1325,C725,$D$1:$D$1325,D725,$B$1:$B$1325,"&lt;="&amp;B725)</f>
        <v>88067.39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22.98</v>
      </c>
      <c r="P725" s="28">
        <f>IF(tblMovimientos[[#This Row],[Tipo de Movimiento]]="Ingreso",tblMovimientos[[#This Row],[Ingreso]],-tblMovimientos[[#This Row],[Egreso]])</f>
        <v>-22.98</v>
      </c>
      <c r="Q725" s="91" t="str">
        <f>IF(tblMovimientos[[#This Row],[Cuenta Bancaria]]="","",_xlfn.XLOOKUP(tblMovimientos[[#This Row],[Cuenta Bancaria]],Cuentas!$C:$C,Cuentas!$A:$A,"No encontrado"))</f>
        <v>SSP Group</v>
      </c>
      <c r="R725" s="91" t="str">
        <f>TRIM(_xlfn.XLOOKUP(tblMovimientos[[#This Row],[Cuenta Bancaria]],Cuentas!$C:$C,Cuentas!$B:$B,""))</f>
        <v>Cross Security Trust</v>
      </c>
    </row>
    <row r="726" spans="1:18" x14ac:dyDescent="0.3">
      <c r="B726" s="39">
        <v>46240</v>
      </c>
      <c r="C726" s="46" t="str">
        <f>_xlfn.XLOOKUP(tblMovimientos[[#This Row],[Cuenta Bancaria]],Listas!$B:$B,Listas!$A:$A,"")</f>
        <v>Electrama</v>
      </c>
      <c r="D726" s="41" t="s">
        <v>113</v>
      </c>
      <c r="E726" s="4" t="str">
        <f>_xlfn.XLOOKUP(tblMovimientos[[#This Row],[Cuenta Bancaria]],Listas!$B:$B,Listas!$C:$C,"")</f>
        <v>Chase Bank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1270.43</v>
      </c>
      <c r="K726" s="5">
        <f t="shared" si="6"/>
        <v>-1270.43</v>
      </c>
      <c r="L726" s="15" t="s">
        <v>132</v>
      </c>
      <c r="M726" s="44">
        <f>SUMIFS('Saldos Iniciales'!$D:$D,'Saldos Iniciales'!$A:$A,C726,'Saldos Iniciales'!$B:$B,D726)+SUMIFS($K$1:$K$1325,$C$1:$C$1325,C726,$D$1:$D$1325,D726,$B$1:$B$1325,"&lt;="&amp;B726)</f>
        <v>13270.02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1270.43</v>
      </c>
      <c r="P726" s="28">
        <f>IF(tblMovimientos[[#This Row],[Tipo de Movimiento]]="Ingreso",tblMovimientos[[#This Row],[Ingreso]],-tblMovimientos[[#This Row],[Egreso]])</f>
        <v>-1270.43</v>
      </c>
      <c r="Q726" s="91" t="str">
        <f>IF(tblMovimientos[[#This Row],[Cuenta Bancaria]]="","",_xlfn.XLOOKUP(tblMovimientos[[#This Row],[Cuenta Bancaria]],Cuentas!$C:$C,Cuentas!$A:$A,"No encontrado"))</f>
        <v>SSP Group</v>
      </c>
      <c r="R726" s="91" t="str">
        <f>TRIM(_xlfn.XLOOKUP(tblMovimientos[[#This Row],[Cuenta Bancaria]],Cuentas!$C:$C,Cuentas!$B:$B,""))</f>
        <v/>
      </c>
    </row>
    <row r="727" spans="1:18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62.9</v>
      </c>
      <c r="K727" s="5">
        <f t="shared" si="6"/>
        <v>62.9</v>
      </c>
      <c r="L727" s="15" t="s">
        <v>132</v>
      </c>
      <c r="M727" s="44">
        <f>SUMIFS('Saldos Iniciales'!$D:$D,'Saldos Iniciales'!$A:$A,C727,'Saldos Iniciales'!$B:$B,D727)+SUMIFS($K$1:$K$1325,$C$1:$C$1325,C727,$D$1:$D$1325,D727,$B$1:$B$1325,"&lt;="&amp;B727)</f>
        <v>10949.219999999963</v>
      </c>
      <c r="N727" s="65">
        <f>IF(tblMovimientos[[#This Row],[Tipo de Movimiento]]="Ingreso",tblMovimientos[[#This Row],[Monto (S/)]],"0")</f>
        <v>62.9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62.9</v>
      </c>
      <c r="Q727" s="91" t="str">
        <f>IF(tblMovimientos[[#This Row],[Cuenta Bancaria]]="","",_xlfn.XLOOKUP(tblMovimientos[[#This Row],[Cuenta Bancaria]],Cuentas!$C:$C,Cuentas!$A:$A,"No encontrado"))</f>
        <v>SSP Group</v>
      </c>
      <c r="R727" s="91" t="str">
        <f>TRIM(_xlfn.XLOOKUP(tblMovimientos[[#This Row],[Cuenta Bancaria]],Cuentas!$C:$C,Cuentas!$B:$B,""))</f>
        <v/>
      </c>
    </row>
    <row r="728" spans="1:18" x14ac:dyDescent="0.3">
      <c r="B728" s="39">
        <v>46241</v>
      </c>
      <c r="C728" s="46" t="str">
        <f>_xlfn.XLOOKUP(tblMovimientos[[#This Row],[Cuenta Bancaria]],Listas!$B:$B,Listas!$A:$A,"")</f>
        <v>2515 Overbrook</v>
      </c>
      <c r="D728" s="41" t="s">
        <v>121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42.5</v>
      </c>
      <c r="K728" s="5">
        <f t="shared" si="6"/>
        <v>42.5</v>
      </c>
      <c r="L728" s="15" t="s">
        <v>132</v>
      </c>
      <c r="M728" s="44">
        <f>SUMIFS('Saldos Iniciales'!$D:$D,'Saldos Iniciales'!$A:$A,C728,'Saldos Iniciales'!$B:$B,D728)+SUMIFS($K$1:$K$1325,$C$1:$C$1325,C728,$D$1:$D$1325,D728,$B$1:$B$1325,"&lt;="&amp;B728)</f>
        <v>10949.219999999963</v>
      </c>
      <c r="N728" s="65">
        <f>IF(tblMovimientos[[#This Row],[Tipo de Movimiento]]="Ingreso",tblMovimientos[[#This Row],[Monto (S/)]],"0")</f>
        <v>42.5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42.5</v>
      </c>
      <c r="Q728" s="91" t="str">
        <f>IF(tblMovimientos[[#This Row],[Cuenta Bancaria]]="","",_xlfn.XLOOKUP(tblMovimientos[[#This Row],[Cuenta Bancaria]],Cuentas!$C:$C,Cuentas!$A:$A,"No encontrado"))</f>
        <v>SSP Group</v>
      </c>
      <c r="R728" s="91" t="str">
        <f>TRIM(_xlfn.XLOOKUP(tblMovimientos[[#This Row],[Cuenta Bancaria]],Cuentas!$C:$C,Cuentas!$B:$B,""))</f>
        <v/>
      </c>
    </row>
    <row r="729" spans="1:18" x14ac:dyDescent="0.3">
      <c r="B729" s="39">
        <v>46241</v>
      </c>
      <c r="C729" s="46" t="str">
        <f>_xlfn.XLOOKUP(tblMovimientos[[#This Row],[Cuenta Bancaria]],Listas!$B:$B,Listas!$A:$A,"")</f>
        <v>2515 Overbrook</v>
      </c>
      <c r="D729" s="41" t="s">
        <v>121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205</v>
      </c>
      <c r="K729" s="5">
        <f t="shared" si="6"/>
        <v>-205</v>
      </c>
      <c r="L729" s="15" t="s">
        <v>132</v>
      </c>
      <c r="M729" s="44">
        <f>SUMIFS('Saldos Iniciales'!$D:$D,'Saldos Iniciales'!$A:$A,C729,'Saldos Iniciales'!$B:$B,D729)+SUMIFS($K$1:$K$1325,$C$1:$C$1325,C729,$D$1:$D$1325,D729,$B$1:$B$1325,"&lt;="&amp;B729)</f>
        <v>10949.219999999963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205</v>
      </c>
      <c r="P729" s="28">
        <f>IF(tblMovimientos[[#This Row],[Tipo de Movimiento]]="Ingreso",tblMovimientos[[#This Row],[Ingreso]],-tblMovimientos[[#This Row],[Egreso]])</f>
        <v>-205</v>
      </c>
      <c r="Q729" s="91" t="str">
        <f>IF(tblMovimientos[[#This Row],[Cuenta Bancaria]]="","",_xlfn.XLOOKUP(tblMovimientos[[#This Row],[Cuenta Bancaria]],Cuentas!$C:$C,Cuentas!$A:$A,"No encontrado"))</f>
        <v>SSP Group</v>
      </c>
      <c r="R729" s="91" t="str">
        <f>TRIM(_xlfn.XLOOKUP(tblMovimientos[[#This Row],[Cuenta Bancaria]],Cuentas!$C:$C,Cuentas!$B:$B,""))</f>
        <v/>
      </c>
    </row>
    <row r="730" spans="1:18" x14ac:dyDescent="0.3">
      <c r="B730" s="39">
        <v>46241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2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2445</v>
      </c>
      <c r="K730" s="5">
        <f t="shared" si="6"/>
        <v>-2445</v>
      </c>
      <c r="L730" s="15" t="s">
        <v>132</v>
      </c>
      <c r="M730" s="44">
        <f>SUMIFS('Saldos Iniciales'!$D:$D,'Saldos Iniciales'!$A:$A,C730,'Saldos Iniciales'!$B:$B,D730)+SUMIFS($K$1:$K$1325,$C$1:$C$1325,C730,$D$1:$D$1325,D730,$B$1:$B$1325,"&lt;="&amp;B730)</f>
        <v>10949.219999999963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2445</v>
      </c>
      <c r="P730" s="28">
        <f>IF(tblMovimientos[[#This Row],[Tipo de Movimiento]]="Ingreso",tblMovimientos[[#This Row],[Ingreso]],-tblMovimientos[[#This Row],[Egreso]])</f>
        <v>-2445</v>
      </c>
      <c r="Q730" s="91" t="str">
        <f>IF(tblMovimientos[[#This Row],[Cuenta Bancaria]]="","",_xlfn.XLOOKUP(tblMovimientos[[#This Row],[Cuenta Bancaria]],Cuentas!$C:$C,Cuentas!$A:$A,"No encontrado"))</f>
        <v>SSP Group</v>
      </c>
      <c r="R730" s="91" t="str">
        <f>TRIM(_xlfn.XLOOKUP(tblMovimientos[[#This Row],[Cuenta Bancaria]],Cuentas!$C:$C,Cuentas!$B:$B,""))</f>
        <v/>
      </c>
    </row>
    <row r="731" spans="1:18" x14ac:dyDescent="0.3">
      <c r="B731" s="39">
        <v>46241</v>
      </c>
      <c r="C731" s="46" t="str">
        <f>_xlfn.XLOOKUP(tblMovimientos[[#This Row],[Cuenta Bancaria]],Listas!$B:$B,Listas!$A:$A,"")</f>
        <v>3628 Thomas Ave</v>
      </c>
      <c r="D731" s="41" t="s">
        <v>124</v>
      </c>
      <c r="E731" s="72" t="str">
        <f>_xlfn.XLOOKUP(tblMovimientos[[#This Row],[Cuenta Bancaria]],Listas!$B:$B,Listas!$C:$C,"")</f>
        <v>Bank of America</v>
      </c>
      <c r="F731" s="41" t="s">
        <v>9</v>
      </c>
      <c r="G731" s="41" t="s">
        <v>87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5000</v>
      </c>
      <c r="K731" s="5">
        <f t="shared" si="6"/>
        <v>5000</v>
      </c>
      <c r="L731" s="15" t="s">
        <v>132</v>
      </c>
      <c r="M731" s="44">
        <f>SUMIFS('Saldos Iniciales'!$D:$D,'Saldos Iniciales'!$A:$A,C731,'Saldos Iniciales'!$B:$B,D731)+SUMIFS($K$1:$K$1325,$C$1:$C$1325,C731,$D$1:$D$1325,D731,$B$1:$B$1325,"&lt;="&amp;B731)</f>
        <v>20106.099999999999</v>
      </c>
      <c r="N731" s="65">
        <f>IF(tblMovimientos[[#This Row],[Tipo de Movimiento]]="Ingreso",tblMovimientos[[#This Row],[Monto (S/)]],"0")</f>
        <v>5000</v>
      </c>
      <c r="O731" s="65" t="str">
        <f>IF(tblMovimientos[[#This Row],[Tipo de Movimiento]]="Egreso",tblMovimientos[[#This Row],[Monto (S/)]],"0")</f>
        <v>0</v>
      </c>
      <c r="P731" s="28">
        <f>IF(tblMovimientos[[#This Row],[Tipo de Movimiento]]="Ingreso",tblMovimientos[[#This Row],[Ingreso]],-tblMovimientos[[#This Row],[Egreso]])</f>
        <v>5000</v>
      </c>
      <c r="Q731" s="91" t="str">
        <f>IF(tblMovimientos[[#This Row],[Cuenta Bancaria]]="","",_xlfn.XLOOKUP(tblMovimientos[[#This Row],[Cuenta Bancaria]],Cuentas!$C:$C,Cuentas!$A:$A,"No encontrado"))</f>
        <v>SSP Group</v>
      </c>
      <c r="R731" s="91" t="str">
        <f>TRIM(_xlfn.XLOOKUP(tblMovimientos[[#This Row],[Cuenta Bancaria]],Cuentas!$C:$C,Cuentas!$B:$B,""))</f>
        <v/>
      </c>
    </row>
    <row r="732" spans="1:18" x14ac:dyDescent="0.3">
      <c r="B732" s="39">
        <v>46244</v>
      </c>
      <c r="C732" s="46" t="str">
        <f>_xlfn.XLOOKUP(tblMovimientos[[#This Row],[Cuenta Bancaria]],Listas!$B:$B,Listas!$A:$A,"")</f>
        <v>SSP Capital</v>
      </c>
      <c r="D732" s="41" t="s">
        <v>101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1291.6500000000001</v>
      </c>
      <c r="K732" s="5">
        <f t="shared" si="6"/>
        <v>-1291.6500000000001</v>
      </c>
      <c r="L732" s="15" t="s">
        <v>132</v>
      </c>
      <c r="M732" s="44">
        <f>SUMIFS('Saldos Iniciales'!$D:$D,'Saldos Iniciales'!$A:$A,C732,'Saldos Iniciales'!$B:$B,D732)+SUMIFS($K$1:$K$1325,$C$1:$C$1325,C732,$D$1:$D$1325,D732,$B$1:$B$1325,"&lt;="&amp;B732)</f>
        <v>30843.79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1291.6500000000001</v>
      </c>
      <c r="P732" s="28">
        <f>IF(tblMovimientos[[#This Row],[Tipo de Movimiento]]="Ingreso",tblMovimientos[[#This Row],[Ingreso]],-tblMovimientos[[#This Row],[Egreso]])</f>
        <v>-1291.6500000000001</v>
      </c>
      <c r="Q732" s="91" t="str">
        <f>IF(tblMovimientos[[#This Row],[Cuenta Bancaria]]="","",_xlfn.XLOOKUP(tblMovimientos[[#This Row],[Cuenta Bancaria]],Cuentas!$C:$C,Cuentas!$A:$A,"No encontrado"))</f>
        <v>SSP Group</v>
      </c>
      <c r="R732" s="91" t="str">
        <f>TRIM(_xlfn.XLOOKUP(tblMovimientos[[#This Row],[Cuenta Bancaria]],Cuentas!$C:$C,Cuentas!$B:$B,""))</f>
        <v/>
      </c>
    </row>
    <row r="733" spans="1:18" x14ac:dyDescent="0.3">
      <c r="B733" s="39">
        <v>46244</v>
      </c>
      <c r="C733" s="46" t="str">
        <f>_xlfn.XLOOKUP(tblMovimientos[[#This Row],[Cuenta Bancaria]],Listas!$B:$B,Listas!$A:$A,"")</f>
        <v>CFT Group</v>
      </c>
      <c r="D733" s="41" t="s">
        <v>94</v>
      </c>
      <c r="E733" s="72" t="str">
        <f>_xlfn.XLOOKUP(tblMovimientos[[#This Row],[Cuenta Bancaria]],Listas!$B:$B,Listas!$C:$C,"")</f>
        <v>Bank of America</v>
      </c>
      <c r="F733" s="41" t="s">
        <v>9</v>
      </c>
      <c r="G733" s="41" t="s">
        <v>69</v>
      </c>
      <c r="H733" s="4" t="str">
        <f>IFERROR(_xlfn.XLOOKUP(G733,Listas!E:E,Listas!F:F,""),"")</f>
        <v>Operativo</v>
      </c>
      <c r="I733" s="46" t="str">
        <f>IFERROR(_xlfn.XLOOKUP(G733,Listas!E:E,Listas!G:G,""),"")</f>
        <v>Interno</v>
      </c>
      <c r="J733" s="43">
        <v>106686.57</v>
      </c>
      <c r="K733" s="5">
        <f t="shared" si="6"/>
        <v>106686.57</v>
      </c>
      <c r="L733" s="15" t="s">
        <v>132</v>
      </c>
      <c r="M733" s="44">
        <f>SUMIFS('Saldos Iniciales'!$D:$D,'Saldos Iniciales'!$A:$A,C733,'Saldos Iniciales'!$B:$B,D733)+SUMIFS($K$1:$K$1325,$C$1:$C$1325,C733,$D$1:$D$1325,D733,$B$1:$B$1325,"&lt;="&amp;B733)</f>
        <v>339551.27</v>
      </c>
      <c r="N733" s="65">
        <f>IF(tblMovimientos[[#This Row],[Tipo de Movimiento]]="Ingreso",tblMovimientos[[#This Row],[Monto (S/)]],"0")</f>
        <v>106686.57</v>
      </c>
      <c r="O733" s="65" t="str">
        <f>IF(tblMovimientos[[#This Row],[Tipo de Movimiento]]="Egreso",tblMovimientos[[#This Row],[Monto (S/)]],"0")</f>
        <v>0</v>
      </c>
      <c r="P733" s="28">
        <f>IF(tblMovimientos[[#This Row],[Tipo de Movimiento]]="Ingreso",tblMovimientos[[#This Row],[Ingreso]],-tblMovimientos[[#This Row],[Egreso]])</f>
        <v>106686.57</v>
      </c>
      <c r="Q733" s="91" t="str">
        <f>IF(tblMovimientos[[#This Row],[Cuenta Bancaria]]="","",_xlfn.XLOOKUP(tblMovimientos[[#This Row],[Cuenta Bancaria]],Cuentas!$C:$C,Cuentas!$A:$A,"No encontrado"))</f>
        <v>SSP Group</v>
      </c>
      <c r="R733" s="91" t="str">
        <f>TRIM(_xlfn.XLOOKUP(tblMovimientos[[#This Row],[Cuenta Bancaria]],Cuentas!$C:$C,Cuentas!$B:$B,""))</f>
        <v/>
      </c>
    </row>
    <row r="734" spans="1:18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1050</v>
      </c>
      <c r="K734" s="5">
        <f t="shared" si="6"/>
        <v>-1050</v>
      </c>
      <c r="L734" s="15" t="s">
        <v>132</v>
      </c>
      <c r="M734" s="44">
        <f>SUMIFS('Saldos Iniciales'!$D:$D,'Saldos Iniciales'!$A:$A,C734,'Saldos Iniciales'!$B:$B,D734)+SUMIFS($K$1:$K$1325,$C$1:$C$1325,C734,$D$1:$D$1325,D734,$B$1:$B$1325,"&lt;="&amp;B734)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1050</v>
      </c>
      <c r="P734" s="28">
        <f>IF(tblMovimientos[[#This Row],[Tipo de Movimiento]]="Ingreso",tblMovimientos[[#This Row],[Ingreso]],-tblMovimientos[[#This Row],[Egreso]])</f>
        <v>-1050</v>
      </c>
      <c r="Q734" s="91" t="str">
        <f>IF(tblMovimientos[[#This Row],[Cuenta Bancaria]]="","",_xlfn.XLOOKUP(tblMovimientos[[#This Row],[Cuenta Bancaria]],Cuentas!$C:$C,Cuentas!$A:$A,"No encontrado"))</f>
        <v>SSP Group</v>
      </c>
      <c r="R734" s="91" t="str">
        <f>TRIM(_xlfn.XLOOKUP(tblMovimientos[[#This Row],[Cuenta Bancaria]],Cuentas!$C:$C,Cuentas!$B:$B,""))</f>
        <v/>
      </c>
    </row>
    <row r="735" spans="1:18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92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1971.27</v>
      </c>
      <c r="K735" s="5">
        <f t="shared" si="6"/>
        <v>-1971.27</v>
      </c>
      <c r="L735" s="15" t="s">
        <v>132</v>
      </c>
      <c r="M735" s="44">
        <f>SUMIFS('Saldos Iniciales'!$D:$D,'Saldos Iniciales'!$A:$A,C735,'Saldos Iniciales'!$B:$B,D735)+SUMIFS($K$1:$K$1325,$C$1:$C$1325,C735,$D$1:$D$1325,D735,$B$1:$B$1325,"&lt;="&amp;B735)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1971.27</v>
      </c>
      <c r="P735" s="28">
        <f>IF(tblMovimientos[[#This Row],[Tipo de Movimiento]]="Ingreso",tblMovimientos[[#This Row],[Ingreso]],-tblMovimientos[[#This Row],[Egreso]])</f>
        <v>-1971.27</v>
      </c>
      <c r="Q735" s="91" t="str">
        <f>IF(tblMovimientos[[#This Row],[Cuenta Bancaria]]="","",_xlfn.XLOOKUP(tblMovimientos[[#This Row],[Cuenta Bancaria]],Cuentas!$C:$C,Cuentas!$A:$A,"No encontrado"))</f>
        <v>SSP Group</v>
      </c>
      <c r="R735" s="91" t="str">
        <f>TRIM(_xlfn.XLOOKUP(tblMovimientos[[#This Row],[Cuenta Bancaria]],Cuentas!$C:$C,Cuentas!$B:$B,""))</f>
        <v/>
      </c>
    </row>
    <row r="736" spans="1:18" x14ac:dyDescent="0.3">
      <c r="B736" s="39">
        <v>46244</v>
      </c>
      <c r="C736" s="46" t="str">
        <f>_xlfn.XLOOKUP(tblMovimientos[[#This Row],[Cuenta Bancaria]],Listas!$B:$B,Listas!$A:$A,"")</f>
        <v>2515 Overbrook</v>
      </c>
      <c r="D736" s="41" t="s">
        <v>121</v>
      </c>
      <c r="E736" s="72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500</v>
      </c>
      <c r="K736" s="5">
        <f t="shared" si="6"/>
        <v>-500</v>
      </c>
      <c r="L736" s="15" t="s">
        <v>132</v>
      </c>
      <c r="M736" s="44">
        <f>SUMIFS('Saldos Iniciales'!$D:$D,'Saldos Iniciales'!$A:$A,C736,'Saldos Iniciales'!$B:$B,D736)+SUMIFS($K$1:$K$1325,$C$1:$C$1325,C736,$D$1:$D$1325,D736,$B$1:$B$1325,"&lt;="&amp;B736)</f>
        <v>3390.2899999999645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500</v>
      </c>
      <c r="P736" s="28">
        <f>IF(tblMovimientos[[#This Row],[Tipo de Movimiento]]="Ingreso",tblMovimientos[[#This Row],[Ingreso]],-tblMovimientos[[#This Row],[Egreso]])</f>
        <v>-500</v>
      </c>
      <c r="Q736" s="91" t="str">
        <f>IF(tblMovimientos[[#This Row],[Cuenta Bancaria]]="","",_xlfn.XLOOKUP(tblMovimientos[[#This Row],[Cuenta Bancaria]],Cuentas!$C:$C,Cuentas!$A:$A,"No encontrado"))</f>
        <v>SSP Group</v>
      </c>
      <c r="R736" s="91" t="str">
        <f>TRIM(_xlfn.XLOOKUP(tblMovimientos[[#This Row],[Cuenta Bancaria]],Cuentas!$C:$C,Cuentas!$B:$B,""))</f>
        <v/>
      </c>
    </row>
    <row r="737" spans="2:18" x14ac:dyDescent="0.3">
      <c r="B737" s="39">
        <v>46244</v>
      </c>
      <c r="C737" s="46" t="str">
        <f>_xlfn.XLOOKUP(tblMovimientos[[#This Row],[Cuenta Bancaria]],Listas!$B:$B,Listas!$A:$A,"")</f>
        <v>2515 Overbrook</v>
      </c>
      <c r="D737" s="41" t="s">
        <v>121</v>
      </c>
      <c r="E737" s="72" t="str">
        <f>_xlfn.XLOOKUP(tblMovimientos[[#This Row],[Cuenta Bancaria]],Listas!$B:$B,Listas!$C:$C,"")</f>
        <v>Bank of America</v>
      </c>
      <c r="F737" s="41" t="s">
        <v>10</v>
      </c>
      <c r="G737" s="41" t="s">
        <v>38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2625</v>
      </c>
      <c r="K737" s="5">
        <f t="shared" si="6"/>
        <v>-2625</v>
      </c>
      <c r="L737" s="15" t="s">
        <v>132</v>
      </c>
      <c r="M737" s="44">
        <f>SUMIFS('Saldos Iniciales'!$D:$D,'Saldos Iniciales'!$A:$A,C737,'Saldos Iniciales'!$B:$B,D737)+SUMIFS($K$1:$K$1325,$C$1:$C$1325,C737,$D$1:$D$1325,D737,$B$1:$B$1325,"&lt;="&amp;B737)</f>
        <v>3390.2899999999645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2625</v>
      </c>
      <c r="P737" s="28">
        <f>IF(tblMovimientos[[#This Row],[Tipo de Movimiento]]="Ingreso",tblMovimientos[[#This Row],[Ingreso]],-tblMovimientos[[#This Row],[Egreso]])</f>
        <v>-2625</v>
      </c>
      <c r="Q737" s="91" t="str">
        <f>IF(tblMovimientos[[#This Row],[Cuenta Bancaria]]="","",_xlfn.XLOOKUP(tblMovimientos[[#This Row],[Cuenta Bancaria]],Cuentas!$C:$C,Cuentas!$A:$A,"No encontrado"))</f>
        <v>SSP Group</v>
      </c>
      <c r="R737" s="91" t="str">
        <f>TRIM(_xlfn.XLOOKUP(tblMovimientos[[#This Row],[Cuenta Bancaria]],Cuentas!$C:$C,Cuentas!$B:$B,""))</f>
        <v/>
      </c>
    </row>
    <row r="738" spans="2:18" x14ac:dyDescent="0.3">
      <c r="B738" s="39">
        <v>46244</v>
      </c>
      <c r="C738" s="46" t="str">
        <f>_xlfn.XLOOKUP(tblMovimientos[[#This Row],[Cuenta Bancaria]],Listas!$B:$B,Listas!$A:$A,"")</f>
        <v>2515 Overbrook</v>
      </c>
      <c r="D738" s="41" t="s">
        <v>121</v>
      </c>
      <c r="E738" s="72" t="str">
        <f>_xlfn.XLOOKUP(tblMovimientos[[#This Row],[Cuenta Bancaria]],Listas!$B:$B,Listas!$C:$C,"")</f>
        <v>Bank of America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1412.66</v>
      </c>
      <c r="K738" s="5">
        <f t="shared" si="6"/>
        <v>-1412.66</v>
      </c>
      <c r="L738" s="15" t="s">
        <v>132</v>
      </c>
      <c r="M738" s="44">
        <f>SUMIFS('Saldos Iniciales'!$D:$D,'Saldos Iniciales'!$A:$A,C738,'Saldos Iniciales'!$B:$B,D738)+SUMIFS($K$1:$K$1325,$C$1:$C$1325,C738,$D$1:$D$1325,D738,$B$1:$B$1325,"&lt;="&amp;B738)</f>
        <v>3390.2899999999645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1412.66</v>
      </c>
      <c r="P738" s="28">
        <f>IF(tblMovimientos[[#This Row],[Tipo de Movimiento]]="Ingreso",tblMovimientos[[#This Row],[Ingreso]],-tblMovimientos[[#This Row],[Egreso]])</f>
        <v>-1412.66</v>
      </c>
      <c r="Q738" s="91" t="str">
        <f>IF(tblMovimientos[[#This Row],[Cuenta Bancaria]]="","",_xlfn.XLOOKUP(tblMovimientos[[#This Row],[Cuenta Bancaria]],Cuentas!$C:$C,Cuentas!$A:$A,"No encontrado"))</f>
        <v>SSP Group</v>
      </c>
      <c r="R738" s="91" t="str">
        <f>TRIM(_xlfn.XLOOKUP(tblMovimientos[[#This Row],[Cuenta Bancaria]],Cuentas!$C:$C,Cuentas!$B:$B,""))</f>
        <v/>
      </c>
    </row>
    <row r="739" spans="2:18" x14ac:dyDescent="0.3">
      <c r="B739" s="39">
        <v>46244</v>
      </c>
      <c r="C739" s="46" t="str">
        <f>_xlfn.XLOOKUP(tblMovimientos[[#This Row],[Cuenta Bancaria]],Listas!$B:$B,Listas!$A:$A,"")</f>
        <v>SSP Capital</v>
      </c>
      <c r="D739" s="41" t="s">
        <v>104</v>
      </c>
      <c r="E739" s="72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44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1980.24</v>
      </c>
      <c r="K739" s="5">
        <f t="shared" si="6"/>
        <v>-1980.24</v>
      </c>
      <c r="L739" s="15" t="s">
        <v>132</v>
      </c>
      <c r="M739" s="44">
        <f>SUMIFS('Saldos Iniciales'!$D:$D,'Saldos Iniciales'!$A:$A,C739,'Saldos Iniciales'!$B:$B,D739)+SUMIFS($K$1:$K$1325,$C$1:$C$1325,C739,$D$1:$D$1325,D739,$B$1:$B$1325,"&lt;="&amp;B739)</f>
        <v>1247918.7699999993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1980.24</v>
      </c>
      <c r="P739" s="28">
        <f>IF(tblMovimientos[[#This Row],[Tipo de Movimiento]]="Ingreso",tblMovimientos[[#This Row],[Ingreso]],-tblMovimientos[[#This Row],[Egreso]])</f>
        <v>-1980.24</v>
      </c>
      <c r="Q739" s="91" t="str">
        <f>IF(tblMovimientos[[#This Row],[Cuenta Bancaria]]="","",_xlfn.XLOOKUP(tblMovimientos[[#This Row],[Cuenta Bancaria]],Cuentas!$C:$C,Cuentas!$A:$A,"No encontrado"))</f>
        <v>SSP Group</v>
      </c>
      <c r="R739" s="91" t="str">
        <f>TRIM(_xlfn.XLOOKUP(tblMovimientos[[#This Row],[Cuenta Bancaria]],Cuentas!$C:$C,Cuentas!$B:$B,""))</f>
        <v/>
      </c>
    </row>
    <row r="740" spans="2:18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25572.5</v>
      </c>
      <c r="K740" s="5">
        <f t="shared" si="6"/>
        <v>-25572.5</v>
      </c>
      <c r="L740" s="15" t="s">
        <v>132</v>
      </c>
      <c r="M740" s="44">
        <f>SUMIFS('Saldos Iniciales'!$D:$D,'Saldos Iniciales'!$A:$A,C740,'Saldos Iniciales'!$B:$B,D740)+SUMIFS($K$1:$K$1325,$C$1:$C$1325,C740,$D$1:$D$1325,D740,$B$1:$B$1325,"&lt;="&amp;B740)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25572.5</v>
      </c>
      <c r="P740" s="28">
        <f>IF(tblMovimientos[[#This Row],[Tipo de Movimiento]]="Ingreso",tblMovimientos[[#This Row],[Ingreso]],-tblMovimientos[[#This Row],[Egreso]])</f>
        <v>-25572.5</v>
      </c>
      <c r="Q740" s="91" t="str">
        <f>IF(tblMovimientos[[#This Row],[Cuenta Bancaria]]="","",_xlfn.XLOOKUP(tblMovimientos[[#This Row],[Cuenta Bancaria]],Cuentas!$C:$C,Cuentas!$A:$A,"No encontrado"))</f>
        <v>SSP Group</v>
      </c>
      <c r="R740" s="91" t="str">
        <f>TRIM(_xlfn.XLOOKUP(tblMovimientos[[#This Row],[Cuenta Bancaria]],Cuentas!$C:$C,Cuentas!$B:$B,""))</f>
        <v/>
      </c>
    </row>
    <row r="741" spans="2:18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29322.5</v>
      </c>
      <c r="K741" s="5">
        <f t="shared" si="6"/>
        <v>-29322.5</v>
      </c>
      <c r="L741" s="15" t="s">
        <v>132</v>
      </c>
      <c r="M741" s="44">
        <f>SUMIFS('Saldos Iniciales'!$D:$D,'Saldos Iniciales'!$A:$A,C741,'Saldos Iniciales'!$B:$B,D741)+SUMIFS($K$1:$K$1325,$C$1:$C$1325,C741,$D$1:$D$1325,D741,$B$1:$B$1325,"&lt;="&amp;B741)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29322.5</v>
      </c>
      <c r="P741" s="28">
        <f>IF(tblMovimientos[[#This Row],[Tipo de Movimiento]]="Ingreso",tblMovimientos[[#This Row],[Ingreso]],-tblMovimientos[[#This Row],[Egreso]])</f>
        <v>-29322.5</v>
      </c>
      <c r="Q741" s="91" t="str">
        <f>IF(tblMovimientos[[#This Row],[Cuenta Bancaria]]="","",_xlfn.XLOOKUP(tblMovimientos[[#This Row],[Cuenta Bancaria]],Cuentas!$C:$C,Cuentas!$A:$A,"No encontrado"))</f>
        <v>SSP Group</v>
      </c>
      <c r="R741" s="91" t="str">
        <f>TRIM(_xlfn.XLOOKUP(tblMovimientos[[#This Row],[Cuenta Bancaria]],Cuentas!$C:$C,Cuentas!$B:$B,""))</f>
        <v/>
      </c>
    </row>
    <row r="742" spans="2:18" x14ac:dyDescent="0.3">
      <c r="B742" s="39">
        <v>46245</v>
      </c>
      <c r="C742" s="46" t="str">
        <f>_xlfn.XLOOKUP(tblMovimientos[[#This Row],[Cuenta Bancaria]],Listas!$B:$B,Listas!$A:$A,"")</f>
        <v>SSP Capital</v>
      </c>
      <c r="D742" s="41" t="s">
        <v>104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46</v>
      </c>
      <c r="H742" s="4" t="str">
        <f>IFERROR(_xlfn.XLOOKUP(G742,Listas!E:E,Listas!F:F,""),"")</f>
        <v>Financiamiento</v>
      </c>
      <c r="I742" s="46" t="str">
        <f>IFERROR(_xlfn.XLOOKUP(G742,Listas!E:E,Listas!G:G,""),"")</f>
        <v>Externo</v>
      </c>
      <c r="J742" s="43">
        <v>92917.72</v>
      </c>
      <c r="K742" s="5">
        <f t="shared" si="6"/>
        <v>-92917.72</v>
      </c>
      <c r="L742" s="15" t="s">
        <v>132</v>
      </c>
      <c r="M742" s="44">
        <f>SUMIFS('Saldos Iniciales'!$D:$D,'Saldos Iniciales'!$A:$A,C742,'Saldos Iniciales'!$B:$B,D742)+SUMIFS($K$1:$K$1325,$C$1:$C$1325,C742,$D$1:$D$1325,D742,$B$1:$B$1325,"&lt;="&amp;B742)</f>
        <v>772037.68999999936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92917.72</v>
      </c>
      <c r="P742" s="28">
        <f>IF(tblMovimientos[[#This Row],[Tipo de Movimiento]]="Ingreso",tblMovimientos[[#This Row],[Ingreso]],-tblMovimientos[[#This Row],[Egreso]])</f>
        <v>-92917.72</v>
      </c>
      <c r="Q742" s="91" t="str">
        <f>IF(tblMovimientos[[#This Row],[Cuenta Bancaria]]="","",_xlfn.XLOOKUP(tblMovimientos[[#This Row],[Cuenta Bancaria]],Cuentas!$C:$C,Cuentas!$A:$A,"No encontrado"))</f>
        <v>SSP Group</v>
      </c>
      <c r="R742" s="91" t="str">
        <f>TRIM(_xlfn.XLOOKUP(tblMovimientos[[#This Row],[Cuenta Bancaria]],Cuentas!$C:$C,Cuentas!$B:$B,""))</f>
        <v/>
      </c>
    </row>
    <row r="743" spans="2:18" x14ac:dyDescent="0.3">
      <c r="B743" s="39">
        <v>46245</v>
      </c>
      <c r="C743" s="46" t="str">
        <f>_xlfn.XLOOKUP(tblMovimientos[[#This Row],[Cuenta Bancaria]],Listas!$B:$B,Listas!$A:$A,"")</f>
        <v>SSP Capital</v>
      </c>
      <c r="D743" s="41" t="s">
        <v>104</v>
      </c>
      <c r="E743" s="4" t="str">
        <f>_xlfn.XLOOKUP(tblMovimientos[[#This Row],[Cuenta Bancaria]],Listas!$B:$B,Listas!$C:$C,"")</f>
        <v xml:space="preserve">Amerant Bank </v>
      </c>
      <c r="F743" s="41" t="s">
        <v>10</v>
      </c>
      <c r="G743" s="41" t="s">
        <v>46</v>
      </c>
      <c r="H743" s="4" t="str">
        <f>IFERROR(_xlfn.XLOOKUP(G743,Listas!E:E,Listas!F:F,""),"")</f>
        <v>Financiamiento</v>
      </c>
      <c r="I743" s="46" t="str">
        <f>IFERROR(_xlfn.XLOOKUP(G743,Listas!E:E,Listas!G:G,""),"")</f>
        <v>Externo</v>
      </c>
      <c r="J743" s="43">
        <v>97296.25</v>
      </c>
      <c r="K743" s="5">
        <f t="shared" si="6"/>
        <v>-97296.25</v>
      </c>
      <c r="L743" s="15" t="s">
        <v>132</v>
      </c>
      <c r="M743" s="44">
        <f>SUMIFS('Saldos Iniciales'!$D:$D,'Saldos Iniciales'!$A:$A,C743,'Saldos Iniciales'!$B:$B,D743)+SUMIFS($K$1:$K$1325,$C$1:$C$1325,C743,$D$1:$D$1325,D743,$B$1:$B$1325,"&lt;="&amp;B743)</f>
        <v>772037.68999999936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97296.25</v>
      </c>
      <c r="P743" s="28">
        <f>IF(tblMovimientos[[#This Row],[Tipo de Movimiento]]="Ingreso",tblMovimientos[[#This Row],[Ingreso]],-tblMovimientos[[#This Row],[Egreso]])</f>
        <v>-97296.25</v>
      </c>
      <c r="Q743" s="91" t="str">
        <f>IF(tblMovimientos[[#This Row],[Cuenta Bancaria]]="","",_xlfn.XLOOKUP(tblMovimientos[[#This Row],[Cuenta Bancaria]],Cuentas!$C:$C,Cuentas!$A:$A,"No encontrado"))</f>
        <v>SSP Group</v>
      </c>
      <c r="R743" s="91" t="str">
        <f>TRIM(_xlfn.XLOOKUP(tblMovimientos[[#This Row],[Cuenta Bancaria]],Cuentas!$C:$C,Cuentas!$B:$B,""))</f>
        <v/>
      </c>
    </row>
    <row r="744" spans="2:18" x14ac:dyDescent="0.3">
      <c r="B744" s="39">
        <v>46245</v>
      </c>
      <c r="C744" s="46" t="str">
        <f>_xlfn.XLOOKUP(tblMovimientos[[#This Row],[Cuenta Bancaria]],Listas!$B:$B,Listas!$A:$A,"")</f>
        <v>SSP Capital</v>
      </c>
      <c r="D744" s="41" t="s">
        <v>104</v>
      </c>
      <c r="E744" s="4" t="str">
        <f>_xlfn.XLOOKUP(tblMovimientos[[#This Row],[Cuenta Bancaria]],Listas!$B:$B,Listas!$C:$C,"")</f>
        <v xml:space="preserve">Amerant Bank </v>
      </c>
      <c r="F744" s="41" t="s">
        <v>10</v>
      </c>
      <c r="G744" s="41" t="s">
        <v>46</v>
      </c>
      <c r="H744" s="4" t="str">
        <f>IFERROR(_xlfn.XLOOKUP(G744,Listas!E:E,Listas!F:F,""),"")</f>
        <v>Financiamiento</v>
      </c>
      <c r="I744" s="46" t="str">
        <f>IFERROR(_xlfn.XLOOKUP(G744,Listas!E:E,Listas!G:G,""),"")</f>
        <v>Externo</v>
      </c>
      <c r="J744" s="43">
        <v>230772.11</v>
      </c>
      <c r="K744" s="5">
        <f t="shared" si="6"/>
        <v>-230772.11</v>
      </c>
      <c r="L744" s="15" t="s">
        <v>132</v>
      </c>
      <c r="M744" s="44">
        <f>SUMIFS('Saldos Iniciales'!$D:$D,'Saldos Iniciales'!$A:$A,C744,'Saldos Iniciales'!$B:$B,D744)+SUMIFS($K$1:$K$1325,$C$1:$C$1325,C744,$D$1:$D$1325,D744,$B$1:$B$1325,"&lt;="&amp;B744)</f>
        <v>772037.68999999936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230772.11</v>
      </c>
      <c r="P744" s="28">
        <f>IF(tblMovimientos[[#This Row],[Tipo de Movimiento]]="Ingreso",tblMovimientos[[#This Row],[Ingreso]],-tblMovimientos[[#This Row],[Egreso]])</f>
        <v>-230772.11</v>
      </c>
      <c r="Q744" s="91" t="str">
        <f>IF(tblMovimientos[[#This Row],[Cuenta Bancaria]]="","",_xlfn.XLOOKUP(tblMovimientos[[#This Row],[Cuenta Bancaria]],Cuentas!$C:$C,Cuentas!$A:$A,"No encontrado"))</f>
        <v>SSP Group</v>
      </c>
      <c r="R744" s="91" t="str">
        <f>TRIM(_xlfn.XLOOKUP(tblMovimientos[[#This Row],[Cuenta Bancaria]],Cuentas!$C:$C,Cuentas!$B:$B,""))</f>
        <v/>
      </c>
    </row>
    <row r="745" spans="2:18" x14ac:dyDescent="0.3">
      <c r="B745" s="39">
        <v>46245</v>
      </c>
      <c r="C745" s="46" t="str">
        <f>_xlfn.XLOOKUP(tblMovimientos[[#This Row],[Cuenta Bancaria]],Listas!$B:$B,Listas!$A:$A,"")</f>
        <v>3628 Thomas Ave</v>
      </c>
      <c r="D745" s="41" t="s">
        <v>124</v>
      </c>
      <c r="E745" s="72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663.66</v>
      </c>
      <c r="K745" s="5">
        <f t="shared" si="6"/>
        <v>-663.66</v>
      </c>
      <c r="L745" s="15" t="s">
        <v>132</v>
      </c>
      <c r="M745" s="44">
        <f>SUMIFS('Saldos Iniciales'!$D:$D,'Saldos Iniciales'!$A:$A,C745,'Saldos Iniciales'!$B:$B,D745)+SUMIFS($K$1:$K$1325,$C$1:$C$1325,C745,$D$1:$D$1325,D745,$B$1:$B$1325,"&lt;="&amp;B745)</f>
        <v>19442.439999999995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663.66</v>
      </c>
      <c r="P745" s="28">
        <f>IF(tblMovimientos[[#This Row],[Tipo de Movimiento]]="Ingreso",tblMovimientos[[#This Row],[Ingreso]],-tblMovimientos[[#This Row],[Egreso]])</f>
        <v>-663.66</v>
      </c>
      <c r="Q745" s="91" t="str">
        <f>IF(tblMovimientos[[#This Row],[Cuenta Bancaria]]="","",_xlfn.XLOOKUP(tblMovimientos[[#This Row],[Cuenta Bancaria]],Cuentas!$C:$C,Cuentas!$A:$A,"No encontrado"))</f>
        <v>SSP Group</v>
      </c>
      <c r="R745" s="91" t="str">
        <f>TRIM(_xlfn.XLOOKUP(tblMovimientos[[#This Row],[Cuenta Bancaria]],Cuentas!$C:$C,Cuentas!$B:$B,""))</f>
        <v/>
      </c>
    </row>
    <row r="746" spans="2:18" x14ac:dyDescent="0.3">
      <c r="B746" s="39">
        <v>46246</v>
      </c>
      <c r="C746" s="46" t="str">
        <f>_xlfn.XLOOKUP(tblMovimientos[[#This Row],[Cuenta Bancaria]],Listas!$B:$B,Listas!$A:$A,"")</f>
        <v>SSP Capital</v>
      </c>
      <c r="D746" s="41" t="s">
        <v>101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6</v>
      </c>
      <c r="K746" s="5">
        <f t="shared" si="6"/>
        <v>-6</v>
      </c>
      <c r="L746" s="15" t="s">
        <v>132</v>
      </c>
      <c r="M746" s="44">
        <f>SUMIFS('Saldos Iniciales'!$D:$D,'Saldos Iniciales'!$A:$A,C746,'Saldos Iniciales'!$B:$B,D746)+SUMIFS($K$1:$K$1325,$C$1:$C$1325,C746,$D$1:$D$1325,D746,$B$1:$B$1325,"&lt;="&amp;B746)</f>
        <v>30837.79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6</v>
      </c>
      <c r="P746" s="28">
        <f>IF(tblMovimientos[[#This Row],[Tipo de Movimiento]]="Ingreso",tblMovimientos[[#This Row],[Ingreso]],-tblMovimientos[[#This Row],[Egreso]])</f>
        <v>-6</v>
      </c>
      <c r="Q746" s="91" t="str">
        <f>IF(tblMovimientos[[#This Row],[Cuenta Bancaria]]="","",_xlfn.XLOOKUP(tblMovimientos[[#This Row],[Cuenta Bancaria]],Cuentas!$C:$C,Cuentas!$A:$A,"No encontrado"))</f>
        <v>SSP Group</v>
      </c>
      <c r="R746" s="91" t="str">
        <f>TRIM(_xlfn.XLOOKUP(tblMovimientos[[#This Row],[Cuenta Bancaria]],Cuentas!$C:$C,Cuentas!$B:$B,""))</f>
        <v/>
      </c>
    </row>
    <row r="747" spans="2:18" x14ac:dyDescent="0.3">
      <c r="B747" s="39">
        <v>46246</v>
      </c>
      <c r="C747" s="46" t="str">
        <f>_xlfn.XLOOKUP(tblMovimientos[[#This Row],[Cuenta Bancaria]],Listas!$B:$B,Listas!$A:$A,"")</f>
        <v>Cross Family Trust</v>
      </c>
      <c r="D747" s="41" t="s">
        <v>111</v>
      </c>
      <c r="E747" s="4" t="str">
        <f>_xlfn.XLOOKUP(tblMovimientos[[#This Row],[Cuenta Bancaria]],Listas!$B:$B,Listas!$C:$C,"")</f>
        <v xml:space="preserve">Amerant Bank </v>
      </c>
      <c r="F747" s="41" t="s">
        <v>9</v>
      </c>
      <c r="G747" s="41" t="s">
        <v>79</v>
      </c>
      <c r="H747" s="4" t="str">
        <f>IFERROR(_xlfn.XLOOKUP(G747,Listas!E:E,Listas!F:F,""),"")</f>
        <v>Inversion</v>
      </c>
      <c r="I747" s="46" t="str">
        <f>IFERROR(_xlfn.XLOOKUP(G747,Listas!E:E,Listas!G:G,""),"")</f>
        <v>Externo</v>
      </c>
      <c r="J747" s="43">
        <v>560000</v>
      </c>
      <c r="K747" s="5">
        <f t="shared" si="6"/>
        <v>560000</v>
      </c>
      <c r="L747" s="15" t="s">
        <v>132</v>
      </c>
      <c r="M747" s="44">
        <f>SUMIFS('Saldos Iniciales'!$D:$D,'Saldos Iniciales'!$A:$A,C747,'Saldos Iniciales'!$B:$B,D747)+SUMIFS($K$1:$K$1325,$C$1:$C$1325,C747,$D$1:$D$1325,D747,$B$1:$B$1325,"&lt;="&amp;B747)</f>
        <v>628717.6</v>
      </c>
      <c r="N747" s="65">
        <f>IF(tblMovimientos[[#This Row],[Tipo de Movimiento]]="Ingreso",tblMovimientos[[#This Row],[Monto (S/)]],"0")</f>
        <v>560000</v>
      </c>
      <c r="O747" s="65" t="str">
        <f>IF(tblMovimientos[[#This Row],[Tipo de Movimiento]]="Egreso",tblMovimientos[[#This Row],[Monto (S/)]],"0")</f>
        <v>0</v>
      </c>
      <c r="P747" s="28">
        <f>IF(tblMovimientos[[#This Row],[Tipo de Movimiento]]="Ingreso",tblMovimientos[[#This Row],[Ingreso]],-tblMovimientos[[#This Row],[Egreso]])</f>
        <v>560000</v>
      </c>
      <c r="Q747" s="91" t="str">
        <f>IF(tblMovimientos[[#This Row],[Cuenta Bancaria]]="","",_xlfn.XLOOKUP(tblMovimientos[[#This Row],[Cuenta Bancaria]],Cuentas!$C:$C,Cuentas!$A:$A,"No encontrado"))</f>
        <v>Trust</v>
      </c>
      <c r="R747" s="91" t="str">
        <f>TRIM(_xlfn.XLOOKUP(tblMovimientos[[#This Row],[Cuenta Bancaria]],Cuentas!$C:$C,Cuentas!$B:$B,""))</f>
        <v/>
      </c>
    </row>
    <row r="748" spans="2:18" x14ac:dyDescent="0.3">
      <c r="B748" s="39">
        <v>46246</v>
      </c>
      <c r="C748" s="46" t="str">
        <f>_xlfn.XLOOKUP(tblMovimientos[[#This Row],[Cuenta Bancaria]],Listas!$B:$B,Listas!$A:$A,"")</f>
        <v>Soweto</v>
      </c>
      <c r="D748" s="41" t="s">
        <v>116</v>
      </c>
      <c r="E748" s="73" t="str">
        <f>_xlfn.XLOOKUP(tblMovimientos[[#This Row],[Cuenta Bancaria]],Listas!$B:$B,Listas!$C:$C,"")</f>
        <v>Citibank</v>
      </c>
      <c r="F748" s="41" t="s">
        <v>10</v>
      </c>
      <c r="G748" s="41" t="s">
        <v>60</v>
      </c>
      <c r="H748" s="4" t="str">
        <f>IFERROR(_xlfn.XLOOKUP(G748,Listas!E:E,Listas!F:F,""),"")</f>
        <v>Inversion</v>
      </c>
      <c r="I748" s="46" t="str">
        <f>IFERROR(_xlfn.XLOOKUP(G748,Listas!E:E,Listas!G:G,""),"")</f>
        <v>Interno</v>
      </c>
      <c r="J748" s="43">
        <v>560000</v>
      </c>
      <c r="K748" s="5">
        <f t="shared" si="6"/>
        <v>-560000</v>
      </c>
      <c r="L748" s="15" t="s">
        <v>132</v>
      </c>
      <c r="M748" s="44">
        <f>SUMIFS('Saldos Iniciales'!$D:$D,'Saldos Iniciales'!$A:$A,C748,'Saldos Iniciales'!$B:$B,D748)+SUMIFS($K$1:$K$1325,$C$1:$C$1325,C748,$D$1:$D$1325,D748,$B$1:$B$1325,"&lt;="&amp;B748)</f>
        <v>754424.72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560000</v>
      </c>
      <c r="P748" s="28">
        <f>IF(tblMovimientos[[#This Row],[Tipo de Movimiento]]="Ingreso",tblMovimientos[[#This Row],[Ingreso]],-tblMovimientos[[#This Row],[Egreso]])</f>
        <v>-560000</v>
      </c>
      <c r="Q748" s="91" t="str">
        <f>IF(tblMovimientos[[#This Row],[Cuenta Bancaria]]="","",_xlfn.XLOOKUP(tblMovimientos[[#This Row],[Cuenta Bancaria]],Cuentas!$C:$C,Cuentas!$A:$A,"No encontrado"))</f>
        <v>SSP Group</v>
      </c>
      <c r="R748" s="91" t="str">
        <f>TRIM(_xlfn.XLOOKUP(tblMovimientos[[#This Row],[Cuenta Bancaria]],Cuentas!$C:$C,Cuentas!$B:$B,""))</f>
        <v/>
      </c>
    </row>
    <row r="749" spans="2:18" x14ac:dyDescent="0.3">
      <c r="B749" s="39">
        <v>46246</v>
      </c>
      <c r="C749" s="46" t="str">
        <f>_xlfn.XLOOKUP(tblMovimientos[[#This Row],[Cuenta Bancaria]],Listas!$B:$B,Listas!$A:$A,"")</f>
        <v>Soweto</v>
      </c>
      <c r="D749" s="41" t="s">
        <v>116</v>
      </c>
      <c r="E749" s="73" t="str">
        <f>_xlfn.XLOOKUP(tblMovimientos[[#This Row],[Cuenta Bancaria]],Listas!$B:$B,Listas!$C:$C,"")</f>
        <v>Citibank</v>
      </c>
      <c r="F749" s="41" t="s">
        <v>10</v>
      </c>
      <c r="G749" s="41" t="s">
        <v>60</v>
      </c>
      <c r="H749" s="4" t="str">
        <f>IFERROR(_xlfn.XLOOKUP(G749,Listas!E:E,Listas!F:F,""),"")</f>
        <v>Inversion</v>
      </c>
      <c r="I749" s="46" t="str">
        <f>IFERROR(_xlfn.XLOOKUP(G749,Listas!E:E,Listas!G:G,""),"")</f>
        <v>Interno</v>
      </c>
      <c r="J749" s="43">
        <v>70000</v>
      </c>
      <c r="K749" s="5">
        <f t="shared" si="6"/>
        <v>-70000</v>
      </c>
      <c r="L749" s="15" t="s">
        <v>132</v>
      </c>
      <c r="M749" s="44">
        <f>SUMIFS('Saldos Iniciales'!$D:$D,'Saldos Iniciales'!$A:$A,C749,'Saldos Iniciales'!$B:$B,D749)+SUMIFS($K$1:$K$1325,$C$1:$C$1325,C749,$D$1:$D$1325,D749,$B$1:$B$1325,"&lt;="&amp;B749)</f>
        <v>754424.72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70000</v>
      </c>
      <c r="P749" s="28">
        <f>IF(tblMovimientos[[#This Row],[Tipo de Movimiento]]="Ingreso",tblMovimientos[[#This Row],[Ingreso]],-tblMovimientos[[#This Row],[Egreso]])</f>
        <v>-70000</v>
      </c>
      <c r="Q749" s="91" t="str">
        <f>IF(tblMovimientos[[#This Row],[Cuenta Bancaria]]="","",_xlfn.XLOOKUP(tblMovimientos[[#This Row],[Cuenta Bancaria]],Cuentas!$C:$C,Cuentas!$A:$A,"No encontrado"))</f>
        <v>SSP Group</v>
      </c>
      <c r="R749" s="91" t="str">
        <f>TRIM(_xlfn.XLOOKUP(tblMovimientos[[#This Row],[Cuenta Bancaria]],Cuentas!$C:$C,Cuentas!$B:$B,""))</f>
        <v/>
      </c>
    </row>
    <row r="750" spans="2:18" x14ac:dyDescent="0.3">
      <c r="B750" s="39">
        <v>46246</v>
      </c>
      <c r="C750" s="46" t="str">
        <f>_xlfn.XLOOKUP(tblMovimientos[[#This Row],[Cuenta Bancaria]],Listas!$B:$B,Listas!$A:$A,"")</f>
        <v>Soweto</v>
      </c>
      <c r="D750" s="41" t="s">
        <v>116</v>
      </c>
      <c r="E750" s="73" t="str">
        <f>_xlfn.XLOOKUP(tblMovimientos[[#This Row],[Cuenta Bancaria]],Listas!$B:$B,Listas!$C:$C,"")</f>
        <v>Citibank</v>
      </c>
      <c r="F750" s="41" t="s">
        <v>10</v>
      </c>
      <c r="G750" s="41" t="s">
        <v>60</v>
      </c>
      <c r="H750" s="4" t="str">
        <f>IFERROR(_xlfn.XLOOKUP(G750,Listas!E:E,Listas!F:F,""),"")</f>
        <v>Inversion</v>
      </c>
      <c r="I750" s="46" t="str">
        <f>IFERROR(_xlfn.XLOOKUP(G750,Listas!E:E,Listas!G:G,""),"")</f>
        <v>Interno</v>
      </c>
      <c r="J750" s="43">
        <v>70000</v>
      </c>
      <c r="K750" s="5">
        <f t="shared" si="6"/>
        <v>-70000</v>
      </c>
      <c r="L750" s="15" t="s">
        <v>132</v>
      </c>
      <c r="M750" s="44">
        <f>SUMIFS('Saldos Iniciales'!$D:$D,'Saldos Iniciales'!$A:$A,C750,'Saldos Iniciales'!$B:$B,D750)+SUMIFS($K$1:$K$1325,$C$1:$C$1325,C750,$D$1:$D$1325,D750,$B$1:$B$1325,"&lt;="&amp;B750)</f>
        <v>754424.72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70000</v>
      </c>
      <c r="P750" s="28">
        <f>IF(tblMovimientos[[#This Row],[Tipo de Movimiento]]="Ingreso",tblMovimientos[[#This Row],[Ingreso]],-tblMovimientos[[#This Row],[Egreso]])</f>
        <v>-70000</v>
      </c>
      <c r="Q750" s="91" t="str">
        <f>IF(tblMovimientos[[#This Row],[Cuenta Bancaria]]="","",_xlfn.XLOOKUP(tblMovimientos[[#This Row],[Cuenta Bancaria]],Cuentas!$C:$C,Cuentas!$A:$A,"No encontrado"))</f>
        <v>SSP Group</v>
      </c>
      <c r="R750" s="91" t="str">
        <f>TRIM(_xlfn.XLOOKUP(tblMovimientos[[#This Row],[Cuenta Bancaria]],Cuentas!$C:$C,Cuentas!$B:$B,""))</f>
        <v/>
      </c>
    </row>
    <row r="751" spans="2:18" x14ac:dyDescent="0.3">
      <c r="B751" s="39">
        <v>46246</v>
      </c>
      <c r="C751" s="46" t="str">
        <f>_xlfn.XLOOKUP(tblMovimientos[[#This Row],[Cuenta Bancaria]],Listas!$B:$B,Listas!$A:$A,"")</f>
        <v>Cross Security Trust</v>
      </c>
      <c r="D751" s="41" t="s">
        <v>112</v>
      </c>
      <c r="E751" s="73" t="str">
        <f>_xlfn.XLOOKUP(tblMovimientos[[#This Row],[Cuenta Bancaria]],Listas!$B:$B,Listas!$C:$C,"")</f>
        <v>Bank of America</v>
      </c>
      <c r="F751" s="41" t="s">
        <v>9</v>
      </c>
      <c r="G751" s="41" t="s">
        <v>79</v>
      </c>
      <c r="H751" s="4" t="str">
        <f>IFERROR(_xlfn.XLOOKUP(G751,Listas!E:E,Listas!F:F,""),"")</f>
        <v>Inversion</v>
      </c>
      <c r="I751" s="46" t="str">
        <f>IFERROR(_xlfn.XLOOKUP(G751,Listas!E:E,Listas!G:G,""),"")</f>
        <v>Externo</v>
      </c>
      <c r="J751" s="43">
        <v>70000</v>
      </c>
      <c r="K751" s="5">
        <f t="shared" si="6"/>
        <v>70000</v>
      </c>
      <c r="L751" s="15" t="s">
        <v>132</v>
      </c>
      <c r="M751" s="44">
        <f>SUMIFS('Saldos Iniciales'!$D:$D,'Saldos Iniciales'!$A:$A,C751,'Saldos Iniciales'!$B:$B,D751)+SUMIFS($K$1:$K$1325,$C$1:$C$1325,C751,$D$1:$D$1325,D751,$B$1:$B$1325,"&lt;="&amp;B751)</f>
        <v>158067.38999999998</v>
      </c>
      <c r="N751" s="65">
        <f>IF(tblMovimientos[[#This Row],[Tipo de Movimiento]]="Ingreso",tblMovimientos[[#This Row],[Monto (S/)]],"0")</f>
        <v>70000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70000</v>
      </c>
      <c r="Q751" s="91" t="str">
        <f>IF(tblMovimientos[[#This Row],[Cuenta Bancaria]]="","",_xlfn.XLOOKUP(tblMovimientos[[#This Row],[Cuenta Bancaria]],Cuentas!$C:$C,Cuentas!$A:$A,"No encontrado"))</f>
        <v>SSP Group</v>
      </c>
      <c r="R751" s="91" t="str">
        <f>TRIM(_xlfn.XLOOKUP(tblMovimientos[[#This Row],[Cuenta Bancaria]],Cuentas!$C:$C,Cuentas!$B:$B,""))</f>
        <v>Cross Security Trust</v>
      </c>
    </row>
    <row r="752" spans="2:18" x14ac:dyDescent="0.3">
      <c r="B752" s="39">
        <v>46246</v>
      </c>
      <c r="C752" s="46" t="str">
        <f>_xlfn.XLOOKUP(tblMovimientos[[#This Row],[Cuenta Bancaria]],Listas!$B:$B,Listas!$A:$A,"")</f>
        <v>3628 Thomas Ave</v>
      </c>
      <c r="D752" s="41" t="s">
        <v>124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106.4</v>
      </c>
      <c r="K752" s="5">
        <f t="shared" si="6"/>
        <v>-106.4</v>
      </c>
      <c r="L752" s="15" t="s">
        <v>132</v>
      </c>
      <c r="M752" s="44">
        <f>SUMIFS('Saldos Iniciales'!$D:$D,'Saldos Iniciales'!$A:$A,C752,'Saldos Iniciales'!$B:$B,D752)+SUMIFS($K$1:$K$1325,$C$1:$C$1325,C752,$D$1:$D$1325,D752,$B$1:$B$1325,"&lt;="&amp;B752)</f>
        <v>19336.039999999997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106.4</v>
      </c>
      <c r="P752" s="28">
        <f>IF(tblMovimientos[[#This Row],[Tipo de Movimiento]]="Ingreso",tblMovimientos[[#This Row],[Ingreso]],-tblMovimientos[[#This Row],[Egreso]])</f>
        <v>-106.4</v>
      </c>
      <c r="Q752" s="91" t="str">
        <f>IF(tblMovimientos[[#This Row],[Cuenta Bancaria]]="","",_xlfn.XLOOKUP(tblMovimientos[[#This Row],[Cuenta Bancaria]],Cuentas!$C:$C,Cuentas!$A:$A,"No encontrado"))</f>
        <v>SSP Group</v>
      </c>
      <c r="R752" s="91" t="str">
        <f>TRIM(_xlfn.XLOOKUP(tblMovimientos[[#This Row],[Cuenta Bancaria]],Cuentas!$C:$C,Cuentas!$B:$B,""))</f>
        <v/>
      </c>
    </row>
    <row r="753" spans="2:18" x14ac:dyDescent="0.3">
      <c r="B753" s="39">
        <v>46246</v>
      </c>
      <c r="C753" s="46" t="str">
        <f>_xlfn.XLOOKUP(tblMovimientos[[#This Row],[Cuenta Bancaria]],Listas!$B:$B,Listas!$A:$A,"")</f>
        <v>Soweto</v>
      </c>
      <c r="D753" s="41" t="s">
        <v>116</v>
      </c>
      <c r="E753" s="4" t="str">
        <f>_xlfn.XLOOKUP(tblMovimientos[[#This Row],[Cuenta Bancaria]],Listas!$B:$B,Listas!$C:$C,"")</f>
        <v>Citibank</v>
      </c>
      <c r="F753" s="41" t="s">
        <v>10</v>
      </c>
      <c r="G753" s="41" t="s">
        <v>44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55</v>
      </c>
      <c r="K753" s="5">
        <f t="shared" si="6"/>
        <v>-55</v>
      </c>
      <c r="L753" s="15" t="s">
        <v>132</v>
      </c>
      <c r="M753" s="44">
        <f>SUMIFS('Saldos Iniciales'!$D:$D,'Saldos Iniciales'!$A:$A,C753,'Saldos Iniciales'!$B:$B,D753)+SUMIFS($K$1:$K$1325,$C$1:$C$1325,C753,$D$1:$D$1325,D753,$B$1:$B$1325,"&lt;="&amp;B753)</f>
        <v>754424.72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55</v>
      </c>
      <c r="P753" s="28">
        <f>IF(tblMovimientos[[#This Row],[Tipo de Movimiento]]="Ingreso",tblMovimientos[[#This Row],[Ingreso]],-tblMovimientos[[#This Row],[Egreso]])</f>
        <v>-55</v>
      </c>
      <c r="Q753" s="91" t="str">
        <f>IF(tblMovimientos[[#This Row],[Cuenta Bancaria]]="","",_xlfn.XLOOKUP(tblMovimientos[[#This Row],[Cuenta Bancaria]],Cuentas!$C:$C,Cuentas!$A:$A,"No encontrado"))</f>
        <v>SSP Group</v>
      </c>
      <c r="R753" s="91" t="str">
        <f>TRIM(_xlfn.XLOOKUP(tblMovimientos[[#This Row],[Cuenta Bancaria]],Cuentas!$C:$C,Cuentas!$B:$B,""))</f>
        <v/>
      </c>
    </row>
    <row r="754" spans="2:18" x14ac:dyDescent="0.3">
      <c r="B754" s="39">
        <v>46246</v>
      </c>
      <c r="C754" s="46" t="str">
        <f>_xlfn.XLOOKUP(tblMovimientos[[#This Row],[Cuenta Bancaria]],Listas!$B:$B,Listas!$A:$A,"")</f>
        <v>Soweto</v>
      </c>
      <c r="D754" s="41" t="s">
        <v>116</v>
      </c>
      <c r="E754" s="4" t="str">
        <f>_xlfn.XLOOKUP(tblMovimientos[[#This Row],[Cuenta Bancaria]],Listas!$B:$B,Listas!$C:$C,"")</f>
        <v>Citibank</v>
      </c>
      <c r="F754" s="41" t="s">
        <v>10</v>
      </c>
      <c r="G754" s="41" t="s">
        <v>44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55</v>
      </c>
      <c r="K754" s="5">
        <f t="shared" ref="K754:K817" si="7">IF(F754="Ingreso",J754,-J754)</f>
        <v>-55</v>
      </c>
      <c r="L754" s="15" t="s">
        <v>132</v>
      </c>
      <c r="M754" s="44">
        <f>SUMIFS('Saldos Iniciales'!$D:$D,'Saldos Iniciales'!$A:$A,C754,'Saldos Iniciales'!$B:$B,D754)+SUMIFS($K$1:$K$1325,$C$1:$C$1325,C754,$D$1:$D$1325,D754,$B$1:$B$1325,"&lt;="&amp;B754)</f>
        <v>754424.72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55</v>
      </c>
      <c r="P754" s="28">
        <f>IF(tblMovimientos[[#This Row],[Tipo de Movimiento]]="Ingreso",tblMovimientos[[#This Row],[Ingreso]],-tblMovimientos[[#This Row],[Egreso]])</f>
        <v>-55</v>
      </c>
      <c r="Q754" s="91" t="str">
        <f>IF(tblMovimientos[[#This Row],[Cuenta Bancaria]]="","",_xlfn.XLOOKUP(tblMovimientos[[#This Row],[Cuenta Bancaria]],Cuentas!$C:$C,Cuentas!$A:$A,"No encontrado"))</f>
        <v>SSP Group</v>
      </c>
      <c r="R754" s="91" t="str">
        <f>TRIM(_xlfn.XLOOKUP(tblMovimientos[[#This Row],[Cuenta Bancaria]],Cuentas!$C:$C,Cuentas!$B:$B,""))</f>
        <v/>
      </c>
    </row>
    <row r="755" spans="2:18" x14ac:dyDescent="0.3">
      <c r="B755" s="39">
        <v>46246</v>
      </c>
      <c r="C755" s="46" t="str">
        <f>_xlfn.XLOOKUP(tblMovimientos[[#This Row],[Cuenta Bancaria]],Listas!$B:$B,Listas!$A:$A,"")</f>
        <v>Soweto</v>
      </c>
      <c r="D755" s="41" t="s">
        <v>116</v>
      </c>
      <c r="E755" s="4" t="str">
        <f>_xlfn.XLOOKUP(tblMovimientos[[#This Row],[Cuenta Bancaria]],Listas!$B:$B,Listas!$C:$C,"")</f>
        <v>Citibank</v>
      </c>
      <c r="F755" s="41" t="s">
        <v>10</v>
      </c>
      <c r="G755" s="41" t="s">
        <v>44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55</v>
      </c>
      <c r="K755" s="5">
        <f t="shared" si="7"/>
        <v>-55</v>
      </c>
      <c r="L755" s="15" t="s">
        <v>132</v>
      </c>
      <c r="M755" s="44">
        <f>SUMIFS('Saldos Iniciales'!$D:$D,'Saldos Iniciales'!$A:$A,C755,'Saldos Iniciales'!$B:$B,D755)+SUMIFS($K$1:$K$1325,$C$1:$C$1325,C755,$D$1:$D$1325,D755,$B$1:$B$1325,"&lt;="&amp;B755)</f>
        <v>754424.72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55</v>
      </c>
      <c r="P755" s="28">
        <f>IF(tblMovimientos[[#This Row],[Tipo de Movimiento]]="Ingreso",tblMovimientos[[#This Row],[Ingreso]],-tblMovimientos[[#This Row],[Egreso]])</f>
        <v>-55</v>
      </c>
      <c r="Q755" s="91" t="str">
        <f>IF(tblMovimientos[[#This Row],[Cuenta Bancaria]]="","",_xlfn.XLOOKUP(tblMovimientos[[#This Row],[Cuenta Bancaria]],Cuentas!$C:$C,Cuentas!$A:$A,"No encontrado"))</f>
        <v>SSP Group</v>
      </c>
      <c r="R755" s="91" t="str">
        <f>TRIM(_xlfn.XLOOKUP(tblMovimientos[[#This Row],[Cuenta Bancaria]],Cuentas!$C:$C,Cuentas!$B:$B,""))</f>
        <v/>
      </c>
    </row>
    <row r="756" spans="2:18" x14ac:dyDescent="0.3">
      <c r="B756" s="39">
        <v>46247</v>
      </c>
      <c r="C756" s="46" t="str">
        <f>_xlfn.XLOOKUP(tblMovimientos[[#This Row],[Cuenta Bancaria]],Listas!$B:$B,Listas!$A:$A,"")</f>
        <v>A&amp;M Imports</v>
      </c>
      <c r="D756" s="41" t="s">
        <v>100</v>
      </c>
      <c r="E756" s="4" t="str">
        <f>_xlfn.XLOOKUP(tblMovimientos[[#This Row],[Cuenta Bancaria]],Listas!$B:$B,Listas!$C:$C,"")</f>
        <v>Bank of America</v>
      </c>
      <c r="F756" s="41" t="s">
        <v>10</v>
      </c>
      <c r="G756" s="41" t="s">
        <v>61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60000</v>
      </c>
      <c r="K756" s="5">
        <f t="shared" si="7"/>
        <v>-60000</v>
      </c>
      <c r="L756" s="15" t="s">
        <v>132</v>
      </c>
      <c r="M756" s="44">
        <f>SUMIFS('Saldos Iniciales'!$D:$D,'Saldos Iniciales'!$A:$A,C756,'Saldos Iniciales'!$B:$B,D756)+SUMIFS($K$1:$K$1325,$C$1:$C$1325,C756,$D$1:$D$1325,D756,$B$1:$B$1325,"&lt;="&amp;B756)</f>
        <v>1289451.94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60000</v>
      </c>
      <c r="P756" s="28">
        <f>IF(tblMovimientos[[#This Row],[Tipo de Movimiento]]="Ingreso",tblMovimientos[[#This Row],[Ingreso]],-tblMovimientos[[#This Row],[Egreso]])</f>
        <v>-60000</v>
      </c>
      <c r="Q756" s="91" t="str">
        <f>IF(tblMovimientos[[#This Row],[Cuenta Bancaria]]="","",_xlfn.XLOOKUP(tblMovimientos[[#This Row],[Cuenta Bancaria]],Cuentas!$C:$C,Cuentas!$A:$A,"No encontrado"))</f>
        <v>SSP Group</v>
      </c>
      <c r="R756" s="91" t="str">
        <f>TRIM(_xlfn.XLOOKUP(tblMovimientos[[#This Row],[Cuenta Bancaria]],Cuentas!$C:$C,Cuentas!$B:$B,""))</f>
        <v>Cross Security Trust</v>
      </c>
    </row>
    <row r="757" spans="2:18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94</v>
      </c>
      <c r="E757" s="4" t="str">
        <f>_xlfn.XLOOKUP(tblMovimientos[[#This Row],[Cuenta Bancaria]],Listas!$B:$B,Listas!$C:$C,"")</f>
        <v>Bank of America</v>
      </c>
      <c r="F757" s="41" t="s">
        <v>10</v>
      </c>
      <c r="G757" s="41" t="s">
        <v>64</v>
      </c>
      <c r="H757" s="4" t="str">
        <f>IFERROR(_xlfn.XLOOKUP(G757,Listas!E:E,Listas!F:F,""),"")</f>
        <v>Operativo</v>
      </c>
      <c r="I757" s="46" t="str">
        <f>IFERROR(_xlfn.XLOOKUP(G757,Listas!E:E,Listas!G:G,""),"")</f>
        <v>Interno</v>
      </c>
      <c r="J757" s="43">
        <v>300000</v>
      </c>
      <c r="K757" s="5">
        <f t="shared" si="7"/>
        <v>-300000</v>
      </c>
      <c r="L757" s="15" t="s">
        <v>132</v>
      </c>
      <c r="M757" s="44">
        <f>SUMIFS('Saldos Iniciales'!$D:$D,'Saldos Iniciales'!$A:$A,C757,'Saldos Iniciales'!$B:$B,D757)+SUMIFS($K$1:$K$1325,$C$1:$C$1325,C757,$D$1:$D$1325,D757,$B$1:$B$1325,"&lt;="&amp;B757)</f>
        <v>29551.26999999999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300000</v>
      </c>
      <c r="P757" s="28">
        <f>IF(tblMovimientos[[#This Row],[Tipo de Movimiento]]="Ingreso",tblMovimientos[[#This Row],[Ingreso]],-tblMovimientos[[#This Row],[Egreso]])</f>
        <v>-300000</v>
      </c>
      <c r="Q757" s="91" t="str">
        <f>IF(tblMovimientos[[#This Row],[Cuenta Bancaria]]="","",_xlfn.XLOOKUP(tblMovimientos[[#This Row],[Cuenta Bancaria]],Cuentas!$C:$C,Cuentas!$A:$A,"No encontrado"))</f>
        <v>SSP Group</v>
      </c>
      <c r="R757" s="91" t="str">
        <f>TRIM(_xlfn.XLOOKUP(tblMovimientos[[#This Row],[Cuenta Bancaria]],Cuentas!$C:$C,Cuentas!$B:$B,""))</f>
        <v/>
      </c>
    </row>
    <row r="758" spans="2:18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94</v>
      </c>
      <c r="E758" s="4" t="str">
        <f>_xlfn.XLOOKUP(tblMovimientos[[#This Row],[Cuenta Bancaria]],Listas!$B:$B,Listas!$C:$C,"")</f>
        <v>Bank of America</v>
      </c>
      <c r="F758" s="41" t="s">
        <v>10</v>
      </c>
      <c r="G758" s="41" t="s">
        <v>64</v>
      </c>
      <c r="H758" s="4" t="str">
        <f>IFERROR(_xlfn.XLOOKUP(G758,Listas!E:E,Listas!F:F,""),"")</f>
        <v>Operativo</v>
      </c>
      <c r="I758" s="46" t="str">
        <f>IFERROR(_xlfn.XLOOKUP(G758,Listas!E:E,Listas!G:G,""),"")</f>
        <v>Interno</v>
      </c>
      <c r="J758" s="43">
        <v>10000</v>
      </c>
      <c r="K758" s="5">
        <f t="shared" si="7"/>
        <v>-10000</v>
      </c>
      <c r="L758" s="15" t="s">
        <v>132</v>
      </c>
      <c r="M758" s="44">
        <f>SUMIFS('Saldos Iniciales'!$D:$D,'Saldos Iniciales'!$A:$A,C758,'Saldos Iniciales'!$B:$B,D758)+SUMIFS($K$1:$K$1325,$C$1:$C$1325,C758,$D$1:$D$1325,D758,$B$1:$B$1325,"&lt;="&amp;B758)</f>
        <v>29551.26999999999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10000</v>
      </c>
      <c r="P758" s="28">
        <f>IF(tblMovimientos[[#This Row],[Tipo de Movimiento]]="Ingreso",tblMovimientos[[#This Row],[Ingreso]],-tblMovimientos[[#This Row],[Egreso]])</f>
        <v>-10000</v>
      </c>
      <c r="Q758" s="91" t="str">
        <f>IF(tblMovimientos[[#This Row],[Cuenta Bancaria]]="","",_xlfn.XLOOKUP(tblMovimientos[[#This Row],[Cuenta Bancaria]],Cuentas!$C:$C,Cuentas!$A:$A,"No encontrado"))</f>
        <v>SSP Group</v>
      </c>
      <c r="R758" s="91" t="str">
        <f>TRIM(_xlfn.XLOOKUP(tblMovimientos[[#This Row],[Cuenta Bancaria]],Cuentas!$C:$C,Cuentas!$B:$B,""))</f>
        <v/>
      </c>
    </row>
    <row r="759" spans="2:18" x14ac:dyDescent="0.3">
      <c r="B759" s="39">
        <v>46247</v>
      </c>
      <c r="C759" s="46" t="str">
        <f>_xlfn.XLOOKUP(tblMovimientos[[#This Row],[Cuenta Bancaria]],Listas!$B:$B,Listas!$A:$A,"")</f>
        <v>2515 Overbrook</v>
      </c>
      <c r="D759" s="41" t="s">
        <v>121</v>
      </c>
      <c r="E759" s="4" t="str">
        <f>_xlfn.XLOOKUP(tblMovimientos[[#This Row],[Cuenta Bancaria]],Listas!$B:$B,Listas!$C:$C,"")</f>
        <v>Bank of America</v>
      </c>
      <c r="F759" s="41" t="s">
        <v>9</v>
      </c>
      <c r="G759" s="41" t="s">
        <v>85</v>
      </c>
      <c r="H759" s="4" t="str">
        <f>IFERROR(_xlfn.XLOOKUP(G759,Listas!E:E,Listas!F:F,""),"")</f>
        <v>Operativo</v>
      </c>
      <c r="I759" s="46" t="str">
        <f>IFERROR(_xlfn.XLOOKUP(G759,Listas!E:E,Listas!G:G,""),"")</f>
        <v>Interno</v>
      </c>
      <c r="J759" s="43">
        <v>10000</v>
      </c>
      <c r="K759" s="5">
        <f t="shared" si="7"/>
        <v>10000</v>
      </c>
      <c r="L759" s="15" t="s">
        <v>132</v>
      </c>
      <c r="M759" s="44">
        <f>SUMIFS('Saldos Iniciales'!$D:$D,'Saldos Iniciales'!$A:$A,C759,'Saldos Iniciales'!$B:$B,D759)+SUMIFS($K$1:$K$1325,$C$1:$C$1325,C759,$D$1:$D$1325,D759,$B$1:$B$1325,"&lt;="&amp;B759)</f>
        <v>13390.289999999964</v>
      </c>
      <c r="N759" s="65">
        <f>IF(tblMovimientos[[#This Row],[Tipo de Movimiento]]="Ingreso",tblMovimientos[[#This Row],[Monto (S/)]],"0")</f>
        <v>10000</v>
      </c>
      <c r="O759" s="65" t="str">
        <f>IF(tblMovimientos[[#This Row],[Tipo de Movimiento]]="Egreso",tblMovimientos[[#This Row],[Monto (S/)]],"0")</f>
        <v>0</v>
      </c>
      <c r="P759" s="28">
        <f>IF(tblMovimientos[[#This Row],[Tipo de Movimiento]]="Ingreso",tblMovimientos[[#This Row],[Ingreso]],-tblMovimientos[[#This Row],[Egreso]])</f>
        <v>10000</v>
      </c>
      <c r="Q759" s="91" t="str">
        <f>IF(tblMovimientos[[#This Row],[Cuenta Bancaria]]="","",_xlfn.XLOOKUP(tblMovimientos[[#This Row],[Cuenta Bancaria]],Cuentas!$C:$C,Cuentas!$A:$A,"No encontrado"))</f>
        <v>SSP Group</v>
      </c>
      <c r="R759" s="91" t="str">
        <f>TRIM(_xlfn.XLOOKUP(tblMovimientos[[#This Row],[Cuenta Bancaria]],Cuentas!$C:$C,Cuentas!$B:$B,""))</f>
        <v/>
      </c>
    </row>
    <row r="760" spans="2:18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9</v>
      </c>
      <c r="G760" s="41" t="s">
        <v>68</v>
      </c>
      <c r="H760" s="4" t="str">
        <f>IFERROR(_xlfn.XLOOKUP(G760,Listas!E:E,Listas!F:F,""),"")</f>
        <v>Operativo</v>
      </c>
      <c r="I760" s="46" t="str">
        <f>IFERROR(_xlfn.XLOOKUP(G760,Listas!E:E,Listas!G:G,""),"")</f>
        <v>Externo</v>
      </c>
      <c r="J760" s="43">
        <v>18088.189999999999</v>
      </c>
      <c r="K760" s="5">
        <f t="shared" si="7"/>
        <v>18088.189999999999</v>
      </c>
      <c r="L760" s="15" t="s">
        <v>132</v>
      </c>
      <c r="M760" s="44">
        <f>SUMIFS('Saldos Iniciales'!$D:$D,'Saldos Iniciales'!$A:$A,C760,'Saldos Iniciales'!$B:$B,D760)+SUMIFS($K$1:$K$1325,$C$1:$C$1325,C760,$D$1:$D$1325,D760,$B$1:$B$1325,"&lt;="&amp;B760)</f>
        <v>1006435.0800000008</v>
      </c>
      <c r="N760" s="65">
        <f>IF(tblMovimientos[[#This Row],[Tipo de Movimiento]]="Ingreso",tblMovimientos[[#This Row],[Monto (S/)]],"0")</f>
        <v>18088.189999999999</v>
      </c>
      <c r="O760" s="65" t="str">
        <f>IF(tblMovimientos[[#This Row],[Tipo de Movimiento]]="Egreso",tblMovimientos[[#This Row],[Monto (S/)]],"0")</f>
        <v>0</v>
      </c>
      <c r="P760" s="28">
        <f>IF(tblMovimientos[[#This Row],[Tipo de Movimiento]]="Ingreso",tblMovimientos[[#This Row],[Ingreso]],-tblMovimientos[[#This Row],[Egreso]])</f>
        <v>18088.189999999999</v>
      </c>
      <c r="Q760" s="91" t="str">
        <f>IF(tblMovimientos[[#This Row],[Cuenta Bancaria]]="","",_xlfn.XLOOKUP(tblMovimientos[[#This Row],[Cuenta Bancaria]],Cuentas!$C:$C,Cuentas!$A:$A,"No encontrado"))</f>
        <v>SSP Group</v>
      </c>
      <c r="R760" s="91" t="str">
        <f>TRIM(_xlfn.XLOOKUP(tblMovimientos[[#This Row],[Cuenta Bancaria]],Cuentas!$C:$C,Cuentas!$B:$B,""))</f>
        <v/>
      </c>
    </row>
    <row r="761" spans="2:18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9</v>
      </c>
      <c r="G761" s="41" t="s">
        <v>85</v>
      </c>
      <c r="H761" s="4" t="str">
        <f>IFERROR(_xlfn.XLOOKUP(G761,Listas!E:E,Listas!F:F,""),"")</f>
        <v>Operativo</v>
      </c>
      <c r="I761" s="46" t="str">
        <f>IFERROR(_xlfn.XLOOKUP(G761,Listas!E:E,Listas!G:G,""),"")</f>
        <v>Interno</v>
      </c>
      <c r="J761" s="43">
        <v>300000</v>
      </c>
      <c r="K761" s="5">
        <f t="shared" si="7"/>
        <v>300000</v>
      </c>
      <c r="L761" s="15" t="s">
        <v>132</v>
      </c>
      <c r="M761" s="44">
        <f>SUMIFS('Saldos Iniciales'!$D:$D,'Saldos Iniciales'!$A:$A,C761,'Saldos Iniciales'!$B:$B,D761)+SUMIFS($K$1:$K$1325,$C$1:$C$1325,C761,$D$1:$D$1325,D761,$B$1:$B$1325,"&lt;="&amp;B761)</f>
        <v>1006435.0800000008</v>
      </c>
      <c r="N761" s="65">
        <f>IF(tblMovimientos[[#This Row],[Tipo de Movimiento]]="Ingreso",tblMovimientos[[#This Row],[Monto (S/)]],"0")</f>
        <v>300000</v>
      </c>
      <c r="O761" s="65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300000</v>
      </c>
      <c r="Q761" s="91" t="str">
        <f>IF(tblMovimientos[[#This Row],[Cuenta Bancaria]]="","",_xlfn.XLOOKUP(tblMovimientos[[#This Row],[Cuenta Bancaria]],Cuentas!$C:$C,Cuentas!$A:$A,"No encontrado"))</f>
        <v>SSP Group</v>
      </c>
      <c r="R761" s="91" t="str">
        <f>TRIM(_xlfn.XLOOKUP(tblMovimientos[[#This Row],[Cuenta Bancaria]],Cuentas!$C:$C,Cuentas!$B:$B,""))</f>
        <v/>
      </c>
    </row>
    <row r="762" spans="2:18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9</v>
      </c>
      <c r="G762" s="41" t="s">
        <v>77</v>
      </c>
      <c r="H762" s="4" t="str">
        <f>IFERROR(_xlfn.XLOOKUP(G762,Listas!E:E,Listas!F:F,""),"")</f>
        <v>Inversion</v>
      </c>
      <c r="I762" s="46" t="str">
        <f>IFERROR(_xlfn.XLOOKUP(G762,Listas!E:E,Listas!G:G,""),"")</f>
        <v>Interno</v>
      </c>
      <c r="J762" s="43">
        <v>500000</v>
      </c>
      <c r="K762" s="5">
        <f t="shared" si="7"/>
        <v>500000</v>
      </c>
      <c r="L762" s="15" t="s">
        <v>132</v>
      </c>
      <c r="M762" s="44">
        <f>SUMIFS('Saldos Iniciales'!$D:$D,'Saldos Iniciales'!$A:$A,C762,'Saldos Iniciales'!$B:$B,D762)+SUMIFS($K$1:$K$1325,$C$1:$C$1325,C762,$D$1:$D$1325,D762,$B$1:$B$1325,"&lt;="&amp;B762)</f>
        <v>1006435.0800000008</v>
      </c>
      <c r="N762" s="65">
        <f>IF(tblMovimientos[[#This Row],[Tipo de Movimiento]]="Ingreso",tblMovimientos[[#This Row],[Monto (S/)]],"0")</f>
        <v>500000</v>
      </c>
      <c r="O762" s="65" t="str">
        <f>IF(tblMovimientos[[#This Row],[Tipo de Movimiento]]="Egreso",tblMovimientos[[#This Row],[Monto (S/)]],"0")</f>
        <v>0</v>
      </c>
      <c r="P762" s="28">
        <f>IF(tblMovimientos[[#This Row],[Tipo de Movimiento]]="Ingreso",tblMovimientos[[#This Row],[Ingreso]],-tblMovimientos[[#This Row],[Egreso]])</f>
        <v>500000</v>
      </c>
      <c r="Q762" s="91" t="str">
        <f>IF(tblMovimientos[[#This Row],[Cuenta Bancaria]]="","",_xlfn.XLOOKUP(tblMovimientos[[#This Row],[Cuenta Bancaria]],Cuentas!$C:$C,Cuentas!$A:$A,"No encontrado"))</f>
        <v>SSP Group</v>
      </c>
      <c r="R762" s="91" t="str">
        <f>TRIM(_xlfn.XLOOKUP(tblMovimientos[[#This Row],[Cuenta Bancaria]],Cuentas!$C:$C,Cuentas!$B:$B,""))</f>
        <v/>
      </c>
    </row>
    <row r="763" spans="2:18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2916.67</v>
      </c>
      <c r="K763" s="5">
        <f t="shared" si="7"/>
        <v>-2916.67</v>
      </c>
      <c r="L763" s="15" t="s">
        <v>132</v>
      </c>
      <c r="M763" s="44">
        <f>SUMIFS('Saldos Iniciales'!$D:$D,'Saldos Iniciales'!$A:$A,C763,'Saldos Iniciales'!$B:$B,D763)+SUMIFS($K$1:$K$1325,$C$1:$C$1325,C763,$D$1:$D$1325,D763,$B$1:$B$1325,"&lt;="&amp;B763)</f>
        <v>1006435.0800000008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2916.67</v>
      </c>
      <c r="P763" s="28">
        <f>IF(tblMovimientos[[#This Row],[Tipo de Movimiento]]="Ingreso",tblMovimientos[[#This Row],[Ingreso]],-tblMovimientos[[#This Row],[Egreso]])</f>
        <v>-2916.67</v>
      </c>
      <c r="Q763" s="91" t="str">
        <f>IF(tblMovimientos[[#This Row],[Cuenta Bancaria]]="","",_xlfn.XLOOKUP(tblMovimientos[[#This Row],[Cuenta Bancaria]],Cuentas!$C:$C,Cuentas!$A:$A,"No encontrado"))</f>
        <v>SSP Group</v>
      </c>
      <c r="R763" s="91" t="str">
        <f>TRIM(_xlfn.XLOOKUP(tblMovimientos[[#This Row],[Cuenta Bancaria]],Cuentas!$C:$C,Cuentas!$B:$B,""))</f>
        <v/>
      </c>
    </row>
    <row r="764" spans="2:18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3616.67</v>
      </c>
      <c r="K764" s="5">
        <f t="shared" si="7"/>
        <v>-3616.67</v>
      </c>
      <c r="L764" s="15" t="s">
        <v>132</v>
      </c>
      <c r="M764" s="44">
        <f>SUMIFS('Saldos Iniciales'!$D:$D,'Saldos Iniciales'!$A:$A,C764,'Saldos Iniciales'!$B:$B,D764)+SUMIFS($K$1:$K$1325,$C$1:$C$1325,C764,$D$1:$D$1325,D764,$B$1:$B$1325,"&lt;="&amp;B764)</f>
        <v>1006435.0800000008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3616.67</v>
      </c>
      <c r="P764" s="28">
        <f>IF(tblMovimientos[[#This Row],[Tipo de Movimiento]]="Ingreso",tblMovimientos[[#This Row],[Ingreso]],-tblMovimientos[[#This Row],[Egreso]])</f>
        <v>-3616.67</v>
      </c>
      <c r="Q764" s="91" t="str">
        <f>IF(tblMovimientos[[#This Row],[Cuenta Bancaria]]="","",_xlfn.XLOOKUP(tblMovimientos[[#This Row],[Cuenta Bancaria]],Cuentas!$C:$C,Cuentas!$A:$A,"No encontrado"))</f>
        <v>SSP Group</v>
      </c>
      <c r="R764" s="91" t="str">
        <f>TRIM(_xlfn.XLOOKUP(tblMovimientos[[#This Row],[Cuenta Bancaria]],Cuentas!$C:$C,Cuentas!$B:$B,""))</f>
        <v/>
      </c>
    </row>
    <row r="765" spans="2:18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5166.67</v>
      </c>
      <c r="K765" s="5">
        <f t="shared" si="7"/>
        <v>-5166.67</v>
      </c>
      <c r="L765" s="15" t="s">
        <v>132</v>
      </c>
      <c r="M765" s="44">
        <f>SUMIFS('Saldos Iniciales'!$D:$D,'Saldos Iniciales'!$A:$A,C765,'Saldos Iniciales'!$B:$B,D765)+SUMIFS($K$1:$K$1325,$C$1:$C$1325,C765,$D$1:$D$1325,D765,$B$1:$B$1325,"&lt;="&amp;B765)</f>
        <v>1006435.0800000008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5166.67</v>
      </c>
      <c r="P765" s="28">
        <f>IF(tblMovimientos[[#This Row],[Tipo de Movimiento]]="Ingreso",tblMovimientos[[#This Row],[Ingreso]],-tblMovimientos[[#This Row],[Egreso]])</f>
        <v>-5166.67</v>
      </c>
      <c r="Q765" s="91" t="str">
        <f>IF(tblMovimientos[[#This Row],[Cuenta Bancaria]]="","",_xlfn.XLOOKUP(tblMovimientos[[#This Row],[Cuenta Bancaria]],Cuentas!$C:$C,Cuentas!$A:$A,"No encontrado"))</f>
        <v>SSP Group</v>
      </c>
      <c r="R765" s="91" t="str">
        <f>TRIM(_xlfn.XLOOKUP(tblMovimientos[[#This Row],[Cuenta Bancaria]],Cuentas!$C:$C,Cuentas!$B:$B,""))</f>
        <v/>
      </c>
    </row>
    <row r="766" spans="2:18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12055.56</v>
      </c>
      <c r="K766" s="5">
        <f t="shared" si="7"/>
        <v>-12055.56</v>
      </c>
      <c r="L766" s="15" t="s">
        <v>132</v>
      </c>
      <c r="M766" s="44">
        <f>SUMIFS('Saldos Iniciales'!$D:$D,'Saldos Iniciales'!$A:$A,C766,'Saldos Iniciales'!$B:$B,D766)+SUMIFS($K$1:$K$1325,$C$1:$C$1325,C766,$D$1:$D$1325,D766,$B$1:$B$1325,"&lt;="&amp;B766)</f>
        <v>1006435.0800000008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12055.56</v>
      </c>
      <c r="P766" s="28">
        <f>IF(tblMovimientos[[#This Row],[Tipo de Movimiento]]="Ingreso",tblMovimientos[[#This Row],[Ingreso]],-tblMovimientos[[#This Row],[Egreso]])</f>
        <v>-12055.56</v>
      </c>
      <c r="Q766" s="91" t="str">
        <f>IF(tblMovimientos[[#This Row],[Cuenta Bancaria]]="","",_xlfn.XLOOKUP(tblMovimientos[[#This Row],[Cuenta Bancaria]],Cuentas!$C:$C,Cuentas!$A:$A,"No encontrado"))</f>
        <v>SSP Group</v>
      </c>
      <c r="R766" s="91" t="str">
        <f>TRIM(_xlfn.XLOOKUP(tblMovimientos[[#This Row],[Cuenta Bancaria]],Cuentas!$C:$C,Cuentas!$B:$B,""))</f>
        <v/>
      </c>
    </row>
    <row r="767" spans="2:18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14011.67</v>
      </c>
      <c r="K767" s="5">
        <f t="shared" si="7"/>
        <v>-14011.67</v>
      </c>
      <c r="L767" s="15" t="s">
        <v>132</v>
      </c>
      <c r="M767" s="44">
        <f>SUMIFS('Saldos Iniciales'!$D:$D,'Saldos Iniciales'!$A:$A,C767,'Saldos Iniciales'!$B:$B,D767)+SUMIFS($K$1:$K$1325,$C$1:$C$1325,C767,$D$1:$D$1325,D767,$B$1:$B$1325,"&lt;="&amp;B767)</f>
        <v>1006435.0800000008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14011.67</v>
      </c>
      <c r="P767" s="28">
        <f>IF(tblMovimientos[[#This Row],[Tipo de Movimiento]]="Ingreso",tblMovimientos[[#This Row],[Ingreso]],-tblMovimientos[[#This Row],[Egreso]])</f>
        <v>-14011.67</v>
      </c>
      <c r="Q767" s="91" t="str">
        <f>IF(tblMovimientos[[#This Row],[Cuenta Bancaria]]="","",_xlfn.XLOOKUP(tblMovimientos[[#This Row],[Cuenta Bancaria]],Cuentas!$C:$C,Cuentas!$A:$A,"No encontrado"))</f>
        <v>SSP Group</v>
      </c>
      <c r="R767" s="91" t="str">
        <f>TRIM(_xlfn.XLOOKUP(tblMovimientos[[#This Row],[Cuenta Bancaria]],Cuentas!$C:$C,Cuentas!$B:$B,""))</f>
        <v/>
      </c>
    </row>
    <row r="768" spans="2:18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22166.67</v>
      </c>
      <c r="K768" s="5">
        <f t="shared" si="7"/>
        <v>-22166.67</v>
      </c>
      <c r="L768" s="15" t="s">
        <v>132</v>
      </c>
      <c r="M768" s="44">
        <f>SUMIFS('Saldos Iniciales'!$D:$D,'Saldos Iniciales'!$A:$A,C768,'Saldos Iniciales'!$B:$B,D768)+SUMIFS($K$1:$K$1325,$C$1:$C$1325,C768,$D$1:$D$1325,D768,$B$1:$B$1325,"&lt;="&amp;B768)</f>
        <v>1006435.0800000008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22166.67</v>
      </c>
      <c r="P768" s="28">
        <f>IF(tblMovimientos[[#This Row],[Tipo de Movimiento]]="Ingreso",tblMovimientos[[#This Row],[Ingreso]],-tblMovimientos[[#This Row],[Egreso]])</f>
        <v>-22166.67</v>
      </c>
      <c r="Q768" s="91" t="str">
        <f>IF(tblMovimientos[[#This Row],[Cuenta Bancaria]]="","",_xlfn.XLOOKUP(tblMovimientos[[#This Row],[Cuenta Bancaria]],Cuentas!$C:$C,Cuentas!$A:$A,"No encontrado"))</f>
        <v>SSP Group</v>
      </c>
      <c r="R768" s="91" t="str">
        <f>TRIM(_xlfn.XLOOKUP(tblMovimientos[[#This Row],[Cuenta Bancaria]],Cuentas!$C:$C,Cuentas!$B:$B,""))</f>
        <v/>
      </c>
    </row>
    <row r="769" spans="1:18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24111.11</v>
      </c>
      <c r="K769" s="5">
        <f t="shared" si="7"/>
        <v>-24111.11</v>
      </c>
      <c r="L769" s="15" t="s">
        <v>132</v>
      </c>
      <c r="M769" s="44">
        <f>SUMIFS('Saldos Iniciales'!$D:$D,'Saldos Iniciales'!$A:$A,C769,'Saldos Iniciales'!$B:$B,D769)+SUMIFS($K$1:$K$1325,$C$1:$C$1325,C769,$D$1:$D$1325,D769,$B$1:$B$1325,"&lt;="&amp;B769)</f>
        <v>1006435.0800000008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24111.11</v>
      </c>
      <c r="P769" s="28">
        <f>IF(tblMovimientos[[#This Row],[Tipo de Movimiento]]="Ingreso",tblMovimientos[[#This Row],[Ingreso]],-tblMovimientos[[#This Row],[Egreso]])</f>
        <v>-24111.11</v>
      </c>
      <c r="Q769" s="91" t="str">
        <f>IF(tblMovimientos[[#This Row],[Cuenta Bancaria]]="","",_xlfn.XLOOKUP(tblMovimientos[[#This Row],[Cuenta Bancaria]],Cuentas!$C:$C,Cuentas!$A:$A,"No encontrado"))</f>
        <v>SSP Group</v>
      </c>
      <c r="R769" s="91" t="str">
        <f>TRIM(_xlfn.XLOOKUP(tblMovimientos[[#This Row],[Cuenta Bancaria]],Cuentas!$C:$C,Cuentas!$B:$B,""))</f>
        <v/>
      </c>
    </row>
    <row r="770" spans="1:18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27083.33</v>
      </c>
      <c r="K770" s="5">
        <f t="shared" si="7"/>
        <v>-27083.33</v>
      </c>
      <c r="L770" s="15" t="s">
        <v>132</v>
      </c>
      <c r="M770" s="44">
        <f>SUMIFS('Saldos Iniciales'!$D:$D,'Saldos Iniciales'!$A:$A,C770,'Saldos Iniciales'!$B:$B,D770)+SUMIFS($K$1:$K$1325,$C$1:$C$1325,C770,$D$1:$D$1325,D770,$B$1:$B$1325,"&lt;="&amp;B770)</f>
        <v>1006435.0800000008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27083.33</v>
      </c>
      <c r="P770" s="28">
        <f>IF(tblMovimientos[[#This Row],[Tipo de Movimiento]]="Ingreso",tblMovimientos[[#This Row],[Ingreso]],-tblMovimientos[[#This Row],[Egreso]])</f>
        <v>-27083.33</v>
      </c>
      <c r="Q770" s="91" t="str">
        <f>IF(tblMovimientos[[#This Row],[Cuenta Bancaria]]="","",_xlfn.XLOOKUP(tblMovimientos[[#This Row],[Cuenta Bancaria]],Cuentas!$C:$C,Cuentas!$A:$A,"No encontrado"))</f>
        <v>SSP Group</v>
      </c>
      <c r="R770" s="91" t="str">
        <f>TRIM(_xlfn.XLOOKUP(tblMovimientos[[#This Row],[Cuenta Bancaria]],Cuentas!$C:$C,Cuentas!$B:$B,""))</f>
        <v/>
      </c>
    </row>
    <row r="771" spans="1:18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40000</v>
      </c>
      <c r="K771" s="5">
        <f t="shared" si="7"/>
        <v>-40000</v>
      </c>
      <c r="L771" s="15" t="s">
        <v>132</v>
      </c>
      <c r="M771" s="44">
        <f>SUMIFS('Saldos Iniciales'!$D:$D,'Saldos Iniciales'!$A:$A,C771,'Saldos Iniciales'!$B:$B,D771)+SUMIFS($K$1:$K$1325,$C$1:$C$1325,C771,$D$1:$D$1325,D771,$B$1:$B$1325,"&lt;="&amp;B771)</f>
        <v>1006435.0800000008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40000</v>
      </c>
      <c r="P771" s="28">
        <f>IF(tblMovimientos[[#This Row],[Tipo de Movimiento]]="Ingreso",tblMovimientos[[#This Row],[Ingreso]],-tblMovimientos[[#This Row],[Egreso]])</f>
        <v>-40000</v>
      </c>
      <c r="Q771" s="91" t="str">
        <f>IF(tblMovimientos[[#This Row],[Cuenta Bancaria]]="","",_xlfn.XLOOKUP(tblMovimientos[[#This Row],[Cuenta Bancaria]],Cuentas!$C:$C,Cuentas!$A:$A,"No encontrado"))</f>
        <v>SSP Group</v>
      </c>
      <c r="R771" s="91" t="str">
        <f>TRIM(_xlfn.XLOOKUP(tblMovimientos[[#This Row],[Cuenta Bancaria]],Cuentas!$C:$C,Cuentas!$B:$B,""))</f>
        <v/>
      </c>
    </row>
    <row r="772" spans="1:18" x14ac:dyDescent="0.3">
      <c r="B772" s="39">
        <v>46247</v>
      </c>
      <c r="C772" s="46" t="str">
        <f>_xlfn.XLOOKUP(tblMovimientos[[#This Row],[Cuenta Bancaria]],Listas!$B:$B,Listas!$A:$A,"")</f>
        <v>CFT Group</v>
      </c>
      <c r="D772" s="41" t="s">
        <v>95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46</v>
      </c>
      <c r="H772" s="4" t="str">
        <f>IFERROR(_xlfn.XLOOKUP(G772,Listas!E:E,Listas!F:F,""),"")</f>
        <v>Financiamiento</v>
      </c>
      <c r="I772" s="46" t="str">
        <f>IFERROR(_xlfn.XLOOKUP(G772,Listas!E:E,Listas!G:G,""),"")</f>
        <v>Externo</v>
      </c>
      <c r="J772" s="43">
        <v>57866.67</v>
      </c>
      <c r="K772" s="5">
        <f t="shared" si="7"/>
        <v>-57866.67</v>
      </c>
      <c r="L772" s="15" t="s">
        <v>132</v>
      </c>
      <c r="M772" s="44">
        <f>SUMIFS('Saldos Iniciales'!$D:$D,'Saldos Iniciales'!$A:$A,C772,'Saldos Iniciales'!$B:$B,D772)+SUMIFS($K$1:$K$1325,$C$1:$C$1325,C772,$D$1:$D$1325,D772,$B$1:$B$1325,"&lt;="&amp;B772)</f>
        <v>1006435.0800000008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57866.67</v>
      </c>
      <c r="P772" s="28">
        <f>IF(tblMovimientos[[#This Row],[Tipo de Movimiento]]="Ingreso",tblMovimientos[[#This Row],[Ingreso]],-tblMovimientos[[#This Row],[Egreso]])</f>
        <v>-57866.67</v>
      </c>
      <c r="Q772" s="91" t="str">
        <f>IF(tblMovimientos[[#This Row],[Cuenta Bancaria]]="","",_xlfn.XLOOKUP(tblMovimientos[[#This Row],[Cuenta Bancaria]],Cuentas!$C:$C,Cuentas!$A:$A,"No encontrado"))</f>
        <v>SSP Group</v>
      </c>
      <c r="R772" s="91" t="str">
        <f>TRIM(_xlfn.XLOOKUP(tblMovimientos[[#This Row],[Cuenta Bancaria]],Cuentas!$C:$C,Cuentas!$B:$B,""))</f>
        <v/>
      </c>
    </row>
    <row r="773" spans="1:18" x14ac:dyDescent="0.3">
      <c r="B773" s="39">
        <v>46247</v>
      </c>
      <c r="C773" s="46" t="str">
        <f>_xlfn.XLOOKUP(tblMovimientos[[#This Row],[Cuenta Bancaria]],Listas!$B:$B,Listas!$A:$A,"")</f>
        <v>CFT Group</v>
      </c>
      <c r="D773" s="41" t="s">
        <v>95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60000</v>
      </c>
      <c r="K773" s="5">
        <f t="shared" si="7"/>
        <v>-60000</v>
      </c>
      <c r="L773" s="15" t="s">
        <v>132</v>
      </c>
      <c r="M773" s="44">
        <f>SUMIFS('Saldos Iniciales'!$D:$D,'Saldos Iniciales'!$A:$A,C773,'Saldos Iniciales'!$B:$B,D773)+SUMIFS($K$1:$K$1325,$C$1:$C$1325,C773,$D$1:$D$1325,D773,$B$1:$B$1325,"&lt;="&amp;B773)</f>
        <v>1006435.0800000008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60000</v>
      </c>
      <c r="P773" s="28">
        <f>IF(tblMovimientos[[#This Row],[Tipo de Movimiento]]="Ingreso",tblMovimientos[[#This Row],[Ingreso]],-tblMovimientos[[#This Row],[Egreso]])</f>
        <v>-60000</v>
      </c>
      <c r="Q773" s="91" t="str">
        <f>IF(tblMovimientos[[#This Row],[Cuenta Bancaria]]="","",_xlfn.XLOOKUP(tblMovimientos[[#This Row],[Cuenta Bancaria]],Cuentas!$C:$C,Cuentas!$A:$A,"No encontrado"))</f>
        <v>SSP Group</v>
      </c>
      <c r="R773" s="91" t="str">
        <f>TRIM(_xlfn.XLOOKUP(tblMovimientos[[#This Row],[Cuenta Bancaria]],Cuentas!$C:$C,Cuentas!$B:$B,""))</f>
        <v/>
      </c>
    </row>
    <row r="774" spans="1:18" x14ac:dyDescent="0.3">
      <c r="B774" s="39">
        <v>46247</v>
      </c>
      <c r="C774" s="46" t="str">
        <f>_xlfn.XLOOKUP(tblMovimientos[[#This Row],[Cuenta Bancaria]],Listas!$B:$B,Listas!$A:$A,"")</f>
        <v>CFT Group</v>
      </c>
      <c r="D774" s="41" t="s">
        <v>95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72333.33</v>
      </c>
      <c r="K774" s="5">
        <f t="shared" si="7"/>
        <v>-72333.33</v>
      </c>
      <c r="L774" s="15" t="s">
        <v>132</v>
      </c>
      <c r="M774" s="44">
        <f>SUMIFS('Saldos Iniciales'!$D:$D,'Saldos Iniciales'!$A:$A,C774,'Saldos Iniciales'!$B:$B,D774)+SUMIFS($K$1:$K$1325,$C$1:$C$1325,C774,$D$1:$D$1325,D774,$B$1:$B$1325,"&lt;="&amp;B774)</f>
        <v>1006435.0800000008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72333.33</v>
      </c>
      <c r="P774" s="28">
        <f>IF(tblMovimientos[[#This Row],[Tipo de Movimiento]]="Ingreso",tblMovimientos[[#This Row],[Ingreso]],-tblMovimientos[[#This Row],[Egreso]])</f>
        <v>-72333.33</v>
      </c>
      <c r="Q774" s="91" t="str">
        <f>IF(tblMovimientos[[#This Row],[Cuenta Bancaria]]="","",_xlfn.XLOOKUP(tblMovimientos[[#This Row],[Cuenta Bancaria]],Cuentas!$C:$C,Cuentas!$A:$A,"No encontrado"))</f>
        <v>SSP Group</v>
      </c>
      <c r="R774" s="91" t="str">
        <f>TRIM(_xlfn.XLOOKUP(tblMovimientos[[#This Row],[Cuenta Bancaria]],Cuentas!$C:$C,Cuentas!$B:$B,""))</f>
        <v/>
      </c>
    </row>
    <row r="775" spans="1:18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95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85594.44</v>
      </c>
      <c r="K775" s="5">
        <f t="shared" si="7"/>
        <v>-85594.44</v>
      </c>
      <c r="L775" s="15" t="s">
        <v>132</v>
      </c>
      <c r="M775" s="44">
        <f>SUMIFS('Saldos Iniciales'!$D:$D,'Saldos Iniciales'!$A:$A,C775,'Saldos Iniciales'!$B:$B,D775)+SUMIFS($K$1:$K$1325,$C$1:$C$1325,C775,$D$1:$D$1325,D775,$B$1:$B$1325,"&lt;="&amp;B775)</f>
        <v>1006435.0800000008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85594.44</v>
      </c>
      <c r="P775" s="28">
        <f>IF(tblMovimientos[[#This Row],[Tipo de Movimiento]]="Ingreso",tblMovimientos[[#This Row],[Ingreso]],-tblMovimientos[[#This Row],[Egreso]])</f>
        <v>-85594.44</v>
      </c>
      <c r="Q775" s="91" t="str">
        <f>IF(tblMovimientos[[#This Row],[Cuenta Bancaria]]="","",_xlfn.XLOOKUP(tblMovimientos[[#This Row],[Cuenta Bancaria]],Cuentas!$C:$C,Cuentas!$A:$A,"No encontrado"))</f>
        <v>SSP Group</v>
      </c>
      <c r="R775" s="91" t="str">
        <f>TRIM(_xlfn.XLOOKUP(tblMovimientos[[#This Row],[Cuenta Bancaria]],Cuentas!$C:$C,Cuentas!$B:$B,""))</f>
        <v/>
      </c>
    </row>
    <row r="776" spans="1:18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95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100000</v>
      </c>
      <c r="K776" s="5">
        <f t="shared" si="7"/>
        <v>-100000</v>
      </c>
      <c r="L776" s="15" t="s">
        <v>132</v>
      </c>
      <c r="M776" s="44">
        <f>SUMIFS('Saldos Iniciales'!$D:$D,'Saldos Iniciales'!$A:$A,C776,'Saldos Iniciales'!$B:$B,D776)+SUMIFS($K$1:$K$1325,$C$1:$C$1325,C776,$D$1:$D$1325,D776,$B$1:$B$1325,"&lt;="&amp;B776)</f>
        <v>1006435.0800000008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100000</v>
      </c>
      <c r="P776" s="28">
        <f>IF(tblMovimientos[[#This Row],[Tipo de Movimiento]]="Ingreso",tblMovimientos[[#This Row],[Ingreso]],-tblMovimientos[[#This Row],[Egreso]])</f>
        <v>-100000</v>
      </c>
      <c r="Q776" s="91" t="str">
        <f>IF(tblMovimientos[[#This Row],[Cuenta Bancaria]]="","",_xlfn.XLOOKUP(tblMovimientos[[#This Row],[Cuenta Bancaria]],Cuentas!$C:$C,Cuentas!$A:$A,"No encontrado"))</f>
        <v>SSP Group</v>
      </c>
      <c r="R776" s="91" t="str">
        <f>TRIM(_xlfn.XLOOKUP(tblMovimientos[[#This Row],[Cuenta Bancaria]],Cuentas!$C:$C,Cuentas!$B:$B,""))</f>
        <v/>
      </c>
    </row>
    <row r="777" spans="1:18" x14ac:dyDescent="0.3">
      <c r="B777" s="39">
        <v>46247</v>
      </c>
      <c r="C777" s="46" t="str">
        <f>_xlfn.XLOOKUP(tblMovimientos[[#This Row],[Cuenta Bancaria]],Listas!$B:$B,Listas!$A:$A,"")</f>
        <v>CFT Group</v>
      </c>
      <c r="D777" s="41" t="s">
        <v>95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200000</v>
      </c>
      <c r="K777" s="5">
        <f t="shared" si="7"/>
        <v>-200000</v>
      </c>
      <c r="L777" s="15" t="s">
        <v>132</v>
      </c>
      <c r="M777" s="44">
        <f>SUMIFS('Saldos Iniciales'!$D:$D,'Saldos Iniciales'!$A:$A,C777,'Saldos Iniciales'!$B:$B,D777)+SUMIFS($K$1:$K$1325,$C$1:$C$1325,C777,$D$1:$D$1325,D777,$B$1:$B$1325,"&lt;="&amp;B777)</f>
        <v>1006435.0800000008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200000</v>
      </c>
      <c r="P777" s="28">
        <f>IF(tblMovimientos[[#This Row],[Tipo de Movimiento]]="Ingreso",tblMovimientos[[#This Row],[Ingreso]],-tblMovimientos[[#This Row],[Egreso]])</f>
        <v>-200000</v>
      </c>
      <c r="Q777" s="91" t="str">
        <f>IF(tblMovimientos[[#This Row],[Cuenta Bancaria]]="","",_xlfn.XLOOKUP(tblMovimientos[[#This Row],[Cuenta Bancaria]],Cuentas!$C:$C,Cuentas!$A:$A,"No encontrado"))</f>
        <v>SSP Group</v>
      </c>
      <c r="R777" s="91" t="str">
        <f>TRIM(_xlfn.XLOOKUP(tblMovimientos[[#This Row],[Cuenta Bancaria]],Cuentas!$C:$C,Cuentas!$B:$B,""))</f>
        <v/>
      </c>
    </row>
    <row r="778" spans="1:18" x14ac:dyDescent="0.3">
      <c r="A778" s="45"/>
      <c r="B778" s="39">
        <v>46247</v>
      </c>
      <c r="C778" s="46" t="str">
        <f>_xlfn.XLOOKUP(tblMovimientos[[#This Row],[Cuenta Bancaria]],Listas!$B:$B,Listas!$A:$A,"")</f>
        <v>Cross Family Trust</v>
      </c>
      <c r="D778" s="41" t="s">
        <v>111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7"/>
        <v>-10000</v>
      </c>
      <c r="L778" s="15" t="s">
        <v>132</v>
      </c>
      <c r="M778" s="44">
        <f>SUMIFS('Saldos Iniciales'!$D:$D,'Saldos Iniciales'!$A:$A,C778,'Saldos Iniciales'!$B:$B,D778)+SUMIFS($K$1:$K$1325,$C$1:$C$1325,C778,$D$1:$D$1325,D778,$B$1:$B$1325,"&lt;="&amp;B778)</f>
        <v>118717.6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  <c r="Q778" s="91" t="str">
        <f>IF(tblMovimientos[[#This Row],[Cuenta Bancaria]]="","",_xlfn.XLOOKUP(tblMovimientos[[#This Row],[Cuenta Bancaria]],Cuentas!$C:$C,Cuentas!$A:$A,"No encontrado"))</f>
        <v>Trust</v>
      </c>
      <c r="R778" s="91" t="str">
        <f>TRIM(_xlfn.XLOOKUP(tblMovimientos[[#This Row],[Cuenta Bancaria]],Cuentas!$C:$C,Cuentas!$B:$B,""))</f>
        <v/>
      </c>
    </row>
    <row r="779" spans="1:18" x14ac:dyDescent="0.3">
      <c r="B779" s="39">
        <v>46247</v>
      </c>
      <c r="C779" s="46" t="str">
        <f>_xlfn.XLOOKUP(tblMovimientos[[#This Row],[Cuenta Bancaria]],Listas!$B:$B,Listas!$A:$A,"")</f>
        <v>Cross Family Trust</v>
      </c>
      <c r="D779" s="41" t="s">
        <v>111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53</v>
      </c>
      <c r="H779" s="4" t="str">
        <f>IFERROR(_xlfn.XLOOKUP(G779,Listas!E:E,Listas!F:F,""),"")</f>
        <v>Inversion</v>
      </c>
      <c r="I779" s="46" t="str">
        <f>IFERROR(_xlfn.XLOOKUP(G779,Listas!E:E,Listas!G:G,""),"")</f>
        <v>Interno</v>
      </c>
      <c r="J779" s="43">
        <v>500000</v>
      </c>
      <c r="K779" s="5">
        <f t="shared" si="7"/>
        <v>-500000</v>
      </c>
      <c r="L779" s="15" t="s">
        <v>132</v>
      </c>
      <c r="M779" s="44">
        <f>SUMIFS('Saldos Iniciales'!$D:$D,'Saldos Iniciales'!$A:$A,C779,'Saldos Iniciales'!$B:$B,D779)+SUMIFS($K$1:$K$1325,$C$1:$C$1325,C779,$D$1:$D$1325,D779,$B$1:$B$1325,"&lt;="&amp;B779)</f>
        <v>118717.6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500000</v>
      </c>
      <c r="P779" s="28">
        <f>IF(tblMovimientos[[#This Row],[Tipo de Movimiento]]="Ingreso",tblMovimientos[[#This Row],[Ingreso]],-tblMovimientos[[#This Row],[Egreso]])</f>
        <v>-500000</v>
      </c>
      <c r="Q779" s="91" t="str">
        <f>IF(tblMovimientos[[#This Row],[Cuenta Bancaria]]="","",_xlfn.XLOOKUP(tblMovimientos[[#This Row],[Cuenta Bancaria]],Cuentas!$C:$C,Cuentas!$A:$A,"No encontrado"))</f>
        <v>Trust</v>
      </c>
      <c r="R779" s="91" t="str">
        <f>TRIM(_xlfn.XLOOKUP(tblMovimientos[[#This Row],[Cuenta Bancaria]],Cuentas!$C:$C,Cuentas!$B:$B,""))</f>
        <v/>
      </c>
    </row>
    <row r="780" spans="1:18" x14ac:dyDescent="0.3">
      <c r="B780" s="39">
        <v>46247</v>
      </c>
      <c r="C780" s="46" t="str">
        <f>_xlfn.XLOOKUP(tblMovimientos[[#This Row],[Cuenta Bancaria]],Listas!$B:$B,Listas!$A:$A,"")</f>
        <v>SSP Capital</v>
      </c>
      <c r="D780" s="41" t="s">
        <v>104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9902.7800000000007</v>
      </c>
      <c r="K780" s="5">
        <f t="shared" si="7"/>
        <v>-9902.7800000000007</v>
      </c>
      <c r="L780" s="15" t="s">
        <v>132</v>
      </c>
      <c r="M780" s="44">
        <f>SUMIFS('Saldos Iniciales'!$D:$D,'Saldos Iniciales'!$A:$A,C780,'Saldos Iniciales'!$B:$B,D780)+SUMIFS($K$1:$K$1325,$C$1:$C$1325,C780,$D$1:$D$1325,D780,$B$1:$B$1325,"&lt;="&amp;B780)</f>
        <v>568040.45999999926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9902.7800000000007</v>
      </c>
      <c r="P780" s="28">
        <f>IF(tblMovimientos[[#This Row],[Tipo de Movimiento]]="Ingreso",tblMovimientos[[#This Row],[Ingreso]],-tblMovimientos[[#This Row],[Egreso]])</f>
        <v>-9902.7800000000007</v>
      </c>
      <c r="Q780" s="91" t="str">
        <f>IF(tblMovimientos[[#This Row],[Cuenta Bancaria]]="","",_xlfn.XLOOKUP(tblMovimientos[[#This Row],[Cuenta Bancaria]],Cuentas!$C:$C,Cuentas!$A:$A,"No encontrado"))</f>
        <v>SSP Group</v>
      </c>
      <c r="R780" s="91" t="str">
        <f>TRIM(_xlfn.XLOOKUP(tblMovimientos[[#This Row],[Cuenta Bancaria]],Cuentas!$C:$C,Cuentas!$B:$B,""))</f>
        <v/>
      </c>
    </row>
    <row r="781" spans="1:18" x14ac:dyDescent="0.3">
      <c r="B781" s="39">
        <v>46247</v>
      </c>
      <c r="C781" s="46" t="str">
        <f>_xlfn.XLOOKUP(tblMovimientos[[#This Row],[Cuenta Bancaria]],Listas!$B:$B,Listas!$A:$A,"")</f>
        <v>SSP Capital</v>
      </c>
      <c r="D781" s="41" t="s">
        <v>104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55455.56</v>
      </c>
      <c r="K781" s="5">
        <f t="shared" si="7"/>
        <v>-55455.56</v>
      </c>
      <c r="L781" s="15" t="s">
        <v>132</v>
      </c>
      <c r="M781" s="44">
        <f>SUMIFS('Saldos Iniciales'!$D:$D,'Saldos Iniciales'!$A:$A,C781,'Saldos Iniciales'!$B:$B,D781)+SUMIFS($K$1:$K$1325,$C$1:$C$1325,C781,$D$1:$D$1325,D781,$B$1:$B$1325,"&lt;="&amp;B781)</f>
        <v>568040.45999999926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55455.56</v>
      </c>
      <c r="P781" s="28">
        <f>IF(tblMovimientos[[#This Row],[Tipo de Movimiento]]="Ingreso",tblMovimientos[[#This Row],[Ingreso]],-tblMovimientos[[#This Row],[Egreso]])</f>
        <v>-55455.56</v>
      </c>
      <c r="Q781" s="91" t="str">
        <f>IF(tblMovimientos[[#This Row],[Cuenta Bancaria]]="","",_xlfn.XLOOKUP(tblMovimientos[[#This Row],[Cuenta Bancaria]],Cuentas!$C:$C,Cuentas!$A:$A,"No encontrado"))</f>
        <v>SSP Group</v>
      </c>
      <c r="R781" s="91" t="str">
        <f>TRIM(_xlfn.XLOOKUP(tblMovimientos[[#This Row],[Cuenta Bancaria]],Cuentas!$C:$C,Cuentas!$B:$B,""))</f>
        <v/>
      </c>
    </row>
    <row r="782" spans="1:18" x14ac:dyDescent="0.3">
      <c r="B782" s="39">
        <v>46247</v>
      </c>
      <c r="C782" s="46" t="str">
        <f>_xlfn.XLOOKUP(tblMovimientos[[#This Row],[Cuenta Bancaria]],Listas!$B:$B,Listas!$A:$A,"")</f>
        <v>SSP Capital</v>
      </c>
      <c r="D782" s="41" t="s">
        <v>104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138638.89000000001</v>
      </c>
      <c r="K782" s="5">
        <f t="shared" si="7"/>
        <v>-138638.89000000001</v>
      </c>
      <c r="L782" s="15" t="s">
        <v>132</v>
      </c>
      <c r="M782" s="44">
        <f>SUMIFS('Saldos Iniciales'!$D:$D,'Saldos Iniciales'!$A:$A,C782,'Saldos Iniciales'!$B:$B,D782)+SUMIFS($K$1:$K$1325,$C$1:$C$1325,C782,$D$1:$D$1325,D782,$B$1:$B$1325,"&lt;="&amp;B782)</f>
        <v>568040.45999999926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138638.89000000001</v>
      </c>
      <c r="P782" s="28">
        <f>IF(tblMovimientos[[#This Row],[Tipo de Movimiento]]="Ingreso",tblMovimientos[[#This Row],[Ingreso]],-tblMovimientos[[#This Row],[Egreso]])</f>
        <v>-138638.89000000001</v>
      </c>
      <c r="Q782" s="91" t="str">
        <f>IF(tblMovimientos[[#This Row],[Cuenta Bancaria]]="","",_xlfn.XLOOKUP(tblMovimientos[[#This Row],[Cuenta Bancaria]],Cuentas!$C:$C,Cuentas!$A:$A,"No encontrado"))</f>
        <v>SSP Group</v>
      </c>
      <c r="R782" s="91" t="str">
        <f>TRIM(_xlfn.XLOOKUP(tblMovimientos[[#This Row],[Cuenta Bancaria]],Cuentas!$C:$C,Cuentas!$B:$B,""))</f>
        <v/>
      </c>
    </row>
    <row r="783" spans="1:18" x14ac:dyDescent="0.3">
      <c r="B783" s="39">
        <v>46247</v>
      </c>
      <c r="C783" s="46" t="str">
        <f>_xlfn.XLOOKUP(tblMovimientos[[#This Row],[Cuenta Bancaria]],Listas!$B:$B,Listas!$A:$A,"")</f>
        <v>Green Harbor Trust</v>
      </c>
      <c r="D783" s="41" t="s">
        <v>125</v>
      </c>
      <c r="E783" s="4" t="str">
        <f>_xlfn.XLOOKUP(tblMovimientos[[#This Row],[Cuenta Bancaria]],Listas!$B:$B,Listas!$C:$C,"")</f>
        <v xml:space="preserve">Amerant Bank </v>
      </c>
      <c r="F783" s="41" t="s">
        <v>9</v>
      </c>
      <c r="G783" s="41" t="s">
        <v>85</v>
      </c>
      <c r="H783" s="4" t="str">
        <f>IFERROR(_xlfn.XLOOKUP(G783,Listas!E:E,Listas!F:F,""),"")</f>
        <v>Operativo</v>
      </c>
      <c r="I783" s="46" t="str">
        <f>IFERROR(_xlfn.XLOOKUP(G783,Listas!E:E,Listas!G:G,""),"")</f>
        <v>Interno</v>
      </c>
      <c r="J783" s="43">
        <v>10000</v>
      </c>
      <c r="K783" s="5">
        <f t="shared" si="7"/>
        <v>10000</v>
      </c>
      <c r="L783" s="15" t="s">
        <v>132</v>
      </c>
      <c r="M783" s="44">
        <f>SUMIFS('Saldos Iniciales'!$D:$D,'Saldos Iniciales'!$A:$A,C783,'Saldos Iniciales'!$B:$B,D783)+SUMIFS($K$1:$K$1325,$C$1:$C$1325,C783,$D$1:$D$1325,D783,$B$1:$B$1325,"&lt;="&amp;B783)</f>
        <v>345</v>
      </c>
      <c r="N783" s="65">
        <f>IF(tblMovimientos[[#This Row],[Tipo de Movimiento]]="Ingreso",tblMovimientos[[#This Row],[Monto (S/)]],"0")</f>
        <v>10000</v>
      </c>
      <c r="O783" s="65" t="str">
        <f>IF(tblMovimientos[[#This Row],[Tipo de Movimiento]]="Egreso",tblMovimientos[[#This Row],[Monto (S/)]],"0")</f>
        <v>0</v>
      </c>
      <c r="P783" s="28">
        <f>IF(tblMovimientos[[#This Row],[Tipo de Movimiento]]="Ingreso",tblMovimientos[[#This Row],[Ingreso]],-tblMovimientos[[#This Row],[Egreso]])</f>
        <v>10000</v>
      </c>
      <c r="Q783" s="91" t="str">
        <f>IF(tblMovimientos[[#This Row],[Cuenta Bancaria]]="","",_xlfn.XLOOKUP(tblMovimientos[[#This Row],[Cuenta Bancaria]],Cuentas!$C:$C,Cuentas!$A:$A,"No encontrado"))</f>
        <v>SSP Group</v>
      </c>
      <c r="R783" s="91" t="str">
        <f>TRIM(_xlfn.XLOOKUP(tblMovimientos[[#This Row],[Cuenta Bancaria]],Cuentas!$C:$C,Cuentas!$B:$B,""))</f>
        <v/>
      </c>
    </row>
    <row r="784" spans="1:18" x14ac:dyDescent="0.3">
      <c r="A784" s="45"/>
      <c r="B784" s="39">
        <v>46247</v>
      </c>
      <c r="C784" s="46" t="str">
        <f>_xlfn.XLOOKUP(tblMovimientos[[#This Row],[Cuenta Bancaria]],Listas!$B:$B,Listas!$A:$A,"")</f>
        <v>Green Harbor Trust</v>
      </c>
      <c r="D784" s="41" t="s">
        <v>125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64</v>
      </c>
      <c r="H784" s="46" t="str">
        <f>IFERROR(_xlfn.XLOOKUP(G784,Listas!E:E,Listas!F:F,""),"")</f>
        <v>Operativo</v>
      </c>
      <c r="I784" s="46" t="str">
        <f>IFERROR(_xlfn.XLOOKUP(G784,Listas!E:E,Listas!G:G,""),"")</f>
        <v>Interno</v>
      </c>
      <c r="J784" s="43">
        <v>10000</v>
      </c>
      <c r="K784" s="5">
        <f t="shared" si="7"/>
        <v>-10000</v>
      </c>
      <c r="L784" s="15" t="s">
        <v>132</v>
      </c>
      <c r="M784" s="44">
        <f>SUMIFS('Saldos Iniciales'!$D:$D,'Saldos Iniciales'!$A:$A,C784,'Saldos Iniciales'!$B:$B,D784)+SUMIFS($K$1:$K$1325,$C$1:$C$1325,C784,$D$1:$D$1325,D784,$B$1:$B$1325,"&lt;="&amp;B784)</f>
        <v>345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</v>
      </c>
      <c r="P784" s="28">
        <f>IF(tblMovimientos[[#This Row],[Tipo de Movimiento]]="Ingreso",tblMovimientos[[#This Row],[Ingreso]],-tblMovimientos[[#This Row],[Egreso]])</f>
        <v>-10000</v>
      </c>
      <c r="Q784" s="91" t="str">
        <f>IF(tblMovimientos[[#This Row],[Cuenta Bancaria]]="","",_xlfn.XLOOKUP(tblMovimientos[[#This Row],[Cuenta Bancaria]],Cuentas!$C:$C,Cuentas!$A:$A,"No encontrado"))</f>
        <v>SSP Group</v>
      </c>
      <c r="R784" s="91" t="str">
        <f>TRIM(_xlfn.XLOOKUP(tblMovimientos[[#This Row],[Cuenta Bancaria]],Cuentas!$C:$C,Cuentas!$B:$B,""))</f>
        <v/>
      </c>
    </row>
    <row r="785" spans="1:18" x14ac:dyDescent="0.3">
      <c r="B785" s="39">
        <v>46247</v>
      </c>
      <c r="C785" s="46" t="str">
        <f>_xlfn.XLOOKUP(tblMovimientos[[#This Row],[Cuenta Bancaria]],Listas!$B:$B,Listas!$A:$A,"")</f>
        <v>Go Blue</v>
      </c>
      <c r="D785" s="41" t="s">
        <v>126</v>
      </c>
      <c r="E785" s="4" t="str">
        <f>_xlfn.XLOOKUP(tblMovimientos[[#This Row],[Cuenta Bancaria]],Listas!$B:$B,Listas!$C:$C,"")</f>
        <v xml:space="preserve">Amerant Bank </v>
      </c>
      <c r="F785" s="41" t="s">
        <v>9</v>
      </c>
      <c r="G785" s="41" t="s">
        <v>85</v>
      </c>
      <c r="H785" s="4" t="str">
        <f>IFERROR(_xlfn.XLOOKUP(G785,Listas!E:E,Listas!F:F,""),"")</f>
        <v>Operativo</v>
      </c>
      <c r="I785" s="46" t="str">
        <f>IFERROR(_xlfn.XLOOKUP(G785,Listas!E:E,Listas!G:G,""),"")</f>
        <v>Interno</v>
      </c>
      <c r="J785" s="43">
        <v>10000</v>
      </c>
      <c r="K785" s="5">
        <f t="shared" si="7"/>
        <v>10000</v>
      </c>
      <c r="L785" s="15" t="s">
        <v>132</v>
      </c>
      <c r="M785" s="44">
        <f>SUMIFS('Saldos Iniciales'!$D:$D,'Saldos Iniciales'!$A:$A,C785,'Saldos Iniciales'!$B:$B,D785)+SUMIFS($K$1:$K$1325,$C$1:$C$1325,C785,$D$1:$D$1325,D785,$B$1:$B$1325,"&lt;="&amp;B785)</f>
        <v>12455.609999999997</v>
      </c>
      <c r="N785" s="65">
        <f>IF(tblMovimientos[[#This Row],[Tipo de Movimiento]]="Ingreso",tblMovimientos[[#This Row],[Monto (S/)]],"0")</f>
        <v>10000</v>
      </c>
      <c r="O785" s="65" t="str">
        <f>IF(tblMovimientos[[#This Row],[Tipo de Movimiento]]="Egreso",tblMovimientos[[#This Row],[Monto (S/)]],"0")</f>
        <v>0</v>
      </c>
      <c r="P785" s="28">
        <f>IF(tblMovimientos[[#This Row],[Tipo de Movimiento]]="Ingreso",tblMovimientos[[#This Row],[Ingreso]],-tblMovimientos[[#This Row],[Egreso]])</f>
        <v>10000</v>
      </c>
      <c r="Q785" s="91" t="str">
        <f>IF(tblMovimientos[[#This Row],[Cuenta Bancaria]]="","",_xlfn.XLOOKUP(tblMovimientos[[#This Row],[Cuenta Bancaria]],Cuentas!$C:$C,Cuentas!$A:$A,"No encontrado"))</f>
        <v>SSP Group</v>
      </c>
      <c r="R785" s="91" t="str">
        <f>TRIM(_xlfn.XLOOKUP(tblMovimientos[[#This Row],[Cuenta Bancaria]],Cuentas!$C:$C,Cuentas!$B:$B,""))</f>
        <v/>
      </c>
    </row>
    <row r="786" spans="1:18" x14ac:dyDescent="0.3">
      <c r="B786" s="39">
        <v>46247</v>
      </c>
      <c r="C786" s="46" t="str">
        <f>_xlfn.XLOOKUP(tblMovimientos[[#This Row],[Cuenta Bancaria]],Listas!$B:$B,Listas!$A:$A,"")</f>
        <v>Go Blue</v>
      </c>
      <c r="D786" s="41" t="s">
        <v>126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38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2500</v>
      </c>
      <c r="K786" s="5">
        <f t="shared" si="7"/>
        <v>-2500</v>
      </c>
      <c r="L786" s="15" t="s">
        <v>132</v>
      </c>
      <c r="M786" s="44">
        <f>SUMIFS('Saldos Iniciales'!$D:$D,'Saldos Iniciales'!$A:$A,C786,'Saldos Iniciales'!$B:$B,D786)+SUMIFS($K$1:$K$1325,$C$1:$C$1325,C786,$D$1:$D$1325,D786,$B$1:$B$1325,"&lt;="&amp;B786)</f>
        <v>12455.609999999997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2500</v>
      </c>
      <c r="P786" s="28">
        <f>IF(tblMovimientos[[#This Row],[Tipo de Movimiento]]="Ingreso",tblMovimientos[[#This Row],[Ingreso]],-tblMovimientos[[#This Row],[Egreso]])</f>
        <v>-2500</v>
      </c>
      <c r="Q786" s="91" t="str">
        <f>IF(tblMovimientos[[#This Row],[Cuenta Bancaria]]="","",_xlfn.XLOOKUP(tblMovimientos[[#This Row],[Cuenta Bancaria]],Cuentas!$C:$C,Cuentas!$A:$A,"No encontrado"))</f>
        <v>SSP Group</v>
      </c>
      <c r="R786" s="91" t="str">
        <f>TRIM(_xlfn.XLOOKUP(tblMovimientos[[#This Row],[Cuenta Bancaria]],Cuentas!$C:$C,Cuentas!$B:$B,""))</f>
        <v/>
      </c>
    </row>
    <row r="787" spans="1:18" x14ac:dyDescent="0.3">
      <c r="B787" s="39">
        <v>46247</v>
      </c>
      <c r="C787" s="46" t="str">
        <f>_xlfn.XLOOKUP(tblMovimientos[[#This Row],[Cuenta Bancaria]],Listas!$B:$B,Listas!$A:$A,"")</f>
        <v>Go Blue</v>
      </c>
      <c r="D787" s="41" t="s">
        <v>126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15</v>
      </c>
      <c r="K787" s="5">
        <f t="shared" si="7"/>
        <v>-15</v>
      </c>
      <c r="L787" s="15" t="s">
        <v>132</v>
      </c>
      <c r="M787" s="44">
        <f>SUMIFS('Saldos Iniciales'!$D:$D,'Saldos Iniciales'!$A:$A,C787,'Saldos Iniciales'!$B:$B,D787)+SUMIFS($K$1:$K$1325,$C$1:$C$1325,C787,$D$1:$D$1325,D787,$B$1:$B$1325,"&lt;="&amp;B787)</f>
        <v>12455.609999999997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15</v>
      </c>
      <c r="P787" s="28">
        <f>IF(tblMovimientos[[#This Row],[Tipo de Movimiento]]="Ingreso",tblMovimientos[[#This Row],[Ingreso]],-tblMovimientos[[#This Row],[Egreso]])</f>
        <v>-15</v>
      </c>
      <c r="Q787" s="91" t="str">
        <f>IF(tblMovimientos[[#This Row],[Cuenta Bancaria]]="","",_xlfn.XLOOKUP(tblMovimientos[[#This Row],[Cuenta Bancaria]],Cuentas!$C:$C,Cuentas!$A:$A,"No encontrado"))</f>
        <v>SSP Group</v>
      </c>
      <c r="R787" s="91" t="str">
        <f>TRIM(_xlfn.XLOOKUP(tblMovimientos[[#This Row],[Cuenta Bancaria]],Cuentas!$C:$C,Cuentas!$B:$B,""))</f>
        <v/>
      </c>
    </row>
    <row r="788" spans="1:18" x14ac:dyDescent="0.3">
      <c r="B788" s="39">
        <v>46247</v>
      </c>
      <c r="C788" s="46" t="str">
        <f>_xlfn.XLOOKUP(tblMovimientos[[#This Row],[Cuenta Bancaria]],Listas!$B:$B,Listas!$A:$A,"")</f>
        <v>Go Blue</v>
      </c>
      <c r="D788" s="41" t="s">
        <v>126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5199.1400000000003</v>
      </c>
      <c r="K788" s="5">
        <f t="shared" si="7"/>
        <v>-5199.1400000000003</v>
      </c>
      <c r="L788" s="15" t="s">
        <v>132</v>
      </c>
      <c r="M788" s="44">
        <f>SUMIFS('Saldos Iniciales'!$D:$D,'Saldos Iniciales'!$A:$A,C788,'Saldos Iniciales'!$B:$B,D788)+SUMIFS($K$1:$K$1325,$C$1:$C$1325,C788,$D$1:$D$1325,D788,$B$1:$B$1325,"&lt;="&amp;B788)</f>
        <v>12455.609999999997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5199.1400000000003</v>
      </c>
      <c r="P788" s="28">
        <f>IF(tblMovimientos[[#This Row],[Tipo de Movimiento]]="Ingreso",tblMovimientos[[#This Row],[Ingreso]],-tblMovimientos[[#This Row],[Egreso]])</f>
        <v>-5199.1400000000003</v>
      </c>
      <c r="Q788" s="91" t="str">
        <f>IF(tblMovimientos[[#This Row],[Cuenta Bancaria]]="","",_xlfn.XLOOKUP(tblMovimientos[[#This Row],[Cuenta Bancaria]],Cuentas!$C:$C,Cuentas!$A:$A,"No encontrado"))</f>
        <v>SSP Group</v>
      </c>
      <c r="R788" s="91" t="str">
        <f>TRIM(_xlfn.XLOOKUP(tblMovimientos[[#This Row],[Cuenta Bancaria]],Cuentas!$C:$C,Cuentas!$B:$B,""))</f>
        <v/>
      </c>
    </row>
    <row r="789" spans="1:18" x14ac:dyDescent="0.3">
      <c r="B789" s="39">
        <v>46247</v>
      </c>
      <c r="C789" s="46" t="str">
        <f>_xlfn.XLOOKUP(tblMovimientos[[#This Row],[Cuenta Bancaria]],Listas!$B:$B,Listas!$A:$A,"")</f>
        <v>Go Blue</v>
      </c>
      <c r="D789" s="41" t="s">
        <v>126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44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15</v>
      </c>
      <c r="K789" s="5">
        <f t="shared" si="7"/>
        <v>-15</v>
      </c>
      <c r="L789" s="15" t="s">
        <v>132</v>
      </c>
      <c r="M789" s="44">
        <f>SUMIFS('Saldos Iniciales'!$D:$D,'Saldos Iniciales'!$A:$A,C789,'Saldos Iniciales'!$B:$B,D789)+SUMIFS($K$1:$K$1325,$C$1:$C$1325,C789,$D$1:$D$1325,D789,$B$1:$B$1325,"&lt;="&amp;B789)</f>
        <v>12455.609999999997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15</v>
      </c>
      <c r="P789" s="28">
        <f>IF(tblMovimientos[[#This Row],[Tipo de Movimiento]]="Ingreso",tblMovimientos[[#This Row],[Ingreso]],-tblMovimientos[[#This Row],[Egreso]])</f>
        <v>-15</v>
      </c>
      <c r="Q789" s="91" t="str">
        <f>IF(tblMovimientos[[#This Row],[Cuenta Bancaria]]="","",_xlfn.XLOOKUP(tblMovimientos[[#This Row],[Cuenta Bancaria]],Cuentas!$C:$C,Cuentas!$A:$A,"No encontrado"))</f>
        <v>SSP Group</v>
      </c>
      <c r="R789" s="91" t="str">
        <f>TRIM(_xlfn.XLOOKUP(tblMovimientos[[#This Row],[Cuenta Bancaria]],Cuentas!$C:$C,Cuentas!$B:$B,""))</f>
        <v/>
      </c>
    </row>
    <row r="790" spans="1:18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96</v>
      </c>
      <c r="E790" s="46" t="str">
        <f>_xlfn.XLOOKUP(tblMovimientos[[#This Row],[Cuenta Bancaria]],Listas!$B:$B,Listas!$C:$C,"")</f>
        <v>Northern Trust</v>
      </c>
      <c r="F790" s="41" t="s">
        <v>10</v>
      </c>
      <c r="G790" s="41" t="s">
        <v>44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18.8</v>
      </c>
      <c r="K790" s="5">
        <f t="shared" si="7"/>
        <v>-18.8</v>
      </c>
      <c r="L790" s="15" t="s">
        <v>132</v>
      </c>
      <c r="M790" s="44">
        <f>SUMIFS('Saldos Iniciales'!$D:$D,'Saldos Iniciales'!$A:$A,C790,'Saldos Iniciales'!$B:$B,D790)+SUMIFS($K$1:$K$1325,$C$1:$C$1325,C790,$D$1:$D$1325,D790,$B$1:$B$1325,"&lt;="&amp;B790)</f>
        <v>5237.2300000000005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18.8</v>
      </c>
      <c r="P790" s="28">
        <f>IF(tblMovimientos[[#This Row],[Tipo de Movimiento]]="Ingreso",tblMovimientos[[#This Row],[Ingreso]],-tblMovimientos[[#This Row],[Egreso]])</f>
        <v>-18.8</v>
      </c>
      <c r="Q790" s="91" t="str">
        <f>IF(tblMovimientos[[#This Row],[Cuenta Bancaria]]="","",_xlfn.XLOOKUP(tblMovimientos[[#This Row],[Cuenta Bancaria]],Cuentas!$C:$C,Cuentas!$A:$A,"No encontrado"))</f>
        <v>SSP Group</v>
      </c>
      <c r="R790" s="91" t="str">
        <f>TRIM(_xlfn.XLOOKUP(tblMovimientos[[#This Row],[Cuenta Bancaria]],Cuentas!$C:$C,Cuentas!$B:$B,""))</f>
        <v/>
      </c>
    </row>
    <row r="791" spans="1:18" x14ac:dyDescent="0.3">
      <c r="B791" s="39">
        <v>46247</v>
      </c>
      <c r="C791" s="46" t="str">
        <f>_xlfn.XLOOKUP(tblMovimientos[[#This Row],[Cuenta Bancaria]],Listas!$B:$B,Listas!$A:$A,"")</f>
        <v>SSP Capital</v>
      </c>
      <c r="D791" s="41" t="s">
        <v>105</v>
      </c>
      <c r="E791" s="4" t="str">
        <f>_xlfn.XLOOKUP(tblMovimientos[[#This Row],[Cuenta Bancaria]],Listas!$B:$B,Listas!$C:$C,"")</f>
        <v>Northern Trust</v>
      </c>
      <c r="F791" s="41" t="s">
        <v>10</v>
      </c>
      <c r="G791" s="41" t="s">
        <v>44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108.95</v>
      </c>
      <c r="K791" s="5">
        <f t="shared" si="7"/>
        <v>-108.95</v>
      </c>
      <c r="L791" s="15" t="s">
        <v>132</v>
      </c>
      <c r="M791" s="44">
        <f>SUMIFS('Saldos Iniciales'!$D:$D,'Saldos Iniciales'!$A:$A,C791,'Saldos Iniciales'!$B:$B,D791)+SUMIFS($K$1:$K$1325,$C$1:$C$1325,C791,$D$1:$D$1325,D791,$B$1:$B$1325,"&lt;="&amp;B791)</f>
        <v>4652.25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108.95</v>
      </c>
      <c r="P791" s="28">
        <f>IF(tblMovimientos[[#This Row],[Tipo de Movimiento]]="Ingreso",tblMovimientos[[#This Row],[Ingreso]],-tblMovimientos[[#This Row],[Egreso]])</f>
        <v>-108.95</v>
      </c>
      <c r="Q791" s="91" t="str">
        <f>IF(tblMovimientos[[#This Row],[Cuenta Bancaria]]="","",_xlfn.XLOOKUP(tblMovimientos[[#This Row],[Cuenta Bancaria]],Cuentas!$C:$C,Cuentas!$A:$A,"No encontrado"))</f>
        <v>SSP Group</v>
      </c>
      <c r="R791" s="91" t="str">
        <f>TRIM(_xlfn.XLOOKUP(tblMovimientos[[#This Row],[Cuenta Bancaria]],Cuentas!$C:$C,Cuentas!$B:$B,""))</f>
        <v/>
      </c>
    </row>
    <row r="792" spans="1:18" x14ac:dyDescent="0.3">
      <c r="B792" s="39">
        <v>46248</v>
      </c>
      <c r="C792" s="46" t="str">
        <f>_xlfn.XLOOKUP(tblMovimientos[[#This Row],[Cuenta Bancaria]],Listas!$B:$B,Listas!$A:$A,"")</f>
        <v>2515 Overbrook</v>
      </c>
      <c r="D792" s="41" t="s">
        <v>121</v>
      </c>
      <c r="E792" s="73" t="str">
        <f>_xlfn.XLOOKUP(tblMovimientos[[#This Row],[Cuenta Bancaria]],Listas!$B:$B,Listas!$C:$C,"")</f>
        <v>Bank of America</v>
      </c>
      <c r="F792" s="41" t="s">
        <v>10</v>
      </c>
      <c r="G792" s="41" t="s">
        <v>44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15</v>
      </c>
      <c r="K792" s="5">
        <f t="shared" si="7"/>
        <v>-15</v>
      </c>
      <c r="L792" s="15" t="s">
        <v>132</v>
      </c>
      <c r="M792" s="44">
        <f>SUMIFS('Saldos Iniciales'!$D:$D,'Saldos Iniciales'!$A:$A,C792,'Saldos Iniciales'!$B:$B,D792)+SUMIFS($K$1:$K$1325,$C$1:$C$1325,C792,$D$1:$D$1325,D792,$B$1:$B$1325,"&lt;="&amp;B792)</f>
        <v>13375.289999999964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15</v>
      </c>
      <c r="P792" s="28">
        <f>IF(tblMovimientos[[#This Row],[Tipo de Movimiento]]="Ingreso",tblMovimientos[[#This Row],[Ingreso]],-tblMovimientos[[#This Row],[Egreso]])</f>
        <v>-15</v>
      </c>
      <c r="Q792" s="91" t="str">
        <f>IF(tblMovimientos[[#This Row],[Cuenta Bancaria]]="","",_xlfn.XLOOKUP(tblMovimientos[[#This Row],[Cuenta Bancaria]],Cuentas!$C:$C,Cuentas!$A:$A,"No encontrado"))</f>
        <v>SSP Group</v>
      </c>
      <c r="R792" s="91" t="str">
        <f>TRIM(_xlfn.XLOOKUP(tblMovimientos[[#This Row],[Cuenta Bancaria]],Cuentas!$C:$C,Cuentas!$B:$B,""))</f>
        <v/>
      </c>
    </row>
    <row r="793" spans="1:18" x14ac:dyDescent="0.3">
      <c r="B793" s="39">
        <v>46248</v>
      </c>
      <c r="C793" s="46" t="str">
        <f>_xlfn.XLOOKUP(tblMovimientos[[#This Row],[Cuenta Bancaria]],Listas!$B:$B,Listas!$A:$A,"")</f>
        <v>CFT Group</v>
      </c>
      <c r="D793" s="41" t="s">
        <v>95</v>
      </c>
      <c r="E793" s="73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61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100000</v>
      </c>
      <c r="K793" s="5">
        <f t="shared" si="7"/>
        <v>-100000</v>
      </c>
      <c r="L793" s="15" t="s">
        <v>132</v>
      </c>
      <c r="M793" s="44">
        <f>SUMIFS('Saldos Iniciales'!$D:$D,'Saldos Iniciales'!$A:$A,C793,'Saldos Iniciales'!$B:$B,D793)+SUMIFS($K$1:$K$1325,$C$1:$C$1325,C793,$D$1:$D$1325,D793,$B$1:$B$1325,"&lt;="&amp;B793)</f>
        <v>906435.08000000077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100000</v>
      </c>
      <c r="P793" s="28">
        <f>IF(tblMovimientos[[#This Row],[Tipo de Movimiento]]="Ingreso",tblMovimientos[[#This Row],[Ingreso]],-tblMovimientos[[#This Row],[Egreso]])</f>
        <v>-100000</v>
      </c>
      <c r="Q793" s="91" t="str">
        <f>IF(tblMovimientos[[#This Row],[Cuenta Bancaria]]="","",_xlfn.XLOOKUP(tblMovimientos[[#This Row],[Cuenta Bancaria]],Cuentas!$C:$C,Cuentas!$A:$A,"No encontrado"))</f>
        <v>SSP Group</v>
      </c>
      <c r="R793" s="91" t="str">
        <f>TRIM(_xlfn.XLOOKUP(tblMovimientos[[#This Row],[Cuenta Bancaria]],Cuentas!$C:$C,Cuentas!$B:$B,""))</f>
        <v/>
      </c>
    </row>
    <row r="794" spans="1:18" x14ac:dyDescent="0.3">
      <c r="B794" s="39">
        <v>46248</v>
      </c>
      <c r="C794" s="46" t="str">
        <f>_xlfn.XLOOKUP(tblMovimientos[[#This Row],[Cuenta Bancaria]],Listas!$B:$B,Listas!$A:$A,"")</f>
        <v>Cross Security Trust</v>
      </c>
      <c r="D794" s="41" t="s">
        <v>112</v>
      </c>
      <c r="E794" s="4" t="str">
        <f>_xlfn.XLOOKUP(tblMovimientos[[#This Row],[Cuenta Bancaria]],Listas!$B:$B,Listas!$C:$C,"")</f>
        <v>Bank of America</v>
      </c>
      <c r="F794" s="41" t="s">
        <v>9</v>
      </c>
      <c r="G794" s="41" t="s">
        <v>84</v>
      </c>
      <c r="H794" s="4" t="str">
        <f>IFERROR(_xlfn.XLOOKUP(G794,Listas!E:E,Listas!F:F,""),"")</f>
        <v>Operativo</v>
      </c>
      <c r="I794" s="46" t="str">
        <f>IFERROR(_xlfn.XLOOKUP(G794,Listas!E:E,Listas!G:G,""),"")</f>
        <v>Externo</v>
      </c>
      <c r="J794" s="43">
        <v>3.87</v>
      </c>
      <c r="K794" s="5">
        <f t="shared" si="7"/>
        <v>3.87</v>
      </c>
      <c r="L794" s="15" t="s">
        <v>132</v>
      </c>
      <c r="M794" s="44">
        <f>SUMIFS('Saldos Iniciales'!$D:$D,'Saldos Iniciales'!$A:$A,C794,'Saldos Iniciales'!$B:$B,D794)+SUMIFS($K$1:$K$1325,$C$1:$C$1325,C794,$D$1:$D$1325,D794,$B$1:$B$1325,"&lt;="&amp;B794)</f>
        <v>158071.25999999998</v>
      </c>
      <c r="N794" s="65">
        <f>IF(tblMovimientos[[#This Row],[Tipo de Movimiento]]="Ingreso",tblMovimientos[[#This Row],[Monto (S/)]],"0")</f>
        <v>3.87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3.87</v>
      </c>
      <c r="Q794" s="91" t="str">
        <f>IF(tblMovimientos[[#This Row],[Cuenta Bancaria]]="","",_xlfn.XLOOKUP(tblMovimientos[[#This Row],[Cuenta Bancaria]],Cuentas!$C:$C,Cuentas!$A:$A,"No encontrado"))</f>
        <v>SSP Group</v>
      </c>
      <c r="R794" s="91" t="str">
        <f>TRIM(_xlfn.XLOOKUP(tblMovimientos[[#This Row],[Cuenta Bancaria]],Cuentas!$C:$C,Cuentas!$B:$B,""))</f>
        <v>Cross Security Trust</v>
      </c>
    </row>
    <row r="795" spans="1:18" x14ac:dyDescent="0.3">
      <c r="B795" s="39">
        <v>46251</v>
      </c>
      <c r="C795" s="46" t="str">
        <f>_xlfn.XLOOKUP(tblMovimientos[[#This Row],[Cuenta Bancaria]],Listas!$B:$B,Listas!$A:$A,"")</f>
        <v>SSP Capital</v>
      </c>
      <c r="D795" s="41" t="s">
        <v>102</v>
      </c>
      <c r="E795" s="73" t="str">
        <f>_xlfn.XLOOKUP(tblMovimientos[[#This Row],[Cuenta Bancaria]],Listas!$B:$B,Listas!$C:$C,"")</f>
        <v>Bank of America</v>
      </c>
      <c r="F795" s="41" t="s">
        <v>10</v>
      </c>
      <c r="G795" s="41" t="s">
        <v>44</v>
      </c>
      <c r="H795" s="4" t="str">
        <f>IFERROR(_xlfn.XLOOKUP(G795,Listas!E:E,Listas!F:F,""),"")</f>
        <v>Operativo</v>
      </c>
      <c r="I795" s="46" t="str">
        <f>IFERROR(_xlfn.XLOOKUP(G795,Listas!E:E,Listas!G:G,""),"")</f>
        <v>Externo</v>
      </c>
      <c r="J795" s="43">
        <v>29.75</v>
      </c>
      <c r="K795" s="5">
        <f t="shared" si="7"/>
        <v>-29.75</v>
      </c>
      <c r="L795" s="15" t="s">
        <v>132</v>
      </c>
      <c r="M795" s="44">
        <f>SUMIFS('Saldos Iniciales'!$D:$D,'Saldos Iniciales'!$A:$A,C795,'Saldos Iniciales'!$B:$B,D795)+SUMIFS($K$1:$K$1325,$C$1:$C$1325,C795,$D$1:$D$1325,D795,$B$1:$B$1325,"&lt;="&amp;B795)</f>
        <v>1141.0700000000002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29.75</v>
      </c>
      <c r="P795" s="28">
        <f>IF(tblMovimientos[[#This Row],[Tipo de Movimiento]]="Ingreso",tblMovimientos[[#This Row],[Ingreso]],-tblMovimientos[[#This Row],[Egreso]])</f>
        <v>-29.75</v>
      </c>
      <c r="Q795" s="91" t="str">
        <f>IF(tblMovimientos[[#This Row],[Cuenta Bancaria]]="","",_xlfn.XLOOKUP(tblMovimientos[[#This Row],[Cuenta Bancaria]],Cuentas!$C:$C,Cuentas!$A:$A,"No encontrado"))</f>
        <v>SSP Group</v>
      </c>
      <c r="R795" s="91" t="str">
        <f>TRIM(_xlfn.XLOOKUP(tblMovimientos[[#This Row],[Cuenta Bancaria]],Cuentas!$C:$C,Cuentas!$B:$B,""))</f>
        <v/>
      </c>
    </row>
    <row r="796" spans="1:18" x14ac:dyDescent="0.3">
      <c r="B796" s="39">
        <v>46251</v>
      </c>
      <c r="C796" s="46" t="str">
        <f>_xlfn.XLOOKUP(tblMovimientos[[#This Row],[Cuenta Bancaria]],Listas!$B:$B,Listas!$A:$A,"")</f>
        <v>A&amp;M Imports</v>
      </c>
      <c r="D796" s="41" t="s">
        <v>100</v>
      </c>
      <c r="E796" s="73" t="str">
        <f>_xlfn.XLOOKUP(tblMovimientos[[#This Row],[Cuenta Bancaria]],Listas!$B:$B,Listas!$C:$C,"")</f>
        <v>Bank of America</v>
      </c>
      <c r="F796" s="41" t="s">
        <v>10</v>
      </c>
      <c r="G796" s="41" t="s">
        <v>44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420.6</v>
      </c>
      <c r="K796" s="5">
        <f t="shared" si="7"/>
        <v>-420.6</v>
      </c>
      <c r="L796" s="15" t="s">
        <v>132</v>
      </c>
      <c r="M796" s="44">
        <f>SUMIFS('Saldos Iniciales'!$D:$D,'Saldos Iniciales'!$A:$A,C796,'Saldos Iniciales'!$B:$B,D796)+SUMIFS($K$1:$K$1325,$C$1:$C$1325,C796,$D$1:$D$1325,D796,$B$1:$B$1325,"&lt;="&amp;B796)</f>
        <v>1289031.3399999999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420.6</v>
      </c>
      <c r="P796" s="28">
        <f>IF(tblMovimientos[[#This Row],[Tipo de Movimiento]]="Ingreso",tblMovimientos[[#This Row],[Ingreso]],-tblMovimientos[[#This Row],[Egreso]])</f>
        <v>-420.6</v>
      </c>
      <c r="Q796" s="91" t="str">
        <f>IF(tblMovimientos[[#This Row],[Cuenta Bancaria]]="","",_xlfn.XLOOKUP(tblMovimientos[[#This Row],[Cuenta Bancaria]],Cuentas!$C:$C,Cuentas!$A:$A,"No encontrado"))</f>
        <v>SSP Group</v>
      </c>
      <c r="R796" s="91" t="str">
        <f>TRIM(_xlfn.XLOOKUP(tblMovimientos[[#This Row],[Cuenta Bancaria]],Cuentas!$C:$C,Cuentas!$B:$B,""))</f>
        <v>Cross Security Trust</v>
      </c>
    </row>
    <row r="797" spans="1:18" x14ac:dyDescent="0.3">
      <c r="B797" s="39">
        <v>46251</v>
      </c>
      <c r="C797" s="46" t="str">
        <f>_xlfn.XLOOKUP(tblMovimientos[[#This Row],[Cuenta Bancaria]],Listas!$B:$B,Listas!$A:$A,"")</f>
        <v>SSP Capital</v>
      </c>
      <c r="D797" s="41" t="s">
        <v>104</v>
      </c>
      <c r="E797" s="73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39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34801.339999999997</v>
      </c>
      <c r="K797" s="5">
        <f t="shared" si="7"/>
        <v>-34801.339999999997</v>
      </c>
      <c r="L797" s="15" t="s">
        <v>132</v>
      </c>
      <c r="M797" s="44">
        <f>SUMIFS('Saldos Iniciales'!$D:$D,'Saldos Iniciales'!$A:$A,C797,'Saldos Iniciales'!$B:$B,D797)+SUMIFS($K$1:$K$1325,$C$1:$C$1325,C797,$D$1:$D$1325,D797,$B$1:$B$1325,"&lt;="&amp;B797)</f>
        <v>533239.1199999993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34801.339999999997</v>
      </c>
      <c r="P797" s="28">
        <f>IF(tblMovimientos[[#This Row],[Tipo de Movimiento]]="Ingreso",tblMovimientos[[#This Row],[Ingreso]],-tblMovimientos[[#This Row],[Egreso]])</f>
        <v>-34801.339999999997</v>
      </c>
      <c r="Q797" s="91" t="str">
        <f>IF(tblMovimientos[[#This Row],[Cuenta Bancaria]]="","",_xlfn.XLOOKUP(tblMovimientos[[#This Row],[Cuenta Bancaria]],Cuentas!$C:$C,Cuentas!$A:$A,"No encontrado"))</f>
        <v>SSP Group</v>
      </c>
      <c r="R797" s="91" t="str">
        <f>TRIM(_xlfn.XLOOKUP(tblMovimientos[[#This Row],[Cuenta Bancaria]],Cuentas!$C:$C,Cuentas!$B:$B,""))</f>
        <v/>
      </c>
    </row>
    <row r="798" spans="1:18" x14ac:dyDescent="0.3">
      <c r="B798" s="39">
        <v>46251</v>
      </c>
      <c r="C798" s="46" t="str">
        <f>_xlfn.XLOOKUP(tblMovimientos[[#This Row],[Cuenta Bancaria]],Listas!$B:$B,Listas!$A:$A,"")</f>
        <v>Go Blue</v>
      </c>
      <c r="D798" s="41" t="s">
        <v>126</v>
      </c>
      <c r="E798" s="73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175</v>
      </c>
      <c r="K798" s="5">
        <f t="shared" si="7"/>
        <v>-175</v>
      </c>
      <c r="L798" s="15" t="s">
        <v>132</v>
      </c>
      <c r="M798" s="44">
        <f>SUMIFS('Saldos Iniciales'!$D:$D,'Saldos Iniciales'!$A:$A,C798,'Saldos Iniciales'!$B:$B,D798)+SUMIFS($K$1:$K$1325,$C$1:$C$1325,C798,$D$1:$D$1325,D798,$B$1:$B$1325,"&lt;="&amp;B798)</f>
        <v>12280.609999999997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175</v>
      </c>
      <c r="P798" s="28">
        <f>IF(tblMovimientos[[#This Row],[Tipo de Movimiento]]="Ingreso",tblMovimientos[[#This Row],[Ingreso]],-tblMovimientos[[#This Row],[Egreso]])</f>
        <v>-175</v>
      </c>
      <c r="Q798" s="91" t="str">
        <f>IF(tblMovimientos[[#This Row],[Cuenta Bancaria]]="","",_xlfn.XLOOKUP(tblMovimientos[[#This Row],[Cuenta Bancaria]],Cuentas!$C:$C,Cuentas!$A:$A,"No encontrado"))</f>
        <v>SSP Group</v>
      </c>
      <c r="R798" s="91" t="str">
        <f>TRIM(_xlfn.XLOOKUP(tblMovimientos[[#This Row],[Cuenta Bancaria]],Cuentas!$C:$C,Cuentas!$B:$B,""))</f>
        <v/>
      </c>
    </row>
    <row r="799" spans="1:18" x14ac:dyDescent="0.3">
      <c r="B799" s="39">
        <v>46252</v>
      </c>
      <c r="C799" s="46" t="str">
        <f>_xlfn.XLOOKUP(tblMovimientos[[#This Row],[Cuenta Bancaria]],Listas!$B:$B,Listas!$A:$A,"")</f>
        <v>SSP Capital</v>
      </c>
      <c r="D799" s="41" t="s">
        <v>101</v>
      </c>
      <c r="E799" s="73" t="str">
        <f>_xlfn.XLOOKUP(tblMovimientos[[#This Row],[Cuenta Bancaria]],Listas!$B:$B,Listas!$C:$C,"")</f>
        <v>Bank of America</v>
      </c>
      <c r="F799" s="41" t="s">
        <v>10</v>
      </c>
      <c r="G799" s="41" t="s">
        <v>38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2490.36</v>
      </c>
      <c r="K799" s="5">
        <f t="shared" si="7"/>
        <v>-2490.36</v>
      </c>
      <c r="L799" s="15" t="s">
        <v>132</v>
      </c>
      <c r="M799" s="44">
        <f>SUMIFS('Saldos Iniciales'!$D:$D,'Saldos Iniciales'!$A:$A,C799,'Saldos Iniciales'!$B:$B,D799)+SUMIFS($K$1:$K$1325,$C$1:$C$1325,C799,$D$1:$D$1325,D799,$B$1:$B$1325,"&lt;="&amp;B799)</f>
        <v>28347.43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2490.36</v>
      </c>
      <c r="P799" s="28">
        <f>IF(tblMovimientos[[#This Row],[Tipo de Movimiento]]="Ingreso",tblMovimientos[[#This Row],[Ingreso]],-tblMovimientos[[#This Row],[Egreso]])</f>
        <v>-2490.36</v>
      </c>
      <c r="Q799" s="91" t="str">
        <f>IF(tblMovimientos[[#This Row],[Cuenta Bancaria]]="","",_xlfn.XLOOKUP(tblMovimientos[[#This Row],[Cuenta Bancaria]],Cuentas!$C:$C,Cuentas!$A:$A,"No encontrado"))</f>
        <v>SSP Group</v>
      </c>
      <c r="R799" s="91" t="str">
        <f>TRIM(_xlfn.XLOOKUP(tblMovimientos[[#This Row],[Cuenta Bancaria]],Cuentas!$C:$C,Cuentas!$B:$B,""))</f>
        <v/>
      </c>
    </row>
    <row r="800" spans="1:18" x14ac:dyDescent="0.3">
      <c r="B800" s="39">
        <v>46252</v>
      </c>
      <c r="C800" s="46" t="str">
        <f>_xlfn.XLOOKUP(tblMovimientos[[#This Row],[Cuenta Bancaria]],Listas!$B:$B,Listas!$A:$A,"")</f>
        <v>CFT Group</v>
      </c>
      <c r="D800" s="41" t="s">
        <v>94</v>
      </c>
      <c r="E800" s="73" t="str">
        <f>_xlfn.XLOOKUP(tblMovimientos[[#This Row],[Cuenta Bancaria]],Listas!$B:$B,Listas!$C:$C,"")</f>
        <v>Bank of America</v>
      </c>
      <c r="F800" s="41" t="s">
        <v>9</v>
      </c>
      <c r="G800" s="41" t="s">
        <v>68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105861.78</v>
      </c>
      <c r="K800" s="5">
        <f t="shared" si="7"/>
        <v>105861.78</v>
      </c>
      <c r="L800" s="15" t="s">
        <v>132</v>
      </c>
      <c r="M800" s="44">
        <f>SUMIFS('Saldos Iniciales'!$D:$D,'Saldos Iniciales'!$A:$A,C800,'Saldos Iniciales'!$B:$B,D800)+SUMIFS($K$1:$K$1325,$C$1:$C$1325,C800,$D$1:$D$1325,D800,$B$1:$B$1325,"&lt;="&amp;B800)</f>
        <v>135413.04999999999</v>
      </c>
      <c r="N800" s="65">
        <f>IF(tblMovimientos[[#This Row],[Tipo de Movimiento]]="Ingreso",tblMovimientos[[#This Row],[Monto (S/)]],"0")</f>
        <v>105861.78</v>
      </c>
      <c r="O800" s="65" t="str">
        <f>IF(tblMovimientos[[#This Row],[Tipo de Movimiento]]="Egreso",tblMovimientos[[#This Row],[Monto (S/)]],"0")</f>
        <v>0</v>
      </c>
      <c r="P800" s="28">
        <f>IF(tblMovimientos[[#This Row],[Tipo de Movimiento]]="Ingreso",tblMovimientos[[#This Row],[Ingreso]],-tblMovimientos[[#This Row],[Egreso]])</f>
        <v>105861.78</v>
      </c>
      <c r="Q800" s="91" t="str">
        <f>IF(tblMovimientos[[#This Row],[Cuenta Bancaria]]="","",_xlfn.XLOOKUP(tblMovimientos[[#This Row],[Cuenta Bancaria]],Cuentas!$C:$C,Cuentas!$A:$A,"No encontrado"))</f>
        <v>SSP Group</v>
      </c>
      <c r="R800" s="91" t="str">
        <f>TRIM(_xlfn.XLOOKUP(tblMovimientos[[#This Row],[Cuenta Bancaria]],Cuentas!$C:$C,Cuentas!$B:$B,""))</f>
        <v/>
      </c>
    </row>
    <row r="801" spans="1:18" x14ac:dyDescent="0.3">
      <c r="B801" s="39">
        <v>46253</v>
      </c>
      <c r="C801" s="46" t="str">
        <f>_xlfn.XLOOKUP(tblMovimientos[[#This Row],[Cuenta Bancaria]],Listas!$B:$B,Listas!$A:$A,"")</f>
        <v>SSP Capital</v>
      </c>
      <c r="D801" s="41" t="s">
        <v>101</v>
      </c>
      <c r="E801" s="73" t="str">
        <f>_xlfn.XLOOKUP(tblMovimientos[[#This Row],[Cuenta Bancaria]],Listas!$B:$B,Listas!$C:$C,"")</f>
        <v>Bank of America</v>
      </c>
      <c r="F801" s="41" t="s">
        <v>10</v>
      </c>
      <c r="G801" s="41" t="s">
        <v>41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737.04</v>
      </c>
      <c r="K801" s="5">
        <f t="shared" si="7"/>
        <v>-737.04</v>
      </c>
      <c r="L801" s="15" t="s">
        <v>132</v>
      </c>
      <c r="M801" s="44">
        <f>SUMIFS('Saldos Iniciales'!$D:$D,'Saldos Iniciales'!$A:$A,C801,'Saldos Iniciales'!$B:$B,D801)+SUMIFS($K$1:$K$1325,$C$1:$C$1325,C801,$D$1:$D$1325,D801,$B$1:$B$1325,"&lt;="&amp;B801)</f>
        <v>27610.39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737.04</v>
      </c>
      <c r="P801" s="28">
        <f>IF(tblMovimientos[[#This Row],[Tipo de Movimiento]]="Ingreso",tblMovimientos[[#This Row],[Ingreso]],-tblMovimientos[[#This Row],[Egreso]])</f>
        <v>-737.04</v>
      </c>
      <c r="Q801" s="91" t="str">
        <f>IF(tblMovimientos[[#This Row],[Cuenta Bancaria]]="","",_xlfn.XLOOKUP(tblMovimientos[[#This Row],[Cuenta Bancaria]],Cuentas!$C:$C,Cuentas!$A:$A,"No encontrado"))</f>
        <v>SSP Group</v>
      </c>
      <c r="R801" s="91" t="str">
        <f>TRIM(_xlfn.XLOOKUP(tblMovimientos[[#This Row],[Cuenta Bancaria]],Cuentas!$C:$C,Cuentas!$B:$B,""))</f>
        <v/>
      </c>
    </row>
    <row r="802" spans="1:18" x14ac:dyDescent="0.3">
      <c r="B802" s="39">
        <v>46253</v>
      </c>
      <c r="C802" s="46" t="str">
        <f>_xlfn.XLOOKUP(tblMovimientos[[#This Row],[Cuenta Bancaria]],Listas!$B:$B,Listas!$A:$A,"")</f>
        <v>SSP Capital</v>
      </c>
      <c r="D802" s="41" t="s">
        <v>102</v>
      </c>
      <c r="E802" s="73" t="str">
        <f>_xlfn.XLOOKUP(tblMovimientos[[#This Row],[Cuenta Bancaria]],Listas!$B:$B,Listas!$C:$C,"")</f>
        <v>Bank of America</v>
      </c>
      <c r="F802" s="41" t="s">
        <v>10</v>
      </c>
      <c r="G802" s="41" t="s">
        <v>41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166.66</v>
      </c>
      <c r="K802" s="5">
        <f t="shared" si="7"/>
        <v>-166.66</v>
      </c>
      <c r="L802" s="15" t="s">
        <v>132</v>
      </c>
      <c r="M802" s="44">
        <f>SUMIFS('Saldos Iniciales'!$D:$D,'Saldos Iniciales'!$A:$A,C802,'Saldos Iniciales'!$B:$B,D802)+SUMIFS($K$1:$K$1325,$C$1:$C$1325,C802,$D$1:$D$1325,D802,$B$1:$B$1325,"&lt;="&amp;B802)</f>
        <v>974.41000000000008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166.66</v>
      </c>
      <c r="P802" s="28">
        <f>IF(tblMovimientos[[#This Row],[Tipo de Movimiento]]="Ingreso",tblMovimientos[[#This Row],[Ingreso]],-tblMovimientos[[#This Row],[Egreso]])</f>
        <v>-166.66</v>
      </c>
      <c r="Q802" s="91" t="str">
        <f>IF(tblMovimientos[[#This Row],[Cuenta Bancaria]]="","",_xlfn.XLOOKUP(tblMovimientos[[#This Row],[Cuenta Bancaria]],Cuentas!$C:$C,Cuentas!$A:$A,"No encontrado"))</f>
        <v>SSP Group</v>
      </c>
      <c r="R802" s="91" t="str">
        <f>TRIM(_xlfn.XLOOKUP(tblMovimientos[[#This Row],[Cuenta Bancaria]],Cuentas!$C:$C,Cuentas!$B:$B,""))</f>
        <v/>
      </c>
    </row>
    <row r="803" spans="1:18" x14ac:dyDescent="0.3">
      <c r="B803" s="39">
        <v>46253</v>
      </c>
      <c r="C803" s="46" t="str">
        <f>_xlfn.XLOOKUP(tblMovimientos[[#This Row],[Cuenta Bancaria]],Listas!$B:$B,Listas!$A:$A,"")</f>
        <v>SSP Capital</v>
      </c>
      <c r="D803" s="41" t="s">
        <v>104</v>
      </c>
      <c r="E803" s="73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76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500000</v>
      </c>
      <c r="K803" s="5">
        <f t="shared" si="7"/>
        <v>500000</v>
      </c>
      <c r="L803" s="15" t="s">
        <v>132</v>
      </c>
      <c r="M803" s="44">
        <f>SUMIFS('Saldos Iniciales'!$D:$D,'Saldos Iniciales'!$A:$A,C803,'Saldos Iniciales'!$B:$B,D803)+SUMIFS($K$1:$K$1325,$C$1:$C$1325,C803,$D$1:$D$1325,D803,$B$1:$B$1325,"&lt;="&amp;B803)</f>
        <v>1033239.1199999993</v>
      </c>
      <c r="N803" s="65">
        <f>IF(tblMovimientos[[#This Row],[Tipo de Movimiento]]="Ingreso",tblMovimientos[[#This Row],[Monto (S/)]],"0")</f>
        <v>500000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500000</v>
      </c>
      <c r="Q803" s="91" t="str">
        <f>IF(tblMovimientos[[#This Row],[Cuenta Bancaria]]="","",_xlfn.XLOOKUP(tblMovimientos[[#This Row],[Cuenta Bancaria]],Cuentas!$C:$C,Cuentas!$A:$A,"No encontrado"))</f>
        <v>SSP Group</v>
      </c>
      <c r="R803" s="91" t="str">
        <f>TRIM(_xlfn.XLOOKUP(tblMovimientos[[#This Row],[Cuenta Bancaria]],Cuentas!$C:$C,Cuentas!$B:$B,""))</f>
        <v/>
      </c>
    </row>
    <row r="804" spans="1:18" x14ac:dyDescent="0.3">
      <c r="B804" s="39">
        <v>46254</v>
      </c>
      <c r="C804" s="46" t="str">
        <f>_xlfn.XLOOKUP(tblMovimientos[[#This Row],[Cuenta Bancaria]],Listas!$B:$B,Listas!$A:$A,"")</f>
        <v>CFT Group</v>
      </c>
      <c r="D804" s="41" t="s">
        <v>95</v>
      </c>
      <c r="E804" s="73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46</v>
      </c>
      <c r="H804" s="4" t="str">
        <f>IFERROR(_xlfn.XLOOKUP(G804,Listas!E:E,Listas!F:F,""),"")</f>
        <v>Financiamiento</v>
      </c>
      <c r="I804" s="46" t="str">
        <f>IFERROR(_xlfn.XLOOKUP(G804,Listas!E:E,Listas!G:G,""),"")</f>
        <v>Externo</v>
      </c>
      <c r="J804" s="43">
        <v>3833.33</v>
      </c>
      <c r="K804" s="5">
        <f t="shared" si="7"/>
        <v>-3833.33</v>
      </c>
      <c r="L804" s="15" t="s">
        <v>132</v>
      </c>
      <c r="M804" s="44">
        <f>SUMIFS('Saldos Iniciales'!$D:$D,'Saldos Iniciales'!$A:$A,C804,'Saldos Iniciales'!$B:$B,D804)+SUMIFS($K$1:$K$1325,$C$1:$C$1325,C804,$D$1:$D$1325,D804,$B$1:$B$1325,"&lt;="&amp;B804)</f>
        <v>561560.08000000077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3833.33</v>
      </c>
      <c r="P804" s="28">
        <f>IF(tblMovimientos[[#This Row],[Tipo de Movimiento]]="Ingreso",tblMovimientos[[#This Row],[Ingreso]],-tblMovimientos[[#This Row],[Egreso]])</f>
        <v>-3833.33</v>
      </c>
      <c r="Q804" s="91" t="str">
        <f>IF(tblMovimientos[[#This Row],[Cuenta Bancaria]]="","",_xlfn.XLOOKUP(tblMovimientos[[#This Row],[Cuenta Bancaria]],Cuentas!$C:$C,Cuentas!$A:$A,"No encontrado"))</f>
        <v>SSP Group</v>
      </c>
      <c r="R804" s="91" t="str">
        <f>TRIM(_xlfn.XLOOKUP(tblMovimientos[[#This Row],[Cuenta Bancaria]],Cuentas!$C:$C,Cuentas!$B:$B,""))</f>
        <v/>
      </c>
    </row>
    <row r="805" spans="1:18" x14ac:dyDescent="0.3">
      <c r="B805" s="39">
        <v>46254</v>
      </c>
      <c r="C805" s="46" t="str">
        <f>_xlfn.XLOOKUP(tblMovimientos[[#This Row],[Cuenta Bancaria]],Listas!$B:$B,Listas!$A:$A,"")</f>
        <v>CFT Group</v>
      </c>
      <c r="D805" s="41" t="s">
        <v>95</v>
      </c>
      <c r="E805" s="73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46</v>
      </c>
      <c r="H805" s="4" t="str">
        <f>IFERROR(_xlfn.XLOOKUP(G805,Listas!E:E,Listas!F:F,""),"")</f>
        <v>Financiamiento</v>
      </c>
      <c r="I805" s="46" t="str">
        <f>IFERROR(_xlfn.XLOOKUP(G805,Listas!E:E,Listas!G:G,""),"")</f>
        <v>Externo</v>
      </c>
      <c r="J805" s="43">
        <v>70000</v>
      </c>
      <c r="K805" s="5">
        <f t="shared" si="7"/>
        <v>-70000</v>
      </c>
      <c r="L805" s="15" t="s">
        <v>132</v>
      </c>
      <c r="M805" s="44">
        <f>SUMIFS('Saldos Iniciales'!$D:$D,'Saldos Iniciales'!$A:$A,C805,'Saldos Iniciales'!$B:$B,D805)+SUMIFS($K$1:$K$1325,$C$1:$C$1325,C805,$D$1:$D$1325,D805,$B$1:$B$1325,"&lt;="&amp;B805)</f>
        <v>561560.08000000077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70000</v>
      </c>
      <c r="P805" s="28">
        <f>IF(tblMovimientos[[#This Row],[Tipo de Movimiento]]="Ingreso",tblMovimientos[[#This Row],[Ingreso]],-tblMovimientos[[#This Row],[Egreso]])</f>
        <v>-70000</v>
      </c>
      <c r="Q805" s="91" t="str">
        <f>IF(tblMovimientos[[#This Row],[Cuenta Bancaria]]="","",_xlfn.XLOOKUP(tblMovimientos[[#This Row],[Cuenta Bancaria]],Cuentas!$C:$C,Cuentas!$A:$A,"No encontrado"))</f>
        <v>SSP Group</v>
      </c>
      <c r="R805" s="91" t="str">
        <f>TRIM(_xlfn.XLOOKUP(tblMovimientos[[#This Row],[Cuenta Bancaria]],Cuentas!$C:$C,Cuentas!$B:$B,""))</f>
        <v/>
      </c>
    </row>
    <row r="806" spans="1:18" x14ac:dyDescent="0.3">
      <c r="A806" s="45"/>
      <c r="B806" s="39">
        <v>46254</v>
      </c>
      <c r="C806" s="46" t="str">
        <f>_xlfn.XLOOKUP(tblMovimientos[[#This Row],[Cuenta Bancaria]],Listas!$B:$B,Listas!$A:$A,"")</f>
        <v>CFT Group</v>
      </c>
      <c r="D806" s="41" t="s">
        <v>95</v>
      </c>
      <c r="E806" s="74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46</v>
      </c>
      <c r="H806" s="46" t="str">
        <f>IFERROR(_xlfn.XLOOKUP(G806,Listas!E:E,Listas!F:F,""),"")</f>
        <v>Financiamiento</v>
      </c>
      <c r="I806" s="46" t="str">
        <f>IFERROR(_xlfn.XLOOKUP(G806,Listas!E:E,Listas!G:G,""),"")</f>
        <v>Externo</v>
      </c>
      <c r="J806" s="43">
        <v>71041.67</v>
      </c>
      <c r="K806" s="5">
        <f t="shared" si="7"/>
        <v>-71041.67</v>
      </c>
      <c r="L806" s="15" t="s">
        <v>132</v>
      </c>
      <c r="M806" s="44">
        <f>SUMIFS('Saldos Iniciales'!$D:$D,'Saldos Iniciales'!$A:$A,C806,'Saldos Iniciales'!$B:$B,D806)+SUMIFS($K$1:$K$1325,$C$1:$C$1325,C806,$D$1:$D$1325,D806,$B$1:$B$1325,"&lt;="&amp;B806)</f>
        <v>561560.08000000077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71041.67</v>
      </c>
      <c r="P806" s="28">
        <f>IF(tblMovimientos[[#This Row],[Tipo de Movimiento]]="Ingreso",tblMovimientos[[#This Row],[Ingreso]],-tblMovimientos[[#This Row],[Egreso]])</f>
        <v>-71041.67</v>
      </c>
      <c r="Q806" s="91" t="str">
        <f>IF(tblMovimientos[[#This Row],[Cuenta Bancaria]]="","",_xlfn.XLOOKUP(tblMovimientos[[#This Row],[Cuenta Bancaria]],Cuentas!$C:$C,Cuentas!$A:$A,"No encontrado"))</f>
        <v>SSP Group</v>
      </c>
      <c r="R806" s="91" t="str">
        <f>TRIM(_xlfn.XLOOKUP(tblMovimientos[[#This Row],[Cuenta Bancaria]],Cuentas!$C:$C,Cuentas!$B:$B,""))</f>
        <v/>
      </c>
    </row>
    <row r="807" spans="1:18" x14ac:dyDescent="0.3">
      <c r="A807" s="45"/>
      <c r="B807" s="39">
        <v>46254</v>
      </c>
      <c r="C807" s="46" t="str">
        <f>_xlfn.XLOOKUP(tblMovimientos[[#This Row],[Cuenta Bancaria]],Listas!$B:$B,Listas!$A:$A,"")</f>
        <v>CFT Group</v>
      </c>
      <c r="D807" s="41" t="s">
        <v>95</v>
      </c>
      <c r="E807" s="74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46</v>
      </c>
      <c r="H807" s="46" t="str">
        <f>IFERROR(_xlfn.XLOOKUP(G807,Listas!E:E,Listas!F:F,""),"")</f>
        <v>Financiamiento</v>
      </c>
      <c r="I807" s="46" t="str">
        <f>IFERROR(_xlfn.XLOOKUP(G807,Listas!E:E,Listas!G:G,""),"")</f>
        <v>Externo</v>
      </c>
      <c r="J807" s="43">
        <v>100000</v>
      </c>
      <c r="K807" s="5">
        <f t="shared" si="7"/>
        <v>-100000</v>
      </c>
      <c r="L807" s="15" t="s">
        <v>132</v>
      </c>
      <c r="M807" s="44">
        <f>SUMIFS('Saldos Iniciales'!$D:$D,'Saldos Iniciales'!$A:$A,C807,'Saldos Iniciales'!$B:$B,D807)+SUMIFS($K$1:$K$1325,$C$1:$C$1325,C807,$D$1:$D$1325,D807,$B$1:$B$1325,"&lt;="&amp;B807)</f>
        <v>561560.08000000077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100000</v>
      </c>
      <c r="P807" s="28">
        <f>IF(tblMovimientos[[#This Row],[Tipo de Movimiento]]="Ingreso",tblMovimientos[[#This Row],[Ingreso]],-tblMovimientos[[#This Row],[Egreso]])</f>
        <v>-100000</v>
      </c>
      <c r="Q807" s="91" t="str">
        <f>IF(tblMovimientos[[#This Row],[Cuenta Bancaria]]="","",_xlfn.XLOOKUP(tblMovimientos[[#This Row],[Cuenta Bancaria]],Cuentas!$C:$C,Cuentas!$A:$A,"No encontrado"))</f>
        <v>SSP Group</v>
      </c>
      <c r="R807" s="91" t="str">
        <f>TRIM(_xlfn.XLOOKUP(tblMovimientos[[#This Row],[Cuenta Bancaria]],Cuentas!$C:$C,Cuentas!$B:$B,""))</f>
        <v/>
      </c>
    </row>
    <row r="808" spans="1:18" x14ac:dyDescent="0.3">
      <c r="B808" s="39">
        <v>46254</v>
      </c>
      <c r="C808" s="46" t="str">
        <f>_xlfn.XLOOKUP(tblMovimientos[[#This Row],[Cuenta Bancaria]],Listas!$B:$B,Listas!$A:$A,"")</f>
        <v>CFT Group</v>
      </c>
      <c r="D808" s="41" t="s">
        <v>95</v>
      </c>
      <c r="E808" s="73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46</v>
      </c>
      <c r="H808" s="4" t="str">
        <f>IFERROR(_xlfn.XLOOKUP(G808,Listas!E:E,Listas!F:F,""),"")</f>
        <v>Financiamiento</v>
      </c>
      <c r="I808" s="46" t="str">
        <f>IFERROR(_xlfn.XLOOKUP(G808,Listas!E:E,Listas!G:G,""),"")</f>
        <v>Externo</v>
      </c>
      <c r="J808" s="43">
        <v>100000</v>
      </c>
      <c r="K808" s="5">
        <f t="shared" si="7"/>
        <v>-100000</v>
      </c>
      <c r="L808" s="15" t="s">
        <v>132</v>
      </c>
      <c r="M808" s="44">
        <f>SUMIFS('Saldos Iniciales'!$D:$D,'Saldos Iniciales'!$A:$A,C808,'Saldos Iniciales'!$B:$B,D808)+SUMIFS($K$1:$K$1325,$C$1:$C$1325,C808,$D$1:$D$1325,D808,$B$1:$B$1325,"&lt;="&amp;B808)</f>
        <v>561560.08000000077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100000</v>
      </c>
      <c r="P808" s="28">
        <f>IF(tblMovimientos[[#This Row],[Tipo de Movimiento]]="Ingreso",tblMovimientos[[#This Row],[Ingreso]],-tblMovimientos[[#This Row],[Egreso]])</f>
        <v>-100000</v>
      </c>
      <c r="Q808" s="91" t="str">
        <f>IF(tblMovimientos[[#This Row],[Cuenta Bancaria]]="","",_xlfn.XLOOKUP(tblMovimientos[[#This Row],[Cuenta Bancaria]],Cuentas!$C:$C,Cuentas!$A:$A,"No encontrado"))</f>
        <v>SSP Group</v>
      </c>
      <c r="R808" s="91" t="str">
        <f>TRIM(_xlfn.XLOOKUP(tblMovimientos[[#This Row],[Cuenta Bancaria]],Cuentas!$C:$C,Cuentas!$B:$B,""))</f>
        <v/>
      </c>
    </row>
    <row r="809" spans="1:18" x14ac:dyDescent="0.3">
      <c r="B809" s="39">
        <v>46254</v>
      </c>
      <c r="C809" s="46" t="str">
        <f>_xlfn.XLOOKUP(tblMovimientos[[#This Row],[Cuenta Bancaria]],Listas!$B:$B,Listas!$A:$A,"")</f>
        <v>SSP Capital</v>
      </c>
      <c r="D809" s="41" t="s">
        <v>104</v>
      </c>
      <c r="E809" s="73" t="str">
        <f>_xlfn.XLOOKUP(tblMovimientos[[#This Row],[Cuenta Bancaria]],Listas!$B:$B,Listas!$C:$C,"")</f>
        <v xml:space="preserve">Amerant Bank </v>
      </c>
      <c r="F809" s="41" t="s">
        <v>10</v>
      </c>
      <c r="G809" s="41" t="s">
        <v>46</v>
      </c>
      <c r="H809" s="4" t="str">
        <f>IFERROR(_xlfn.XLOOKUP(G809,Listas!E:E,Listas!F:F,""),"")</f>
        <v>Financiamiento</v>
      </c>
      <c r="I809" s="46" t="str">
        <f>IFERROR(_xlfn.XLOOKUP(G809,Listas!E:E,Listas!G:G,""),"")</f>
        <v>Externo</v>
      </c>
      <c r="J809" s="43">
        <v>2555.56</v>
      </c>
      <c r="K809" s="5">
        <f t="shared" si="7"/>
        <v>-2555.56</v>
      </c>
      <c r="L809" s="15" t="s">
        <v>132</v>
      </c>
      <c r="M809" s="44">
        <f>SUMIFS('Saldos Iniciales'!$D:$D,'Saldos Iniciales'!$A:$A,C809,'Saldos Iniciales'!$B:$B,D809)+SUMIFS($K$1:$K$1325,$C$1:$C$1325,C809,$D$1:$D$1325,D809,$B$1:$B$1325,"&lt;="&amp;B809)</f>
        <v>897489.10999999929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2555.56</v>
      </c>
      <c r="P809" s="28">
        <f>IF(tblMovimientos[[#This Row],[Tipo de Movimiento]]="Ingreso",tblMovimientos[[#This Row],[Ingreso]],-tblMovimientos[[#This Row],[Egreso]])</f>
        <v>-2555.56</v>
      </c>
      <c r="Q809" s="91" t="str">
        <f>IF(tblMovimientos[[#This Row],[Cuenta Bancaria]]="","",_xlfn.XLOOKUP(tblMovimientos[[#This Row],[Cuenta Bancaria]],Cuentas!$C:$C,Cuentas!$A:$A,"No encontrado"))</f>
        <v>SSP Group</v>
      </c>
      <c r="R809" s="91" t="str">
        <f>TRIM(_xlfn.XLOOKUP(tblMovimientos[[#This Row],[Cuenta Bancaria]],Cuentas!$C:$C,Cuentas!$B:$B,""))</f>
        <v/>
      </c>
    </row>
    <row r="810" spans="1:18" x14ac:dyDescent="0.3">
      <c r="B810" s="39">
        <v>46254</v>
      </c>
      <c r="C810" s="46" t="str">
        <f>_xlfn.XLOOKUP(tblMovimientos[[#This Row],[Cuenta Bancaria]],Listas!$B:$B,Listas!$A:$A,"")</f>
        <v>SSP Capital</v>
      </c>
      <c r="D810" s="41" t="s">
        <v>104</v>
      </c>
      <c r="E810" s="73" t="str">
        <f>_xlfn.XLOOKUP(tblMovimientos[[#This Row],[Cuenta Bancaria]],Listas!$B:$B,Listas!$C:$C,"")</f>
        <v xml:space="preserve">Amerant Bank </v>
      </c>
      <c r="F810" s="41" t="s">
        <v>10</v>
      </c>
      <c r="G810" s="41" t="s">
        <v>46</v>
      </c>
      <c r="H810" s="4" t="str">
        <f>IFERROR(_xlfn.XLOOKUP(G810,Listas!E:E,Listas!F:F,""),"")</f>
        <v>Financiamiento</v>
      </c>
      <c r="I810" s="46" t="str">
        <f>IFERROR(_xlfn.XLOOKUP(G810,Listas!E:E,Listas!G:G,""),"")</f>
        <v>Externo</v>
      </c>
      <c r="J810" s="43">
        <v>26250</v>
      </c>
      <c r="K810" s="5">
        <f t="shared" si="7"/>
        <v>-26250</v>
      </c>
      <c r="L810" s="15" t="s">
        <v>132</v>
      </c>
      <c r="M810" s="44">
        <f>SUMIFS('Saldos Iniciales'!$D:$D,'Saldos Iniciales'!$A:$A,C810,'Saldos Iniciales'!$B:$B,D810)+SUMIFS($K$1:$K$1325,$C$1:$C$1325,C810,$D$1:$D$1325,D810,$B$1:$B$1325,"&lt;="&amp;B810)</f>
        <v>897489.10999999929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26250</v>
      </c>
      <c r="P810" s="28">
        <f>IF(tblMovimientos[[#This Row],[Tipo de Movimiento]]="Ingreso",tblMovimientos[[#This Row],[Ingreso]],-tblMovimientos[[#This Row],[Egreso]])</f>
        <v>-26250</v>
      </c>
      <c r="Q810" s="91" t="str">
        <f>IF(tblMovimientos[[#This Row],[Cuenta Bancaria]]="","",_xlfn.XLOOKUP(tblMovimientos[[#This Row],[Cuenta Bancaria]],Cuentas!$C:$C,Cuentas!$A:$A,"No encontrado"))</f>
        <v>SSP Group</v>
      </c>
      <c r="R810" s="91" t="str">
        <f>TRIM(_xlfn.XLOOKUP(tblMovimientos[[#This Row],[Cuenta Bancaria]],Cuentas!$C:$C,Cuentas!$B:$B,""))</f>
        <v/>
      </c>
    </row>
    <row r="811" spans="1:18" x14ac:dyDescent="0.3">
      <c r="B811" s="39">
        <v>46254</v>
      </c>
      <c r="C811" s="46" t="str">
        <f>_xlfn.XLOOKUP(tblMovimientos[[#This Row],[Cuenta Bancaria]],Listas!$B:$B,Listas!$A:$A,"")</f>
        <v>SSP Capital</v>
      </c>
      <c r="D811" s="41" t="s">
        <v>104</v>
      </c>
      <c r="E811" s="73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46</v>
      </c>
      <c r="H811" s="4" t="str">
        <f>IFERROR(_xlfn.XLOOKUP(G811,Listas!E:E,Listas!F:F,""),"")</f>
        <v>Financiamiento</v>
      </c>
      <c r="I811" s="46" t="str">
        <f>IFERROR(_xlfn.XLOOKUP(G811,Listas!E:E,Listas!G:G,""),"")</f>
        <v>Externo</v>
      </c>
      <c r="J811" s="43">
        <v>47361.11</v>
      </c>
      <c r="K811" s="5">
        <f t="shared" si="7"/>
        <v>-47361.11</v>
      </c>
      <c r="L811" s="15" t="s">
        <v>132</v>
      </c>
      <c r="M811" s="44">
        <f>SUMIFS('Saldos Iniciales'!$D:$D,'Saldos Iniciales'!$A:$A,C811,'Saldos Iniciales'!$B:$B,D811)+SUMIFS($K$1:$K$1325,$C$1:$C$1325,C811,$D$1:$D$1325,D811,$B$1:$B$1325,"&lt;="&amp;B811)</f>
        <v>897489.10999999929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47361.11</v>
      </c>
      <c r="P811" s="28">
        <f>IF(tblMovimientos[[#This Row],[Tipo de Movimiento]]="Ingreso",tblMovimientos[[#This Row],[Ingreso]],-tblMovimientos[[#This Row],[Egreso]])</f>
        <v>-47361.11</v>
      </c>
      <c r="Q811" s="91" t="str">
        <f>IF(tblMovimientos[[#This Row],[Cuenta Bancaria]]="","",_xlfn.XLOOKUP(tblMovimientos[[#This Row],[Cuenta Bancaria]],Cuentas!$C:$C,Cuentas!$A:$A,"No encontrado"))</f>
        <v>SSP Group</v>
      </c>
      <c r="R811" s="91" t="str">
        <f>TRIM(_xlfn.XLOOKUP(tblMovimientos[[#This Row],[Cuenta Bancaria]],Cuentas!$C:$C,Cuentas!$B:$B,""))</f>
        <v/>
      </c>
    </row>
    <row r="812" spans="1:18" x14ac:dyDescent="0.3">
      <c r="B812" s="39">
        <v>46254</v>
      </c>
      <c r="C812" s="46" t="str">
        <f>_xlfn.XLOOKUP(tblMovimientos[[#This Row],[Cuenta Bancaria]],Listas!$B:$B,Listas!$A:$A,"")</f>
        <v>SSP Capital</v>
      </c>
      <c r="D812" s="41" t="s">
        <v>104</v>
      </c>
      <c r="E812" s="73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46</v>
      </c>
      <c r="H812" s="4" t="str">
        <f>IFERROR(_xlfn.XLOOKUP(G812,Listas!E:E,Listas!F:F,""),"")</f>
        <v>Financiamiento</v>
      </c>
      <c r="I812" s="46" t="str">
        <f>IFERROR(_xlfn.XLOOKUP(G812,Listas!E:E,Listas!G:G,""),"")</f>
        <v>Externo</v>
      </c>
      <c r="J812" s="43">
        <v>59583.34</v>
      </c>
      <c r="K812" s="5">
        <f t="shared" si="7"/>
        <v>-59583.34</v>
      </c>
      <c r="L812" s="15" t="s">
        <v>132</v>
      </c>
      <c r="M812" s="44">
        <f>SUMIFS('Saldos Iniciales'!$D:$D,'Saldos Iniciales'!$A:$A,C812,'Saldos Iniciales'!$B:$B,D812)+SUMIFS($K$1:$K$1325,$C$1:$C$1325,C812,$D$1:$D$1325,D812,$B$1:$B$1325,"&lt;="&amp;B812)</f>
        <v>897489.10999999929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59583.34</v>
      </c>
      <c r="P812" s="28">
        <f>IF(tblMovimientos[[#This Row],[Tipo de Movimiento]]="Ingreso",tblMovimientos[[#This Row],[Ingreso]],-tblMovimientos[[#This Row],[Egreso]])</f>
        <v>-59583.34</v>
      </c>
      <c r="Q812" s="91" t="str">
        <f>IF(tblMovimientos[[#This Row],[Cuenta Bancaria]]="","",_xlfn.XLOOKUP(tblMovimientos[[#This Row],[Cuenta Bancaria]],Cuentas!$C:$C,Cuentas!$A:$A,"No encontrado"))</f>
        <v>SSP Group</v>
      </c>
      <c r="R812" s="91" t="str">
        <f>TRIM(_xlfn.XLOOKUP(tblMovimientos[[#This Row],[Cuenta Bancaria]],Cuentas!$C:$C,Cuentas!$B:$B,""))</f>
        <v/>
      </c>
    </row>
    <row r="813" spans="1:18" x14ac:dyDescent="0.3">
      <c r="B813" s="39">
        <v>46254</v>
      </c>
      <c r="C813" s="46" t="str">
        <f>_xlfn.XLOOKUP(tblMovimientos[[#This Row],[Cuenta Bancaria]],Listas!$B:$B,Listas!$A:$A,"")</f>
        <v>Go Blue</v>
      </c>
      <c r="D813" s="41" t="s">
        <v>126</v>
      </c>
      <c r="E813" s="73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40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1809.12</v>
      </c>
      <c r="K813" s="5">
        <f t="shared" si="7"/>
        <v>-1809.12</v>
      </c>
      <c r="L813" s="15" t="s">
        <v>132</v>
      </c>
      <c r="M813" s="44">
        <f>SUMIFS('Saldos Iniciales'!$D:$D,'Saldos Iniciales'!$A:$A,C813,'Saldos Iniciales'!$B:$B,D813)+SUMIFS($K$1:$K$1325,$C$1:$C$1325,C813,$D$1:$D$1325,D813,$B$1:$B$1325,"&lt;="&amp;B813)</f>
        <v>10456.489999999998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1809.12</v>
      </c>
      <c r="P813" s="28">
        <f>IF(tblMovimientos[[#This Row],[Tipo de Movimiento]]="Ingreso",tblMovimientos[[#This Row],[Ingreso]],-tblMovimientos[[#This Row],[Egreso]])</f>
        <v>-1809.12</v>
      </c>
      <c r="Q813" s="91" t="str">
        <f>IF(tblMovimientos[[#This Row],[Cuenta Bancaria]]="","",_xlfn.XLOOKUP(tblMovimientos[[#This Row],[Cuenta Bancaria]],Cuentas!$C:$C,Cuentas!$A:$A,"No encontrado"))</f>
        <v>SSP Group</v>
      </c>
      <c r="R813" s="91" t="str">
        <f>TRIM(_xlfn.XLOOKUP(tblMovimientos[[#This Row],[Cuenta Bancaria]],Cuentas!$C:$C,Cuentas!$B:$B,""))</f>
        <v/>
      </c>
    </row>
    <row r="814" spans="1:18" x14ac:dyDescent="0.3">
      <c r="A814" s="45"/>
      <c r="B814" s="39">
        <v>46254</v>
      </c>
      <c r="C814" s="46" t="str">
        <f>_xlfn.XLOOKUP(tblMovimientos[[#This Row],[Cuenta Bancaria]],Listas!$B:$B,Listas!$A:$A,"")</f>
        <v>Go Blue</v>
      </c>
      <c r="D814" s="41" t="s">
        <v>126</v>
      </c>
      <c r="E814" s="74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15</v>
      </c>
      <c r="K814" s="5">
        <f t="shared" si="7"/>
        <v>-15</v>
      </c>
      <c r="L814" s="15" t="s">
        <v>132</v>
      </c>
      <c r="M814" s="44">
        <f>SUMIFS('Saldos Iniciales'!$D:$D,'Saldos Iniciales'!$A:$A,C814,'Saldos Iniciales'!$B:$B,D814)+SUMIFS($K$1:$K$1325,$C$1:$C$1325,C814,$D$1:$D$1325,D814,$B$1:$B$1325,"&lt;="&amp;B814)</f>
        <v>10456.489999999998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15</v>
      </c>
      <c r="P814" s="28">
        <f>IF(tblMovimientos[[#This Row],[Tipo de Movimiento]]="Ingreso",tblMovimientos[[#This Row],[Ingreso]],-tblMovimientos[[#This Row],[Egreso]])</f>
        <v>-15</v>
      </c>
      <c r="Q814" s="91" t="str">
        <f>IF(tblMovimientos[[#This Row],[Cuenta Bancaria]]="","",_xlfn.XLOOKUP(tblMovimientos[[#This Row],[Cuenta Bancaria]],Cuentas!$C:$C,Cuentas!$A:$A,"No encontrado"))</f>
        <v>SSP Group</v>
      </c>
      <c r="R814" s="91" t="str">
        <f>TRIM(_xlfn.XLOOKUP(tblMovimientos[[#This Row],[Cuenta Bancaria]],Cuentas!$C:$C,Cuentas!$B:$B,""))</f>
        <v/>
      </c>
    </row>
    <row r="815" spans="1:18" x14ac:dyDescent="0.3">
      <c r="A815" s="45"/>
      <c r="B815" s="39">
        <v>46254</v>
      </c>
      <c r="C815" s="46" t="str">
        <f>_xlfn.XLOOKUP(tblMovimientos[[#This Row],[Cuenta Bancaria]],Listas!$B:$B,Listas!$A:$A,"")</f>
        <v>SSP Capital</v>
      </c>
      <c r="D815" s="41" t="s">
        <v>101</v>
      </c>
      <c r="E815" s="74" t="str">
        <f>_xlfn.XLOOKUP(tblMovimientos[[#This Row],[Cuenta Bancaria]],Listas!$B:$B,Listas!$C:$C,"")</f>
        <v>Bank of America</v>
      </c>
      <c r="F815" s="41" t="s">
        <v>10</v>
      </c>
      <c r="G815" s="41" t="s">
        <v>41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780.9</v>
      </c>
      <c r="K815" s="5">
        <f t="shared" si="7"/>
        <v>-780.9</v>
      </c>
      <c r="L815" s="15" t="s">
        <v>132</v>
      </c>
      <c r="M815" s="44">
        <f>SUMIFS('Saldos Iniciales'!$D:$D,'Saldos Iniciales'!$A:$A,C815,'Saldos Iniciales'!$B:$B,D815)+SUMIFS($K$1:$K$1325,$C$1:$C$1325,C815,$D$1:$D$1325,D815,$B$1:$B$1325,"&lt;="&amp;B815)</f>
        <v>26829.489999999998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780.9</v>
      </c>
      <c r="P815" s="28">
        <f>IF(tblMovimientos[[#This Row],[Tipo de Movimiento]]="Ingreso",tblMovimientos[[#This Row],[Ingreso]],-tblMovimientos[[#This Row],[Egreso]])</f>
        <v>-780.9</v>
      </c>
      <c r="Q815" s="91" t="str">
        <f>IF(tblMovimientos[[#This Row],[Cuenta Bancaria]]="","",_xlfn.XLOOKUP(tblMovimientos[[#This Row],[Cuenta Bancaria]],Cuentas!$C:$C,Cuentas!$A:$A,"No encontrado"))</f>
        <v>SSP Group</v>
      </c>
      <c r="R815" s="91" t="str">
        <f>TRIM(_xlfn.XLOOKUP(tblMovimientos[[#This Row],[Cuenta Bancaria]],Cuentas!$C:$C,Cuentas!$B:$B,""))</f>
        <v/>
      </c>
    </row>
    <row r="816" spans="1:18" x14ac:dyDescent="0.3">
      <c r="B816" s="39">
        <v>46254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73" t="str">
        <f>_xlfn.XLOOKUP(tblMovimientos[[#This Row],[Cuenta Bancaria]],Listas!$B:$B,Listas!$C:$C,"")</f>
        <v>Bank of America</v>
      </c>
      <c r="F816" s="41" t="s">
        <v>10</v>
      </c>
      <c r="G816" s="41" t="s">
        <v>61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60000</v>
      </c>
      <c r="K816" s="5">
        <f t="shared" si="7"/>
        <v>-60000</v>
      </c>
      <c r="L816" s="15" t="s">
        <v>132</v>
      </c>
      <c r="M816" s="44">
        <f>SUMIFS('Saldos Iniciales'!$D:$D,'Saldos Iniciales'!$A:$A,C816,'Saldos Iniciales'!$B:$B,D816)+SUMIFS($K$1:$K$1325,$C$1:$C$1325,C816,$D$1:$D$1325,D816,$B$1:$B$1325,"&lt;="&amp;B816)</f>
        <v>1229031.3399999999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60000</v>
      </c>
      <c r="P816" s="28">
        <f>IF(tblMovimientos[[#This Row],[Tipo de Movimiento]]="Ingreso",tblMovimientos[[#This Row],[Ingreso]],-tblMovimientos[[#This Row],[Egreso]])</f>
        <v>-60000</v>
      </c>
      <c r="Q816" s="91" t="str">
        <f>IF(tblMovimientos[[#This Row],[Cuenta Bancaria]]="","",_xlfn.XLOOKUP(tblMovimientos[[#This Row],[Cuenta Bancaria]],Cuentas!$C:$C,Cuentas!$A:$A,"No encontrado"))</f>
        <v>SSP Group</v>
      </c>
      <c r="R816" s="91" t="str">
        <f>TRIM(_xlfn.XLOOKUP(tblMovimientos[[#This Row],[Cuenta Bancaria]],Cuentas!$C:$C,Cuentas!$B:$B,""))</f>
        <v>Cross Security Trust</v>
      </c>
    </row>
    <row r="817" spans="1:18" x14ac:dyDescent="0.3">
      <c r="B817" s="39">
        <v>46255</v>
      </c>
      <c r="C817" s="46" t="str">
        <f>_xlfn.XLOOKUP(tblMovimientos[[#This Row],[Cuenta Bancaria]],Listas!$B:$B,Listas!$A:$A,"")</f>
        <v>Go Blue</v>
      </c>
      <c r="D817" s="41" t="s">
        <v>165</v>
      </c>
      <c r="E817" s="4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199.99</v>
      </c>
      <c r="K817" s="5">
        <f t="shared" si="7"/>
        <v>-199.99</v>
      </c>
      <c r="L817" s="15" t="s">
        <v>132</v>
      </c>
      <c r="M817" s="44">
        <f>SUMIFS('Saldos Iniciales'!$D:$D,'Saldos Iniciales'!$A:$A,C817,'Saldos Iniciales'!$B:$B,D817)+SUMIFS($K$1:$K$1325,$C$1:$C$1325,C817,$D$1:$D$1325,D817,$B$1:$B$1325,"&lt;="&amp;B817)</f>
        <v>2085.300000000002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199.99</v>
      </c>
      <c r="P817" s="28">
        <f>IF(tblMovimientos[[#This Row],[Tipo de Movimiento]]="Ingreso",tblMovimientos[[#This Row],[Ingreso]],-tblMovimientos[[#This Row],[Egreso]])</f>
        <v>-199.99</v>
      </c>
      <c r="Q817" s="91" t="str">
        <f>IF(tblMovimientos[[#This Row],[Cuenta Bancaria]]="","",_xlfn.XLOOKUP(tblMovimientos[[#This Row],[Cuenta Bancaria]],Cuentas!$C:$C,Cuentas!$A:$A,"No encontrado"))</f>
        <v>SSP Group</v>
      </c>
      <c r="R817" s="91" t="str">
        <f>TRIM(_xlfn.XLOOKUP(tblMovimientos[[#This Row],[Cuenta Bancaria]],Cuentas!$C:$C,Cuentas!$B:$B,""))</f>
        <v/>
      </c>
    </row>
    <row r="818" spans="1:18" x14ac:dyDescent="0.3">
      <c r="B818" s="39">
        <v>46258</v>
      </c>
      <c r="C818" s="46" t="str">
        <f>_xlfn.XLOOKUP(tblMovimientos[[#This Row],[Cuenta Bancaria]],Listas!$B:$B,Listas!$A:$A,"")</f>
        <v>SSP Capital</v>
      </c>
      <c r="D818" s="41" t="s">
        <v>101</v>
      </c>
      <c r="E818" s="4" t="str">
        <f>_xlfn.XLOOKUP(tblMovimientos[[#This Row],[Cuenta Bancaria]],Listas!$B:$B,Listas!$C:$C,"")</f>
        <v>Bank of America</v>
      </c>
      <c r="F818" s="41" t="s">
        <v>10</v>
      </c>
      <c r="G818" s="41" t="s">
        <v>38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762.99</v>
      </c>
      <c r="K818" s="5">
        <f t="shared" ref="K818:K881" si="8">IF(F818="Ingreso",J818,-J818)</f>
        <v>-762.99</v>
      </c>
      <c r="L818" s="15" t="s">
        <v>132</v>
      </c>
      <c r="M818" s="44">
        <f>SUMIFS('Saldos Iniciales'!$D:$D,'Saldos Iniciales'!$A:$A,C818,'Saldos Iniciales'!$B:$B,D818)+SUMIFS($K$1:$K$1325,$C$1:$C$1325,C818,$D$1:$D$1325,D818,$B$1:$B$1325,"&lt;="&amp;B818)</f>
        <v>26066.5</v>
      </c>
      <c r="N818" s="65" t="str">
        <f>IF(tblMovimientos[[#This Row],[Tipo de Movimiento]]="Ingreso",tblMovimientos[[#This Row],[Monto (S/)]],"0")</f>
        <v>0</v>
      </c>
      <c r="O818" s="65">
        <f>IF(tblMovimientos[[#This Row],[Tipo de Movimiento]]="Egreso",tblMovimientos[[#This Row],[Monto (S/)]],"0")</f>
        <v>762.99</v>
      </c>
      <c r="P818" s="28">
        <f>IF(tblMovimientos[[#This Row],[Tipo de Movimiento]]="Ingreso",tblMovimientos[[#This Row],[Ingreso]],-tblMovimientos[[#This Row],[Egreso]])</f>
        <v>-762.99</v>
      </c>
      <c r="Q818" s="91" t="str">
        <f>IF(tblMovimientos[[#This Row],[Cuenta Bancaria]]="","",_xlfn.XLOOKUP(tblMovimientos[[#This Row],[Cuenta Bancaria]],Cuentas!$C:$C,Cuentas!$A:$A,"No encontrado"))</f>
        <v>SSP Group</v>
      </c>
      <c r="R818" s="91" t="str">
        <f>TRIM(_xlfn.XLOOKUP(tblMovimientos[[#This Row],[Cuenta Bancaria]],Cuentas!$C:$C,Cuentas!$B:$B,""))</f>
        <v/>
      </c>
    </row>
    <row r="819" spans="1:18" x14ac:dyDescent="0.3">
      <c r="A819" s="45"/>
      <c r="B819" s="39">
        <v>46258</v>
      </c>
      <c r="C819" s="46" t="str">
        <f>_xlfn.XLOOKUP(tblMovimientos[[#This Row],[Cuenta Bancaria]],Listas!$B:$B,Listas!$A:$A,"")</f>
        <v>A&amp;M Imports</v>
      </c>
      <c r="D819" s="41" t="s">
        <v>100</v>
      </c>
      <c r="E819" s="46" t="str">
        <f>_xlfn.XLOOKUP(tblMovimientos[[#This Row],[Cuenta Bancaria]],Listas!$B:$B,Listas!$C:$C,"")</f>
        <v>Bank of America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5731.99</v>
      </c>
      <c r="K819" s="5">
        <f t="shared" si="8"/>
        <v>5731.99</v>
      </c>
      <c r="L819" s="15" t="s">
        <v>132</v>
      </c>
      <c r="M819" s="44">
        <f>SUMIFS('Saldos Iniciales'!$D:$D,'Saldos Iniciales'!$A:$A,C819,'Saldos Iniciales'!$B:$B,D819)+SUMIFS($K$1:$K$1325,$C$1:$C$1325,C819,$D$1:$D$1325,D819,$B$1:$B$1325,"&lt;="&amp;B819)</f>
        <v>1234763.3299999998</v>
      </c>
      <c r="N819" s="65">
        <f>IF(tblMovimientos[[#This Row],[Tipo de Movimiento]]="Ingreso",tblMovimientos[[#This Row],[Monto (S/)]],"0")</f>
        <v>5731.99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5731.99</v>
      </c>
      <c r="Q819" s="91" t="str">
        <f>IF(tblMovimientos[[#This Row],[Cuenta Bancaria]]="","",_xlfn.XLOOKUP(tblMovimientos[[#This Row],[Cuenta Bancaria]],Cuentas!$C:$C,Cuentas!$A:$A,"No encontrado"))</f>
        <v>SSP Group</v>
      </c>
      <c r="R819" s="91" t="str">
        <f>TRIM(_xlfn.XLOOKUP(tblMovimientos[[#This Row],[Cuenta Bancaria]],Cuentas!$C:$C,Cuentas!$B:$B,""))</f>
        <v>Cross Security Trust</v>
      </c>
    </row>
    <row r="820" spans="1:18" x14ac:dyDescent="0.3">
      <c r="A820" s="45"/>
      <c r="B820" s="39">
        <v>46258</v>
      </c>
      <c r="C820" s="46" t="str">
        <f>_xlfn.XLOOKUP(tblMovimientos[[#This Row],[Cuenta Bancaria]],Listas!$B:$B,Listas!$A:$A,"")</f>
        <v>M1B</v>
      </c>
      <c r="D820" s="41" t="s">
        <v>97</v>
      </c>
      <c r="E820" s="46" t="str">
        <f>_xlfn.XLOOKUP(tblMovimientos[[#This Row],[Cuenta Bancaria]],Listas!$B:$B,Listas!$C:$C,"")</f>
        <v xml:space="preserve">Amerant Bank 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457.74</v>
      </c>
      <c r="K820" s="5">
        <f t="shared" si="8"/>
        <v>457.74</v>
      </c>
      <c r="L820" s="15" t="s">
        <v>132</v>
      </c>
      <c r="M820" s="44">
        <f>SUMIFS('Saldos Iniciales'!$D:$D,'Saldos Iniciales'!$A:$A,C820,'Saldos Iniciales'!$B:$B,D820)+SUMIFS($K$1:$K$1325,$C$1:$C$1325,C820,$D$1:$D$1325,D820,$B$1:$B$1325,"&lt;="&amp;B820)</f>
        <v>78668.990000000165</v>
      </c>
      <c r="N820" s="65">
        <f>IF(tblMovimientos[[#This Row],[Tipo de Movimiento]]="Ingreso",tblMovimientos[[#This Row],[Monto (S/)]],"0")</f>
        <v>457.74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457.74</v>
      </c>
      <c r="Q820" s="91" t="str">
        <f>IF(tblMovimientos[[#This Row],[Cuenta Bancaria]]="","",_xlfn.XLOOKUP(tblMovimientos[[#This Row],[Cuenta Bancaria]],Cuentas!$C:$C,Cuentas!$A:$A,"No encontrado"))</f>
        <v>SSP Group</v>
      </c>
      <c r="R820" s="91" t="str">
        <f>TRIM(_xlfn.XLOOKUP(tblMovimientos[[#This Row],[Cuenta Bancaria]],Cuentas!$C:$C,Cuentas!$B:$B,""))</f>
        <v/>
      </c>
    </row>
    <row r="821" spans="1:18" x14ac:dyDescent="0.3">
      <c r="B821" s="39">
        <v>46258</v>
      </c>
      <c r="C821" s="46" t="str">
        <f>_xlfn.XLOOKUP(tblMovimientos[[#This Row],[Cuenta Bancaria]],Listas!$B:$B,Listas!$A:$A,"")</f>
        <v>Go Blue</v>
      </c>
      <c r="D821" s="41" t="s">
        <v>165</v>
      </c>
      <c r="E821" s="4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38</v>
      </c>
      <c r="H821" s="4" t="str">
        <f>IFERROR(_xlfn.XLOOKUP(G821,Listas!E:E,Listas!F:F,""),"")</f>
        <v>Operativo</v>
      </c>
      <c r="I821" s="46" t="str">
        <f>IFERROR(_xlfn.XLOOKUP(G821,Listas!E:E,Listas!G:G,""),"")</f>
        <v>Externo</v>
      </c>
      <c r="J821" s="43">
        <v>21.95</v>
      </c>
      <c r="K821" s="5">
        <f t="shared" si="8"/>
        <v>-21.95</v>
      </c>
      <c r="L821" s="15" t="s">
        <v>132</v>
      </c>
      <c r="M821" s="44">
        <f>SUMIFS('Saldos Iniciales'!$D:$D,'Saldos Iniciales'!$A:$A,C821,'Saldos Iniciales'!$B:$B,D821)+SUMIFS($K$1:$K$1325,$C$1:$C$1325,C821,$D$1:$D$1325,D821,$B$1:$B$1325,"&lt;="&amp;B821)</f>
        <v>2063.3500000000022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21.95</v>
      </c>
      <c r="P821" s="28">
        <f>IF(tblMovimientos[[#This Row],[Tipo de Movimiento]]="Ingreso",tblMovimientos[[#This Row],[Ingreso]],-tblMovimientos[[#This Row],[Egreso]])</f>
        <v>-21.95</v>
      </c>
      <c r="Q821" s="91" t="str">
        <f>IF(tblMovimientos[[#This Row],[Cuenta Bancaria]]="","",_xlfn.XLOOKUP(tblMovimientos[[#This Row],[Cuenta Bancaria]],Cuentas!$C:$C,Cuentas!$A:$A,"No encontrado"))</f>
        <v>SSP Group</v>
      </c>
      <c r="R821" s="91" t="str">
        <f>TRIM(_xlfn.XLOOKUP(tblMovimientos[[#This Row],[Cuenta Bancaria]],Cuentas!$C:$C,Cuentas!$B:$B,""))</f>
        <v/>
      </c>
    </row>
    <row r="822" spans="1:18" x14ac:dyDescent="0.3">
      <c r="B822" s="39">
        <v>46258</v>
      </c>
      <c r="C822" s="46" t="str">
        <f>_xlfn.XLOOKUP(tblMovimientos[[#This Row],[Cuenta Bancaria]],Listas!$B:$B,Listas!$A:$A,"")</f>
        <v>CFT Group</v>
      </c>
      <c r="D822" s="41" t="s">
        <v>95</v>
      </c>
      <c r="E822" s="4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61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30000</v>
      </c>
      <c r="K822" s="5">
        <f t="shared" si="8"/>
        <v>-30000</v>
      </c>
      <c r="L822" s="15" t="s">
        <v>132</v>
      </c>
      <c r="M822" s="44">
        <f>SUMIFS('Saldos Iniciales'!$D:$D,'Saldos Iniciales'!$A:$A,C822,'Saldos Iniciales'!$B:$B,D822)+SUMIFS($K$1:$K$1325,$C$1:$C$1325,C822,$D$1:$D$1325,D822,$B$1:$B$1325,"&lt;="&amp;B822)</f>
        <v>231560.08000000077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30000</v>
      </c>
      <c r="P822" s="28">
        <f>IF(tblMovimientos[[#This Row],[Tipo de Movimiento]]="Ingreso",tblMovimientos[[#This Row],[Ingreso]],-tblMovimientos[[#This Row],[Egreso]])</f>
        <v>-30000</v>
      </c>
      <c r="Q822" s="91" t="str">
        <f>IF(tblMovimientos[[#This Row],[Cuenta Bancaria]]="","",_xlfn.XLOOKUP(tblMovimientos[[#This Row],[Cuenta Bancaria]],Cuentas!$C:$C,Cuentas!$A:$A,"No encontrado"))</f>
        <v>SSP Group</v>
      </c>
      <c r="R822" s="91" t="str">
        <f>TRIM(_xlfn.XLOOKUP(tblMovimientos[[#This Row],[Cuenta Bancaria]],Cuentas!$C:$C,Cuentas!$B:$B,""))</f>
        <v/>
      </c>
    </row>
    <row r="823" spans="1:18" x14ac:dyDescent="0.3">
      <c r="B823" s="39">
        <v>46258</v>
      </c>
      <c r="C823" s="46" t="str">
        <f>_xlfn.XLOOKUP(tblMovimientos[[#This Row],[Cuenta Bancaria]],Listas!$B:$B,Listas!$A:$A,"")</f>
        <v>CFT Group</v>
      </c>
      <c r="D823" s="41" t="s">
        <v>95</v>
      </c>
      <c r="E823" s="4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61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100000</v>
      </c>
      <c r="K823" s="5">
        <f t="shared" si="8"/>
        <v>-100000</v>
      </c>
      <c r="L823" s="15" t="s">
        <v>132</v>
      </c>
      <c r="M823" s="44">
        <f>SUMIFS('Saldos Iniciales'!$D:$D,'Saldos Iniciales'!$A:$A,C823,'Saldos Iniciales'!$B:$B,D823)+SUMIFS($K$1:$K$1325,$C$1:$C$1325,C823,$D$1:$D$1325,D823,$B$1:$B$1325,"&lt;="&amp;B823)</f>
        <v>231560.08000000077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100000</v>
      </c>
      <c r="P823" s="28">
        <f>IF(tblMovimientos[[#This Row],[Tipo de Movimiento]]="Ingreso",tblMovimientos[[#This Row],[Ingreso]],-tblMovimientos[[#This Row],[Egreso]])</f>
        <v>-100000</v>
      </c>
      <c r="Q823" s="91" t="str">
        <f>IF(tblMovimientos[[#This Row],[Cuenta Bancaria]]="","",_xlfn.XLOOKUP(tblMovimientos[[#This Row],[Cuenta Bancaria]],Cuentas!$C:$C,Cuentas!$A:$A,"No encontrado"))</f>
        <v>SSP Group</v>
      </c>
      <c r="R823" s="91" t="str">
        <f>TRIM(_xlfn.XLOOKUP(tblMovimientos[[#This Row],[Cuenta Bancaria]],Cuentas!$C:$C,Cuentas!$B:$B,""))</f>
        <v/>
      </c>
    </row>
    <row r="824" spans="1:18" x14ac:dyDescent="0.3">
      <c r="B824" s="39">
        <v>46258</v>
      </c>
      <c r="C824" s="46" t="str">
        <f>_xlfn.XLOOKUP(tblMovimientos[[#This Row],[Cuenta Bancaria]],Listas!$B:$B,Listas!$A:$A,"")</f>
        <v>CFT Group</v>
      </c>
      <c r="D824" s="41" t="s">
        <v>95</v>
      </c>
      <c r="E824" s="4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200000</v>
      </c>
      <c r="K824" s="5">
        <f t="shared" si="8"/>
        <v>-200000</v>
      </c>
      <c r="L824" s="15" t="s">
        <v>132</v>
      </c>
      <c r="M824" s="44">
        <f>SUMIFS('Saldos Iniciales'!$D:$D,'Saldos Iniciales'!$A:$A,C824,'Saldos Iniciales'!$B:$B,D824)+SUMIFS($K$1:$K$1325,$C$1:$C$1325,C824,$D$1:$D$1325,D824,$B$1:$B$1325,"&lt;="&amp;B824)</f>
        <v>231560.08000000077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200000</v>
      </c>
      <c r="P824" s="28">
        <f>IF(tblMovimientos[[#This Row],[Tipo de Movimiento]]="Ingreso",tblMovimientos[[#This Row],[Ingreso]],-tblMovimientos[[#This Row],[Egreso]])</f>
        <v>-200000</v>
      </c>
      <c r="Q824" s="91" t="str">
        <f>IF(tblMovimientos[[#This Row],[Cuenta Bancaria]]="","",_xlfn.XLOOKUP(tblMovimientos[[#This Row],[Cuenta Bancaria]],Cuentas!$C:$C,Cuentas!$A:$A,"No encontrado"))</f>
        <v>SSP Group</v>
      </c>
      <c r="R824" s="91" t="str">
        <f>TRIM(_xlfn.XLOOKUP(tblMovimientos[[#This Row],[Cuenta Bancaria]],Cuentas!$C:$C,Cuentas!$B:$B,""))</f>
        <v/>
      </c>
    </row>
    <row r="825" spans="1:18" x14ac:dyDescent="0.3">
      <c r="B825" s="39">
        <v>46259</v>
      </c>
      <c r="C825" s="46" t="str">
        <f>_xlfn.XLOOKUP(tblMovimientos[[#This Row],[Cuenta Bancaria]],Listas!$B:$B,Listas!$A:$A,"")</f>
        <v>A&amp;M Imports</v>
      </c>
      <c r="D825" s="41" t="s">
        <v>100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17345.61</v>
      </c>
      <c r="K825" s="5">
        <f t="shared" si="8"/>
        <v>17345.61</v>
      </c>
      <c r="L825" s="15" t="s">
        <v>132</v>
      </c>
      <c r="M825" s="44">
        <f>SUMIFS('Saldos Iniciales'!$D:$D,'Saldos Iniciales'!$A:$A,C825,'Saldos Iniciales'!$B:$B,D825)+SUMIFS($K$1:$K$1325,$C$1:$C$1325,C825,$D$1:$D$1325,D825,$B$1:$B$1325,"&lt;="&amp;B825)</f>
        <v>1252108.94</v>
      </c>
      <c r="N825" s="65">
        <f>IF(tblMovimientos[[#This Row],[Tipo de Movimiento]]="Ingreso",tblMovimientos[[#This Row],[Monto (S/)]],"0")</f>
        <v>17345.61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17345.61</v>
      </c>
      <c r="Q825" s="91" t="str">
        <f>IF(tblMovimientos[[#This Row],[Cuenta Bancaria]]="","",_xlfn.XLOOKUP(tblMovimientos[[#This Row],[Cuenta Bancaria]],Cuentas!$C:$C,Cuentas!$A:$A,"No encontrado"))</f>
        <v>SSP Group</v>
      </c>
      <c r="R825" s="91" t="str">
        <f>TRIM(_xlfn.XLOOKUP(tblMovimientos[[#This Row],[Cuenta Bancaria]],Cuentas!$C:$C,Cuentas!$B:$B,""))</f>
        <v>Cross Security Trust</v>
      </c>
    </row>
    <row r="826" spans="1:18" x14ac:dyDescent="0.3">
      <c r="B826" s="39">
        <v>46259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9</v>
      </c>
      <c r="G826" s="41" t="s">
        <v>68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145829.28</v>
      </c>
      <c r="K826" s="5">
        <f t="shared" si="8"/>
        <v>145829.28</v>
      </c>
      <c r="L826" s="15" t="s">
        <v>132</v>
      </c>
      <c r="M826" s="44">
        <f>SUMIFS('Saldos Iniciales'!$D:$D,'Saldos Iniciales'!$A:$A,C826,'Saldos Iniciales'!$B:$B,D826)+SUMIFS($K$1:$K$1325,$C$1:$C$1325,C826,$D$1:$D$1325,D826,$B$1:$B$1325,"&lt;="&amp;B826)</f>
        <v>289299.21999999997</v>
      </c>
      <c r="N826" s="65">
        <f>IF(tblMovimientos[[#This Row],[Tipo de Movimiento]]="Ingreso",tblMovimientos[[#This Row],[Monto (S/)]],"0")</f>
        <v>145829.28</v>
      </c>
      <c r="O826" s="65" t="str">
        <f>IF(tblMovimientos[[#This Row],[Tipo de Movimiento]]="Egreso",tblMovimientos[[#This Row],[Monto (S/)]],"0")</f>
        <v>0</v>
      </c>
      <c r="P826" s="28">
        <f>IF(tblMovimientos[[#This Row],[Tipo de Movimiento]]="Ingreso",tblMovimientos[[#This Row],[Ingreso]],-tblMovimientos[[#This Row],[Egreso]])</f>
        <v>145829.28</v>
      </c>
      <c r="Q826" s="91" t="str">
        <f>IF(tblMovimientos[[#This Row],[Cuenta Bancaria]]="","",_xlfn.XLOOKUP(tblMovimientos[[#This Row],[Cuenta Bancaria]],Cuentas!$C:$C,Cuentas!$A:$A,"No encontrado"))</f>
        <v>SSP Group</v>
      </c>
      <c r="R826" s="91" t="str">
        <f>TRIM(_xlfn.XLOOKUP(tblMovimientos[[#This Row],[Cuenta Bancaria]],Cuentas!$C:$C,Cuentas!$B:$B,""))</f>
        <v/>
      </c>
    </row>
    <row r="827" spans="1:18" x14ac:dyDescent="0.3">
      <c r="B827" s="39">
        <v>46259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9</v>
      </c>
      <c r="G827" s="41" t="s">
        <v>68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8056.89</v>
      </c>
      <c r="K827" s="5">
        <f t="shared" si="8"/>
        <v>8056.89</v>
      </c>
      <c r="L827" s="15" t="s">
        <v>132</v>
      </c>
      <c r="M827" s="44">
        <f>SUMIFS('Saldos Iniciales'!$D:$D,'Saldos Iniciales'!$A:$A,C827,'Saldos Iniciales'!$B:$B,D827)+SUMIFS($K$1:$K$1325,$C$1:$C$1325,C827,$D$1:$D$1325,D827,$B$1:$B$1325,"&lt;="&amp;B827)</f>
        <v>289299.21999999997</v>
      </c>
      <c r="N827" s="65">
        <f>IF(tblMovimientos[[#This Row],[Tipo de Movimiento]]="Ingreso",tblMovimientos[[#This Row],[Monto (S/)]],"0")</f>
        <v>8056.89</v>
      </c>
      <c r="O827" s="65" t="str">
        <f>IF(tblMovimientos[[#This Row],[Tipo de Movimiento]]="Egreso",tblMovimientos[[#This Row],[Monto (S/)]],"0")</f>
        <v>0</v>
      </c>
      <c r="P827" s="28">
        <f>IF(tblMovimientos[[#This Row],[Tipo de Movimiento]]="Ingreso",tblMovimientos[[#This Row],[Ingreso]],-tblMovimientos[[#This Row],[Egreso]])</f>
        <v>8056.89</v>
      </c>
      <c r="Q827" s="91" t="str">
        <f>IF(tblMovimientos[[#This Row],[Cuenta Bancaria]]="","",_xlfn.XLOOKUP(tblMovimientos[[#This Row],[Cuenta Bancaria]],Cuentas!$C:$C,Cuentas!$A:$A,"No encontrado"))</f>
        <v>SSP Group</v>
      </c>
      <c r="R827" s="91" t="str">
        <f>TRIM(_xlfn.XLOOKUP(tblMovimientos[[#This Row],[Cuenta Bancaria]],Cuentas!$C:$C,Cuentas!$B:$B,""))</f>
        <v/>
      </c>
    </row>
    <row r="828" spans="1:18" x14ac:dyDescent="0.3">
      <c r="B828" s="39">
        <v>46259</v>
      </c>
      <c r="C828" s="46" t="str">
        <f>_xlfn.XLOOKUP(tblMovimientos[[#This Row],[Cuenta Bancaria]],Listas!$B:$B,Listas!$A:$A,"")</f>
        <v>M1B</v>
      </c>
      <c r="D828" s="41" t="s">
        <v>97</v>
      </c>
      <c r="E828" s="4" t="str">
        <f>_xlfn.XLOOKUP(tblMovimientos[[#This Row],[Cuenta Bancaria]],Listas!$B:$B,Listas!$C:$C,"")</f>
        <v xml:space="preserve">Amerant Bank </v>
      </c>
      <c r="F828" s="41" t="s">
        <v>9</v>
      </c>
      <c r="G828" s="41" t="s">
        <v>68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6974.11</v>
      </c>
      <c r="K828" s="5">
        <f t="shared" si="8"/>
        <v>6974.11</v>
      </c>
      <c r="L828" s="15" t="s">
        <v>132</v>
      </c>
      <c r="M828" s="44">
        <f>SUMIFS('Saldos Iniciales'!$D:$D,'Saldos Iniciales'!$A:$A,C828,'Saldos Iniciales'!$B:$B,D828)+SUMIFS($K$1:$K$1325,$C$1:$C$1325,C828,$D$1:$D$1325,D828,$B$1:$B$1325,"&lt;="&amp;B828)</f>
        <v>85643.10000000018</v>
      </c>
      <c r="N828" s="65">
        <f>IF(tblMovimientos[[#This Row],[Tipo de Movimiento]]="Ingreso",tblMovimientos[[#This Row],[Monto (S/)]],"0")</f>
        <v>6974.11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6974.11</v>
      </c>
      <c r="Q828" s="91" t="str">
        <f>IF(tblMovimientos[[#This Row],[Cuenta Bancaria]]="","",_xlfn.XLOOKUP(tblMovimientos[[#This Row],[Cuenta Bancaria]],Cuentas!$C:$C,Cuentas!$A:$A,"No encontrado"))</f>
        <v>SSP Group</v>
      </c>
      <c r="R828" s="91" t="str">
        <f>TRIM(_xlfn.XLOOKUP(tblMovimientos[[#This Row],[Cuenta Bancaria]],Cuentas!$C:$C,Cuentas!$B:$B,""))</f>
        <v/>
      </c>
    </row>
    <row r="829" spans="1:18" x14ac:dyDescent="0.3">
      <c r="B829" s="39">
        <v>46260</v>
      </c>
      <c r="C829" s="46" t="str">
        <f>_xlfn.XLOOKUP(tblMovimientos[[#This Row],[Cuenta Bancaria]],Listas!$B:$B,Listas!$A:$A,"")</f>
        <v>A&amp;M Imports</v>
      </c>
      <c r="D829" s="41" t="s">
        <v>100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17545.53</v>
      </c>
      <c r="K829" s="5">
        <f t="shared" si="8"/>
        <v>17545.53</v>
      </c>
      <c r="L829" s="15" t="s">
        <v>132</v>
      </c>
      <c r="M829" s="44">
        <f>SUMIFS('Saldos Iniciales'!$D:$D,'Saldos Iniciales'!$A:$A,C829,'Saldos Iniciales'!$B:$B,D829)+SUMIFS($K$1:$K$1325,$C$1:$C$1325,C829,$D$1:$D$1325,D829,$B$1:$B$1325,"&lt;="&amp;B829)</f>
        <v>1269654.47</v>
      </c>
      <c r="N829" s="65">
        <f>IF(tblMovimientos[[#This Row],[Tipo de Movimiento]]="Ingreso",tblMovimientos[[#This Row],[Monto (S/)]],"0")</f>
        <v>17545.53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17545.53</v>
      </c>
      <c r="Q829" s="91" t="str">
        <f>IF(tblMovimientos[[#This Row],[Cuenta Bancaria]]="","",_xlfn.XLOOKUP(tblMovimientos[[#This Row],[Cuenta Bancaria]],Cuentas!$C:$C,Cuentas!$A:$A,"No encontrado"))</f>
        <v>SSP Group</v>
      </c>
      <c r="R829" s="91" t="str">
        <f>TRIM(_xlfn.XLOOKUP(tblMovimientos[[#This Row],[Cuenta Bancaria]],Cuentas!$C:$C,Cuentas!$B:$B,""))</f>
        <v>Cross Security Trust</v>
      </c>
    </row>
    <row r="830" spans="1:18" x14ac:dyDescent="0.3">
      <c r="B830" s="39">
        <v>46261</v>
      </c>
      <c r="C830" s="46" t="str">
        <f>_xlfn.XLOOKUP(tblMovimientos[[#This Row],[Cuenta Bancaria]],Listas!$B:$B,Listas!$A:$A,"")</f>
        <v>SSP Capital</v>
      </c>
      <c r="D830" s="41" t="s">
        <v>101</v>
      </c>
      <c r="E830" s="4" t="str">
        <f>_xlfn.XLOOKUP(tblMovimientos[[#This Row],[Cuenta Bancaria]],Listas!$B:$B,Listas!$C:$C,"")</f>
        <v>Bank of America</v>
      </c>
      <c r="F830" s="41" t="s">
        <v>10</v>
      </c>
      <c r="G830" s="41" t="s">
        <v>64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100</v>
      </c>
      <c r="K830" s="5">
        <f t="shared" si="8"/>
        <v>-100</v>
      </c>
      <c r="L830" s="15" t="s">
        <v>132</v>
      </c>
      <c r="M830" s="44">
        <f>SUMIFS('Saldos Iniciales'!$D:$D,'Saldos Iniciales'!$A:$A,C830,'Saldos Iniciales'!$B:$B,D830)+SUMIFS($K$1:$K$1325,$C$1:$C$1325,C830,$D$1:$D$1325,D830,$B$1:$B$1325,"&lt;="&amp;B830)</f>
        <v>25936.5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100</v>
      </c>
      <c r="P830" s="28">
        <f>IF(tblMovimientos[[#This Row],[Tipo de Movimiento]]="Ingreso",tblMovimientos[[#This Row],[Ingreso]],-tblMovimientos[[#This Row],[Egreso]])</f>
        <v>-100</v>
      </c>
      <c r="Q830" s="91" t="str">
        <f>IF(tblMovimientos[[#This Row],[Cuenta Bancaria]]="","",_xlfn.XLOOKUP(tblMovimientos[[#This Row],[Cuenta Bancaria]],Cuentas!$C:$C,Cuentas!$A:$A,"No encontrado"))</f>
        <v>SSP Group</v>
      </c>
      <c r="R830" s="91" t="str">
        <f>TRIM(_xlfn.XLOOKUP(tblMovimientos[[#This Row],[Cuenta Bancaria]],Cuentas!$C:$C,Cuentas!$B:$B,""))</f>
        <v/>
      </c>
    </row>
    <row r="831" spans="1:18" x14ac:dyDescent="0.3">
      <c r="B831" s="39">
        <v>46261</v>
      </c>
      <c r="C831" s="46" t="str">
        <f>_xlfn.XLOOKUP(tblMovimientos[[#This Row],[Cuenta Bancaria]],Listas!$B:$B,Listas!$A:$A,"")</f>
        <v>SSP Capital</v>
      </c>
      <c r="D831" s="41" t="s">
        <v>101</v>
      </c>
      <c r="E831" s="4" t="str">
        <f>_xlfn.XLOOKUP(tblMovimientos[[#This Row],[Cuenta Bancaria]],Listas!$B:$B,Listas!$C:$C,"")</f>
        <v>Bank of America</v>
      </c>
      <c r="F831" s="41" t="s">
        <v>10</v>
      </c>
      <c r="G831" s="41" t="s">
        <v>44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30</v>
      </c>
      <c r="K831" s="5">
        <f t="shared" si="8"/>
        <v>-30</v>
      </c>
      <c r="L831" s="15" t="s">
        <v>132</v>
      </c>
      <c r="M831" s="44">
        <f>SUMIFS('Saldos Iniciales'!$D:$D,'Saldos Iniciales'!$A:$A,C831,'Saldos Iniciales'!$B:$B,D831)+SUMIFS($K$1:$K$1325,$C$1:$C$1325,C831,$D$1:$D$1325,D831,$B$1:$B$1325,"&lt;="&amp;B831)</f>
        <v>25936.5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30</v>
      </c>
      <c r="P831" s="28">
        <f>IF(tblMovimientos[[#This Row],[Tipo de Movimiento]]="Ingreso",tblMovimientos[[#This Row],[Ingreso]],-tblMovimientos[[#This Row],[Egreso]])</f>
        <v>-30</v>
      </c>
      <c r="Q831" s="91" t="str">
        <f>IF(tblMovimientos[[#This Row],[Cuenta Bancaria]]="","",_xlfn.XLOOKUP(tblMovimientos[[#This Row],[Cuenta Bancaria]],Cuentas!$C:$C,Cuentas!$A:$A,"No encontrado"))</f>
        <v>SSP Group</v>
      </c>
      <c r="R831" s="91" t="str">
        <f>TRIM(_xlfn.XLOOKUP(tblMovimientos[[#This Row],[Cuenta Bancaria]],Cuentas!$C:$C,Cuentas!$B:$B,""))</f>
        <v/>
      </c>
    </row>
    <row r="832" spans="1:18" x14ac:dyDescent="0.3">
      <c r="B832" s="39">
        <v>46261</v>
      </c>
      <c r="C832" s="46" t="str">
        <f>_xlfn.XLOOKUP(tblMovimientos[[#This Row],[Cuenta Bancaria]],Listas!$B:$B,Listas!$A:$A,"")</f>
        <v>A&amp;M Imports</v>
      </c>
      <c r="D832" s="41" t="s">
        <v>100</v>
      </c>
      <c r="E832" s="4" t="str">
        <f>_xlfn.XLOOKUP(tblMovimientos[[#This Row],[Cuenta Bancaria]],Listas!$B:$B,Listas!$C:$C,"")</f>
        <v>Bank of America</v>
      </c>
      <c r="F832" s="41" t="s">
        <v>9</v>
      </c>
      <c r="G832" s="41" t="s">
        <v>80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185000</v>
      </c>
      <c r="K832" s="5">
        <f t="shared" si="8"/>
        <v>185000</v>
      </c>
      <c r="L832" s="15" t="s">
        <v>132</v>
      </c>
      <c r="M832" s="44">
        <f>SUMIFS('Saldos Iniciales'!$D:$D,'Saldos Iniciales'!$A:$A,C832,'Saldos Iniciales'!$B:$B,D832)+SUMIFS($K$1:$K$1325,$C$1:$C$1325,C832,$D$1:$D$1325,D832,$B$1:$B$1325,"&lt;="&amp;B832)</f>
        <v>1394654.47</v>
      </c>
      <c r="N832" s="65">
        <f>IF(tblMovimientos[[#This Row],[Tipo de Movimiento]]="Ingreso",tblMovimientos[[#This Row],[Monto (S/)]],"0")</f>
        <v>185000</v>
      </c>
      <c r="O832" s="65" t="str">
        <f>IF(tblMovimientos[[#This Row],[Tipo de Movimiento]]="Egreso",tblMovimientos[[#This Row],[Monto (S/)]],"0")</f>
        <v>0</v>
      </c>
      <c r="P832" s="28">
        <f>IF(tblMovimientos[[#This Row],[Tipo de Movimiento]]="Ingreso",tblMovimientos[[#This Row],[Ingreso]],-tblMovimientos[[#This Row],[Egreso]])</f>
        <v>185000</v>
      </c>
      <c r="Q832" s="91" t="str">
        <f>IF(tblMovimientos[[#This Row],[Cuenta Bancaria]]="","",_xlfn.XLOOKUP(tblMovimientos[[#This Row],[Cuenta Bancaria]],Cuentas!$C:$C,Cuentas!$A:$A,"No encontrado"))</f>
        <v>SSP Group</v>
      </c>
      <c r="R832" s="91" t="str">
        <f>TRIM(_xlfn.XLOOKUP(tblMovimientos[[#This Row],[Cuenta Bancaria]],Cuentas!$C:$C,Cuentas!$B:$B,""))</f>
        <v>Cross Security Trust</v>
      </c>
    </row>
    <row r="833" spans="1:18" x14ac:dyDescent="0.3">
      <c r="B833" s="39">
        <v>46261</v>
      </c>
      <c r="C833" s="46" t="str">
        <f>_xlfn.XLOOKUP(tblMovimientos[[#This Row],[Cuenta Bancaria]],Listas!$B:$B,Listas!$A:$A,"")</f>
        <v>A&amp;M Imports</v>
      </c>
      <c r="D833" s="41" t="s">
        <v>100</v>
      </c>
      <c r="E833" s="4" t="str">
        <f>_xlfn.XLOOKUP(tblMovimientos[[#This Row],[Cuenta Bancaria]],Listas!$B:$B,Listas!$C:$C,"")</f>
        <v>Bank of America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60000</v>
      </c>
      <c r="K833" s="5">
        <f t="shared" si="8"/>
        <v>-60000</v>
      </c>
      <c r="L833" s="15" t="s">
        <v>132</v>
      </c>
      <c r="M833" s="44">
        <f>SUMIFS('Saldos Iniciales'!$D:$D,'Saldos Iniciales'!$A:$A,C833,'Saldos Iniciales'!$B:$B,D833)+SUMIFS($K$1:$K$1325,$C$1:$C$1325,C833,$D$1:$D$1325,D833,$B$1:$B$1325,"&lt;="&amp;B833)</f>
        <v>1394654.47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60000</v>
      </c>
      <c r="P833" s="28">
        <f>IF(tblMovimientos[[#This Row],[Tipo de Movimiento]]="Ingreso",tblMovimientos[[#This Row],[Ingreso]],-tblMovimientos[[#This Row],[Egreso]])</f>
        <v>-60000</v>
      </c>
      <c r="Q833" s="91" t="str">
        <f>IF(tblMovimientos[[#This Row],[Cuenta Bancaria]]="","",_xlfn.XLOOKUP(tblMovimientos[[#This Row],[Cuenta Bancaria]],Cuentas!$C:$C,Cuentas!$A:$A,"No encontrado"))</f>
        <v>SSP Group</v>
      </c>
      <c r="R833" s="91" t="str">
        <f>TRIM(_xlfn.XLOOKUP(tblMovimientos[[#This Row],[Cuenta Bancaria]],Cuentas!$C:$C,Cuentas!$B:$B,""))</f>
        <v>Cross Security Trust</v>
      </c>
    </row>
    <row r="834" spans="1:18" x14ac:dyDescent="0.3">
      <c r="B834" s="39">
        <v>46261</v>
      </c>
      <c r="C834" s="46" t="str">
        <f>_xlfn.XLOOKUP(tblMovimientos[[#This Row],[Cuenta Bancaria]],Listas!$B:$B,Listas!$A:$A,"")</f>
        <v>CFT Group</v>
      </c>
      <c r="D834" s="41" t="s">
        <v>94</v>
      </c>
      <c r="E834" s="4" t="str">
        <f>_xlfn.XLOOKUP(tblMovimientos[[#This Row],[Cuenta Bancaria]],Listas!$B:$B,Listas!$C:$C,"")</f>
        <v>Bank of America</v>
      </c>
      <c r="F834" s="41" t="s">
        <v>9</v>
      </c>
      <c r="G834" s="41" t="s">
        <v>68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116197.06</v>
      </c>
      <c r="K834" s="5">
        <f t="shared" si="8"/>
        <v>116197.06</v>
      </c>
      <c r="L834" s="15" t="s">
        <v>132</v>
      </c>
      <c r="M834" s="44">
        <f>SUMIFS('Saldos Iniciales'!$D:$D,'Saldos Iniciales'!$A:$A,C834,'Saldos Iniciales'!$B:$B,D834)+SUMIFS($K$1:$K$1325,$C$1:$C$1325,C834,$D$1:$D$1325,D834,$B$1:$B$1325,"&lt;="&amp;B834)</f>
        <v>364496.27999999997</v>
      </c>
      <c r="N834" s="65">
        <f>IF(tblMovimientos[[#This Row],[Tipo de Movimiento]]="Ingreso",tblMovimientos[[#This Row],[Monto (S/)]],"0")</f>
        <v>116197.06</v>
      </c>
      <c r="O834" s="65" t="str">
        <f>IF(tblMovimientos[[#This Row],[Tipo de Movimiento]]="Egreso",tblMovimientos[[#This Row],[Monto (S/)]],"0")</f>
        <v>0</v>
      </c>
      <c r="P834" s="28">
        <f>IF(tblMovimientos[[#This Row],[Tipo de Movimiento]]="Ingreso",tblMovimientos[[#This Row],[Ingreso]],-tblMovimientos[[#This Row],[Egreso]])</f>
        <v>116197.06</v>
      </c>
      <c r="Q834" s="91" t="str">
        <f>IF(tblMovimientos[[#This Row],[Cuenta Bancaria]]="","",_xlfn.XLOOKUP(tblMovimientos[[#This Row],[Cuenta Bancaria]],Cuentas!$C:$C,Cuentas!$A:$A,"No encontrado"))</f>
        <v>SSP Group</v>
      </c>
      <c r="R834" s="91" t="str">
        <f>TRIM(_xlfn.XLOOKUP(tblMovimientos[[#This Row],[Cuenta Bancaria]],Cuentas!$C:$C,Cuentas!$B:$B,""))</f>
        <v/>
      </c>
    </row>
    <row r="835" spans="1:18" x14ac:dyDescent="0.3">
      <c r="B835" s="39">
        <v>46261</v>
      </c>
      <c r="C835" s="46" t="str">
        <f>_xlfn.XLOOKUP(tblMovimientos[[#This Row],[Cuenta Bancaria]],Listas!$B:$B,Listas!$A:$A,"")</f>
        <v>CFT Group</v>
      </c>
      <c r="D835" s="41" t="s">
        <v>94</v>
      </c>
      <c r="E835" s="4" t="str">
        <f>_xlfn.XLOOKUP(tblMovimientos[[#This Row],[Cuenta Bancaria]],Listas!$B:$B,Listas!$C:$C,"")</f>
        <v>Bank of America</v>
      </c>
      <c r="F835" s="41" t="s">
        <v>10</v>
      </c>
      <c r="G835" s="41" t="s">
        <v>50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21000</v>
      </c>
      <c r="K835" s="5">
        <f t="shared" si="8"/>
        <v>-21000</v>
      </c>
      <c r="L835" s="15" t="s">
        <v>132</v>
      </c>
      <c r="M835" s="44">
        <f>SUMIFS('Saldos Iniciales'!$D:$D,'Saldos Iniciales'!$A:$A,C835,'Saldos Iniciales'!$B:$B,D835)+SUMIFS($K$1:$K$1325,$C$1:$C$1325,C835,$D$1:$D$1325,D835,$B$1:$B$1325,"&lt;="&amp;B835)</f>
        <v>364496.27999999997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21000</v>
      </c>
      <c r="P835" s="28">
        <f>IF(tblMovimientos[[#This Row],[Tipo de Movimiento]]="Ingreso",tblMovimientos[[#This Row],[Ingreso]],-tblMovimientos[[#This Row],[Egreso]])</f>
        <v>-21000</v>
      </c>
      <c r="Q835" s="91" t="str">
        <f>IF(tblMovimientos[[#This Row],[Cuenta Bancaria]]="","",_xlfn.XLOOKUP(tblMovimientos[[#This Row],[Cuenta Bancaria]],Cuentas!$C:$C,Cuentas!$A:$A,"No encontrado"))</f>
        <v>SSP Group</v>
      </c>
      <c r="R835" s="91" t="str">
        <f>TRIM(_xlfn.XLOOKUP(tblMovimientos[[#This Row],[Cuenta Bancaria]],Cuentas!$C:$C,Cuentas!$B:$B,""))</f>
        <v/>
      </c>
    </row>
    <row r="836" spans="1:18" x14ac:dyDescent="0.3">
      <c r="B836" s="39">
        <v>46261</v>
      </c>
      <c r="C836" s="46" t="str">
        <f>_xlfn.XLOOKUP(tblMovimientos[[#This Row],[Cuenta Bancaria]],Listas!$B:$B,Listas!$A:$A,"")</f>
        <v>CFT Group</v>
      </c>
      <c r="D836" s="41" t="s">
        <v>94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50</v>
      </c>
      <c r="H836" s="4" t="str">
        <f>IFERROR(_xlfn.XLOOKUP(G836,Listas!E:E,Listas!F:F,""),"")</f>
        <v>Financiamiento</v>
      </c>
      <c r="I836" s="46" t="str">
        <f>IFERROR(_xlfn.XLOOKUP(G836,Listas!E:E,Listas!G:G,""),"")</f>
        <v>Externo</v>
      </c>
      <c r="J836" s="43">
        <v>20000</v>
      </c>
      <c r="K836" s="5">
        <f t="shared" si="8"/>
        <v>-20000</v>
      </c>
      <c r="L836" s="15" t="s">
        <v>132</v>
      </c>
      <c r="M836" s="44">
        <f>SUMIFS('Saldos Iniciales'!$D:$D,'Saldos Iniciales'!$A:$A,C836,'Saldos Iniciales'!$B:$B,D836)+SUMIFS($K$1:$K$1325,$C$1:$C$1325,C836,$D$1:$D$1325,D836,$B$1:$B$1325,"&lt;="&amp;B836)</f>
        <v>364496.27999999997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20000</v>
      </c>
      <c r="P836" s="28">
        <f>IF(tblMovimientos[[#This Row],[Tipo de Movimiento]]="Ingreso",tblMovimientos[[#This Row],[Ingreso]],-tblMovimientos[[#This Row],[Egreso]])</f>
        <v>-20000</v>
      </c>
      <c r="Q836" s="91" t="str">
        <f>IF(tblMovimientos[[#This Row],[Cuenta Bancaria]]="","",_xlfn.XLOOKUP(tblMovimientos[[#This Row],[Cuenta Bancaria]],Cuentas!$C:$C,Cuentas!$A:$A,"No encontrado"))</f>
        <v>SSP Group</v>
      </c>
      <c r="R836" s="91" t="str">
        <f>TRIM(_xlfn.XLOOKUP(tblMovimientos[[#This Row],[Cuenta Bancaria]],Cuentas!$C:$C,Cuentas!$B:$B,""))</f>
        <v/>
      </c>
    </row>
    <row r="837" spans="1:18" x14ac:dyDescent="0.3">
      <c r="B837" s="39">
        <v>46261</v>
      </c>
      <c r="C837" s="46" t="str">
        <f>_xlfn.XLOOKUP(tblMovimientos[[#This Row],[Cuenta Bancaria]],Listas!$B:$B,Listas!$A:$A,"")</f>
        <v>Sacred Valley Capital</v>
      </c>
      <c r="D837" s="41" t="s">
        <v>114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85</v>
      </c>
      <c r="H837" s="4" t="str">
        <f>IFERROR(_xlfn.XLOOKUP(G837,Listas!E:E,Listas!F:F,""),"")</f>
        <v>Operativo</v>
      </c>
      <c r="I837" s="46" t="str">
        <f>IFERROR(_xlfn.XLOOKUP(G837,Listas!E:E,Listas!G:G,""),"")</f>
        <v>Interno</v>
      </c>
      <c r="J837" s="43">
        <v>100</v>
      </c>
      <c r="K837" s="5">
        <f t="shared" si="8"/>
        <v>100</v>
      </c>
      <c r="L837" s="15" t="s">
        <v>132</v>
      </c>
      <c r="M837" s="44">
        <f>SUMIFS('Saldos Iniciales'!$D:$D,'Saldos Iniciales'!$A:$A,C837,'Saldos Iniciales'!$B:$B,D837)+SUMIFS($K$1:$K$1325,$C$1:$C$1325,C837,$D$1:$D$1325,D837,$B$1:$B$1325,"&lt;="&amp;B837)</f>
        <v>124.45</v>
      </c>
      <c r="N837" s="65">
        <f>IF(tblMovimientos[[#This Row],[Tipo de Movimiento]]="Ingreso",tblMovimientos[[#This Row],[Monto (S/)]],"0")</f>
        <v>100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100</v>
      </c>
      <c r="Q837" s="91" t="str">
        <f>IF(tblMovimientos[[#This Row],[Cuenta Bancaria]]="","",_xlfn.XLOOKUP(tblMovimientos[[#This Row],[Cuenta Bancaria]],Cuentas!$C:$C,Cuentas!$A:$A,"No encontrado"))</f>
        <v>SSP Group</v>
      </c>
      <c r="R837" s="91" t="str">
        <f>TRIM(_xlfn.XLOOKUP(tblMovimientos[[#This Row],[Cuenta Bancaria]],Cuentas!$C:$C,Cuentas!$B:$B,""))</f>
        <v/>
      </c>
    </row>
    <row r="838" spans="1:18" x14ac:dyDescent="0.3">
      <c r="B838" s="39">
        <v>46261</v>
      </c>
      <c r="C838" s="46" t="str">
        <f>_xlfn.XLOOKUP(tblMovimientos[[#This Row],[Cuenta Bancaria]],Listas!$B:$B,Listas!$A:$A,"")</f>
        <v>2515 Overbrook</v>
      </c>
      <c r="D838" s="41" t="s">
        <v>121</v>
      </c>
      <c r="E838" s="4" t="str">
        <f>_xlfn.XLOOKUP(tblMovimientos[[#This Row],[Cuenta Bancaria]],Listas!$B:$B,Listas!$C:$C,"")</f>
        <v>Bank of America</v>
      </c>
      <c r="F838" s="41" t="s">
        <v>9</v>
      </c>
      <c r="G838" s="41" t="s">
        <v>71</v>
      </c>
      <c r="H838" s="4" t="str">
        <f>IFERROR(_xlfn.XLOOKUP(G838,Listas!E:E,Listas!F:F,""),"")</f>
        <v>Operativo</v>
      </c>
      <c r="I838" s="46" t="str">
        <f>IFERROR(_xlfn.XLOOKUP(G838,Listas!E:E,Listas!G:G,""),"")</f>
        <v>Interno</v>
      </c>
      <c r="J838" s="43">
        <v>20000</v>
      </c>
      <c r="K838" s="5">
        <f t="shared" si="8"/>
        <v>20000</v>
      </c>
      <c r="L838" s="15" t="s">
        <v>132</v>
      </c>
      <c r="M838" s="44">
        <f>SUMIFS('Saldos Iniciales'!$D:$D,'Saldos Iniciales'!$A:$A,C838,'Saldos Iniciales'!$B:$B,D838)+SUMIFS($K$1:$K$1325,$C$1:$C$1325,C838,$D$1:$D$1325,D838,$B$1:$B$1325,"&lt;="&amp;B838)</f>
        <v>33375.289999999964</v>
      </c>
      <c r="N838" s="65">
        <f>IF(tblMovimientos[[#This Row],[Tipo de Movimiento]]="Ingreso",tblMovimientos[[#This Row],[Monto (S/)]],"0")</f>
        <v>20000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20000</v>
      </c>
      <c r="Q838" s="91" t="str">
        <f>IF(tblMovimientos[[#This Row],[Cuenta Bancaria]]="","",_xlfn.XLOOKUP(tblMovimientos[[#This Row],[Cuenta Bancaria]],Cuentas!$C:$C,Cuentas!$A:$A,"No encontrado"))</f>
        <v>SSP Group</v>
      </c>
      <c r="R838" s="91" t="str">
        <f>TRIM(_xlfn.XLOOKUP(tblMovimientos[[#This Row],[Cuenta Bancaria]],Cuentas!$C:$C,Cuentas!$B:$B,""))</f>
        <v/>
      </c>
    </row>
    <row r="839" spans="1:18" x14ac:dyDescent="0.3">
      <c r="B839" s="39">
        <v>46261</v>
      </c>
      <c r="C839" s="46" t="str">
        <f>_xlfn.XLOOKUP(tblMovimientos[[#This Row],[Cuenta Bancaria]],Listas!$B:$B,Listas!$A:$A,"")</f>
        <v>112 Florida Ave</v>
      </c>
      <c r="D839" s="41" t="s">
        <v>123</v>
      </c>
      <c r="E839" s="4" t="str">
        <f>_xlfn.XLOOKUP(tblMovimientos[[#This Row],[Cuenta Bancaria]],Listas!$B:$B,Listas!$C:$C,"")</f>
        <v>Bank of America</v>
      </c>
      <c r="F839" s="41" t="s">
        <v>9</v>
      </c>
      <c r="G839" s="41" t="s">
        <v>71</v>
      </c>
      <c r="H839" s="4" t="str">
        <f>IFERROR(_xlfn.XLOOKUP(G839,Listas!E:E,Listas!F:F,""),"")</f>
        <v>Operativo</v>
      </c>
      <c r="I839" s="46" t="str">
        <f>IFERROR(_xlfn.XLOOKUP(G839,Listas!E:E,Listas!G:G,""),"")</f>
        <v>Interno</v>
      </c>
      <c r="J839" s="43">
        <v>21000</v>
      </c>
      <c r="K839" s="5">
        <f t="shared" si="8"/>
        <v>21000</v>
      </c>
      <c r="L839" s="15" t="s">
        <v>132</v>
      </c>
      <c r="M839" s="44">
        <f>SUMIFS('Saldos Iniciales'!$D:$D,'Saldos Iniciales'!$A:$A,C839,'Saldos Iniciales'!$B:$B,D839)+SUMIFS($K$1:$K$1325,$C$1:$C$1325,C839,$D$1:$D$1325,D839,$B$1:$B$1325,"&lt;="&amp;B839)</f>
        <v>29724.170000000006</v>
      </c>
      <c r="N839" s="65">
        <f>IF(tblMovimientos[[#This Row],[Tipo de Movimiento]]="Ingreso",tblMovimientos[[#This Row],[Monto (S/)]],"0")</f>
        <v>21000</v>
      </c>
      <c r="O839" s="65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21000</v>
      </c>
      <c r="Q839" s="91" t="str">
        <f>IF(tblMovimientos[[#This Row],[Cuenta Bancaria]]="","",_xlfn.XLOOKUP(tblMovimientos[[#This Row],[Cuenta Bancaria]],Cuentas!$C:$C,Cuentas!$A:$A,"No encontrado"))</f>
        <v>SSP Group</v>
      </c>
      <c r="R839" s="91" t="str">
        <f>TRIM(_xlfn.XLOOKUP(tblMovimientos[[#This Row],[Cuenta Bancaria]],Cuentas!$C:$C,Cuentas!$B:$B,""))</f>
        <v/>
      </c>
    </row>
    <row r="840" spans="1:18" x14ac:dyDescent="0.3">
      <c r="A840" s="45"/>
      <c r="B840" s="39">
        <v>46261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46</v>
      </c>
      <c r="H840" s="46" t="str">
        <f>IFERROR(_xlfn.XLOOKUP(G840,Listas!E:E,Listas!F:F,""),"")</f>
        <v>Financiamiento</v>
      </c>
      <c r="I840" s="46" t="str">
        <f>IFERROR(_xlfn.XLOOKUP(G840,Listas!E:E,Listas!G:G,""),"")</f>
        <v>Externo</v>
      </c>
      <c r="J840" s="43">
        <v>2366.67</v>
      </c>
      <c r="K840" s="5">
        <f t="shared" si="8"/>
        <v>-2366.67</v>
      </c>
      <c r="L840" s="15" t="s">
        <v>132</v>
      </c>
      <c r="M840" s="44">
        <f>SUMIFS('Saldos Iniciales'!$D:$D,'Saldos Iniciales'!$A:$A,C840,'Saldos Iniciales'!$B:$B,D840)+SUMIFS($K$1:$K$1325,$C$1:$C$1325,C840,$D$1:$D$1325,D840,$B$1:$B$1325,"&lt;="&amp;B840)</f>
        <v>208360.08000000077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2366.67</v>
      </c>
      <c r="P840" s="28">
        <f>IF(tblMovimientos[[#This Row],[Tipo de Movimiento]]="Ingreso",tblMovimientos[[#This Row],[Ingreso]],-tblMovimientos[[#This Row],[Egreso]])</f>
        <v>-2366.67</v>
      </c>
      <c r="Q840" s="91" t="str">
        <f>IF(tblMovimientos[[#This Row],[Cuenta Bancaria]]="","",_xlfn.XLOOKUP(tblMovimientos[[#This Row],[Cuenta Bancaria]],Cuentas!$C:$C,Cuentas!$A:$A,"No encontrado"))</f>
        <v>SSP Group</v>
      </c>
      <c r="R840" s="91" t="str">
        <f>TRIM(_xlfn.XLOOKUP(tblMovimientos[[#This Row],[Cuenta Bancaria]],Cuentas!$C:$C,Cuentas!$B:$B,""))</f>
        <v/>
      </c>
    </row>
    <row r="841" spans="1:18" x14ac:dyDescent="0.3">
      <c r="B841" s="39">
        <v>46261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46</v>
      </c>
      <c r="H841" s="4" t="str">
        <f>IFERROR(_xlfn.XLOOKUP(G841,Listas!E:E,Listas!F:F,""),"")</f>
        <v>Financiamiento</v>
      </c>
      <c r="I841" s="46" t="str">
        <f>IFERROR(_xlfn.XLOOKUP(G841,Listas!E:E,Listas!G:G,""),"")</f>
        <v>Externo</v>
      </c>
      <c r="J841" s="43">
        <v>10000</v>
      </c>
      <c r="K841" s="5">
        <f t="shared" si="8"/>
        <v>-10000</v>
      </c>
      <c r="L841" s="15" t="s">
        <v>132</v>
      </c>
      <c r="M841" s="44">
        <f>SUMIFS('Saldos Iniciales'!$D:$D,'Saldos Iniciales'!$A:$A,C841,'Saldos Iniciales'!$B:$B,D841)+SUMIFS($K$1:$K$1325,$C$1:$C$1325,C841,$D$1:$D$1325,D841,$B$1:$B$1325,"&lt;="&amp;B841)</f>
        <v>208360.08000000077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</v>
      </c>
      <c r="P841" s="28">
        <f>IF(tblMovimientos[[#This Row],[Tipo de Movimiento]]="Ingreso",tblMovimientos[[#This Row],[Ingreso]],-tblMovimientos[[#This Row],[Egreso]])</f>
        <v>-10000</v>
      </c>
      <c r="Q841" s="91" t="str">
        <f>IF(tblMovimientos[[#This Row],[Cuenta Bancaria]]="","",_xlfn.XLOOKUP(tblMovimientos[[#This Row],[Cuenta Bancaria]],Cuentas!$C:$C,Cuentas!$A:$A,"No encontrado"))</f>
        <v>SSP Group</v>
      </c>
      <c r="R841" s="91" t="str">
        <f>TRIM(_xlfn.XLOOKUP(tblMovimientos[[#This Row],[Cuenta Bancaria]],Cuentas!$C:$C,Cuentas!$B:$B,""))</f>
        <v/>
      </c>
    </row>
    <row r="842" spans="1:18" x14ac:dyDescent="0.3">
      <c r="B842" s="39">
        <v>46261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46</v>
      </c>
      <c r="H842" s="4" t="str">
        <f>IFERROR(_xlfn.XLOOKUP(G842,Listas!E:E,Listas!F:F,""),"")</f>
        <v>Financiamiento</v>
      </c>
      <c r="I842" s="46" t="str">
        <f>IFERROR(_xlfn.XLOOKUP(G842,Listas!E:E,Listas!G:G,""),"")</f>
        <v>Externo</v>
      </c>
      <c r="J842" s="43">
        <v>10833.33</v>
      </c>
      <c r="K842" s="5">
        <f t="shared" si="8"/>
        <v>-10833.33</v>
      </c>
      <c r="L842" s="15" t="s">
        <v>132</v>
      </c>
      <c r="M842" s="44">
        <f>SUMIFS('Saldos Iniciales'!$D:$D,'Saldos Iniciales'!$A:$A,C842,'Saldos Iniciales'!$B:$B,D842)+SUMIFS($K$1:$K$1325,$C$1:$C$1325,C842,$D$1:$D$1325,D842,$B$1:$B$1325,"&lt;="&amp;B842)</f>
        <v>208360.08000000077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10833.33</v>
      </c>
      <c r="P842" s="28">
        <f>IF(tblMovimientos[[#This Row],[Tipo de Movimiento]]="Ingreso",tblMovimientos[[#This Row],[Ingreso]],-tblMovimientos[[#This Row],[Egreso]])</f>
        <v>-10833.33</v>
      </c>
      <c r="Q842" s="91" t="str">
        <f>IF(tblMovimientos[[#This Row],[Cuenta Bancaria]]="","",_xlfn.XLOOKUP(tblMovimientos[[#This Row],[Cuenta Bancaria]],Cuentas!$C:$C,Cuentas!$A:$A,"No encontrado"))</f>
        <v>SSP Group</v>
      </c>
      <c r="R842" s="91" t="str">
        <f>TRIM(_xlfn.XLOOKUP(tblMovimientos[[#This Row],[Cuenta Bancaria]],Cuentas!$C:$C,Cuentas!$B:$B,""))</f>
        <v/>
      </c>
    </row>
    <row r="843" spans="1:18" x14ac:dyDescent="0.3">
      <c r="B843" s="39">
        <v>46261</v>
      </c>
      <c r="C843" s="46" t="str">
        <f>_xlfn.XLOOKUP(tblMovimientos[[#This Row],[Cuenta Bancaria]],Listas!$B:$B,Listas!$A:$A,"")</f>
        <v>SSP Capital</v>
      </c>
      <c r="D843" s="41" t="s">
        <v>104</v>
      </c>
      <c r="E843" s="4" t="str">
        <f>_xlfn.XLOOKUP(tblMovimientos[[#This Row],[Cuenta Bancaria]],Listas!$B:$B,Listas!$C:$C,"")</f>
        <v xml:space="preserve">Amerant Bank </v>
      </c>
      <c r="F843" s="41" t="s">
        <v>10</v>
      </c>
      <c r="G843" s="41" t="s">
        <v>56</v>
      </c>
      <c r="H843" s="4" t="str">
        <f>IFERROR(_xlfn.XLOOKUP(G843,Listas!E:E,Listas!F:F,""),"")</f>
        <v>Inversion</v>
      </c>
      <c r="I843" s="46" t="str">
        <f>IFERROR(_xlfn.XLOOKUP(G843,Listas!E:E,Listas!G:G,""),"")</f>
        <v>Externo</v>
      </c>
      <c r="J843" s="43">
        <v>4375</v>
      </c>
      <c r="K843" s="5">
        <f t="shared" si="8"/>
        <v>-4375</v>
      </c>
      <c r="L843" s="15" t="s">
        <v>132</v>
      </c>
      <c r="M843" s="44">
        <f>SUMIFS('Saldos Iniciales'!$D:$D,'Saldos Iniciales'!$A:$A,C843,'Saldos Iniciales'!$B:$B,D843)+SUMIFS($K$1:$K$1325,$C$1:$C$1325,C843,$D$1:$D$1325,D843,$B$1:$B$1325,"&lt;="&amp;B843)</f>
        <v>873694.23999999929</v>
      </c>
      <c r="N843" s="65" t="str">
        <f>IF(tblMovimientos[[#This Row],[Tipo de Movimiento]]="Ingreso",tblMovimientos[[#This Row],[Monto (S/)]],"0")</f>
        <v>0</v>
      </c>
      <c r="O843" s="65">
        <f>IF(tblMovimientos[[#This Row],[Tipo de Movimiento]]="Egreso",tblMovimientos[[#This Row],[Monto (S/)]],"0")</f>
        <v>4375</v>
      </c>
      <c r="P843" s="28">
        <f>IF(tblMovimientos[[#This Row],[Tipo de Movimiento]]="Ingreso",tblMovimientos[[#This Row],[Ingreso]],-tblMovimientos[[#This Row],[Egreso]])</f>
        <v>-4375</v>
      </c>
      <c r="Q843" s="91" t="str">
        <f>IF(tblMovimientos[[#This Row],[Cuenta Bancaria]]="","",_xlfn.XLOOKUP(tblMovimientos[[#This Row],[Cuenta Bancaria]],Cuentas!$C:$C,Cuentas!$A:$A,"No encontrado"))</f>
        <v>SSP Group</v>
      </c>
      <c r="R843" s="91" t="str">
        <f>TRIM(_xlfn.XLOOKUP(tblMovimientos[[#This Row],[Cuenta Bancaria]],Cuentas!$C:$C,Cuentas!$B:$B,""))</f>
        <v/>
      </c>
    </row>
    <row r="844" spans="1:18" x14ac:dyDescent="0.3">
      <c r="B844" s="39">
        <v>46261</v>
      </c>
      <c r="C844" s="46" t="str">
        <f>_xlfn.XLOOKUP(tblMovimientos[[#This Row],[Cuenta Bancaria]],Listas!$B:$B,Listas!$A:$A,"")</f>
        <v>SSP Capital</v>
      </c>
      <c r="D844" s="41" t="s">
        <v>104</v>
      </c>
      <c r="E844" s="4" t="str">
        <f>_xlfn.XLOOKUP(tblMovimientos[[#This Row],[Cuenta Bancaria]],Listas!$B:$B,Listas!$C:$C,"")</f>
        <v xml:space="preserve">Amerant Bank </v>
      </c>
      <c r="F844" s="41" t="s">
        <v>10</v>
      </c>
      <c r="G844" s="41" t="s">
        <v>46</v>
      </c>
      <c r="H844" s="4" t="str">
        <f>IFERROR(_xlfn.XLOOKUP(G844,Listas!E:E,Listas!F:F,""),"")</f>
        <v>Financiamiento</v>
      </c>
      <c r="I844" s="46" t="str">
        <f>IFERROR(_xlfn.XLOOKUP(G844,Listas!E:E,Listas!G:G,""),"")</f>
        <v>Externo</v>
      </c>
      <c r="J844" s="43">
        <v>8666.67</v>
      </c>
      <c r="K844" s="5">
        <f t="shared" si="8"/>
        <v>-8666.67</v>
      </c>
      <c r="L844" s="15" t="s">
        <v>132</v>
      </c>
      <c r="M844" s="44">
        <f>SUMIFS('Saldos Iniciales'!$D:$D,'Saldos Iniciales'!$A:$A,C844,'Saldos Iniciales'!$B:$B,D844)+SUMIFS($K$1:$K$1325,$C$1:$C$1325,C844,$D$1:$D$1325,D844,$B$1:$B$1325,"&lt;="&amp;B844)</f>
        <v>873694.23999999929</v>
      </c>
      <c r="N844" s="65" t="str">
        <f>IF(tblMovimientos[[#This Row],[Tipo de Movimiento]]="Ingreso",tblMovimientos[[#This Row],[Monto (S/)]],"0")</f>
        <v>0</v>
      </c>
      <c r="O844" s="65">
        <f>IF(tblMovimientos[[#This Row],[Tipo de Movimiento]]="Egreso",tblMovimientos[[#This Row],[Monto (S/)]],"0")</f>
        <v>8666.67</v>
      </c>
      <c r="P844" s="28">
        <f>IF(tblMovimientos[[#This Row],[Tipo de Movimiento]]="Ingreso",tblMovimientos[[#This Row],[Ingreso]],-tblMovimientos[[#This Row],[Egreso]])</f>
        <v>-8666.67</v>
      </c>
      <c r="Q844" s="91" t="str">
        <f>IF(tblMovimientos[[#This Row],[Cuenta Bancaria]]="","",_xlfn.XLOOKUP(tblMovimientos[[#This Row],[Cuenta Bancaria]],Cuentas!$C:$C,Cuentas!$A:$A,"No encontrado"))</f>
        <v>SSP Group</v>
      </c>
      <c r="R844" s="91" t="str">
        <f>TRIM(_xlfn.XLOOKUP(tblMovimientos[[#This Row],[Cuenta Bancaria]],Cuentas!$C:$C,Cuentas!$B:$B,""))</f>
        <v/>
      </c>
    </row>
    <row r="845" spans="1:18" x14ac:dyDescent="0.3">
      <c r="B845" s="39">
        <v>46261</v>
      </c>
      <c r="C845" s="46" t="str">
        <f>_xlfn.XLOOKUP(tblMovimientos[[#This Row],[Cuenta Bancaria]],Listas!$B:$B,Listas!$A:$A,"")</f>
        <v>SSP Capital</v>
      </c>
      <c r="D845" s="41" t="s">
        <v>104</v>
      </c>
      <c r="E845" s="4" t="str">
        <f>_xlfn.XLOOKUP(tblMovimientos[[#This Row],[Cuenta Bancaria]],Listas!$B:$B,Listas!$C:$C,"")</f>
        <v xml:space="preserve">Amerant Bank </v>
      </c>
      <c r="F845" s="41" t="s">
        <v>10</v>
      </c>
      <c r="G845" s="41" t="s">
        <v>38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10753.2</v>
      </c>
      <c r="K845" s="5">
        <f t="shared" si="8"/>
        <v>-10753.2</v>
      </c>
      <c r="L845" s="15" t="s">
        <v>132</v>
      </c>
      <c r="M845" s="44">
        <f>SUMIFS('Saldos Iniciales'!$D:$D,'Saldos Iniciales'!$A:$A,C845,'Saldos Iniciales'!$B:$B,D845)+SUMIFS($K$1:$K$1325,$C$1:$C$1325,C845,$D$1:$D$1325,D845,$B$1:$B$1325,"&lt;="&amp;B845)</f>
        <v>873694.23999999929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10753.2</v>
      </c>
      <c r="P845" s="28">
        <f>IF(tblMovimientos[[#This Row],[Tipo de Movimiento]]="Ingreso",tblMovimientos[[#This Row],[Ingreso]],-tblMovimientos[[#This Row],[Egreso]])</f>
        <v>-10753.2</v>
      </c>
      <c r="Q845" s="91" t="str">
        <f>IF(tblMovimientos[[#This Row],[Cuenta Bancaria]]="","",_xlfn.XLOOKUP(tblMovimientos[[#This Row],[Cuenta Bancaria]],Cuentas!$C:$C,Cuentas!$A:$A,"No encontrado"))</f>
        <v>SSP Group</v>
      </c>
      <c r="R845" s="91" t="str">
        <f>TRIM(_xlfn.XLOOKUP(tblMovimientos[[#This Row],[Cuenta Bancaria]],Cuentas!$C:$C,Cuentas!$B:$B,""))</f>
        <v/>
      </c>
    </row>
    <row r="846" spans="1:18" x14ac:dyDescent="0.3">
      <c r="B846" s="39">
        <v>46261</v>
      </c>
      <c r="C846" s="46" t="str">
        <f>_xlfn.XLOOKUP(tblMovimientos[[#This Row],[Cuenta Bancaria]],Listas!$B:$B,Listas!$A:$A,"")</f>
        <v>Go Blue</v>
      </c>
      <c r="D846" s="41" t="s">
        <v>126</v>
      </c>
      <c r="E846" s="4" t="str">
        <f>_xlfn.XLOOKUP(tblMovimientos[[#This Row],[Cuenta Bancaria]],Listas!$B:$B,Listas!$C:$C,"")</f>
        <v xml:space="preserve">Amerant Bank </v>
      </c>
      <c r="F846" s="41" t="s">
        <v>10</v>
      </c>
      <c r="G846" s="41" t="s">
        <v>38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381.14</v>
      </c>
      <c r="K846" s="5">
        <f t="shared" si="8"/>
        <v>-381.14</v>
      </c>
      <c r="L846" s="15" t="s">
        <v>132</v>
      </c>
      <c r="M846" s="44">
        <f>SUMIFS('Saldos Iniciales'!$D:$D,'Saldos Iniciales'!$A:$A,C846,'Saldos Iniciales'!$B:$B,D846)+SUMIFS($K$1:$K$1325,$C$1:$C$1325,C846,$D$1:$D$1325,D846,$B$1:$B$1325,"&lt;="&amp;B846)</f>
        <v>7545.3499999999985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381.14</v>
      </c>
      <c r="P846" s="28">
        <f>IF(tblMovimientos[[#This Row],[Tipo de Movimiento]]="Ingreso",tblMovimientos[[#This Row],[Ingreso]],-tblMovimientos[[#This Row],[Egreso]])</f>
        <v>-381.14</v>
      </c>
      <c r="Q846" s="91" t="str">
        <f>IF(tblMovimientos[[#This Row],[Cuenta Bancaria]]="","",_xlfn.XLOOKUP(tblMovimientos[[#This Row],[Cuenta Bancaria]],Cuentas!$C:$C,Cuentas!$A:$A,"No encontrado"))</f>
        <v>SSP Group</v>
      </c>
      <c r="R846" s="91" t="str">
        <f>TRIM(_xlfn.XLOOKUP(tblMovimientos[[#This Row],[Cuenta Bancaria]],Cuentas!$C:$C,Cuentas!$B:$B,""))</f>
        <v/>
      </c>
    </row>
    <row r="847" spans="1:18" x14ac:dyDescent="0.3">
      <c r="B847" s="39">
        <v>46261</v>
      </c>
      <c r="C847" s="46" t="str">
        <f>_xlfn.XLOOKUP(tblMovimientos[[#This Row],[Cuenta Bancaria]],Listas!$B:$B,Listas!$A:$A,"")</f>
        <v>Go Blue</v>
      </c>
      <c r="D847" s="41" t="s">
        <v>126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44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15</v>
      </c>
      <c r="K847" s="5">
        <f t="shared" si="8"/>
        <v>-15</v>
      </c>
      <c r="L847" s="15" t="s">
        <v>132</v>
      </c>
      <c r="M847" s="44">
        <f>SUMIFS('Saldos Iniciales'!$D:$D,'Saldos Iniciales'!$A:$A,C847,'Saldos Iniciales'!$B:$B,D847)+SUMIFS($K$1:$K$1325,$C$1:$C$1325,C847,$D$1:$D$1325,D847,$B$1:$B$1325,"&lt;="&amp;B847)</f>
        <v>7545.3499999999985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15</v>
      </c>
      <c r="P847" s="28">
        <f>IF(tblMovimientos[[#This Row],[Tipo de Movimiento]]="Ingreso",tblMovimientos[[#This Row],[Ingreso]],-tblMovimientos[[#This Row],[Egreso]])</f>
        <v>-15</v>
      </c>
      <c r="Q847" s="91" t="str">
        <f>IF(tblMovimientos[[#This Row],[Cuenta Bancaria]]="","",_xlfn.XLOOKUP(tblMovimientos[[#This Row],[Cuenta Bancaria]],Cuentas!$C:$C,Cuentas!$A:$A,"No encontrado"))</f>
        <v>SSP Group</v>
      </c>
      <c r="R847" s="91" t="str">
        <f>TRIM(_xlfn.XLOOKUP(tblMovimientos[[#This Row],[Cuenta Bancaria]],Cuentas!$C:$C,Cuentas!$B:$B,""))</f>
        <v/>
      </c>
    </row>
    <row r="848" spans="1:18" x14ac:dyDescent="0.3">
      <c r="B848" s="39">
        <v>46261</v>
      </c>
      <c r="C848" s="46" t="str">
        <f>_xlfn.XLOOKUP(tblMovimientos[[#This Row],[Cuenta Bancaria]],Listas!$B:$B,Listas!$A:$A,"")</f>
        <v>Go Blue</v>
      </c>
      <c r="D848" s="41" t="s">
        <v>126</v>
      </c>
      <c r="E848" s="4" t="str">
        <f>_xlfn.XLOOKUP(tblMovimientos[[#This Row],[Cuenta Bancaria]],Listas!$B:$B,Listas!$C:$C,"")</f>
        <v xml:space="preserve">Amerant Bank </v>
      </c>
      <c r="F848" s="41" t="s">
        <v>10</v>
      </c>
      <c r="G848" s="41" t="s">
        <v>38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2500</v>
      </c>
      <c r="K848" s="5">
        <f t="shared" si="8"/>
        <v>-2500</v>
      </c>
      <c r="L848" s="15" t="s">
        <v>132</v>
      </c>
      <c r="M848" s="44">
        <f>SUMIFS('Saldos Iniciales'!$D:$D,'Saldos Iniciales'!$A:$A,C848,'Saldos Iniciales'!$B:$B,D848)+SUMIFS($K$1:$K$1325,$C$1:$C$1325,C848,$D$1:$D$1325,D848,$B$1:$B$1325,"&lt;="&amp;B848)</f>
        <v>7545.3499999999985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2500</v>
      </c>
      <c r="P848" s="28">
        <f>IF(tblMovimientos[[#This Row],[Tipo de Movimiento]]="Ingreso",tblMovimientos[[#This Row],[Ingreso]],-tblMovimientos[[#This Row],[Egreso]])</f>
        <v>-2500</v>
      </c>
      <c r="Q848" s="91" t="str">
        <f>IF(tblMovimientos[[#This Row],[Cuenta Bancaria]]="","",_xlfn.XLOOKUP(tblMovimientos[[#This Row],[Cuenta Bancaria]],Cuentas!$C:$C,Cuentas!$A:$A,"No encontrado"))</f>
        <v>SSP Group</v>
      </c>
      <c r="R848" s="91" t="str">
        <f>TRIM(_xlfn.XLOOKUP(tblMovimientos[[#This Row],[Cuenta Bancaria]],Cuentas!$C:$C,Cuentas!$B:$B,""))</f>
        <v/>
      </c>
    </row>
    <row r="849" spans="1:18" x14ac:dyDescent="0.3">
      <c r="B849" s="39">
        <v>46261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15</v>
      </c>
      <c r="K849" s="5">
        <f t="shared" si="8"/>
        <v>-15</v>
      </c>
      <c r="L849" s="15" t="s">
        <v>132</v>
      </c>
      <c r="M849" s="44">
        <f>SUMIFS('Saldos Iniciales'!$D:$D,'Saldos Iniciales'!$A:$A,C849,'Saldos Iniciales'!$B:$B,D849)+SUMIFS($K$1:$K$1325,$C$1:$C$1325,C849,$D$1:$D$1325,D849,$B$1:$B$1325,"&lt;="&amp;B849)</f>
        <v>7545.3499999999985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15</v>
      </c>
      <c r="P849" s="28">
        <f>IF(tblMovimientos[[#This Row],[Tipo de Movimiento]]="Ingreso",tblMovimientos[[#This Row],[Ingreso]],-tblMovimientos[[#This Row],[Egreso]])</f>
        <v>-15</v>
      </c>
      <c r="Q849" s="91" t="str">
        <f>IF(tblMovimientos[[#This Row],[Cuenta Bancaria]]="","",_xlfn.XLOOKUP(tblMovimientos[[#This Row],[Cuenta Bancaria]],Cuentas!$C:$C,Cuentas!$A:$A,"No encontrado"))</f>
        <v>SSP Group</v>
      </c>
      <c r="R849" s="91" t="str">
        <f>TRIM(_xlfn.XLOOKUP(tblMovimientos[[#This Row],[Cuenta Bancaria]],Cuentas!$C:$C,Cuentas!$B:$B,""))</f>
        <v/>
      </c>
    </row>
    <row r="850" spans="1:18" x14ac:dyDescent="0.3">
      <c r="A850" s="45"/>
      <c r="B850" s="39">
        <v>46262</v>
      </c>
      <c r="C850" s="46" t="str">
        <f>_xlfn.XLOOKUP(tblMovimientos[[#This Row],[Cuenta Bancaria]],Listas!$B:$B,Listas!$A:$A,"")</f>
        <v>SSP Capital</v>
      </c>
      <c r="D850" s="41" t="s">
        <v>101</v>
      </c>
      <c r="E850" s="46" t="str">
        <f>_xlfn.XLOOKUP(tblMovimientos[[#This Row],[Cuenta Bancaria]],Listas!$B:$B,Listas!$C:$C,"")</f>
        <v>Bank of America</v>
      </c>
      <c r="F850" s="41" t="s">
        <v>10</v>
      </c>
      <c r="G850" s="41" t="s">
        <v>38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526.75</v>
      </c>
      <c r="K850" s="5">
        <f t="shared" si="8"/>
        <v>-526.75</v>
      </c>
      <c r="L850" s="15" t="s">
        <v>132</v>
      </c>
      <c r="M850" s="44">
        <f>SUMIFS('Saldos Iniciales'!$D:$D,'Saldos Iniciales'!$A:$A,C850,'Saldos Iniciales'!$B:$B,D850)+SUMIFS($K$1:$K$1325,$C$1:$C$1325,C850,$D$1:$D$1325,D850,$B$1:$B$1325,"&lt;="&amp;B850)</f>
        <v>25214.89</v>
      </c>
      <c r="N850" s="65" t="str">
        <f>IF(tblMovimientos[[#This Row],[Tipo de Movimiento]]="Ingreso",tblMovimientos[[#This Row],[Monto (S/)]],"0")</f>
        <v>0</v>
      </c>
      <c r="O850" s="65">
        <f>IF(tblMovimientos[[#This Row],[Tipo de Movimiento]]="Egreso",tblMovimientos[[#This Row],[Monto (S/)]],"0")</f>
        <v>526.75</v>
      </c>
      <c r="P850" s="28">
        <f>IF(tblMovimientos[[#This Row],[Tipo de Movimiento]]="Ingreso",tblMovimientos[[#This Row],[Ingreso]],-tblMovimientos[[#This Row],[Egreso]])</f>
        <v>-526.75</v>
      </c>
      <c r="Q850" s="91" t="str">
        <f>IF(tblMovimientos[[#This Row],[Cuenta Bancaria]]="","",_xlfn.XLOOKUP(tblMovimientos[[#This Row],[Cuenta Bancaria]],Cuentas!$C:$C,Cuentas!$A:$A,"No encontrado"))</f>
        <v>SSP Group</v>
      </c>
      <c r="R850" s="91" t="str">
        <f>TRIM(_xlfn.XLOOKUP(tblMovimientos[[#This Row],[Cuenta Bancaria]],Cuentas!$C:$C,Cuentas!$B:$B,""))</f>
        <v/>
      </c>
    </row>
    <row r="851" spans="1:18" x14ac:dyDescent="0.3">
      <c r="B851" s="39">
        <v>46262</v>
      </c>
      <c r="C851" s="46" t="str">
        <f>_xlfn.XLOOKUP(tblMovimientos[[#This Row],[Cuenta Bancaria]],Listas!$B:$B,Listas!$A:$A,"")</f>
        <v>SSP Capital</v>
      </c>
      <c r="D851" s="41" t="s">
        <v>101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38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194.86</v>
      </c>
      <c r="K851" s="5">
        <f t="shared" si="8"/>
        <v>-194.86</v>
      </c>
      <c r="L851" s="15" t="s">
        <v>132</v>
      </c>
      <c r="M851" s="44">
        <f>SUMIFS('Saldos Iniciales'!$D:$D,'Saldos Iniciales'!$A:$A,C851,'Saldos Iniciales'!$B:$B,D851)+SUMIFS($K$1:$K$1325,$C$1:$C$1325,C851,$D$1:$D$1325,D851,$B$1:$B$1325,"&lt;="&amp;B851)</f>
        <v>25214.89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194.86</v>
      </c>
      <c r="P851" s="28">
        <f>IF(tblMovimientos[[#This Row],[Tipo de Movimiento]]="Ingreso",tblMovimientos[[#This Row],[Ingreso]],-tblMovimientos[[#This Row],[Egreso]])</f>
        <v>-194.86</v>
      </c>
      <c r="Q851" s="91" t="str">
        <f>IF(tblMovimientos[[#This Row],[Cuenta Bancaria]]="","",_xlfn.XLOOKUP(tblMovimientos[[#This Row],[Cuenta Bancaria]],Cuentas!$C:$C,Cuentas!$A:$A,"No encontrado"))</f>
        <v>SSP Group</v>
      </c>
      <c r="R851" s="91" t="str">
        <f>TRIM(_xlfn.XLOOKUP(tblMovimientos[[#This Row],[Cuenta Bancaria]],Cuentas!$C:$C,Cuentas!$B:$B,""))</f>
        <v/>
      </c>
    </row>
    <row r="852" spans="1:18" x14ac:dyDescent="0.3">
      <c r="B852" s="39">
        <v>46262</v>
      </c>
      <c r="C852" s="46" t="str">
        <f>_xlfn.XLOOKUP(tblMovimientos[[#This Row],[Cuenta Bancaria]],Listas!$B:$B,Listas!$A:$A,"")</f>
        <v>A&amp;M Imports</v>
      </c>
      <c r="D852" s="41" t="s">
        <v>100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23791.439999999999</v>
      </c>
      <c r="K852" s="5">
        <f t="shared" si="8"/>
        <v>23791.439999999999</v>
      </c>
      <c r="L852" s="15" t="s">
        <v>132</v>
      </c>
      <c r="M852" s="44">
        <f>SUMIFS('Saldos Iniciales'!$D:$D,'Saldos Iniciales'!$A:$A,C852,'Saldos Iniciales'!$B:$B,D852)+SUMIFS($K$1:$K$1325,$C$1:$C$1325,C852,$D$1:$D$1325,D852,$B$1:$B$1325,"&lt;="&amp;B852)</f>
        <v>1418445.91</v>
      </c>
      <c r="N852" s="65">
        <f>IF(tblMovimientos[[#This Row],[Tipo de Movimiento]]="Ingreso",tblMovimientos[[#This Row],[Monto (S/)]],"0")</f>
        <v>23791.439999999999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23791.439999999999</v>
      </c>
      <c r="Q852" s="91" t="str">
        <f>IF(tblMovimientos[[#This Row],[Cuenta Bancaria]]="","",_xlfn.XLOOKUP(tblMovimientos[[#This Row],[Cuenta Bancaria]],Cuentas!$C:$C,Cuentas!$A:$A,"No encontrado"))</f>
        <v>SSP Group</v>
      </c>
      <c r="R852" s="91" t="str">
        <f>TRIM(_xlfn.XLOOKUP(tblMovimientos[[#This Row],[Cuenta Bancaria]],Cuentas!$C:$C,Cuentas!$B:$B,""))</f>
        <v>Cross Security Trust</v>
      </c>
    </row>
    <row r="853" spans="1:18" x14ac:dyDescent="0.3">
      <c r="B853" s="39">
        <v>46262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9</v>
      </c>
      <c r="G853" s="41" t="s">
        <v>68</v>
      </c>
      <c r="H853" s="4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73364</v>
      </c>
      <c r="K853" s="5">
        <f t="shared" si="8"/>
        <v>73364</v>
      </c>
      <c r="L853" s="15" t="s">
        <v>132</v>
      </c>
      <c r="M853" s="44">
        <f>SUMIFS('Saldos Iniciales'!$D:$D,'Saldos Iniciales'!$A:$A,C853,'Saldos Iniciales'!$B:$B,D853)+SUMIFS($K$1:$K$1325,$C$1:$C$1325,C853,$D$1:$D$1325,D853,$B$1:$B$1325,"&lt;="&amp;B853)</f>
        <v>437860.27999999997</v>
      </c>
      <c r="N853" s="65">
        <f>IF(tblMovimientos[[#This Row],[Tipo de Movimiento]]="Ingreso",tblMovimientos[[#This Row],[Monto (S/)]],"0")</f>
        <v>73364</v>
      </c>
      <c r="O853" s="65" t="str">
        <f>IF(tblMovimientos[[#This Row],[Tipo de Movimiento]]="Egreso",tblMovimientos[[#This Row],[Monto (S/)]],"0")</f>
        <v>0</v>
      </c>
      <c r="P853" s="28">
        <f>IF(tblMovimientos[[#This Row],[Tipo de Movimiento]]="Ingreso",tblMovimientos[[#This Row],[Ingreso]],-tblMovimientos[[#This Row],[Egreso]])</f>
        <v>73364</v>
      </c>
      <c r="Q853" s="91" t="str">
        <f>IF(tblMovimientos[[#This Row],[Cuenta Bancaria]]="","",_xlfn.XLOOKUP(tblMovimientos[[#This Row],[Cuenta Bancaria]],Cuentas!$C:$C,Cuentas!$A:$A,"No encontrado"))</f>
        <v>SSP Group</v>
      </c>
      <c r="R853" s="91" t="str">
        <f>TRIM(_xlfn.XLOOKUP(tblMovimientos[[#This Row],[Cuenta Bancaria]],Cuentas!$C:$C,Cuentas!$B:$B,""))</f>
        <v/>
      </c>
    </row>
    <row r="854" spans="1:18" x14ac:dyDescent="0.3">
      <c r="B854" s="39">
        <v>46262</v>
      </c>
      <c r="C854" s="46" t="str">
        <f>_xlfn.XLOOKUP(tblMovimientos[[#This Row],[Cuenta Bancaria]],Listas!$B:$B,Listas!$A:$A,"")</f>
        <v>2515 Overbrook</v>
      </c>
      <c r="D854" s="41" t="s">
        <v>121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44</v>
      </c>
      <c r="H854" s="4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</v>
      </c>
      <c r="K854" s="5">
        <f t="shared" si="8"/>
        <v>-15</v>
      </c>
      <c r="L854" s="15" t="s">
        <v>132</v>
      </c>
      <c r="M854" s="44">
        <f>SUMIFS('Saldos Iniciales'!$D:$D,'Saldos Iniciales'!$A:$A,C854,'Saldos Iniciales'!$B:$B,D854)+SUMIFS($K$1:$K$1325,$C$1:$C$1325,C854,$D$1:$D$1325,D854,$B$1:$B$1325,"&lt;="&amp;B854)</f>
        <v>33360.289999999964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</v>
      </c>
      <c r="P854" s="28">
        <f>IF(tblMovimientos[[#This Row],[Tipo de Movimiento]]="Ingreso",tblMovimientos[[#This Row],[Ingreso]],-tblMovimientos[[#This Row],[Egreso]])</f>
        <v>-15</v>
      </c>
      <c r="Q854" s="91" t="str">
        <f>IF(tblMovimientos[[#This Row],[Cuenta Bancaria]]="","",_xlfn.XLOOKUP(tblMovimientos[[#This Row],[Cuenta Bancaria]],Cuentas!$C:$C,Cuentas!$A:$A,"No encontrado"))</f>
        <v>SSP Group</v>
      </c>
      <c r="R854" s="91" t="str">
        <f>TRIM(_xlfn.XLOOKUP(tblMovimientos[[#This Row],[Cuenta Bancaria]],Cuentas!$C:$C,Cuentas!$B:$B,""))</f>
        <v/>
      </c>
    </row>
    <row r="855" spans="1:18" x14ac:dyDescent="0.3">
      <c r="B855" s="39">
        <v>46262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44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15</v>
      </c>
      <c r="K855" s="5">
        <f t="shared" si="8"/>
        <v>-15</v>
      </c>
      <c r="L855" s="15" t="s">
        <v>132</v>
      </c>
      <c r="M855" s="44">
        <f>SUMIFS('Saldos Iniciales'!$D:$D,'Saldos Iniciales'!$A:$A,C855,'Saldos Iniciales'!$B:$B,D855)+SUMIFS($K$1:$K$1325,$C$1:$C$1325,C855,$D$1:$D$1325,D855,$B$1:$B$1325,"&lt;="&amp;B855)</f>
        <v>29709.170000000006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15</v>
      </c>
      <c r="P855" s="28">
        <f>IF(tblMovimientos[[#This Row],[Tipo de Movimiento]]="Ingreso",tblMovimientos[[#This Row],[Ingreso]],-tblMovimientos[[#This Row],[Egreso]])</f>
        <v>-15</v>
      </c>
      <c r="Q855" s="91" t="str">
        <f>IF(tblMovimientos[[#This Row],[Cuenta Bancaria]]="","",_xlfn.XLOOKUP(tblMovimientos[[#This Row],[Cuenta Bancaria]],Cuentas!$C:$C,Cuentas!$A:$A,"No encontrado"))</f>
        <v>SSP Group</v>
      </c>
      <c r="R855" s="91" t="str">
        <f>TRIM(_xlfn.XLOOKUP(tblMovimientos[[#This Row],[Cuenta Bancaria]],Cuentas!$C:$C,Cuentas!$B:$B,""))</f>
        <v/>
      </c>
    </row>
    <row r="856" spans="1:18" x14ac:dyDescent="0.3">
      <c r="B856" s="39">
        <v>46262</v>
      </c>
      <c r="C856" s="46" t="str">
        <f>_xlfn.XLOOKUP(tblMovimientos[[#This Row],[Cuenta Bancaria]],Listas!$B:$B,Listas!$A:$A,"")</f>
        <v>SSP Capital</v>
      </c>
      <c r="D856" s="41" t="s">
        <v>104</v>
      </c>
      <c r="E856" s="4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40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165475.92000000001</v>
      </c>
      <c r="K856" s="5">
        <f t="shared" si="8"/>
        <v>-165475.92000000001</v>
      </c>
      <c r="L856" s="15" t="s">
        <v>132</v>
      </c>
      <c r="M856" s="44">
        <f>SUMIFS('Saldos Iniciales'!$D:$D,'Saldos Iniciales'!$A:$A,C856,'Saldos Iniciales'!$B:$B,D856)+SUMIFS($K$1:$K$1325,$C$1:$C$1325,C856,$D$1:$D$1325,D856,$B$1:$B$1325,"&lt;="&amp;B856)</f>
        <v>708218.31999999925</v>
      </c>
      <c r="N856" s="65" t="str">
        <f>IF(tblMovimientos[[#This Row],[Tipo de Movimiento]]="Ingreso",tblMovimientos[[#This Row],[Monto (S/)]],"0")</f>
        <v>0</v>
      </c>
      <c r="O856" s="65">
        <f>IF(tblMovimientos[[#This Row],[Tipo de Movimiento]]="Egreso",tblMovimientos[[#This Row],[Monto (S/)]],"0")</f>
        <v>165475.92000000001</v>
      </c>
      <c r="P856" s="28">
        <f>IF(tblMovimientos[[#This Row],[Tipo de Movimiento]]="Ingreso",tblMovimientos[[#This Row],[Ingreso]],-tblMovimientos[[#This Row],[Egreso]])</f>
        <v>-165475.92000000001</v>
      </c>
      <c r="Q856" s="91" t="str">
        <f>IF(tblMovimientos[[#This Row],[Cuenta Bancaria]]="","",_xlfn.XLOOKUP(tblMovimientos[[#This Row],[Cuenta Bancaria]],Cuentas!$C:$C,Cuentas!$A:$A,"No encontrado"))</f>
        <v>SSP Group</v>
      </c>
      <c r="R856" s="91" t="str">
        <f>TRIM(_xlfn.XLOOKUP(tblMovimientos[[#This Row],[Cuenta Bancaria]],Cuentas!$C:$C,Cuentas!$B:$B,""))</f>
        <v/>
      </c>
    </row>
    <row r="857" spans="1:18" x14ac:dyDescent="0.3">
      <c r="B857" s="39">
        <v>46262</v>
      </c>
      <c r="C857" s="46" t="str">
        <f>_xlfn.XLOOKUP(tblMovimientos[[#This Row],[Cuenta Bancaria]],Listas!$B:$B,Listas!$A:$A,"")</f>
        <v>M1B</v>
      </c>
      <c r="D857" s="41" t="s">
        <v>97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68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2637.13</v>
      </c>
      <c r="K857" s="5">
        <f t="shared" si="8"/>
        <v>2637.13</v>
      </c>
      <c r="L857" s="15" t="s">
        <v>132</v>
      </c>
      <c r="M857" s="44">
        <f>SUMIFS('Saldos Iniciales'!$D:$D,'Saldos Iniciales'!$A:$A,C857,'Saldos Iniciales'!$B:$B,D857)+SUMIFS($K$1:$K$1325,$C$1:$C$1325,C857,$D$1:$D$1325,D857,$B$1:$B$1325,"&lt;="&amp;B857)</f>
        <v>88280.230000000171</v>
      </c>
      <c r="N857" s="65">
        <f>IF(tblMovimientos[[#This Row],[Tipo de Movimiento]]="Ingreso",tblMovimientos[[#This Row],[Monto (S/)]],"0")</f>
        <v>2637.13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2637.13</v>
      </c>
      <c r="Q857" s="91" t="str">
        <f>IF(tblMovimientos[[#This Row],[Cuenta Bancaria]]="","",_xlfn.XLOOKUP(tblMovimientos[[#This Row],[Cuenta Bancaria]],Cuentas!$C:$C,Cuentas!$A:$A,"No encontrado"))</f>
        <v>SSP Group</v>
      </c>
      <c r="R857" s="91" t="str">
        <f>TRIM(_xlfn.XLOOKUP(tblMovimientos[[#This Row],[Cuenta Bancaria]],Cuentas!$C:$C,Cuentas!$B:$B,""))</f>
        <v/>
      </c>
    </row>
    <row r="858" spans="1:18" x14ac:dyDescent="0.3">
      <c r="B858" s="39">
        <v>46262</v>
      </c>
      <c r="C858" s="46" t="str">
        <f>_xlfn.XLOOKUP(tblMovimientos[[#This Row],[Cuenta Bancaria]],Listas!$B:$B,Listas!$A:$A,"")</f>
        <v>Go Blue</v>
      </c>
      <c r="D858" s="41" t="s">
        <v>126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48.7</v>
      </c>
      <c r="K858" s="5">
        <f t="shared" si="8"/>
        <v>-48.7</v>
      </c>
      <c r="L858" s="15" t="s">
        <v>132</v>
      </c>
      <c r="M858" s="44">
        <f>SUMIFS('Saldos Iniciales'!$D:$D,'Saldos Iniciales'!$A:$A,C858,'Saldos Iniciales'!$B:$B,D858)+SUMIFS($K$1:$K$1325,$C$1:$C$1325,C858,$D$1:$D$1325,D858,$B$1:$B$1325,"&lt;="&amp;B858)</f>
        <v>7496.6499999999987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48.7</v>
      </c>
      <c r="P858" s="28">
        <f>IF(tblMovimientos[[#This Row],[Tipo de Movimiento]]="Ingreso",tblMovimientos[[#This Row],[Ingreso]],-tblMovimientos[[#This Row],[Egreso]])</f>
        <v>-48.7</v>
      </c>
      <c r="Q858" s="91" t="str">
        <f>IF(tblMovimientos[[#This Row],[Cuenta Bancaria]]="","",_xlfn.XLOOKUP(tblMovimientos[[#This Row],[Cuenta Bancaria]],Cuentas!$C:$C,Cuentas!$A:$A,"No encontrado"))</f>
        <v>SSP Group</v>
      </c>
      <c r="R858" s="91" t="str">
        <f>TRIM(_xlfn.XLOOKUP(tblMovimientos[[#This Row],[Cuenta Bancaria]],Cuentas!$C:$C,Cuentas!$B:$B,""))</f>
        <v/>
      </c>
    </row>
    <row r="859" spans="1:18" x14ac:dyDescent="0.3">
      <c r="B859" s="39">
        <v>46262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9</v>
      </c>
      <c r="G859" s="41" t="s">
        <v>76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91973.24</v>
      </c>
      <c r="K859" s="5">
        <f t="shared" si="8"/>
        <v>91973.24</v>
      </c>
      <c r="L859" s="15" t="s">
        <v>132</v>
      </c>
      <c r="M859" s="44">
        <f>SUMIFS('Saldos Iniciales'!$D:$D,'Saldos Iniciales'!$A:$A,C859,'Saldos Iniciales'!$B:$B,D859)+SUMIFS($K$1:$K$1325,$C$1:$C$1325,C859,$D$1:$D$1325,D859,$B$1:$B$1325,"&lt;="&amp;B859)</f>
        <v>300333.32000000076</v>
      </c>
      <c r="N859" s="65">
        <f>IF(tblMovimientos[[#This Row],[Tipo de Movimiento]]="Ingreso",tblMovimientos[[#This Row],[Monto (S/)]],"0")</f>
        <v>91973.24</v>
      </c>
      <c r="O859" s="65" t="str">
        <f>IF(tblMovimientos[[#This Row],[Tipo de Movimiento]]="Egreso",tblMovimientos[[#This Row],[Monto (S/)]],"0")</f>
        <v>0</v>
      </c>
      <c r="P859" s="28">
        <f>IF(tblMovimientos[[#This Row],[Tipo de Movimiento]]="Ingreso",tblMovimientos[[#This Row],[Ingreso]],-tblMovimientos[[#This Row],[Egreso]])</f>
        <v>91973.24</v>
      </c>
      <c r="Q859" s="91" t="str">
        <f>IF(tblMovimientos[[#This Row],[Cuenta Bancaria]]="","",_xlfn.XLOOKUP(tblMovimientos[[#This Row],[Cuenta Bancaria]],Cuentas!$C:$C,Cuentas!$A:$A,"No encontrado"))</f>
        <v>SSP Group</v>
      </c>
      <c r="R859" s="91" t="str">
        <f>TRIM(_xlfn.XLOOKUP(tblMovimientos[[#This Row],[Cuenta Bancaria]],Cuentas!$C:$C,Cuentas!$B:$B,""))</f>
        <v/>
      </c>
    </row>
    <row r="860" spans="1:18" x14ac:dyDescent="0.3">
      <c r="B860" s="39">
        <v>46262</v>
      </c>
      <c r="C860" s="46" t="str">
        <f>_xlfn.XLOOKUP(tblMovimientos[[#This Row],[Cuenta Bancaria]],Listas!$B:$B,Listas!$A:$A,"")</f>
        <v>Cross Security Trust</v>
      </c>
      <c r="D860" s="41" t="s">
        <v>112</v>
      </c>
      <c r="E860" s="4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11739</v>
      </c>
      <c r="K860" s="5">
        <f t="shared" si="8"/>
        <v>-11739</v>
      </c>
      <c r="L860" s="15" t="s">
        <v>132</v>
      </c>
      <c r="M860" s="44">
        <f>SUMIFS('Saldos Iniciales'!$D:$D,'Saldos Iniciales'!$A:$A,C860,'Saldos Iniciales'!$B:$B,D860)+SUMIFS($K$1:$K$1325,$C$1:$C$1325,C860,$D$1:$D$1325,D860,$B$1:$B$1325,"&lt;="&amp;B860)</f>
        <v>98169.25999999998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11739</v>
      </c>
      <c r="P860" s="28">
        <f>IF(tblMovimientos[[#This Row],[Tipo de Movimiento]]="Ingreso",tblMovimientos[[#This Row],[Ingreso]],-tblMovimientos[[#This Row],[Egreso]])</f>
        <v>-11739</v>
      </c>
      <c r="Q860" s="91" t="str">
        <f>IF(tblMovimientos[[#This Row],[Cuenta Bancaria]]="","",_xlfn.XLOOKUP(tblMovimientos[[#This Row],[Cuenta Bancaria]],Cuentas!$C:$C,Cuentas!$A:$A,"No encontrado"))</f>
        <v>SSP Group</v>
      </c>
      <c r="R860" s="91" t="str">
        <f>TRIM(_xlfn.XLOOKUP(tblMovimientos[[#This Row],[Cuenta Bancaria]],Cuentas!$C:$C,Cuentas!$B:$B,""))</f>
        <v>Cross Security Trust</v>
      </c>
    </row>
    <row r="861" spans="1:18" x14ac:dyDescent="0.3">
      <c r="B861" s="39">
        <v>46262</v>
      </c>
      <c r="C861" s="46" t="str">
        <f>_xlfn.XLOOKUP(tblMovimientos[[#This Row],[Cuenta Bancaria]],Listas!$B:$B,Listas!$A:$A,"")</f>
        <v>Cross Security Trust</v>
      </c>
      <c r="D861" s="41" t="s">
        <v>112</v>
      </c>
      <c r="E861" s="4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48163</v>
      </c>
      <c r="K861" s="5">
        <f t="shared" si="8"/>
        <v>-48163</v>
      </c>
      <c r="L861" s="15" t="s">
        <v>132</v>
      </c>
      <c r="M861" s="44">
        <f>SUMIFS('Saldos Iniciales'!$D:$D,'Saldos Iniciales'!$A:$A,C861,'Saldos Iniciales'!$B:$B,D861)+SUMIFS($K$1:$K$1325,$C$1:$C$1325,C861,$D$1:$D$1325,D861,$B$1:$B$1325,"&lt;="&amp;B861)</f>
        <v>98169.25999999998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48163</v>
      </c>
      <c r="P861" s="28">
        <f>IF(tblMovimientos[[#This Row],[Tipo de Movimiento]]="Ingreso",tblMovimientos[[#This Row],[Ingreso]],-tblMovimientos[[#This Row],[Egreso]])</f>
        <v>-48163</v>
      </c>
      <c r="Q861" s="91" t="str">
        <f>IF(tblMovimientos[[#This Row],[Cuenta Bancaria]]="","",_xlfn.XLOOKUP(tblMovimientos[[#This Row],[Cuenta Bancaria]],Cuentas!$C:$C,Cuentas!$A:$A,"No encontrado"))</f>
        <v>SSP Group</v>
      </c>
      <c r="R861" s="91" t="str">
        <f>TRIM(_xlfn.XLOOKUP(tblMovimientos[[#This Row],[Cuenta Bancaria]],Cuentas!$C:$C,Cuentas!$B:$B,""))</f>
        <v>Cross Security Trust</v>
      </c>
    </row>
    <row r="862" spans="1:18" x14ac:dyDescent="0.3">
      <c r="B862" s="39">
        <v>46265</v>
      </c>
      <c r="C862" s="46" t="str">
        <f>_xlfn.XLOOKUP(tblMovimientos[[#This Row],[Cuenta Bancaria]],Listas!$B:$B,Listas!$A:$A,"")</f>
        <v>A&amp;M Imports</v>
      </c>
      <c r="D862" s="41" t="s">
        <v>100</v>
      </c>
      <c r="E862" s="4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1452.33</v>
      </c>
      <c r="K862" s="5">
        <f t="shared" si="8"/>
        <v>1452.33</v>
      </c>
      <c r="L862" s="15" t="s">
        <v>132</v>
      </c>
      <c r="M862" s="44">
        <f>SUMIFS('Saldos Iniciales'!$D:$D,'Saldos Iniciales'!$A:$A,C862,'Saldos Iniciales'!$B:$B,D862)+SUMIFS($K$1:$K$1325,$C$1:$C$1325,C862,$D$1:$D$1325,D862,$B$1:$B$1325,"&lt;="&amp;B862)</f>
        <v>1419898.24</v>
      </c>
      <c r="N862" s="65">
        <f>IF(tblMovimientos[[#This Row],[Tipo de Movimiento]]="Ingreso",tblMovimientos[[#This Row],[Monto (S/)]],"0")</f>
        <v>1452.33</v>
      </c>
      <c r="O862" s="65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1452.33</v>
      </c>
      <c r="Q862" s="91" t="str">
        <f>IF(tblMovimientos[[#This Row],[Cuenta Bancaria]]="","",_xlfn.XLOOKUP(tblMovimientos[[#This Row],[Cuenta Bancaria]],Cuentas!$C:$C,Cuentas!$A:$A,"No encontrado"))</f>
        <v>SSP Group</v>
      </c>
      <c r="R862" s="91" t="str">
        <f>TRIM(_xlfn.XLOOKUP(tblMovimientos[[#This Row],[Cuenta Bancaria]],Cuentas!$C:$C,Cuentas!$B:$B,""))</f>
        <v>Cross Security Trust</v>
      </c>
    </row>
    <row r="863" spans="1:18" x14ac:dyDescent="0.3">
      <c r="B863" s="39">
        <v>46265</v>
      </c>
      <c r="C863" s="46" t="str">
        <f>_xlfn.XLOOKUP(tblMovimientos[[#This Row],[Cuenta Bancaria]],Listas!$B:$B,Listas!$A:$A,"")</f>
        <v>CFT Group</v>
      </c>
      <c r="D863" s="41" t="s">
        <v>94</v>
      </c>
      <c r="E863" s="4" t="str">
        <f>_xlfn.XLOOKUP(tblMovimientos[[#This Row],[Cuenta Bancaria]],Listas!$B:$B,Listas!$C:$C,"")</f>
        <v>Bank of America</v>
      </c>
      <c r="F863" s="41" t="s">
        <v>10</v>
      </c>
      <c r="G863" s="41" t="s">
        <v>64</v>
      </c>
      <c r="H863" s="4" t="str">
        <f>IFERROR(_xlfn.XLOOKUP(G863,Listas!E:E,Listas!F:F,""),"")</f>
        <v>Operativo</v>
      </c>
      <c r="I863" s="46" t="str">
        <f>IFERROR(_xlfn.XLOOKUP(G863,Listas!E:E,Listas!G:G,""),"")</f>
        <v>Interno</v>
      </c>
      <c r="J863" s="43">
        <v>2977.95</v>
      </c>
      <c r="K863" s="5">
        <f t="shared" si="8"/>
        <v>-2977.95</v>
      </c>
      <c r="L863" s="15" t="s">
        <v>132</v>
      </c>
      <c r="M863" s="44">
        <f>SUMIFS('Saldos Iniciales'!$D:$D,'Saldos Iniciales'!$A:$A,C863,'Saldos Iniciales'!$B:$B,D863)+SUMIFS($K$1:$K$1325,$C$1:$C$1325,C863,$D$1:$D$1325,D863,$B$1:$B$1325,"&lt;="&amp;B863)</f>
        <v>434882.32999999996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2977.95</v>
      </c>
      <c r="P863" s="28">
        <f>IF(tblMovimientos[[#This Row],[Tipo de Movimiento]]="Ingreso",tblMovimientos[[#This Row],[Ingreso]],-tblMovimientos[[#This Row],[Egreso]])</f>
        <v>-2977.95</v>
      </c>
      <c r="Q863" s="91" t="str">
        <f>IF(tblMovimientos[[#This Row],[Cuenta Bancaria]]="","",_xlfn.XLOOKUP(tblMovimientos[[#This Row],[Cuenta Bancaria]],Cuentas!$C:$C,Cuentas!$A:$A,"No encontrado"))</f>
        <v>SSP Group</v>
      </c>
      <c r="R863" s="91" t="str">
        <f>TRIM(_xlfn.XLOOKUP(tblMovimientos[[#This Row],[Cuenta Bancaria]],Cuentas!$C:$C,Cuentas!$B:$B,""))</f>
        <v/>
      </c>
    </row>
    <row r="864" spans="1:18" x14ac:dyDescent="0.3">
      <c r="B864" s="39">
        <v>46265</v>
      </c>
      <c r="C864" s="46" t="str">
        <f>_xlfn.XLOOKUP(tblMovimientos[[#This Row],[Cuenta Bancaria]],Listas!$B:$B,Listas!$A:$A,"")</f>
        <v>2515 Overbrook</v>
      </c>
      <c r="D864" s="41" t="s">
        <v>121</v>
      </c>
      <c r="E864" s="4" t="str">
        <f>_xlfn.XLOOKUP(tblMovimientos[[#This Row],[Cuenta Bancaria]],Listas!$B:$B,Listas!$C:$C,"")</f>
        <v>Bank of America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100</v>
      </c>
      <c r="K864" s="5">
        <f t="shared" si="8"/>
        <v>-100</v>
      </c>
      <c r="L864" s="15" t="s">
        <v>132</v>
      </c>
      <c r="M864" s="44">
        <f>SUMIFS('Saldos Iniciales'!$D:$D,'Saldos Iniciales'!$A:$A,C864,'Saldos Iniciales'!$B:$B,D864)+SUMIFS($K$1:$K$1325,$C$1:$C$1325,C864,$D$1:$D$1325,D864,$B$1:$B$1325,"&lt;="&amp;B864)</f>
        <v>33260.289999999964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100</v>
      </c>
      <c r="P864" s="28">
        <f>IF(tblMovimientos[[#This Row],[Tipo de Movimiento]]="Ingreso",tblMovimientos[[#This Row],[Ingreso]],-tblMovimientos[[#This Row],[Egreso]])</f>
        <v>-100</v>
      </c>
      <c r="Q864" s="91" t="str">
        <f>IF(tblMovimientos[[#This Row],[Cuenta Bancaria]]="","",_xlfn.XLOOKUP(tblMovimientos[[#This Row],[Cuenta Bancaria]],Cuentas!$C:$C,Cuentas!$A:$A,"No encontrado"))</f>
        <v>SSP Group</v>
      </c>
      <c r="R864" s="91" t="str">
        <f>TRIM(_xlfn.XLOOKUP(tblMovimientos[[#This Row],[Cuenta Bancaria]],Cuentas!$C:$C,Cuentas!$B:$B,""))</f>
        <v/>
      </c>
    </row>
    <row r="865" spans="2:18" x14ac:dyDescent="0.3">
      <c r="B865" s="39">
        <v>46265</v>
      </c>
      <c r="C865" s="46" t="str">
        <f>_xlfn.XLOOKUP(tblMovimientos[[#This Row],[Cuenta Bancaria]],Listas!$B:$B,Listas!$A:$A,"")</f>
        <v>112 Florida Ave</v>
      </c>
      <c r="D865" s="41" t="s">
        <v>123</v>
      </c>
      <c r="E865" s="4" t="str">
        <f>_xlfn.XLOOKUP(tblMovimientos[[#This Row],[Cuenta Bancaria]],Listas!$B:$B,Listas!$C:$C,"")</f>
        <v>Bank of America</v>
      </c>
      <c r="F865" s="41" t="s">
        <v>10</v>
      </c>
      <c r="G865" s="41" t="s">
        <v>38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150</v>
      </c>
      <c r="K865" s="5">
        <f t="shared" si="8"/>
        <v>-150</v>
      </c>
      <c r="L865" s="15" t="s">
        <v>132</v>
      </c>
      <c r="M865" s="44">
        <f>SUMIFS('Saldos Iniciales'!$D:$D,'Saldos Iniciales'!$A:$A,C865,'Saldos Iniciales'!$B:$B,D865)+SUMIFS($K$1:$K$1325,$C$1:$C$1325,C865,$D$1:$D$1325,D865,$B$1:$B$1325,"&lt;="&amp;B865)</f>
        <v>26559.170000000006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150</v>
      </c>
      <c r="P865" s="28">
        <f>IF(tblMovimientos[[#This Row],[Tipo de Movimiento]]="Ingreso",tblMovimientos[[#This Row],[Ingreso]],-tblMovimientos[[#This Row],[Egreso]])</f>
        <v>-150</v>
      </c>
      <c r="Q865" s="91" t="str">
        <f>IF(tblMovimientos[[#This Row],[Cuenta Bancaria]]="","",_xlfn.XLOOKUP(tblMovimientos[[#This Row],[Cuenta Bancaria]],Cuentas!$C:$C,Cuentas!$A:$A,"No encontrado"))</f>
        <v>SSP Group</v>
      </c>
      <c r="R865" s="91" t="str">
        <f>TRIM(_xlfn.XLOOKUP(tblMovimientos[[#This Row],[Cuenta Bancaria]],Cuentas!$C:$C,Cuentas!$B:$B,""))</f>
        <v/>
      </c>
    </row>
    <row r="866" spans="2:18" x14ac:dyDescent="0.3">
      <c r="B866" s="39">
        <v>46265</v>
      </c>
      <c r="C866" s="46" t="str">
        <f>_xlfn.XLOOKUP(tblMovimientos[[#This Row],[Cuenta Bancaria]],Listas!$B:$B,Listas!$A:$A,"")</f>
        <v>112 Florida Ave</v>
      </c>
      <c r="D866" s="41" t="s">
        <v>123</v>
      </c>
      <c r="E866" s="4" t="str">
        <f>_xlfn.XLOOKUP(tblMovimientos[[#This Row],[Cuenta Bancaria]],Listas!$B:$B,Listas!$C:$C,"")</f>
        <v>Bank of America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3000</v>
      </c>
      <c r="K866" s="5">
        <f t="shared" si="8"/>
        <v>-3000</v>
      </c>
      <c r="L866" s="15" t="s">
        <v>132</v>
      </c>
      <c r="M866" s="44">
        <f>SUMIFS('Saldos Iniciales'!$D:$D,'Saldos Iniciales'!$A:$A,C866,'Saldos Iniciales'!$B:$B,D866)+SUMIFS($K$1:$K$1325,$C$1:$C$1325,C866,$D$1:$D$1325,D866,$B$1:$B$1325,"&lt;="&amp;B866)</f>
        <v>26559.170000000006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3000</v>
      </c>
      <c r="P866" s="28">
        <f>IF(tblMovimientos[[#This Row],[Tipo de Movimiento]]="Ingreso",tblMovimientos[[#This Row],[Ingreso]],-tblMovimientos[[#This Row],[Egreso]])</f>
        <v>-3000</v>
      </c>
      <c r="Q866" s="91" t="str">
        <f>IF(tblMovimientos[[#This Row],[Cuenta Bancaria]]="","",_xlfn.XLOOKUP(tblMovimientos[[#This Row],[Cuenta Bancaria]],Cuentas!$C:$C,Cuentas!$A:$A,"No encontrado"))</f>
        <v>SSP Group</v>
      </c>
      <c r="R866" s="91" t="str">
        <f>TRIM(_xlfn.XLOOKUP(tblMovimientos[[#This Row],[Cuenta Bancaria]],Cuentas!$C:$C,Cuentas!$B:$B,""))</f>
        <v/>
      </c>
    </row>
    <row r="867" spans="2:18" x14ac:dyDescent="0.3">
      <c r="B867" s="39">
        <v>46265</v>
      </c>
      <c r="C867" s="46" t="str">
        <f>_xlfn.XLOOKUP(tblMovimientos[[#This Row],[Cuenta Bancaria]],Listas!$B:$B,Listas!$A:$A,"")</f>
        <v>3628 Thomas Ave</v>
      </c>
      <c r="D867" s="41" t="s">
        <v>124</v>
      </c>
      <c r="E867" s="4" t="str">
        <f>_xlfn.XLOOKUP(tblMovimientos[[#This Row],[Cuenta Bancaria]],Listas!$B:$B,Listas!$C:$C,"")</f>
        <v>Bank of America</v>
      </c>
      <c r="F867" s="41" t="s">
        <v>9</v>
      </c>
      <c r="G867" s="41" t="s">
        <v>81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4400</v>
      </c>
      <c r="K867" s="5">
        <f t="shared" si="8"/>
        <v>4400</v>
      </c>
      <c r="L867" s="15" t="s">
        <v>132</v>
      </c>
      <c r="M867" s="44">
        <f>SUMIFS('Saldos Iniciales'!$D:$D,'Saldos Iniciales'!$A:$A,C867,'Saldos Iniciales'!$B:$B,D867)+SUMIFS($K$1:$K$1325,$C$1:$C$1325,C867,$D$1:$D$1325,D867,$B$1:$B$1325,"&lt;="&amp;B867)</f>
        <v>23736.039999999997</v>
      </c>
      <c r="N867" s="65">
        <f>IF(tblMovimientos[[#This Row],[Tipo de Movimiento]]="Ingreso",tblMovimientos[[#This Row],[Monto (S/)]],"0")</f>
        <v>4400</v>
      </c>
      <c r="O867" s="65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4400</v>
      </c>
      <c r="Q867" s="91" t="str">
        <f>IF(tblMovimientos[[#This Row],[Cuenta Bancaria]]="","",_xlfn.XLOOKUP(tblMovimientos[[#This Row],[Cuenta Bancaria]],Cuentas!$C:$C,Cuentas!$A:$A,"No encontrado"))</f>
        <v>SSP Group</v>
      </c>
      <c r="R867" s="91" t="str">
        <f>TRIM(_xlfn.XLOOKUP(tblMovimientos[[#This Row],[Cuenta Bancaria]],Cuentas!$C:$C,Cuentas!$B:$B,""))</f>
        <v/>
      </c>
    </row>
    <row r="868" spans="2:18" x14ac:dyDescent="0.3">
      <c r="B868" s="39">
        <v>46265</v>
      </c>
      <c r="C868" s="46" t="str">
        <f>_xlfn.XLOOKUP(tblMovimientos[[#This Row],[Cuenta Bancaria]],Listas!$B:$B,Listas!$A:$A,"")</f>
        <v>SSP Capital</v>
      </c>
      <c r="D868" s="41" t="s">
        <v>106</v>
      </c>
      <c r="E868" s="4" t="str">
        <f>_xlfn.XLOOKUP(tblMovimientos[[#This Row],[Cuenta Bancaria]],Listas!$B:$B,Listas!$C:$C,"")</f>
        <v>Amerant Bank Money Market</v>
      </c>
      <c r="F868" s="41" t="s">
        <v>9</v>
      </c>
      <c r="G868" s="41" t="s">
        <v>84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2434.02</v>
      </c>
      <c r="K868" s="5">
        <f t="shared" si="8"/>
        <v>2434.02</v>
      </c>
      <c r="L868" s="15" t="s">
        <v>132</v>
      </c>
      <c r="M868" s="44">
        <f>SUMIFS('Saldos Iniciales'!$D:$D,'Saldos Iniciales'!$A:$A,C868,'Saldos Iniciales'!$B:$B,D868)+SUMIFS($K$1:$K$1325,$C$1:$C$1325,C868,$D$1:$D$1325,D868,$B$1:$B$1325,"&lt;="&amp;B868)</f>
        <v>811541.34</v>
      </c>
      <c r="N868" s="65">
        <f>IF(tblMovimientos[[#This Row],[Tipo de Movimiento]]="Ingreso",tblMovimientos[[#This Row],[Monto (S/)]],"0")</f>
        <v>2434.02</v>
      </c>
      <c r="O868" s="65" t="str">
        <f>IF(tblMovimientos[[#This Row],[Tipo de Movimiento]]="Egreso",tblMovimientos[[#This Row],[Monto (S/)]],"0")</f>
        <v>0</v>
      </c>
      <c r="P868" s="28">
        <f>IF(tblMovimientos[[#This Row],[Tipo de Movimiento]]="Ingreso",tblMovimientos[[#This Row],[Ingreso]],-tblMovimientos[[#This Row],[Egreso]])</f>
        <v>2434.02</v>
      </c>
      <c r="Q868" s="91" t="str">
        <f>IF(tblMovimientos[[#This Row],[Cuenta Bancaria]]="","",_xlfn.XLOOKUP(tblMovimientos[[#This Row],[Cuenta Bancaria]],Cuentas!$C:$C,Cuentas!$A:$A,"No encontrado"))</f>
        <v>SSP Group</v>
      </c>
      <c r="R868" s="91" t="str">
        <f>TRIM(_xlfn.XLOOKUP(tblMovimientos[[#This Row],[Cuenta Bancaria]],Cuentas!$C:$C,Cuentas!$B:$B,""))</f>
        <v/>
      </c>
    </row>
    <row r="869" spans="2:18" x14ac:dyDescent="0.3">
      <c r="B869" s="39">
        <v>46265</v>
      </c>
      <c r="C869" s="46" t="str">
        <f>_xlfn.XLOOKUP(tblMovimientos[[#This Row],[Cuenta Bancaria]],Listas!$B:$B,Listas!$A:$A,"")</f>
        <v xml:space="preserve">Five Capital </v>
      </c>
      <c r="D869" s="41" t="s">
        <v>190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38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0</v>
      </c>
      <c r="K869" s="5">
        <f t="shared" si="8"/>
        <v>0</v>
      </c>
      <c r="L869" s="15" t="s">
        <v>132</v>
      </c>
      <c r="M869" s="44">
        <f>SUMIFS('Saldos Iniciales'!$D:$D,'Saldos Iniciales'!$A:$A,C869,'Saldos Iniciales'!$B:$B,D869)+SUMIFS($K$1:$K$1325,$C$1:$C$1325,C869,$D$1:$D$1325,D869,$B$1:$B$1325,"&lt;="&amp;B869)</f>
        <v>5445.57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0</v>
      </c>
      <c r="Q869" s="91" t="str">
        <f>IF(tblMovimientos[[#This Row],[Cuenta Bancaria]]="","",_xlfn.XLOOKUP(tblMovimientos[[#This Row],[Cuenta Bancaria]],Cuentas!$C:$C,Cuentas!$A:$A,"No encontrado"))</f>
        <v>Michael Cross</v>
      </c>
      <c r="R869" s="91" t="str">
        <f>TRIM(_xlfn.XLOOKUP(tblMovimientos[[#This Row],[Cuenta Bancaria]],Cuentas!$C:$C,Cuentas!$B:$B,""))</f>
        <v/>
      </c>
    </row>
    <row r="870" spans="2:18" x14ac:dyDescent="0.3">
      <c r="B870" s="39">
        <v>46265</v>
      </c>
      <c r="C870" s="46" t="str">
        <f>_xlfn.XLOOKUP(tblMovimientos[[#This Row],[Cuenta Bancaria]],Listas!$B:$B,Listas!$A:$A,"")</f>
        <v>360 Harbor Lane LLC</v>
      </c>
      <c r="D870" s="41" t="s">
        <v>189</v>
      </c>
      <c r="E870" s="4" t="str">
        <f>_xlfn.XLOOKUP(tblMovimientos[[#This Row],[Cuenta Bancaria]],Listas!$B:$B,Listas!$C:$C,"")</f>
        <v xml:space="preserve">Amerant Bank 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0</v>
      </c>
      <c r="K870" s="5">
        <f t="shared" si="8"/>
        <v>0</v>
      </c>
      <c r="L870" s="15" t="s">
        <v>132</v>
      </c>
      <c r="M870" s="44">
        <f>SUMIFS('Saldos Iniciales'!$D:$D,'Saldos Iniciales'!$A:$A,C870,'Saldos Iniciales'!$B:$B,D870)+SUMIFS($K$1:$K$1325,$C$1:$C$1325,C870,$D$1:$D$1325,D870,$B$1:$B$1325,"&lt;="&amp;B870)</f>
        <v>794.01</v>
      </c>
      <c r="N870" s="65" t="str">
        <f>IF(tblMovimientos[[#This Row],[Tipo de Movimiento]]="Ingreso",tblMovimientos[[#This Row],[Monto (S/)]],"0")</f>
        <v>0</v>
      </c>
      <c r="O870" s="65">
        <f>IF(tblMovimientos[[#This Row],[Tipo de Movimiento]]="Egreso",tblMovimientos[[#This Row],[Monto (S/)]],"0")</f>
        <v>0</v>
      </c>
      <c r="P870" s="28">
        <f>IF(tblMovimientos[[#This Row],[Tipo de Movimiento]]="Ingreso",tblMovimientos[[#This Row],[Ingreso]],-tblMovimientos[[#This Row],[Egreso]])</f>
        <v>0</v>
      </c>
      <c r="Q870" s="91" t="str">
        <f>IF(tblMovimientos[[#This Row],[Cuenta Bancaria]]="","",_xlfn.XLOOKUP(tblMovimientos[[#This Row],[Cuenta Bancaria]],Cuentas!$C:$C,Cuentas!$A:$A,"No encontrado"))</f>
        <v>Michael Cross</v>
      </c>
      <c r="R870" s="91" t="str">
        <f>TRIM(_xlfn.XLOOKUP(tblMovimientos[[#This Row],[Cuenta Bancaria]],Cuentas!$C:$C,Cuentas!$B:$B,""))</f>
        <v/>
      </c>
    </row>
    <row r="871" spans="2:18" x14ac:dyDescent="0.3">
      <c r="B871" s="39">
        <v>46266</v>
      </c>
      <c r="C871" s="46" t="str">
        <f>_xlfn.XLOOKUP(tblMovimientos[[#This Row],[Cuenta Bancaria]],Listas!$B:$B,Listas!$A:$A,"")</f>
        <v>CFT Group</v>
      </c>
      <c r="D871" s="41" t="s">
        <v>94</v>
      </c>
      <c r="E871" s="4" t="str">
        <f>_xlfn.XLOOKUP(tblMovimientos[[#This Row],[Cuenta Bancaria]],Listas!$B:$B,Listas!$C:$C,"")</f>
        <v>Bank of America</v>
      </c>
      <c r="F871" s="41" t="s">
        <v>10</v>
      </c>
      <c r="G871" s="41" t="s">
        <v>42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611.1</v>
      </c>
      <c r="K871" s="5">
        <f t="shared" si="8"/>
        <v>-611.1</v>
      </c>
      <c r="L871" s="15" t="s">
        <v>133</v>
      </c>
      <c r="M871" s="44">
        <f>SUMIFS('Saldos Iniciales'!$D:$D,'Saldos Iniciales'!$A:$A,C871,'Saldos Iniciales'!$B:$B,D871)+SUMIFS($K$1:$K$1325,$C$1:$C$1325,C871,$D$1:$D$1325,D871,$B$1:$B$1325,"&lt;="&amp;B871)</f>
        <v>434271.23</v>
      </c>
      <c r="N871" s="65" t="str">
        <f>IF(tblMovimientos[[#This Row],[Tipo de Movimiento]]="Ingreso",tblMovimientos[[#This Row],[Monto (S/)]],"0")</f>
        <v>0</v>
      </c>
      <c r="O871" s="65">
        <f>IF(tblMovimientos[[#This Row],[Tipo de Movimiento]]="Egreso",tblMovimientos[[#This Row],[Monto (S/)]],"0")</f>
        <v>611.1</v>
      </c>
      <c r="P871" s="28">
        <f>IF(tblMovimientos[[#This Row],[Tipo de Movimiento]]="Ingreso",tblMovimientos[[#This Row],[Ingreso]],-tblMovimientos[[#This Row],[Egreso]])</f>
        <v>-611.1</v>
      </c>
      <c r="Q871" s="91" t="str">
        <f>IF(tblMovimientos[[#This Row],[Cuenta Bancaria]]="","",_xlfn.XLOOKUP(tblMovimientos[[#This Row],[Cuenta Bancaria]],Cuentas!$C:$C,Cuentas!$A:$A,"No encontrado"))</f>
        <v>SSP Group</v>
      </c>
      <c r="R871" s="91" t="str">
        <f>TRIM(_xlfn.XLOOKUP(tblMovimientos[[#This Row],[Cuenta Bancaria]],Cuentas!$C:$C,Cuentas!$B:$B,""))</f>
        <v/>
      </c>
    </row>
    <row r="872" spans="2:18" x14ac:dyDescent="0.3">
      <c r="B872" s="39">
        <v>46266</v>
      </c>
      <c r="C872" s="46" t="str">
        <f>_xlfn.XLOOKUP(tblMovimientos[[#This Row],[Cuenta Bancaria]],Listas!$B:$B,Listas!$A:$A,"")</f>
        <v>Cross Family Trust</v>
      </c>
      <c r="D872" s="41" t="s">
        <v>110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38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6000</v>
      </c>
      <c r="K872" s="5">
        <f t="shared" si="8"/>
        <v>-6000</v>
      </c>
      <c r="L872" s="15" t="s">
        <v>133</v>
      </c>
      <c r="M872" s="44">
        <f>SUMIFS('Saldos Iniciales'!$D:$D,'Saldos Iniciales'!$A:$A,C872,'Saldos Iniciales'!$B:$B,D872)+SUMIFS($K$1:$K$1325,$C$1:$C$1325,C872,$D$1:$D$1325,D872,$B$1:$B$1325,"&lt;="&amp;B872)</f>
        <v>33206.89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6000</v>
      </c>
      <c r="P872" s="28">
        <f>IF(tblMovimientos[[#This Row],[Tipo de Movimiento]]="Ingreso",tblMovimientos[[#This Row],[Ingreso]],-tblMovimientos[[#This Row],[Egreso]])</f>
        <v>-6000</v>
      </c>
      <c r="Q872" s="91" t="str">
        <f>IF(tblMovimientos[[#This Row],[Cuenta Bancaria]]="","",_xlfn.XLOOKUP(tblMovimientos[[#This Row],[Cuenta Bancaria]],Cuentas!$C:$C,Cuentas!$A:$A,"No encontrado"))</f>
        <v>Trust</v>
      </c>
      <c r="R872" s="91" t="str">
        <f>TRIM(_xlfn.XLOOKUP(tblMovimientos[[#This Row],[Cuenta Bancaria]],Cuentas!$C:$C,Cuentas!$B:$B,""))</f>
        <v/>
      </c>
    </row>
    <row r="873" spans="2:18" x14ac:dyDescent="0.3">
      <c r="B873" s="39">
        <v>46266</v>
      </c>
      <c r="C873" s="46" t="str">
        <f>_xlfn.XLOOKUP(tblMovimientos[[#This Row],[Cuenta Bancaria]],Listas!$B:$B,Listas!$A:$A,"")</f>
        <v>Sacred Valley Capital</v>
      </c>
      <c r="D873" s="41" t="s">
        <v>114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29.95</v>
      </c>
      <c r="K873" s="5">
        <f t="shared" si="8"/>
        <v>-29.95</v>
      </c>
      <c r="L873" s="15" t="s">
        <v>133</v>
      </c>
      <c r="M873" s="44">
        <f>SUMIFS('Saldos Iniciales'!$D:$D,'Saldos Iniciales'!$A:$A,C873,'Saldos Iniciales'!$B:$B,D873)+SUMIFS($K$1:$K$1325,$C$1:$C$1325,C873,$D$1:$D$1325,D873,$B$1:$B$1325,"&lt;="&amp;B873)</f>
        <v>94.5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29.95</v>
      </c>
      <c r="P873" s="28">
        <f>IF(tblMovimientos[[#This Row],[Tipo de Movimiento]]="Ingreso",tblMovimientos[[#This Row],[Ingreso]],-tblMovimientos[[#This Row],[Egreso]])</f>
        <v>-29.95</v>
      </c>
      <c r="Q873" s="91" t="str">
        <f>IF(tblMovimientos[[#This Row],[Cuenta Bancaria]]="","",_xlfn.XLOOKUP(tblMovimientos[[#This Row],[Cuenta Bancaria]],Cuentas!$C:$C,Cuentas!$A:$A,"No encontrado"))</f>
        <v>SSP Group</v>
      </c>
      <c r="R873" s="91" t="str">
        <f>TRIM(_xlfn.XLOOKUP(tblMovimientos[[#This Row],[Cuenta Bancaria]],Cuentas!$C:$C,Cuentas!$B:$B,""))</f>
        <v/>
      </c>
    </row>
    <row r="874" spans="2:18" x14ac:dyDescent="0.3">
      <c r="B874" s="39">
        <v>46266</v>
      </c>
      <c r="C874" s="46" t="str">
        <f>_xlfn.XLOOKUP(tblMovimientos[[#This Row],[Cuenta Bancaria]],Listas!$B:$B,Listas!$A:$A,"")</f>
        <v>YWC Capital</v>
      </c>
      <c r="D874" s="41" t="s">
        <v>115</v>
      </c>
      <c r="E874" s="4" t="str">
        <f>_xlfn.XLOOKUP(tblMovimientos[[#This Row],[Cuenta Bancaria]],Listas!$B:$B,Listas!$C:$C,"")</f>
        <v>Bank of America</v>
      </c>
      <c r="F874" s="41" t="s">
        <v>10</v>
      </c>
      <c r="G874" s="41" t="s">
        <v>44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29.95</v>
      </c>
      <c r="K874" s="5">
        <f t="shared" si="8"/>
        <v>-29.95</v>
      </c>
      <c r="L874" s="15" t="s">
        <v>133</v>
      </c>
      <c r="M874" s="44">
        <f>SUMIFS('Saldos Iniciales'!$D:$D,'Saldos Iniciales'!$A:$A,C874,'Saldos Iniciales'!$B:$B,D874)+SUMIFS($K$1:$K$1325,$C$1:$C$1325,C874,$D$1:$D$1325,D874,$B$1:$B$1325,"&lt;="&amp;B874)</f>
        <v>2147.92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29.95</v>
      </c>
      <c r="P874" s="28">
        <f>IF(tblMovimientos[[#This Row],[Tipo de Movimiento]]="Ingreso",tblMovimientos[[#This Row],[Ingreso]],-tblMovimientos[[#This Row],[Egreso]])</f>
        <v>-29.95</v>
      </c>
      <c r="Q874" s="91" t="str">
        <f>IF(tblMovimientos[[#This Row],[Cuenta Bancaria]]="","",_xlfn.XLOOKUP(tblMovimientos[[#This Row],[Cuenta Bancaria]],Cuentas!$C:$C,Cuentas!$A:$A,"No encontrado"))</f>
        <v>SSP Group</v>
      </c>
      <c r="R874" s="91" t="str">
        <f>TRIM(_xlfn.XLOOKUP(tblMovimientos[[#This Row],[Cuenta Bancaria]],Cuentas!$C:$C,Cuentas!$B:$B,""))</f>
        <v/>
      </c>
    </row>
    <row r="875" spans="2:18" x14ac:dyDescent="0.3">
      <c r="B875" s="39">
        <v>46266</v>
      </c>
      <c r="C875" s="46" t="str">
        <f>_xlfn.XLOOKUP(tblMovimientos[[#This Row],[Cuenta Bancaria]],Listas!$B:$B,Listas!$A:$A,"")</f>
        <v>Arbor Capital Properties</v>
      </c>
      <c r="D875" s="41" t="s">
        <v>120</v>
      </c>
      <c r="E875" s="4" t="str">
        <f>_xlfn.XLOOKUP(tblMovimientos[[#This Row],[Cuenta Bancaria]],Listas!$B:$B,Listas!$C:$C,"")</f>
        <v>Bank of America</v>
      </c>
      <c r="F875" s="41" t="s">
        <v>10</v>
      </c>
      <c r="G875" s="41" t="s">
        <v>44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16</v>
      </c>
      <c r="K875" s="5">
        <f t="shared" si="8"/>
        <v>-16</v>
      </c>
      <c r="L875" s="15" t="s">
        <v>133</v>
      </c>
      <c r="M875" s="44">
        <f>SUMIFS('Saldos Iniciales'!$D:$D,'Saldos Iniciales'!$A:$A,C875,'Saldos Iniciales'!$B:$B,D875)+SUMIFS($K$1:$K$1325,$C$1:$C$1325,C875,$D$1:$D$1325,D875,$B$1:$B$1325,"&lt;="&amp;B875)</f>
        <v>1380.08</v>
      </c>
      <c r="N875" s="65" t="str">
        <f>IF(tblMovimientos[[#This Row],[Tipo de Movimiento]]="Ingreso",tblMovimientos[[#This Row],[Monto (S/)]],"0")</f>
        <v>0</v>
      </c>
      <c r="O875" s="65">
        <f>IF(tblMovimientos[[#This Row],[Tipo de Movimiento]]="Egreso",tblMovimientos[[#This Row],[Monto (S/)]],"0")</f>
        <v>16</v>
      </c>
      <c r="P875" s="28">
        <f>IF(tblMovimientos[[#This Row],[Tipo de Movimiento]]="Ingreso",tblMovimientos[[#This Row],[Ingreso]],-tblMovimientos[[#This Row],[Egreso]])</f>
        <v>-16</v>
      </c>
      <c r="Q875" s="91" t="str">
        <f>IF(tblMovimientos[[#This Row],[Cuenta Bancaria]]="","",_xlfn.XLOOKUP(tblMovimientos[[#This Row],[Cuenta Bancaria]],Cuentas!$C:$C,Cuentas!$A:$A,"No encontrado"))</f>
        <v>SSP Group</v>
      </c>
      <c r="R875" s="91" t="str">
        <f>TRIM(_xlfn.XLOOKUP(tblMovimientos[[#This Row],[Cuenta Bancaria]],Cuentas!$C:$C,Cuentas!$B:$B,""))</f>
        <v/>
      </c>
    </row>
    <row r="876" spans="2:18" x14ac:dyDescent="0.3">
      <c r="B876" s="39">
        <v>46266</v>
      </c>
      <c r="C876" s="46" t="str">
        <f>_xlfn.XLOOKUP(tblMovimientos[[#This Row],[Cuenta Bancaria]],Listas!$B:$B,Listas!$A:$A,"")</f>
        <v>2515 Overbrook</v>
      </c>
      <c r="D876" s="41" t="s">
        <v>121</v>
      </c>
      <c r="E876" s="4" t="str">
        <f>_xlfn.XLOOKUP(tblMovimientos[[#This Row],[Cuenta Bancaria]],Listas!$B:$B,Listas!$C:$C,"")</f>
        <v>Bank of America</v>
      </c>
      <c r="F876" s="41" t="s">
        <v>10</v>
      </c>
      <c r="G876" s="41" t="s">
        <v>46</v>
      </c>
      <c r="H876" s="4" t="str">
        <f>IFERROR(_xlfn.XLOOKUP(G876,Listas!E:E,Listas!F:F,""),"")</f>
        <v>Financiamiento</v>
      </c>
      <c r="I876" s="46" t="str">
        <f>IFERROR(_xlfn.XLOOKUP(G876,Listas!E:E,Listas!G:G,""),"")</f>
        <v>Externo</v>
      </c>
      <c r="J876" s="43">
        <v>8533.33</v>
      </c>
      <c r="K876" s="5">
        <f t="shared" si="8"/>
        <v>-8533.33</v>
      </c>
      <c r="L876" s="15" t="s">
        <v>133</v>
      </c>
      <c r="M876" s="44">
        <f>SUMIFS('Saldos Iniciales'!$D:$D,'Saldos Iniciales'!$A:$A,C876,'Saldos Iniciales'!$B:$B,D876)+SUMIFS($K$1:$K$1325,$C$1:$C$1325,C876,$D$1:$D$1325,D876,$B$1:$B$1325,"&lt;="&amp;B876)</f>
        <v>24726.959999999963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8533.33</v>
      </c>
      <c r="P876" s="28">
        <f>IF(tblMovimientos[[#This Row],[Tipo de Movimiento]]="Ingreso",tblMovimientos[[#This Row],[Ingreso]],-tblMovimientos[[#This Row],[Egreso]])</f>
        <v>-8533.33</v>
      </c>
      <c r="Q876" s="91" t="str">
        <f>IF(tblMovimientos[[#This Row],[Cuenta Bancaria]]="","",_xlfn.XLOOKUP(tblMovimientos[[#This Row],[Cuenta Bancaria]],Cuentas!$C:$C,Cuentas!$A:$A,"No encontrado"))</f>
        <v>SSP Group</v>
      </c>
      <c r="R876" s="91" t="str">
        <f>TRIM(_xlfn.XLOOKUP(tblMovimientos[[#This Row],[Cuenta Bancaria]],Cuentas!$C:$C,Cuentas!$B:$B,""))</f>
        <v/>
      </c>
    </row>
    <row r="877" spans="2:18" x14ac:dyDescent="0.3">
      <c r="B877" s="39">
        <v>46266</v>
      </c>
      <c r="C877" s="46" t="str">
        <f>_xlfn.XLOOKUP(tblMovimientos[[#This Row],[Cuenta Bancaria]],Listas!$B:$B,Listas!$A:$A,"")</f>
        <v>2515 Overbrook</v>
      </c>
      <c r="D877" s="41" t="s">
        <v>122</v>
      </c>
      <c r="E877" s="4" t="str">
        <f>_xlfn.XLOOKUP(tblMovimientos[[#This Row],[Cuenta Bancaria]],Listas!$B:$B,Listas!$C:$C,"")</f>
        <v>Bank of America</v>
      </c>
      <c r="F877" s="41" t="s">
        <v>10</v>
      </c>
      <c r="G877" s="41" t="s">
        <v>44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10</v>
      </c>
      <c r="K877" s="5">
        <f t="shared" si="8"/>
        <v>-10</v>
      </c>
      <c r="L877" s="15" t="s">
        <v>133</v>
      </c>
      <c r="M877" s="44">
        <f>SUMIFS('Saldos Iniciales'!$D:$D,'Saldos Iniciales'!$A:$A,C877,'Saldos Iniciales'!$B:$B,D877)+SUMIFS($K$1:$K$1325,$C$1:$C$1325,C877,$D$1:$D$1325,D877,$B$1:$B$1325,"&lt;="&amp;B877)</f>
        <v>300.42</v>
      </c>
      <c r="N877" s="65" t="str">
        <f>IF(tblMovimientos[[#This Row],[Tipo de Movimiento]]="Ingreso",tblMovimientos[[#This Row],[Monto (S/)]],"0")</f>
        <v>0</v>
      </c>
      <c r="O877" s="65">
        <f>IF(tblMovimientos[[#This Row],[Tipo de Movimiento]]="Egreso",tblMovimientos[[#This Row],[Monto (S/)]],"0")</f>
        <v>10</v>
      </c>
      <c r="P877" s="28">
        <f>IF(tblMovimientos[[#This Row],[Tipo de Movimiento]]="Ingreso",tblMovimientos[[#This Row],[Ingreso]],-tblMovimientos[[#This Row],[Egreso]])</f>
        <v>-10</v>
      </c>
      <c r="Q877" s="91" t="str">
        <f>IF(tblMovimientos[[#This Row],[Cuenta Bancaria]]="","",_xlfn.XLOOKUP(tblMovimientos[[#This Row],[Cuenta Bancaria]],Cuentas!$C:$C,Cuentas!$A:$A,"No encontrado"))</f>
        <v>SSP Group</v>
      </c>
      <c r="R877" s="91" t="str">
        <f>TRIM(_xlfn.XLOOKUP(tblMovimientos[[#This Row],[Cuenta Bancaria]],Cuentas!$C:$C,Cuentas!$B:$B,""))</f>
        <v/>
      </c>
    </row>
    <row r="878" spans="2:18" x14ac:dyDescent="0.3">
      <c r="B878" s="39">
        <v>46266</v>
      </c>
      <c r="C878" s="46" t="str">
        <f>_xlfn.XLOOKUP(tblMovimientos[[#This Row],[Cuenta Bancaria]],Listas!$B:$B,Listas!$A:$A,"")</f>
        <v>112 Florida Ave</v>
      </c>
      <c r="D878" s="41" t="s">
        <v>123</v>
      </c>
      <c r="E878" s="4" t="str">
        <f>_xlfn.XLOOKUP(tblMovimientos[[#This Row],[Cuenta Bancaria]],Listas!$B:$B,Listas!$C:$C,"")</f>
        <v>Bank of America</v>
      </c>
      <c r="F878" s="41" t="s">
        <v>10</v>
      </c>
      <c r="G878" s="41" t="s">
        <v>48</v>
      </c>
      <c r="H878" s="4" t="str">
        <f>IFERROR(_xlfn.XLOOKUP(G878,Listas!E:E,Listas!F:F,""),"")</f>
        <v>Financiamiento</v>
      </c>
      <c r="I878" s="46" t="str">
        <f>IFERROR(_xlfn.XLOOKUP(G878,Listas!E:E,Listas!G:G,""),"")</f>
        <v>Externo</v>
      </c>
      <c r="J878" s="43">
        <v>9798.6299999999992</v>
      </c>
      <c r="K878" s="5">
        <f t="shared" si="8"/>
        <v>-9798.6299999999992</v>
      </c>
      <c r="L878" s="15" t="s">
        <v>133</v>
      </c>
      <c r="M878" s="44">
        <f>SUMIFS('Saldos Iniciales'!$D:$D,'Saldos Iniciales'!$A:$A,C878,'Saldos Iniciales'!$B:$B,D878)+SUMIFS($K$1:$K$1325,$C$1:$C$1325,C878,$D$1:$D$1325,D878,$B$1:$B$1325,"&lt;="&amp;B878)</f>
        <v>16760.540000000008</v>
      </c>
      <c r="N878" s="65" t="str">
        <f>IF(tblMovimientos[[#This Row],[Tipo de Movimiento]]="Ingreso",tblMovimientos[[#This Row],[Monto (S/)]],"0")</f>
        <v>0</v>
      </c>
      <c r="O878" s="65">
        <f>IF(tblMovimientos[[#This Row],[Tipo de Movimiento]]="Egreso",tblMovimientos[[#This Row],[Monto (S/)]],"0")</f>
        <v>9798.6299999999992</v>
      </c>
      <c r="P878" s="28">
        <f>IF(tblMovimientos[[#This Row],[Tipo de Movimiento]]="Ingreso",tblMovimientos[[#This Row],[Ingreso]],-tblMovimientos[[#This Row],[Egreso]])</f>
        <v>-9798.6299999999992</v>
      </c>
      <c r="Q878" s="91" t="str">
        <f>IF(tblMovimientos[[#This Row],[Cuenta Bancaria]]="","",_xlfn.XLOOKUP(tblMovimientos[[#This Row],[Cuenta Bancaria]],Cuentas!$C:$C,Cuentas!$A:$A,"No encontrado"))</f>
        <v>SSP Group</v>
      </c>
      <c r="R878" s="91" t="str">
        <f>TRIM(_xlfn.XLOOKUP(tblMovimientos[[#This Row],[Cuenta Bancaria]],Cuentas!$C:$C,Cuentas!$B:$B,""))</f>
        <v/>
      </c>
    </row>
    <row r="879" spans="2:18" x14ac:dyDescent="0.3">
      <c r="B879" s="39">
        <v>46266</v>
      </c>
      <c r="C879" s="46" t="str">
        <f>_xlfn.XLOOKUP(tblMovimientos[[#This Row],[Cuenta Bancaria]],Listas!$B:$B,Listas!$A:$A,"")</f>
        <v>3628 Thomas Ave</v>
      </c>
      <c r="D879" s="41" t="s">
        <v>124</v>
      </c>
      <c r="E879" s="4" t="str">
        <f>_xlfn.XLOOKUP(tblMovimientos[[#This Row],[Cuenta Bancaria]],Listas!$B:$B,Listas!$C:$C,"")</f>
        <v>Bank of America</v>
      </c>
      <c r="F879" s="41" t="s">
        <v>10</v>
      </c>
      <c r="G879" s="41" t="s">
        <v>48</v>
      </c>
      <c r="H879" s="4" t="str">
        <f>IFERROR(_xlfn.XLOOKUP(G879,Listas!E:E,Listas!F:F,""),"")</f>
        <v>Financiamiento</v>
      </c>
      <c r="I879" s="46" t="str">
        <f>IFERROR(_xlfn.XLOOKUP(G879,Listas!E:E,Listas!G:G,""),"")</f>
        <v>Externo</v>
      </c>
      <c r="J879" s="43">
        <v>8773.0400000000009</v>
      </c>
      <c r="K879" s="5">
        <f t="shared" si="8"/>
        <v>-8773.0400000000009</v>
      </c>
      <c r="L879" s="15" t="s">
        <v>133</v>
      </c>
      <c r="M879" s="44">
        <f>SUMIFS('Saldos Iniciales'!$D:$D,'Saldos Iniciales'!$A:$A,C879,'Saldos Iniciales'!$B:$B,D879)+SUMIFS($K$1:$K$1325,$C$1:$C$1325,C879,$D$1:$D$1325,D879,$B$1:$B$1325,"&lt;="&amp;B879)</f>
        <v>14962.999999999996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8773.0400000000009</v>
      </c>
      <c r="P879" s="28">
        <f>IF(tblMovimientos[[#This Row],[Tipo de Movimiento]]="Ingreso",tblMovimientos[[#This Row],[Ingreso]],-tblMovimientos[[#This Row],[Egreso]])</f>
        <v>-8773.0400000000009</v>
      </c>
      <c r="Q879" s="91" t="str">
        <f>IF(tblMovimientos[[#This Row],[Cuenta Bancaria]]="","",_xlfn.XLOOKUP(tblMovimientos[[#This Row],[Cuenta Bancaria]],Cuentas!$C:$C,Cuentas!$A:$A,"No encontrado"))</f>
        <v>SSP Group</v>
      </c>
      <c r="R879" s="91" t="str">
        <f>TRIM(_xlfn.XLOOKUP(tblMovimientos[[#This Row],[Cuenta Bancaria]],Cuentas!$C:$C,Cuentas!$B:$B,""))</f>
        <v/>
      </c>
    </row>
    <row r="880" spans="2:18" x14ac:dyDescent="0.3">
      <c r="B880" s="39">
        <v>46266</v>
      </c>
      <c r="C880" s="46" t="str">
        <f>_xlfn.XLOOKUP(tblMovimientos[[#This Row],[Cuenta Bancaria]],Listas!$B:$B,Listas!$A:$A,"")</f>
        <v>CFT Group</v>
      </c>
      <c r="D880" s="41" t="s">
        <v>95</v>
      </c>
      <c r="E880" s="4" t="str">
        <f>_xlfn.XLOOKUP(tblMovimientos[[#This Row],[Cuenta Bancaria]],Listas!$B:$B,Listas!$C:$C,"")</f>
        <v xml:space="preserve">Amerant Bank </v>
      </c>
      <c r="F880" s="41" t="s">
        <v>9</v>
      </c>
      <c r="G880" s="41" t="s">
        <v>68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17835.61</v>
      </c>
      <c r="K880" s="5">
        <f t="shared" si="8"/>
        <v>17835.61</v>
      </c>
      <c r="L880" s="15" t="s">
        <v>133</v>
      </c>
      <c r="M880" s="44">
        <f>SUMIFS('Saldos Iniciales'!$D:$D,'Saldos Iniciales'!$A:$A,C880,'Saldos Iniciales'!$B:$B,D880)+SUMIFS($K$1:$K$1325,$C$1:$C$1325,C880,$D$1:$D$1325,D880,$B$1:$B$1325,"&lt;="&amp;B880)</f>
        <v>318168.93000000075</v>
      </c>
      <c r="N880" s="65">
        <f>IF(tblMovimientos[[#This Row],[Tipo de Movimiento]]="Ingreso",tblMovimientos[[#This Row],[Monto (S/)]],"0")</f>
        <v>17835.61</v>
      </c>
      <c r="O880" s="65" t="str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17835.61</v>
      </c>
      <c r="Q880" s="91" t="str">
        <f>IF(tblMovimientos[[#This Row],[Cuenta Bancaria]]="","",_xlfn.XLOOKUP(tblMovimientos[[#This Row],[Cuenta Bancaria]],Cuentas!$C:$C,Cuentas!$A:$A,"No encontrado"))</f>
        <v>SSP Group</v>
      </c>
      <c r="R880" s="91" t="str">
        <f>TRIM(_xlfn.XLOOKUP(tblMovimientos[[#This Row],[Cuenta Bancaria]],Cuentas!$C:$C,Cuentas!$B:$B,""))</f>
        <v/>
      </c>
    </row>
    <row r="881" spans="1:18" x14ac:dyDescent="0.3">
      <c r="B881" s="39">
        <v>46266</v>
      </c>
      <c r="C881" s="46" t="str">
        <f>_xlfn.XLOOKUP(tblMovimientos[[#This Row],[Cuenta Bancaria]],Listas!$B:$B,Listas!$A:$A,"")</f>
        <v>SSP Capital</v>
      </c>
      <c r="D881" s="41" t="s">
        <v>104</v>
      </c>
      <c r="E881" s="4" t="str">
        <f>_xlfn.XLOOKUP(tblMovimientos[[#This Row],[Cuenta Bancaria]],Listas!$B:$B,Listas!$C:$C,"")</f>
        <v xml:space="preserve">Amerant Bank 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70638.59</v>
      </c>
      <c r="K881" s="5">
        <f t="shared" si="8"/>
        <v>-70638.59</v>
      </c>
      <c r="L881" s="15" t="s">
        <v>133</v>
      </c>
      <c r="M881" s="44">
        <f>SUMIFS('Saldos Iniciales'!$D:$D,'Saldos Iniciales'!$A:$A,C881,'Saldos Iniciales'!$B:$B,D881)+SUMIFS($K$1:$K$1325,$C$1:$C$1325,C881,$D$1:$D$1325,D881,$B$1:$B$1325,"&lt;="&amp;B881)</f>
        <v>637579.72999999928</v>
      </c>
      <c r="N881" s="65" t="str">
        <f>IF(tblMovimientos[[#This Row],[Tipo de Movimiento]]="Ingreso",tblMovimientos[[#This Row],[Monto (S/)]],"0")</f>
        <v>0</v>
      </c>
      <c r="O881" s="65">
        <f>IF(tblMovimientos[[#This Row],[Tipo de Movimiento]]="Egreso",tblMovimientos[[#This Row],[Monto (S/)]],"0")</f>
        <v>70638.59</v>
      </c>
      <c r="P881" s="28">
        <f>IF(tblMovimientos[[#This Row],[Tipo de Movimiento]]="Ingreso",tblMovimientos[[#This Row],[Ingreso]],-tblMovimientos[[#This Row],[Egreso]])</f>
        <v>-70638.59</v>
      </c>
      <c r="Q881" s="91" t="str">
        <f>IF(tblMovimientos[[#This Row],[Cuenta Bancaria]]="","",_xlfn.XLOOKUP(tblMovimientos[[#This Row],[Cuenta Bancaria]],Cuentas!$C:$C,Cuentas!$A:$A,"No encontrado"))</f>
        <v>SSP Group</v>
      </c>
      <c r="R881" s="91" t="str">
        <f>TRIM(_xlfn.XLOOKUP(tblMovimientos[[#This Row],[Cuenta Bancaria]],Cuentas!$C:$C,Cuentas!$B:$B,""))</f>
        <v/>
      </c>
    </row>
    <row r="882" spans="1:18" x14ac:dyDescent="0.3">
      <c r="B882" s="39">
        <v>46266</v>
      </c>
      <c r="C882" s="46" t="str">
        <f>_xlfn.XLOOKUP(tblMovimientos[[#This Row],[Cuenta Bancaria]],Listas!$B:$B,Listas!$A:$A,"")</f>
        <v>Go Blue</v>
      </c>
      <c r="D882" s="41" t="s">
        <v>126</v>
      </c>
      <c r="E882" s="4" t="str">
        <f>_xlfn.XLOOKUP(tblMovimientos[[#This Row],[Cuenta Bancaria]],Listas!$B:$B,Listas!$C:$C,"")</f>
        <v xml:space="preserve">Amerant Bank 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10.25</v>
      </c>
      <c r="K882" s="5">
        <f t="shared" ref="K882:K945" si="9">IF(F882="Ingreso",J882,-J882)</f>
        <v>-10.25</v>
      </c>
      <c r="L882" s="15" t="s">
        <v>133</v>
      </c>
      <c r="M882" s="44">
        <f>SUMIFS('Saldos Iniciales'!$D:$D,'Saldos Iniciales'!$A:$A,C882,'Saldos Iniciales'!$B:$B,D882)+SUMIFS($K$1:$K$1325,$C$1:$C$1325,C882,$D$1:$D$1325,D882,$B$1:$B$1325,"&lt;="&amp;B882)</f>
        <v>7486.3999999999987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10.25</v>
      </c>
      <c r="P882" s="28">
        <f>IF(tblMovimientos[[#This Row],[Tipo de Movimiento]]="Ingreso",tblMovimientos[[#This Row],[Ingreso]],-tblMovimientos[[#This Row],[Egreso]])</f>
        <v>-10.25</v>
      </c>
      <c r="Q882" s="91" t="str">
        <f>IF(tblMovimientos[[#This Row],[Cuenta Bancaria]]="","",_xlfn.XLOOKUP(tblMovimientos[[#This Row],[Cuenta Bancaria]],Cuentas!$C:$C,Cuentas!$A:$A,"No encontrado"))</f>
        <v>SSP Group</v>
      </c>
      <c r="R882" s="91" t="str">
        <f>TRIM(_xlfn.XLOOKUP(tblMovimientos[[#This Row],[Cuenta Bancaria]],Cuentas!$C:$C,Cuentas!$B:$B,""))</f>
        <v/>
      </c>
    </row>
    <row r="883" spans="1:18" x14ac:dyDescent="0.3">
      <c r="A883" s="88"/>
      <c r="B883" s="82">
        <v>46266</v>
      </c>
      <c r="C883" s="46" t="str">
        <f>_xlfn.XLOOKUP(tblMovimientos[[#This Row],[Cuenta Bancaria]],Listas!$B:$B,Listas!$A:$A,"")</f>
        <v>CFT 1 residence LLC</v>
      </c>
      <c r="D883" s="84" t="s">
        <v>184</v>
      </c>
      <c r="E883" s="4" t="str">
        <f>_xlfn.XLOOKUP(tblMovimientos[[#This Row],[Cuenta Bancaria]],Listas!$B:$B,Listas!$C:$C,"")</f>
        <v xml:space="preserve">Amerant Bank </v>
      </c>
      <c r="F883" s="84" t="s">
        <v>10</v>
      </c>
      <c r="G883" s="84" t="s">
        <v>46</v>
      </c>
      <c r="H883" s="90" t="str">
        <f>IFERROR(_xlfn.XLOOKUP(G883,Listas!E:E,Listas!F:F,""),"")</f>
        <v>Financiamiento</v>
      </c>
      <c r="I883" s="83" t="str">
        <f>IFERROR(_xlfn.XLOOKUP(G883,Listas!E:E,Listas!G:G,""),"")</f>
        <v>Externo</v>
      </c>
      <c r="J883" s="85">
        <v>30792.86</v>
      </c>
      <c r="K883" s="48">
        <f t="shared" si="9"/>
        <v>-30792.86</v>
      </c>
      <c r="L883" s="86" t="s">
        <v>133</v>
      </c>
      <c r="M883" s="44">
        <f>SUMIFS('Saldos Iniciales'!$D:$D,'Saldos Iniciales'!$A:$A,C883,'Saldos Iniciales'!$B:$B,D883)+SUMIFS($K$1:$K$1325,$C$1:$C$1325,C883,$D$1:$D$1325,D883,$B$1:$B$1325,"&lt;="&amp;B883)</f>
        <v>18786.199999999997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30792.86</v>
      </c>
      <c r="P883" s="28">
        <f>IF(tblMovimientos[[#This Row],[Tipo de Movimiento]]="Ingreso",tblMovimientos[[#This Row],[Ingreso]],-tblMovimientos[[#This Row],[Egreso]])</f>
        <v>-30792.86</v>
      </c>
      <c r="Q883" s="91" t="str">
        <f>IF(tblMovimientos[[#This Row],[Cuenta Bancaria]]="","",_xlfn.XLOOKUP(tblMovimientos[[#This Row],[Cuenta Bancaria]],Cuentas!$C:$C,Cuentas!$A:$A,"No encontrado"))</f>
        <v>Carmen Cross Irrevocable Trust</v>
      </c>
      <c r="R883" s="91" t="str">
        <f>TRIM(_xlfn.XLOOKUP(tblMovimientos[[#This Row],[Cuenta Bancaria]],Cuentas!$C:$C,Cuentas!$B:$B,""))</f>
        <v/>
      </c>
    </row>
    <row r="884" spans="1:18" x14ac:dyDescent="0.3">
      <c r="B884" s="39">
        <v>46266</v>
      </c>
      <c r="C884" s="46" t="str">
        <f>_xlfn.XLOOKUP(tblMovimientos[[#This Row],[Cuenta Bancaria]],Listas!$B:$B,Listas!$A:$A,"")</f>
        <v>Prendamas SRL</v>
      </c>
      <c r="D884" s="41" t="s">
        <v>186</v>
      </c>
      <c r="E884" s="4" t="str">
        <f>_xlfn.XLOOKUP(tblMovimientos[[#This Row],[Cuenta Bancaria]],Listas!$B:$B,Listas!$C:$C,"")</f>
        <v xml:space="preserve">Amerant Bank 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145.57</v>
      </c>
      <c r="K884" s="5">
        <f t="shared" si="9"/>
        <v>-145.57</v>
      </c>
      <c r="L884" s="15" t="s">
        <v>133</v>
      </c>
      <c r="M884" s="44">
        <f>SUMIFS('Saldos Iniciales'!$D:$D,'Saldos Iniciales'!$A:$A,C884,'Saldos Iniciales'!$B:$B,D884)+SUMIFS($K$1:$K$1325,$C$1:$C$1325,C884,$D$1:$D$1325,D884,$B$1:$B$1325,"&lt;="&amp;B884)</f>
        <v>92112.919999999969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145.57</v>
      </c>
      <c r="P884" s="28">
        <f>IF(tblMovimientos[[#This Row],[Tipo de Movimiento]]="Ingreso",tblMovimientos[[#This Row],[Ingreso]],-tblMovimientos[[#This Row],[Egreso]])</f>
        <v>-145.57</v>
      </c>
      <c r="Q884" s="91" t="str">
        <f>IF(tblMovimientos[[#This Row],[Cuenta Bancaria]]="","",_xlfn.XLOOKUP(tblMovimientos[[#This Row],[Cuenta Bancaria]],Cuentas!$C:$C,Cuentas!$A:$A,"No encontrado"))</f>
        <v>Unidades de Negocio</v>
      </c>
      <c r="R884" s="91" t="str">
        <f>TRIM(_xlfn.XLOOKUP(tblMovimientos[[#This Row],[Cuenta Bancaria]],Cuentas!$C:$C,Cuentas!$B:$B,""))</f>
        <v/>
      </c>
    </row>
    <row r="885" spans="1:18" x14ac:dyDescent="0.3">
      <c r="B885" s="39">
        <v>46266</v>
      </c>
      <c r="C885" s="46" t="str">
        <f>_xlfn.XLOOKUP(tblMovimientos[[#This Row],[Cuenta Bancaria]],Listas!$B:$B,Listas!$A:$A,"")</f>
        <v>Prendamas SRL</v>
      </c>
      <c r="D885" s="41" t="s">
        <v>186</v>
      </c>
      <c r="E885" s="4" t="str">
        <f>_xlfn.XLOOKUP(tblMovimientos[[#This Row],[Cuenta Bancaria]],Listas!$B:$B,Listas!$C:$C,"")</f>
        <v xml:space="preserve">Amerant Bank </v>
      </c>
      <c r="F885" s="41" t="s">
        <v>10</v>
      </c>
      <c r="G885" s="41" t="s">
        <v>38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128.16999999999999</v>
      </c>
      <c r="K885" s="5">
        <f t="shared" si="9"/>
        <v>-128.16999999999999</v>
      </c>
      <c r="L885" s="15" t="s">
        <v>133</v>
      </c>
      <c r="M885" s="44">
        <f>SUMIFS('Saldos Iniciales'!$D:$D,'Saldos Iniciales'!$A:$A,C885,'Saldos Iniciales'!$B:$B,D885)+SUMIFS($K$1:$K$1325,$C$1:$C$1325,C885,$D$1:$D$1325,D885,$B$1:$B$1325,"&lt;="&amp;B885)</f>
        <v>92112.919999999969</v>
      </c>
      <c r="N885" s="65" t="str">
        <f>IF(tblMovimientos[[#This Row],[Tipo de Movimiento]]="Ingreso",tblMovimientos[[#This Row],[Monto (S/)]],"0")</f>
        <v>0</v>
      </c>
      <c r="O885" s="65">
        <f>IF(tblMovimientos[[#This Row],[Tipo de Movimiento]]="Egreso",tblMovimientos[[#This Row],[Monto (S/)]],"0")</f>
        <v>128.16999999999999</v>
      </c>
      <c r="P885" s="28">
        <f>IF(tblMovimientos[[#This Row],[Tipo de Movimiento]]="Ingreso",tblMovimientos[[#This Row],[Ingreso]],-tblMovimientos[[#This Row],[Egreso]])</f>
        <v>-128.16999999999999</v>
      </c>
      <c r="Q885" s="91" t="str">
        <f>IF(tblMovimientos[[#This Row],[Cuenta Bancaria]]="","",_xlfn.XLOOKUP(tblMovimientos[[#This Row],[Cuenta Bancaria]],Cuentas!$C:$C,Cuentas!$A:$A,"No encontrado"))</f>
        <v>Unidades de Negocio</v>
      </c>
      <c r="R885" s="91" t="str">
        <f>TRIM(_xlfn.XLOOKUP(tblMovimientos[[#This Row],[Cuenta Bancaria]],Cuentas!$C:$C,Cuentas!$B:$B,""))</f>
        <v/>
      </c>
    </row>
    <row r="886" spans="1:18" x14ac:dyDescent="0.3">
      <c r="B886" s="39">
        <v>46266</v>
      </c>
      <c r="C886" s="46" t="str">
        <f>_xlfn.XLOOKUP(tblMovimientos[[#This Row],[Cuenta Bancaria]],Listas!$B:$B,Listas!$A:$A,"")</f>
        <v>Prendamas SRL</v>
      </c>
      <c r="D886" s="41" t="s">
        <v>186</v>
      </c>
      <c r="E886" s="4" t="str">
        <f>_xlfn.XLOOKUP(tblMovimientos[[#This Row],[Cuenta Bancaria]],Listas!$B:$B,Listas!$C:$C,"")</f>
        <v xml:space="preserve">Amerant Bank </v>
      </c>
      <c r="F886" s="41" t="s">
        <v>10</v>
      </c>
      <c r="G886" s="41" t="s">
        <v>44</v>
      </c>
      <c r="H886" s="4" t="str">
        <f>IFERROR(_xlfn.XLOOKUP(G886,Listas!E:E,Listas!F:F,""),"")</f>
        <v>Operativo</v>
      </c>
      <c r="I886" s="46" t="str">
        <f>IFERROR(_xlfn.XLOOKUP(G886,Listas!E:E,Listas!G:G,""),"")</f>
        <v>Externo</v>
      </c>
      <c r="J886" s="43">
        <v>3.85</v>
      </c>
      <c r="K886" s="5">
        <f t="shared" si="9"/>
        <v>-3.85</v>
      </c>
      <c r="L886" s="15" t="s">
        <v>133</v>
      </c>
      <c r="M886" s="44">
        <f>SUMIFS('Saldos Iniciales'!$D:$D,'Saldos Iniciales'!$A:$A,C886,'Saldos Iniciales'!$B:$B,D886)+SUMIFS($K$1:$K$1325,$C$1:$C$1325,C886,$D$1:$D$1325,D886,$B$1:$B$1325,"&lt;="&amp;B886)</f>
        <v>92112.919999999969</v>
      </c>
      <c r="N886" s="65" t="str">
        <f>IF(tblMovimientos[[#This Row],[Tipo de Movimiento]]="Ingreso",tblMovimientos[[#This Row],[Monto (S/)]],"0")</f>
        <v>0</v>
      </c>
      <c r="O886" s="65">
        <f>IF(tblMovimientos[[#This Row],[Tipo de Movimiento]]="Egreso",tblMovimientos[[#This Row],[Monto (S/)]],"0")</f>
        <v>3.85</v>
      </c>
      <c r="P886" s="28">
        <f>IF(tblMovimientos[[#This Row],[Tipo de Movimiento]]="Ingreso",tblMovimientos[[#This Row],[Ingreso]],-tblMovimientos[[#This Row],[Egreso]])</f>
        <v>-3.85</v>
      </c>
      <c r="Q886" s="91" t="str">
        <f>IF(tblMovimientos[[#This Row],[Cuenta Bancaria]]="","",_xlfn.XLOOKUP(tblMovimientos[[#This Row],[Cuenta Bancaria]],Cuentas!$C:$C,Cuentas!$A:$A,"No encontrado"))</f>
        <v>Unidades de Negocio</v>
      </c>
      <c r="R886" s="91" t="str">
        <f>TRIM(_xlfn.XLOOKUP(tblMovimientos[[#This Row],[Cuenta Bancaria]],Cuentas!$C:$C,Cuentas!$B:$B,""))</f>
        <v/>
      </c>
    </row>
    <row r="887" spans="1:18" x14ac:dyDescent="0.3">
      <c r="B887" s="39">
        <v>46266</v>
      </c>
      <c r="C887" s="46" t="str">
        <f>_xlfn.XLOOKUP(tblMovimientos[[#This Row],[Cuenta Bancaria]],Listas!$B:$B,Listas!$A:$A,"")</f>
        <v>Prendamas SRL</v>
      </c>
      <c r="D887" s="41" t="s">
        <v>186</v>
      </c>
      <c r="E887" s="4" t="str">
        <f>_xlfn.XLOOKUP(tblMovimientos[[#This Row],[Cuenta Bancaria]],Listas!$B:$B,Listas!$C:$C,"")</f>
        <v xml:space="preserve">Amerant Bank 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4.37</v>
      </c>
      <c r="K887" s="5">
        <f t="shared" si="9"/>
        <v>-4.37</v>
      </c>
      <c r="L887" s="15" t="s">
        <v>133</v>
      </c>
      <c r="M887" s="44">
        <f>SUMIFS('Saldos Iniciales'!$D:$D,'Saldos Iniciales'!$A:$A,C887,'Saldos Iniciales'!$B:$B,D887)+SUMIFS($K$1:$K$1325,$C$1:$C$1325,C887,$D$1:$D$1325,D887,$B$1:$B$1325,"&lt;="&amp;B887)</f>
        <v>92112.919999999969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4.37</v>
      </c>
      <c r="P887" s="28">
        <f>IF(tblMovimientos[[#This Row],[Tipo de Movimiento]]="Ingreso",tblMovimientos[[#This Row],[Ingreso]],-tblMovimientos[[#This Row],[Egreso]])</f>
        <v>-4.37</v>
      </c>
      <c r="Q887" s="91" t="str">
        <f>IF(tblMovimientos[[#This Row],[Cuenta Bancaria]]="","",_xlfn.XLOOKUP(tblMovimientos[[#This Row],[Cuenta Bancaria]],Cuentas!$C:$C,Cuentas!$A:$A,"No encontrado"))</f>
        <v>Unidades de Negocio</v>
      </c>
      <c r="R887" s="91" t="str">
        <f>TRIM(_xlfn.XLOOKUP(tblMovimientos[[#This Row],[Cuenta Bancaria]],Cuentas!$C:$C,Cuentas!$B:$B,""))</f>
        <v/>
      </c>
    </row>
    <row r="888" spans="1:18" x14ac:dyDescent="0.3">
      <c r="B888" s="39">
        <v>46266</v>
      </c>
      <c r="C888" s="46" t="str">
        <f>_xlfn.XLOOKUP(tblMovimientos[[#This Row],[Cuenta Bancaria]],Listas!$B:$B,Listas!$A:$A,"")</f>
        <v>SIYP LLC</v>
      </c>
      <c r="D888" s="41" t="s">
        <v>217</v>
      </c>
      <c r="E888" s="4" t="str">
        <f>_xlfn.XLOOKUP(tblMovimientos[[#This Row],[Cuenta Bancaria]],Listas!$B:$B,Listas!$C:$C,"")</f>
        <v>Bank of America</v>
      </c>
      <c r="F888" s="41" t="s">
        <v>10</v>
      </c>
      <c r="G888" s="41" t="s">
        <v>44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16</v>
      </c>
      <c r="K888" s="5">
        <f t="shared" si="9"/>
        <v>-16</v>
      </c>
      <c r="L888" s="15" t="s">
        <v>133</v>
      </c>
      <c r="M888" s="44">
        <f>SUMIFS('Saldos Iniciales'!$D:$D,'Saldos Iniciales'!$A:$A,C888,'Saldos Iniciales'!$B:$B,D888)+SUMIFS($K$1:$K$1325,$C$1:$C$1325,C888,$D$1:$D$1325,D888,$B$1:$B$1325,"&lt;="&amp;B888)</f>
        <v>2.129999999999999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16</v>
      </c>
      <c r="P888" s="28">
        <f>IF(tblMovimientos[[#This Row],[Tipo de Movimiento]]="Ingreso",tblMovimientos[[#This Row],[Ingreso]],-tblMovimientos[[#This Row],[Egreso]])</f>
        <v>-16</v>
      </c>
      <c r="Q888" s="91" t="str">
        <f>IF(tblMovimientos[[#This Row],[Cuenta Bancaria]]="","",_xlfn.XLOOKUP(tblMovimientos[[#This Row],[Cuenta Bancaria]],Cuentas!$C:$C,Cuentas!$A:$A,"No encontrado"))</f>
        <v>Michael Cross</v>
      </c>
      <c r="R888" s="91" t="str">
        <f>TRIM(_xlfn.XLOOKUP(tblMovimientos[[#This Row],[Cuenta Bancaria]],Cuentas!$C:$C,Cuentas!$B:$B,""))</f>
        <v/>
      </c>
    </row>
    <row r="889" spans="1:18" x14ac:dyDescent="0.3">
      <c r="B889" s="39">
        <v>46266</v>
      </c>
      <c r="C889" s="46" t="str">
        <f>_xlfn.XLOOKUP(tblMovimientos[[#This Row],[Cuenta Bancaria]],Listas!$B:$B,Listas!$A:$A,"")</f>
        <v>Nobe Aparments</v>
      </c>
      <c r="D889" s="41" t="s">
        <v>191</v>
      </c>
      <c r="E889" s="4" t="str">
        <f>_xlfn.XLOOKUP(tblMovimientos[[#This Row],[Cuenta Bancaria]],Listas!$B:$B,Listas!$C:$C,"")</f>
        <v>Bank of America</v>
      </c>
      <c r="F889" s="41" t="s">
        <v>9</v>
      </c>
      <c r="G889" s="41" t="s">
        <v>81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1905</v>
      </c>
      <c r="K889" s="5">
        <f t="shared" si="9"/>
        <v>1905</v>
      </c>
      <c r="L889" s="15" t="s">
        <v>133</v>
      </c>
      <c r="M889" s="44">
        <f>SUMIFS('Saldos Iniciales'!$D:$D,'Saldos Iniciales'!$A:$A,C889,'Saldos Iniciales'!$B:$B,D889)+SUMIFS($K$1:$K$1325,$C$1:$C$1325,C889,$D$1:$D$1325,D889,$B$1:$B$1325,"&lt;="&amp;B889)</f>
        <v>210249.21</v>
      </c>
      <c r="N889" s="65">
        <f>IF(tblMovimientos[[#This Row],[Tipo de Movimiento]]="Ingreso",tblMovimientos[[#This Row],[Monto (S/)]],"0")</f>
        <v>1905</v>
      </c>
      <c r="O889" s="65" t="str">
        <f>IF(tblMovimientos[[#This Row],[Tipo de Movimiento]]="Egreso",tblMovimientos[[#This Row],[Monto (S/)]],"0")</f>
        <v>0</v>
      </c>
      <c r="P889" s="28">
        <f>IF(tblMovimientos[[#This Row],[Tipo de Movimiento]]="Ingreso",tblMovimientos[[#This Row],[Ingreso]],-tblMovimientos[[#This Row],[Egreso]])</f>
        <v>1905</v>
      </c>
      <c r="Q889" s="91" t="str">
        <f>IF(tblMovimientos[[#This Row],[Cuenta Bancaria]]="","",_xlfn.XLOOKUP(tblMovimientos[[#This Row],[Cuenta Bancaria]],Cuentas!$C:$C,Cuentas!$A:$A,"No encontrado"))</f>
        <v>Carmen Cross / Estate</v>
      </c>
      <c r="R889" s="91" t="str">
        <f>TRIM(_xlfn.XLOOKUP(tblMovimientos[[#This Row],[Cuenta Bancaria]],Cuentas!$C:$C,Cuentas!$B:$B,""))</f>
        <v/>
      </c>
    </row>
    <row r="890" spans="1:18" x14ac:dyDescent="0.3">
      <c r="B890" s="39">
        <v>46266</v>
      </c>
      <c r="C890" s="46" t="str">
        <f>_xlfn.XLOOKUP(tblMovimientos[[#This Row],[Cuenta Bancaria]],Listas!$B:$B,Listas!$A:$A,"")</f>
        <v>Nobe Aparments</v>
      </c>
      <c r="D890" s="41" t="s">
        <v>191</v>
      </c>
      <c r="E890" s="4" t="str">
        <f>_xlfn.XLOOKUP(tblMovimientos[[#This Row],[Cuenta Bancaria]],Listas!$B:$B,Listas!$C:$C,"")</f>
        <v>Bank of America</v>
      </c>
      <c r="F890" s="41" t="s">
        <v>9</v>
      </c>
      <c r="G890" s="41" t="s">
        <v>81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1850</v>
      </c>
      <c r="K890" s="5">
        <f t="shared" si="9"/>
        <v>1850</v>
      </c>
      <c r="L890" s="15" t="s">
        <v>133</v>
      </c>
      <c r="M890" s="44">
        <f>SUMIFS('Saldos Iniciales'!$D:$D,'Saldos Iniciales'!$A:$A,C890,'Saldos Iniciales'!$B:$B,D890)+SUMIFS($K$1:$K$1325,$C$1:$C$1325,C890,$D$1:$D$1325,D890,$B$1:$B$1325,"&lt;="&amp;B890)</f>
        <v>210249.21</v>
      </c>
      <c r="N890" s="65">
        <f>IF(tblMovimientos[[#This Row],[Tipo de Movimiento]]="Ingreso",tblMovimientos[[#This Row],[Monto (S/)]],"0")</f>
        <v>1850</v>
      </c>
      <c r="O890" s="65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1850</v>
      </c>
      <c r="Q890" s="91" t="str">
        <f>IF(tblMovimientos[[#This Row],[Cuenta Bancaria]]="","",_xlfn.XLOOKUP(tblMovimientos[[#This Row],[Cuenta Bancaria]],Cuentas!$C:$C,Cuentas!$A:$A,"No encontrado"))</f>
        <v>Carmen Cross / Estate</v>
      </c>
      <c r="R890" s="91" t="str">
        <f>TRIM(_xlfn.XLOOKUP(tblMovimientos[[#This Row],[Cuenta Bancaria]],Cuentas!$C:$C,Cuentas!$B:$B,""))</f>
        <v/>
      </c>
    </row>
    <row r="891" spans="1:18" x14ac:dyDescent="0.3">
      <c r="B891" s="39">
        <v>46266</v>
      </c>
      <c r="C891" s="46" t="str">
        <f>_xlfn.XLOOKUP(tblMovimientos[[#This Row],[Cuenta Bancaria]],Listas!$B:$B,Listas!$A:$A,"")</f>
        <v>Nobe Aparments</v>
      </c>
      <c r="D891" s="41" t="s">
        <v>191</v>
      </c>
      <c r="E891" s="4" t="str">
        <f>_xlfn.XLOOKUP(tblMovimientos[[#This Row],[Cuenta Bancaria]],Listas!$B:$B,Listas!$C:$C,"")</f>
        <v>Bank of America</v>
      </c>
      <c r="F891" s="41" t="s">
        <v>9</v>
      </c>
      <c r="G891" s="41" t="s">
        <v>81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735</v>
      </c>
      <c r="K891" s="5">
        <f t="shared" si="9"/>
        <v>735</v>
      </c>
      <c r="L891" s="15" t="s">
        <v>133</v>
      </c>
      <c r="M891" s="44">
        <f>SUMIFS('Saldos Iniciales'!$D:$D,'Saldos Iniciales'!$A:$A,C891,'Saldos Iniciales'!$B:$B,D891)+SUMIFS($K$1:$K$1325,$C$1:$C$1325,C891,$D$1:$D$1325,D891,$B$1:$B$1325,"&lt;="&amp;B891)</f>
        <v>210249.21</v>
      </c>
      <c r="N891" s="65">
        <f>IF(tblMovimientos[[#This Row],[Tipo de Movimiento]]="Ingreso",tblMovimientos[[#This Row],[Monto (S/)]],"0")</f>
        <v>735</v>
      </c>
      <c r="O891" s="65" t="str">
        <f>IF(tblMovimientos[[#This Row],[Tipo de Movimiento]]="Egreso",tblMovimientos[[#This Row],[Monto (S/)]],"0")</f>
        <v>0</v>
      </c>
      <c r="P891" s="28">
        <f>IF(tblMovimientos[[#This Row],[Tipo de Movimiento]]="Ingreso",tblMovimientos[[#This Row],[Ingreso]],-tblMovimientos[[#This Row],[Egreso]])</f>
        <v>735</v>
      </c>
      <c r="Q891" s="91" t="str">
        <f>IF(tblMovimientos[[#This Row],[Cuenta Bancaria]]="","",_xlfn.XLOOKUP(tblMovimientos[[#This Row],[Cuenta Bancaria]],Cuentas!$C:$C,Cuentas!$A:$A,"No encontrado"))</f>
        <v>Carmen Cross / Estate</v>
      </c>
      <c r="R891" s="91" t="str">
        <f>TRIM(_xlfn.XLOOKUP(tblMovimientos[[#This Row],[Cuenta Bancaria]],Cuentas!$C:$C,Cuentas!$B:$B,""))</f>
        <v/>
      </c>
    </row>
    <row r="892" spans="1:18" x14ac:dyDescent="0.3">
      <c r="B892" s="39">
        <v>46266</v>
      </c>
      <c r="C892" s="46" t="str">
        <f>_xlfn.XLOOKUP(tblMovimientos[[#This Row],[Cuenta Bancaria]],Listas!$B:$B,Listas!$A:$A,"")</f>
        <v>Nobe Aparments</v>
      </c>
      <c r="D892" s="41" t="s">
        <v>191</v>
      </c>
      <c r="E892" s="4" t="str">
        <f>_xlfn.XLOOKUP(tblMovimientos[[#This Row],[Cuenta Bancaria]],Listas!$B:$B,Listas!$C:$C,"")</f>
        <v>Bank of America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1200</v>
      </c>
      <c r="K892" s="5">
        <f t="shared" si="9"/>
        <v>-1200</v>
      </c>
      <c r="L892" s="15" t="s">
        <v>133</v>
      </c>
      <c r="M892" s="44">
        <f>SUMIFS('Saldos Iniciales'!$D:$D,'Saldos Iniciales'!$A:$A,C892,'Saldos Iniciales'!$B:$B,D892)+SUMIFS($K$1:$K$1325,$C$1:$C$1325,C892,$D$1:$D$1325,D892,$B$1:$B$1325,"&lt;="&amp;B892)</f>
        <v>210249.21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1200</v>
      </c>
      <c r="P892" s="28">
        <f>IF(tblMovimientos[[#This Row],[Tipo de Movimiento]]="Ingreso",tblMovimientos[[#This Row],[Ingreso]],-tblMovimientos[[#This Row],[Egreso]])</f>
        <v>-1200</v>
      </c>
      <c r="Q892" s="91" t="str">
        <f>IF(tblMovimientos[[#This Row],[Cuenta Bancaria]]="","",_xlfn.XLOOKUP(tblMovimientos[[#This Row],[Cuenta Bancaria]],Cuentas!$C:$C,Cuentas!$A:$A,"No encontrado"))</f>
        <v>Carmen Cross / Estate</v>
      </c>
      <c r="R892" s="91" t="str">
        <f>TRIM(_xlfn.XLOOKUP(tblMovimientos[[#This Row],[Cuenta Bancaria]],Cuentas!$C:$C,Cuentas!$B:$B,""))</f>
        <v/>
      </c>
    </row>
    <row r="893" spans="1:18" x14ac:dyDescent="0.3">
      <c r="B893" s="39">
        <v>46266</v>
      </c>
      <c r="C893" s="46" t="str">
        <f>_xlfn.XLOOKUP(tblMovimientos[[#This Row],[Cuenta Bancaria]],Listas!$B:$B,Listas!$A:$A,"")</f>
        <v>Electrama</v>
      </c>
      <c r="D893" s="41" t="s">
        <v>113</v>
      </c>
      <c r="E893" s="4" t="str">
        <f>_xlfn.XLOOKUP(tblMovimientos[[#This Row],[Cuenta Bancaria]],Listas!$B:$B,Listas!$C:$C,"")</f>
        <v>Chase Bank</v>
      </c>
      <c r="F893" s="41" t="s">
        <v>10</v>
      </c>
      <c r="G893" s="41" t="s">
        <v>42</v>
      </c>
      <c r="H893" s="4" t="str">
        <f>IFERROR(_xlfn.XLOOKUP(G893,Listas!E:E,Listas!F:F,""),"")</f>
        <v>Operativo</v>
      </c>
      <c r="I893" s="81" t="str">
        <f>IFERROR(_xlfn.XLOOKUP(G893,Listas!E:E,Listas!G:G,""),"")</f>
        <v>Externo</v>
      </c>
      <c r="J893" s="43">
        <v>215.14</v>
      </c>
      <c r="K893" s="5">
        <f t="shared" si="9"/>
        <v>-215.14</v>
      </c>
      <c r="L893" s="15" t="s">
        <v>133</v>
      </c>
      <c r="M893" s="44">
        <f>SUMIFS('Saldos Iniciales'!$D:$D,'Saldos Iniciales'!$A:$A,C893,'Saldos Iniciales'!$B:$B,D893)+SUMIFS($K$1:$K$1325,$C$1:$C$1325,C893,$D$1:$D$1325,D893,$B$1:$B$1325,"&lt;="&amp;B893)</f>
        <v>13054.880000000001</v>
      </c>
      <c r="N893" s="65" t="str">
        <f>IF(tblMovimientos[[#This Row],[Tipo de Movimiento]]="Ingreso",tblMovimientos[[#This Row],[Monto (S/)]],"0")</f>
        <v>0</v>
      </c>
      <c r="O893" s="65">
        <f>IF(tblMovimientos[[#This Row],[Tipo de Movimiento]]="Egreso",tblMovimientos[[#This Row],[Monto (S/)]],"0")</f>
        <v>215.14</v>
      </c>
      <c r="P893" s="28">
        <f>IF(tblMovimientos[[#This Row],[Tipo de Movimiento]]="Ingreso",tblMovimientos[[#This Row],[Ingreso]],-tblMovimientos[[#This Row],[Egreso]])</f>
        <v>-215.14</v>
      </c>
      <c r="Q893" s="91" t="str">
        <f>IF(tblMovimientos[[#This Row],[Cuenta Bancaria]]="","",_xlfn.XLOOKUP(tblMovimientos[[#This Row],[Cuenta Bancaria]],Cuentas!$C:$C,Cuentas!$A:$A,"No encontrado"))</f>
        <v>SSP Group</v>
      </c>
      <c r="R893" s="91" t="str">
        <f>TRIM(_xlfn.XLOOKUP(tblMovimientos[[#This Row],[Cuenta Bancaria]],Cuentas!$C:$C,Cuentas!$B:$B,""))</f>
        <v/>
      </c>
    </row>
    <row r="894" spans="1:18" x14ac:dyDescent="0.3">
      <c r="B894" s="39">
        <v>46267</v>
      </c>
      <c r="C894" s="46" t="str">
        <f>_xlfn.XLOOKUP(tblMovimientos[[#This Row],[Cuenta Bancaria]],Listas!$B:$B,Listas!$A:$A,"")</f>
        <v>CFT Group</v>
      </c>
      <c r="D894" s="41" t="s">
        <v>94</v>
      </c>
      <c r="E894" s="4" t="str">
        <f>_xlfn.XLOOKUP(tblMovimientos[[#This Row],[Cuenta Bancaria]],Listas!$B:$B,Listas!$C:$C,"")</f>
        <v>Bank of America</v>
      </c>
      <c r="F894" s="41" t="s">
        <v>9</v>
      </c>
      <c r="G894" s="41" t="s">
        <v>68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10873.97</v>
      </c>
      <c r="K894" s="5">
        <f t="shared" si="9"/>
        <v>10873.97</v>
      </c>
      <c r="L894" s="15" t="s">
        <v>133</v>
      </c>
      <c r="M894" s="44">
        <f>SUMIFS('Saldos Iniciales'!$D:$D,'Saldos Iniciales'!$A:$A,C894,'Saldos Iniciales'!$B:$B,D894)+SUMIFS($K$1:$K$1325,$C$1:$C$1325,C894,$D$1:$D$1325,D894,$B$1:$B$1325,"&lt;="&amp;B894)</f>
        <v>445145.19999999995</v>
      </c>
      <c r="N894" s="65">
        <f>IF(tblMovimientos[[#This Row],[Tipo de Movimiento]]="Ingreso",tblMovimientos[[#This Row],[Monto (S/)]],"0")</f>
        <v>10873.97</v>
      </c>
      <c r="O894" s="65" t="str">
        <f>IF(tblMovimientos[[#This Row],[Tipo de Movimiento]]="Egreso",tblMovimientos[[#This Row],[Monto (S/)]],"0")</f>
        <v>0</v>
      </c>
      <c r="P894" s="28">
        <f>IF(tblMovimientos[[#This Row],[Tipo de Movimiento]]="Ingreso",tblMovimientos[[#This Row],[Ingreso]],-tblMovimientos[[#This Row],[Egreso]])</f>
        <v>10873.97</v>
      </c>
      <c r="Q894" s="91" t="str">
        <f>IF(tblMovimientos[[#This Row],[Cuenta Bancaria]]="","",_xlfn.XLOOKUP(tblMovimientos[[#This Row],[Cuenta Bancaria]],Cuentas!$C:$C,Cuentas!$A:$A,"No encontrado"))</f>
        <v>SSP Group</v>
      </c>
      <c r="R894" s="91" t="str">
        <f>TRIM(_xlfn.XLOOKUP(tblMovimientos[[#This Row],[Cuenta Bancaria]],Cuentas!$C:$C,Cuentas!$B:$B,""))</f>
        <v/>
      </c>
    </row>
    <row r="895" spans="1:18" x14ac:dyDescent="0.3">
      <c r="B895" s="39">
        <v>46267</v>
      </c>
      <c r="C895" s="46" t="str">
        <f>_xlfn.XLOOKUP(tblMovimientos[[#This Row],[Cuenta Bancaria]],Listas!$B:$B,Listas!$A:$A,"")</f>
        <v>3628 Thomas Ave</v>
      </c>
      <c r="D895" s="41" t="s">
        <v>124</v>
      </c>
      <c r="E895" s="4" t="str">
        <f>_xlfn.XLOOKUP(tblMovimientos[[#This Row],[Cuenta Bancaria]],Listas!$B:$B,Listas!$C:$C,"")</f>
        <v>Bank of America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100</v>
      </c>
      <c r="K895" s="5">
        <f t="shared" si="9"/>
        <v>-100</v>
      </c>
      <c r="L895" s="15" t="s">
        <v>133</v>
      </c>
      <c r="M895" s="44">
        <f>SUMIFS('Saldos Iniciales'!$D:$D,'Saldos Iniciales'!$A:$A,C895,'Saldos Iniciales'!$B:$B,D895)+SUMIFS($K$1:$K$1325,$C$1:$C$1325,C895,$D$1:$D$1325,D895,$B$1:$B$1325,"&lt;="&amp;B895)</f>
        <v>14162.999999999996</v>
      </c>
      <c r="N895" s="65" t="str">
        <f>IF(tblMovimientos[[#This Row],[Tipo de Movimiento]]="Ingreso",tblMovimientos[[#This Row],[Monto (S/)]],"0")</f>
        <v>0</v>
      </c>
      <c r="O895" s="65">
        <f>IF(tblMovimientos[[#This Row],[Tipo de Movimiento]]="Egreso",tblMovimientos[[#This Row],[Monto (S/)]],"0")</f>
        <v>100</v>
      </c>
      <c r="P895" s="28">
        <f>IF(tblMovimientos[[#This Row],[Tipo de Movimiento]]="Ingreso",tblMovimientos[[#This Row],[Ingreso]],-tblMovimientos[[#This Row],[Egreso]])</f>
        <v>-100</v>
      </c>
      <c r="Q895" s="91" t="str">
        <f>IF(tblMovimientos[[#This Row],[Cuenta Bancaria]]="","",_xlfn.XLOOKUP(tblMovimientos[[#This Row],[Cuenta Bancaria]],Cuentas!$C:$C,Cuentas!$A:$A,"No encontrado"))</f>
        <v>SSP Group</v>
      </c>
      <c r="R895" s="91" t="str">
        <f>TRIM(_xlfn.XLOOKUP(tblMovimientos[[#This Row],[Cuenta Bancaria]],Cuentas!$C:$C,Cuentas!$B:$B,""))</f>
        <v/>
      </c>
    </row>
    <row r="896" spans="1:18" x14ac:dyDescent="0.3">
      <c r="B896" s="39">
        <v>46267</v>
      </c>
      <c r="C896" s="46" t="str">
        <f>_xlfn.XLOOKUP(tblMovimientos[[#This Row],[Cuenta Bancaria]],Listas!$B:$B,Listas!$A:$A,"")</f>
        <v>3628 Thomas Ave</v>
      </c>
      <c r="D896" s="41" t="s">
        <v>124</v>
      </c>
      <c r="E896" s="4" t="str">
        <f>_xlfn.XLOOKUP(tblMovimientos[[#This Row],[Cuenta Bancaria]],Listas!$B:$B,Listas!$C:$C,"")</f>
        <v>Bank of America</v>
      </c>
      <c r="F896" s="41" t="s">
        <v>10</v>
      </c>
      <c r="G896" s="41" t="s">
        <v>38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300</v>
      </c>
      <c r="K896" s="5">
        <f t="shared" si="9"/>
        <v>-300</v>
      </c>
      <c r="L896" s="15" t="s">
        <v>133</v>
      </c>
      <c r="M896" s="44">
        <f>SUMIFS('Saldos Iniciales'!$D:$D,'Saldos Iniciales'!$A:$A,C896,'Saldos Iniciales'!$B:$B,D896)+SUMIFS($K$1:$K$1325,$C$1:$C$1325,C896,$D$1:$D$1325,D896,$B$1:$B$1325,"&lt;="&amp;B896)</f>
        <v>14162.999999999996</v>
      </c>
      <c r="N896" s="65" t="str">
        <f>IF(tblMovimientos[[#This Row],[Tipo de Movimiento]]="Ingreso",tblMovimientos[[#This Row],[Monto (S/)]],"0")</f>
        <v>0</v>
      </c>
      <c r="O896" s="65">
        <f>IF(tblMovimientos[[#This Row],[Tipo de Movimiento]]="Egreso",tblMovimientos[[#This Row],[Monto (S/)]],"0")</f>
        <v>300</v>
      </c>
      <c r="P896" s="28">
        <f>IF(tblMovimientos[[#This Row],[Tipo de Movimiento]]="Ingreso",tblMovimientos[[#This Row],[Ingreso]],-tblMovimientos[[#This Row],[Egreso]])</f>
        <v>-300</v>
      </c>
      <c r="Q896" s="91" t="str">
        <f>IF(tblMovimientos[[#This Row],[Cuenta Bancaria]]="","",_xlfn.XLOOKUP(tblMovimientos[[#This Row],[Cuenta Bancaria]],Cuentas!$C:$C,Cuentas!$A:$A,"No encontrado"))</f>
        <v>SSP Group</v>
      </c>
      <c r="R896" s="91" t="str">
        <f>TRIM(_xlfn.XLOOKUP(tblMovimientos[[#This Row],[Cuenta Bancaria]],Cuentas!$C:$C,Cuentas!$B:$B,""))</f>
        <v/>
      </c>
    </row>
    <row r="897" spans="2:18" x14ac:dyDescent="0.3">
      <c r="B897" s="39">
        <v>46267</v>
      </c>
      <c r="C897" s="46" t="str">
        <f>_xlfn.XLOOKUP(tblMovimientos[[#This Row],[Cuenta Bancaria]],Listas!$B:$B,Listas!$A:$A,"")</f>
        <v>3628 Thomas Ave</v>
      </c>
      <c r="D897" s="41" t="s">
        <v>124</v>
      </c>
      <c r="E897" s="4" t="str">
        <f>_xlfn.XLOOKUP(tblMovimientos[[#This Row],[Cuenta Bancaria]],Listas!$B:$B,Listas!$C:$C,"")</f>
        <v>Bank of America</v>
      </c>
      <c r="F897" s="41" t="s">
        <v>10</v>
      </c>
      <c r="G897" s="41" t="s">
        <v>38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400</v>
      </c>
      <c r="K897" s="5">
        <f t="shared" si="9"/>
        <v>-400</v>
      </c>
      <c r="L897" s="15" t="s">
        <v>133</v>
      </c>
      <c r="M897" s="44">
        <f>SUMIFS('Saldos Iniciales'!$D:$D,'Saldos Iniciales'!$A:$A,C897,'Saldos Iniciales'!$B:$B,D897)+SUMIFS($K$1:$K$1325,$C$1:$C$1325,C897,$D$1:$D$1325,D897,$B$1:$B$1325,"&lt;="&amp;B897)</f>
        <v>14162.999999999996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400</v>
      </c>
      <c r="P897" s="28">
        <f>IF(tblMovimientos[[#This Row],[Tipo de Movimiento]]="Ingreso",tblMovimientos[[#This Row],[Ingreso]],-tblMovimientos[[#This Row],[Egreso]])</f>
        <v>-400</v>
      </c>
      <c r="Q897" s="91" t="str">
        <f>IF(tblMovimientos[[#This Row],[Cuenta Bancaria]]="","",_xlfn.XLOOKUP(tblMovimientos[[#This Row],[Cuenta Bancaria]],Cuentas!$C:$C,Cuentas!$A:$A,"No encontrado"))</f>
        <v>SSP Group</v>
      </c>
      <c r="R897" s="91" t="str">
        <f>TRIM(_xlfn.XLOOKUP(tblMovimientos[[#This Row],[Cuenta Bancaria]],Cuentas!$C:$C,Cuentas!$B:$B,""))</f>
        <v/>
      </c>
    </row>
    <row r="898" spans="2:18" x14ac:dyDescent="0.3">
      <c r="B898" s="39">
        <v>46267</v>
      </c>
      <c r="C898" s="46" t="str">
        <f>_xlfn.XLOOKUP(tblMovimientos[[#This Row],[Cuenta Bancaria]],Listas!$B:$B,Listas!$A:$A,"")</f>
        <v>CFT Group</v>
      </c>
      <c r="D898" s="41" t="s">
        <v>95</v>
      </c>
      <c r="E898" s="4" t="str">
        <f>_xlfn.XLOOKUP(tblMovimientos[[#This Row],[Cuenta Bancaria]],Listas!$B:$B,Listas!$C:$C,"")</f>
        <v xml:space="preserve">Amerant Bank </v>
      </c>
      <c r="F898" s="41" t="s">
        <v>9</v>
      </c>
      <c r="G898" s="41" t="s">
        <v>73</v>
      </c>
      <c r="H898" s="4" t="str">
        <f>IFERROR(_xlfn.XLOOKUP(G898,Listas!E:E,Listas!F:F,""),"")</f>
        <v>Operativo</v>
      </c>
      <c r="I898" s="46" t="str">
        <f>IFERROR(_xlfn.XLOOKUP(G898,Listas!E:E,Listas!G:G,""),"")</f>
        <v>Interno</v>
      </c>
      <c r="J898" s="43">
        <v>699844.76</v>
      </c>
      <c r="K898" s="5">
        <f t="shared" si="9"/>
        <v>699844.76</v>
      </c>
      <c r="L898" s="15" t="s">
        <v>133</v>
      </c>
      <c r="M898" s="44">
        <f>SUMIFS('Saldos Iniciales'!$D:$D,'Saldos Iniciales'!$A:$A,C898,'Saldos Iniciales'!$B:$B,D898)+SUMIFS($K$1:$K$1325,$C$1:$C$1325,C898,$D$1:$D$1325,D898,$B$1:$B$1325,"&lt;="&amp;B898)</f>
        <v>1018013.6900000008</v>
      </c>
      <c r="N898" s="65">
        <f>IF(tblMovimientos[[#This Row],[Tipo de Movimiento]]="Ingreso",tblMovimientos[[#This Row],[Monto (S/)]],"0")</f>
        <v>699844.76</v>
      </c>
      <c r="O898" s="65" t="str">
        <f>IF(tblMovimientos[[#This Row],[Tipo de Movimiento]]="Egreso",tblMovimientos[[#This Row],[Monto (S/)]],"0")</f>
        <v>0</v>
      </c>
      <c r="P898" s="28">
        <f>IF(tblMovimientos[[#This Row],[Tipo de Movimiento]]="Ingreso",tblMovimientos[[#This Row],[Ingreso]],-tblMovimientos[[#This Row],[Egreso]])</f>
        <v>699844.76</v>
      </c>
      <c r="Q898" s="91" t="str">
        <f>IF(tblMovimientos[[#This Row],[Cuenta Bancaria]]="","",_xlfn.XLOOKUP(tblMovimientos[[#This Row],[Cuenta Bancaria]],Cuentas!$C:$C,Cuentas!$A:$A,"No encontrado"))</f>
        <v>SSP Group</v>
      </c>
      <c r="R898" s="91" t="str">
        <f>TRIM(_xlfn.XLOOKUP(tblMovimientos[[#This Row],[Cuenta Bancaria]],Cuentas!$C:$C,Cuentas!$B:$B,""))</f>
        <v/>
      </c>
    </row>
    <row r="899" spans="2:18" x14ac:dyDescent="0.3">
      <c r="B899" s="39">
        <v>46267</v>
      </c>
      <c r="C899" s="46" t="str">
        <f>_xlfn.XLOOKUP(tblMovimientos[[#This Row],[Cuenta Bancaria]],Listas!$B:$B,Listas!$A:$A,"")</f>
        <v>Cross Family Trust</v>
      </c>
      <c r="D899" s="41" t="s">
        <v>111</v>
      </c>
      <c r="E899" s="4" t="str">
        <f>_xlfn.XLOOKUP(tblMovimientos[[#This Row],[Cuenta Bancaria]],Listas!$B:$B,Listas!$C:$C,"")</f>
        <v xml:space="preserve">Amerant Bank </v>
      </c>
      <c r="F899" s="41" t="s">
        <v>9</v>
      </c>
      <c r="G899" s="41" t="s">
        <v>69</v>
      </c>
      <c r="H899" s="4" t="str">
        <f>IFERROR(_xlfn.XLOOKUP(G899,Listas!E:E,Listas!F:F,""),"")</f>
        <v>Operativo</v>
      </c>
      <c r="I899" s="46" t="str">
        <f>IFERROR(_xlfn.XLOOKUP(G899,Listas!E:E,Listas!G:G,""),"")</f>
        <v>Interno</v>
      </c>
      <c r="J899" s="43">
        <v>34281.760000000002</v>
      </c>
      <c r="K899" s="5">
        <f t="shared" si="9"/>
        <v>34281.760000000002</v>
      </c>
      <c r="L899" s="15" t="s">
        <v>133</v>
      </c>
      <c r="M899" s="44">
        <f>SUMIFS('Saldos Iniciales'!$D:$D,'Saldos Iniciales'!$A:$A,C899,'Saldos Iniciales'!$B:$B,D899)+SUMIFS($K$1:$K$1325,$C$1:$C$1325,C899,$D$1:$D$1325,D899,$B$1:$B$1325,"&lt;="&amp;B899)</f>
        <v>152999.36000000002</v>
      </c>
      <c r="N899" s="65">
        <f>IF(tblMovimientos[[#This Row],[Tipo de Movimiento]]="Ingreso",tblMovimientos[[#This Row],[Monto (S/)]],"0")</f>
        <v>34281.760000000002</v>
      </c>
      <c r="O899" s="65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34281.760000000002</v>
      </c>
      <c r="Q899" s="91" t="str">
        <f>IF(tblMovimientos[[#This Row],[Cuenta Bancaria]]="","",_xlfn.XLOOKUP(tblMovimientos[[#This Row],[Cuenta Bancaria]],Cuentas!$C:$C,Cuentas!$A:$A,"No encontrado"))</f>
        <v>Trust</v>
      </c>
      <c r="R899" s="91" t="str">
        <f>TRIM(_xlfn.XLOOKUP(tblMovimientos[[#This Row],[Cuenta Bancaria]],Cuentas!$C:$C,Cuentas!$B:$B,""))</f>
        <v/>
      </c>
    </row>
    <row r="900" spans="2:18" x14ac:dyDescent="0.3">
      <c r="B900" s="39">
        <v>46267</v>
      </c>
      <c r="C900" s="46" t="str">
        <f>_xlfn.XLOOKUP(tblMovimientos[[#This Row],[Cuenta Bancaria]],Listas!$B:$B,Listas!$A:$A,"")</f>
        <v>Go Blue</v>
      </c>
      <c r="D900" s="41" t="s">
        <v>126</v>
      </c>
      <c r="E900" s="4" t="str">
        <f>_xlfn.XLOOKUP(tblMovimientos[[#This Row],[Cuenta Bancaria]],Listas!$B:$B,Listas!$C:$C,"")</f>
        <v xml:space="preserve">Amerant Bank </v>
      </c>
      <c r="F900" s="41" t="s">
        <v>10</v>
      </c>
      <c r="G900" s="41" t="s">
        <v>38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55</v>
      </c>
      <c r="K900" s="5">
        <f t="shared" si="9"/>
        <v>-55</v>
      </c>
      <c r="L900" s="15" t="s">
        <v>133</v>
      </c>
      <c r="M900" s="44">
        <f>SUMIFS('Saldos Iniciales'!$D:$D,'Saldos Iniciales'!$A:$A,C900,'Saldos Iniciales'!$B:$B,D900)+SUMIFS($K$1:$K$1325,$C$1:$C$1325,C900,$D$1:$D$1325,D900,$B$1:$B$1325,"&lt;="&amp;B900)</f>
        <v>3797.7699999999986</v>
      </c>
      <c r="N900" s="65" t="str">
        <f>IF(tblMovimientos[[#This Row],[Tipo de Movimiento]]="Ingreso",tblMovimientos[[#This Row],[Monto (S/)]],"0")</f>
        <v>0</v>
      </c>
      <c r="O900" s="65">
        <f>IF(tblMovimientos[[#This Row],[Tipo de Movimiento]]="Egreso",tblMovimientos[[#This Row],[Monto (S/)]],"0")</f>
        <v>55</v>
      </c>
      <c r="P900" s="28">
        <f>IF(tblMovimientos[[#This Row],[Tipo de Movimiento]]="Ingreso",tblMovimientos[[#This Row],[Ingreso]],-tblMovimientos[[#This Row],[Egreso]])</f>
        <v>-55</v>
      </c>
      <c r="Q900" s="91" t="str">
        <f>IF(tblMovimientos[[#This Row],[Cuenta Bancaria]]="","",_xlfn.XLOOKUP(tblMovimientos[[#This Row],[Cuenta Bancaria]],Cuentas!$C:$C,Cuentas!$A:$A,"No encontrado"))</f>
        <v>SSP Group</v>
      </c>
      <c r="R900" s="91" t="str">
        <f>TRIM(_xlfn.XLOOKUP(tblMovimientos[[#This Row],[Cuenta Bancaria]],Cuentas!$C:$C,Cuentas!$B:$B,""))</f>
        <v/>
      </c>
    </row>
    <row r="901" spans="2:18" x14ac:dyDescent="0.3">
      <c r="B901" s="39">
        <v>46267</v>
      </c>
      <c r="C901" s="46" t="str">
        <f>_xlfn.XLOOKUP(tblMovimientos[[#This Row],[Cuenta Bancaria]],Listas!$B:$B,Listas!$A:$A,"")</f>
        <v>Go Blue</v>
      </c>
      <c r="D901" s="41" t="s">
        <v>126</v>
      </c>
      <c r="E901" s="4" t="str">
        <f>_xlfn.XLOOKUP(tblMovimientos[[#This Row],[Cuenta Bancaria]],Listas!$B:$B,Listas!$C:$C,"")</f>
        <v xml:space="preserve">Amerant Bank </v>
      </c>
      <c r="F901" s="41" t="s">
        <v>10</v>
      </c>
      <c r="G901" s="41" t="s">
        <v>38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324.05</v>
      </c>
      <c r="K901" s="5">
        <f t="shared" si="9"/>
        <v>-324.05</v>
      </c>
      <c r="L901" s="15" t="s">
        <v>133</v>
      </c>
      <c r="M901" s="44">
        <f>SUMIFS('Saldos Iniciales'!$D:$D,'Saldos Iniciales'!$A:$A,C901,'Saldos Iniciales'!$B:$B,D901)+SUMIFS($K$1:$K$1325,$C$1:$C$1325,C901,$D$1:$D$1325,D901,$B$1:$B$1325,"&lt;="&amp;B901)</f>
        <v>3797.7699999999986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324.05</v>
      </c>
      <c r="P901" s="28">
        <f>IF(tblMovimientos[[#This Row],[Tipo de Movimiento]]="Ingreso",tblMovimientos[[#This Row],[Ingreso]],-tblMovimientos[[#This Row],[Egreso]])</f>
        <v>-324.05</v>
      </c>
      <c r="Q901" s="91" t="str">
        <f>IF(tblMovimientos[[#This Row],[Cuenta Bancaria]]="","",_xlfn.XLOOKUP(tblMovimientos[[#This Row],[Cuenta Bancaria]],Cuentas!$C:$C,Cuentas!$A:$A,"No encontrado"))</f>
        <v>SSP Group</v>
      </c>
      <c r="R901" s="91" t="str">
        <f>TRIM(_xlfn.XLOOKUP(tblMovimientos[[#This Row],[Cuenta Bancaria]],Cuentas!$C:$C,Cuentas!$B:$B,""))</f>
        <v/>
      </c>
    </row>
    <row r="902" spans="2:18" x14ac:dyDescent="0.3">
      <c r="B902" s="39">
        <v>46267</v>
      </c>
      <c r="C902" s="46" t="str">
        <f>_xlfn.XLOOKUP(tblMovimientos[[#This Row],[Cuenta Bancaria]],Listas!$B:$B,Listas!$A:$A,"")</f>
        <v>Go Blue</v>
      </c>
      <c r="D902" s="41" t="s">
        <v>126</v>
      </c>
      <c r="E902" s="4" t="str">
        <f>_xlfn.XLOOKUP(tblMovimientos[[#This Row],[Cuenta Bancaria]],Listas!$B:$B,Listas!$C:$C,"")</f>
        <v xml:space="preserve">Amerant Bank 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3309.58</v>
      </c>
      <c r="K902" s="5">
        <f t="shared" si="9"/>
        <v>-3309.58</v>
      </c>
      <c r="L902" s="15" t="s">
        <v>133</v>
      </c>
      <c r="M902" s="44">
        <f>SUMIFS('Saldos Iniciales'!$D:$D,'Saldos Iniciales'!$A:$A,C902,'Saldos Iniciales'!$B:$B,D902)+SUMIFS($K$1:$K$1325,$C$1:$C$1325,C902,$D$1:$D$1325,D902,$B$1:$B$1325,"&lt;="&amp;B902)</f>
        <v>3797.7699999999986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3309.58</v>
      </c>
      <c r="P902" s="28">
        <f>IF(tblMovimientos[[#This Row],[Tipo de Movimiento]]="Ingreso",tblMovimientos[[#This Row],[Ingreso]],-tblMovimientos[[#This Row],[Egreso]])</f>
        <v>-3309.58</v>
      </c>
      <c r="Q902" s="91" t="str">
        <f>IF(tblMovimientos[[#This Row],[Cuenta Bancaria]]="","",_xlfn.XLOOKUP(tblMovimientos[[#This Row],[Cuenta Bancaria]],Cuentas!$C:$C,Cuentas!$A:$A,"No encontrado"))</f>
        <v>SSP Group</v>
      </c>
      <c r="R902" s="91" t="str">
        <f>TRIM(_xlfn.XLOOKUP(tblMovimientos[[#This Row],[Cuenta Bancaria]],Cuentas!$C:$C,Cuentas!$B:$B,""))</f>
        <v/>
      </c>
    </row>
    <row r="903" spans="2:18" x14ac:dyDescent="0.3">
      <c r="B903" s="39">
        <v>46267</v>
      </c>
      <c r="C903" s="46" t="str">
        <f>_xlfn.XLOOKUP(tblMovimientos[[#This Row],[Cuenta Bancaria]],Listas!$B:$B,Listas!$A:$A,"")</f>
        <v>Soweto</v>
      </c>
      <c r="D903" s="41" t="s">
        <v>116</v>
      </c>
      <c r="E903" s="4" t="str">
        <f>_xlfn.XLOOKUP(tblMovimientos[[#This Row],[Cuenta Bancaria]],Listas!$B:$B,Listas!$C:$C,"")</f>
        <v>Citibank</v>
      </c>
      <c r="F903" s="41" t="s">
        <v>10</v>
      </c>
      <c r="G903" s="41" t="s">
        <v>50</v>
      </c>
      <c r="H903" s="4" t="str">
        <f>IFERROR(_xlfn.XLOOKUP(G903,Listas!E:E,Listas!F:F,""),"")</f>
        <v>Financiamiento</v>
      </c>
      <c r="I903" s="46" t="str">
        <f>IFERROR(_xlfn.XLOOKUP(G903,Listas!E:E,Listas!G:G,""),"")</f>
        <v>Externo</v>
      </c>
      <c r="J903" s="43">
        <v>699844.76</v>
      </c>
      <c r="K903" s="5">
        <f t="shared" si="9"/>
        <v>-699844.76</v>
      </c>
      <c r="L903" s="15" t="s">
        <v>133</v>
      </c>
      <c r="M903" s="44">
        <f>SUMIFS('Saldos Iniciales'!$D:$D,'Saldos Iniciales'!$A:$A,C903,'Saldos Iniciales'!$B:$B,D903)+SUMIFS($K$1:$K$1325,$C$1:$C$1325,C903,$D$1:$D$1325,D903,$B$1:$B$1325,"&lt;="&amp;B903)</f>
        <v>17895.290000000015</v>
      </c>
      <c r="N903" s="65" t="str">
        <f>IF(tblMovimientos[[#This Row],[Tipo de Movimiento]]="Ingreso",tblMovimientos[[#This Row],[Monto (S/)]],"0")</f>
        <v>0</v>
      </c>
      <c r="O903" s="65">
        <f>IF(tblMovimientos[[#This Row],[Tipo de Movimiento]]="Egreso",tblMovimientos[[#This Row],[Monto (S/)]],"0")</f>
        <v>699844.76</v>
      </c>
      <c r="P903" s="28">
        <f>IF(tblMovimientos[[#This Row],[Tipo de Movimiento]]="Ingreso",tblMovimientos[[#This Row],[Ingreso]],-tblMovimientos[[#This Row],[Egreso]])</f>
        <v>-699844.76</v>
      </c>
      <c r="Q903" s="91" t="str">
        <f>IF(tblMovimientos[[#This Row],[Cuenta Bancaria]]="","",_xlfn.XLOOKUP(tblMovimientos[[#This Row],[Cuenta Bancaria]],Cuentas!$C:$C,Cuentas!$A:$A,"No encontrado"))</f>
        <v>SSP Group</v>
      </c>
      <c r="R903" s="91" t="str">
        <f>TRIM(_xlfn.XLOOKUP(tblMovimientos[[#This Row],[Cuenta Bancaria]],Cuentas!$C:$C,Cuentas!$B:$B,""))</f>
        <v/>
      </c>
    </row>
    <row r="904" spans="2:18" x14ac:dyDescent="0.3">
      <c r="B904" s="39">
        <v>46267</v>
      </c>
      <c r="C904" s="46" t="str">
        <f>_xlfn.XLOOKUP(tblMovimientos[[#This Row],[Cuenta Bancaria]],Listas!$B:$B,Listas!$A:$A,"")</f>
        <v>Soweto</v>
      </c>
      <c r="D904" s="41" t="s">
        <v>116</v>
      </c>
      <c r="E904" s="4" t="str">
        <f>_xlfn.XLOOKUP(tblMovimientos[[#This Row],[Cuenta Bancaria]],Listas!$B:$B,Listas!$C:$C,"")</f>
        <v>Citibank</v>
      </c>
      <c r="F904" s="41" t="s">
        <v>10</v>
      </c>
      <c r="G904" s="41" t="s">
        <v>46</v>
      </c>
      <c r="H904" s="4" t="str">
        <f>IFERROR(_xlfn.XLOOKUP(G904,Listas!E:E,Listas!F:F,""),"")</f>
        <v>Financiamiento</v>
      </c>
      <c r="I904" s="46" t="str">
        <f>IFERROR(_xlfn.XLOOKUP(G904,Listas!E:E,Listas!G:G,""),"")</f>
        <v>Externo</v>
      </c>
      <c r="J904" s="43">
        <v>34281.760000000002</v>
      </c>
      <c r="K904" s="5">
        <f t="shared" si="9"/>
        <v>-34281.760000000002</v>
      </c>
      <c r="L904" s="15" t="s">
        <v>133</v>
      </c>
      <c r="M904" s="44">
        <f>SUMIFS('Saldos Iniciales'!$D:$D,'Saldos Iniciales'!$A:$A,C904,'Saldos Iniciales'!$B:$B,D904)+SUMIFS($K$1:$K$1325,$C$1:$C$1325,C904,$D$1:$D$1325,D904,$B$1:$B$1325,"&lt;="&amp;B904)</f>
        <v>17895.290000000015</v>
      </c>
      <c r="N904" s="65" t="str">
        <f>IF(tblMovimientos[[#This Row],[Tipo de Movimiento]]="Ingreso",tblMovimientos[[#This Row],[Monto (S/)]],"0")</f>
        <v>0</v>
      </c>
      <c r="O904" s="65">
        <f>IF(tblMovimientos[[#This Row],[Tipo de Movimiento]]="Egreso",tblMovimientos[[#This Row],[Monto (S/)]],"0")</f>
        <v>34281.760000000002</v>
      </c>
      <c r="P904" s="28">
        <f>IF(tblMovimientos[[#This Row],[Tipo de Movimiento]]="Ingreso",tblMovimientos[[#This Row],[Ingreso]],-tblMovimientos[[#This Row],[Egreso]])</f>
        <v>-34281.760000000002</v>
      </c>
      <c r="Q904" s="91" t="str">
        <f>IF(tblMovimientos[[#This Row],[Cuenta Bancaria]]="","",_xlfn.XLOOKUP(tblMovimientos[[#This Row],[Cuenta Bancaria]],Cuentas!$C:$C,Cuentas!$A:$A,"No encontrado"))</f>
        <v>SSP Group</v>
      </c>
      <c r="R904" s="91" t="str">
        <f>TRIM(_xlfn.XLOOKUP(tblMovimientos[[#This Row],[Cuenta Bancaria]],Cuentas!$C:$C,Cuentas!$B:$B,""))</f>
        <v/>
      </c>
    </row>
    <row r="905" spans="2:18" x14ac:dyDescent="0.3">
      <c r="B905" s="39">
        <v>46267</v>
      </c>
      <c r="C905" s="46" t="str">
        <f>_xlfn.XLOOKUP(tblMovimientos[[#This Row],[Cuenta Bancaria]],Listas!$B:$B,Listas!$A:$A,"")</f>
        <v>Soweto</v>
      </c>
      <c r="D905" s="41" t="s">
        <v>116</v>
      </c>
      <c r="E905" s="4" t="str">
        <f>_xlfn.XLOOKUP(tblMovimientos[[#This Row],[Cuenta Bancaria]],Listas!$B:$B,Listas!$C:$C,"")</f>
        <v>Citibank</v>
      </c>
      <c r="F905" s="41" t="s">
        <v>10</v>
      </c>
      <c r="G905" s="41" t="s">
        <v>38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2292.91</v>
      </c>
      <c r="K905" s="5">
        <f t="shared" si="9"/>
        <v>-2292.91</v>
      </c>
      <c r="L905" s="15" t="s">
        <v>133</v>
      </c>
      <c r="M905" s="44">
        <f>SUMIFS('Saldos Iniciales'!$D:$D,'Saldos Iniciales'!$A:$A,C905,'Saldos Iniciales'!$B:$B,D905)+SUMIFS($K$1:$K$1325,$C$1:$C$1325,C905,$D$1:$D$1325,D905,$B$1:$B$1325,"&lt;="&amp;B905)</f>
        <v>17895.290000000015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2292.91</v>
      </c>
      <c r="P905" s="28">
        <f>IF(tblMovimientos[[#This Row],[Tipo de Movimiento]]="Ingreso",tblMovimientos[[#This Row],[Ingreso]],-tblMovimientos[[#This Row],[Egreso]])</f>
        <v>-2292.91</v>
      </c>
      <c r="Q905" s="91" t="str">
        <f>IF(tblMovimientos[[#This Row],[Cuenta Bancaria]]="","",_xlfn.XLOOKUP(tblMovimientos[[#This Row],[Cuenta Bancaria]],Cuentas!$C:$C,Cuentas!$A:$A,"No encontrado"))</f>
        <v>SSP Group</v>
      </c>
      <c r="R905" s="91" t="str">
        <f>TRIM(_xlfn.XLOOKUP(tblMovimientos[[#This Row],[Cuenta Bancaria]],Cuentas!$C:$C,Cuentas!$B:$B,""))</f>
        <v/>
      </c>
    </row>
    <row r="906" spans="2:18" x14ac:dyDescent="0.3">
      <c r="B906" s="39">
        <v>46267</v>
      </c>
      <c r="C906" s="46" t="str">
        <f>_xlfn.XLOOKUP(tblMovimientos[[#This Row],[Cuenta Bancaria]],Listas!$B:$B,Listas!$A:$A,"")</f>
        <v>Nobe Aparments</v>
      </c>
      <c r="D906" s="41" t="s">
        <v>191</v>
      </c>
      <c r="E906" s="80" t="str">
        <f>_xlfn.XLOOKUP(tblMovimientos[[#This Row],[Cuenta Bancaria]],Listas!$B:$B,Listas!$C:$C,"")</f>
        <v>Bank of America</v>
      </c>
      <c r="F906" s="41" t="s">
        <v>9</v>
      </c>
      <c r="G906" s="41" t="s">
        <v>81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2150</v>
      </c>
      <c r="K906" s="5">
        <f t="shared" si="9"/>
        <v>2150</v>
      </c>
      <c r="L906" s="15" t="s">
        <v>133</v>
      </c>
      <c r="M906" s="44">
        <f>SUMIFS('Saldos Iniciales'!$D:$D,'Saldos Iniciales'!$A:$A,C906,'Saldos Iniciales'!$B:$B,D906)+SUMIFS($K$1:$K$1325,$C$1:$C$1325,C906,$D$1:$D$1325,D906,$B$1:$B$1325,"&lt;="&amp;B906)</f>
        <v>210580.58</v>
      </c>
      <c r="N906" s="65">
        <f>IF(tblMovimientos[[#This Row],[Tipo de Movimiento]]="Ingreso",tblMovimientos[[#This Row],[Monto (S/)]],"0")</f>
        <v>2150</v>
      </c>
      <c r="O906" s="65" t="str">
        <f>IF(tblMovimientos[[#This Row],[Tipo de Movimiento]]="Egreso",tblMovimientos[[#This Row],[Monto (S/)]],"0")</f>
        <v>0</v>
      </c>
      <c r="P906" s="28">
        <f>IF(tblMovimientos[[#This Row],[Tipo de Movimiento]]="Ingreso",tblMovimientos[[#This Row],[Ingreso]],-tblMovimientos[[#This Row],[Egreso]])</f>
        <v>2150</v>
      </c>
      <c r="Q906" s="91" t="str">
        <f>IF(tblMovimientos[[#This Row],[Cuenta Bancaria]]="","",_xlfn.XLOOKUP(tblMovimientos[[#This Row],[Cuenta Bancaria]],Cuentas!$C:$C,Cuentas!$A:$A,"No encontrado"))</f>
        <v>Carmen Cross / Estate</v>
      </c>
      <c r="R906" s="91" t="str">
        <f>TRIM(_xlfn.XLOOKUP(tblMovimientos[[#This Row],[Cuenta Bancaria]],Cuentas!$C:$C,Cuentas!$B:$B,""))</f>
        <v/>
      </c>
    </row>
    <row r="907" spans="2:18" x14ac:dyDescent="0.3">
      <c r="B907" s="39">
        <v>46267</v>
      </c>
      <c r="C907" s="46" t="str">
        <f>_xlfn.XLOOKUP(tblMovimientos[[#This Row],[Cuenta Bancaria]],Listas!$B:$B,Listas!$A:$A,"")</f>
        <v>Nobe Aparments</v>
      </c>
      <c r="D907" s="41" t="s">
        <v>191</v>
      </c>
      <c r="E907" s="80" t="str">
        <f>_xlfn.XLOOKUP(tblMovimientos[[#This Row],[Cuenta Bancaria]],Listas!$B:$B,Listas!$C:$C,"")</f>
        <v>Bank of America</v>
      </c>
      <c r="F907" s="41" t="s">
        <v>10</v>
      </c>
      <c r="G907" s="41" t="s">
        <v>65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1700</v>
      </c>
      <c r="K907" s="5">
        <f t="shared" si="9"/>
        <v>-1700</v>
      </c>
      <c r="L907" s="15" t="s">
        <v>133</v>
      </c>
      <c r="M907" s="44">
        <f>SUMIFS('Saldos Iniciales'!$D:$D,'Saldos Iniciales'!$A:$A,C907,'Saldos Iniciales'!$B:$B,D907)+SUMIFS($K$1:$K$1325,$C$1:$C$1325,C907,$D$1:$D$1325,D907,$B$1:$B$1325,"&lt;="&amp;B907)</f>
        <v>210580.58</v>
      </c>
      <c r="N907" s="65" t="str">
        <f>IF(tblMovimientos[[#This Row],[Tipo de Movimiento]]="Ingreso",tblMovimientos[[#This Row],[Monto (S/)]],"0")</f>
        <v>0</v>
      </c>
      <c r="O907" s="65">
        <f>IF(tblMovimientos[[#This Row],[Tipo de Movimiento]]="Egreso",tblMovimientos[[#This Row],[Monto (S/)]],"0")</f>
        <v>1700</v>
      </c>
      <c r="P907" s="28">
        <f>IF(tblMovimientos[[#This Row],[Tipo de Movimiento]]="Ingreso",tblMovimientos[[#This Row],[Ingreso]],-tblMovimientos[[#This Row],[Egreso]])</f>
        <v>-1700</v>
      </c>
      <c r="Q907" s="91" t="str">
        <f>IF(tblMovimientos[[#This Row],[Cuenta Bancaria]]="","",_xlfn.XLOOKUP(tblMovimientos[[#This Row],[Cuenta Bancaria]],Cuentas!$C:$C,Cuentas!$A:$A,"No encontrado"))</f>
        <v>Carmen Cross / Estate</v>
      </c>
      <c r="R907" s="91" t="str">
        <f>TRIM(_xlfn.XLOOKUP(tblMovimientos[[#This Row],[Cuenta Bancaria]],Cuentas!$C:$C,Cuentas!$B:$B,""))</f>
        <v/>
      </c>
    </row>
    <row r="908" spans="2:18" x14ac:dyDescent="0.3">
      <c r="B908" s="39">
        <v>46267</v>
      </c>
      <c r="C908" s="46" t="str">
        <f>_xlfn.XLOOKUP(tblMovimientos[[#This Row],[Cuenta Bancaria]],Listas!$B:$B,Listas!$A:$A,"")</f>
        <v>Nobe Aparments</v>
      </c>
      <c r="D908" s="41" t="s">
        <v>191</v>
      </c>
      <c r="E908" s="80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118.63</v>
      </c>
      <c r="K908" s="5">
        <f t="shared" si="9"/>
        <v>-118.63</v>
      </c>
      <c r="L908" s="15" t="s">
        <v>133</v>
      </c>
      <c r="M908" s="44">
        <f>SUMIFS('Saldos Iniciales'!$D:$D,'Saldos Iniciales'!$A:$A,C908,'Saldos Iniciales'!$B:$B,D908)+SUMIFS($K$1:$K$1325,$C$1:$C$1325,C908,$D$1:$D$1325,D908,$B$1:$B$1325,"&lt;="&amp;B908)</f>
        <v>210580.58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118.63</v>
      </c>
      <c r="P908" s="28">
        <f>IF(tblMovimientos[[#This Row],[Tipo de Movimiento]]="Ingreso",tblMovimientos[[#This Row],[Ingreso]],-tblMovimientos[[#This Row],[Egreso]])</f>
        <v>-118.63</v>
      </c>
      <c r="Q908" s="91" t="str">
        <f>IF(tblMovimientos[[#This Row],[Cuenta Bancaria]]="","",_xlfn.XLOOKUP(tblMovimientos[[#This Row],[Cuenta Bancaria]],Cuentas!$C:$C,Cuentas!$A:$A,"No encontrado"))</f>
        <v>Carmen Cross / Estate</v>
      </c>
      <c r="R908" s="91" t="str">
        <f>TRIM(_xlfn.XLOOKUP(tblMovimientos[[#This Row],[Cuenta Bancaria]],Cuentas!$C:$C,Cuentas!$B:$B,""))</f>
        <v/>
      </c>
    </row>
    <row r="909" spans="2:18" x14ac:dyDescent="0.3">
      <c r="B909" s="39">
        <v>46267</v>
      </c>
      <c r="C909" s="46" t="str">
        <f>_xlfn.XLOOKUP(tblMovimientos[[#This Row],[Cuenta Bancaria]],Listas!$B:$B,Listas!$A:$A,"")</f>
        <v>Soweto</v>
      </c>
      <c r="D909" s="41" t="s">
        <v>116</v>
      </c>
      <c r="E909" s="80" t="str">
        <f>_xlfn.XLOOKUP(tblMovimientos[[#This Row],[Cuenta Bancaria]],Listas!$B:$B,Listas!$C:$C,"")</f>
        <v>Citibank</v>
      </c>
      <c r="F909" s="41" t="s">
        <v>10</v>
      </c>
      <c r="G909" s="41" t="s">
        <v>44</v>
      </c>
      <c r="H909" s="4" t="str">
        <f>IFERROR(_xlfn.XLOOKUP(G909,Listas!E:E,Listas!F:F,""),"")</f>
        <v>Operativo</v>
      </c>
      <c r="I909" s="81" t="str">
        <f>IFERROR(_xlfn.XLOOKUP(G909,Listas!E:E,Listas!G:G,""),"")</f>
        <v>Externo</v>
      </c>
      <c r="J909" s="43">
        <v>55</v>
      </c>
      <c r="K909" s="5">
        <f t="shared" si="9"/>
        <v>-55</v>
      </c>
      <c r="L909" s="15" t="s">
        <v>133</v>
      </c>
      <c r="M909" s="44">
        <f>SUMIFS('Saldos Iniciales'!$D:$D,'Saldos Iniciales'!$A:$A,C909,'Saldos Iniciales'!$B:$B,D909)+SUMIFS($K$1:$K$1325,$C$1:$C$1325,C909,$D$1:$D$1325,D909,$B$1:$B$1325,"&lt;="&amp;B909)</f>
        <v>17895.290000000015</v>
      </c>
      <c r="N909" s="65" t="str">
        <f>IF(tblMovimientos[[#This Row],[Tipo de Movimiento]]="Ingreso",tblMovimientos[[#This Row],[Monto (S/)]],"0")</f>
        <v>0</v>
      </c>
      <c r="O909" s="65">
        <f>IF(tblMovimientos[[#This Row],[Tipo de Movimiento]]="Egreso",tblMovimientos[[#This Row],[Monto (S/)]],"0")</f>
        <v>55</v>
      </c>
      <c r="P909" s="28">
        <f>IF(tblMovimientos[[#This Row],[Tipo de Movimiento]]="Ingreso",tblMovimientos[[#This Row],[Ingreso]],-tblMovimientos[[#This Row],[Egreso]])</f>
        <v>-55</v>
      </c>
      <c r="Q909" s="91" t="str">
        <f>IF(tblMovimientos[[#This Row],[Cuenta Bancaria]]="","",_xlfn.XLOOKUP(tblMovimientos[[#This Row],[Cuenta Bancaria]],Cuentas!$C:$C,Cuentas!$A:$A,"No encontrado"))</f>
        <v>SSP Group</v>
      </c>
      <c r="R909" s="91" t="str">
        <f>TRIM(_xlfn.XLOOKUP(tblMovimientos[[#This Row],[Cuenta Bancaria]],Cuentas!$C:$C,Cuentas!$B:$B,""))</f>
        <v/>
      </c>
    </row>
    <row r="910" spans="2:18" x14ac:dyDescent="0.3">
      <c r="B910" s="39">
        <v>46267</v>
      </c>
      <c r="C910" s="46" t="str">
        <f>_xlfn.XLOOKUP(tblMovimientos[[#This Row],[Cuenta Bancaria]],Listas!$B:$B,Listas!$A:$A,"")</f>
        <v>Soweto</v>
      </c>
      <c r="D910" s="41" t="s">
        <v>116</v>
      </c>
      <c r="E910" s="80" t="str">
        <f>_xlfn.XLOOKUP(tblMovimientos[[#This Row],[Cuenta Bancaria]],Listas!$B:$B,Listas!$C:$C,"")</f>
        <v>Citibank</v>
      </c>
      <c r="F910" s="41" t="s">
        <v>10</v>
      </c>
      <c r="G910" s="41" t="s">
        <v>44</v>
      </c>
      <c r="H910" s="4" t="str">
        <f>IFERROR(_xlfn.XLOOKUP(G910,Listas!E:E,Listas!F:F,""),"")</f>
        <v>Operativo</v>
      </c>
      <c r="I910" s="81" t="str">
        <f>IFERROR(_xlfn.XLOOKUP(G910,Listas!E:E,Listas!G:G,""),"")</f>
        <v>Externo</v>
      </c>
      <c r="J910" s="43">
        <v>55</v>
      </c>
      <c r="K910" s="5">
        <f t="shared" si="9"/>
        <v>-55</v>
      </c>
      <c r="L910" s="15" t="s">
        <v>133</v>
      </c>
      <c r="M910" s="44">
        <f>SUMIFS('Saldos Iniciales'!$D:$D,'Saldos Iniciales'!$A:$A,C910,'Saldos Iniciales'!$B:$B,D910)+SUMIFS($K$1:$K$1325,$C$1:$C$1325,C910,$D$1:$D$1325,D910,$B$1:$B$1325,"&lt;="&amp;B910)</f>
        <v>17895.290000000015</v>
      </c>
      <c r="N910" s="65" t="str">
        <f>IF(tblMovimientos[[#This Row],[Tipo de Movimiento]]="Ingreso",tblMovimientos[[#This Row],[Monto (S/)]],"0")</f>
        <v>0</v>
      </c>
      <c r="O910" s="65">
        <f>IF(tblMovimientos[[#This Row],[Tipo de Movimiento]]="Egreso",tblMovimientos[[#This Row],[Monto (S/)]],"0")</f>
        <v>55</v>
      </c>
      <c r="P910" s="28">
        <f>IF(tblMovimientos[[#This Row],[Tipo de Movimiento]]="Ingreso",tblMovimientos[[#This Row],[Ingreso]],-tblMovimientos[[#This Row],[Egreso]])</f>
        <v>-55</v>
      </c>
      <c r="Q910" s="91" t="str">
        <f>IF(tblMovimientos[[#This Row],[Cuenta Bancaria]]="","",_xlfn.XLOOKUP(tblMovimientos[[#This Row],[Cuenta Bancaria]],Cuentas!$C:$C,Cuentas!$A:$A,"No encontrado"))</f>
        <v>SSP Group</v>
      </c>
      <c r="R910" s="91" t="str">
        <f>TRIM(_xlfn.XLOOKUP(tblMovimientos[[#This Row],[Cuenta Bancaria]],Cuentas!$C:$C,Cuentas!$B:$B,""))</f>
        <v/>
      </c>
    </row>
    <row r="911" spans="2:18" x14ac:dyDescent="0.3">
      <c r="B911" s="39">
        <v>46268</v>
      </c>
      <c r="C911" s="46" t="str">
        <f>_xlfn.XLOOKUP(tblMovimientos[[#This Row],[Cuenta Bancaria]],Listas!$B:$B,Listas!$A:$A,"")</f>
        <v>SSP Capital</v>
      </c>
      <c r="D911" s="41" t="s">
        <v>101</v>
      </c>
      <c r="E911" s="4" t="str">
        <f>_xlfn.XLOOKUP(tblMovimientos[[#This Row],[Cuenta Bancaria]],Listas!$B:$B,Listas!$C:$C,"")</f>
        <v>Bank of America</v>
      </c>
      <c r="F911" s="41" t="s">
        <v>9</v>
      </c>
      <c r="G911" s="41" t="s">
        <v>73</v>
      </c>
      <c r="H911" s="4" t="str">
        <f>IFERROR(_xlfn.XLOOKUP(G911,Listas!E:E,Listas!F:F,""),"")</f>
        <v>Operativo</v>
      </c>
      <c r="I911" s="46" t="str">
        <f>IFERROR(_xlfn.XLOOKUP(G911,Listas!E:E,Listas!G:G,""),"")</f>
        <v>Interno</v>
      </c>
      <c r="J911" s="43">
        <v>15266.29</v>
      </c>
      <c r="K911" s="5">
        <f t="shared" si="9"/>
        <v>15266.29</v>
      </c>
      <c r="L911" s="15" t="s">
        <v>133</v>
      </c>
      <c r="M911" s="44">
        <f>SUMIFS('Saldos Iniciales'!$D:$D,'Saldos Iniciales'!$A:$A,C911,'Saldos Iniciales'!$B:$B,D911)+SUMIFS($K$1:$K$1325,$C$1:$C$1325,C911,$D$1:$D$1325,D911,$B$1:$B$1325,"&lt;="&amp;B911)</f>
        <v>40481.18</v>
      </c>
      <c r="N911" s="65">
        <f>IF(tblMovimientos[[#This Row],[Tipo de Movimiento]]="Ingreso",tblMovimientos[[#This Row],[Monto (S/)]],"0")</f>
        <v>15266.29</v>
      </c>
      <c r="O911" s="65" t="str">
        <f>IF(tblMovimientos[[#This Row],[Tipo de Movimiento]]="Egreso",tblMovimientos[[#This Row],[Monto (S/)]],"0")</f>
        <v>0</v>
      </c>
      <c r="P911" s="28">
        <f>IF(tblMovimientos[[#This Row],[Tipo de Movimiento]]="Ingreso",tblMovimientos[[#This Row],[Ingreso]],-tblMovimientos[[#This Row],[Egreso]])</f>
        <v>15266.29</v>
      </c>
      <c r="Q911" s="91" t="str">
        <f>IF(tblMovimientos[[#This Row],[Cuenta Bancaria]]="","",_xlfn.XLOOKUP(tblMovimientos[[#This Row],[Cuenta Bancaria]],Cuentas!$C:$C,Cuentas!$A:$A,"No encontrado"))</f>
        <v>SSP Group</v>
      </c>
      <c r="R911" s="91" t="str">
        <f>TRIM(_xlfn.XLOOKUP(tblMovimientos[[#This Row],[Cuenta Bancaria]],Cuentas!$C:$C,Cuentas!$B:$B,""))</f>
        <v/>
      </c>
    </row>
    <row r="912" spans="2:18" x14ac:dyDescent="0.3">
      <c r="B912" s="39">
        <v>46268</v>
      </c>
      <c r="C912" s="46" t="str">
        <f>_xlfn.XLOOKUP(tblMovimientos[[#This Row],[Cuenta Bancaria]],Listas!$B:$B,Listas!$A:$A,"")</f>
        <v>A&amp;M Imports</v>
      </c>
      <c r="D912" s="41" t="s">
        <v>100</v>
      </c>
      <c r="E912" s="4" t="str">
        <f>_xlfn.XLOOKUP(tblMovimientos[[#This Row],[Cuenta Bancaria]],Listas!$B:$B,Listas!$C:$C,"")</f>
        <v>Bank of America</v>
      </c>
      <c r="F912" s="41" t="s">
        <v>10</v>
      </c>
      <c r="G912" s="41" t="s">
        <v>61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60000</v>
      </c>
      <c r="K912" s="5">
        <f t="shared" si="9"/>
        <v>-60000</v>
      </c>
      <c r="L912" s="15" t="s">
        <v>133</v>
      </c>
      <c r="M912" s="44">
        <f>SUMIFS('Saldos Iniciales'!$D:$D,'Saldos Iniciales'!$A:$A,C912,'Saldos Iniciales'!$B:$B,D912)+SUMIFS($K$1:$K$1325,$C$1:$C$1325,C912,$D$1:$D$1325,D912,$B$1:$B$1325,"&lt;="&amp;B912)</f>
        <v>1250938</v>
      </c>
      <c r="N912" s="65" t="str">
        <f>IF(tblMovimientos[[#This Row],[Tipo de Movimiento]]="Ingreso",tblMovimientos[[#This Row],[Monto (S/)]],"0")</f>
        <v>0</v>
      </c>
      <c r="O912" s="65">
        <f>IF(tblMovimientos[[#This Row],[Tipo de Movimiento]]="Egreso",tblMovimientos[[#This Row],[Monto (S/)]],"0")</f>
        <v>60000</v>
      </c>
      <c r="P912" s="28">
        <f>IF(tblMovimientos[[#This Row],[Tipo de Movimiento]]="Ingreso",tblMovimientos[[#This Row],[Ingreso]],-tblMovimientos[[#This Row],[Egreso]])</f>
        <v>-60000</v>
      </c>
      <c r="Q912" s="91" t="str">
        <f>IF(tblMovimientos[[#This Row],[Cuenta Bancaria]]="","",_xlfn.XLOOKUP(tblMovimientos[[#This Row],[Cuenta Bancaria]],Cuentas!$C:$C,Cuentas!$A:$A,"No encontrado"))</f>
        <v>SSP Group</v>
      </c>
      <c r="R912" s="91" t="str">
        <f>TRIM(_xlfn.XLOOKUP(tblMovimientos[[#This Row],[Cuenta Bancaria]],Cuentas!$C:$C,Cuentas!$B:$B,""))</f>
        <v>Cross Security Trust</v>
      </c>
    </row>
    <row r="913" spans="1:18" x14ac:dyDescent="0.3">
      <c r="B913" s="39">
        <v>46268</v>
      </c>
      <c r="C913" s="46" t="str">
        <f>_xlfn.XLOOKUP(tblMovimientos[[#This Row],[Cuenta Bancaria]],Listas!$B:$B,Listas!$A:$A,"")</f>
        <v>A&amp;M Imports</v>
      </c>
      <c r="D913" s="41" t="s">
        <v>100</v>
      </c>
      <c r="E913" s="4" t="str">
        <f>_xlfn.XLOOKUP(tblMovimientos[[#This Row],[Cuenta Bancaria]],Listas!$B:$B,Listas!$C:$C,"")</f>
        <v>Bank of America</v>
      </c>
      <c r="F913" s="41" t="s">
        <v>10</v>
      </c>
      <c r="G913" s="41" t="s">
        <v>61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60000</v>
      </c>
      <c r="K913" s="5">
        <f t="shared" si="9"/>
        <v>-60000</v>
      </c>
      <c r="L913" s="15" t="s">
        <v>133</v>
      </c>
      <c r="M913" s="44">
        <f>SUMIFS('Saldos Iniciales'!$D:$D,'Saldos Iniciales'!$A:$A,C913,'Saldos Iniciales'!$B:$B,D913)+SUMIFS($K$1:$K$1325,$C$1:$C$1325,C913,$D$1:$D$1325,D913,$B$1:$B$1325,"&lt;="&amp;B913)</f>
        <v>1250938</v>
      </c>
      <c r="N913" s="65" t="str">
        <f>IF(tblMovimientos[[#This Row],[Tipo de Movimiento]]="Ingreso",tblMovimientos[[#This Row],[Monto (S/)]],"0")</f>
        <v>0</v>
      </c>
      <c r="O913" s="65">
        <f>IF(tblMovimientos[[#This Row],[Tipo de Movimiento]]="Egreso",tblMovimientos[[#This Row],[Monto (S/)]],"0")</f>
        <v>60000</v>
      </c>
      <c r="P913" s="28">
        <f>IF(tblMovimientos[[#This Row],[Tipo de Movimiento]]="Ingreso",tblMovimientos[[#This Row],[Ingreso]],-tblMovimientos[[#This Row],[Egreso]])</f>
        <v>-60000</v>
      </c>
      <c r="Q913" s="91" t="str">
        <f>IF(tblMovimientos[[#This Row],[Cuenta Bancaria]]="","",_xlfn.XLOOKUP(tblMovimientos[[#This Row],[Cuenta Bancaria]],Cuentas!$C:$C,Cuentas!$A:$A,"No encontrado"))</f>
        <v>SSP Group</v>
      </c>
      <c r="R913" s="91" t="str">
        <f>TRIM(_xlfn.XLOOKUP(tblMovimientos[[#This Row],[Cuenta Bancaria]],Cuentas!$C:$C,Cuentas!$B:$B,""))</f>
        <v>Cross Security Trust</v>
      </c>
    </row>
    <row r="914" spans="1:18" x14ac:dyDescent="0.3">
      <c r="B914" s="39">
        <v>46268</v>
      </c>
      <c r="C914" s="46" t="str">
        <f>_xlfn.XLOOKUP(tblMovimientos[[#This Row],[Cuenta Bancaria]],Listas!$B:$B,Listas!$A:$A,"")</f>
        <v>A&amp;M Imports</v>
      </c>
      <c r="D914" s="41" t="s">
        <v>100</v>
      </c>
      <c r="E914" s="4" t="str">
        <f>_xlfn.XLOOKUP(tblMovimientos[[#This Row],[Cuenta Bancaria]],Listas!$B:$B,Listas!$C:$C,"")</f>
        <v>Bank of America</v>
      </c>
      <c r="F914" s="41" t="s">
        <v>10</v>
      </c>
      <c r="G914" s="41" t="s">
        <v>48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15266.29</v>
      </c>
      <c r="K914" s="5">
        <f t="shared" si="9"/>
        <v>-15266.29</v>
      </c>
      <c r="L914" s="15" t="s">
        <v>133</v>
      </c>
      <c r="M914" s="44">
        <f>SUMIFS('Saldos Iniciales'!$D:$D,'Saldos Iniciales'!$A:$A,C914,'Saldos Iniciales'!$B:$B,D914)+SUMIFS($K$1:$K$1325,$C$1:$C$1325,C914,$D$1:$D$1325,D914,$B$1:$B$1325,"&lt;="&amp;B914)</f>
        <v>1250938</v>
      </c>
      <c r="N914" s="65" t="str">
        <f>IF(tblMovimientos[[#This Row],[Tipo de Movimiento]]="Ingreso",tblMovimientos[[#This Row],[Monto (S/)]],"0")</f>
        <v>0</v>
      </c>
      <c r="O914" s="65">
        <f>IF(tblMovimientos[[#This Row],[Tipo de Movimiento]]="Egreso",tblMovimientos[[#This Row],[Monto (S/)]],"0")</f>
        <v>15266.29</v>
      </c>
      <c r="P914" s="28">
        <f>IF(tblMovimientos[[#This Row],[Tipo de Movimiento]]="Ingreso",tblMovimientos[[#This Row],[Ingreso]],-tblMovimientos[[#This Row],[Egreso]])</f>
        <v>-15266.29</v>
      </c>
      <c r="Q914" s="91" t="str">
        <f>IF(tblMovimientos[[#This Row],[Cuenta Bancaria]]="","",_xlfn.XLOOKUP(tblMovimientos[[#This Row],[Cuenta Bancaria]],Cuentas!$C:$C,Cuentas!$A:$A,"No encontrado"))</f>
        <v>SSP Group</v>
      </c>
      <c r="R914" s="91" t="str">
        <f>TRIM(_xlfn.XLOOKUP(tblMovimientos[[#This Row],[Cuenta Bancaria]],Cuentas!$C:$C,Cuentas!$B:$B,""))</f>
        <v>Cross Security Trust</v>
      </c>
    </row>
    <row r="915" spans="1:18" x14ac:dyDescent="0.3">
      <c r="B915" s="39">
        <v>46268</v>
      </c>
      <c r="C915" s="46" t="str">
        <f>_xlfn.XLOOKUP(tblMovimientos[[#This Row],[Cuenta Bancaria]],Listas!$B:$B,Listas!$A:$A,"")</f>
        <v>A&amp;M Imports</v>
      </c>
      <c r="D915" s="41" t="s">
        <v>100</v>
      </c>
      <c r="E915" s="4" t="str">
        <f>_xlfn.XLOOKUP(tblMovimientos[[#This Row],[Cuenta Bancaria]],Listas!$B:$B,Listas!$C:$C,"")</f>
        <v>Bank of America</v>
      </c>
      <c r="F915" s="41" t="s">
        <v>10</v>
      </c>
      <c r="G915" s="41" t="s">
        <v>51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33693.949999999997</v>
      </c>
      <c r="K915" s="5">
        <f t="shared" si="9"/>
        <v>-33693.949999999997</v>
      </c>
      <c r="L915" s="15" t="s">
        <v>133</v>
      </c>
      <c r="M915" s="44">
        <f>SUMIFS('Saldos Iniciales'!$D:$D,'Saldos Iniciales'!$A:$A,C915,'Saldos Iniciales'!$B:$B,D915)+SUMIFS($K$1:$K$1325,$C$1:$C$1325,C915,$D$1:$D$1325,D915,$B$1:$B$1325,"&lt;="&amp;B915)</f>
        <v>1250938</v>
      </c>
      <c r="N915" s="65" t="str">
        <f>IF(tblMovimientos[[#This Row],[Tipo de Movimiento]]="Ingreso",tblMovimientos[[#This Row],[Monto (S/)]],"0")</f>
        <v>0</v>
      </c>
      <c r="O915" s="65">
        <f>IF(tblMovimientos[[#This Row],[Tipo de Movimiento]]="Egreso",tblMovimientos[[#This Row],[Monto (S/)]],"0")</f>
        <v>33693.949999999997</v>
      </c>
      <c r="P915" s="28">
        <f>IF(tblMovimientos[[#This Row],[Tipo de Movimiento]]="Ingreso",tblMovimientos[[#This Row],[Ingreso]],-tblMovimientos[[#This Row],[Egreso]])</f>
        <v>-33693.949999999997</v>
      </c>
      <c r="Q915" s="91" t="str">
        <f>IF(tblMovimientos[[#This Row],[Cuenta Bancaria]]="","",_xlfn.XLOOKUP(tblMovimientos[[#This Row],[Cuenta Bancaria]],Cuentas!$C:$C,Cuentas!$A:$A,"No encontrado"))</f>
        <v>SSP Group</v>
      </c>
      <c r="R915" s="91" t="str">
        <f>TRIM(_xlfn.XLOOKUP(tblMovimientos[[#This Row],[Cuenta Bancaria]],Cuentas!$C:$C,Cuentas!$B:$B,""))</f>
        <v>Cross Security Trust</v>
      </c>
    </row>
    <row r="916" spans="1:18" x14ac:dyDescent="0.3">
      <c r="B916" s="39">
        <v>46268</v>
      </c>
      <c r="C916" s="46" t="str">
        <f>_xlfn.XLOOKUP(tblMovimientos[[#This Row],[Cuenta Bancaria]],Listas!$B:$B,Listas!$A:$A,"")</f>
        <v>CFT Group</v>
      </c>
      <c r="D916" s="41" t="s">
        <v>94</v>
      </c>
      <c r="E916" s="4" t="str">
        <f>_xlfn.XLOOKUP(tblMovimientos[[#This Row],[Cuenta Bancaria]],Listas!$B:$B,Listas!$C:$C,"")</f>
        <v>Bank of America</v>
      </c>
      <c r="F916" s="41" t="s">
        <v>10</v>
      </c>
      <c r="G916" s="41" t="s">
        <v>64</v>
      </c>
      <c r="H916" s="4" t="str">
        <f>IFERROR(_xlfn.XLOOKUP(G916,Listas!E:E,Listas!F:F,""),"")</f>
        <v>Operativo</v>
      </c>
      <c r="I916" s="46" t="str">
        <f>IFERROR(_xlfn.XLOOKUP(G916,Listas!E:E,Listas!G:G,""),"")</f>
        <v>Interno</v>
      </c>
      <c r="J916" s="43">
        <v>400000</v>
      </c>
      <c r="K916" s="5">
        <f t="shared" si="9"/>
        <v>-400000</v>
      </c>
      <c r="L916" s="15" t="s">
        <v>133</v>
      </c>
      <c r="M916" s="44">
        <f>SUMIFS('Saldos Iniciales'!$D:$D,'Saldos Iniciales'!$A:$A,C916,'Saldos Iniciales'!$B:$B,D916)+SUMIFS($K$1:$K$1325,$C$1:$C$1325,C916,$D$1:$D$1325,D916,$B$1:$B$1325,"&lt;="&amp;B916)</f>
        <v>45145.199999999953</v>
      </c>
      <c r="N916" s="65" t="str">
        <f>IF(tblMovimientos[[#This Row],[Tipo de Movimiento]]="Ingreso",tblMovimientos[[#This Row],[Monto (S/)]],"0")</f>
        <v>0</v>
      </c>
      <c r="O916" s="65">
        <f>IF(tblMovimientos[[#This Row],[Tipo de Movimiento]]="Egreso",tblMovimientos[[#This Row],[Monto (S/)]],"0")</f>
        <v>400000</v>
      </c>
      <c r="P916" s="28">
        <f>IF(tblMovimientos[[#This Row],[Tipo de Movimiento]]="Ingreso",tblMovimientos[[#This Row],[Ingreso]],-tblMovimientos[[#This Row],[Egreso]])</f>
        <v>-400000</v>
      </c>
      <c r="Q916" s="91" t="str">
        <f>IF(tblMovimientos[[#This Row],[Cuenta Bancaria]]="","",_xlfn.XLOOKUP(tblMovimientos[[#This Row],[Cuenta Bancaria]],Cuentas!$C:$C,Cuentas!$A:$A,"No encontrado"))</f>
        <v>SSP Group</v>
      </c>
      <c r="R916" s="91" t="str">
        <f>TRIM(_xlfn.XLOOKUP(tblMovimientos[[#This Row],[Cuenta Bancaria]],Cuentas!$C:$C,Cuentas!$B:$B,""))</f>
        <v/>
      </c>
    </row>
    <row r="917" spans="1:18" x14ac:dyDescent="0.3">
      <c r="B917" s="39">
        <v>46268</v>
      </c>
      <c r="C917" s="46" t="str">
        <f>_xlfn.XLOOKUP(tblMovimientos[[#This Row],[Cuenta Bancaria]],Listas!$B:$B,Listas!$A:$A,"")</f>
        <v>CFT Group</v>
      </c>
      <c r="D917" s="41" t="s">
        <v>95</v>
      </c>
      <c r="E917" s="4" t="str">
        <f>_xlfn.XLOOKUP(tblMovimientos[[#This Row],[Cuenta Bancaria]],Listas!$B:$B,Listas!$C:$C,"")</f>
        <v xml:space="preserve">Amerant Bank </v>
      </c>
      <c r="F917" s="41" t="s">
        <v>9</v>
      </c>
      <c r="G917" s="41" t="s">
        <v>85</v>
      </c>
      <c r="H917" s="4" t="str">
        <f>IFERROR(_xlfn.XLOOKUP(G917,Listas!E:E,Listas!F:F,""),"")</f>
        <v>Operativo</v>
      </c>
      <c r="I917" s="46" t="str">
        <f>IFERROR(_xlfn.XLOOKUP(G917,Listas!E:E,Listas!G:G,""),"")</f>
        <v>Interno</v>
      </c>
      <c r="J917" s="43">
        <v>400000</v>
      </c>
      <c r="K917" s="5">
        <f t="shared" si="9"/>
        <v>400000</v>
      </c>
      <c r="L917" s="15" t="s">
        <v>133</v>
      </c>
      <c r="M917" s="44">
        <f>SUMIFS('Saldos Iniciales'!$D:$D,'Saldos Iniciales'!$A:$A,C917,'Saldos Iniciales'!$B:$B,D917)+SUMIFS($K$1:$K$1325,$C$1:$C$1325,C917,$D$1:$D$1325,D917,$B$1:$B$1325,"&lt;="&amp;B917)</f>
        <v>1002872.0200000009</v>
      </c>
      <c r="N917" s="65">
        <f>IF(tblMovimientos[[#This Row],[Tipo de Movimiento]]="Ingreso",tblMovimientos[[#This Row],[Monto (S/)]],"0")</f>
        <v>400000</v>
      </c>
      <c r="O917" s="65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400000</v>
      </c>
      <c r="Q917" s="91" t="str">
        <f>IF(tblMovimientos[[#This Row],[Cuenta Bancaria]]="","",_xlfn.XLOOKUP(tblMovimientos[[#This Row],[Cuenta Bancaria]],Cuentas!$C:$C,Cuentas!$A:$A,"No encontrado"))</f>
        <v>SSP Group</v>
      </c>
      <c r="R917" s="91" t="str">
        <f>TRIM(_xlfn.XLOOKUP(tblMovimientos[[#This Row],[Cuenta Bancaria]],Cuentas!$C:$C,Cuentas!$B:$B,""))</f>
        <v/>
      </c>
    </row>
    <row r="918" spans="1:18" x14ac:dyDescent="0.3">
      <c r="B918" s="39">
        <v>46268</v>
      </c>
      <c r="C918" s="46" t="str">
        <f>_xlfn.XLOOKUP(tblMovimientos[[#This Row],[Cuenta Bancaria]],Listas!$B:$B,Listas!$A:$A,"")</f>
        <v>CFT Group</v>
      </c>
      <c r="D918" s="41" t="s">
        <v>95</v>
      </c>
      <c r="E918" s="4" t="str">
        <f>_xlfn.XLOOKUP(tblMovimientos[[#This Row],[Cuenta Bancaria]],Listas!$B:$B,Listas!$C:$C,"")</f>
        <v xml:space="preserve">Amerant Bank </v>
      </c>
      <c r="F918" s="41" t="s">
        <v>10</v>
      </c>
      <c r="G918" s="41" t="s">
        <v>38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500</v>
      </c>
      <c r="K918" s="5">
        <f t="shared" si="9"/>
        <v>-500</v>
      </c>
      <c r="L918" s="15" t="s">
        <v>133</v>
      </c>
      <c r="M918" s="44">
        <f>SUMIFS('Saldos Iniciales'!$D:$D,'Saldos Iniciales'!$A:$A,C918,'Saldos Iniciales'!$B:$B,D918)+SUMIFS($K$1:$K$1325,$C$1:$C$1325,C918,$D$1:$D$1325,D918,$B$1:$B$1325,"&lt;="&amp;B918)</f>
        <v>1002872.0200000009</v>
      </c>
      <c r="N918" s="65" t="str">
        <f>IF(tblMovimientos[[#This Row],[Tipo de Movimiento]]="Ingreso",tblMovimientos[[#This Row],[Monto (S/)]],"0")</f>
        <v>0</v>
      </c>
      <c r="O918" s="65">
        <f>IF(tblMovimientos[[#This Row],[Tipo de Movimiento]]="Egreso",tblMovimientos[[#This Row],[Monto (S/)]],"0")</f>
        <v>500</v>
      </c>
      <c r="P918" s="28">
        <f>IF(tblMovimientos[[#This Row],[Tipo de Movimiento]]="Ingreso",tblMovimientos[[#This Row],[Ingreso]],-tblMovimientos[[#This Row],[Egreso]])</f>
        <v>-500</v>
      </c>
      <c r="Q918" s="91" t="str">
        <f>IF(tblMovimientos[[#This Row],[Cuenta Bancaria]]="","",_xlfn.XLOOKUP(tblMovimientos[[#This Row],[Cuenta Bancaria]],Cuentas!$C:$C,Cuentas!$A:$A,"No encontrado"))</f>
        <v>SSP Group</v>
      </c>
      <c r="R918" s="91" t="str">
        <f>TRIM(_xlfn.XLOOKUP(tblMovimientos[[#This Row],[Cuenta Bancaria]],Cuentas!$C:$C,Cuentas!$B:$B,""))</f>
        <v/>
      </c>
    </row>
    <row r="919" spans="1:18" x14ac:dyDescent="0.3">
      <c r="B919" s="39">
        <v>46268</v>
      </c>
      <c r="C919" s="46" t="str">
        <f>_xlfn.XLOOKUP(tblMovimientos[[#This Row],[Cuenta Bancaria]],Listas!$B:$B,Listas!$A:$A,"")</f>
        <v>CFT Group</v>
      </c>
      <c r="D919" s="41" t="s">
        <v>95</v>
      </c>
      <c r="E919" s="4" t="str">
        <f>_xlfn.XLOOKUP(tblMovimientos[[#This Row],[Cuenta Bancaria]],Listas!$B:$B,Listas!$C:$C,"")</f>
        <v xml:space="preserve">Amerant Bank </v>
      </c>
      <c r="F919" s="41" t="s">
        <v>10</v>
      </c>
      <c r="G919" s="41" t="s">
        <v>46</v>
      </c>
      <c r="H919" s="4" t="str">
        <f>IFERROR(_xlfn.XLOOKUP(G919,Listas!E:E,Listas!F:F,""),"")</f>
        <v>Financiamiento</v>
      </c>
      <c r="I919" s="46" t="str">
        <f>IFERROR(_xlfn.XLOOKUP(G919,Listas!E:E,Listas!G:G,""),"")</f>
        <v>Externo</v>
      </c>
      <c r="J919" s="43">
        <v>2975</v>
      </c>
      <c r="K919" s="5">
        <f t="shared" si="9"/>
        <v>-2975</v>
      </c>
      <c r="L919" s="15" t="s">
        <v>133</v>
      </c>
      <c r="M919" s="44">
        <f>SUMIFS('Saldos Iniciales'!$D:$D,'Saldos Iniciales'!$A:$A,C919,'Saldos Iniciales'!$B:$B,D919)+SUMIFS($K$1:$K$1325,$C$1:$C$1325,C919,$D$1:$D$1325,D919,$B$1:$B$1325,"&lt;="&amp;B919)</f>
        <v>1002872.0200000009</v>
      </c>
      <c r="N919" s="65" t="str">
        <f>IF(tblMovimientos[[#This Row],[Tipo de Movimiento]]="Ingreso",tblMovimientos[[#This Row],[Monto (S/)]],"0")</f>
        <v>0</v>
      </c>
      <c r="O919" s="65">
        <f>IF(tblMovimientos[[#This Row],[Tipo de Movimiento]]="Egreso",tblMovimientos[[#This Row],[Monto (S/)]],"0")</f>
        <v>2975</v>
      </c>
      <c r="P919" s="28">
        <f>IF(tblMovimientos[[#This Row],[Tipo de Movimiento]]="Ingreso",tblMovimientos[[#This Row],[Ingreso]],-tblMovimientos[[#This Row],[Egreso]])</f>
        <v>-2975</v>
      </c>
      <c r="Q919" s="91" t="str">
        <f>IF(tblMovimientos[[#This Row],[Cuenta Bancaria]]="","",_xlfn.XLOOKUP(tblMovimientos[[#This Row],[Cuenta Bancaria]],Cuentas!$C:$C,Cuentas!$A:$A,"No encontrado"))</f>
        <v>SSP Group</v>
      </c>
      <c r="R919" s="91" t="str">
        <f>TRIM(_xlfn.XLOOKUP(tblMovimientos[[#This Row],[Cuenta Bancaria]],Cuentas!$C:$C,Cuentas!$B:$B,""))</f>
        <v/>
      </c>
    </row>
    <row r="920" spans="1:18" x14ac:dyDescent="0.3">
      <c r="B920" s="39">
        <v>46268</v>
      </c>
      <c r="C920" s="46" t="str">
        <f>_xlfn.XLOOKUP(tblMovimientos[[#This Row],[Cuenta Bancaria]],Listas!$B:$B,Listas!$A:$A,"")</f>
        <v>CFT Group</v>
      </c>
      <c r="D920" s="41" t="s">
        <v>95</v>
      </c>
      <c r="E920" s="4" t="str">
        <f>_xlfn.XLOOKUP(tblMovimientos[[#This Row],[Cuenta Bancaria]],Listas!$B:$B,Listas!$C:$C,"")</f>
        <v xml:space="preserve">Amerant Bank </v>
      </c>
      <c r="F920" s="41" t="s">
        <v>10</v>
      </c>
      <c r="G920" s="41" t="s">
        <v>46</v>
      </c>
      <c r="H920" s="4" t="str">
        <f>IFERROR(_xlfn.XLOOKUP(G920,Listas!E:E,Listas!F:F,""),"")</f>
        <v>Financiamiento</v>
      </c>
      <c r="I920" s="46" t="str">
        <f>IFERROR(_xlfn.XLOOKUP(G920,Listas!E:E,Listas!G:G,""),"")</f>
        <v>Externo</v>
      </c>
      <c r="J920" s="43">
        <v>11666.67</v>
      </c>
      <c r="K920" s="5">
        <f t="shared" si="9"/>
        <v>-11666.67</v>
      </c>
      <c r="L920" s="15" t="s">
        <v>133</v>
      </c>
      <c r="M920" s="44">
        <f>SUMIFS('Saldos Iniciales'!$D:$D,'Saldos Iniciales'!$A:$A,C920,'Saldos Iniciales'!$B:$B,D920)+SUMIFS($K$1:$K$1325,$C$1:$C$1325,C920,$D$1:$D$1325,D920,$B$1:$B$1325,"&lt;="&amp;B920)</f>
        <v>1002872.0200000009</v>
      </c>
      <c r="N920" s="65" t="str">
        <f>IF(tblMovimientos[[#This Row],[Tipo de Movimiento]]="Ingreso",tblMovimientos[[#This Row],[Monto (S/)]],"0")</f>
        <v>0</v>
      </c>
      <c r="O920" s="65">
        <f>IF(tblMovimientos[[#This Row],[Tipo de Movimiento]]="Egreso",tblMovimientos[[#This Row],[Monto (S/)]],"0")</f>
        <v>11666.67</v>
      </c>
      <c r="P920" s="28">
        <f>IF(tblMovimientos[[#This Row],[Tipo de Movimiento]]="Ingreso",tblMovimientos[[#This Row],[Ingreso]],-tblMovimientos[[#This Row],[Egreso]])</f>
        <v>-11666.67</v>
      </c>
      <c r="Q920" s="91" t="str">
        <f>IF(tblMovimientos[[#This Row],[Cuenta Bancaria]]="","",_xlfn.XLOOKUP(tblMovimientos[[#This Row],[Cuenta Bancaria]],Cuentas!$C:$C,Cuentas!$A:$A,"No encontrado"))</f>
        <v>SSP Group</v>
      </c>
      <c r="R920" s="91" t="str">
        <f>TRIM(_xlfn.XLOOKUP(tblMovimientos[[#This Row],[Cuenta Bancaria]],Cuentas!$C:$C,Cuentas!$B:$B,""))</f>
        <v/>
      </c>
    </row>
    <row r="921" spans="1:18" x14ac:dyDescent="0.3">
      <c r="B921" s="39">
        <v>46268</v>
      </c>
      <c r="C921" s="46" t="str">
        <f>_xlfn.XLOOKUP(tblMovimientos[[#This Row],[Cuenta Bancaria]],Listas!$B:$B,Listas!$A:$A,"")</f>
        <v>CFT Group</v>
      </c>
      <c r="D921" s="41" t="s">
        <v>95</v>
      </c>
      <c r="E921" s="4" t="str">
        <f>_xlfn.XLOOKUP(tblMovimientos[[#This Row],[Cuenta Bancaria]],Listas!$B:$B,Listas!$C:$C,"")</f>
        <v xml:space="preserve">Amerant Bank </v>
      </c>
      <c r="F921" s="41" t="s">
        <v>10</v>
      </c>
      <c r="G921" s="41" t="s">
        <v>61</v>
      </c>
      <c r="H921" s="4" t="str">
        <f>IFERROR(_xlfn.XLOOKUP(G921,Listas!E:E,Listas!F:F,""),"")</f>
        <v>Operativo</v>
      </c>
      <c r="I921" s="46" t="str">
        <f>IFERROR(_xlfn.XLOOKUP(G921,Listas!E:E,Listas!G:G,""),"")</f>
        <v>Externo</v>
      </c>
      <c r="J921" s="43">
        <v>40000</v>
      </c>
      <c r="K921" s="5">
        <f t="shared" si="9"/>
        <v>-40000</v>
      </c>
      <c r="L921" s="15" t="s">
        <v>133</v>
      </c>
      <c r="M921" s="44">
        <f>SUMIFS('Saldos Iniciales'!$D:$D,'Saldos Iniciales'!$A:$A,C921,'Saldos Iniciales'!$B:$B,D921)+SUMIFS($K$1:$K$1325,$C$1:$C$1325,C921,$D$1:$D$1325,D921,$B$1:$B$1325,"&lt;="&amp;B921)</f>
        <v>1002872.0200000009</v>
      </c>
      <c r="N921" s="65" t="str">
        <f>IF(tblMovimientos[[#This Row],[Tipo de Movimiento]]="Ingreso",tblMovimientos[[#This Row],[Monto (S/)]],"0")</f>
        <v>0</v>
      </c>
      <c r="O921" s="65">
        <f>IF(tblMovimientos[[#This Row],[Tipo de Movimiento]]="Egreso",tblMovimientos[[#This Row],[Monto (S/)]],"0")</f>
        <v>40000</v>
      </c>
      <c r="P921" s="28">
        <f>IF(tblMovimientos[[#This Row],[Tipo de Movimiento]]="Ingreso",tblMovimientos[[#This Row],[Ingreso]],-tblMovimientos[[#This Row],[Egreso]])</f>
        <v>-40000</v>
      </c>
      <c r="Q921" s="91" t="str">
        <f>IF(tblMovimientos[[#This Row],[Cuenta Bancaria]]="","",_xlfn.XLOOKUP(tblMovimientos[[#This Row],[Cuenta Bancaria]],Cuentas!$C:$C,Cuentas!$A:$A,"No encontrado"))</f>
        <v>SSP Group</v>
      </c>
      <c r="R921" s="91" t="str">
        <f>TRIM(_xlfn.XLOOKUP(tblMovimientos[[#This Row],[Cuenta Bancaria]],Cuentas!$C:$C,Cuentas!$B:$B,""))</f>
        <v/>
      </c>
    </row>
    <row r="922" spans="1:18" x14ac:dyDescent="0.3">
      <c r="B922" s="39">
        <v>46268</v>
      </c>
      <c r="C922" s="46" t="str">
        <f>_xlfn.XLOOKUP(tblMovimientos[[#This Row],[Cuenta Bancaria]],Listas!$B:$B,Listas!$A:$A,"")</f>
        <v>CFT Group</v>
      </c>
      <c r="D922" s="41" t="s">
        <v>95</v>
      </c>
      <c r="E922" s="4" t="str">
        <f>_xlfn.XLOOKUP(tblMovimientos[[#This Row],[Cuenta Bancaria]],Listas!$B:$B,Listas!$C:$C,"")</f>
        <v xml:space="preserve">Amerant Bank </v>
      </c>
      <c r="F922" s="41" t="s">
        <v>10</v>
      </c>
      <c r="G922" s="41" t="s">
        <v>61</v>
      </c>
      <c r="H922" s="4" t="str">
        <f>IFERROR(_xlfn.XLOOKUP(G922,Listas!E:E,Listas!F:F,""),"")</f>
        <v>Operativo</v>
      </c>
      <c r="I922" s="46" t="str">
        <f>IFERROR(_xlfn.XLOOKUP(G922,Listas!E:E,Listas!G:G,""),"")</f>
        <v>Externo</v>
      </c>
      <c r="J922" s="43">
        <v>60000</v>
      </c>
      <c r="K922" s="5">
        <f t="shared" si="9"/>
        <v>-60000</v>
      </c>
      <c r="L922" s="15" t="s">
        <v>133</v>
      </c>
      <c r="M922" s="44">
        <f>SUMIFS('Saldos Iniciales'!$D:$D,'Saldos Iniciales'!$A:$A,C922,'Saldos Iniciales'!$B:$B,D922)+SUMIFS($K$1:$K$1325,$C$1:$C$1325,C922,$D$1:$D$1325,D922,$B$1:$B$1325,"&lt;="&amp;B922)</f>
        <v>1002872.0200000009</v>
      </c>
      <c r="N922" s="65" t="str">
        <f>IF(tblMovimientos[[#This Row],[Tipo de Movimiento]]="Ingreso",tblMovimientos[[#This Row],[Monto (S/)]],"0")</f>
        <v>0</v>
      </c>
      <c r="O922" s="65">
        <f>IF(tblMovimientos[[#This Row],[Tipo de Movimiento]]="Egreso",tblMovimientos[[#This Row],[Monto (S/)]],"0")</f>
        <v>60000</v>
      </c>
      <c r="P922" s="28">
        <f>IF(tblMovimientos[[#This Row],[Tipo de Movimiento]]="Ingreso",tblMovimientos[[#This Row],[Ingreso]],-tblMovimientos[[#This Row],[Egreso]])</f>
        <v>-60000</v>
      </c>
      <c r="Q922" s="91" t="str">
        <f>IF(tblMovimientos[[#This Row],[Cuenta Bancaria]]="","",_xlfn.XLOOKUP(tblMovimientos[[#This Row],[Cuenta Bancaria]],Cuentas!$C:$C,Cuentas!$A:$A,"No encontrado"))</f>
        <v>SSP Group</v>
      </c>
      <c r="R922" s="91" t="str">
        <f>TRIM(_xlfn.XLOOKUP(tblMovimientos[[#This Row],[Cuenta Bancaria]],Cuentas!$C:$C,Cuentas!$B:$B,""))</f>
        <v/>
      </c>
    </row>
    <row r="923" spans="1:18" x14ac:dyDescent="0.3">
      <c r="B923" s="39">
        <v>46268</v>
      </c>
      <c r="C923" s="46" t="str">
        <f>_xlfn.XLOOKUP(tblMovimientos[[#This Row],[Cuenta Bancaria]],Listas!$B:$B,Listas!$A:$A,"")</f>
        <v>CFT Group</v>
      </c>
      <c r="D923" s="41" t="s">
        <v>95</v>
      </c>
      <c r="E923" s="4" t="str">
        <f>_xlfn.XLOOKUP(tblMovimientos[[#This Row],[Cuenta Bancaria]],Listas!$B:$B,Listas!$C:$C,"")</f>
        <v xml:space="preserve">Amerant Bank 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100000</v>
      </c>
      <c r="K923" s="5">
        <f t="shared" si="9"/>
        <v>-100000</v>
      </c>
      <c r="L923" s="15" t="s">
        <v>133</v>
      </c>
      <c r="M923" s="44">
        <f>SUMIFS('Saldos Iniciales'!$D:$D,'Saldos Iniciales'!$A:$A,C923,'Saldos Iniciales'!$B:$B,D923)+SUMIFS($K$1:$K$1325,$C$1:$C$1325,C923,$D$1:$D$1325,D923,$B$1:$B$1325,"&lt;="&amp;B923)</f>
        <v>1002872.0200000009</v>
      </c>
      <c r="N923" s="65" t="str">
        <f>IF(tblMovimientos[[#This Row],[Tipo de Movimiento]]="Ingreso",tblMovimientos[[#This Row],[Monto (S/)]],"0")</f>
        <v>0</v>
      </c>
      <c r="O923" s="65">
        <f>IF(tblMovimientos[[#This Row],[Tipo de Movimiento]]="Egreso",tblMovimientos[[#This Row],[Monto (S/)]],"0")</f>
        <v>100000</v>
      </c>
      <c r="P923" s="28">
        <f>IF(tblMovimientos[[#This Row],[Tipo de Movimiento]]="Ingreso",tblMovimientos[[#This Row],[Ingreso]],-tblMovimientos[[#This Row],[Egreso]])</f>
        <v>-100000</v>
      </c>
      <c r="Q923" s="91" t="str">
        <f>IF(tblMovimientos[[#This Row],[Cuenta Bancaria]]="","",_xlfn.XLOOKUP(tblMovimientos[[#This Row],[Cuenta Bancaria]],Cuentas!$C:$C,Cuentas!$A:$A,"No encontrado"))</f>
        <v>SSP Group</v>
      </c>
      <c r="R923" s="91" t="str">
        <f>TRIM(_xlfn.XLOOKUP(tblMovimientos[[#This Row],[Cuenta Bancaria]],Cuentas!$C:$C,Cuentas!$B:$B,""))</f>
        <v/>
      </c>
    </row>
    <row r="924" spans="1:18" x14ac:dyDescent="0.3">
      <c r="A924" s="45"/>
      <c r="B924" s="39">
        <v>46268</v>
      </c>
      <c r="C924" s="46" t="str">
        <f>_xlfn.XLOOKUP(tblMovimientos[[#This Row],[Cuenta Bancaria]],Listas!$B:$B,Listas!$A:$A,"")</f>
        <v>CFT Group</v>
      </c>
      <c r="D924" s="41" t="s">
        <v>95</v>
      </c>
      <c r="E924" s="46" t="str">
        <f>_xlfn.XLOOKUP(tblMovimientos[[#This Row],[Cuenta Bancaria]],Listas!$B:$B,Listas!$C:$C,"")</f>
        <v xml:space="preserve">Amerant Bank 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100000</v>
      </c>
      <c r="K924" s="5">
        <f t="shared" si="9"/>
        <v>-100000</v>
      </c>
      <c r="L924" s="15" t="s">
        <v>133</v>
      </c>
      <c r="M924" s="44">
        <f>SUMIFS('Saldos Iniciales'!$D:$D,'Saldos Iniciales'!$A:$A,C924,'Saldos Iniciales'!$B:$B,D924)+SUMIFS($K$1:$K$1325,$C$1:$C$1325,C924,$D$1:$D$1325,D924,$B$1:$B$1325,"&lt;="&amp;B924)</f>
        <v>1002872.0200000009</v>
      </c>
      <c r="N924" s="65" t="str">
        <f>IF(tblMovimientos[[#This Row],[Tipo de Movimiento]]="Ingreso",tblMovimientos[[#This Row],[Monto (S/)]],"0")</f>
        <v>0</v>
      </c>
      <c r="O924" s="65">
        <f>IF(tblMovimientos[[#This Row],[Tipo de Movimiento]]="Egreso",tblMovimientos[[#This Row],[Monto (S/)]],"0")</f>
        <v>100000</v>
      </c>
      <c r="P924" s="28">
        <f>IF(tblMovimientos[[#This Row],[Tipo de Movimiento]]="Ingreso",tblMovimientos[[#This Row],[Ingreso]],-tblMovimientos[[#This Row],[Egreso]])</f>
        <v>-100000</v>
      </c>
      <c r="Q924" s="91" t="str">
        <f>IF(tblMovimientos[[#This Row],[Cuenta Bancaria]]="","",_xlfn.XLOOKUP(tblMovimientos[[#This Row],[Cuenta Bancaria]],Cuentas!$C:$C,Cuentas!$A:$A,"No encontrado"))</f>
        <v>SSP Group</v>
      </c>
      <c r="R924" s="91" t="str">
        <f>TRIM(_xlfn.XLOOKUP(tblMovimientos[[#This Row],[Cuenta Bancaria]],Cuentas!$C:$C,Cuentas!$B:$B,""))</f>
        <v/>
      </c>
    </row>
    <row r="925" spans="1:18" x14ac:dyDescent="0.3">
      <c r="B925" s="39">
        <v>46268</v>
      </c>
      <c r="C925" s="46" t="str">
        <f>_xlfn.XLOOKUP(tblMovimientos[[#This Row],[Cuenta Bancaria]],Listas!$B:$B,Listas!$A:$A,"")</f>
        <v>CFT Group</v>
      </c>
      <c r="D925" s="41" t="s">
        <v>95</v>
      </c>
      <c r="E925" s="4" t="str">
        <f>_xlfn.XLOOKUP(tblMovimientos[[#This Row],[Cuenta Bancaria]],Listas!$B:$B,Listas!$C:$C,"")</f>
        <v xml:space="preserve">Amerant Bank </v>
      </c>
      <c r="F925" s="41" t="s">
        <v>10</v>
      </c>
      <c r="G925" s="41" t="s">
        <v>61</v>
      </c>
      <c r="H925" s="4" t="str">
        <f>IFERROR(_xlfn.XLOOKUP(G925,Listas!E:E,Listas!F:F,""),"")</f>
        <v>Operativo</v>
      </c>
      <c r="I925" s="46" t="str">
        <f>IFERROR(_xlfn.XLOOKUP(G925,Listas!E:E,Listas!G:G,""),"")</f>
        <v>Externo</v>
      </c>
      <c r="J925" s="43">
        <v>100000</v>
      </c>
      <c r="K925" s="5">
        <f t="shared" si="9"/>
        <v>-100000</v>
      </c>
      <c r="L925" s="15" t="s">
        <v>133</v>
      </c>
      <c r="M925" s="44">
        <f>SUMIFS('Saldos Iniciales'!$D:$D,'Saldos Iniciales'!$A:$A,C925,'Saldos Iniciales'!$B:$B,D925)+SUMIFS($K$1:$K$1325,$C$1:$C$1325,C925,$D$1:$D$1325,D925,$B$1:$B$1325,"&lt;="&amp;B925)</f>
        <v>1002872.0200000009</v>
      </c>
      <c r="N925" s="65" t="str">
        <f>IF(tblMovimientos[[#This Row],[Tipo de Movimiento]]="Ingreso",tblMovimientos[[#This Row],[Monto (S/)]],"0")</f>
        <v>0</v>
      </c>
      <c r="O925" s="65">
        <f>IF(tblMovimientos[[#This Row],[Tipo de Movimiento]]="Egreso",tblMovimientos[[#This Row],[Monto (S/)]],"0")</f>
        <v>100000</v>
      </c>
      <c r="P925" s="28">
        <f>IF(tblMovimientos[[#This Row],[Tipo de Movimiento]]="Ingreso",tblMovimientos[[#This Row],[Ingreso]],-tblMovimientos[[#This Row],[Egreso]])</f>
        <v>-100000</v>
      </c>
      <c r="Q925" s="91" t="str">
        <f>IF(tblMovimientos[[#This Row],[Cuenta Bancaria]]="","",_xlfn.XLOOKUP(tblMovimientos[[#This Row],[Cuenta Bancaria]],Cuentas!$C:$C,Cuentas!$A:$A,"No encontrado"))</f>
        <v>SSP Group</v>
      </c>
      <c r="R925" s="91" t="str">
        <f>TRIM(_xlfn.XLOOKUP(tblMovimientos[[#This Row],[Cuenta Bancaria]],Cuentas!$C:$C,Cuentas!$B:$B,""))</f>
        <v/>
      </c>
    </row>
    <row r="926" spans="1:18" x14ac:dyDescent="0.3">
      <c r="A926" s="88"/>
      <c r="B926" s="82">
        <v>46268</v>
      </c>
      <c r="C926" s="83" t="str">
        <f>_xlfn.XLOOKUP(tblMovimientos[[#This Row],[Cuenta Bancaria]],Listas!$B:$B,Listas!$A:$A,"")</f>
        <v>Pacha Ventures LLC</v>
      </c>
      <c r="D926" s="84" t="s">
        <v>187</v>
      </c>
      <c r="E926" s="89" t="str">
        <f>_xlfn.XLOOKUP(tblMovimientos[[#This Row],[Cuenta Bancaria]],Listas!$B:$B,Listas!$C:$C,"")</f>
        <v xml:space="preserve">Amerant Bank </v>
      </c>
      <c r="F926" s="84" t="s">
        <v>10</v>
      </c>
      <c r="G926" s="84" t="s">
        <v>38</v>
      </c>
      <c r="H926" s="90" t="str">
        <f>IFERROR(_xlfn.XLOOKUP(G926,Listas!E:E,Listas!F:F,""),"")</f>
        <v>Operativo</v>
      </c>
      <c r="I926" s="83" t="str">
        <f>IFERROR(_xlfn.XLOOKUP(G926,Listas!E:E,Listas!G:G,""),"")</f>
        <v>Externo</v>
      </c>
      <c r="J926" s="85">
        <v>1993.01</v>
      </c>
      <c r="K926" s="5">
        <f t="shared" si="9"/>
        <v>-1993.01</v>
      </c>
      <c r="L926" s="86" t="s">
        <v>133</v>
      </c>
      <c r="M926" s="44">
        <f>SUMIFS('Saldos Iniciales'!$D:$D,'Saldos Iniciales'!$A:$A,C926,'Saldos Iniciales'!$B:$B,D926)+SUMIFS($K$1:$K$1325,$C$1:$C$1325,C926,$D$1:$D$1325,D926,$B$1:$B$1325,"&lt;="&amp;B926)</f>
        <v>299174.44</v>
      </c>
      <c r="N926" s="65" t="str">
        <f>IF(tblMovimientos[[#This Row],[Tipo de Movimiento]]="Ingreso",tblMovimientos[[#This Row],[Monto (S/)]],"0")</f>
        <v>0</v>
      </c>
      <c r="O926" s="65">
        <f>IF(tblMovimientos[[#This Row],[Tipo de Movimiento]]="Egreso",tblMovimientos[[#This Row],[Monto (S/)]],"0")</f>
        <v>1993.01</v>
      </c>
      <c r="P926" s="28">
        <f>IF(tblMovimientos[[#This Row],[Tipo de Movimiento]]="Ingreso",tblMovimientos[[#This Row],[Ingreso]],-tblMovimientos[[#This Row],[Egreso]])</f>
        <v>-1993.01</v>
      </c>
      <c r="Q926" s="91" t="str">
        <f>IF(tblMovimientos[[#This Row],[Cuenta Bancaria]]="","",_xlfn.XLOOKUP(tblMovimientos[[#This Row],[Cuenta Bancaria]],Cuentas!$C:$C,Cuentas!$A:$A,"No encontrado"))</f>
        <v>Michael Cross</v>
      </c>
      <c r="R926" s="91" t="str">
        <f>TRIM(_xlfn.XLOOKUP(tblMovimientos[[#This Row],[Cuenta Bancaria]],Cuentas!$C:$C,Cuentas!$B:$B,""))</f>
        <v/>
      </c>
    </row>
    <row r="927" spans="1:18" x14ac:dyDescent="0.3">
      <c r="B927" s="39">
        <v>46268</v>
      </c>
      <c r="C927" s="46" t="str">
        <f>_xlfn.XLOOKUP(tblMovimientos[[#This Row],[Cuenta Bancaria]],Listas!$B:$B,Listas!$A:$A,"")</f>
        <v>CFT 1 residence LLC</v>
      </c>
      <c r="D927" s="41" t="s">
        <v>184</v>
      </c>
      <c r="E927" s="80" t="str">
        <f>_xlfn.XLOOKUP(tblMovimientos[[#This Row],[Cuenta Bancaria]],Listas!$B:$B,Listas!$C:$C,"")</f>
        <v xml:space="preserve">Amerant Bank </v>
      </c>
      <c r="F927" s="41" t="s">
        <v>10</v>
      </c>
      <c r="G927" s="41" t="s">
        <v>38</v>
      </c>
      <c r="H927" s="4" t="str">
        <f>IFERROR(_xlfn.XLOOKUP(G927,Listas!E:E,Listas!F:F,""),"")</f>
        <v>Operativo</v>
      </c>
      <c r="I927" s="46" t="str">
        <f>IFERROR(_xlfn.XLOOKUP(G927,Listas!E:E,Listas!G:G,""),"")</f>
        <v>Externo</v>
      </c>
      <c r="J927" s="43">
        <v>95</v>
      </c>
      <c r="K927" s="5">
        <f t="shared" si="9"/>
        <v>-95</v>
      </c>
      <c r="L927" s="15" t="s">
        <v>133</v>
      </c>
      <c r="M927" s="44">
        <f>SUMIFS('Saldos Iniciales'!$D:$D,'Saldos Iniciales'!$A:$A,C927,'Saldos Iniciales'!$B:$B,D927)+SUMIFS($K$1:$K$1325,$C$1:$C$1325,C927,$D$1:$D$1325,D927,$B$1:$B$1325,"&lt;="&amp;B927)</f>
        <v>18691.199999999997</v>
      </c>
      <c r="N927" s="65" t="str">
        <f>IF(tblMovimientos[[#This Row],[Tipo de Movimiento]]="Ingreso",tblMovimientos[[#This Row],[Monto (S/)]],"0")</f>
        <v>0</v>
      </c>
      <c r="O927" s="65">
        <f>IF(tblMovimientos[[#This Row],[Tipo de Movimiento]]="Egreso",tblMovimientos[[#This Row],[Monto (S/)]],"0")</f>
        <v>95</v>
      </c>
      <c r="P927" s="28">
        <f>IF(tblMovimientos[[#This Row],[Tipo de Movimiento]]="Ingreso",tblMovimientos[[#This Row],[Ingreso]],-tblMovimientos[[#This Row],[Egreso]])</f>
        <v>-95</v>
      </c>
      <c r="Q927" s="91" t="str">
        <f>IF(tblMovimientos[[#This Row],[Cuenta Bancaria]]="","",_xlfn.XLOOKUP(tblMovimientos[[#This Row],[Cuenta Bancaria]],Cuentas!$C:$C,Cuentas!$A:$A,"No encontrado"))</f>
        <v>Carmen Cross Irrevocable Trust</v>
      </c>
      <c r="R927" s="91" t="str">
        <f>TRIM(_xlfn.XLOOKUP(tblMovimientos[[#This Row],[Cuenta Bancaria]],Cuentas!$C:$C,Cuentas!$B:$B,""))</f>
        <v/>
      </c>
    </row>
    <row r="928" spans="1:18" x14ac:dyDescent="0.3">
      <c r="A928" s="88"/>
      <c r="B928" s="82">
        <v>46268</v>
      </c>
      <c r="C928" s="46" t="str">
        <f>_xlfn.XLOOKUP(tblMovimientos[[#This Row],[Cuenta Bancaria]],Listas!$B:$B,Listas!$A:$A,"")</f>
        <v>SIYP LLC</v>
      </c>
      <c r="D928" s="84" t="s">
        <v>185</v>
      </c>
      <c r="E928" s="89" t="str">
        <f>_xlfn.XLOOKUP(tblMovimientos[[#This Row],[Cuenta Bancaria]],Listas!$B:$B,Listas!$C:$C,"")</f>
        <v xml:space="preserve">Amerant Bank </v>
      </c>
      <c r="F928" s="84" t="s">
        <v>10</v>
      </c>
      <c r="G928" s="84" t="s">
        <v>46</v>
      </c>
      <c r="H928" s="90" t="str">
        <f>IFERROR(_xlfn.XLOOKUP(G928,Listas!E:E,Listas!F:F,""),"")</f>
        <v>Financiamiento</v>
      </c>
      <c r="I928" s="83" t="str">
        <f>IFERROR(_xlfn.XLOOKUP(G928,Listas!E:E,Listas!G:G,""),"")</f>
        <v>Externo</v>
      </c>
      <c r="J928" s="85">
        <v>1698.63</v>
      </c>
      <c r="K928" s="5">
        <f t="shared" si="9"/>
        <v>-1698.63</v>
      </c>
      <c r="L928" s="86" t="s">
        <v>133</v>
      </c>
      <c r="M928" s="44">
        <f>SUMIFS('Saldos Iniciales'!$D:$D,'Saldos Iniciales'!$A:$A,C928,'Saldos Iniciales'!$B:$B,D928)+SUMIFS($K$1:$K$1325,$C$1:$C$1325,C928,$D$1:$D$1325,D928,$B$1:$B$1325,"&lt;="&amp;B928)</f>
        <v>602.67000000000007</v>
      </c>
      <c r="N928" s="65" t="str">
        <f>IF(tblMovimientos[[#This Row],[Tipo de Movimiento]]="Ingreso",tblMovimientos[[#This Row],[Monto (S/)]],"0")</f>
        <v>0</v>
      </c>
      <c r="O928" s="65">
        <f>IF(tblMovimientos[[#This Row],[Tipo de Movimiento]]="Egreso",tblMovimientos[[#This Row],[Monto (S/)]],"0")</f>
        <v>1698.63</v>
      </c>
      <c r="P928" s="28">
        <f>IF(tblMovimientos[[#This Row],[Tipo de Movimiento]]="Ingreso",tblMovimientos[[#This Row],[Ingreso]],-tblMovimientos[[#This Row],[Egreso]])</f>
        <v>-1698.63</v>
      </c>
      <c r="Q928" s="91" t="str">
        <f>IF(tblMovimientos[[#This Row],[Cuenta Bancaria]]="","",_xlfn.XLOOKUP(tblMovimientos[[#This Row],[Cuenta Bancaria]],Cuentas!$C:$C,Cuentas!$A:$A,"No encontrado"))</f>
        <v>Michael Cross</v>
      </c>
      <c r="R928" s="91" t="str">
        <f>TRIM(_xlfn.XLOOKUP(tblMovimientos[[#This Row],[Cuenta Bancaria]],Cuentas!$C:$C,Cuentas!$B:$B,""))</f>
        <v/>
      </c>
    </row>
    <row r="929" spans="2:18" x14ac:dyDescent="0.3">
      <c r="B929" s="39">
        <v>46268</v>
      </c>
      <c r="C929" s="46" t="str">
        <f>_xlfn.XLOOKUP(tblMovimientos[[#This Row],[Cuenta Bancaria]],Listas!$B:$B,Listas!$A:$A,"")</f>
        <v>Nobe Aparments</v>
      </c>
      <c r="D929" s="41" t="s">
        <v>191</v>
      </c>
      <c r="E929" s="80" t="str">
        <f>_xlfn.XLOOKUP(tblMovimientos[[#This Row],[Cuenta Bancaria]],Listas!$B:$B,Listas!$C:$C,"")</f>
        <v>Bank of America</v>
      </c>
      <c r="F929" s="41" t="s">
        <v>9</v>
      </c>
      <c r="G929" s="41" t="s">
        <v>87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145</v>
      </c>
      <c r="K929" s="5">
        <f t="shared" si="9"/>
        <v>145</v>
      </c>
      <c r="L929" s="15" t="s">
        <v>133</v>
      </c>
      <c r="M929" s="44">
        <f>SUMIFS('Saldos Iniciales'!$D:$D,'Saldos Iniciales'!$A:$A,C929,'Saldos Iniciales'!$B:$B,D929)+SUMIFS($K$1:$K$1325,$C$1:$C$1325,C929,$D$1:$D$1325,D929,$B$1:$B$1325,"&lt;="&amp;B929)</f>
        <v>210725.58</v>
      </c>
      <c r="N929" s="65">
        <f>IF(tblMovimientos[[#This Row],[Tipo de Movimiento]]="Ingreso",tblMovimientos[[#This Row],[Monto (S/)]],"0")</f>
        <v>145</v>
      </c>
      <c r="O929" s="65" t="str">
        <f>IF(tblMovimientos[[#This Row],[Tipo de Movimiento]]="Egreso",tblMovimientos[[#This Row],[Monto (S/)]],"0")</f>
        <v>0</v>
      </c>
      <c r="P929" s="28">
        <f>IF(tblMovimientos[[#This Row],[Tipo de Movimiento]]="Ingreso",tblMovimientos[[#This Row],[Ingreso]],-tblMovimientos[[#This Row],[Egreso]])</f>
        <v>145</v>
      </c>
      <c r="Q929" s="91" t="str">
        <f>IF(tblMovimientos[[#This Row],[Cuenta Bancaria]]="","",_xlfn.XLOOKUP(tblMovimientos[[#This Row],[Cuenta Bancaria]],Cuentas!$C:$C,Cuentas!$A:$A,"No encontrado"))</f>
        <v>Carmen Cross / Estate</v>
      </c>
      <c r="R929" s="91" t="str">
        <f>TRIM(_xlfn.XLOOKUP(tblMovimientos[[#This Row],[Cuenta Bancaria]],Cuentas!$C:$C,Cuentas!$B:$B,""))</f>
        <v/>
      </c>
    </row>
    <row r="930" spans="2:18" x14ac:dyDescent="0.3">
      <c r="B930" s="39">
        <v>46268</v>
      </c>
      <c r="C930" s="46" t="str">
        <f>_xlfn.XLOOKUP(tblMovimientos[[#This Row],[Cuenta Bancaria]],Listas!$B:$B,Listas!$A:$A,"")</f>
        <v>Electrama</v>
      </c>
      <c r="D930" s="41" t="s">
        <v>113</v>
      </c>
      <c r="E930" s="80" t="str">
        <f>_xlfn.XLOOKUP(tblMovimientos[[#This Row],[Cuenta Bancaria]],Listas!$B:$B,Listas!$C:$C,"")</f>
        <v>Chase Bank</v>
      </c>
      <c r="F930" s="41" t="s">
        <v>10</v>
      </c>
      <c r="G930" s="41" t="s">
        <v>44</v>
      </c>
      <c r="H930" s="4" t="str">
        <f>IFERROR(_xlfn.XLOOKUP(G930,Listas!E:E,Listas!F:F,""),"")</f>
        <v>Operativo</v>
      </c>
      <c r="I930" s="81" t="str">
        <f>IFERROR(_xlfn.XLOOKUP(G930,Listas!E:E,Listas!G:G,""),"")</f>
        <v>Externo</v>
      </c>
      <c r="J930" s="43">
        <v>40</v>
      </c>
      <c r="K930" s="5">
        <f t="shared" si="9"/>
        <v>-40</v>
      </c>
      <c r="L930" s="15" t="s">
        <v>133</v>
      </c>
      <c r="M930" s="44">
        <f>SUMIFS('Saldos Iniciales'!$D:$D,'Saldos Iniciales'!$A:$A,C930,'Saldos Iniciales'!$B:$B,D930)+SUMIFS($K$1:$K$1325,$C$1:$C$1325,C930,$D$1:$D$1325,D930,$B$1:$B$1325,"&lt;="&amp;B930)</f>
        <v>13014.880000000001</v>
      </c>
      <c r="N930" s="65" t="str">
        <f>IF(tblMovimientos[[#This Row],[Tipo de Movimiento]]="Ingreso",tblMovimientos[[#This Row],[Monto (S/)]],"0")</f>
        <v>0</v>
      </c>
      <c r="O930" s="65">
        <f>IF(tblMovimientos[[#This Row],[Tipo de Movimiento]]="Egreso",tblMovimientos[[#This Row],[Monto (S/)]],"0")</f>
        <v>40</v>
      </c>
      <c r="P930" s="28">
        <f>IF(tblMovimientos[[#This Row],[Tipo de Movimiento]]="Ingreso",tblMovimientos[[#This Row],[Ingreso]],-tblMovimientos[[#This Row],[Egreso]])</f>
        <v>-40</v>
      </c>
      <c r="Q930" s="91" t="str">
        <f>IF(tblMovimientos[[#This Row],[Cuenta Bancaria]]="","",_xlfn.XLOOKUP(tblMovimientos[[#This Row],[Cuenta Bancaria]],Cuentas!$C:$C,Cuentas!$A:$A,"No encontrado"))</f>
        <v>SSP Group</v>
      </c>
      <c r="R930" s="91" t="str">
        <f>TRIM(_xlfn.XLOOKUP(tblMovimientos[[#This Row],[Cuenta Bancaria]],Cuentas!$C:$C,Cuentas!$B:$B,""))</f>
        <v/>
      </c>
    </row>
    <row r="931" spans="2:18" x14ac:dyDescent="0.3">
      <c r="B931" s="39">
        <v>46269</v>
      </c>
      <c r="C931" s="46" t="str">
        <f>_xlfn.XLOOKUP(tblMovimientos[[#This Row],[Cuenta Bancaria]],Listas!$B:$B,Listas!$A:$A,"")</f>
        <v>SSP Capital</v>
      </c>
      <c r="D931" s="41" t="s">
        <v>101</v>
      </c>
      <c r="E931" s="4" t="str">
        <f>_xlfn.XLOOKUP(tblMovimientos[[#This Row],[Cuenta Bancaria]],Listas!$B:$B,Listas!$C:$C,"")</f>
        <v>Bank of America</v>
      </c>
      <c r="F931" s="41" t="s">
        <v>10</v>
      </c>
      <c r="G931" s="41" t="s">
        <v>38</v>
      </c>
      <c r="H931" s="4" t="str">
        <f>IFERROR(_xlfn.XLOOKUP(G931,Listas!E:E,Listas!F:F,""),"")</f>
        <v>Operativo</v>
      </c>
      <c r="I931" s="46" t="str">
        <f>IFERROR(_xlfn.XLOOKUP(G931,Listas!E:E,Listas!G:G,""),"")</f>
        <v>Externo</v>
      </c>
      <c r="J931" s="43">
        <v>1024.17</v>
      </c>
      <c r="K931" s="5">
        <f t="shared" si="9"/>
        <v>-1024.17</v>
      </c>
      <c r="L931" s="15" t="s">
        <v>133</v>
      </c>
      <c r="M931" s="44">
        <f>SUMIFS('Saldos Iniciales'!$D:$D,'Saldos Iniciales'!$A:$A,C931,'Saldos Iniciales'!$B:$B,D931)+SUMIFS($K$1:$K$1325,$C$1:$C$1325,C931,$D$1:$D$1325,D931,$B$1:$B$1325,"&lt;="&amp;B931)</f>
        <v>39457.01</v>
      </c>
      <c r="N931" s="65" t="str">
        <f>IF(tblMovimientos[[#This Row],[Tipo de Movimiento]]="Ingreso",tblMovimientos[[#This Row],[Monto (S/)]],"0")</f>
        <v>0</v>
      </c>
      <c r="O931" s="65">
        <f>IF(tblMovimientos[[#This Row],[Tipo de Movimiento]]="Egreso",tblMovimientos[[#This Row],[Monto (S/)]],"0")</f>
        <v>1024.17</v>
      </c>
      <c r="P931" s="28">
        <f>IF(tblMovimientos[[#This Row],[Tipo de Movimiento]]="Ingreso",tblMovimientos[[#This Row],[Ingreso]],-tblMovimientos[[#This Row],[Egreso]])</f>
        <v>-1024.17</v>
      </c>
      <c r="Q931" s="91" t="str">
        <f>IF(tblMovimientos[[#This Row],[Cuenta Bancaria]]="","",_xlfn.XLOOKUP(tblMovimientos[[#This Row],[Cuenta Bancaria]],Cuentas!$C:$C,Cuentas!$A:$A,"No encontrado"))</f>
        <v>SSP Group</v>
      </c>
      <c r="R931" s="91" t="str">
        <f>TRIM(_xlfn.XLOOKUP(tblMovimientos[[#This Row],[Cuenta Bancaria]],Cuentas!$C:$C,Cuentas!$B:$B,""))</f>
        <v/>
      </c>
    </row>
    <row r="932" spans="2:18" x14ac:dyDescent="0.3">
      <c r="B932" s="39">
        <v>46269</v>
      </c>
      <c r="C932" s="46" t="str">
        <f>_xlfn.XLOOKUP(tblMovimientos[[#This Row],[Cuenta Bancaria]],Listas!$B:$B,Listas!$A:$A,"")</f>
        <v>CFT Group</v>
      </c>
      <c r="D932" s="41" t="s">
        <v>95</v>
      </c>
      <c r="E932" s="4" t="str">
        <f>_xlfn.XLOOKUP(tblMovimientos[[#This Row],[Cuenta Bancaria]],Listas!$B:$B,Listas!$C:$C,"")</f>
        <v xml:space="preserve">Amerant Bank </v>
      </c>
      <c r="F932" s="41" t="s">
        <v>9</v>
      </c>
      <c r="G932" s="41" t="s">
        <v>87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475</v>
      </c>
      <c r="K932" s="5">
        <f t="shared" si="9"/>
        <v>475</v>
      </c>
      <c r="L932" s="15" t="s">
        <v>133</v>
      </c>
      <c r="M932" s="44">
        <f>SUMIFS('Saldos Iniciales'!$D:$D,'Saldos Iniciales'!$A:$A,C932,'Saldos Iniciales'!$B:$B,D932)+SUMIFS($K$1:$K$1325,$C$1:$C$1325,C932,$D$1:$D$1325,D932,$B$1:$B$1325,"&lt;="&amp;B932)</f>
        <v>1499347.0200000009</v>
      </c>
      <c r="N932" s="65">
        <f>IF(tblMovimientos[[#This Row],[Tipo de Movimiento]]="Ingreso",tblMovimientos[[#This Row],[Monto (S/)]],"0")</f>
        <v>475</v>
      </c>
      <c r="O932" s="65" t="str">
        <f>IF(tblMovimientos[[#This Row],[Tipo de Movimiento]]="Egreso",tblMovimientos[[#This Row],[Monto (S/)]],"0")</f>
        <v>0</v>
      </c>
      <c r="P932" s="28">
        <f>IF(tblMovimientos[[#This Row],[Tipo de Movimiento]]="Ingreso",tblMovimientos[[#This Row],[Ingreso]],-tblMovimientos[[#This Row],[Egreso]])</f>
        <v>475</v>
      </c>
      <c r="Q932" s="91" t="str">
        <f>IF(tblMovimientos[[#This Row],[Cuenta Bancaria]]="","",_xlfn.XLOOKUP(tblMovimientos[[#This Row],[Cuenta Bancaria]],Cuentas!$C:$C,Cuentas!$A:$A,"No encontrado"))</f>
        <v>SSP Group</v>
      </c>
      <c r="R932" s="91" t="str">
        <f>TRIM(_xlfn.XLOOKUP(tblMovimientos[[#This Row],[Cuenta Bancaria]],Cuentas!$C:$C,Cuentas!$B:$B,""))</f>
        <v/>
      </c>
    </row>
    <row r="933" spans="2:18" x14ac:dyDescent="0.3">
      <c r="B933" s="39">
        <v>46269</v>
      </c>
      <c r="C933" s="46" t="str">
        <f>_xlfn.XLOOKUP(tblMovimientos[[#This Row],[Cuenta Bancaria]],Listas!$B:$B,Listas!$A:$A,"")</f>
        <v>CFT Group</v>
      </c>
      <c r="D933" s="41" t="s">
        <v>95</v>
      </c>
      <c r="E933" s="4" t="str">
        <f>_xlfn.XLOOKUP(tblMovimientos[[#This Row],[Cuenta Bancaria]],Listas!$B:$B,Listas!$C:$C,"")</f>
        <v xml:space="preserve">Amerant Bank </v>
      </c>
      <c r="F933" s="41" t="s">
        <v>9</v>
      </c>
      <c r="G933" s="41" t="s">
        <v>76</v>
      </c>
      <c r="H933" s="4" t="str">
        <f>IFERROR(_xlfn.XLOOKUP(G933,Listas!E:E,Listas!F:F,""),"")</f>
        <v>Financiamiento</v>
      </c>
      <c r="I933" s="46" t="str">
        <f>IFERROR(_xlfn.XLOOKUP(G933,Listas!E:E,Listas!G:G,""),"")</f>
        <v>Externo</v>
      </c>
      <c r="J933" s="43">
        <v>496000</v>
      </c>
      <c r="K933" s="5">
        <f t="shared" si="9"/>
        <v>496000</v>
      </c>
      <c r="L933" s="15" t="s">
        <v>133</v>
      </c>
      <c r="M933" s="44">
        <f>SUMIFS('Saldos Iniciales'!$D:$D,'Saldos Iniciales'!$A:$A,C933,'Saldos Iniciales'!$B:$B,D933)+SUMIFS($K$1:$K$1325,$C$1:$C$1325,C933,$D$1:$D$1325,D933,$B$1:$B$1325,"&lt;="&amp;B933)</f>
        <v>1499347.0200000009</v>
      </c>
      <c r="N933" s="65">
        <f>IF(tblMovimientos[[#This Row],[Tipo de Movimiento]]="Ingreso",tblMovimientos[[#This Row],[Monto (S/)]],"0")</f>
        <v>496000</v>
      </c>
      <c r="O933" s="65" t="str">
        <f>IF(tblMovimientos[[#This Row],[Tipo de Movimiento]]="Egreso",tblMovimientos[[#This Row],[Monto (S/)]],"0")</f>
        <v>0</v>
      </c>
      <c r="P933" s="28">
        <f>IF(tblMovimientos[[#This Row],[Tipo de Movimiento]]="Ingreso",tblMovimientos[[#This Row],[Ingreso]],-tblMovimientos[[#This Row],[Egreso]])</f>
        <v>496000</v>
      </c>
      <c r="Q933" s="91" t="str">
        <f>IF(tblMovimientos[[#This Row],[Cuenta Bancaria]]="","",_xlfn.XLOOKUP(tblMovimientos[[#This Row],[Cuenta Bancaria]],Cuentas!$C:$C,Cuentas!$A:$A,"No encontrado"))</f>
        <v>SSP Group</v>
      </c>
      <c r="R933" s="91" t="str">
        <f>TRIM(_xlfn.XLOOKUP(tblMovimientos[[#This Row],[Cuenta Bancaria]],Cuentas!$C:$C,Cuentas!$B:$B,""))</f>
        <v/>
      </c>
    </row>
    <row r="934" spans="2:18" x14ac:dyDescent="0.3">
      <c r="B934" s="39">
        <v>46269</v>
      </c>
      <c r="C934" s="46" t="str">
        <f>_xlfn.XLOOKUP(tblMovimientos[[#This Row],[Cuenta Bancaria]],Listas!$B:$B,Listas!$A:$A,"")</f>
        <v>CFT 1 residence LLC</v>
      </c>
      <c r="D934" s="41" t="s">
        <v>184</v>
      </c>
      <c r="E934" s="80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44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80</v>
      </c>
      <c r="K934" s="5">
        <f t="shared" si="9"/>
        <v>-80</v>
      </c>
      <c r="L934" s="15" t="s">
        <v>133</v>
      </c>
      <c r="M934" s="44">
        <f>SUMIFS('Saldos Iniciales'!$D:$D,'Saldos Iniciales'!$A:$A,C934,'Saldos Iniciales'!$B:$B,D934)+SUMIFS($K$1:$K$1325,$C$1:$C$1325,C934,$D$1:$D$1325,D934,$B$1:$B$1325,"&lt;="&amp;B934)</f>
        <v>18611.199999999997</v>
      </c>
      <c r="N934" s="65" t="str">
        <f>IF(tblMovimientos[[#This Row],[Tipo de Movimiento]]="Ingreso",tblMovimientos[[#This Row],[Monto (S/)]],"0")</f>
        <v>0</v>
      </c>
      <c r="O934" s="65">
        <f>IF(tblMovimientos[[#This Row],[Tipo de Movimiento]]="Egreso",tblMovimientos[[#This Row],[Monto (S/)]],"0")</f>
        <v>80</v>
      </c>
      <c r="P934" s="28">
        <f>IF(tblMovimientos[[#This Row],[Tipo de Movimiento]]="Ingreso",tblMovimientos[[#This Row],[Ingreso]],-tblMovimientos[[#This Row],[Egreso]])</f>
        <v>-80</v>
      </c>
      <c r="Q934" s="91" t="str">
        <f>IF(tblMovimientos[[#This Row],[Cuenta Bancaria]]="","",_xlfn.XLOOKUP(tblMovimientos[[#This Row],[Cuenta Bancaria]],Cuentas!$C:$C,Cuentas!$A:$A,"No encontrado"))</f>
        <v>Carmen Cross Irrevocable Trust</v>
      </c>
      <c r="R934" s="91" t="str">
        <f>TRIM(_xlfn.XLOOKUP(tblMovimientos[[#This Row],[Cuenta Bancaria]],Cuentas!$C:$C,Cuentas!$B:$B,""))</f>
        <v/>
      </c>
    </row>
    <row r="935" spans="2:18" x14ac:dyDescent="0.3">
      <c r="B935" s="39">
        <v>46269</v>
      </c>
      <c r="C935" s="46" t="str">
        <f>_xlfn.XLOOKUP(tblMovimientos[[#This Row],[Cuenta Bancaria]],Listas!$B:$B,Listas!$A:$A,"")</f>
        <v>Prendamas SRL</v>
      </c>
      <c r="D935" s="41" t="s">
        <v>186</v>
      </c>
      <c r="E935" s="80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60000</v>
      </c>
      <c r="K935" s="5">
        <f t="shared" si="9"/>
        <v>-60000</v>
      </c>
      <c r="L935" s="15" t="s">
        <v>133</v>
      </c>
      <c r="M935" s="44">
        <f>SUMIFS('Saldos Iniciales'!$D:$D,'Saldos Iniciales'!$A:$A,C935,'Saldos Iniciales'!$B:$B,D935)+SUMIFS($K$1:$K$1325,$C$1:$C$1325,C935,$D$1:$D$1325,D935,$B$1:$B$1325,"&lt;="&amp;B935)</f>
        <v>32112.919999999976</v>
      </c>
      <c r="N935" s="65" t="str">
        <f>IF(tblMovimientos[[#This Row],[Tipo de Movimiento]]="Ingreso",tblMovimientos[[#This Row],[Monto (S/)]],"0")</f>
        <v>0</v>
      </c>
      <c r="O935" s="65">
        <f>IF(tblMovimientos[[#This Row],[Tipo de Movimiento]]="Egreso",tblMovimientos[[#This Row],[Monto (S/)]],"0")</f>
        <v>60000</v>
      </c>
      <c r="P935" s="28">
        <f>IF(tblMovimientos[[#This Row],[Tipo de Movimiento]]="Ingreso",tblMovimientos[[#This Row],[Ingreso]],-tblMovimientos[[#This Row],[Egreso]])</f>
        <v>-60000</v>
      </c>
      <c r="Q935" s="91" t="str">
        <f>IF(tblMovimientos[[#This Row],[Cuenta Bancaria]]="","",_xlfn.XLOOKUP(tblMovimientos[[#This Row],[Cuenta Bancaria]],Cuentas!$C:$C,Cuentas!$A:$A,"No encontrado"))</f>
        <v>Unidades de Negocio</v>
      </c>
      <c r="R935" s="91" t="str">
        <f>TRIM(_xlfn.XLOOKUP(tblMovimientos[[#This Row],[Cuenta Bancaria]],Cuentas!$C:$C,Cuentas!$B:$B,""))</f>
        <v/>
      </c>
    </row>
    <row r="936" spans="2:18" x14ac:dyDescent="0.3">
      <c r="B936" s="39">
        <v>46269</v>
      </c>
      <c r="C936" s="46" t="str">
        <f>_xlfn.XLOOKUP(tblMovimientos[[#This Row],[Cuenta Bancaria]],Listas!$B:$B,Listas!$A:$A,"")</f>
        <v>Nobe Aparments</v>
      </c>
      <c r="D936" s="41" t="s">
        <v>191</v>
      </c>
      <c r="E936" s="80" t="str">
        <f>_xlfn.XLOOKUP(tblMovimientos[[#This Row],[Cuenta Bancaria]],Listas!$B:$B,Listas!$C:$C,"")</f>
        <v>Bank of America</v>
      </c>
      <c r="F936" s="41" t="s">
        <v>9</v>
      </c>
      <c r="G936" s="41" t="s">
        <v>81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215</v>
      </c>
      <c r="K936" s="5">
        <f t="shared" si="9"/>
        <v>215</v>
      </c>
      <c r="L936" s="15" t="s">
        <v>133</v>
      </c>
      <c r="M936" s="44">
        <f>SUMIFS('Saldos Iniciales'!$D:$D,'Saldos Iniciales'!$A:$A,C936,'Saldos Iniciales'!$B:$B,D936)+SUMIFS($K$1:$K$1325,$C$1:$C$1325,C936,$D$1:$D$1325,D936,$B$1:$B$1325,"&lt;="&amp;B936)</f>
        <v>210940.58</v>
      </c>
      <c r="N936" s="65">
        <f>IF(tblMovimientos[[#This Row],[Tipo de Movimiento]]="Ingreso",tblMovimientos[[#This Row],[Monto (S/)]],"0")</f>
        <v>215</v>
      </c>
      <c r="O936" s="65" t="str">
        <f>IF(tblMovimientos[[#This Row],[Tipo de Movimiento]]="Egreso",tblMovimientos[[#This Row],[Monto (S/)]],"0")</f>
        <v>0</v>
      </c>
      <c r="P936" s="28">
        <f>IF(tblMovimientos[[#This Row],[Tipo de Movimiento]]="Ingreso",tblMovimientos[[#This Row],[Ingreso]],-tblMovimientos[[#This Row],[Egreso]])</f>
        <v>215</v>
      </c>
      <c r="Q936" s="91" t="str">
        <f>IF(tblMovimientos[[#This Row],[Cuenta Bancaria]]="","",_xlfn.XLOOKUP(tblMovimientos[[#This Row],[Cuenta Bancaria]],Cuentas!$C:$C,Cuentas!$A:$A,"No encontrado"))</f>
        <v>Carmen Cross / Estate</v>
      </c>
      <c r="R936" s="91" t="str">
        <f>TRIM(_xlfn.XLOOKUP(tblMovimientos[[#This Row],[Cuenta Bancaria]],Cuentas!$C:$C,Cuentas!$B:$B,""))</f>
        <v/>
      </c>
    </row>
    <row r="937" spans="2:18" x14ac:dyDescent="0.3">
      <c r="B937" s="39">
        <v>46273</v>
      </c>
      <c r="C937" s="46" t="str">
        <f>_xlfn.XLOOKUP(tblMovimientos[[#This Row],[Cuenta Bancaria]],Listas!$B:$B,Listas!$A:$A,"")</f>
        <v>SSP Capital</v>
      </c>
      <c r="D937" s="41" t="s">
        <v>101</v>
      </c>
      <c r="E937" s="4" t="str">
        <f>_xlfn.XLOOKUP(tblMovimientos[[#This Row],[Cuenta Bancaria]],Listas!$B:$B,Listas!$C:$C,"")</f>
        <v>Bank of America</v>
      </c>
      <c r="F937" s="41" t="s">
        <v>10</v>
      </c>
      <c r="G937" s="41" t="s">
        <v>41</v>
      </c>
      <c r="H937" s="4" t="str">
        <f>IFERROR(_xlfn.XLOOKUP(G937,Listas!E:E,Listas!F:F,""),"")</f>
        <v>Operativo</v>
      </c>
      <c r="I937" s="46" t="str">
        <f>IFERROR(_xlfn.XLOOKUP(G937,Listas!E:E,Listas!G:G,""),"")</f>
        <v>Externo</v>
      </c>
      <c r="J937" s="43">
        <v>7679.78</v>
      </c>
      <c r="K937" s="5">
        <f t="shared" si="9"/>
        <v>-7679.78</v>
      </c>
      <c r="L937" s="15" t="s">
        <v>133</v>
      </c>
      <c r="M937" s="44">
        <f>SUMIFS('Saldos Iniciales'!$D:$D,'Saldos Iniciales'!$A:$A,C937,'Saldos Iniciales'!$B:$B,D937)+SUMIFS($K$1:$K$1325,$C$1:$C$1325,C937,$D$1:$D$1325,D937,$B$1:$B$1325,"&lt;="&amp;B937)</f>
        <v>30485.58</v>
      </c>
      <c r="N937" s="65" t="str">
        <f>IF(tblMovimientos[[#This Row],[Tipo de Movimiento]]="Ingreso",tblMovimientos[[#This Row],[Monto (S/)]],"0")</f>
        <v>0</v>
      </c>
      <c r="O937" s="65">
        <f>IF(tblMovimientos[[#This Row],[Tipo de Movimiento]]="Egreso",tblMovimientos[[#This Row],[Monto (S/)]],"0")</f>
        <v>7679.78</v>
      </c>
      <c r="P937" s="28">
        <f>IF(tblMovimientos[[#This Row],[Tipo de Movimiento]]="Ingreso",tblMovimientos[[#This Row],[Ingreso]],-tblMovimientos[[#This Row],[Egreso]])</f>
        <v>-7679.78</v>
      </c>
      <c r="Q937" s="91" t="str">
        <f>IF(tblMovimientos[[#This Row],[Cuenta Bancaria]]="","",_xlfn.XLOOKUP(tblMovimientos[[#This Row],[Cuenta Bancaria]],Cuentas!$C:$C,Cuentas!$A:$A,"No encontrado"))</f>
        <v>SSP Group</v>
      </c>
      <c r="R937" s="91" t="str">
        <f>TRIM(_xlfn.XLOOKUP(tblMovimientos[[#This Row],[Cuenta Bancaria]],Cuentas!$C:$C,Cuentas!$B:$B,""))</f>
        <v/>
      </c>
    </row>
    <row r="938" spans="2:18" x14ac:dyDescent="0.3">
      <c r="B938" s="39">
        <v>46273</v>
      </c>
      <c r="C938" s="46" t="str">
        <f>_xlfn.XLOOKUP(tblMovimientos[[#This Row],[Cuenta Bancaria]],Listas!$B:$B,Listas!$A:$A,"")</f>
        <v>A&amp;M Imports</v>
      </c>
      <c r="D938" s="41" t="s">
        <v>100</v>
      </c>
      <c r="E938" s="4" t="str">
        <f>_xlfn.XLOOKUP(tblMovimientos[[#This Row],[Cuenta Bancaria]],Listas!$B:$B,Listas!$C:$C,"")</f>
        <v>Bank of America</v>
      </c>
      <c r="F938" s="41" t="s">
        <v>9</v>
      </c>
      <c r="G938" s="41" t="s">
        <v>68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5731.99</v>
      </c>
      <c r="K938" s="5">
        <f t="shared" si="9"/>
        <v>5731.99</v>
      </c>
      <c r="L938" s="15" t="s">
        <v>133</v>
      </c>
      <c r="M938" s="44">
        <f>SUMIFS('Saldos Iniciales'!$D:$D,'Saldos Iniciales'!$A:$A,C938,'Saldos Iniciales'!$B:$B,D938)+SUMIFS($K$1:$K$1325,$C$1:$C$1325,C938,$D$1:$D$1325,D938,$B$1:$B$1325,"&lt;="&amp;B938)</f>
        <v>1256669.99</v>
      </c>
      <c r="N938" s="65">
        <f>IF(tblMovimientos[[#This Row],[Tipo de Movimiento]]="Ingreso",tblMovimientos[[#This Row],[Monto (S/)]],"0")</f>
        <v>5731.99</v>
      </c>
      <c r="O938" s="65" t="str">
        <f>IF(tblMovimientos[[#This Row],[Tipo de Movimiento]]="Egreso",tblMovimientos[[#This Row],[Monto (S/)]],"0")</f>
        <v>0</v>
      </c>
      <c r="P938" s="28">
        <f>IF(tblMovimientos[[#This Row],[Tipo de Movimiento]]="Ingreso",tblMovimientos[[#This Row],[Ingreso]],-tblMovimientos[[#This Row],[Egreso]])</f>
        <v>5731.99</v>
      </c>
      <c r="Q938" s="91" t="str">
        <f>IF(tblMovimientos[[#This Row],[Cuenta Bancaria]]="","",_xlfn.XLOOKUP(tblMovimientos[[#This Row],[Cuenta Bancaria]],Cuentas!$C:$C,Cuentas!$A:$A,"No encontrado"))</f>
        <v>SSP Group</v>
      </c>
      <c r="R938" s="91" t="str">
        <f>TRIM(_xlfn.XLOOKUP(tblMovimientos[[#This Row],[Cuenta Bancaria]],Cuentas!$C:$C,Cuentas!$B:$B,""))</f>
        <v>Cross Security Trust</v>
      </c>
    </row>
    <row r="939" spans="2:18" x14ac:dyDescent="0.3">
      <c r="B939" s="39">
        <v>46273</v>
      </c>
      <c r="C939" s="46" t="str">
        <f>_xlfn.XLOOKUP(tblMovimientos[[#This Row],[Cuenta Bancaria]],Listas!$B:$B,Listas!$A:$A,"")</f>
        <v>CFT Group</v>
      </c>
      <c r="D939" s="41" t="s">
        <v>94</v>
      </c>
      <c r="E939" s="4" t="str">
        <f>_xlfn.XLOOKUP(tblMovimientos[[#This Row],[Cuenta Bancaria]],Listas!$B:$B,Listas!$C:$C,"")</f>
        <v>Bank of America</v>
      </c>
      <c r="F939" s="41" t="s">
        <v>9</v>
      </c>
      <c r="G939" s="41" t="s">
        <v>68</v>
      </c>
      <c r="H939" s="4" t="str">
        <f>IFERROR(_xlfn.XLOOKUP(G939,Listas!E:E,Listas!F:F,""),"")</f>
        <v>Operativo</v>
      </c>
      <c r="I939" s="46" t="str">
        <f>IFERROR(_xlfn.XLOOKUP(G939,Listas!E:E,Listas!G:G,""),"")</f>
        <v>Externo</v>
      </c>
      <c r="J939" s="43">
        <v>122225.83</v>
      </c>
      <c r="K939" s="5">
        <f t="shared" si="9"/>
        <v>122225.83</v>
      </c>
      <c r="L939" s="15" t="s">
        <v>133</v>
      </c>
      <c r="M939" s="44">
        <f>SUMIFS('Saldos Iniciales'!$D:$D,'Saldos Iniciales'!$A:$A,C939,'Saldos Iniciales'!$B:$B,D939)+SUMIFS($K$1:$K$1325,$C$1:$C$1325,C939,$D$1:$D$1325,D939,$B$1:$B$1325,"&lt;="&amp;B939)</f>
        <v>167371.02999999997</v>
      </c>
      <c r="N939" s="65">
        <f>IF(tblMovimientos[[#This Row],[Tipo de Movimiento]]="Ingreso",tblMovimientos[[#This Row],[Monto (S/)]],"0")</f>
        <v>122225.83</v>
      </c>
      <c r="O939" s="65" t="str">
        <f>IF(tblMovimientos[[#This Row],[Tipo de Movimiento]]="Egreso",tblMovimientos[[#This Row],[Monto (S/)]],"0")</f>
        <v>0</v>
      </c>
      <c r="P939" s="28">
        <f>IF(tblMovimientos[[#This Row],[Tipo de Movimiento]]="Ingreso",tblMovimientos[[#This Row],[Ingreso]],-tblMovimientos[[#This Row],[Egreso]])</f>
        <v>122225.83</v>
      </c>
      <c r="Q939" s="91" t="str">
        <f>IF(tblMovimientos[[#This Row],[Cuenta Bancaria]]="","",_xlfn.XLOOKUP(tblMovimientos[[#This Row],[Cuenta Bancaria]],Cuentas!$C:$C,Cuentas!$A:$A,"No encontrado"))</f>
        <v>SSP Group</v>
      </c>
      <c r="R939" s="91" t="str">
        <f>TRIM(_xlfn.XLOOKUP(tblMovimientos[[#This Row],[Cuenta Bancaria]],Cuentas!$C:$C,Cuentas!$B:$B,""))</f>
        <v/>
      </c>
    </row>
    <row r="940" spans="2:18" x14ac:dyDescent="0.3">
      <c r="B940" s="39">
        <v>46273</v>
      </c>
      <c r="C940" s="46" t="str">
        <f>_xlfn.XLOOKUP(tblMovimientos[[#This Row],[Cuenta Bancaria]],Listas!$B:$B,Listas!$A:$A,"")</f>
        <v>SSP Capital</v>
      </c>
      <c r="D940" s="41" t="s">
        <v>101</v>
      </c>
      <c r="E940" s="4" t="str">
        <f>_xlfn.XLOOKUP(tblMovimientos[[#This Row],[Cuenta Bancaria]],Listas!$B:$B,Listas!$C:$C,"")</f>
        <v>Bank of America</v>
      </c>
      <c r="F940" s="41" t="s">
        <v>10</v>
      </c>
      <c r="G940" s="41" t="s">
        <v>38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1291.6500000000001</v>
      </c>
      <c r="K940" s="5">
        <f t="shared" si="9"/>
        <v>-1291.6500000000001</v>
      </c>
      <c r="L940" s="15" t="s">
        <v>133</v>
      </c>
      <c r="M940" s="44">
        <f>SUMIFS('Saldos Iniciales'!$D:$D,'Saldos Iniciales'!$A:$A,C940,'Saldos Iniciales'!$B:$B,D940)+SUMIFS($K$1:$K$1325,$C$1:$C$1325,C940,$D$1:$D$1325,D940,$B$1:$B$1325,"&lt;="&amp;B940)</f>
        <v>30485.58</v>
      </c>
      <c r="N940" s="65" t="str">
        <f>IF(tblMovimientos[[#This Row],[Tipo de Movimiento]]="Ingreso",tblMovimientos[[#This Row],[Monto (S/)]],"0")</f>
        <v>0</v>
      </c>
      <c r="O940" s="65">
        <f>IF(tblMovimientos[[#This Row],[Tipo de Movimiento]]="Egreso",tblMovimientos[[#This Row],[Monto (S/)]],"0")</f>
        <v>1291.6500000000001</v>
      </c>
      <c r="P940" s="28">
        <f>IF(tblMovimientos[[#This Row],[Tipo de Movimiento]]="Ingreso",tblMovimientos[[#This Row],[Ingreso]],-tblMovimientos[[#This Row],[Egreso]])</f>
        <v>-1291.6500000000001</v>
      </c>
      <c r="Q940" s="91" t="str">
        <f>IF(tblMovimientos[[#This Row],[Cuenta Bancaria]]="","",_xlfn.XLOOKUP(tblMovimientos[[#This Row],[Cuenta Bancaria]],Cuentas!$C:$C,Cuentas!$A:$A,"No encontrado"))</f>
        <v>SSP Group</v>
      </c>
      <c r="R940" s="91" t="str">
        <f>TRIM(_xlfn.XLOOKUP(tblMovimientos[[#This Row],[Cuenta Bancaria]],Cuentas!$C:$C,Cuentas!$B:$B,""))</f>
        <v/>
      </c>
    </row>
    <row r="941" spans="2:18" x14ac:dyDescent="0.3">
      <c r="B941" s="39">
        <v>46273</v>
      </c>
      <c r="C941" s="46" t="str">
        <f>_xlfn.XLOOKUP(tblMovimientos[[#This Row],[Cuenta Bancaria]],Listas!$B:$B,Listas!$A:$A,"")</f>
        <v>M1B</v>
      </c>
      <c r="D941" s="41" t="s">
        <v>97</v>
      </c>
      <c r="E941" s="4" t="str">
        <f>_xlfn.XLOOKUP(tblMovimientos[[#This Row],[Cuenta Bancaria]],Listas!$B:$B,Listas!$C:$C,"")</f>
        <v xml:space="preserve">Amerant Bank </v>
      </c>
      <c r="F941" s="41" t="s">
        <v>9</v>
      </c>
      <c r="G941" s="41" t="s">
        <v>68</v>
      </c>
      <c r="H941" s="4" t="str">
        <f>IFERROR(_xlfn.XLOOKUP(G941,Listas!E:E,Listas!F:F,""),"")</f>
        <v>Operativo</v>
      </c>
      <c r="I941" s="46" t="str">
        <f>IFERROR(_xlfn.XLOOKUP(G941,Listas!E:E,Listas!G:G,""),"")</f>
        <v>Externo</v>
      </c>
      <c r="J941" s="43">
        <v>457.74</v>
      </c>
      <c r="K941" s="5">
        <f t="shared" si="9"/>
        <v>457.74</v>
      </c>
      <c r="L941" s="15" t="s">
        <v>133</v>
      </c>
      <c r="M941" s="44">
        <f>SUMIFS('Saldos Iniciales'!$D:$D,'Saldos Iniciales'!$A:$A,C941,'Saldos Iniciales'!$B:$B,D941)+SUMIFS($K$1:$K$1325,$C$1:$C$1325,C941,$D$1:$D$1325,D941,$B$1:$B$1325,"&lt;="&amp;B941)</f>
        <v>88737.970000000176</v>
      </c>
      <c r="N941" s="65">
        <f>IF(tblMovimientos[[#This Row],[Tipo de Movimiento]]="Ingreso",tblMovimientos[[#This Row],[Monto (S/)]],"0")</f>
        <v>457.74</v>
      </c>
      <c r="O941" s="65" t="str">
        <f>IF(tblMovimientos[[#This Row],[Tipo de Movimiento]]="Egreso",tblMovimientos[[#This Row],[Monto (S/)]],"0")</f>
        <v>0</v>
      </c>
      <c r="P941" s="28">
        <f>IF(tblMovimientos[[#This Row],[Tipo de Movimiento]]="Ingreso",tblMovimientos[[#This Row],[Ingreso]],-tblMovimientos[[#This Row],[Egreso]])</f>
        <v>457.74</v>
      </c>
      <c r="Q941" s="91" t="str">
        <f>IF(tblMovimientos[[#This Row],[Cuenta Bancaria]]="","",_xlfn.XLOOKUP(tblMovimientos[[#This Row],[Cuenta Bancaria]],Cuentas!$C:$C,Cuentas!$A:$A,"No encontrado"))</f>
        <v>SSP Group</v>
      </c>
      <c r="R941" s="91" t="str">
        <f>TRIM(_xlfn.XLOOKUP(tblMovimientos[[#This Row],[Cuenta Bancaria]],Cuentas!$C:$C,Cuentas!$B:$B,""))</f>
        <v/>
      </c>
    </row>
    <row r="942" spans="2:18" x14ac:dyDescent="0.3">
      <c r="B942" s="39">
        <v>46273</v>
      </c>
      <c r="C942" s="46" t="str">
        <f>_xlfn.XLOOKUP(tblMovimientos[[#This Row],[Cuenta Bancaria]],Listas!$B:$B,Listas!$A:$A,"")</f>
        <v>CFT Group</v>
      </c>
      <c r="D942" s="41" t="s">
        <v>95</v>
      </c>
      <c r="E942" s="4" t="str">
        <f>_xlfn.XLOOKUP(tblMovimientos[[#This Row],[Cuenta Bancaria]],Listas!$B:$B,Listas!$C:$C,"")</f>
        <v xml:space="preserve">Amerant Bank </v>
      </c>
      <c r="F942" s="41" t="s">
        <v>9</v>
      </c>
      <c r="G942" s="41" t="s">
        <v>76</v>
      </c>
      <c r="H942" s="4" t="str">
        <f>IFERROR(_xlfn.XLOOKUP(G942,Listas!E:E,Listas!F:F,""),"")</f>
        <v>Financiamiento</v>
      </c>
      <c r="I942" s="46" t="str">
        <f>IFERROR(_xlfn.XLOOKUP(G942,Listas!E:E,Listas!G:G,""),"")</f>
        <v>Externo</v>
      </c>
      <c r="J942" s="43">
        <v>4000</v>
      </c>
      <c r="K942" s="5">
        <f t="shared" si="9"/>
        <v>4000</v>
      </c>
      <c r="L942" s="15" t="s">
        <v>133</v>
      </c>
      <c r="M942" s="44">
        <f>SUMIFS('Saldos Iniciales'!$D:$D,'Saldos Iniciales'!$A:$A,C942,'Saldos Iniciales'!$B:$B,D942)+SUMIFS($K$1:$K$1325,$C$1:$C$1325,C942,$D$1:$D$1325,D942,$B$1:$B$1325,"&lt;="&amp;B942)</f>
        <v>1633347.0200000009</v>
      </c>
      <c r="N942" s="65">
        <f>IF(tblMovimientos[[#This Row],[Tipo de Movimiento]]="Ingreso",tblMovimientos[[#This Row],[Monto (S/)]],"0")</f>
        <v>4000</v>
      </c>
      <c r="O942" s="65" t="str">
        <f>IF(tblMovimientos[[#This Row],[Tipo de Movimiento]]="Egreso",tblMovimientos[[#This Row],[Monto (S/)]],"0")</f>
        <v>0</v>
      </c>
      <c r="P942" s="28">
        <f>IF(tblMovimientos[[#This Row],[Tipo de Movimiento]]="Ingreso",tblMovimientos[[#This Row],[Ingreso]],-tblMovimientos[[#This Row],[Egreso]])</f>
        <v>4000</v>
      </c>
      <c r="Q942" s="91" t="str">
        <f>IF(tblMovimientos[[#This Row],[Cuenta Bancaria]]="","",_xlfn.XLOOKUP(tblMovimientos[[#This Row],[Cuenta Bancaria]],Cuentas!$C:$C,Cuentas!$A:$A,"No encontrado"))</f>
        <v>SSP Group</v>
      </c>
      <c r="R942" s="91" t="str">
        <f>TRIM(_xlfn.XLOOKUP(tblMovimientos[[#This Row],[Cuenta Bancaria]],Cuentas!$C:$C,Cuentas!$B:$B,""))</f>
        <v/>
      </c>
    </row>
    <row r="943" spans="2:18" x14ac:dyDescent="0.3">
      <c r="B943" s="39">
        <v>46273</v>
      </c>
      <c r="C943" s="46" t="str">
        <f>_xlfn.XLOOKUP(tblMovimientos[[#This Row],[Cuenta Bancaria]],Listas!$B:$B,Listas!$A:$A,"")</f>
        <v>CFT Group</v>
      </c>
      <c r="D943" s="41" t="s">
        <v>95</v>
      </c>
      <c r="E943" s="4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85</v>
      </c>
      <c r="H943" s="4" t="str">
        <f>IFERROR(_xlfn.XLOOKUP(G943,Listas!E:E,Listas!F:F,""),"")</f>
        <v>Operativo</v>
      </c>
      <c r="I943" s="46" t="str">
        <f>IFERROR(_xlfn.XLOOKUP(G943,Listas!E:E,Listas!G:G,""),"")</f>
        <v>Interno</v>
      </c>
      <c r="J943" s="43">
        <v>130000</v>
      </c>
      <c r="K943" s="5">
        <f t="shared" si="9"/>
        <v>130000</v>
      </c>
      <c r="L943" s="15" t="s">
        <v>133</v>
      </c>
      <c r="M943" s="44">
        <f>SUMIFS('Saldos Iniciales'!$D:$D,'Saldos Iniciales'!$A:$A,C943,'Saldos Iniciales'!$B:$B,D943)+SUMIFS($K$1:$K$1325,$C$1:$C$1325,C943,$D$1:$D$1325,D943,$B$1:$B$1325,"&lt;="&amp;B943)</f>
        <v>1633347.0200000009</v>
      </c>
      <c r="N943" s="65">
        <f>IF(tblMovimientos[[#This Row],[Tipo de Movimiento]]="Ingreso",tblMovimientos[[#This Row],[Monto (S/)]],"0")</f>
        <v>130000</v>
      </c>
      <c r="O943" s="65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130000</v>
      </c>
      <c r="Q943" s="91" t="str">
        <f>IF(tblMovimientos[[#This Row],[Cuenta Bancaria]]="","",_xlfn.XLOOKUP(tblMovimientos[[#This Row],[Cuenta Bancaria]],Cuentas!$C:$C,Cuentas!$A:$A,"No encontrado"))</f>
        <v>SSP Group</v>
      </c>
      <c r="R943" s="91" t="str">
        <f>TRIM(_xlfn.XLOOKUP(tblMovimientos[[#This Row],[Cuenta Bancaria]],Cuentas!$C:$C,Cuentas!$B:$B,""))</f>
        <v/>
      </c>
    </row>
    <row r="944" spans="2:18" x14ac:dyDescent="0.3">
      <c r="B944" s="39">
        <v>46273</v>
      </c>
      <c r="C944" s="46" t="str">
        <f>_xlfn.XLOOKUP(tblMovimientos[[#This Row],[Cuenta Bancaria]],Listas!$B:$B,Listas!$A:$A,"")</f>
        <v>Pacha Ventures LLC</v>
      </c>
      <c r="D944" s="41" t="s">
        <v>187</v>
      </c>
      <c r="E944" s="80" t="str">
        <f>_xlfn.XLOOKUP(tblMovimientos[[#This Row],[Cuenta Bancaria]],Listas!$B:$B,Listas!$C:$C,"")</f>
        <v xml:space="preserve">Amerant Bank </v>
      </c>
      <c r="F944" s="41" t="s">
        <v>10</v>
      </c>
      <c r="G944" s="41" t="s">
        <v>38</v>
      </c>
      <c r="H944" s="4" t="str">
        <f>IFERROR(_xlfn.XLOOKUP(G944,Listas!E:E,Listas!F:F,""),"")</f>
        <v>Operativo</v>
      </c>
      <c r="I944" s="46" t="str">
        <f>IFERROR(_xlfn.XLOOKUP(G944,Listas!E:E,Listas!G:G,""),"")</f>
        <v>Externo</v>
      </c>
      <c r="J944" s="43">
        <v>331.11</v>
      </c>
      <c r="K944" s="5">
        <f t="shared" si="9"/>
        <v>-331.11</v>
      </c>
      <c r="L944" s="15" t="s">
        <v>133</v>
      </c>
      <c r="M944" s="44">
        <f>SUMIFS('Saldos Iniciales'!$D:$D,'Saldos Iniciales'!$A:$A,C944,'Saldos Iniciales'!$B:$B,D944)+SUMIFS($K$1:$K$1325,$C$1:$C$1325,C944,$D$1:$D$1325,D944,$B$1:$B$1325,"&lt;="&amp;B944)</f>
        <v>298843.33</v>
      </c>
      <c r="N944" s="65" t="str">
        <f>IF(tblMovimientos[[#This Row],[Tipo de Movimiento]]="Ingreso",tblMovimientos[[#This Row],[Monto (S/)]],"0")</f>
        <v>0</v>
      </c>
      <c r="O944" s="65">
        <f>IF(tblMovimientos[[#This Row],[Tipo de Movimiento]]="Egreso",tblMovimientos[[#This Row],[Monto (S/)]],"0")</f>
        <v>331.11</v>
      </c>
      <c r="P944" s="28">
        <f>IF(tblMovimientos[[#This Row],[Tipo de Movimiento]]="Ingreso",tblMovimientos[[#This Row],[Ingreso]],-tblMovimientos[[#This Row],[Egreso]])</f>
        <v>-331.11</v>
      </c>
      <c r="Q944" s="91" t="str">
        <f>IF(tblMovimientos[[#This Row],[Cuenta Bancaria]]="","",_xlfn.XLOOKUP(tblMovimientos[[#This Row],[Cuenta Bancaria]],Cuentas!$C:$C,Cuentas!$A:$A,"No encontrado"))</f>
        <v>Michael Cross</v>
      </c>
      <c r="R944" s="91" t="str">
        <f>TRIM(_xlfn.XLOOKUP(tblMovimientos[[#This Row],[Cuenta Bancaria]],Cuentas!$C:$C,Cuentas!$B:$B,""))</f>
        <v/>
      </c>
    </row>
    <row r="945" spans="1:18" x14ac:dyDescent="0.3">
      <c r="A945" s="45"/>
      <c r="B945" s="39">
        <v>46273</v>
      </c>
      <c r="C945" s="46" t="str">
        <f>_xlfn.XLOOKUP(tblMovimientos[[#This Row],[Cuenta Bancaria]],Listas!$B:$B,Listas!$A:$A,"")</f>
        <v>CFT 1 residence LLC</v>
      </c>
      <c r="D945" s="41" t="s">
        <v>188</v>
      </c>
      <c r="E945" s="81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38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367.84</v>
      </c>
      <c r="K945" s="5">
        <f t="shared" si="9"/>
        <v>-367.84</v>
      </c>
      <c r="L945" s="15" t="s">
        <v>133</v>
      </c>
      <c r="M945" s="44">
        <f>SUMIFS('Saldos Iniciales'!$D:$D,'Saldos Iniciales'!$A:$A,C945,'Saldos Iniciales'!$B:$B,D945)+SUMIFS($K$1:$K$1325,$C$1:$C$1325,C945,$D$1:$D$1325,D945,$B$1:$B$1325,"&lt;="&amp;B945)</f>
        <v>1347.62</v>
      </c>
      <c r="N945" s="65" t="str">
        <f>IF(tblMovimientos[[#This Row],[Tipo de Movimiento]]="Ingreso",tblMovimientos[[#This Row],[Monto (S/)]],"0")</f>
        <v>0</v>
      </c>
      <c r="O945" s="65">
        <f>IF(tblMovimientos[[#This Row],[Tipo de Movimiento]]="Egreso",tblMovimientos[[#This Row],[Monto (S/)]],"0")</f>
        <v>367.84</v>
      </c>
      <c r="P945" s="28">
        <f>IF(tblMovimientos[[#This Row],[Tipo de Movimiento]]="Ingreso",tblMovimientos[[#This Row],[Ingreso]],-tblMovimientos[[#This Row],[Egreso]])</f>
        <v>-367.84</v>
      </c>
      <c r="Q945" s="91" t="str">
        <f>IF(tblMovimientos[[#This Row],[Cuenta Bancaria]]="","",_xlfn.XLOOKUP(tblMovimientos[[#This Row],[Cuenta Bancaria]],Cuentas!$C:$C,Cuentas!$A:$A,"No encontrado"))</f>
        <v>Carmen Cross Irrevocable Trust</v>
      </c>
      <c r="R945" s="91" t="str">
        <f>TRIM(_xlfn.XLOOKUP(tblMovimientos[[#This Row],[Cuenta Bancaria]],Cuentas!$C:$C,Cuentas!$B:$B,""))</f>
        <v/>
      </c>
    </row>
    <row r="946" spans="1:18" x14ac:dyDescent="0.3">
      <c r="B946" s="39">
        <v>46273</v>
      </c>
      <c r="C946" s="46" t="str">
        <f>_xlfn.XLOOKUP(tblMovimientos[[#This Row],[Cuenta Bancaria]],Listas!$B:$B,Listas!$A:$A,"")</f>
        <v>CFT 1 residence LLC</v>
      </c>
      <c r="D946" s="41" t="s">
        <v>188</v>
      </c>
      <c r="E946" s="80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38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129.55000000000001</v>
      </c>
      <c r="K946" s="5">
        <f t="shared" ref="K946:K1009" si="10">IF(F946="Ingreso",J946,-J946)</f>
        <v>-129.55000000000001</v>
      </c>
      <c r="L946" s="15" t="s">
        <v>133</v>
      </c>
      <c r="M946" s="44">
        <f>SUMIFS('Saldos Iniciales'!$D:$D,'Saldos Iniciales'!$A:$A,C946,'Saldos Iniciales'!$B:$B,D946)+SUMIFS($K$1:$K$1325,$C$1:$C$1325,C946,$D$1:$D$1325,D946,$B$1:$B$1325,"&lt;="&amp;B946)</f>
        <v>1347.62</v>
      </c>
      <c r="N946" s="65" t="str">
        <f>IF(tblMovimientos[[#This Row],[Tipo de Movimiento]]="Ingreso",tblMovimientos[[#This Row],[Monto (S/)]],"0")</f>
        <v>0</v>
      </c>
      <c r="O946" s="65">
        <f>IF(tblMovimientos[[#This Row],[Tipo de Movimiento]]="Egreso",tblMovimientos[[#This Row],[Monto (S/)]],"0")</f>
        <v>129.55000000000001</v>
      </c>
      <c r="P946" s="28">
        <f>IF(tblMovimientos[[#This Row],[Tipo de Movimiento]]="Ingreso",tblMovimientos[[#This Row],[Ingreso]],-tblMovimientos[[#This Row],[Egreso]])</f>
        <v>-129.55000000000001</v>
      </c>
      <c r="Q946" s="91" t="str">
        <f>IF(tblMovimientos[[#This Row],[Cuenta Bancaria]]="","",_xlfn.XLOOKUP(tblMovimientos[[#This Row],[Cuenta Bancaria]],Cuentas!$C:$C,Cuentas!$A:$A,"No encontrado"))</f>
        <v>Carmen Cross Irrevocable Trust</v>
      </c>
      <c r="R946" s="91" t="str">
        <f>TRIM(_xlfn.XLOOKUP(tblMovimientos[[#This Row],[Cuenta Bancaria]],Cuentas!$C:$C,Cuentas!$B:$B,""))</f>
        <v/>
      </c>
    </row>
    <row r="947" spans="1:18" x14ac:dyDescent="0.3">
      <c r="B947" s="39">
        <v>46273</v>
      </c>
      <c r="C947" s="46" t="str">
        <f>_xlfn.XLOOKUP(tblMovimientos[[#This Row],[Cuenta Bancaria]],Listas!$B:$B,Listas!$A:$A,"")</f>
        <v>CFT 1 residence LLC</v>
      </c>
      <c r="D947" s="41" t="s">
        <v>188</v>
      </c>
      <c r="E947" s="80" t="str">
        <f>_xlfn.XLOOKUP(tblMovimientos[[#This Row],[Cuenta Bancaria]],Listas!$B:$B,Listas!$C:$C,"")</f>
        <v xml:space="preserve">Amerant Bank </v>
      </c>
      <c r="F947" s="41" t="s">
        <v>10</v>
      </c>
      <c r="G947" s="41" t="s">
        <v>38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10.86</v>
      </c>
      <c r="K947" s="5">
        <f t="shared" si="10"/>
        <v>-10.86</v>
      </c>
      <c r="L947" s="15" t="s">
        <v>133</v>
      </c>
      <c r="M947" s="44">
        <f>SUMIFS('Saldos Iniciales'!$D:$D,'Saldos Iniciales'!$A:$A,C947,'Saldos Iniciales'!$B:$B,D947)+SUMIFS($K$1:$K$1325,$C$1:$C$1325,C947,$D$1:$D$1325,D947,$B$1:$B$1325,"&lt;="&amp;B947)</f>
        <v>1347.62</v>
      </c>
      <c r="N947" s="65" t="str">
        <f>IF(tblMovimientos[[#This Row],[Tipo de Movimiento]]="Ingreso",tblMovimientos[[#This Row],[Monto (S/)]],"0")</f>
        <v>0</v>
      </c>
      <c r="O947" s="65">
        <f>IF(tblMovimientos[[#This Row],[Tipo de Movimiento]]="Egreso",tblMovimientos[[#This Row],[Monto (S/)]],"0")</f>
        <v>10.86</v>
      </c>
      <c r="P947" s="28">
        <f>IF(tblMovimientos[[#This Row],[Tipo de Movimiento]]="Ingreso",tblMovimientos[[#This Row],[Ingreso]],-tblMovimientos[[#This Row],[Egreso]])</f>
        <v>-10.86</v>
      </c>
      <c r="Q947" s="91" t="str">
        <f>IF(tblMovimientos[[#This Row],[Cuenta Bancaria]]="","",_xlfn.XLOOKUP(tblMovimientos[[#This Row],[Cuenta Bancaria]],Cuentas!$C:$C,Cuentas!$A:$A,"No encontrado"))</f>
        <v>Carmen Cross Irrevocable Trust</v>
      </c>
      <c r="R947" s="91" t="str">
        <f>TRIM(_xlfn.XLOOKUP(tblMovimientos[[#This Row],[Cuenta Bancaria]],Cuentas!$C:$C,Cuentas!$B:$B,""))</f>
        <v/>
      </c>
    </row>
    <row r="948" spans="1:18" x14ac:dyDescent="0.3">
      <c r="B948" s="39">
        <v>46273</v>
      </c>
      <c r="C948" s="46" t="str">
        <f>_xlfn.XLOOKUP(tblMovimientos[[#This Row],[Cuenta Bancaria]],Listas!$B:$B,Listas!$A:$A,"")</f>
        <v>CFT 1 residence LLC</v>
      </c>
      <c r="D948" s="41" t="s">
        <v>184</v>
      </c>
      <c r="E948" s="80" t="str">
        <f>_xlfn.XLOOKUP(tblMovimientos[[#This Row],[Cuenta Bancaria]],Listas!$B:$B,Listas!$C:$C,"")</f>
        <v xml:space="preserve">Amerant Bank </v>
      </c>
      <c r="F948" s="41" t="s">
        <v>10</v>
      </c>
      <c r="G948" s="41" t="s">
        <v>38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167.36</v>
      </c>
      <c r="K948" s="5">
        <f t="shared" si="10"/>
        <v>-167.36</v>
      </c>
      <c r="L948" s="15" t="s">
        <v>133</v>
      </c>
      <c r="M948" s="44">
        <f>SUMIFS('Saldos Iniciales'!$D:$D,'Saldos Iniciales'!$A:$A,C948,'Saldos Iniciales'!$B:$B,D948)+SUMIFS($K$1:$K$1325,$C$1:$C$1325,C948,$D$1:$D$1325,D948,$B$1:$B$1325,"&lt;="&amp;B948)</f>
        <v>18215.499999999996</v>
      </c>
      <c r="N948" s="65" t="str">
        <f>IF(tblMovimientos[[#This Row],[Tipo de Movimiento]]="Ingreso",tblMovimientos[[#This Row],[Monto (S/)]],"0")</f>
        <v>0</v>
      </c>
      <c r="O948" s="65">
        <f>IF(tblMovimientos[[#This Row],[Tipo de Movimiento]]="Egreso",tblMovimientos[[#This Row],[Monto (S/)]],"0")</f>
        <v>167.36</v>
      </c>
      <c r="P948" s="28">
        <f>IF(tblMovimientos[[#This Row],[Tipo de Movimiento]]="Ingreso",tblMovimientos[[#This Row],[Ingreso]],-tblMovimientos[[#This Row],[Egreso]])</f>
        <v>-167.36</v>
      </c>
      <c r="Q948" s="91" t="str">
        <f>IF(tblMovimientos[[#This Row],[Cuenta Bancaria]]="","",_xlfn.XLOOKUP(tblMovimientos[[#This Row],[Cuenta Bancaria]],Cuentas!$C:$C,Cuentas!$A:$A,"No encontrado"))</f>
        <v>Carmen Cross Irrevocable Trust</v>
      </c>
      <c r="R948" s="91" t="str">
        <f>TRIM(_xlfn.XLOOKUP(tblMovimientos[[#This Row],[Cuenta Bancaria]],Cuentas!$C:$C,Cuentas!$B:$B,""))</f>
        <v/>
      </c>
    </row>
    <row r="949" spans="1:18" x14ac:dyDescent="0.3">
      <c r="B949" s="39">
        <v>46273</v>
      </c>
      <c r="C949" s="46" t="str">
        <f>_xlfn.XLOOKUP(tblMovimientos[[#This Row],[Cuenta Bancaria]],Listas!$B:$B,Listas!$A:$A,"")</f>
        <v>CFT 1 residence LLC</v>
      </c>
      <c r="D949" s="41" t="s">
        <v>184</v>
      </c>
      <c r="E949" s="80" t="str">
        <f>_xlfn.XLOOKUP(tblMovimientos[[#This Row],[Cuenta Bancaria]],Listas!$B:$B,Listas!$C:$C,"")</f>
        <v xml:space="preserve">Amerant Bank </v>
      </c>
      <c r="F949" s="41" t="s">
        <v>10</v>
      </c>
      <c r="G949" s="41" t="s">
        <v>38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172.9</v>
      </c>
      <c r="K949" s="5">
        <f t="shared" si="10"/>
        <v>-172.9</v>
      </c>
      <c r="L949" s="15" t="s">
        <v>133</v>
      </c>
      <c r="M949" s="44">
        <f>SUMIFS('Saldos Iniciales'!$D:$D,'Saldos Iniciales'!$A:$A,C949,'Saldos Iniciales'!$B:$B,D949)+SUMIFS($K$1:$K$1325,$C$1:$C$1325,C949,$D$1:$D$1325,D949,$B$1:$B$1325,"&lt;="&amp;B949)</f>
        <v>18215.499999999996</v>
      </c>
      <c r="N949" s="65" t="str">
        <f>IF(tblMovimientos[[#This Row],[Tipo de Movimiento]]="Ingreso",tblMovimientos[[#This Row],[Monto (S/)]],"0")</f>
        <v>0</v>
      </c>
      <c r="O949" s="65">
        <f>IF(tblMovimientos[[#This Row],[Tipo de Movimiento]]="Egreso",tblMovimientos[[#This Row],[Monto (S/)]],"0")</f>
        <v>172.9</v>
      </c>
      <c r="P949" s="28">
        <f>IF(tblMovimientos[[#This Row],[Tipo de Movimiento]]="Ingreso",tblMovimientos[[#This Row],[Ingreso]],-tblMovimientos[[#This Row],[Egreso]])</f>
        <v>-172.9</v>
      </c>
      <c r="Q949" s="91" t="str">
        <f>IF(tblMovimientos[[#This Row],[Cuenta Bancaria]]="","",_xlfn.XLOOKUP(tblMovimientos[[#This Row],[Cuenta Bancaria]],Cuentas!$C:$C,Cuentas!$A:$A,"No encontrado"))</f>
        <v>Carmen Cross Irrevocable Trust</v>
      </c>
      <c r="R949" s="91" t="str">
        <f>TRIM(_xlfn.XLOOKUP(tblMovimientos[[#This Row],[Cuenta Bancaria]],Cuentas!$C:$C,Cuentas!$B:$B,""))</f>
        <v/>
      </c>
    </row>
    <row r="950" spans="1:18" x14ac:dyDescent="0.3">
      <c r="B950" s="39">
        <v>46273</v>
      </c>
      <c r="C950" s="46" t="str">
        <f>_xlfn.XLOOKUP(tblMovimientos[[#This Row],[Cuenta Bancaria]],Listas!$B:$B,Listas!$A:$A,"")</f>
        <v>CFT 1 residence LLC</v>
      </c>
      <c r="D950" s="41" t="s">
        <v>184</v>
      </c>
      <c r="E950" s="80" t="str">
        <f>_xlfn.XLOOKUP(tblMovimientos[[#This Row],[Cuenta Bancaria]],Listas!$B:$B,Listas!$C:$C,"")</f>
        <v xml:space="preserve">Amerant Bank </v>
      </c>
      <c r="F950" s="41" t="s">
        <v>10</v>
      </c>
      <c r="G950" s="41" t="s">
        <v>38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55.44</v>
      </c>
      <c r="K950" s="5">
        <f t="shared" si="10"/>
        <v>-55.44</v>
      </c>
      <c r="L950" s="15" t="s">
        <v>133</v>
      </c>
      <c r="M950" s="44">
        <f>SUMIFS('Saldos Iniciales'!$D:$D,'Saldos Iniciales'!$A:$A,C950,'Saldos Iniciales'!$B:$B,D950)+SUMIFS($K$1:$K$1325,$C$1:$C$1325,C950,$D$1:$D$1325,D950,$B$1:$B$1325,"&lt;="&amp;B950)</f>
        <v>18215.499999999996</v>
      </c>
      <c r="N950" s="65" t="str">
        <f>IF(tblMovimientos[[#This Row],[Tipo de Movimiento]]="Ingreso",tblMovimientos[[#This Row],[Monto (S/)]],"0")</f>
        <v>0</v>
      </c>
      <c r="O950" s="65">
        <f>IF(tblMovimientos[[#This Row],[Tipo de Movimiento]]="Egreso",tblMovimientos[[#This Row],[Monto (S/)]],"0")</f>
        <v>55.44</v>
      </c>
      <c r="P950" s="28">
        <f>IF(tblMovimientos[[#This Row],[Tipo de Movimiento]]="Ingreso",tblMovimientos[[#This Row],[Ingreso]],-tblMovimientos[[#This Row],[Egreso]])</f>
        <v>-55.44</v>
      </c>
      <c r="Q950" s="91" t="str">
        <f>IF(tblMovimientos[[#This Row],[Cuenta Bancaria]]="","",_xlfn.XLOOKUP(tblMovimientos[[#This Row],[Cuenta Bancaria]],Cuentas!$C:$C,Cuentas!$A:$A,"No encontrado"))</f>
        <v>Carmen Cross Irrevocable Trust</v>
      </c>
      <c r="R950" s="91" t="str">
        <f>TRIM(_xlfn.XLOOKUP(tblMovimientos[[#This Row],[Cuenta Bancaria]],Cuentas!$C:$C,Cuentas!$B:$B,""))</f>
        <v/>
      </c>
    </row>
    <row r="951" spans="1:18" x14ac:dyDescent="0.3">
      <c r="B951" s="39">
        <v>46273</v>
      </c>
      <c r="C951" s="46" t="str">
        <f>_xlfn.XLOOKUP(tblMovimientos[[#This Row],[Cuenta Bancaria]],Listas!$B:$B,Listas!$A:$A,"")</f>
        <v>Nobe Aparments</v>
      </c>
      <c r="D951" s="41" t="s">
        <v>191</v>
      </c>
      <c r="E951" s="80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47.06</v>
      </c>
      <c r="K951" s="5">
        <f t="shared" si="10"/>
        <v>-47.06</v>
      </c>
      <c r="L951" s="15" t="s">
        <v>133</v>
      </c>
      <c r="M951" s="44">
        <f>SUMIFS('Saldos Iniciales'!$D:$D,'Saldos Iniciales'!$A:$A,C951,'Saldos Iniciales'!$B:$B,D951)+SUMIFS($K$1:$K$1325,$C$1:$C$1325,C951,$D$1:$D$1325,D951,$B$1:$B$1325,"&lt;="&amp;B951)</f>
        <v>210893.52</v>
      </c>
      <c r="N951" s="65" t="str">
        <f>IF(tblMovimientos[[#This Row],[Tipo de Movimiento]]="Ingreso",tblMovimientos[[#This Row],[Monto (S/)]],"0")</f>
        <v>0</v>
      </c>
      <c r="O951" s="65">
        <f>IF(tblMovimientos[[#This Row],[Tipo de Movimiento]]="Egreso",tblMovimientos[[#This Row],[Monto (S/)]],"0")</f>
        <v>47.06</v>
      </c>
      <c r="P951" s="28">
        <f>IF(tblMovimientos[[#This Row],[Tipo de Movimiento]]="Ingreso",tblMovimientos[[#This Row],[Ingreso]],-tblMovimientos[[#This Row],[Egreso]])</f>
        <v>-47.06</v>
      </c>
      <c r="Q951" s="91" t="str">
        <f>IF(tblMovimientos[[#This Row],[Cuenta Bancaria]]="","",_xlfn.XLOOKUP(tblMovimientos[[#This Row],[Cuenta Bancaria]],Cuentas!$C:$C,Cuentas!$A:$A,"No encontrado"))</f>
        <v>Carmen Cross / Estate</v>
      </c>
      <c r="R951" s="91" t="str">
        <f>TRIM(_xlfn.XLOOKUP(tblMovimientos[[#This Row],[Cuenta Bancaria]],Cuentas!$C:$C,Cuentas!$B:$B,""))</f>
        <v/>
      </c>
    </row>
    <row r="952" spans="1:18" x14ac:dyDescent="0.3">
      <c r="B952" s="39">
        <v>46273</v>
      </c>
      <c r="C952" s="46" t="str">
        <f>_xlfn.XLOOKUP(tblMovimientos[[#This Row],[Cuenta Bancaria]],Listas!$B:$B,Listas!$A:$A,"")</f>
        <v>Electrama</v>
      </c>
      <c r="D952" s="41" t="s">
        <v>113</v>
      </c>
      <c r="E952" s="80" t="str">
        <f>_xlfn.XLOOKUP(tblMovimientos[[#This Row],[Cuenta Bancaria]],Listas!$B:$B,Listas!$C:$C,"")</f>
        <v>Chase Bank</v>
      </c>
      <c r="F952" s="41" t="s">
        <v>10</v>
      </c>
      <c r="G952" s="41" t="s">
        <v>40</v>
      </c>
      <c r="H952" s="4" t="str">
        <f>IFERROR(_xlfn.XLOOKUP(G952,Listas!E:E,Listas!F:F,""),"")</f>
        <v>Operativo</v>
      </c>
      <c r="I952" s="81" t="str">
        <f>IFERROR(_xlfn.XLOOKUP(G952,Listas!E:E,Listas!G:G,""),"")</f>
        <v>Externo</v>
      </c>
      <c r="J952" s="43">
        <v>1270.1300000000001</v>
      </c>
      <c r="K952" s="5">
        <f t="shared" si="10"/>
        <v>-1270.1300000000001</v>
      </c>
      <c r="L952" s="15" t="s">
        <v>133</v>
      </c>
      <c r="M952" s="44">
        <f>SUMIFS('Saldos Iniciales'!$D:$D,'Saldos Iniciales'!$A:$A,C952,'Saldos Iniciales'!$B:$B,D952)+SUMIFS($K$1:$K$1325,$C$1:$C$1325,C952,$D$1:$D$1325,D952,$B$1:$B$1325,"&lt;="&amp;B952)</f>
        <v>11744.75</v>
      </c>
      <c r="N952" s="65" t="str">
        <f>IF(tblMovimientos[[#This Row],[Tipo de Movimiento]]="Ingreso",tblMovimientos[[#This Row],[Monto (S/)]],"0")</f>
        <v>0</v>
      </c>
      <c r="O952" s="65">
        <f>IF(tblMovimientos[[#This Row],[Tipo de Movimiento]]="Egreso",tblMovimientos[[#This Row],[Monto (S/)]],"0")</f>
        <v>1270.1300000000001</v>
      </c>
      <c r="P952" s="28">
        <f>IF(tblMovimientos[[#This Row],[Tipo de Movimiento]]="Ingreso",tblMovimientos[[#This Row],[Ingreso]],-tblMovimientos[[#This Row],[Egreso]])</f>
        <v>-1270.1300000000001</v>
      </c>
      <c r="Q952" s="91" t="str">
        <f>IF(tblMovimientos[[#This Row],[Cuenta Bancaria]]="","",_xlfn.XLOOKUP(tblMovimientos[[#This Row],[Cuenta Bancaria]],Cuentas!$C:$C,Cuentas!$A:$A,"No encontrado"))</f>
        <v>SSP Group</v>
      </c>
      <c r="R952" s="91" t="str">
        <f>TRIM(_xlfn.XLOOKUP(tblMovimientos[[#This Row],[Cuenta Bancaria]],Cuentas!$C:$C,Cuentas!$B:$B,""))</f>
        <v/>
      </c>
    </row>
    <row r="953" spans="1:18" x14ac:dyDescent="0.3">
      <c r="B953" s="39">
        <v>46274</v>
      </c>
      <c r="C953" s="46" t="str">
        <f>_xlfn.XLOOKUP(tblMovimientos[[#This Row],[Cuenta Bancaria]],Listas!$B:$B,Listas!$A:$A,"")</f>
        <v>CFT Group</v>
      </c>
      <c r="D953" s="41" t="s">
        <v>95</v>
      </c>
      <c r="E953" s="4" t="str">
        <f>_xlfn.XLOOKUP(tblMovimientos[[#This Row],[Cuenta Bancaria]],Listas!$B:$B,Listas!$C:$C,"")</f>
        <v xml:space="preserve">Amerant Bank </v>
      </c>
      <c r="F953" s="41" t="s">
        <v>10</v>
      </c>
      <c r="G953" s="41" t="s">
        <v>38</v>
      </c>
      <c r="H953" s="4" t="str">
        <f>IFERROR(_xlfn.XLOOKUP(G953,Listas!E:E,Listas!F:F,""),"")</f>
        <v>Operativo</v>
      </c>
      <c r="I953" s="46" t="str">
        <f>IFERROR(_xlfn.XLOOKUP(G953,Listas!E:E,Listas!G:G,""),"")</f>
        <v>Externo</v>
      </c>
      <c r="J953" s="43">
        <v>600</v>
      </c>
      <c r="K953" s="5">
        <f t="shared" si="10"/>
        <v>-600</v>
      </c>
      <c r="L953" s="15" t="s">
        <v>133</v>
      </c>
      <c r="M953" s="44">
        <f>SUMIFS('Saldos Iniciales'!$D:$D,'Saldos Iniciales'!$A:$A,C953,'Saldos Iniciales'!$B:$B,D953)+SUMIFS($K$1:$K$1325,$C$1:$C$1325,C953,$D$1:$D$1325,D953,$B$1:$B$1325,"&lt;="&amp;B953)</f>
        <v>1632747.0200000009</v>
      </c>
      <c r="N953" s="65" t="str">
        <f>IF(tblMovimientos[[#This Row],[Tipo de Movimiento]]="Ingreso",tblMovimientos[[#This Row],[Monto (S/)]],"0")</f>
        <v>0</v>
      </c>
      <c r="O953" s="65">
        <f>IF(tblMovimientos[[#This Row],[Tipo de Movimiento]]="Egreso",tblMovimientos[[#This Row],[Monto (S/)]],"0")</f>
        <v>600</v>
      </c>
      <c r="P953" s="28">
        <f>IF(tblMovimientos[[#This Row],[Tipo de Movimiento]]="Ingreso",tblMovimientos[[#This Row],[Ingreso]],-tblMovimientos[[#This Row],[Egreso]])</f>
        <v>-600</v>
      </c>
      <c r="Q953" s="91" t="str">
        <f>IF(tblMovimientos[[#This Row],[Cuenta Bancaria]]="","",_xlfn.XLOOKUP(tblMovimientos[[#This Row],[Cuenta Bancaria]],Cuentas!$C:$C,Cuentas!$A:$A,"No encontrado"))</f>
        <v>SSP Group</v>
      </c>
      <c r="R953" s="91" t="str">
        <f>TRIM(_xlfn.XLOOKUP(tblMovimientos[[#This Row],[Cuenta Bancaria]],Cuentas!$C:$C,Cuentas!$B:$B,""))</f>
        <v/>
      </c>
    </row>
    <row r="954" spans="1:18" x14ac:dyDescent="0.3">
      <c r="B954" s="39">
        <v>46274</v>
      </c>
      <c r="C954" s="46" t="str">
        <f>_xlfn.XLOOKUP(tblMovimientos[[#This Row],[Cuenta Bancaria]],Listas!$B:$B,Listas!$A:$A,"")</f>
        <v>Cross Family Trust</v>
      </c>
      <c r="D954" s="41" t="s">
        <v>111</v>
      </c>
      <c r="E954" s="4" t="str">
        <f>_xlfn.XLOOKUP(tblMovimientos[[#This Row],[Cuenta Bancaria]],Listas!$B:$B,Listas!$C:$C,"")</f>
        <v xml:space="preserve">Amerant Bank </v>
      </c>
      <c r="F954" s="41" t="s">
        <v>10</v>
      </c>
      <c r="G954" s="41" t="s">
        <v>53</v>
      </c>
      <c r="H954" s="4" t="str">
        <f>IFERROR(_xlfn.XLOOKUP(G954,Listas!E:E,Listas!F:F,""),"")</f>
        <v>Inversion</v>
      </c>
      <c r="I954" s="46" t="str">
        <f>IFERROR(_xlfn.XLOOKUP(G954,Listas!E:E,Listas!G:G,""),"")</f>
        <v>Interno</v>
      </c>
      <c r="J954" s="43">
        <v>20000</v>
      </c>
      <c r="K954" s="5">
        <f t="shared" si="10"/>
        <v>-20000</v>
      </c>
      <c r="L954" s="15" t="s">
        <v>133</v>
      </c>
      <c r="M954" s="44">
        <f>SUMIFS('Saldos Iniciales'!$D:$D,'Saldos Iniciales'!$A:$A,C954,'Saldos Iniciales'!$B:$B,D954)+SUMIFS($K$1:$K$1325,$C$1:$C$1325,C954,$D$1:$D$1325,D954,$B$1:$B$1325,"&lt;="&amp;B954)</f>
        <v>132999.36000000002</v>
      </c>
      <c r="N954" s="65" t="str">
        <f>IF(tblMovimientos[[#This Row],[Tipo de Movimiento]]="Ingreso",tblMovimientos[[#This Row],[Monto (S/)]],"0")</f>
        <v>0</v>
      </c>
      <c r="O954" s="65">
        <f>IF(tblMovimientos[[#This Row],[Tipo de Movimiento]]="Egreso",tblMovimientos[[#This Row],[Monto (S/)]],"0")</f>
        <v>20000</v>
      </c>
      <c r="P954" s="28">
        <f>IF(tblMovimientos[[#This Row],[Tipo de Movimiento]]="Ingreso",tblMovimientos[[#This Row],[Ingreso]],-tblMovimientos[[#This Row],[Egreso]])</f>
        <v>-20000</v>
      </c>
      <c r="Q954" s="91" t="str">
        <f>IF(tblMovimientos[[#This Row],[Cuenta Bancaria]]="","",_xlfn.XLOOKUP(tblMovimientos[[#This Row],[Cuenta Bancaria]],Cuentas!$C:$C,Cuentas!$A:$A,"No encontrado"))</f>
        <v>Trust</v>
      </c>
      <c r="R954" s="91" t="str">
        <f>TRIM(_xlfn.XLOOKUP(tblMovimientos[[#This Row],[Cuenta Bancaria]],Cuentas!$C:$C,Cuentas!$B:$B,""))</f>
        <v/>
      </c>
    </row>
    <row r="955" spans="1:18" x14ac:dyDescent="0.3">
      <c r="B955" s="39">
        <v>46274</v>
      </c>
      <c r="C955" s="46" t="str">
        <f>_xlfn.XLOOKUP(tblMovimientos[[#This Row],[Cuenta Bancaria]],Listas!$B:$B,Listas!$A:$A,"")</f>
        <v>SSP Capital</v>
      </c>
      <c r="D955" s="41" t="s">
        <v>104</v>
      </c>
      <c r="E955" s="4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44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2446.1799999999998</v>
      </c>
      <c r="K955" s="5">
        <f t="shared" si="10"/>
        <v>-2446.1799999999998</v>
      </c>
      <c r="L955" s="15" t="s">
        <v>133</v>
      </c>
      <c r="M955" s="44">
        <f>SUMIFS('Saldos Iniciales'!$D:$D,'Saldos Iniciales'!$A:$A,C955,'Saldos Iniciales'!$B:$B,D955)+SUMIFS($K$1:$K$1325,$C$1:$C$1325,C955,$D$1:$D$1325,D955,$B$1:$B$1325,"&lt;="&amp;B955)</f>
        <v>635133.54999999935</v>
      </c>
      <c r="N955" s="65" t="str">
        <f>IF(tblMovimientos[[#This Row],[Tipo de Movimiento]]="Ingreso",tblMovimientos[[#This Row],[Monto (S/)]],"0")</f>
        <v>0</v>
      </c>
      <c r="O955" s="65">
        <f>IF(tblMovimientos[[#This Row],[Tipo de Movimiento]]="Egreso",tblMovimientos[[#This Row],[Monto (S/)]],"0")</f>
        <v>2446.1799999999998</v>
      </c>
      <c r="P955" s="28">
        <f>IF(tblMovimientos[[#This Row],[Tipo de Movimiento]]="Ingreso",tblMovimientos[[#This Row],[Ingreso]],-tblMovimientos[[#This Row],[Egreso]])</f>
        <v>-2446.1799999999998</v>
      </c>
      <c r="Q955" s="91" t="str">
        <f>IF(tblMovimientos[[#This Row],[Cuenta Bancaria]]="","",_xlfn.XLOOKUP(tblMovimientos[[#This Row],[Cuenta Bancaria]],Cuentas!$C:$C,Cuentas!$A:$A,"No encontrado"))</f>
        <v>SSP Group</v>
      </c>
      <c r="R955" s="91" t="str">
        <f>TRIM(_xlfn.XLOOKUP(tblMovimientos[[#This Row],[Cuenta Bancaria]],Cuentas!$C:$C,Cuentas!$B:$B,""))</f>
        <v/>
      </c>
    </row>
    <row r="956" spans="1:18" x14ac:dyDescent="0.3">
      <c r="B956" s="39">
        <v>46274</v>
      </c>
      <c r="C956" s="46" t="str">
        <f>_xlfn.XLOOKUP(tblMovimientos[[#This Row],[Cuenta Bancaria]],Listas!$B:$B,Listas!$A:$A,"")</f>
        <v>Green Harbor Trust</v>
      </c>
      <c r="D956" s="41" t="s">
        <v>125</v>
      </c>
      <c r="E956" s="4" t="str">
        <f>_xlfn.XLOOKUP(tblMovimientos[[#This Row],[Cuenta Bancaria]],Listas!$B:$B,Listas!$C:$C,"")</f>
        <v xml:space="preserve">Amerant Bank </v>
      </c>
      <c r="F956" s="41" t="s">
        <v>9</v>
      </c>
      <c r="G956" s="41" t="s">
        <v>77</v>
      </c>
      <c r="H956" s="4" t="str">
        <f>IFERROR(_xlfn.XLOOKUP(G956,Listas!E:E,Listas!F:F,""),"")</f>
        <v>Inversion</v>
      </c>
      <c r="I956" s="46" t="str">
        <f>IFERROR(_xlfn.XLOOKUP(G956,Listas!E:E,Listas!G:G,""),"")</f>
        <v>Interno</v>
      </c>
      <c r="J956" s="43">
        <v>20000</v>
      </c>
      <c r="K956" s="5">
        <f t="shared" si="10"/>
        <v>20000</v>
      </c>
      <c r="L956" s="15" t="s">
        <v>133</v>
      </c>
      <c r="M956" s="44">
        <f>SUMIFS('Saldos Iniciales'!$D:$D,'Saldos Iniciales'!$A:$A,C956,'Saldos Iniciales'!$B:$B,D956)+SUMIFS($K$1:$K$1325,$C$1:$C$1325,C956,$D$1:$D$1325,D956,$B$1:$B$1325,"&lt;="&amp;B956)</f>
        <v>345</v>
      </c>
      <c r="N956" s="65">
        <f>IF(tblMovimientos[[#This Row],[Tipo de Movimiento]]="Ingreso",tblMovimientos[[#This Row],[Monto (S/)]],"0")</f>
        <v>20000</v>
      </c>
      <c r="O956" s="65" t="str">
        <f>IF(tblMovimientos[[#This Row],[Tipo de Movimiento]]="Egreso",tblMovimientos[[#This Row],[Monto (S/)]],"0")</f>
        <v>0</v>
      </c>
      <c r="P956" s="28">
        <f>IF(tblMovimientos[[#This Row],[Tipo de Movimiento]]="Ingreso",tblMovimientos[[#This Row],[Ingreso]],-tblMovimientos[[#This Row],[Egreso]])</f>
        <v>20000</v>
      </c>
      <c r="Q956" s="91" t="str">
        <f>IF(tblMovimientos[[#This Row],[Cuenta Bancaria]]="","",_xlfn.XLOOKUP(tblMovimientos[[#This Row],[Cuenta Bancaria]],Cuentas!$C:$C,Cuentas!$A:$A,"No encontrado"))</f>
        <v>SSP Group</v>
      </c>
      <c r="R956" s="91" t="str">
        <f>TRIM(_xlfn.XLOOKUP(tblMovimientos[[#This Row],[Cuenta Bancaria]],Cuentas!$C:$C,Cuentas!$B:$B,""))</f>
        <v/>
      </c>
    </row>
    <row r="957" spans="1:18" x14ac:dyDescent="0.3">
      <c r="B957" s="39">
        <v>46274</v>
      </c>
      <c r="C957" s="46" t="str">
        <f>_xlfn.XLOOKUP(tblMovimientos[[#This Row],[Cuenta Bancaria]],Listas!$B:$B,Listas!$A:$A,"")</f>
        <v>Green Harbor Trust</v>
      </c>
      <c r="D957" s="41" t="s">
        <v>125</v>
      </c>
      <c r="E957" s="4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53</v>
      </c>
      <c r="H957" s="4" t="str">
        <f>IFERROR(_xlfn.XLOOKUP(G957,Listas!E:E,Listas!F:F,""),"")</f>
        <v>Inversion</v>
      </c>
      <c r="I957" s="46" t="str">
        <f>IFERROR(_xlfn.XLOOKUP(G957,Listas!E:E,Listas!G:G,""),"")</f>
        <v>Interno</v>
      </c>
      <c r="J957" s="43">
        <v>20000</v>
      </c>
      <c r="K957" s="5">
        <f t="shared" si="10"/>
        <v>-20000</v>
      </c>
      <c r="L957" s="15" t="s">
        <v>133</v>
      </c>
      <c r="M957" s="44">
        <f>SUMIFS('Saldos Iniciales'!$D:$D,'Saldos Iniciales'!$A:$A,C957,'Saldos Iniciales'!$B:$B,D957)+SUMIFS($K$1:$K$1325,$C$1:$C$1325,C957,$D$1:$D$1325,D957,$B$1:$B$1325,"&lt;="&amp;B957)</f>
        <v>345</v>
      </c>
      <c r="N957" s="65" t="str">
        <f>IF(tblMovimientos[[#This Row],[Tipo de Movimiento]]="Ingreso",tblMovimientos[[#This Row],[Monto (S/)]],"0")</f>
        <v>0</v>
      </c>
      <c r="O957" s="65">
        <f>IF(tblMovimientos[[#This Row],[Tipo de Movimiento]]="Egreso",tblMovimientos[[#This Row],[Monto (S/)]],"0")</f>
        <v>20000</v>
      </c>
      <c r="P957" s="28">
        <f>IF(tblMovimientos[[#This Row],[Tipo de Movimiento]]="Ingreso",tblMovimientos[[#This Row],[Ingreso]],-tblMovimientos[[#This Row],[Egreso]])</f>
        <v>-20000</v>
      </c>
      <c r="Q957" s="91" t="str">
        <f>IF(tblMovimientos[[#This Row],[Cuenta Bancaria]]="","",_xlfn.XLOOKUP(tblMovimientos[[#This Row],[Cuenta Bancaria]],Cuentas!$C:$C,Cuentas!$A:$A,"No encontrado"))</f>
        <v>SSP Group</v>
      </c>
      <c r="R957" s="91" t="str">
        <f>TRIM(_xlfn.XLOOKUP(tblMovimientos[[#This Row],[Cuenta Bancaria]],Cuentas!$C:$C,Cuentas!$B:$B,""))</f>
        <v/>
      </c>
    </row>
    <row r="958" spans="1:18" x14ac:dyDescent="0.3">
      <c r="B958" s="39">
        <v>46274</v>
      </c>
      <c r="C958" s="46" t="str">
        <f>_xlfn.XLOOKUP(tblMovimientos[[#This Row],[Cuenta Bancaria]],Listas!$B:$B,Listas!$A:$A,"")</f>
        <v>Go Blue</v>
      </c>
      <c r="D958" s="41" t="s">
        <v>126</v>
      </c>
      <c r="E958" s="4" t="str">
        <f>_xlfn.XLOOKUP(tblMovimientos[[#This Row],[Cuenta Bancaria]],Listas!$B:$B,Listas!$C:$C,"")</f>
        <v xml:space="preserve">Amerant Bank </v>
      </c>
      <c r="F958" s="41" t="s">
        <v>9</v>
      </c>
      <c r="G958" s="41" t="s">
        <v>77</v>
      </c>
      <c r="H958" s="4" t="str">
        <f>IFERROR(_xlfn.XLOOKUP(G958,Listas!E:E,Listas!F:F,""),"")</f>
        <v>Inversion</v>
      </c>
      <c r="I958" s="46" t="str">
        <f>IFERROR(_xlfn.XLOOKUP(G958,Listas!E:E,Listas!G:G,""),"")</f>
        <v>Interno</v>
      </c>
      <c r="J958" s="43">
        <v>20000</v>
      </c>
      <c r="K958" s="5">
        <f t="shared" si="10"/>
        <v>20000</v>
      </c>
      <c r="L958" s="15" t="s">
        <v>133</v>
      </c>
      <c r="M958" s="44">
        <f>SUMIFS('Saldos Iniciales'!$D:$D,'Saldos Iniciales'!$A:$A,C958,'Saldos Iniciales'!$B:$B,D958)+SUMIFS($K$1:$K$1325,$C$1:$C$1325,C958,$D$1:$D$1325,D958,$B$1:$B$1325,"&lt;="&amp;B958)</f>
        <v>23749.22</v>
      </c>
      <c r="N958" s="65">
        <f>IF(tblMovimientos[[#This Row],[Tipo de Movimiento]]="Ingreso",tblMovimientos[[#This Row],[Monto (S/)]],"0")</f>
        <v>20000</v>
      </c>
      <c r="O958" s="65" t="str">
        <f>IF(tblMovimientos[[#This Row],[Tipo de Movimiento]]="Egreso",tblMovimientos[[#This Row],[Monto (S/)]],"0")</f>
        <v>0</v>
      </c>
      <c r="P958" s="28">
        <f>IF(tblMovimientos[[#This Row],[Tipo de Movimiento]]="Ingreso",tblMovimientos[[#This Row],[Ingreso]],-tblMovimientos[[#This Row],[Egreso]])</f>
        <v>20000</v>
      </c>
      <c r="Q958" s="91" t="str">
        <f>IF(tblMovimientos[[#This Row],[Cuenta Bancaria]]="","",_xlfn.XLOOKUP(tblMovimientos[[#This Row],[Cuenta Bancaria]],Cuentas!$C:$C,Cuentas!$A:$A,"No encontrado"))</f>
        <v>SSP Group</v>
      </c>
      <c r="R958" s="91" t="str">
        <f>TRIM(_xlfn.XLOOKUP(tblMovimientos[[#This Row],[Cuenta Bancaria]],Cuentas!$C:$C,Cuentas!$B:$B,""))</f>
        <v/>
      </c>
    </row>
    <row r="959" spans="1:18" x14ac:dyDescent="0.3">
      <c r="B959" s="39">
        <v>46274</v>
      </c>
      <c r="C959" s="46" t="str">
        <f>_xlfn.XLOOKUP(tblMovimientos[[#This Row],[Cuenta Bancaria]],Listas!$B:$B,Listas!$A:$A,"")</f>
        <v>Go Blue</v>
      </c>
      <c r="D959" s="41" t="s">
        <v>126</v>
      </c>
      <c r="E959" s="4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48.55</v>
      </c>
      <c r="K959" s="5">
        <f t="shared" si="10"/>
        <v>-48.55</v>
      </c>
      <c r="L959" s="15" t="s">
        <v>133</v>
      </c>
      <c r="M959" s="44">
        <f>SUMIFS('Saldos Iniciales'!$D:$D,'Saldos Iniciales'!$A:$A,C959,'Saldos Iniciales'!$B:$B,D959)+SUMIFS($K$1:$K$1325,$C$1:$C$1325,C959,$D$1:$D$1325,D959,$B$1:$B$1325,"&lt;="&amp;B959)</f>
        <v>23749.22</v>
      </c>
      <c r="N959" s="65" t="str">
        <f>IF(tblMovimientos[[#This Row],[Tipo de Movimiento]]="Ingreso",tblMovimientos[[#This Row],[Monto (S/)]],"0")</f>
        <v>0</v>
      </c>
      <c r="O959" s="65">
        <f>IF(tblMovimientos[[#This Row],[Tipo de Movimiento]]="Egreso",tblMovimientos[[#This Row],[Monto (S/)]],"0")</f>
        <v>48.55</v>
      </c>
      <c r="P959" s="28">
        <f>IF(tblMovimientos[[#This Row],[Tipo de Movimiento]]="Ingreso",tblMovimientos[[#This Row],[Ingreso]],-tblMovimientos[[#This Row],[Egreso]])</f>
        <v>-48.55</v>
      </c>
      <c r="Q959" s="91" t="str">
        <f>IF(tblMovimientos[[#This Row],[Cuenta Bancaria]]="","",_xlfn.XLOOKUP(tblMovimientos[[#This Row],[Cuenta Bancaria]],Cuentas!$C:$C,Cuentas!$A:$A,"No encontrado"))</f>
        <v>SSP Group</v>
      </c>
      <c r="R959" s="91" t="str">
        <f>TRIM(_xlfn.XLOOKUP(tblMovimientos[[#This Row],[Cuenta Bancaria]],Cuentas!$C:$C,Cuentas!$B:$B,""))</f>
        <v/>
      </c>
    </row>
    <row r="960" spans="1:18" x14ac:dyDescent="0.3">
      <c r="B960" s="39">
        <v>46274</v>
      </c>
      <c r="C960" s="46" t="str">
        <f>_xlfn.XLOOKUP(tblMovimientos[[#This Row],[Cuenta Bancaria]],Listas!$B:$B,Listas!$A:$A,"")</f>
        <v>Pacha Ventures LLC</v>
      </c>
      <c r="D960" s="41" t="s">
        <v>187</v>
      </c>
      <c r="E960" s="80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50.99</v>
      </c>
      <c r="K960" s="5">
        <f t="shared" si="10"/>
        <v>-50.99</v>
      </c>
      <c r="L960" s="15" t="s">
        <v>133</v>
      </c>
      <c r="M960" s="44">
        <f>SUMIFS('Saldos Iniciales'!$D:$D,'Saldos Iniciales'!$A:$A,C960,'Saldos Iniciales'!$B:$B,D960)+SUMIFS($K$1:$K$1325,$C$1:$C$1325,C960,$D$1:$D$1325,D960,$B$1:$B$1325,"&lt;="&amp;B960)</f>
        <v>298792.34000000003</v>
      </c>
      <c r="N960" s="65" t="str">
        <f>IF(tblMovimientos[[#This Row],[Tipo de Movimiento]]="Ingreso",tblMovimientos[[#This Row],[Monto (S/)]],"0")</f>
        <v>0</v>
      </c>
      <c r="O960" s="65">
        <f>IF(tblMovimientos[[#This Row],[Tipo de Movimiento]]="Egreso",tblMovimientos[[#This Row],[Monto (S/)]],"0")</f>
        <v>50.99</v>
      </c>
      <c r="P960" s="28">
        <f>IF(tblMovimientos[[#This Row],[Tipo de Movimiento]]="Ingreso",tblMovimientos[[#This Row],[Ingreso]],-tblMovimientos[[#This Row],[Egreso]])</f>
        <v>-50.99</v>
      </c>
      <c r="Q960" s="91" t="str">
        <f>IF(tblMovimientos[[#This Row],[Cuenta Bancaria]]="","",_xlfn.XLOOKUP(tblMovimientos[[#This Row],[Cuenta Bancaria]],Cuentas!$C:$C,Cuentas!$A:$A,"No encontrado"))</f>
        <v>Michael Cross</v>
      </c>
      <c r="R960" s="91" t="str">
        <f>TRIM(_xlfn.XLOOKUP(tblMovimientos[[#This Row],[Cuenta Bancaria]],Cuentas!$C:$C,Cuentas!$B:$B,""))</f>
        <v/>
      </c>
    </row>
    <row r="961" spans="2:18" x14ac:dyDescent="0.3">
      <c r="B961" s="39">
        <v>46274</v>
      </c>
      <c r="C961" s="46" t="str">
        <f>_xlfn.XLOOKUP(tblMovimientos[[#This Row],[Cuenta Bancaria]],Listas!$B:$B,Listas!$A:$A,"")</f>
        <v>CFT 1 residence LLC</v>
      </c>
      <c r="D961" s="41" t="s">
        <v>184</v>
      </c>
      <c r="E961" s="80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39.14</v>
      </c>
      <c r="K961" s="5">
        <f t="shared" si="10"/>
        <v>-39.14</v>
      </c>
      <c r="L961" s="15" t="s">
        <v>133</v>
      </c>
      <c r="M961" s="44">
        <f>SUMIFS('Saldos Iniciales'!$D:$D,'Saldos Iniciales'!$A:$A,C961,'Saldos Iniciales'!$B:$B,D961)+SUMIFS($K$1:$K$1325,$C$1:$C$1325,C961,$D$1:$D$1325,D961,$B$1:$B$1325,"&lt;="&amp;B961)</f>
        <v>17302.359999999997</v>
      </c>
      <c r="N961" s="65" t="str">
        <f>IF(tblMovimientos[[#This Row],[Tipo de Movimiento]]="Ingreso",tblMovimientos[[#This Row],[Monto (S/)]],"0")</f>
        <v>0</v>
      </c>
      <c r="O961" s="65">
        <f>IF(tblMovimientos[[#This Row],[Tipo de Movimiento]]="Egreso",tblMovimientos[[#This Row],[Monto (S/)]],"0")</f>
        <v>39.14</v>
      </c>
      <c r="P961" s="28">
        <f>IF(tblMovimientos[[#This Row],[Tipo de Movimiento]]="Ingreso",tblMovimientos[[#This Row],[Ingreso]],-tblMovimientos[[#This Row],[Egreso]])</f>
        <v>-39.14</v>
      </c>
      <c r="Q961" s="91" t="str">
        <f>IF(tblMovimientos[[#This Row],[Cuenta Bancaria]]="","",_xlfn.XLOOKUP(tblMovimientos[[#This Row],[Cuenta Bancaria]],Cuentas!$C:$C,Cuentas!$A:$A,"No encontrado"))</f>
        <v>Carmen Cross Irrevocable Trust</v>
      </c>
      <c r="R961" s="91" t="str">
        <f>TRIM(_xlfn.XLOOKUP(tblMovimientos[[#This Row],[Cuenta Bancaria]],Cuentas!$C:$C,Cuentas!$B:$B,""))</f>
        <v/>
      </c>
    </row>
    <row r="962" spans="2:18" x14ac:dyDescent="0.3">
      <c r="B962" s="39">
        <v>46274</v>
      </c>
      <c r="C962" s="46" t="str">
        <f>_xlfn.XLOOKUP(tblMovimientos[[#This Row],[Cuenta Bancaria]],Listas!$B:$B,Listas!$A:$A,"")</f>
        <v>CFT 1 residence LLC</v>
      </c>
      <c r="D962" s="41" t="s">
        <v>184</v>
      </c>
      <c r="E962" s="80" t="str">
        <f>_xlfn.XLOOKUP(tblMovimientos[[#This Row],[Cuenta Bancaria]],Listas!$B:$B,Listas!$C:$C,"")</f>
        <v xml:space="preserve">Amerant Bank 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874</v>
      </c>
      <c r="K962" s="5">
        <f t="shared" si="10"/>
        <v>-874</v>
      </c>
      <c r="L962" s="15" t="s">
        <v>133</v>
      </c>
      <c r="M962" s="44">
        <f>SUMIFS('Saldos Iniciales'!$D:$D,'Saldos Iniciales'!$A:$A,C962,'Saldos Iniciales'!$B:$B,D962)+SUMIFS($K$1:$K$1325,$C$1:$C$1325,C962,$D$1:$D$1325,D962,$B$1:$B$1325,"&lt;="&amp;B962)</f>
        <v>17302.359999999997</v>
      </c>
      <c r="N962" s="65" t="str">
        <f>IF(tblMovimientos[[#This Row],[Tipo de Movimiento]]="Ingreso",tblMovimientos[[#This Row],[Monto (S/)]],"0")</f>
        <v>0</v>
      </c>
      <c r="O962" s="65">
        <f>IF(tblMovimientos[[#This Row],[Tipo de Movimiento]]="Egreso",tblMovimientos[[#This Row],[Monto (S/)]],"0")</f>
        <v>874</v>
      </c>
      <c r="P962" s="28">
        <f>IF(tblMovimientos[[#This Row],[Tipo de Movimiento]]="Ingreso",tblMovimientos[[#This Row],[Ingreso]],-tblMovimientos[[#This Row],[Egreso]])</f>
        <v>-874</v>
      </c>
      <c r="Q962" s="91" t="str">
        <f>IF(tblMovimientos[[#This Row],[Cuenta Bancaria]]="","",_xlfn.XLOOKUP(tblMovimientos[[#This Row],[Cuenta Bancaria]],Cuentas!$C:$C,Cuentas!$A:$A,"No encontrado"))</f>
        <v>Carmen Cross Irrevocable Trust</v>
      </c>
      <c r="R962" s="91" t="str">
        <f>TRIM(_xlfn.XLOOKUP(tblMovimientos[[#This Row],[Cuenta Bancaria]],Cuentas!$C:$C,Cuentas!$B:$B,""))</f>
        <v/>
      </c>
    </row>
    <row r="963" spans="2:18" x14ac:dyDescent="0.3">
      <c r="B963" s="39">
        <v>46275</v>
      </c>
      <c r="C963" s="46" t="str">
        <f>_xlfn.XLOOKUP(tblMovimientos[[#This Row],[Cuenta Bancaria]],Listas!$B:$B,Listas!$A:$A,"")</f>
        <v>A&amp;M Imports</v>
      </c>
      <c r="D963" s="41" t="s">
        <v>100</v>
      </c>
      <c r="E963" s="4" t="str">
        <f>_xlfn.XLOOKUP(tblMovimientos[[#This Row],[Cuenta Bancaria]],Listas!$B:$B,Listas!$C:$C,"")</f>
        <v>Bank of America</v>
      </c>
      <c r="F963" s="41" t="s">
        <v>10</v>
      </c>
      <c r="G963" s="41" t="s">
        <v>61</v>
      </c>
      <c r="H963" s="4" t="str">
        <f>IFERROR(_xlfn.XLOOKUP(G963,Listas!E:E,Listas!F:F,""),"")</f>
        <v>Operativo</v>
      </c>
      <c r="I963" s="46" t="str">
        <f>IFERROR(_xlfn.XLOOKUP(G963,Listas!E:E,Listas!G:G,""),"")</f>
        <v>Externo</v>
      </c>
      <c r="J963" s="43">
        <v>60000</v>
      </c>
      <c r="K963" s="5">
        <f t="shared" si="10"/>
        <v>-60000</v>
      </c>
      <c r="L963" s="15" t="s">
        <v>133</v>
      </c>
      <c r="M963" s="44">
        <f>SUMIFS('Saldos Iniciales'!$D:$D,'Saldos Iniciales'!$A:$A,C963,'Saldos Iniciales'!$B:$B,D963)+SUMIFS($K$1:$K$1325,$C$1:$C$1325,C963,$D$1:$D$1325,D963,$B$1:$B$1325,"&lt;="&amp;B963)</f>
        <v>1089169.99</v>
      </c>
      <c r="N963" s="65" t="str">
        <f>IF(tblMovimientos[[#This Row],[Tipo de Movimiento]]="Ingreso",tblMovimientos[[#This Row],[Monto (S/)]],"0")</f>
        <v>0</v>
      </c>
      <c r="O963" s="65">
        <f>IF(tblMovimientos[[#This Row],[Tipo de Movimiento]]="Egreso",tblMovimientos[[#This Row],[Monto (S/)]],"0")</f>
        <v>60000</v>
      </c>
      <c r="P963" s="28">
        <f>IF(tblMovimientos[[#This Row],[Tipo de Movimiento]]="Ingreso",tblMovimientos[[#This Row],[Ingreso]],-tblMovimientos[[#This Row],[Egreso]])</f>
        <v>-60000</v>
      </c>
      <c r="Q963" s="91" t="str">
        <f>IF(tblMovimientos[[#This Row],[Cuenta Bancaria]]="","",_xlfn.XLOOKUP(tblMovimientos[[#This Row],[Cuenta Bancaria]],Cuentas!$C:$C,Cuentas!$A:$A,"No encontrado"))</f>
        <v>SSP Group</v>
      </c>
      <c r="R963" s="91" t="str">
        <f>TRIM(_xlfn.XLOOKUP(tblMovimientos[[#This Row],[Cuenta Bancaria]],Cuentas!$C:$C,Cuentas!$B:$B,""))</f>
        <v>Cross Security Trust</v>
      </c>
    </row>
    <row r="964" spans="2:18" x14ac:dyDescent="0.3">
      <c r="B964" s="39">
        <v>46275</v>
      </c>
      <c r="C964" s="46" t="str">
        <f>_xlfn.XLOOKUP(tblMovimientos[[#This Row],[Cuenta Bancaria]],Listas!$B:$B,Listas!$A:$A,"")</f>
        <v>A&amp;M Imports</v>
      </c>
      <c r="D964" s="41" t="s">
        <v>100</v>
      </c>
      <c r="E964" s="4" t="str">
        <f>_xlfn.XLOOKUP(tblMovimientos[[#This Row],[Cuenta Bancaria]],Listas!$B:$B,Listas!$C:$C,"")</f>
        <v>Bank of America</v>
      </c>
      <c r="F964" s="41" t="s">
        <v>10</v>
      </c>
      <c r="G964" s="41" t="s">
        <v>61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70000</v>
      </c>
      <c r="K964" s="5">
        <f t="shared" si="10"/>
        <v>-70000</v>
      </c>
      <c r="L964" s="15" t="s">
        <v>133</v>
      </c>
      <c r="M964" s="44">
        <f>SUMIFS('Saldos Iniciales'!$D:$D,'Saldos Iniciales'!$A:$A,C964,'Saldos Iniciales'!$B:$B,D964)+SUMIFS($K$1:$K$1325,$C$1:$C$1325,C964,$D$1:$D$1325,D964,$B$1:$B$1325,"&lt;="&amp;B964)</f>
        <v>1089169.99</v>
      </c>
      <c r="N964" s="65" t="str">
        <f>IF(tblMovimientos[[#This Row],[Tipo de Movimiento]]="Ingreso",tblMovimientos[[#This Row],[Monto (S/)]],"0")</f>
        <v>0</v>
      </c>
      <c r="O964" s="65">
        <f>IF(tblMovimientos[[#This Row],[Tipo de Movimiento]]="Egreso",tblMovimientos[[#This Row],[Monto (S/)]],"0")</f>
        <v>70000</v>
      </c>
      <c r="P964" s="28">
        <f>IF(tblMovimientos[[#This Row],[Tipo de Movimiento]]="Ingreso",tblMovimientos[[#This Row],[Ingreso]],-tblMovimientos[[#This Row],[Egreso]])</f>
        <v>-70000</v>
      </c>
      <c r="Q964" s="91" t="str">
        <f>IF(tblMovimientos[[#This Row],[Cuenta Bancaria]]="","",_xlfn.XLOOKUP(tblMovimientos[[#This Row],[Cuenta Bancaria]],Cuentas!$C:$C,Cuentas!$A:$A,"No encontrado"))</f>
        <v>SSP Group</v>
      </c>
      <c r="R964" s="91" t="str">
        <f>TRIM(_xlfn.XLOOKUP(tblMovimientos[[#This Row],[Cuenta Bancaria]],Cuentas!$C:$C,Cuentas!$B:$B,""))</f>
        <v>Cross Security Trust</v>
      </c>
    </row>
    <row r="965" spans="2:18" x14ac:dyDescent="0.3">
      <c r="B965" s="39">
        <v>46275</v>
      </c>
      <c r="C965" s="46" t="str">
        <f>_xlfn.XLOOKUP(tblMovimientos[[#This Row],[Cuenta Bancaria]],Listas!$B:$B,Listas!$A:$A,"")</f>
        <v>A&amp;M Imports</v>
      </c>
      <c r="D965" s="41" t="s">
        <v>100</v>
      </c>
      <c r="E965" s="4" t="str">
        <f>_xlfn.XLOOKUP(tblMovimientos[[#This Row],[Cuenta Bancaria]],Listas!$B:$B,Listas!$C:$C,"")</f>
        <v>Bank of America</v>
      </c>
      <c r="F965" s="41" t="s">
        <v>10</v>
      </c>
      <c r="G965" s="41" t="s">
        <v>61</v>
      </c>
      <c r="H965" s="4" t="str">
        <f>IFERROR(_xlfn.XLOOKUP(G965,Listas!E:E,Listas!F:F,""),"")</f>
        <v>Operativo</v>
      </c>
      <c r="I965" s="46" t="str">
        <f>IFERROR(_xlfn.XLOOKUP(G965,Listas!E:E,Listas!G:G,""),"")</f>
        <v>Externo</v>
      </c>
      <c r="J965" s="43">
        <v>37500</v>
      </c>
      <c r="K965" s="5">
        <f t="shared" si="10"/>
        <v>-37500</v>
      </c>
      <c r="L965" s="15" t="s">
        <v>133</v>
      </c>
      <c r="M965" s="44">
        <f>SUMIFS('Saldos Iniciales'!$D:$D,'Saldos Iniciales'!$A:$A,C965,'Saldos Iniciales'!$B:$B,D965)+SUMIFS($K$1:$K$1325,$C$1:$C$1325,C965,$D$1:$D$1325,D965,$B$1:$B$1325,"&lt;="&amp;B965)</f>
        <v>1089169.99</v>
      </c>
      <c r="N965" s="65" t="str">
        <f>IF(tblMovimientos[[#This Row],[Tipo de Movimiento]]="Ingreso",tblMovimientos[[#This Row],[Monto (S/)]],"0")</f>
        <v>0</v>
      </c>
      <c r="O965" s="65">
        <f>IF(tblMovimientos[[#This Row],[Tipo de Movimiento]]="Egreso",tblMovimientos[[#This Row],[Monto (S/)]],"0")</f>
        <v>37500</v>
      </c>
      <c r="P965" s="28">
        <f>IF(tblMovimientos[[#This Row],[Tipo de Movimiento]]="Ingreso",tblMovimientos[[#This Row],[Ingreso]],-tblMovimientos[[#This Row],[Egreso]])</f>
        <v>-37500</v>
      </c>
      <c r="Q965" s="91" t="str">
        <f>IF(tblMovimientos[[#This Row],[Cuenta Bancaria]]="","",_xlfn.XLOOKUP(tblMovimientos[[#This Row],[Cuenta Bancaria]],Cuentas!$C:$C,Cuentas!$A:$A,"No encontrado"))</f>
        <v>SSP Group</v>
      </c>
      <c r="R965" s="91" t="str">
        <f>TRIM(_xlfn.XLOOKUP(tblMovimientos[[#This Row],[Cuenta Bancaria]],Cuentas!$C:$C,Cuentas!$B:$B,""))</f>
        <v>Cross Security Trust</v>
      </c>
    </row>
    <row r="966" spans="2:18" x14ac:dyDescent="0.3">
      <c r="B966" s="39">
        <v>46275</v>
      </c>
      <c r="C966" s="46" t="str">
        <f>_xlfn.XLOOKUP(tblMovimientos[[#This Row],[Cuenta Bancaria]],Listas!$B:$B,Listas!$A:$A,"")</f>
        <v>Go Blue</v>
      </c>
      <c r="D966" s="41" t="s">
        <v>165</v>
      </c>
      <c r="E966" s="4" t="str">
        <f>_xlfn.XLOOKUP(tblMovimientos[[#This Row],[Cuenta Bancaria]],Listas!$B:$B,Listas!$C:$C,"")</f>
        <v xml:space="preserve">Amerant Bank </v>
      </c>
      <c r="F966" s="41" t="s">
        <v>9</v>
      </c>
      <c r="G966" s="41" t="s">
        <v>85</v>
      </c>
      <c r="H966" s="4" t="str">
        <f>IFERROR(_xlfn.XLOOKUP(G966,Listas!E:E,Listas!F:F,""),"")</f>
        <v>Operativo</v>
      </c>
      <c r="I966" s="46" t="str">
        <f>IFERROR(_xlfn.XLOOKUP(G966,Listas!E:E,Listas!G:G,""),"")</f>
        <v>Interno</v>
      </c>
      <c r="J966" s="43">
        <v>5000</v>
      </c>
      <c r="K966" s="5">
        <f t="shared" si="10"/>
        <v>5000</v>
      </c>
      <c r="L966" s="15" t="s">
        <v>133</v>
      </c>
      <c r="M966" s="44">
        <f>SUMIFS('Saldos Iniciales'!$D:$D,'Saldos Iniciales'!$A:$A,C966,'Saldos Iniciales'!$B:$B,D966)+SUMIFS($K$1:$K$1325,$C$1:$C$1325,C966,$D$1:$D$1325,D966,$B$1:$B$1325,"&lt;="&amp;B966)</f>
        <v>6994.8200000000024</v>
      </c>
      <c r="N966" s="65">
        <f>IF(tblMovimientos[[#This Row],[Tipo de Movimiento]]="Ingreso",tblMovimientos[[#This Row],[Monto (S/)]],"0")</f>
        <v>5000</v>
      </c>
      <c r="O966" s="65" t="str">
        <f>IF(tblMovimientos[[#This Row],[Tipo de Movimiento]]="Egreso",tblMovimientos[[#This Row],[Monto (S/)]],"0")</f>
        <v>0</v>
      </c>
      <c r="P966" s="28">
        <f>IF(tblMovimientos[[#This Row],[Tipo de Movimiento]]="Ingreso",tblMovimientos[[#This Row],[Ingreso]],-tblMovimientos[[#This Row],[Egreso]])</f>
        <v>5000</v>
      </c>
      <c r="Q966" s="91" t="str">
        <f>IF(tblMovimientos[[#This Row],[Cuenta Bancaria]]="","",_xlfn.XLOOKUP(tblMovimientos[[#This Row],[Cuenta Bancaria]],Cuentas!$C:$C,Cuentas!$A:$A,"No encontrado"))</f>
        <v>SSP Group</v>
      </c>
      <c r="R966" s="91" t="str">
        <f>TRIM(_xlfn.XLOOKUP(tblMovimientos[[#This Row],[Cuenta Bancaria]],Cuentas!$C:$C,Cuentas!$B:$B,""))</f>
        <v/>
      </c>
    </row>
    <row r="967" spans="2:18" x14ac:dyDescent="0.3">
      <c r="B967" s="39">
        <v>46275</v>
      </c>
      <c r="C967" s="46" t="str">
        <f>_xlfn.XLOOKUP(tblMovimientos[[#This Row],[Cuenta Bancaria]],Listas!$B:$B,Listas!$A:$A,"")</f>
        <v>Go Blue</v>
      </c>
      <c r="D967" s="41" t="s">
        <v>165</v>
      </c>
      <c r="E967" s="4" t="str">
        <f>_xlfn.XLOOKUP(tblMovimientos[[#This Row],[Cuenta Bancaria]],Listas!$B:$B,Listas!$C:$C,"")</f>
        <v xml:space="preserve">Amerant Bank </v>
      </c>
      <c r="F967" s="41" t="s">
        <v>10</v>
      </c>
      <c r="G967" s="41" t="s">
        <v>38</v>
      </c>
      <c r="H967" s="4" t="str">
        <f>IFERROR(_xlfn.XLOOKUP(G967,Listas!E:E,Listas!F:F,""),"")</f>
        <v>Operativo</v>
      </c>
      <c r="I967" s="46" t="str">
        <f>IFERROR(_xlfn.XLOOKUP(G967,Listas!E:E,Listas!G:G,""),"")</f>
        <v>Externo</v>
      </c>
      <c r="J967" s="43">
        <v>68.53</v>
      </c>
      <c r="K967" s="5">
        <f t="shared" si="10"/>
        <v>-68.53</v>
      </c>
      <c r="L967" s="15" t="s">
        <v>133</v>
      </c>
      <c r="M967" s="44">
        <f>SUMIFS('Saldos Iniciales'!$D:$D,'Saldos Iniciales'!$A:$A,C967,'Saldos Iniciales'!$B:$B,D967)+SUMIFS($K$1:$K$1325,$C$1:$C$1325,C967,$D$1:$D$1325,D967,$B$1:$B$1325,"&lt;="&amp;B967)</f>
        <v>6994.8200000000024</v>
      </c>
      <c r="N967" s="65" t="str">
        <f>IF(tblMovimientos[[#This Row],[Tipo de Movimiento]]="Ingreso",tblMovimientos[[#This Row],[Monto (S/)]],"0")</f>
        <v>0</v>
      </c>
      <c r="O967" s="65">
        <f>IF(tblMovimientos[[#This Row],[Tipo de Movimiento]]="Egreso",tblMovimientos[[#This Row],[Monto (S/)]],"0")</f>
        <v>68.53</v>
      </c>
      <c r="P967" s="28">
        <f>IF(tblMovimientos[[#This Row],[Tipo de Movimiento]]="Ingreso",tblMovimientos[[#This Row],[Ingreso]],-tblMovimientos[[#This Row],[Egreso]])</f>
        <v>-68.53</v>
      </c>
      <c r="Q967" s="91" t="str">
        <f>IF(tblMovimientos[[#This Row],[Cuenta Bancaria]]="","",_xlfn.XLOOKUP(tblMovimientos[[#This Row],[Cuenta Bancaria]],Cuentas!$C:$C,Cuentas!$A:$A,"No encontrado"))</f>
        <v>SSP Group</v>
      </c>
      <c r="R967" s="91" t="str">
        <f>TRIM(_xlfn.XLOOKUP(tblMovimientos[[#This Row],[Cuenta Bancaria]],Cuentas!$C:$C,Cuentas!$B:$B,""))</f>
        <v/>
      </c>
    </row>
    <row r="968" spans="2:18" x14ac:dyDescent="0.3">
      <c r="B968" s="39">
        <v>46275</v>
      </c>
      <c r="C968" s="46" t="str">
        <f>_xlfn.XLOOKUP(tblMovimientos[[#This Row],[Cuenta Bancaria]],Listas!$B:$B,Listas!$A:$A,"")</f>
        <v>CFT Group</v>
      </c>
      <c r="D968" s="41" t="s">
        <v>95</v>
      </c>
      <c r="E968" s="4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46</v>
      </c>
      <c r="H968" s="4" t="str">
        <f>IFERROR(_xlfn.XLOOKUP(G968,Listas!E:E,Listas!F:F,""),"")</f>
        <v>Financiamiento</v>
      </c>
      <c r="I968" s="46" t="str">
        <f>IFERROR(_xlfn.XLOOKUP(G968,Listas!E:E,Listas!G:G,""),"")</f>
        <v>Externo</v>
      </c>
      <c r="J968" s="43">
        <v>5166.67</v>
      </c>
      <c r="K968" s="5">
        <f t="shared" si="10"/>
        <v>-5166.67</v>
      </c>
      <c r="L968" s="15" t="s">
        <v>133</v>
      </c>
      <c r="M968" s="44">
        <f>SUMIFS('Saldos Iniciales'!$D:$D,'Saldos Iniciales'!$A:$A,C968,'Saldos Iniciales'!$B:$B,D968)+SUMIFS($K$1:$K$1325,$C$1:$C$1325,C968,$D$1:$D$1325,D968,$B$1:$B$1325,"&lt;="&amp;B968)</f>
        <v>1165508.1300000011</v>
      </c>
      <c r="N968" s="65" t="str">
        <f>IF(tblMovimientos[[#This Row],[Tipo de Movimiento]]="Ingreso",tblMovimientos[[#This Row],[Monto (S/)]],"0")</f>
        <v>0</v>
      </c>
      <c r="O968" s="65">
        <f>IF(tblMovimientos[[#This Row],[Tipo de Movimiento]]="Egreso",tblMovimientos[[#This Row],[Monto (S/)]],"0")</f>
        <v>5166.67</v>
      </c>
      <c r="P968" s="28">
        <f>IF(tblMovimientos[[#This Row],[Tipo de Movimiento]]="Ingreso",tblMovimientos[[#This Row],[Ingreso]],-tblMovimientos[[#This Row],[Egreso]])</f>
        <v>-5166.67</v>
      </c>
      <c r="Q968" s="91" t="str">
        <f>IF(tblMovimientos[[#This Row],[Cuenta Bancaria]]="","",_xlfn.XLOOKUP(tblMovimientos[[#This Row],[Cuenta Bancaria]],Cuentas!$C:$C,Cuentas!$A:$A,"No encontrado"))</f>
        <v>SSP Group</v>
      </c>
      <c r="R968" s="91" t="str">
        <f>TRIM(_xlfn.XLOOKUP(tblMovimientos[[#This Row],[Cuenta Bancaria]],Cuentas!$C:$C,Cuentas!$B:$B,""))</f>
        <v/>
      </c>
    </row>
    <row r="969" spans="2:18" x14ac:dyDescent="0.3">
      <c r="B969" s="39">
        <v>46275</v>
      </c>
      <c r="C969" s="46" t="str">
        <f>_xlfn.XLOOKUP(tblMovimientos[[#This Row],[Cuenta Bancaria]],Listas!$B:$B,Listas!$A:$A,"")</f>
        <v>CFT Group</v>
      </c>
      <c r="D969" s="41" t="s">
        <v>95</v>
      </c>
      <c r="E969" s="4" t="str">
        <f>_xlfn.XLOOKUP(tblMovimientos[[#This Row],[Cuenta Bancaria]],Listas!$B:$B,Listas!$C:$C,"")</f>
        <v xml:space="preserve">Amerant Bank </v>
      </c>
      <c r="F969" s="41" t="s">
        <v>10</v>
      </c>
      <c r="G969" s="41" t="s">
        <v>46</v>
      </c>
      <c r="H969" s="4" t="str">
        <f>IFERROR(_xlfn.XLOOKUP(G969,Listas!E:E,Listas!F:F,""),"")</f>
        <v>Financiamiento</v>
      </c>
      <c r="I969" s="46" t="str">
        <f>IFERROR(_xlfn.XLOOKUP(G969,Listas!E:E,Listas!G:G,""),"")</f>
        <v>Externo</v>
      </c>
      <c r="J969" s="43">
        <v>22166.67</v>
      </c>
      <c r="K969" s="5">
        <f t="shared" si="10"/>
        <v>-22166.67</v>
      </c>
      <c r="L969" s="15" t="s">
        <v>133</v>
      </c>
      <c r="M969" s="44">
        <f>SUMIFS('Saldos Iniciales'!$D:$D,'Saldos Iniciales'!$A:$A,C969,'Saldos Iniciales'!$B:$B,D969)+SUMIFS($K$1:$K$1325,$C$1:$C$1325,C969,$D$1:$D$1325,D969,$B$1:$B$1325,"&lt;="&amp;B969)</f>
        <v>1165508.1300000011</v>
      </c>
      <c r="N969" s="65" t="str">
        <f>IF(tblMovimientos[[#This Row],[Tipo de Movimiento]]="Ingreso",tblMovimientos[[#This Row],[Monto (S/)]],"0")</f>
        <v>0</v>
      </c>
      <c r="O969" s="65">
        <f>IF(tblMovimientos[[#This Row],[Tipo de Movimiento]]="Egreso",tblMovimientos[[#This Row],[Monto (S/)]],"0")</f>
        <v>22166.67</v>
      </c>
      <c r="P969" s="28">
        <f>IF(tblMovimientos[[#This Row],[Tipo de Movimiento]]="Ingreso",tblMovimientos[[#This Row],[Ingreso]],-tblMovimientos[[#This Row],[Egreso]])</f>
        <v>-22166.67</v>
      </c>
      <c r="Q969" s="91" t="str">
        <f>IF(tblMovimientos[[#This Row],[Cuenta Bancaria]]="","",_xlfn.XLOOKUP(tblMovimientos[[#This Row],[Cuenta Bancaria]],Cuentas!$C:$C,Cuentas!$A:$A,"No encontrado"))</f>
        <v>SSP Group</v>
      </c>
      <c r="R969" s="91" t="str">
        <f>TRIM(_xlfn.XLOOKUP(tblMovimientos[[#This Row],[Cuenta Bancaria]],Cuentas!$C:$C,Cuentas!$B:$B,""))</f>
        <v/>
      </c>
    </row>
    <row r="970" spans="2:18" x14ac:dyDescent="0.3">
      <c r="B970" s="39">
        <v>46275</v>
      </c>
      <c r="C970" s="46" t="str">
        <f>_xlfn.XLOOKUP(tblMovimientos[[#This Row],[Cuenta Bancaria]],Listas!$B:$B,Listas!$A:$A,"")</f>
        <v>CFT Group</v>
      </c>
      <c r="D970" s="41" t="s">
        <v>95</v>
      </c>
      <c r="E970" s="4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46</v>
      </c>
      <c r="H970" s="4" t="str">
        <f>IFERROR(_xlfn.XLOOKUP(G970,Listas!E:E,Listas!F:F,""),"")</f>
        <v>Financiamiento</v>
      </c>
      <c r="I970" s="46" t="str">
        <f>IFERROR(_xlfn.XLOOKUP(G970,Listas!E:E,Listas!G:G,""),"")</f>
        <v>Externo</v>
      </c>
      <c r="J970" s="43">
        <v>24111.11</v>
      </c>
      <c r="K970" s="5">
        <f t="shared" si="10"/>
        <v>-24111.11</v>
      </c>
      <c r="L970" s="15" t="s">
        <v>133</v>
      </c>
      <c r="M970" s="44">
        <f>SUMIFS('Saldos Iniciales'!$D:$D,'Saldos Iniciales'!$A:$A,C970,'Saldos Iniciales'!$B:$B,D970)+SUMIFS($K$1:$K$1325,$C$1:$C$1325,C970,$D$1:$D$1325,D970,$B$1:$B$1325,"&lt;="&amp;B970)</f>
        <v>1165508.1300000011</v>
      </c>
      <c r="N970" s="65" t="str">
        <f>IF(tblMovimientos[[#This Row],[Tipo de Movimiento]]="Ingreso",tblMovimientos[[#This Row],[Monto (S/)]],"0")</f>
        <v>0</v>
      </c>
      <c r="O970" s="65">
        <f>IF(tblMovimientos[[#This Row],[Tipo de Movimiento]]="Egreso",tblMovimientos[[#This Row],[Monto (S/)]],"0")</f>
        <v>24111.11</v>
      </c>
      <c r="P970" s="28">
        <f>IF(tblMovimientos[[#This Row],[Tipo de Movimiento]]="Ingreso",tblMovimientos[[#This Row],[Ingreso]],-tblMovimientos[[#This Row],[Egreso]])</f>
        <v>-24111.11</v>
      </c>
      <c r="Q970" s="91" t="str">
        <f>IF(tblMovimientos[[#This Row],[Cuenta Bancaria]]="","",_xlfn.XLOOKUP(tblMovimientos[[#This Row],[Cuenta Bancaria]],Cuentas!$C:$C,Cuentas!$A:$A,"No encontrado"))</f>
        <v>SSP Group</v>
      </c>
      <c r="R970" s="91" t="str">
        <f>TRIM(_xlfn.XLOOKUP(tblMovimientos[[#This Row],[Cuenta Bancaria]],Cuentas!$C:$C,Cuentas!$B:$B,""))</f>
        <v/>
      </c>
    </row>
    <row r="971" spans="2:18" x14ac:dyDescent="0.3">
      <c r="B971" s="39">
        <v>46275</v>
      </c>
      <c r="C971" s="46" t="str">
        <f>_xlfn.XLOOKUP(tblMovimientos[[#This Row],[Cuenta Bancaria]],Listas!$B:$B,Listas!$A:$A,"")</f>
        <v>CFT Group</v>
      </c>
      <c r="D971" s="41" t="s">
        <v>95</v>
      </c>
      <c r="E971" s="4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46</v>
      </c>
      <c r="H971" s="4" t="str">
        <f>IFERROR(_xlfn.XLOOKUP(G971,Listas!E:E,Listas!F:F,""),"")</f>
        <v>Financiamiento</v>
      </c>
      <c r="I971" s="46" t="str">
        <f>IFERROR(_xlfn.XLOOKUP(G971,Listas!E:E,Listas!G:G,""),"")</f>
        <v>Externo</v>
      </c>
      <c r="J971" s="43">
        <v>57866.67</v>
      </c>
      <c r="K971" s="5">
        <f t="shared" si="10"/>
        <v>-57866.67</v>
      </c>
      <c r="L971" s="15" t="s">
        <v>133</v>
      </c>
      <c r="M971" s="44">
        <f>SUMIFS('Saldos Iniciales'!$D:$D,'Saldos Iniciales'!$A:$A,C971,'Saldos Iniciales'!$B:$B,D971)+SUMIFS($K$1:$K$1325,$C$1:$C$1325,C971,$D$1:$D$1325,D971,$B$1:$B$1325,"&lt;="&amp;B971)</f>
        <v>1165508.1300000011</v>
      </c>
      <c r="N971" s="65" t="str">
        <f>IF(tblMovimientos[[#This Row],[Tipo de Movimiento]]="Ingreso",tblMovimientos[[#This Row],[Monto (S/)]],"0")</f>
        <v>0</v>
      </c>
      <c r="O971" s="65">
        <f>IF(tblMovimientos[[#This Row],[Tipo de Movimiento]]="Egreso",tblMovimientos[[#This Row],[Monto (S/)]],"0")</f>
        <v>57866.67</v>
      </c>
      <c r="P971" s="28">
        <f>IF(tblMovimientos[[#This Row],[Tipo de Movimiento]]="Ingreso",tblMovimientos[[#This Row],[Ingreso]],-tblMovimientos[[#This Row],[Egreso]])</f>
        <v>-57866.67</v>
      </c>
      <c r="Q971" s="91" t="str">
        <f>IF(tblMovimientos[[#This Row],[Cuenta Bancaria]]="","",_xlfn.XLOOKUP(tblMovimientos[[#This Row],[Cuenta Bancaria]],Cuentas!$C:$C,Cuentas!$A:$A,"No encontrado"))</f>
        <v>SSP Group</v>
      </c>
      <c r="R971" s="91" t="str">
        <f>TRIM(_xlfn.XLOOKUP(tblMovimientos[[#This Row],[Cuenta Bancaria]],Cuentas!$C:$C,Cuentas!$B:$B,""))</f>
        <v/>
      </c>
    </row>
    <row r="972" spans="2:18" x14ac:dyDescent="0.3">
      <c r="B972" s="39">
        <v>46275</v>
      </c>
      <c r="C972" s="46" t="str">
        <f>_xlfn.XLOOKUP(tblMovimientos[[#This Row],[Cuenta Bancaria]],Listas!$B:$B,Listas!$A:$A,"")</f>
        <v>CFT Group</v>
      </c>
      <c r="D972" s="41" t="s">
        <v>95</v>
      </c>
      <c r="E972" s="4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46</v>
      </c>
      <c r="H972" s="4" t="str">
        <f>IFERROR(_xlfn.XLOOKUP(G972,Listas!E:E,Listas!F:F,""),"")</f>
        <v>Financiamiento</v>
      </c>
      <c r="I972" s="46" t="str">
        <f>IFERROR(_xlfn.XLOOKUP(G972,Listas!E:E,Listas!G:G,""),"")</f>
        <v>Externo</v>
      </c>
      <c r="J972" s="43">
        <v>72333.33</v>
      </c>
      <c r="K972" s="5">
        <f t="shared" si="10"/>
        <v>-72333.33</v>
      </c>
      <c r="L972" s="15" t="s">
        <v>133</v>
      </c>
      <c r="M972" s="44">
        <f>SUMIFS('Saldos Iniciales'!$D:$D,'Saldos Iniciales'!$A:$A,C972,'Saldos Iniciales'!$B:$B,D972)+SUMIFS($K$1:$K$1325,$C$1:$C$1325,C972,$D$1:$D$1325,D972,$B$1:$B$1325,"&lt;="&amp;B972)</f>
        <v>1165508.1300000011</v>
      </c>
      <c r="N972" s="65" t="str">
        <f>IF(tblMovimientos[[#This Row],[Tipo de Movimiento]]="Ingreso",tblMovimientos[[#This Row],[Monto (S/)]],"0")</f>
        <v>0</v>
      </c>
      <c r="O972" s="65">
        <f>IF(tblMovimientos[[#This Row],[Tipo de Movimiento]]="Egreso",tblMovimientos[[#This Row],[Monto (S/)]],"0")</f>
        <v>72333.33</v>
      </c>
      <c r="P972" s="28">
        <f>IF(tblMovimientos[[#This Row],[Tipo de Movimiento]]="Ingreso",tblMovimientos[[#This Row],[Ingreso]],-tblMovimientos[[#This Row],[Egreso]])</f>
        <v>-72333.33</v>
      </c>
      <c r="Q972" s="91" t="str">
        <f>IF(tblMovimientos[[#This Row],[Cuenta Bancaria]]="","",_xlfn.XLOOKUP(tblMovimientos[[#This Row],[Cuenta Bancaria]],Cuentas!$C:$C,Cuentas!$A:$A,"No encontrado"))</f>
        <v>SSP Group</v>
      </c>
      <c r="R972" s="91" t="str">
        <f>TRIM(_xlfn.XLOOKUP(tblMovimientos[[#This Row],[Cuenta Bancaria]],Cuentas!$C:$C,Cuentas!$B:$B,""))</f>
        <v/>
      </c>
    </row>
    <row r="973" spans="2:18" x14ac:dyDescent="0.3">
      <c r="B973" s="39">
        <v>46275</v>
      </c>
      <c r="C973" s="46" t="str">
        <f>_xlfn.XLOOKUP(tblMovimientos[[#This Row],[Cuenta Bancaria]],Listas!$B:$B,Listas!$A:$A,"")</f>
        <v>CFT Group</v>
      </c>
      <c r="D973" s="41" t="s">
        <v>95</v>
      </c>
      <c r="E973" s="4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46</v>
      </c>
      <c r="H973" s="4" t="str">
        <f>IFERROR(_xlfn.XLOOKUP(G973,Listas!E:E,Listas!F:F,""),"")</f>
        <v>Financiamiento</v>
      </c>
      <c r="I973" s="46" t="str">
        <f>IFERROR(_xlfn.XLOOKUP(G973,Listas!E:E,Listas!G:G,""),"")</f>
        <v>Externo</v>
      </c>
      <c r="J973" s="43">
        <v>85594.44</v>
      </c>
      <c r="K973" s="5">
        <f t="shared" si="10"/>
        <v>-85594.44</v>
      </c>
      <c r="L973" s="15" t="s">
        <v>133</v>
      </c>
      <c r="M973" s="44">
        <f>SUMIFS('Saldos Iniciales'!$D:$D,'Saldos Iniciales'!$A:$A,C973,'Saldos Iniciales'!$B:$B,D973)+SUMIFS($K$1:$K$1325,$C$1:$C$1325,C973,$D$1:$D$1325,D973,$B$1:$B$1325,"&lt;="&amp;B973)</f>
        <v>1165508.1300000011</v>
      </c>
      <c r="N973" s="65" t="str">
        <f>IF(tblMovimientos[[#This Row],[Tipo de Movimiento]]="Ingreso",tblMovimientos[[#This Row],[Monto (S/)]],"0")</f>
        <v>0</v>
      </c>
      <c r="O973" s="65">
        <f>IF(tblMovimientos[[#This Row],[Tipo de Movimiento]]="Egreso",tblMovimientos[[#This Row],[Monto (S/)]],"0")</f>
        <v>85594.44</v>
      </c>
      <c r="P973" s="28">
        <f>IF(tblMovimientos[[#This Row],[Tipo de Movimiento]]="Ingreso",tblMovimientos[[#This Row],[Ingreso]],-tblMovimientos[[#This Row],[Egreso]])</f>
        <v>-85594.44</v>
      </c>
      <c r="Q973" s="91" t="str">
        <f>IF(tblMovimientos[[#This Row],[Cuenta Bancaria]]="","",_xlfn.XLOOKUP(tblMovimientos[[#This Row],[Cuenta Bancaria]],Cuentas!$C:$C,Cuentas!$A:$A,"No encontrado"))</f>
        <v>SSP Group</v>
      </c>
      <c r="R973" s="91" t="str">
        <f>TRIM(_xlfn.XLOOKUP(tblMovimientos[[#This Row],[Cuenta Bancaria]],Cuentas!$C:$C,Cuentas!$B:$B,""))</f>
        <v/>
      </c>
    </row>
    <row r="974" spans="2:18" x14ac:dyDescent="0.3">
      <c r="B974" s="39">
        <v>46275</v>
      </c>
      <c r="C974" s="46" t="str">
        <f>_xlfn.XLOOKUP(tblMovimientos[[#This Row],[Cuenta Bancaria]],Listas!$B:$B,Listas!$A:$A,"")</f>
        <v>CFT Group</v>
      </c>
      <c r="D974" s="41" t="s">
        <v>95</v>
      </c>
      <c r="E974" s="4" t="str">
        <f>_xlfn.XLOOKUP(tblMovimientos[[#This Row],[Cuenta Bancaria]],Listas!$B:$B,Listas!$C:$C,"")</f>
        <v xml:space="preserve">Amerant Bank 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100000</v>
      </c>
      <c r="K974" s="5">
        <f t="shared" si="10"/>
        <v>-100000</v>
      </c>
      <c r="L974" s="15" t="s">
        <v>133</v>
      </c>
      <c r="M974" s="44">
        <f>SUMIFS('Saldos Iniciales'!$D:$D,'Saldos Iniciales'!$A:$A,C974,'Saldos Iniciales'!$B:$B,D974)+SUMIFS($K$1:$K$1325,$C$1:$C$1325,C974,$D$1:$D$1325,D974,$B$1:$B$1325,"&lt;="&amp;B974)</f>
        <v>1165508.1300000011</v>
      </c>
      <c r="N974" s="65" t="str">
        <f>IF(tblMovimientos[[#This Row],[Tipo de Movimiento]]="Ingreso",tblMovimientos[[#This Row],[Monto (S/)]],"0")</f>
        <v>0</v>
      </c>
      <c r="O974" s="65">
        <f>IF(tblMovimientos[[#This Row],[Tipo de Movimiento]]="Egreso",tblMovimientos[[#This Row],[Monto (S/)]],"0")</f>
        <v>100000</v>
      </c>
      <c r="P974" s="28">
        <f>IF(tblMovimientos[[#This Row],[Tipo de Movimiento]]="Ingreso",tblMovimientos[[#This Row],[Ingreso]],-tblMovimientos[[#This Row],[Egreso]])</f>
        <v>-100000</v>
      </c>
      <c r="Q974" s="91" t="str">
        <f>IF(tblMovimientos[[#This Row],[Cuenta Bancaria]]="","",_xlfn.XLOOKUP(tblMovimientos[[#This Row],[Cuenta Bancaria]],Cuentas!$C:$C,Cuentas!$A:$A,"No encontrado"))</f>
        <v>SSP Group</v>
      </c>
      <c r="R974" s="91" t="str">
        <f>TRIM(_xlfn.XLOOKUP(tblMovimientos[[#This Row],[Cuenta Bancaria]],Cuentas!$C:$C,Cuentas!$B:$B,""))</f>
        <v/>
      </c>
    </row>
    <row r="975" spans="2:18" x14ac:dyDescent="0.3">
      <c r="B975" s="39">
        <v>46275</v>
      </c>
      <c r="C975" s="46" t="str">
        <f>_xlfn.XLOOKUP(tblMovimientos[[#This Row],[Cuenta Bancaria]],Listas!$B:$B,Listas!$A:$A,"")</f>
        <v>CFT Group</v>
      </c>
      <c r="D975" s="41" t="s">
        <v>95</v>
      </c>
      <c r="E975" s="4" t="str">
        <f>_xlfn.XLOOKUP(tblMovimientos[[#This Row],[Cuenta Bancaria]],Listas!$B:$B,Listas!$C:$C,"")</f>
        <v xml:space="preserve">Amerant Bank 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100000</v>
      </c>
      <c r="K975" s="5">
        <f t="shared" si="10"/>
        <v>-100000</v>
      </c>
      <c r="L975" s="15" t="s">
        <v>133</v>
      </c>
      <c r="M975" s="44">
        <f>SUMIFS('Saldos Iniciales'!$D:$D,'Saldos Iniciales'!$A:$A,C975,'Saldos Iniciales'!$B:$B,D975)+SUMIFS($K$1:$K$1325,$C$1:$C$1325,C975,$D$1:$D$1325,D975,$B$1:$B$1325,"&lt;="&amp;B975)</f>
        <v>1165508.1300000011</v>
      </c>
      <c r="N975" s="65" t="str">
        <f>IF(tblMovimientos[[#This Row],[Tipo de Movimiento]]="Ingreso",tblMovimientos[[#This Row],[Monto (S/)]],"0")</f>
        <v>0</v>
      </c>
      <c r="O975" s="65">
        <f>IF(tblMovimientos[[#This Row],[Tipo de Movimiento]]="Egreso",tblMovimientos[[#This Row],[Monto (S/)]],"0")</f>
        <v>100000</v>
      </c>
      <c r="P975" s="28">
        <f>IF(tblMovimientos[[#This Row],[Tipo de Movimiento]]="Ingreso",tblMovimientos[[#This Row],[Ingreso]],-tblMovimientos[[#This Row],[Egreso]])</f>
        <v>-100000</v>
      </c>
      <c r="Q975" s="91" t="str">
        <f>IF(tblMovimientos[[#This Row],[Cuenta Bancaria]]="","",_xlfn.XLOOKUP(tblMovimientos[[#This Row],[Cuenta Bancaria]],Cuentas!$C:$C,Cuentas!$A:$A,"No encontrado"))</f>
        <v>SSP Group</v>
      </c>
      <c r="R975" s="91" t="str">
        <f>TRIM(_xlfn.XLOOKUP(tblMovimientos[[#This Row],[Cuenta Bancaria]],Cuentas!$C:$C,Cuentas!$B:$B,""))</f>
        <v/>
      </c>
    </row>
    <row r="976" spans="2:18" x14ac:dyDescent="0.3">
      <c r="B976" s="39">
        <v>46275</v>
      </c>
      <c r="C976" s="46" t="str">
        <f>_xlfn.XLOOKUP(tblMovimientos[[#This Row],[Cuenta Bancaria]],Listas!$B:$B,Listas!$A:$A,"")</f>
        <v>SSP Capital</v>
      </c>
      <c r="D976" s="41" t="s">
        <v>104</v>
      </c>
      <c r="E976" s="4" t="str">
        <f>_xlfn.XLOOKUP(tblMovimientos[[#This Row],[Cuenta Bancaria]],Listas!$B:$B,Listas!$C:$C,"")</f>
        <v xml:space="preserve">Amerant Bank </v>
      </c>
      <c r="F976" s="41" t="s">
        <v>10</v>
      </c>
      <c r="G976" s="41" t="s">
        <v>46</v>
      </c>
      <c r="H976" s="4" t="str">
        <f>IFERROR(_xlfn.XLOOKUP(G976,Listas!E:E,Listas!F:F,""),"")</f>
        <v>Financiamiento</v>
      </c>
      <c r="I976" s="46" t="str">
        <f>IFERROR(_xlfn.XLOOKUP(G976,Listas!E:E,Listas!G:G,""),"")</f>
        <v>Externo</v>
      </c>
      <c r="J976" s="43">
        <v>9902.77</v>
      </c>
      <c r="K976" s="5">
        <f t="shared" si="10"/>
        <v>-9902.77</v>
      </c>
      <c r="L976" s="15" t="s">
        <v>133</v>
      </c>
      <c r="M976" s="44">
        <f>SUMIFS('Saldos Iniciales'!$D:$D,'Saldos Iniciales'!$A:$A,C976,'Saldos Iniciales'!$B:$B,D976)+SUMIFS($K$1:$K$1325,$C$1:$C$1325,C976,$D$1:$D$1325,D976,$B$1:$B$1325,"&lt;="&amp;B976)</f>
        <v>381136.32999999926</v>
      </c>
      <c r="N976" s="65" t="str">
        <f>IF(tblMovimientos[[#This Row],[Tipo de Movimiento]]="Ingreso",tblMovimientos[[#This Row],[Monto (S/)]],"0")</f>
        <v>0</v>
      </c>
      <c r="O976" s="65">
        <f>IF(tblMovimientos[[#This Row],[Tipo de Movimiento]]="Egreso",tblMovimientos[[#This Row],[Monto (S/)]],"0")</f>
        <v>9902.77</v>
      </c>
      <c r="P976" s="28">
        <f>IF(tblMovimientos[[#This Row],[Tipo de Movimiento]]="Ingreso",tblMovimientos[[#This Row],[Ingreso]],-tblMovimientos[[#This Row],[Egreso]])</f>
        <v>-9902.77</v>
      </c>
      <c r="Q976" s="91" t="str">
        <f>IF(tblMovimientos[[#This Row],[Cuenta Bancaria]]="","",_xlfn.XLOOKUP(tblMovimientos[[#This Row],[Cuenta Bancaria]],Cuentas!$C:$C,Cuentas!$A:$A,"No encontrado"))</f>
        <v>SSP Group</v>
      </c>
      <c r="R976" s="91" t="str">
        <f>TRIM(_xlfn.XLOOKUP(tblMovimientos[[#This Row],[Cuenta Bancaria]],Cuentas!$C:$C,Cuentas!$B:$B,""))</f>
        <v/>
      </c>
    </row>
    <row r="977" spans="1:18" x14ac:dyDescent="0.3">
      <c r="B977" s="39">
        <v>46275</v>
      </c>
      <c r="C977" s="46" t="str">
        <f>_xlfn.XLOOKUP(tblMovimientos[[#This Row],[Cuenta Bancaria]],Listas!$B:$B,Listas!$A:$A,"")</f>
        <v>SSP Capital</v>
      </c>
      <c r="D977" s="41" t="s">
        <v>104</v>
      </c>
      <c r="E977" s="4" t="str">
        <f>_xlfn.XLOOKUP(tblMovimientos[[#This Row],[Cuenta Bancaria]],Listas!$B:$B,Listas!$C:$C,"")</f>
        <v xml:space="preserve">Amerant Bank </v>
      </c>
      <c r="F977" s="41" t="s">
        <v>10</v>
      </c>
      <c r="G977" s="41" t="s">
        <v>46</v>
      </c>
      <c r="H977" s="4" t="str">
        <f>IFERROR(_xlfn.XLOOKUP(G977,Listas!E:E,Listas!F:F,""),"")</f>
        <v>Financiamiento</v>
      </c>
      <c r="I977" s="46" t="str">
        <f>IFERROR(_xlfn.XLOOKUP(G977,Listas!E:E,Listas!G:G,""),"")</f>
        <v>Externo</v>
      </c>
      <c r="J977" s="43">
        <v>55455.56</v>
      </c>
      <c r="K977" s="5">
        <f t="shared" si="10"/>
        <v>-55455.56</v>
      </c>
      <c r="L977" s="15" t="s">
        <v>133</v>
      </c>
      <c r="M977" s="44">
        <f>SUMIFS('Saldos Iniciales'!$D:$D,'Saldos Iniciales'!$A:$A,C977,'Saldos Iniciales'!$B:$B,D977)+SUMIFS($K$1:$K$1325,$C$1:$C$1325,C977,$D$1:$D$1325,D977,$B$1:$B$1325,"&lt;="&amp;B977)</f>
        <v>381136.32999999926</v>
      </c>
      <c r="N977" s="65" t="str">
        <f>IF(tblMovimientos[[#This Row],[Tipo de Movimiento]]="Ingreso",tblMovimientos[[#This Row],[Monto (S/)]],"0")</f>
        <v>0</v>
      </c>
      <c r="O977" s="65">
        <f>IF(tblMovimientos[[#This Row],[Tipo de Movimiento]]="Egreso",tblMovimientos[[#This Row],[Monto (S/)]],"0")</f>
        <v>55455.56</v>
      </c>
      <c r="P977" s="28">
        <f>IF(tblMovimientos[[#This Row],[Tipo de Movimiento]]="Ingreso",tblMovimientos[[#This Row],[Ingreso]],-tblMovimientos[[#This Row],[Egreso]])</f>
        <v>-55455.56</v>
      </c>
      <c r="Q977" s="91" t="str">
        <f>IF(tblMovimientos[[#This Row],[Cuenta Bancaria]]="","",_xlfn.XLOOKUP(tblMovimientos[[#This Row],[Cuenta Bancaria]],Cuentas!$C:$C,Cuentas!$A:$A,"No encontrado"))</f>
        <v>SSP Group</v>
      </c>
      <c r="R977" s="91" t="str">
        <f>TRIM(_xlfn.XLOOKUP(tblMovimientos[[#This Row],[Cuenta Bancaria]],Cuentas!$C:$C,Cuentas!$B:$B,""))</f>
        <v/>
      </c>
    </row>
    <row r="978" spans="1:18" x14ac:dyDescent="0.3">
      <c r="B978" s="39">
        <v>46275</v>
      </c>
      <c r="C978" s="46" t="str">
        <f>_xlfn.XLOOKUP(tblMovimientos[[#This Row],[Cuenta Bancaria]],Listas!$B:$B,Listas!$A:$A,"")</f>
        <v>SSP Capital</v>
      </c>
      <c r="D978" s="41" t="s">
        <v>104</v>
      </c>
      <c r="E978" s="4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46</v>
      </c>
      <c r="H978" s="4" t="str">
        <f>IFERROR(_xlfn.XLOOKUP(G978,Listas!E:E,Listas!F:F,""),"")</f>
        <v>Financiamiento</v>
      </c>
      <c r="I978" s="46" t="str">
        <f>IFERROR(_xlfn.XLOOKUP(G978,Listas!E:E,Listas!G:G,""),"")</f>
        <v>Externo</v>
      </c>
      <c r="J978" s="43">
        <v>138638.89000000001</v>
      </c>
      <c r="K978" s="5">
        <f t="shared" si="10"/>
        <v>-138638.89000000001</v>
      </c>
      <c r="L978" s="15" t="s">
        <v>133</v>
      </c>
      <c r="M978" s="44">
        <f>SUMIFS('Saldos Iniciales'!$D:$D,'Saldos Iniciales'!$A:$A,C978,'Saldos Iniciales'!$B:$B,D978)+SUMIFS($K$1:$K$1325,$C$1:$C$1325,C978,$D$1:$D$1325,D978,$B$1:$B$1325,"&lt;="&amp;B978)</f>
        <v>381136.32999999926</v>
      </c>
      <c r="N978" s="65" t="str">
        <f>IF(tblMovimientos[[#This Row],[Tipo de Movimiento]]="Ingreso",tblMovimientos[[#This Row],[Monto (S/)]],"0")</f>
        <v>0</v>
      </c>
      <c r="O978" s="65">
        <f>IF(tblMovimientos[[#This Row],[Tipo de Movimiento]]="Egreso",tblMovimientos[[#This Row],[Monto (S/)]],"0")</f>
        <v>138638.89000000001</v>
      </c>
      <c r="P978" s="28">
        <f>IF(tblMovimientos[[#This Row],[Tipo de Movimiento]]="Ingreso",tblMovimientos[[#This Row],[Ingreso]],-tblMovimientos[[#This Row],[Egreso]])</f>
        <v>-138638.89000000001</v>
      </c>
      <c r="Q978" s="91" t="str">
        <f>IF(tblMovimientos[[#This Row],[Cuenta Bancaria]]="","",_xlfn.XLOOKUP(tblMovimientos[[#This Row],[Cuenta Bancaria]],Cuentas!$C:$C,Cuentas!$A:$A,"No encontrado"))</f>
        <v>SSP Group</v>
      </c>
      <c r="R978" s="91" t="str">
        <f>TRIM(_xlfn.XLOOKUP(tblMovimientos[[#This Row],[Cuenta Bancaria]],Cuentas!$C:$C,Cuentas!$B:$B,""))</f>
        <v/>
      </c>
    </row>
    <row r="979" spans="1:18" x14ac:dyDescent="0.3">
      <c r="B979" s="39">
        <v>46275</v>
      </c>
      <c r="C979" s="46" t="str">
        <f>_xlfn.XLOOKUP(tblMovimientos[[#This Row],[Cuenta Bancaria]],Listas!$B:$B,Listas!$A:$A,"")</f>
        <v>SSP Capital</v>
      </c>
      <c r="D979" s="41" t="s">
        <v>104</v>
      </c>
      <c r="E979" s="4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60</v>
      </c>
      <c r="H979" s="4" t="str">
        <f>IFERROR(_xlfn.XLOOKUP(G979,Listas!E:E,Listas!F:F,""),"")</f>
        <v>Inversion</v>
      </c>
      <c r="I979" s="46" t="str">
        <f>IFERROR(_xlfn.XLOOKUP(G979,Listas!E:E,Listas!G:G,""),"")</f>
        <v>Interno</v>
      </c>
      <c r="J979" s="43">
        <v>50000</v>
      </c>
      <c r="K979" s="5">
        <f t="shared" si="10"/>
        <v>-50000</v>
      </c>
      <c r="L979" s="15" t="s">
        <v>133</v>
      </c>
      <c r="M979" s="44">
        <f>SUMIFS('Saldos Iniciales'!$D:$D,'Saldos Iniciales'!$A:$A,C979,'Saldos Iniciales'!$B:$B,D979)+SUMIFS($K$1:$K$1325,$C$1:$C$1325,C979,$D$1:$D$1325,D979,$B$1:$B$1325,"&lt;="&amp;B979)</f>
        <v>381136.32999999926</v>
      </c>
      <c r="N979" s="65" t="str">
        <f>IF(tblMovimientos[[#This Row],[Tipo de Movimiento]]="Ingreso",tblMovimientos[[#This Row],[Monto (S/)]],"0")</f>
        <v>0</v>
      </c>
      <c r="O979" s="65">
        <f>IF(tblMovimientos[[#This Row],[Tipo de Movimiento]]="Egreso",tblMovimientos[[#This Row],[Monto (S/)]],"0")</f>
        <v>50000</v>
      </c>
      <c r="P979" s="28">
        <f>IF(tblMovimientos[[#This Row],[Tipo de Movimiento]]="Ingreso",tblMovimientos[[#This Row],[Ingreso]],-tblMovimientos[[#This Row],[Egreso]])</f>
        <v>-50000</v>
      </c>
      <c r="Q979" s="91" t="str">
        <f>IF(tblMovimientos[[#This Row],[Cuenta Bancaria]]="","",_xlfn.XLOOKUP(tblMovimientos[[#This Row],[Cuenta Bancaria]],Cuentas!$C:$C,Cuentas!$A:$A,"No encontrado"))</f>
        <v>SSP Group</v>
      </c>
      <c r="R979" s="91" t="str">
        <f>TRIM(_xlfn.XLOOKUP(tblMovimientos[[#This Row],[Cuenta Bancaria]],Cuentas!$C:$C,Cuentas!$B:$B,""))</f>
        <v/>
      </c>
    </row>
    <row r="980" spans="1:18" x14ac:dyDescent="0.3">
      <c r="B980" s="39">
        <v>46275</v>
      </c>
      <c r="C980" s="46" t="str">
        <f>_xlfn.XLOOKUP(tblMovimientos[[#This Row],[Cuenta Bancaria]],Listas!$B:$B,Listas!$A:$A,"")</f>
        <v>Go Blue</v>
      </c>
      <c r="D980" s="41" t="s">
        <v>126</v>
      </c>
      <c r="E980" s="4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38</v>
      </c>
      <c r="H980" s="4" t="str">
        <f>IFERROR(_xlfn.XLOOKUP(G980,Listas!E:E,Listas!F:F,""),"")</f>
        <v>Operativo</v>
      </c>
      <c r="I980" s="46" t="str">
        <f>IFERROR(_xlfn.XLOOKUP(G980,Listas!E:E,Listas!G:G,""),"")</f>
        <v>Externo</v>
      </c>
      <c r="J980" s="43">
        <v>69.53</v>
      </c>
      <c r="K980" s="5">
        <f t="shared" si="10"/>
        <v>-69.53</v>
      </c>
      <c r="L980" s="15" t="s">
        <v>133</v>
      </c>
      <c r="M980" s="44">
        <f>SUMIFS('Saldos Iniciales'!$D:$D,'Saldos Iniciales'!$A:$A,C980,'Saldos Iniciales'!$B:$B,D980)+SUMIFS($K$1:$K$1325,$C$1:$C$1325,C980,$D$1:$D$1325,D980,$B$1:$B$1325,"&lt;="&amp;B980)</f>
        <v>16164.689999999999</v>
      </c>
      <c r="N980" s="65" t="str">
        <f>IF(tblMovimientos[[#This Row],[Tipo de Movimiento]]="Ingreso",tblMovimientos[[#This Row],[Monto (S/)]],"0")</f>
        <v>0</v>
      </c>
      <c r="O980" s="65">
        <f>IF(tblMovimientos[[#This Row],[Tipo de Movimiento]]="Egreso",tblMovimientos[[#This Row],[Monto (S/)]],"0")</f>
        <v>69.53</v>
      </c>
      <c r="P980" s="28">
        <f>IF(tblMovimientos[[#This Row],[Tipo de Movimiento]]="Ingreso",tblMovimientos[[#This Row],[Ingreso]],-tblMovimientos[[#This Row],[Egreso]])</f>
        <v>-69.53</v>
      </c>
      <c r="Q980" s="91" t="str">
        <f>IF(tblMovimientos[[#This Row],[Cuenta Bancaria]]="","",_xlfn.XLOOKUP(tblMovimientos[[#This Row],[Cuenta Bancaria]],Cuentas!$C:$C,Cuentas!$A:$A,"No encontrado"))</f>
        <v>SSP Group</v>
      </c>
      <c r="R980" s="91" t="str">
        <f>TRIM(_xlfn.XLOOKUP(tblMovimientos[[#This Row],[Cuenta Bancaria]],Cuentas!$C:$C,Cuentas!$B:$B,""))</f>
        <v/>
      </c>
    </row>
    <row r="981" spans="1:18" x14ac:dyDescent="0.3">
      <c r="B981" s="39">
        <v>46275</v>
      </c>
      <c r="C981" s="46" t="str">
        <f>_xlfn.XLOOKUP(tblMovimientos[[#This Row],[Cuenta Bancaria]],Listas!$B:$B,Listas!$A:$A,"")</f>
        <v>Go Blue</v>
      </c>
      <c r="D981" s="41" t="s">
        <v>126</v>
      </c>
      <c r="E981" s="4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38</v>
      </c>
      <c r="H981" s="4" t="str">
        <f>IFERROR(_xlfn.XLOOKUP(G981,Listas!E:E,Listas!F:F,""),"")</f>
        <v>Operativo</v>
      </c>
      <c r="I981" s="46" t="str">
        <f>IFERROR(_xlfn.XLOOKUP(G981,Listas!E:E,Listas!G:G,""),"")</f>
        <v>Externo</v>
      </c>
      <c r="J981" s="43">
        <v>2500</v>
      </c>
      <c r="K981" s="5">
        <f t="shared" si="10"/>
        <v>-2500</v>
      </c>
      <c r="L981" s="15" t="s">
        <v>133</v>
      </c>
      <c r="M981" s="44">
        <f>SUMIFS('Saldos Iniciales'!$D:$D,'Saldos Iniciales'!$A:$A,C981,'Saldos Iniciales'!$B:$B,D981)+SUMIFS($K$1:$K$1325,$C$1:$C$1325,C981,$D$1:$D$1325,D981,$B$1:$B$1325,"&lt;="&amp;B981)</f>
        <v>16164.689999999999</v>
      </c>
      <c r="N981" s="65" t="str">
        <f>IF(tblMovimientos[[#This Row],[Tipo de Movimiento]]="Ingreso",tblMovimientos[[#This Row],[Monto (S/)]],"0")</f>
        <v>0</v>
      </c>
      <c r="O981" s="65">
        <f>IF(tblMovimientos[[#This Row],[Tipo de Movimiento]]="Egreso",tblMovimientos[[#This Row],[Monto (S/)]],"0")</f>
        <v>2500</v>
      </c>
      <c r="P981" s="28">
        <f>IF(tblMovimientos[[#This Row],[Tipo de Movimiento]]="Ingreso",tblMovimientos[[#This Row],[Ingreso]],-tblMovimientos[[#This Row],[Egreso]])</f>
        <v>-2500</v>
      </c>
      <c r="Q981" s="91" t="str">
        <f>IF(tblMovimientos[[#This Row],[Cuenta Bancaria]]="","",_xlfn.XLOOKUP(tblMovimientos[[#This Row],[Cuenta Bancaria]],Cuentas!$C:$C,Cuentas!$A:$A,"No encontrado"))</f>
        <v>SSP Group</v>
      </c>
      <c r="R981" s="91" t="str">
        <f>TRIM(_xlfn.XLOOKUP(tblMovimientos[[#This Row],[Cuenta Bancaria]],Cuentas!$C:$C,Cuentas!$B:$B,""))</f>
        <v/>
      </c>
    </row>
    <row r="982" spans="1:18" x14ac:dyDescent="0.3">
      <c r="B982" s="39">
        <v>46275</v>
      </c>
      <c r="C982" s="46" t="str">
        <f>_xlfn.XLOOKUP(tblMovimientos[[#This Row],[Cuenta Bancaria]],Listas!$B:$B,Listas!$A:$A,"")</f>
        <v>Go Blue</v>
      </c>
      <c r="D982" s="41" t="s">
        <v>126</v>
      </c>
      <c r="E982" s="4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44</v>
      </c>
      <c r="H982" s="4" t="str">
        <f>IFERROR(_xlfn.XLOOKUP(G982,Listas!E:E,Listas!F:F,""),"")</f>
        <v>Operativo</v>
      </c>
      <c r="I982" s="46" t="str">
        <f>IFERROR(_xlfn.XLOOKUP(G982,Listas!E:E,Listas!G:G,""),"")</f>
        <v>Externo</v>
      </c>
      <c r="J982" s="43">
        <v>15</v>
      </c>
      <c r="K982" s="5">
        <f t="shared" si="10"/>
        <v>-15</v>
      </c>
      <c r="L982" s="15" t="s">
        <v>133</v>
      </c>
      <c r="M982" s="44">
        <f>SUMIFS('Saldos Iniciales'!$D:$D,'Saldos Iniciales'!$A:$A,C982,'Saldos Iniciales'!$B:$B,D982)+SUMIFS($K$1:$K$1325,$C$1:$C$1325,C982,$D$1:$D$1325,D982,$B$1:$B$1325,"&lt;="&amp;B982)</f>
        <v>16164.689999999999</v>
      </c>
      <c r="N982" s="65" t="str">
        <f>IF(tblMovimientos[[#This Row],[Tipo de Movimiento]]="Ingreso",tblMovimientos[[#This Row],[Monto (S/)]],"0")</f>
        <v>0</v>
      </c>
      <c r="O982" s="65">
        <f>IF(tblMovimientos[[#This Row],[Tipo de Movimiento]]="Egreso",tblMovimientos[[#This Row],[Monto (S/)]],"0")</f>
        <v>15</v>
      </c>
      <c r="P982" s="28">
        <f>IF(tblMovimientos[[#This Row],[Tipo de Movimiento]]="Ingreso",tblMovimientos[[#This Row],[Ingreso]],-tblMovimientos[[#This Row],[Egreso]])</f>
        <v>-15</v>
      </c>
      <c r="Q982" s="91" t="str">
        <f>IF(tblMovimientos[[#This Row],[Cuenta Bancaria]]="","",_xlfn.XLOOKUP(tblMovimientos[[#This Row],[Cuenta Bancaria]],Cuentas!$C:$C,Cuentas!$A:$A,"No encontrado"))</f>
        <v>SSP Group</v>
      </c>
      <c r="R982" s="91" t="str">
        <f>TRIM(_xlfn.XLOOKUP(tblMovimientos[[#This Row],[Cuenta Bancaria]],Cuentas!$C:$C,Cuentas!$B:$B,""))</f>
        <v/>
      </c>
    </row>
    <row r="983" spans="1:18" x14ac:dyDescent="0.3">
      <c r="B983" s="39">
        <v>46275</v>
      </c>
      <c r="C983" s="46" t="str">
        <f>_xlfn.XLOOKUP(tblMovimientos[[#This Row],[Cuenta Bancaria]],Listas!$B:$B,Listas!$A:$A,"")</f>
        <v>Go Blue</v>
      </c>
      <c r="D983" s="41" t="s">
        <v>126</v>
      </c>
      <c r="E983" s="4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64</v>
      </c>
      <c r="H983" s="4" t="str">
        <f>IFERROR(_xlfn.XLOOKUP(G983,Listas!E:E,Listas!F:F,""),"")</f>
        <v>Operativo</v>
      </c>
      <c r="I983" s="46" t="str">
        <f>IFERROR(_xlfn.XLOOKUP(G983,Listas!E:E,Listas!G:G,""),"")</f>
        <v>Interno</v>
      </c>
      <c r="J983" s="43">
        <v>5000</v>
      </c>
      <c r="K983" s="5">
        <f t="shared" si="10"/>
        <v>-5000</v>
      </c>
      <c r="L983" s="15" t="s">
        <v>133</v>
      </c>
      <c r="M983" s="44">
        <f>SUMIFS('Saldos Iniciales'!$D:$D,'Saldos Iniciales'!$A:$A,C983,'Saldos Iniciales'!$B:$B,D983)+SUMIFS($K$1:$K$1325,$C$1:$C$1325,C983,$D$1:$D$1325,D983,$B$1:$B$1325,"&lt;="&amp;B983)</f>
        <v>16164.689999999999</v>
      </c>
      <c r="N983" s="65" t="str">
        <f>IF(tblMovimientos[[#This Row],[Tipo de Movimiento]]="Ingreso",tblMovimientos[[#This Row],[Monto (S/)]],"0")</f>
        <v>0</v>
      </c>
      <c r="O983" s="65">
        <f>IF(tblMovimientos[[#This Row],[Tipo de Movimiento]]="Egreso",tblMovimientos[[#This Row],[Monto (S/)]],"0")</f>
        <v>5000</v>
      </c>
      <c r="P983" s="28">
        <f>IF(tblMovimientos[[#This Row],[Tipo de Movimiento]]="Ingreso",tblMovimientos[[#This Row],[Ingreso]],-tblMovimientos[[#This Row],[Egreso]])</f>
        <v>-5000</v>
      </c>
      <c r="Q983" s="91" t="str">
        <f>IF(tblMovimientos[[#This Row],[Cuenta Bancaria]]="","",_xlfn.XLOOKUP(tblMovimientos[[#This Row],[Cuenta Bancaria]],Cuentas!$C:$C,Cuentas!$A:$A,"No encontrado"))</f>
        <v>SSP Group</v>
      </c>
      <c r="R983" s="91" t="str">
        <f>TRIM(_xlfn.XLOOKUP(tblMovimientos[[#This Row],[Cuenta Bancaria]],Cuentas!$C:$C,Cuentas!$B:$B,""))</f>
        <v/>
      </c>
    </row>
    <row r="984" spans="1:18" x14ac:dyDescent="0.3">
      <c r="B984" s="39">
        <v>46275</v>
      </c>
      <c r="C984" s="46" t="str">
        <f>_xlfn.XLOOKUP(tblMovimientos[[#This Row],[Cuenta Bancaria]],Listas!$B:$B,Listas!$A:$A,"")</f>
        <v>CFT 1 residence LLC</v>
      </c>
      <c r="D984" s="41" t="s">
        <v>184</v>
      </c>
      <c r="E984" s="80" t="str">
        <f>_xlfn.XLOOKUP(tblMovimientos[[#This Row],[Cuenta Bancaria]],Listas!$B:$B,Listas!$C:$C,"")</f>
        <v xml:space="preserve">Amerant Bank </v>
      </c>
      <c r="F984" s="41" t="s">
        <v>9</v>
      </c>
      <c r="G984" s="41" t="s">
        <v>77</v>
      </c>
      <c r="H984" s="4" t="str">
        <f>IFERROR(_xlfn.XLOOKUP(G984,Listas!E:E,Listas!F:F,""),"")</f>
        <v>Inversion</v>
      </c>
      <c r="I984" s="46" t="str">
        <f>IFERROR(_xlfn.XLOOKUP(G984,Listas!E:E,Listas!G:G,""),"")</f>
        <v>Interno</v>
      </c>
      <c r="J984" s="43">
        <v>50000</v>
      </c>
      <c r="K984" s="5">
        <f t="shared" si="10"/>
        <v>50000</v>
      </c>
      <c r="L984" s="15" t="s">
        <v>133</v>
      </c>
      <c r="M984" s="44">
        <f>SUMIFS('Saldos Iniciales'!$D:$D,'Saldos Iniciales'!$A:$A,C984,'Saldos Iniciales'!$B:$B,D984)+SUMIFS($K$1:$K$1325,$C$1:$C$1325,C984,$D$1:$D$1325,D984,$B$1:$B$1325,"&lt;="&amp;B984)</f>
        <v>26657.35</v>
      </c>
      <c r="N984" s="65">
        <f>IF(tblMovimientos[[#This Row],[Tipo de Movimiento]]="Ingreso",tblMovimientos[[#This Row],[Monto (S/)]],"0")</f>
        <v>50000</v>
      </c>
      <c r="O984" s="65" t="str">
        <f>IF(tblMovimientos[[#This Row],[Tipo de Movimiento]]="Egreso",tblMovimientos[[#This Row],[Monto (S/)]],"0")</f>
        <v>0</v>
      </c>
      <c r="P984" s="28">
        <f>IF(tblMovimientos[[#This Row],[Tipo de Movimiento]]="Ingreso",tblMovimientos[[#This Row],[Ingreso]],-tblMovimientos[[#This Row],[Egreso]])</f>
        <v>50000</v>
      </c>
      <c r="Q984" s="91" t="str">
        <f>IF(tblMovimientos[[#This Row],[Cuenta Bancaria]]="","",_xlfn.XLOOKUP(tblMovimientos[[#This Row],[Cuenta Bancaria]],Cuentas!$C:$C,Cuentas!$A:$A,"No encontrado"))</f>
        <v>Carmen Cross Irrevocable Trust</v>
      </c>
      <c r="R984" s="91" t="str">
        <f>TRIM(_xlfn.XLOOKUP(tblMovimientos[[#This Row],[Cuenta Bancaria]],Cuentas!$C:$C,Cuentas!$B:$B,""))</f>
        <v/>
      </c>
    </row>
    <row r="985" spans="1:18" x14ac:dyDescent="0.3">
      <c r="B985" s="39">
        <v>46275</v>
      </c>
      <c r="C985" s="46" t="str">
        <f>_xlfn.XLOOKUP(tblMovimientos[[#This Row],[Cuenta Bancaria]],Listas!$B:$B,Listas!$A:$A,"")</f>
        <v>CFT 1 residence LLC</v>
      </c>
      <c r="D985" s="41" t="s">
        <v>184</v>
      </c>
      <c r="E985" s="80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38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724.25</v>
      </c>
      <c r="K985" s="5">
        <f t="shared" si="10"/>
        <v>-724.25</v>
      </c>
      <c r="L985" s="15" t="s">
        <v>133</v>
      </c>
      <c r="M985" s="44">
        <f>SUMIFS('Saldos Iniciales'!$D:$D,'Saldos Iniciales'!$A:$A,C985,'Saldos Iniciales'!$B:$B,D985)+SUMIFS($K$1:$K$1325,$C$1:$C$1325,C985,$D$1:$D$1325,D985,$B$1:$B$1325,"&lt;="&amp;B985)</f>
        <v>26657.35</v>
      </c>
      <c r="N985" s="65" t="str">
        <f>IF(tblMovimientos[[#This Row],[Tipo de Movimiento]]="Ingreso",tblMovimientos[[#This Row],[Monto (S/)]],"0")</f>
        <v>0</v>
      </c>
      <c r="O985" s="65">
        <f>IF(tblMovimientos[[#This Row],[Tipo de Movimiento]]="Egreso",tblMovimientos[[#This Row],[Monto (S/)]],"0")</f>
        <v>724.25</v>
      </c>
      <c r="P985" s="28">
        <f>IF(tblMovimientos[[#This Row],[Tipo de Movimiento]]="Ingreso",tblMovimientos[[#This Row],[Ingreso]],-tblMovimientos[[#This Row],[Egreso]])</f>
        <v>-724.25</v>
      </c>
      <c r="Q985" s="91" t="str">
        <f>IF(tblMovimientos[[#This Row],[Cuenta Bancaria]]="","",_xlfn.XLOOKUP(tblMovimientos[[#This Row],[Cuenta Bancaria]],Cuentas!$C:$C,Cuentas!$A:$A,"No encontrado"))</f>
        <v>Carmen Cross Irrevocable Trust</v>
      </c>
      <c r="R985" s="91" t="str">
        <f>TRIM(_xlfn.XLOOKUP(tblMovimientos[[#This Row],[Cuenta Bancaria]],Cuentas!$C:$C,Cuentas!$B:$B,""))</f>
        <v/>
      </c>
    </row>
    <row r="986" spans="1:18" x14ac:dyDescent="0.3">
      <c r="B986" s="39">
        <v>46275</v>
      </c>
      <c r="C986" s="46" t="str">
        <f>_xlfn.XLOOKUP(tblMovimientos[[#This Row],[Cuenta Bancaria]],Listas!$B:$B,Listas!$A:$A,"")</f>
        <v>CFT 1 residence LLC</v>
      </c>
      <c r="D986" s="41" t="s">
        <v>184</v>
      </c>
      <c r="E986" s="80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38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65.239999999999995</v>
      </c>
      <c r="K986" s="5">
        <f t="shared" si="10"/>
        <v>-65.239999999999995</v>
      </c>
      <c r="L986" s="15" t="s">
        <v>133</v>
      </c>
      <c r="M986" s="44">
        <f>SUMIFS('Saldos Iniciales'!$D:$D,'Saldos Iniciales'!$A:$A,C986,'Saldos Iniciales'!$B:$B,D986)+SUMIFS($K$1:$K$1325,$C$1:$C$1325,C986,$D$1:$D$1325,D986,$B$1:$B$1325,"&lt;="&amp;B986)</f>
        <v>26657.35</v>
      </c>
      <c r="N986" s="65" t="str">
        <f>IF(tblMovimientos[[#This Row],[Tipo de Movimiento]]="Ingreso",tblMovimientos[[#This Row],[Monto (S/)]],"0")</f>
        <v>0</v>
      </c>
      <c r="O986" s="65">
        <f>IF(tblMovimientos[[#This Row],[Tipo de Movimiento]]="Egreso",tblMovimientos[[#This Row],[Monto (S/)]],"0")</f>
        <v>65.239999999999995</v>
      </c>
      <c r="P986" s="28">
        <f>IF(tblMovimientos[[#This Row],[Tipo de Movimiento]]="Ingreso",tblMovimientos[[#This Row],[Ingreso]],-tblMovimientos[[#This Row],[Egreso]])</f>
        <v>-65.239999999999995</v>
      </c>
      <c r="Q986" s="91" t="str">
        <f>IF(tblMovimientos[[#This Row],[Cuenta Bancaria]]="","",_xlfn.XLOOKUP(tblMovimientos[[#This Row],[Cuenta Bancaria]],Cuentas!$C:$C,Cuentas!$A:$A,"No encontrado"))</f>
        <v>Carmen Cross Irrevocable Trust</v>
      </c>
      <c r="R986" s="91" t="str">
        <f>TRIM(_xlfn.XLOOKUP(tblMovimientos[[#This Row],[Cuenta Bancaria]],Cuentas!$C:$C,Cuentas!$B:$B,""))</f>
        <v/>
      </c>
    </row>
    <row r="987" spans="1:18" x14ac:dyDescent="0.3">
      <c r="B987" s="39">
        <v>46275</v>
      </c>
      <c r="C987" s="46" t="str">
        <f>_xlfn.XLOOKUP(tblMovimientos[[#This Row],[Cuenta Bancaria]],Listas!$B:$B,Listas!$A:$A,"")</f>
        <v>CFT 1 residence LLC</v>
      </c>
      <c r="D987" s="41" t="s">
        <v>184</v>
      </c>
      <c r="E987" s="80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38</v>
      </c>
      <c r="H987" s="4" t="str">
        <f>IFERROR(_xlfn.XLOOKUP(G987,Listas!E:E,Listas!F:F,""),"")</f>
        <v>Operativo</v>
      </c>
      <c r="I987" s="46" t="str">
        <f>IFERROR(_xlfn.XLOOKUP(G987,Listas!E:E,Listas!G:G,""),"")</f>
        <v>Externo</v>
      </c>
      <c r="J987" s="43">
        <v>39855.519999999997</v>
      </c>
      <c r="K987" s="5">
        <f t="shared" si="10"/>
        <v>-39855.519999999997</v>
      </c>
      <c r="L987" s="15" t="s">
        <v>133</v>
      </c>
      <c r="M987" s="44">
        <f>SUMIFS('Saldos Iniciales'!$D:$D,'Saldos Iniciales'!$A:$A,C987,'Saldos Iniciales'!$B:$B,D987)+SUMIFS($K$1:$K$1325,$C$1:$C$1325,C987,$D$1:$D$1325,D987,$B$1:$B$1325,"&lt;="&amp;B987)</f>
        <v>26657.35</v>
      </c>
      <c r="N987" s="65" t="str">
        <f>IF(tblMovimientos[[#This Row],[Tipo de Movimiento]]="Ingreso",tblMovimientos[[#This Row],[Monto (S/)]],"0")</f>
        <v>0</v>
      </c>
      <c r="O987" s="65">
        <f>IF(tblMovimientos[[#This Row],[Tipo de Movimiento]]="Egreso",tblMovimientos[[#This Row],[Monto (S/)]],"0")</f>
        <v>39855.519999999997</v>
      </c>
      <c r="P987" s="28">
        <f>IF(tblMovimientos[[#This Row],[Tipo de Movimiento]]="Ingreso",tblMovimientos[[#This Row],[Ingreso]],-tblMovimientos[[#This Row],[Egreso]])</f>
        <v>-39855.519999999997</v>
      </c>
      <c r="Q987" s="91" t="str">
        <f>IF(tblMovimientos[[#This Row],[Cuenta Bancaria]]="","",_xlfn.XLOOKUP(tblMovimientos[[#This Row],[Cuenta Bancaria]],Cuentas!$C:$C,Cuentas!$A:$A,"No encontrado"))</f>
        <v>Carmen Cross Irrevocable Trust</v>
      </c>
      <c r="R987" s="91" t="str">
        <f>TRIM(_xlfn.XLOOKUP(tblMovimientos[[#This Row],[Cuenta Bancaria]],Cuentas!$C:$C,Cuentas!$B:$B,""))</f>
        <v/>
      </c>
    </row>
    <row r="988" spans="1:18" x14ac:dyDescent="0.3">
      <c r="A988" s="88"/>
      <c r="B988" s="82">
        <v>46275</v>
      </c>
      <c r="C988" s="83" t="str">
        <f>_xlfn.XLOOKUP(tblMovimientos[[#This Row],[Cuenta Bancaria]],Listas!$B:$B,Listas!$A:$A,"")</f>
        <v>Carmen Cross Irrevocable Trust</v>
      </c>
      <c r="D988" s="84" t="s">
        <v>183</v>
      </c>
      <c r="E988" s="89" t="str">
        <f>_xlfn.XLOOKUP(tblMovimientos[[#This Row],[Cuenta Bancaria]],Listas!$B:$B,Listas!$C:$C,"")</f>
        <v xml:space="preserve">Amerant Bank </v>
      </c>
      <c r="F988" s="84" t="s">
        <v>9</v>
      </c>
      <c r="G988" s="84" t="s">
        <v>75</v>
      </c>
      <c r="H988" s="90" t="str">
        <f>IFERROR(_xlfn.XLOOKUP(G988,Listas!E:E,Listas!F:F,""),"")</f>
        <v>Financiamiento</v>
      </c>
      <c r="I988" s="83" t="str">
        <f>IFERROR(_xlfn.XLOOKUP(G988,Listas!E:E,Listas!G:G,""),"")</f>
        <v>Interno</v>
      </c>
      <c r="J988" s="85">
        <v>50000</v>
      </c>
      <c r="K988" s="5">
        <f t="shared" si="10"/>
        <v>50000</v>
      </c>
      <c r="L988" s="86" t="s">
        <v>133</v>
      </c>
      <c r="M988" s="44">
        <f>SUMIFS('Saldos Iniciales'!$D:$D,'Saldos Iniciales'!$A:$A,C988,'Saldos Iniciales'!$B:$B,D988)+SUMIFS($K$1:$K$1325,$C$1:$C$1325,C988,$D$1:$D$1325,D988,$B$1:$B$1325,"&lt;="&amp;B988)</f>
        <v>3631.96</v>
      </c>
      <c r="N988" s="65">
        <f>IF(tblMovimientos[[#This Row],[Tipo de Movimiento]]="Ingreso",tblMovimientos[[#This Row],[Monto (S/)]],"0")</f>
        <v>50000</v>
      </c>
      <c r="O988" s="65" t="str">
        <f>IF(tblMovimientos[[#This Row],[Tipo de Movimiento]]="Egreso",tblMovimientos[[#This Row],[Monto (S/)]],"0")</f>
        <v>0</v>
      </c>
      <c r="P988" s="28">
        <f>IF(tblMovimientos[[#This Row],[Tipo de Movimiento]]="Ingreso",tblMovimientos[[#This Row],[Ingreso]],-tblMovimientos[[#This Row],[Egreso]])</f>
        <v>50000</v>
      </c>
      <c r="Q988" s="91" t="str">
        <f>IF(tblMovimientos[[#This Row],[Cuenta Bancaria]]="","",_xlfn.XLOOKUP(tblMovimientos[[#This Row],[Cuenta Bancaria]],Cuentas!$C:$C,Cuentas!$A:$A,"No encontrado"))</f>
        <v>Trust</v>
      </c>
      <c r="R988" s="91" t="str">
        <f>TRIM(_xlfn.XLOOKUP(tblMovimientos[[#This Row],[Cuenta Bancaria]],Cuentas!$C:$C,Cuentas!$B:$B,""))</f>
        <v/>
      </c>
    </row>
    <row r="989" spans="1:18" x14ac:dyDescent="0.3">
      <c r="B989" s="39">
        <v>46275</v>
      </c>
      <c r="C989" s="46" t="str">
        <f>_xlfn.XLOOKUP(tblMovimientos[[#This Row],[Cuenta Bancaria]],Listas!$B:$B,Listas!$A:$A,"")</f>
        <v>Carmen Cross Irrevocable Trust</v>
      </c>
      <c r="D989" s="41" t="s">
        <v>183</v>
      </c>
      <c r="E989" s="80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62</v>
      </c>
      <c r="H989" s="4" t="str">
        <f>IFERROR(_xlfn.XLOOKUP(G989,Listas!E:E,Listas!F:F,""),"")</f>
        <v>Operativo</v>
      </c>
      <c r="I989" s="46" t="str">
        <f>IFERROR(_xlfn.XLOOKUP(G989,Listas!E:E,Listas!G:G,""),"")</f>
        <v>Interno</v>
      </c>
      <c r="J989" s="43">
        <v>50000</v>
      </c>
      <c r="K989" s="5">
        <f t="shared" si="10"/>
        <v>-50000</v>
      </c>
      <c r="L989" s="15" t="s">
        <v>133</v>
      </c>
      <c r="M989" s="44">
        <f>SUMIFS('Saldos Iniciales'!$D:$D,'Saldos Iniciales'!$A:$A,C989,'Saldos Iniciales'!$B:$B,D989)+SUMIFS($K$1:$K$1325,$C$1:$C$1325,C989,$D$1:$D$1325,D989,$B$1:$B$1325,"&lt;="&amp;B989)</f>
        <v>3631.96</v>
      </c>
      <c r="N989" s="65" t="str">
        <f>IF(tblMovimientos[[#This Row],[Tipo de Movimiento]]="Ingreso",tblMovimientos[[#This Row],[Monto (S/)]],"0")</f>
        <v>0</v>
      </c>
      <c r="O989" s="65">
        <f>IF(tblMovimientos[[#This Row],[Tipo de Movimiento]]="Egreso",tblMovimientos[[#This Row],[Monto (S/)]],"0")</f>
        <v>50000</v>
      </c>
      <c r="P989" s="28">
        <f>IF(tblMovimientos[[#This Row],[Tipo de Movimiento]]="Ingreso",tblMovimientos[[#This Row],[Ingreso]],-tblMovimientos[[#This Row],[Egreso]])</f>
        <v>-50000</v>
      </c>
      <c r="Q989" s="91" t="str">
        <f>IF(tblMovimientos[[#This Row],[Cuenta Bancaria]]="","",_xlfn.XLOOKUP(tblMovimientos[[#This Row],[Cuenta Bancaria]],Cuentas!$C:$C,Cuentas!$A:$A,"No encontrado"))</f>
        <v>Trust</v>
      </c>
      <c r="R989" s="91" t="str">
        <f>TRIM(_xlfn.XLOOKUP(tblMovimientos[[#This Row],[Cuenta Bancaria]],Cuentas!$C:$C,Cuentas!$B:$B,""))</f>
        <v/>
      </c>
    </row>
    <row r="990" spans="1:18" x14ac:dyDescent="0.3">
      <c r="B990" s="39">
        <v>46275</v>
      </c>
      <c r="C990" s="46" t="str">
        <f>_xlfn.XLOOKUP(tblMovimientos[[#This Row],[Cuenta Bancaria]],Listas!$B:$B,Listas!$A:$A,"")</f>
        <v>Nobe Aparments</v>
      </c>
      <c r="D990" s="41" t="s">
        <v>191</v>
      </c>
      <c r="E990" s="80" t="str">
        <f>_xlfn.XLOOKUP(tblMovimientos[[#This Row],[Cuenta Bancaria]],Listas!$B:$B,Listas!$C:$C,"")</f>
        <v>Bank of America</v>
      </c>
      <c r="F990" s="41" t="s">
        <v>10</v>
      </c>
      <c r="G990" s="41" t="s">
        <v>38</v>
      </c>
      <c r="H990" s="4" t="str">
        <f>IFERROR(_xlfn.XLOOKUP(G990,Listas!E:E,Listas!F:F,""),"")</f>
        <v>Operativo</v>
      </c>
      <c r="I990" s="46" t="str">
        <f>IFERROR(_xlfn.XLOOKUP(G990,Listas!E:E,Listas!G:G,""),"")</f>
        <v>Externo</v>
      </c>
      <c r="J990" s="43">
        <v>97.84</v>
      </c>
      <c r="K990" s="5">
        <f t="shared" si="10"/>
        <v>-97.84</v>
      </c>
      <c r="L990" s="15" t="s">
        <v>133</v>
      </c>
      <c r="M990" s="44">
        <f>SUMIFS('Saldos Iniciales'!$D:$D,'Saldos Iniciales'!$A:$A,C990,'Saldos Iniciales'!$B:$B,D990)+SUMIFS($K$1:$K$1325,$C$1:$C$1325,C990,$D$1:$D$1325,D990,$B$1:$B$1325,"&lt;="&amp;B990)</f>
        <v>210795.68</v>
      </c>
      <c r="N990" s="65" t="str">
        <f>IF(tblMovimientos[[#This Row],[Tipo de Movimiento]]="Ingreso",tblMovimientos[[#This Row],[Monto (S/)]],"0")</f>
        <v>0</v>
      </c>
      <c r="O990" s="65">
        <f>IF(tblMovimientos[[#This Row],[Tipo de Movimiento]]="Egreso",tblMovimientos[[#This Row],[Monto (S/)]],"0")</f>
        <v>97.84</v>
      </c>
      <c r="P990" s="28">
        <f>IF(tblMovimientos[[#This Row],[Tipo de Movimiento]]="Ingreso",tblMovimientos[[#This Row],[Ingreso]],-tblMovimientos[[#This Row],[Egreso]])</f>
        <v>-97.84</v>
      </c>
      <c r="Q990" s="91" t="str">
        <f>IF(tblMovimientos[[#This Row],[Cuenta Bancaria]]="","",_xlfn.XLOOKUP(tblMovimientos[[#This Row],[Cuenta Bancaria]],Cuentas!$C:$C,Cuentas!$A:$A,"No encontrado"))</f>
        <v>Carmen Cross / Estate</v>
      </c>
      <c r="R990" s="91" t="str">
        <f>TRIM(_xlfn.XLOOKUP(tblMovimientos[[#This Row],[Cuenta Bancaria]],Cuentas!$C:$C,Cuentas!$B:$B,""))</f>
        <v/>
      </c>
    </row>
    <row r="991" spans="1:18" x14ac:dyDescent="0.3">
      <c r="A991" s="45"/>
      <c r="B991" s="39">
        <v>46276</v>
      </c>
      <c r="C991" s="46" t="str">
        <f>_xlfn.XLOOKUP(tblMovimientos[[#This Row],[Cuenta Bancaria]],Listas!$B:$B,Listas!$A:$A,"")</f>
        <v>A&amp;M Imports</v>
      </c>
      <c r="D991" s="41" t="s">
        <v>100</v>
      </c>
      <c r="E991" s="46" t="str">
        <f>_xlfn.XLOOKUP(tblMovimientos[[#This Row],[Cuenta Bancaria]],Listas!$B:$B,Listas!$C:$C,"")</f>
        <v>Bank of America</v>
      </c>
      <c r="F991" s="41" t="s">
        <v>10</v>
      </c>
      <c r="G991" s="41" t="s">
        <v>45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45</v>
      </c>
      <c r="K991" s="5">
        <f t="shared" si="10"/>
        <v>-45</v>
      </c>
      <c r="L991" s="15" t="s">
        <v>133</v>
      </c>
      <c r="M991" s="44">
        <f>SUMIFS('Saldos Iniciales'!$D:$D,'Saldos Iniciales'!$A:$A,C991,'Saldos Iniciales'!$B:$B,D991)+SUMIFS($K$1:$K$1325,$C$1:$C$1325,C991,$D$1:$D$1325,D991,$B$1:$B$1325,"&lt;="&amp;B991)</f>
        <v>1089124.99</v>
      </c>
      <c r="N991" s="65" t="str">
        <f>IF(tblMovimientos[[#This Row],[Tipo de Movimiento]]="Ingreso",tblMovimientos[[#This Row],[Monto (S/)]],"0")</f>
        <v>0</v>
      </c>
      <c r="O991" s="65">
        <f>IF(tblMovimientos[[#This Row],[Tipo de Movimiento]]="Egreso",tblMovimientos[[#This Row],[Monto (S/)]],"0")</f>
        <v>45</v>
      </c>
      <c r="P991" s="28">
        <f>IF(tblMovimientos[[#This Row],[Tipo de Movimiento]]="Ingreso",tblMovimientos[[#This Row],[Ingreso]],-tblMovimientos[[#This Row],[Egreso]])</f>
        <v>-45</v>
      </c>
      <c r="Q991" s="91" t="str">
        <f>IF(tblMovimientos[[#This Row],[Cuenta Bancaria]]="","",_xlfn.XLOOKUP(tblMovimientos[[#This Row],[Cuenta Bancaria]],Cuentas!$C:$C,Cuentas!$A:$A,"No encontrado"))</f>
        <v>SSP Group</v>
      </c>
      <c r="R991" s="91" t="str">
        <f>TRIM(_xlfn.XLOOKUP(tblMovimientos[[#This Row],[Cuenta Bancaria]],Cuentas!$C:$C,Cuentas!$B:$B,""))</f>
        <v>Cross Security Trust</v>
      </c>
    </row>
    <row r="992" spans="1:18" x14ac:dyDescent="0.3">
      <c r="B992" s="39">
        <v>46276</v>
      </c>
      <c r="C992" s="46" t="str">
        <f>_xlfn.XLOOKUP(tblMovimientos[[#This Row],[Cuenta Bancaria]],Listas!$B:$B,Listas!$A:$A,"")</f>
        <v>CFT Group</v>
      </c>
      <c r="D992" s="41" t="s">
        <v>94</v>
      </c>
      <c r="E992" s="4" t="str">
        <f>_xlfn.XLOOKUP(tblMovimientos[[#This Row],[Cuenta Bancaria]],Listas!$B:$B,Listas!$C:$C,"")</f>
        <v>Bank of America</v>
      </c>
      <c r="F992" s="41" t="s">
        <v>9</v>
      </c>
      <c r="G992" s="41" t="s">
        <v>68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80126.2</v>
      </c>
      <c r="K992" s="5">
        <f t="shared" si="10"/>
        <v>80126.2</v>
      </c>
      <c r="L992" s="15" t="s">
        <v>133</v>
      </c>
      <c r="M992" s="44">
        <f>SUMIFS('Saldos Iniciales'!$D:$D,'Saldos Iniciales'!$A:$A,C992,'Saldos Iniciales'!$B:$B,D992)+SUMIFS($K$1:$K$1325,$C$1:$C$1325,C992,$D$1:$D$1325,D992,$B$1:$B$1325,"&lt;="&amp;B992)</f>
        <v>372222.02999999997</v>
      </c>
      <c r="N992" s="65">
        <f>IF(tblMovimientos[[#This Row],[Tipo de Movimiento]]="Ingreso",tblMovimientos[[#This Row],[Monto (S/)]],"0")</f>
        <v>80126.2</v>
      </c>
      <c r="O992" s="65" t="str">
        <f>IF(tblMovimientos[[#This Row],[Tipo de Movimiento]]="Egreso",tblMovimientos[[#This Row],[Monto (S/)]],"0")</f>
        <v>0</v>
      </c>
      <c r="P992" s="28">
        <f>IF(tblMovimientos[[#This Row],[Tipo de Movimiento]]="Ingreso",tblMovimientos[[#This Row],[Ingreso]],-tblMovimientos[[#This Row],[Egreso]])</f>
        <v>80126.2</v>
      </c>
      <c r="Q992" s="91" t="str">
        <f>IF(tblMovimientos[[#This Row],[Cuenta Bancaria]]="","",_xlfn.XLOOKUP(tblMovimientos[[#This Row],[Cuenta Bancaria]],Cuentas!$C:$C,Cuentas!$A:$A,"No encontrado"))</f>
        <v>SSP Group</v>
      </c>
      <c r="R992" s="91" t="str">
        <f>TRIM(_xlfn.XLOOKUP(tblMovimientos[[#This Row],[Cuenta Bancaria]],Cuentas!$C:$C,Cuentas!$B:$B,""))</f>
        <v/>
      </c>
    </row>
    <row r="993" spans="1:18" x14ac:dyDescent="0.3">
      <c r="B993" s="39">
        <v>46276</v>
      </c>
      <c r="C993" s="46" t="str">
        <f>_xlfn.XLOOKUP(tblMovimientos[[#This Row],[Cuenta Bancaria]],Listas!$B:$B,Listas!$A:$A,"")</f>
        <v>CFT Group</v>
      </c>
      <c r="D993" s="41" t="s">
        <v>94</v>
      </c>
      <c r="E993" s="4" t="str">
        <f>_xlfn.XLOOKUP(tblMovimientos[[#This Row],[Cuenta Bancaria]],Listas!$B:$B,Listas!$C:$C,"")</f>
        <v>Bank of America</v>
      </c>
      <c r="F993" s="41" t="s">
        <v>9</v>
      </c>
      <c r="G993" s="41" t="s">
        <v>68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124724.8</v>
      </c>
      <c r="K993" s="5">
        <f t="shared" si="10"/>
        <v>124724.8</v>
      </c>
      <c r="L993" s="15" t="s">
        <v>133</v>
      </c>
      <c r="M993" s="44">
        <f>SUMIFS('Saldos Iniciales'!$D:$D,'Saldos Iniciales'!$A:$A,C993,'Saldos Iniciales'!$B:$B,D993)+SUMIFS($K$1:$K$1325,$C$1:$C$1325,C993,$D$1:$D$1325,D993,$B$1:$B$1325,"&lt;="&amp;B993)</f>
        <v>372222.02999999997</v>
      </c>
      <c r="N993" s="65">
        <f>IF(tblMovimientos[[#This Row],[Tipo de Movimiento]]="Ingreso",tblMovimientos[[#This Row],[Monto (S/)]],"0")</f>
        <v>124724.8</v>
      </c>
      <c r="O993" s="65" t="str">
        <f>IF(tblMovimientos[[#This Row],[Tipo de Movimiento]]="Egreso",tblMovimientos[[#This Row],[Monto (S/)]],"0")</f>
        <v>0</v>
      </c>
      <c r="P993" s="28">
        <f>IF(tblMovimientos[[#This Row],[Tipo de Movimiento]]="Ingreso",tblMovimientos[[#This Row],[Ingreso]],-tblMovimientos[[#This Row],[Egreso]])</f>
        <v>124724.8</v>
      </c>
      <c r="Q993" s="91" t="str">
        <f>IF(tblMovimientos[[#This Row],[Cuenta Bancaria]]="","",_xlfn.XLOOKUP(tblMovimientos[[#This Row],[Cuenta Bancaria]],Cuentas!$C:$C,Cuentas!$A:$A,"No encontrado"))</f>
        <v>SSP Group</v>
      </c>
      <c r="R993" s="91" t="str">
        <f>TRIM(_xlfn.XLOOKUP(tblMovimientos[[#This Row],[Cuenta Bancaria]],Cuentas!$C:$C,Cuentas!$B:$B,""))</f>
        <v/>
      </c>
    </row>
    <row r="994" spans="1:18" x14ac:dyDescent="0.3">
      <c r="B994" s="39">
        <v>46276</v>
      </c>
      <c r="C994" s="46" t="str">
        <f>_xlfn.XLOOKUP(tblMovimientos[[#This Row],[Cuenta Bancaria]],Listas!$B:$B,Listas!$A:$A,"")</f>
        <v>112 Florida Ave</v>
      </c>
      <c r="D994" s="41" t="s">
        <v>123</v>
      </c>
      <c r="E994" s="4" t="str">
        <f>_xlfn.XLOOKUP(tblMovimientos[[#This Row],[Cuenta Bancaria]],Listas!$B:$B,Listas!$C:$C,"")</f>
        <v>Bank of America</v>
      </c>
      <c r="F994" s="41" t="s">
        <v>10</v>
      </c>
      <c r="G994" s="41" t="s">
        <v>38</v>
      </c>
      <c r="H994" s="4" t="str">
        <f>IFERROR(_xlfn.XLOOKUP(G994,Listas!E:E,Listas!F:F,""),"")</f>
        <v>Operativo</v>
      </c>
      <c r="I994" s="46" t="str">
        <f>IFERROR(_xlfn.XLOOKUP(G994,Listas!E:E,Listas!G:G,""),"")</f>
        <v>Externo</v>
      </c>
      <c r="J994" s="43">
        <v>477.91</v>
      </c>
      <c r="K994" s="5">
        <f t="shared" si="10"/>
        <v>-477.91</v>
      </c>
      <c r="L994" s="15" t="s">
        <v>133</v>
      </c>
      <c r="M994" s="44">
        <f>SUMIFS('Saldos Iniciales'!$D:$D,'Saldos Iniciales'!$A:$A,C994,'Saldos Iniciales'!$B:$B,D994)+SUMIFS($K$1:$K$1325,$C$1:$C$1325,C994,$D$1:$D$1325,D994,$B$1:$B$1325,"&lt;="&amp;B994)</f>
        <v>16282.630000000006</v>
      </c>
      <c r="N994" s="65" t="str">
        <f>IF(tblMovimientos[[#This Row],[Tipo de Movimiento]]="Ingreso",tblMovimientos[[#This Row],[Monto (S/)]],"0")</f>
        <v>0</v>
      </c>
      <c r="O994" s="65">
        <f>IF(tblMovimientos[[#This Row],[Tipo de Movimiento]]="Egreso",tblMovimientos[[#This Row],[Monto (S/)]],"0")</f>
        <v>477.91</v>
      </c>
      <c r="P994" s="28">
        <f>IF(tblMovimientos[[#This Row],[Tipo de Movimiento]]="Ingreso",tblMovimientos[[#This Row],[Ingreso]],-tblMovimientos[[#This Row],[Egreso]])</f>
        <v>-477.91</v>
      </c>
      <c r="Q994" s="91" t="str">
        <f>IF(tblMovimientos[[#This Row],[Cuenta Bancaria]]="","",_xlfn.XLOOKUP(tblMovimientos[[#This Row],[Cuenta Bancaria]],Cuentas!$C:$C,Cuentas!$A:$A,"No encontrado"))</f>
        <v>SSP Group</v>
      </c>
      <c r="R994" s="91" t="str">
        <f>TRIM(_xlfn.XLOOKUP(tblMovimientos[[#This Row],[Cuenta Bancaria]],Cuentas!$C:$C,Cuentas!$B:$B,""))</f>
        <v/>
      </c>
    </row>
    <row r="995" spans="1:18" x14ac:dyDescent="0.3">
      <c r="B995" s="39">
        <v>46276</v>
      </c>
      <c r="C995" s="46" t="str">
        <f>_xlfn.XLOOKUP(tblMovimientos[[#This Row],[Cuenta Bancaria]],Listas!$B:$B,Listas!$A:$A,"")</f>
        <v>3628 Thomas Ave</v>
      </c>
      <c r="D995" s="41" t="s">
        <v>124</v>
      </c>
      <c r="E995" s="4" t="str">
        <f>_xlfn.XLOOKUP(tblMovimientos[[#This Row],[Cuenta Bancaria]],Listas!$B:$B,Listas!$C:$C,"")</f>
        <v>Bank of America</v>
      </c>
      <c r="F995" s="41" t="s">
        <v>10</v>
      </c>
      <c r="G995" s="41" t="s">
        <v>38</v>
      </c>
      <c r="H995" s="4" t="str">
        <f>IFERROR(_xlfn.XLOOKUP(G995,Listas!E:E,Listas!F:F,""),"")</f>
        <v>Operativo</v>
      </c>
      <c r="I995" s="46" t="str">
        <f>IFERROR(_xlfn.XLOOKUP(G995,Listas!E:E,Listas!G:G,""),"")</f>
        <v>Externo</v>
      </c>
      <c r="J995" s="43">
        <v>477.91</v>
      </c>
      <c r="K995" s="5">
        <f t="shared" si="10"/>
        <v>-477.91</v>
      </c>
      <c r="L995" s="15" t="s">
        <v>133</v>
      </c>
      <c r="M995" s="44">
        <f>SUMIFS('Saldos Iniciales'!$D:$D,'Saldos Iniciales'!$A:$A,C995,'Saldos Iniciales'!$B:$B,D995)+SUMIFS($K$1:$K$1325,$C$1:$C$1325,C995,$D$1:$D$1325,D995,$B$1:$B$1325,"&lt;="&amp;B995)</f>
        <v>13339.389999999996</v>
      </c>
      <c r="N995" s="65" t="str">
        <f>IF(tblMovimientos[[#This Row],[Tipo de Movimiento]]="Ingreso",tblMovimientos[[#This Row],[Monto (S/)]],"0")</f>
        <v>0</v>
      </c>
      <c r="O995" s="65">
        <f>IF(tblMovimientos[[#This Row],[Tipo de Movimiento]]="Egreso",tblMovimientos[[#This Row],[Monto (S/)]],"0")</f>
        <v>477.91</v>
      </c>
      <c r="P995" s="28">
        <f>IF(tblMovimientos[[#This Row],[Tipo de Movimiento]]="Ingreso",tblMovimientos[[#This Row],[Ingreso]],-tblMovimientos[[#This Row],[Egreso]])</f>
        <v>-477.91</v>
      </c>
      <c r="Q995" s="91" t="str">
        <f>IF(tblMovimientos[[#This Row],[Cuenta Bancaria]]="","",_xlfn.XLOOKUP(tblMovimientos[[#This Row],[Cuenta Bancaria]],Cuentas!$C:$C,Cuentas!$A:$A,"No encontrado"))</f>
        <v>SSP Group</v>
      </c>
      <c r="R995" s="91" t="str">
        <f>TRIM(_xlfn.XLOOKUP(tblMovimientos[[#This Row],[Cuenta Bancaria]],Cuentas!$C:$C,Cuentas!$B:$B,""))</f>
        <v/>
      </c>
    </row>
    <row r="996" spans="1:18" x14ac:dyDescent="0.3">
      <c r="B996" s="39">
        <v>46276</v>
      </c>
      <c r="C996" s="46" t="str">
        <f>_xlfn.XLOOKUP(tblMovimientos[[#This Row],[Cuenta Bancaria]],Listas!$B:$B,Listas!$A:$A,"")</f>
        <v>3628 Thomas Ave</v>
      </c>
      <c r="D996" s="41" t="s">
        <v>124</v>
      </c>
      <c r="E996" s="4" t="str">
        <f>_xlfn.XLOOKUP(tblMovimientos[[#This Row],[Cuenta Bancaria]],Listas!$B:$B,Listas!$C:$C,"")</f>
        <v>Bank of America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345.7</v>
      </c>
      <c r="K996" s="5">
        <f t="shared" si="10"/>
        <v>-345.7</v>
      </c>
      <c r="L996" s="15" t="s">
        <v>133</v>
      </c>
      <c r="M996" s="44">
        <f>SUMIFS('Saldos Iniciales'!$D:$D,'Saldos Iniciales'!$A:$A,C996,'Saldos Iniciales'!$B:$B,D996)+SUMIFS($K$1:$K$1325,$C$1:$C$1325,C996,$D$1:$D$1325,D996,$B$1:$B$1325,"&lt;="&amp;B996)</f>
        <v>13339.389999999996</v>
      </c>
      <c r="N996" s="65" t="str">
        <f>IF(tblMovimientos[[#This Row],[Tipo de Movimiento]]="Ingreso",tblMovimientos[[#This Row],[Monto (S/)]],"0")</f>
        <v>0</v>
      </c>
      <c r="O996" s="65">
        <f>IF(tblMovimientos[[#This Row],[Tipo de Movimiento]]="Egreso",tblMovimientos[[#This Row],[Monto (S/)]],"0")</f>
        <v>345.7</v>
      </c>
      <c r="P996" s="28">
        <f>IF(tblMovimientos[[#This Row],[Tipo de Movimiento]]="Ingreso",tblMovimientos[[#This Row],[Ingreso]],-tblMovimientos[[#This Row],[Egreso]])</f>
        <v>-345.7</v>
      </c>
      <c r="Q996" s="91" t="str">
        <f>IF(tblMovimientos[[#This Row],[Cuenta Bancaria]]="","",_xlfn.XLOOKUP(tblMovimientos[[#This Row],[Cuenta Bancaria]],Cuentas!$C:$C,Cuentas!$A:$A,"No encontrado"))</f>
        <v>SSP Group</v>
      </c>
      <c r="R996" s="91" t="str">
        <f>TRIM(_xlfn.XLOOKUP(tblMovimientos[[#This Row],[Cuenta Bancaria]],Cuentas!$C:$C,Cuentas!$B:$B,""))</f>
        <v/>
      </c>
    </row>
    <row r="997" spans="1:18" x14ac:dyDescent="0.3">
      <c r="B997" s="39">
        <v>46276</v>
      </c>
      <c r="C997" s="46" t="str">
        <f>_xlfn.XLOOKUP(tblMovimientos[[#This Row],[Cuenta Bancaria]],Listas!$B:$B,Listas!$A:$A,"")</f>
        <v>Go Blue</v>
      </c>
      <c r="D997" s="41" t="s">
        <v>165</v>
      </c>
      <c r="E997" s="4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102.27</v>
      </c>
      <c r="K997" s="5">
        <f t="shared" si="10"/>
        <v>-102.27</v>
      </c>
      <c r="L997" s="15" t="s">
        <v>133</v>
      </c>
      <c r="M997" s="44">
        <f>SUMIFS('Saldos Iniciales'!$D:$D,'Saldos Iniciales'!$A:$A,C997,'Saldos Iniciales'!$B:$B,D997)+SUMIFS($K$1:$K$1325,$C$1:$C$1325,C997,$D$1:$D$1325,D997,$B$1:$B$1325,"&lt;="&amp;B997)</f>
        <v>6892.550000000002</v>
      </c>
      <c r="N997" s="65" t="str">
        <f>IF(tblMovimientos[[#This Row],[Tipo de Movimiento]]="Ingreso",tblMovimientos[[#This Row],[Monto (S/)]],"0")</f>
        <v>0</v>
      </c>
      <c r="O997" s="65">
        <f>IF(tblMovimientos[[#This Row],[Tipo de Movimiento]]="Egreso",tblMovimientos[[#This Row],[Monto (S/)]],"0")</f>
        <v>102.27</v>
      </c>
      <c r="P997" s="28">
        <f>IF(tblMovimientos[[#This Row],[Tipo de Movimiento]]="Ingreso",tblMovimientos[[#This Row],[Ingreso]],-tblMovimientos[[#This Row],[Egreso]])</f>
        <v>-102.27</v>
      </c>
      <c r="Q997" s="91" t="str">
        <f>IF(tblMovimientos[[#This Row],[Cuenta Bancaria]]="","",_xlfn.XLOOKUP(tblMovimientos[[#This Row],[Cuenta Bancaria]],Cuentas!$C:$C,Cuentas!$A:$A,"No encontrado"))</f>
        <v>SSP Group</v>
      </c>
      <c r="R997" s="91" t="str">
        <f>TRIM(_xlfn.XLOOKUP(tblMovimientos[[#This Row],[Cuenta Bancaria]],Cuentas!$C:$C,Cuentas!$B:$B,""))</f>
        <v/>
      </c>
    </row>
    <row r="998" spans="1:18" x14ac:dyDescent="0.3">
      <c r="A998" s="45"/>
      <c r="B998" s="39">
        <v>46276</v>
      </c>
      <c r="C998" s="46" t="str">
        <f>_xlfn.XLOOKUP(tblMovimientos[[#This Row],[Cuenta Bancaria]],Listas!$B:$B,Listas!$A:$A,"")</f>
        <v>CFT Group</v>
      </c>
      <c r="D998" s="41" t="s">
        <v>95</v>
      </c>
      <c r="E998" s="46" t="str">
        <f>_xlfn.XLOOKUP(tblMovimientos[[#This Row],[Cuenta Bancaria]],Listas!$B:$B,Listas!$C:$C,"")</f>
        <v xml:space="preserve">Amerant Bank </v>
      </c>
      <c r="F998" s="41" t="s">
        <v>9</v>
      </c>
      <c r="G998" s="41" t="s">
        <v>75</v>
      </c>
      <c r="H998" s="46" t="str">
        <f>IFERROR(_xlfn.XLOOKUP(G998,Listas!E:E,Listas!F:F,""),"")</f>
        <v>Financiamiento</v>
      </c>
      <c r="I998" s="46" t="str">
        <f>IFERROR(_xlfn.XLOOKUP(G998,Listas!E:E,Listas!G:G,""),"")</f>
        <v>Interno</v>
      </c>
      <c r="J998" s="43">
        <v>350000</v>
      </c>
      <c r="K998" s="5">
        <f t="shared" si="10"/>
        <v>350000</v>
      </c>
      <c r="L998" s="15" t="s">
        <v>133</v>
      </c>
      <c r="M998" s="44">
        <f>SUMIFS('Saldos Iniciales'!$D:$D,'Saldos Iniciales'!$A:$A,C998,'Saldos Iniciales'!$B:$B,D998)+SUMIFS($K$1:$K$1325,$C$1:$C$1325,C998,$D$1:$D$1325,D998,$B$1:$B$1325,"&lt;="&amp;B998)</f>
        <v>1515508.1300000011</v>
      </c>
      <c r="N998" s="65">
        <f>IF(tblMovimientos[[#This Row],[Tipo de Movimiento]]="Ingreso",tblMovimientos[[#This Row],[Monto (S/)]],"0")</f>
        <v>350000</v>
      </c>
      <c r="O998" s="65" t="str">
        <f>IF(tblMovimientos[[#This Row],[Tipo de Movimiento]]="Egreso",tblMovimientos[[#This Row],[Monto (S/)]],"0")</f>
        <v>0</v>
      </c>
      <c r="P998" s="28">
        <f>IF(tblMovimientos[[#This Row],[Tipo de Movimiento]]="Ingreso",tblMovimientos[[#This Row],[Ingreso]],-tblMovimientos[[#This Row],[Egreso]])</f>
        <v>350000</v>
      </c>
      <c r="Q998" s="91" t="str">
        <f>IF(tblMovimientos[[#This Row],[Cuenta Bancaria]]="","",_xlfn.XLOOKUP(tblMovimientos[[#This Row],[Cuenta Bancaria]],Cuentas!$C:$C,Cuentas!$A:$A,"No encontrado"))</f>
        <v>SSP Group</v>
      </c>
      <c r="R998" s="91" t="str">
        <f>TRIM(_xlfn.XLOOKUP(tblMovimientos[[#This Row],[Cuenta Bancaria]],Cuentas!$C:$C,Cuentas!$B:$B,""))</f>
        <v/>
      </c>
    </row>
    <row r="999" spans="1:18" x14ac:dyDescent="0.3">
      <c r="B999" s="39">
        <v>46276</v>
      </c>
      <c r="C999" s="46" t="str">
        <f>_xlfn.XLOOKUP(tblMovimientos[[#This Row],[Cuenta Bancaria]],Listas!$B:$B,Listas!$A:$A,"")</f>
        <v>Pacha Ventures LLC</v>
      </c>
      <c r="D999" s="41" t="s">
        <v>187</v>
      </c>
      <c r="E999" s="80" t="str">
        <f>_xlfn.XLOOKUP(tblMovimientos[[#This Row],[Cuenta Bancaria]],Listas!$B:$B,Listas!$C:$C,"")</f>
        <v xml:space="preserve">Amerant Bank </v>
      </c>
      <c r="F999" s="41" t="s">
        <v>9</v>
      </c>
      <c r="G999" s="41" t="s">
        <v>78</v>
      </c>
      <c r="H999" s="4" t="str">
        <f>IFERROR(_xlfn.XLOOKUP(G999,Listas!E:E,Listas!F:F,""),"")</f>
        <v>Inversion</v>
      </c>
      <c r="I999" s="46" t="str">
        <f>IFERROR(_xlfn.XLOOKUP(G999,Listas!E:E,Listas!G:G,""),"")</f>
        <v>Externo</v>
      </c>
      <c r="J999" s="43">
        <v>350000</v>
      </c>
      <c r="K999" s="5">
        <f t="shared" si="10"/>
        <v>350000</v>
      </c>
      <c r="L999" s="15" t="s">
        <v>133</v>
      </c>
      <c r="M999" s="44">
        <f>SUMIFS('Saldos Iniciales'!$D:$D,'Saldos Iniciales'!$A:$A,C999,'Saldos Iniciales'!$B:$B,D999)+SUMIFS($K$1:$K$1325,$C$1:$C$1325,C999,$D$1:$D$1325,D999,$B$1:$B$1325,"&lt;="&amp;B999)</f>
        <v>298792.34000000003</v>
      </c>
      <c r="N999" s="65">
        <f>IF(tblMovimientos[[#This Row],[Tipo de Movimiento]]="Ingreso",tblMovimientos[[#This Row],[Monto (S/)]],"0")</f>
        <v>350000</v>
      </c>
      <c r="O999" s="65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350000</v>
      </c>
      <c r="Q999" s="91" t="str">
        <f>IF(tblMovimientos[[#This Row],[Cuenta Bancaria]]="","",_xlfn.XLOOKUP(tblMovimientos[[#This Row],[Cuenta Bancaria]],Cuentas!$C:$C,Cuentas!$A:$A,"No encontrado"))</f>
        <v>Michael Cross</v>
      </c>
      <c r="R999" s="91" t="str">
        <f>TRIM(_xlfn.XLOOKUP(tblMovimientos[[#This Row],[Cuenta Bancaria]],Cuentas!$C:$C,Cuentas!$B:$B,""))</f>
        <v/>
      </c>
    </row>
    <row r="1000" spans="1:18" x14ac:dyDescent="0.3">
      <c r="B1000" s="39">
        <v>46276</v>
      </c>
      <c r="C1000" s="46" t="str">
        <f>_xlfn.XLOOKUP(tblMovimientos[[#This Row],[Cuenta Bancaria]],Listas!$B:$B,Listas!$A:$A,"")</f>
        <v>Pacha Ventures LLC</v>
      </c>
      <c r="D1000" s="41" t="s">
        <v>187</v>
      </c>
      <c r="E1000" s="80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350000</v>
      </c>
      <c r="K1000" s="5">
        <f t="shared" si="10"/>
        <v>-350000</v>
      </c>
      <c r="L1000" s="15" t="s">
        <v>133</v>
      </c>
      <c r="M1000" s="44">
        <f>SUMIFS('Saldos Iniciales'!$D:$D,'Saldos Iniciales'!$A:$A,C1000,'Saldos Iniciales'!$B:$B,D1000)+SUMIFS($K$1:$K$1325,$C$1:$C$1325,C1000,$D$1:$D$1325,D1000,$B$1:$B$1325,"&lt;="&amp;B1000)</f>
        <v>298792.34000000003</v>
      </c>
      <c r="N1000" s="65" t="str">
        <f>IF(tblMovimientos[[#This Row],[Tipo de Movimiento]]="Ingreso",tblMovimientos[[#This Row],[Monto (S/)]],"0")</f>
        <v>0</v>
      </c>
      <c r="O1000" s="65">
        <f>IF(tblMovimientos[[#This Row],[Tipo de Movimiento]]="Egreso",tblMovimientos[[#This Row],[Monto (S/)]],"0")</f>
        <v>350000</v>
      </c>
      <c r="P1000" s="28">
        <f>IF(tblMovimientos[[#This Row],[Tipo de Movimiento]]="Ingreso",tblMovimientos[[#This Row],[Ingreso]],-tblMovimientos[[#This Row],[Egreso]])</f>
        <v>-350000</v>
      </c>
      <c r="Q1000" s="91" t="str">
        <f>IF(tblMovimientos[[#This Row],[Cuenta Bancaria]]="","",_xlfn.XLOOKUP(tblMovimientos[[#This Row],[Cuenta Bancaria]],Cuentas!$C:$C,Cuentas!$A:$A,"No encontrado"))</f>
        <v>Michael Cross</v>
      </c>
      <c r="R1000" s="91" t="str">
        <f>TRIM(_xlfn.XLOOKUP(tblMovimientos[[#This Row],[Cuenta Bancaria]],Cuentas!$C:$C,Cuentas!$B:$B,""))</f>
        <v/>
      </c>
    </row>
    <row r="1001" spans="1:18" x14ac:dyDescent="0.3">
      <c r="B1001" s="39">
        <v>46276</v>
      </c>
      <c r="C1001" s="46" t="str">
        <f>_xlfn.XLOOKUP(tblMovimientos[[#This Row],[Cuenta Bancaria]],Listas!$B:$B,Listas!$A:$A,"")</f>
        <v>Prendamas SRL</v>
      </c>
      <c r="D1001" s="41" t="s">
        <v>186</v>
      </c>
      <c r="E1001" s="80" t="str">
        <f>_xlfn.XLOOKUP(tblMovimientos[[#This Row],[Cuenta Bancaria]],Listas!$B:$B,Listas!$C:$C,"")</f>
        <v xml:space="preserve">Amerant Bank 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477.1</v>
      </c>
      <c r="K1001" s="5">
        <f t="shared" si="10"/>
        <v>-477.1</v>
      </c>
      <c r="L1001" s="15" t="s">
        <v>133</v>
      </c>
      <c r="M1001" s="44">
        <f>SUMIFS('Saldos Iniciales'!$D:$D,'Saldos Iniciales'!$A:$A,C1001,'Saldos Iniciales'!$B:$B,D1001)+SUMIFS($K$1:$K$1325,$C$1:$C$1325,C1001,$D$1:$D$1325,D1001,$B$1:$B$1325,"&lt;="&amp;B1001)</f>
        <v>31621.50999999998</v>
      </c>
      <c r="N1001" s="65" t="str">
        <f>IF(tblMovimientos[[#This Row],[Tipo de Movimiento]]="Ingreso",tblMovimientos[[#This Row],[Monto (S/)]],"0")</f>
        <v>0</v>
      </c>
      <c r="O1001" s="65">
        <f>IF(tblMovimientos[[#This Row],[Tipo de Movimiento]]="Egreso",tblMovimientos[[#This Row],[Monto (S/)]],"0")</f>
        <v>477.1</v>
      </c>
      <c r="P1001" s="28">
        <f>IF(tblMovimientos[[#This Row],[Tipo de Movimiento]]="Ingreso",tblMovimientos[[#This Row],[Ingreso]],-tblMovimientos[[#This Row],[Egreso]])</f>
        <v>-477.1</v>
      </c>
      <c r="Q1001" s="91" t="str">
        <f>IF(tblMovimientos[[#This Row],[Cuenta Bancaria]]="","",_xlfn.XLOOKUP(tblMovimientos[[#This Row],[Cuenta Bancaria]],Cuentas!$C:$C,Cuentas!$A:$A,"No encontrado"))</f>
        <v>Unidades de Negocio</v>
      </c>
      <c r="R1001" s="91" t="str">
        <f>TRIM(_xlfn.XLOOKUP(tblMovimientos[[#This Row],[Cuenta Bancaria]],Cuentas!$C:$C,Cuentas!$B:$B,""))</f>
        <v/>
      </c>
    </row>
    <row r="1002" spans="1:18" x14ac:dyDescent="0.3">
      <c r="B1002" s="39">
        <v>46276</v>
      </c>
      <c r="C1002" s="46" t="str">
        <f>_xlfn.XLOOKUP(tblMovimientos[[#This Row],[Cuenta Bancaria]],Listas!$B:$B,Listas!$A:$A,"")</f>
        <v>Prendamas SRL</v>
      </c>
      <c r="D1002" s="41" t="s">
        <v>186</v>
      </c>
      <c r="E1002" s="80" t="str">
        <f>_xlfn.XLOOKUP(tblMovimientos[[#This Row],[Cuenta Bancaria]],Listas!$B:$B,Listas!$C:$C,"")</f>
        <v xml:space="preserve">Amerant Bank </v>
      </c>
      <c r="F1002" s="41" t="s">
        <v>10</v>
      </c>
      <c r="G1002" s="41" t="s">
        <v>44</v>
      </c>
      <c r="H1002" s="4" t="str">
        <f>IFERROR(_xlfn.XLOOKUP(G1002,Listas!E:E,Listas!F:F,""),"")</f>
        <v>Operativo</v>
      </c>
      <c r="I1002" s="46" t="str">
        <f>IFERROR(_xlfn.XLOOKUP(G1002,Listas!E:E,Listas!G:G,""),"")</f>
        <v>Externo</v>
      </c>
      <c r="J1002" s="43">
        <v>14.31</v>
      </c>
      <c r="K1002" s="5">
        <f t="shared" si="10"/>
        <v>-14.31</v>
      </c>
      <c r="L1002" s="15" t="s">
        <v>133</v>
      </c>
      <c r="M1002" s="44">
        <f>SUMIFS('Saldos Iniciales'!$D:$D,'Saldos Iniciales'!$A:$A,C1002,'Saldos Iniciales'!$B:$B,D1002)+SUMIFS($K$1:$K$1325,$C$1:$C$1325,C1002,$D$1:$D$1325,D1002,$B$1:$B$1325,"&lt;="&amp;B1002)</f>
        <v>31621.50999999998</v>
      </c>
      <c r="N1002" s="65" t="str">
        <f>IF(tblMovimientos[[#This Row],[Tipo de Movimiento]]="Ingreso",tblMovimientos[[#This Row],[Monto (S/)]],"0")</f>
        <v>0</v>
      </c>
      <c r="O1002" s="65">
        <f>IF(tblMovimientos[[#This Row],[Tipo de Movimiento]]="Egreso",tblMovimientos[[#This Row],[Monto (S/)]],"0")</f>
        <v>14.31</v>
      </c>
      <c r="P1002" s="28">
        <f>IF(tblMovimientos[[#This Row],[Tipo de Movimiento]]="Ingreso",tblMovimientos[[#This Row],[Ingreso]],-tblMovimientos[[#This Row],[Egreso]])</f>
        <v>-14.31</v>
      </c>
      <c r="Q1002" s="91" t="str">
        <f>IF(tblMovimientos[[#This Row],[Cuenta Bancaria]]="","",_xlfn.XLOOKUP(tblMovimientos[[#This Row],[Cuenta Bancaria]],Cuentas!$C:$C,Cuentas!$A:$A,"No encontrado"))</f>
        <v>Unidades de Negocio</v>
      </c>
      <c r="R1002" s="91" t="str">
        <f>TRIM(_xlfn.XLOOKUP(tblMovimientos[[#This Row],[Cuenta Bancaria]],Cuentas!$C:$C,Cuentas!$B:$B,""))</f>
        <v/>
      </c>
    </row>
    <row r="1003" spans="1:18" x14ac:dyDescent="0.3">
      <c r="B1003" s="39">
        <v>46276</v>
      </c>
      <c r="C1003" s="46" t="str">
        <f>_xlfn.XLOOKUP(tblMovimientos[[#This Row],[Cuenta Bancaria]],Listas!$B:$B,Listas!$A:$A,"")</f>
        <v>Nobe Aparments</v>
      </c>
      <c r="D1003" s="41" t="s">
        <v>191</v>
      </c>
      <c r="E1003" s="80" t="str">
        <f>_xlfn.XLOOKUP(tblMovimientos[[#This Row],[Cuenta Bancaria]],Listas!$B:$B,Listas!$C:$C,"")</f>
        <v>Bank of America</v>
      </c>
      <c r="F1003" s="41" t="s">
        <v>10</v>
      </c>
      <c r="G1003" s="41" t="s">
        <v>38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831.16</v>
      </c>
      <c r="K1003" s="5">
        <f t="shared" si="10"/>
        <v>-831.16</v>
      </c>
      <c r="L1003" s="15" t="s">
        <v>133</v>
      </c>
      <c r="M1003" s="44">
        <f>SUMIFS('Saldos Iniciales'!$D:$D,'Saldos Iniciales'!$A:$A,C1003,'Saldos Iniciales'!$B:$B,D1003)+SUMIFS($K$1:$K$1325,$C$1:$C$1325,C1003,$D$1:$D$1325,D1003,$B$1:$B$1325,"&lt;="&amp;B1003)</f>
        <v>209364.52</v>
      </c>
      <c r="N1003" s="65" t="str">
        <f>IF(tblMovimientos[[#This Row],[Tipo de Movimiento]]="Ingreso",tblMovimientos[[#This Row],[Monto (S/)]],"0")</f>
        <v>0</v>
      </c>
      <c r="O1003" s="65">
        <f>IF(tblMovimientos[[#This Row],[Tipo de Movimiento]]="Egreso",tblMovimientos[[#This Row],[Monto (S/)]],"0")</f>
        <v>831.16</v>
      </c>
      <c r="P1003" s="28">
        <f>IF(tblMovimientos[[#This Row],[Tipo de Movimiento]]="Ingreso",tblMovimientos[[#This Row],[Ingreso]],-tblMovimientos[[#This Row],[Egreso]])</f>
        <v>-831.16</v>
      </c>
      <c r="Q1003" s="91" t="str">
        <f>IF(tblMovimientos[[#This Row],[Cuenta Bancaria]]="","",_xlfn.XLOOKUP(tblMovimientos[[#This Row],[Cuenta Bancaria]],Cuentas!$C:$C,Cuentas!$A:$A,"No encontrado"))</f>
        <v>Carmen Cross / Estate</v>
      </c>
      <c r="R1003" s="91" t="str">
        <f>TRIM(_xlfn.XLOOKUP(tblMovimientos[[#This Row],[Cuenta Bancaria]],Cuentas!$C:$C,Cuentas!$B:$B,""))</f>
        <v/>
      </c>
    </row>
    <row r="1004" spans="1:18" x14ac:dyDescent="0.3">
      <c r="B1004" s="39">
        <v>46276</v>
      </c>
      <c r="C1004" s="46" t="str">
        <f>_xlfn.XLOOKUP(tblMovimientos[[#This Row],[Cuenta Bancaria]],Listas!$B:$B,Listas!$A:$A,"")</f>
        <v>Nobe Aparments</v>
      </c>
      <c r="D1004" s="41" t="s">
        <v>191</v>
      </c>
      <c r="E1004" s="80" t="str">
        <f>_xlfn.XLOOKUP(tblMovimientos[[#This Row],[Cuenta Bancaria]],Listas!$B:$B,Listas!$C:$C,"")</f>
        <v>Bank of America</v>
      </c>
      <c r="F1004" s="41" t="s">
        <v>10</v>
      </c>
      <c r="G1004" s="41" t="s">
        <v>38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600</v>
      </c>
      <c r="K1004" s="5">
        <f t="shared" si="10"/>
        <v>-600</v>
      </c>
      <c r="L1004" s="15" t="s">
        <v>133</v>
      </c>
      <c r="M1004" s="44">
        <f>SUMIFS('Saldos Iniciales'!$D:$D,'Saldos Iniciales'!$A:$A,C1004,'Saldos Iniciales'!$B:$B,D1004)+SUMIFS($K$1:$K$1325,$C$1:$C$1325,C1004,$D$1:$D$1325,D1004,$B$1:$B$1325,"&lt;="&amp;B1004)</f>
        <v>209364.52</v>
      </c>
      <c r="N1004" s="65" t="str">
        <f>IF(tblMovimientos[[#This Row],[Tipo de Movimiento]]="Ingreso",tblMovimientos[[#This Row],[Monto (S/)]],"0")</f>
        <v>0</v>
      </c>
      <c r="O1004" s="65">
        <f>IF(tblMovimientos[[#This Row],[Tipo de Movimiento]]="Egreso",tblMovimientos[[#This Row],[Monto (S/)]],"0")</f>
        <v>600</v>
      </c>
      <c r="P1004" s="28">
        <f>IF(tblMovimientos[[#This Row],[Tipo de Movimiento]]="Ingreso",tblMovimientos[[#This Row],[Ingreso]],-tblMovimientos[[#This Row],[Egreso]])</f>
        <v>-600</v>
      </c>
      <c r="Q1004" s="91" t="str">
        <f>IF(tblMovimientos[[#This Row],[Cuenta Bancaria]]="","",_xlfn.XLOOKUP(tblMovimientos[[#This Row],[Cuenta Bancaria]],Cuentas!$C:$C,Cuentas!$A:$A,"No encontrado"))</f>
        <v>Carmen Cross / Estate</v>
      </c>
      <c r="R1004" s="91" t="str">
        <f>TRIM(_xlfn.XLOOKUP(tblMovimientos[[#This Row],[Cuenta Bancaria]],Cuentas!$C:$C,Cuentas!$B:$B,""))</f>
        <v/>
      </c>
    </row>
    <row r="1005" spans="1:18" x14ac:dyDescent="0.3">
      <c r="B1005" s="39">
        <v>46276</v>
      </c>
      <c r="C1005" s="46" t="str">
        <f>_xlfn.XLOOKUP(tblMovimientos[[#This Row],[Cuenta Bancaria]],Listas!$B:$B,Listas!$A:$A,"")</f>
        <v>SSP Capital</v>
      </c>
      <c r="D1005" s="41" t="s">
        <v>105</v>
      </c>
      <c r="E1005" s="80" t="str">
        <f>_xlfn.XLOOKUP(tblMovimientos[[#This Row],[Cuenta Bancaria]],Listas!$B:$B,Listas!$C:$C,"")</f>
        <v>Northern Trust</v>
      </c>
      <c r="F1005" s="41" t="s">
        <v>10</v>
      </c>
      <c r="G1005" s="41" t="s">
        <v>44</v>
      </c>
      <c r="H1005" s="4" t="str">
        <f>IFERROR(_xlfn.XLOOKUP(G1005,Listas!E:E,Listas!F:F,""),"")</f>
        <v>Operativo</v>
      </c>
      <c r="I1005" s="81" t="str">
        <f>IFERROR(_xlfn.XLOOKUP(G1005,Listas!E:E,Listas!G:G,""),"")</f>
        <v>Externo</v>
      </c>
      <c r="J1005" s="43">
        <v>108.97</v>
      </c>
      <c r="K1005" s="5">
        <f t="shared" si="10"/>
        <v>-108.97</v>
      </c>
      <c r="L1005" s="15" t="s">
        <v>133</v>
      </c>
      <c r="M1005" s="44">
        <f>SUMIFS('Saldos Iniciales'!$D:$D,'Saldos Iniciales'!$A:$A,C1005,'Saldos Iniciales'!$B:$B,D1005)+SUMIFS($K$1:$K$1325,$C$1:$C$1325,C1005,$D$1:$D$1325,D1005,$B$1:$B$1325,"&lt;="&amp;B1005)</f>
        <v>4543.28</v>
      </c>
      <c r="N1005" s="65" t="str">
        <f>IF(tblMovimientos[[#This Row],[Tipo de Movimiento]]="Ingreso",tblMovimientos[[#This Row],[Monto (S/)]],"0")</f>
        <v>0</v>
      </c>
      <c r="O1005" s="65">
        <f>IF(tblMovimientos[[#This Row],[Tipo de Movimiento]]="Egreso",tblMovimientos[[#This Row],[Monto (S/)]],"0")</f>
        <v>108.97</v>
      </c>
      <c r="P1005" s="28">
        <f>IF(tblMovimientos[[#This Row],[Tipo de Movimiento]]="Ingreso",tblMovimientos[[#This Row],[Ingreso]],-tblMovimientos[[#This Row],[Egreso]])</f>
        <v>-108.97</v>
      </c>
      <c r="Q1005" s="91" t="str">
        <f>IF(tblMovimientos[[#This Row],[Cuenta Bancaria]]="","",_xlfn.XLOOKUP(tblMovimientos[[#This Row],[Cuenta Bancaria]],Cuentas!$C:$C,Cuentas!$A:$A,"No encontrado"))</f>
        <v>SSP Group</v>
      </c>
      <c r="R1005" s="91" t="str">
        <f>TRIM(_xlfn.XLOOKUP(tblMovimientos[[#This Row],[Cuenta Bancaria]],Cuentas!$C:$C,Cuentas!$B:$B,""))</f>
        <v/>
      </c>
    </row>
    <row r="1006" spans="1:18" x14ac:dyDescent="0.3">
      <c r="B1006" s="39">
        <v>46276</v>
      </c>
      <c r="C1006" s="46" t="str">
        <f>_xlfn.XLOOKUP(tblMovimientos[[#This Row],[Cuenta Bancaria]],Listas!$B:$B,Listas!$A:$A,"")</f>
        <v>CFT Group</v>
      </c>
      <c r="D1006" s="41" t="s">
        <v>96</v>
      </c>
      <c r="E1006" s="80" t="str">
        <f>_xlfn.XLOOKUP(tblMovimientos[[#This Row],[Cuenta Bancaria]],Listas!$B:$B,Listas!$C:$C,"")</f>
        <v>Northern Trust</v>
      </c>
      <c r="F1006" s="41" t="s">
        <v>10</v>
      </c>
      <c r="G1006" s="41" t="s">
        <v>44</v>
      </c>
      <c r="H1006" s="4" t="str">
        <f>IFERROR(_xlfn.XLOOKUP(G1006,Listas!E:E,Listas!F:F,""),"")</f>
        <v>Operativo</v>
      </c>
      <c r="I1006" s="81" t="str">
        <f>IFERROR(_xlfn.XLOOKUP(G1006,Listas!E:E,Listas!G:G,""),"")</f>
        <v>Externo</v>
      </c>
      <c r="J1006" s="43">
        <v>18.8</v>
      </c>
      <c r="K1006" s="5">
        <f t="shared" si="10"/>
        <v>-18.8</v>
      </c>
      <c r="L1006" s="15" t="s">
        <v>133</v>
      </c>
      <c r="M1006" s="44">
        <f>SUMIFS('Saldos Iniciales'!$D:$D,'Saldos Iniciales'!$A:$A,C1006,'Saldos Iniciales'!$B:$B,D1006)+SUMIFS($K$1:$K$1325,$C$1:$C$1325,C1006,$D$1:$D$1325,D1006,$B$1:$B$1325,"&lt;="&amp;B1006)</f>
        <v>5218.43</v>
      </c>
      <c r="N1006" s="65" t="str">
        <f>IF(tblMovimientos[[#This Row],[Tipo de Movimiento]]="Ingreso",tblMovimientos[[#This Row],[Monto (S/)]],"0")</f>
        <v>0</v>
      </c>
      <c r="O1006" s="65">
        <f>IF(tblMovimientos[[#This Row],[Tipo de Movimiento]]="Egreso",tblMovimientos[[#This Row],[Monto (S/)]],"0")</f>
        <v>18.8</v>
      </c>
      <c r="P1006" s="28">
        <f>IF(tblMovimientos[[#This Row],[Tipo de Movimiento]]="Ingreso",tblMovimientos[[#This Row],[Ingreso]],-tblMovimientos[[#This Row],[Egreso]])</f>
        <v>-18.8</v>
      </c>
      <c r="Q1006" s="91" t="str">
        <f>IF(tblMovimientos[[#This Row],[Cuenta Bancaria]]="","",_xlfn.XLOOKUP(tblMovimientos[[#This Row],[Cuenta Bancaria]],Cuentas!$C:$C,Cuentas!$A:$A,"No encontrado"))</f>
        <v>SSP Group</v>
      </c>
      <c r="R1006" s="91" t="str">
        <f>TRIM(_xlfn.XLOOKUP(tblMovimientos[[#This Row],[Cuenta Bancaria]],Cuentas!$C:$C,Cuentas!$B:$B,""))</f>
        <v/>
      </c>
    </row>
    <row r="1007" spans="1:18" x14ac:dyDescent="0.3">
      <c r="B1007" s="39">
        <v>46279</v>
      </c>
      <c r="C1007" s="46" t="str">
        <f>_xlfn.XLOOKUP(tblMovimientos[[#This Row],[Cuenta Bancaria]],Listas!$B:$B,Listas!$A:$A,"")</f>
        <v>SSP Capital</v>
      </c>
      <c r="D1007" s="41" t="s">
        <v>101</v>
      </c>
      <c r="E1007" s="4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1413.5</v>
      </c>
      <c r="K1007" s="5">
        <f t="shared" si="10"/>
        <v>-1413.5</v>
      </c>
      <c r="L1007" s="15" t="s">
        <v>133</v>
      </c>
      <c r="M1007" s="44">
        <f>SUMIFS('Saldos Iniciales'!$D:$D,'Saldos Iniciales'!$A:$A,C1007,'Saldos Iniciales'!$B:$B,D1007)+SUMIFS($K$1:$K$1325,$C$1:$C$1325,C1007,$D$1:$D$1325,D1007,$B$1:$B$1325,"&lt;="&amp;B1007)</f>
        <v>29072.080000000002</v>
      </c>
      <c r="N1007" s="65" t="str">
        <f>IF(tblMovimientos[[#This Row],[Tipo de Movimiento]]="Ingreso",tblMovimientos[[#This Row],[Monto (S/)]],"0")</f>
        <v>0</v>
      </c>
      <c r="O1007" s="65">
        <f>IF(tblMovimientos[[#This Row],[Tipo de Movimiento]]="Egreso",tblMovimientos[[#This Row],[Monto (S/)]],"0")</f>
        <v>1413.5</v>
      </c>
      <c r="P1007" s="28">
        <f>IF(tblMovimientos[[#This Row],[Tipo de Movimiento]]="Ingreso",tblMovimientos[[#This Row],[Ingreso]],-tblMovimientos[[#This Row],[Egreso]])</f>
        <v>-1413.5</v>
      </c>
      <c r="Q1007" s="91" t="str">
        <f>IF(tblMovimientos[[#This Row],[Cuenta Bancaria]]="","",_xlfn.XLOOKUP(tblMovimientos[[#This Row],[Cuenta Bancaria]],Cuentas!$C:$C,Cuentas!$A:$A,"No encontrado"))</f>
        <v>SSP Group</v>
      </c>
      <c r="R1007" s="91" t="str">
        <f>TRIM(_xlfn.XLOOKUP(tblMovimientos[[#This Row],[Cuenta Bancaria]],Cuentas!$C:$C,Cuentas!$B:$B,""))</f>
        <v/>
      </c>
    </row>
    <row r="1008" spans="1:18" x14ac:dyDescent="0.3">
      <c r="B1008" s="39">
        <v>46279</v>
      </c>
      <c r="C1008" s="46" t="str">
        <f>_xlfn.XLOOKUP(tblMovimientos[[#This Row],[Cuenta Bancaria]],Listas!$B:$B,Listas!$A:$A,"")</f>
        <v>A&amp;M Imports</v>
      </c>
      <c r="D1008" s="41" t="s">
        <v>100</v>
      </c>
      <c r="E1008" s="4" t="str">
        <f>_xlfn.XLOOKUP(tblMovimientos[[#This Row],[Cuenta Bancaria]],Listas!$B:$B,Listas!$C:$C,"")</f>
        <v>Bank of America</v>
      </c>
      <c r="F1008" s="41" t="s">
        <v>9</v>
      </c>
      <c r="G1008" s="41" t="s">
        <v>68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16785.27</v>
      </c>
      <c r="K1008" s="5">
        <f t="shared" si="10"/>
        <v>16785.27</v>
      </c>
      <c r="L1008" s="15" t="s">
        <v>133</v>
      </c>
      <c r="M1008" s="44">
        <f>SUMIFS('Saldos Iniciales'!$D:$D,'Saldos Iniciales'!$A:$A,C1008,'Saldos Iniciales'!$B:$B,D1008)+SUMIFS($K$1:$K$1325,$C$1:$C$1325,C1008,$D$1:$D$1325,D1008,$B$1:$B$1325,"&lt;="&amp;B1008)</f>
        <v>1105910.26</v>
      </c>
      <c r="N1008" s="65">
        <f>IF(tblMovimientos[[#This Row],[Tipo de Movimiento]]="Ingreso",tblMovimientos[[#This Row],[Monto (S/)]],"0")</f>
        <v>16785.27</v>
      </c>
      <c r="O1008" s="65" t="str">
        <f>IF(tblMovimientos[[#This Row],[Tipo de Movimiento]]="Egreso",tblMovimientos[[#This Row],[Monto (S/)]],"0")</f>
        <v>0</v>
      </c>
      <c r="P1008" s="28">
        <f>IF(tblMovimientos[[#This Row],[Tipo de Movimiento]]="Ingreso",tblMovimientos[[#This Row],[Ingreso]],-tblMovimientos[[#This Row],[Egreso]])</f>
        <v>16785.27</v>
      </c>
      <c r="Q1008" s="91" t="str">
        <f>IF(tblMovimientos[[#This Row],[Cuenta Bancaria]]="","",_xlfn.XLOOKUP(tblMovimientos[[#This Row],[Cuenta Bancaria]],Cuentas!$C:$C,Cuentas!$A:$A,"No encontrado"))</f>
        <v>SSP Group</v>
      </c>
      <c r="R1008" s="91" t="str">
        <f>TRIM(_xlfn.XLOOKUP(tblMovimientos[[#This Row],[Cuenta Bancaria]],Cuentas!$C:$C,Cuentas!$B:$B,""))</f>
        <v>Cross Security Trust</v>
      </c>
    </row>
    <row r="1009" spans="1:18" x14ac:dyDescent="0.3">
      <c r="B1009" s="39">
        <v>46279</v>
      </c>
      <c r="C1009" s="46" t="str">
        <f>_xlfn.XLOOKUP(tblMovimientos[[#This Row],[Cuenta Bancaria]],Listas!$B:$B,Listas!$A:$A,"")</f>
        <v>3628 Thomas Ave</v>
      </c>
      <c r="D1009" s="41" t="s">
        <v>124</v>
      </c>
      <c r="E1009" s="4" t="str">
        <f>_xlfn.XLOOKUP(tblMovimientos[[#This Row],[Cuenta Bancaria]],Listas!$B:$B,Listas!$C:$C,"")</f>
        <v>Bank of America</v>
      </c>
      <c r="F1009" s="41" t="s">
        <v>9</v>
      </c>
      <c r="G1009" s="41" t="s">
        <v>82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346.61</v>
      </c>
      <c r="K1009" s="5">
        <f t="shared" si="10"/>
        <v>346.61</v>
      </c>
      <c r="L1009" s="15" t="s">
        <v>133</v>
      </c>
      <c r="M1009" s="44">
        <f>SUMIFS('Saldos Iniciales'!$D:$D,'Saldos Iniciales'!$A:$A,C1009,'Saldos Iniciales'!$B:$B,D1009)+SUMIFS($K$1:$K$1325,$C$1:$C$1325,C1009,$D$1:$D$1325,D1009,$B$1:$B$1325,"&lt;="&amp;B1009)</f>
        <v>13685.999999999996</v>
      </c>
      <c r="N1009" s="65">
        <f>IF(tblMovimientos[[#This Row],[Tipo de Movimiento]]="Ingreso",tblMovimientos[[#This Row],[Monto (S/)]],"0")</f>
        <v>346.61</v>
      </c>
      <c r="O1009" s="65" t="str">
        <f>IF(tblMovimientos[[#This Row],[Tipo de Movimiento]]="Egreso",tblMovimientos[[#This Row],[Monto (S/)]],"0")</f>
        <v>0</v>
      </c>
      <c r="P1009" s="28">
        <f>IF(tblMovimientos[[#This Row],[Tipo de Movimiento]]="Ingreso",tblMovimientos[[#This Row],[Ingreso]],-tblMovimientos[[#This Row],[Egreso]])</f>
        <v>346.61</v>
      </c>
      <c r="Q1009" s="91" t="str">
        <f>IF(tblMovimientos[[#This Row],[Cuenta Bancaria]]="","",_xlfn.XLOOKUP(tblMovimientos[[#This Row],[Cuenta Bancaria]],Cuentas!$C:$C,Cuentas!$A:$A,"No encontrado"))</f>
        <v>SSP Group</v>
      </c>
      <c r="R1009" s="91" t="str">
        <f>TRIM(_xlfn.XLOOKUP(tblMovimientos[[#This Row],[Cuenta Bancaria]],Cuentas!$C:$C,Cuentas!$B:$B,""))</f>
        <v/>
      </c>
    </row>
    <row r="1010" spans="1:18" x14ac:dyDescent="0.3">
      <c r="B1010" s="39">
        <v>46279</v>
      </c>
      <c r="C1010" s="46" t="str">
        <f>_xlfn.XLOOKUP(tblMovimientos[[#This Row],[Cuenta Bancaria]],Listas!$B:$B,Listas!$A:$A,"")</f>
        <v>Go Blue</v>
      </c>
      <c r="D1010" s="41" t="s">
        <v>165</v>
      </c>
      <c r="E1010" s="4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75</v>
      </c>
      <c r="H1010" s="4" t="str">
        <f>IFERROR(_xlfn.XLOOKUP(G1010,Listas!E:E,Listas!F:F,""),"")</f>
        <v>Financiamiento</v>
      </c>
      <c r="I1010" s="46" t="str">
        <f>IFERROR(_xlfn.XLOOKUP(G1010,Listas!E:E,Listas!G:G,""),"")</f>
        <v>Interno</v>
      </c>
      <c r="J1010" s="43">
        <v>1500</v>
      </c>
      <c r="K1010" s="5">
        <f t="shared" ref="K1010:K1073" si="11">IF(F1010="Ingreso",J1010,-J1010)</f>
        <v>1500</v>
      </c>
      <c r="L1010" s="15" t="s">
        <v>133</v>
      </c>
      <c r="M1010" s="44">
        <f>SUMIFS('Saldos Iniciales'!$D:$D,'Saldos Iniciales'!$A:$A,C1010,'Saldos Iniciales'!$B:$B,D1010)+SUMIFS($K$1:$K$1325,$C$1:$C$1325,C1010,$D$1:$D$1325,D1010,$B$1:$B$1325,"&lt;="&amp;B1010)</f>
        <v>2097.760000000002</v>
      </c>
      <c r="N1010" s="65">
        <f>IF(tblMovimientos[[#This Row],[Tipo de Movimiento]]="Ingreso",tblMovimientos[[#This Row],[Monto (S/)]],"0")</f>
        <v>1500</v>
      </c>
      <c r="O1010" s="65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1500</v>
      </c>
      <c r="Q1010" s="91" t="str">
        <f>IF(tblMovimientos[[#This Row],[Cuenta Bancaria]]="","",_xlfn.XLOOKUP(tblMovimientos[[#This Row],[Cuenta Bancaria]],Cuentas!$C:$C,Cuentas!$A:$A,"No encontrado"))</f>
        <v>SSP Group</v>
      </c>
      <c r="R1010" s="91" t="str">
        <f>TRIM(_xlfn.XLOOKUP(tblMovimientos[[#This Row],[Cuenta Bancaria]],Cuentas!$C:$C,Cuentas!$B:$B,""))</f>
        <v/>
      </c>
    </row>
    <row r="1011" spans="1:18" x14ac:dyDescent="0.3">
      <c r="B1011" s="39">
        <v>46279</v>
      </c>
      <c r="C1011" s="46" t="str">
        <f>_xlfn.XLOOKUP(tblMovimientos[[#This Row],[Cuenta Bancaria]],Listas!$B:$B,Listas!$A:$A,"")</f>
        <v>Go Blue</v>
      </c>
      <c r="D1011" s="41" t="s">
        <v>165</v>
      </c>
      <c r="E1011" s="4" t="str">
        <f>_xlfn.XLOOKUP(tblMovimientos[[#This Row],[Cuenta Bancaria]],Listas!$B:$B,Listas!$C:$C,"")</f>
        <v xml:space="preserve">Amerant Bank </v>
      </c>
      <c r="F1011" s="41" t="s">
        <v>10</v>
      </c>
      <c r="G1011" s="41" t="s">
        <v>38</v>
      </c>
      <c r="H1011" s="4" t="str">
        <f>IFERROR(_xlfn.XLOOKUP(G1011,Listas!E:E,Listas!F:F,""),"")</f>
        <v>Operativo</v>
      </c>
      <c r="I1011" s="46" t="str">
        <f>IFERROR(_xlfn.XLOOKUP(G1011,Listas!E:E,Listas!G:G,""),"")</f>
        <v>Externo</v>
      </c>
      <c r="J1011" s="43">
        <v>4647.01</v>
      </c>
      <c r="K1011" s="5">
        <f t="shared" si="11"/>
        <v>-4647.01</v>
      </c>
      <c r="L1011" s="15" t="s">
        <v>133</v>
      </c>
      <c r="M1011" s="44">
        <f>SUMIFS('Saldos Iniciales'!$D:$D,'Saldos Iniciales'!$A:$A,C1011,'Saldos Iniciales'!$B:$B,D1011)+SUMIFS($K$1:$K$1325,$C$1:$C$1325,C1011,$D$1:$D$1325,D1011,$B$1:$B$1325,"&lt;="&amp;B1011)</f>
        <v>2097.760000000002</v>
      </c>
      <c r="N1011" s="65" t="str">
        <f>IF(tblMovimientos[[#This Row],[Tipo de Movimiento]]="Ingreso",tblMovimientos[[#This Row],[Monto (S/)]],"0")</f>
        <v>0</v>
      </c>
      <c r="O1011" s="65">
        <f>IF(tblMovimientos[[#This Row],[Tipo de Movimiento]]="Egreso",tblMovimientos[[#This Row],[Monto (S/)]],"0")</f>
        <v>4647.01</v>
      </c>
      <c r="P1011" s="28">
        <f>IF(tblMovimientos[[#This Row],[Tipo de Movimiento]]="Ingreso",tblMovimientos[[#This Row],[Ingreso]],-tblMovimientos[[#This Row],[Egreso]])</f>
        <v>-4647.01</v>
      </c>
      <c r="Q1011" s="91" t="str">
        <f>IF(tblMovimientos[[#This Row],[Cuenta Bancaria]]="","",_xlfn.XLOOKUP(tblMovimientos[[#This Row],[Cuenta Bancaria]],Cuentas!$C:$C,Cuentas!$A:$A,"No encontrado"))</f>
        <v>SSP Group</v>
      </c>
      <c r="R1011" s="91" t="str">
        <f>TRIM(_xlfn.XLOOKUP(tblMovimientos[[#This Row],[Cuenta Bancaria]],Cuentas!$C:$C,Cuentas!$B:$B,""))</f>
        <v/>
      </c>
    </row>
    <row r="1012" spans="1:18" x14ac:dyDescent="0.3">
      <c r="B1012" s="39">
        <v>46279</v>
      </c>
      <c r="C1012" s="46" t="str">
        <f>_xlfn.XLOOKUP(tblMovimientos[[#This Row],[Cuenta Bancaria]],Listas!$B:$B,Listas!$A:$A,"")</f>
        <v>Go Blue</v>
      </c>
      <c r="D1012" s="41" t="s">
        <v>165</v>
      </c>
      <c r="E1012" s="4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38</v>
      </c>
      <c r="H1012" s="4" t="str">
        <f>IFERROR(_xlfn.XLOOKUP(G1012,Listas!E:E,Listas!F:F,""),"")</f>
        <v>Operativo</v>
      </c>
      <c r="I1012" s="46" t="str">
        <f>IFERROR(_xlfn.XLOOKUP(G1012,Listas!E:E,Listas!G:G,""),"")</f>
        <v>Externo</v>
      </c>
      <c r="J1012" s="43">
        <v>1647.78</v>
      </c>
      <c r="K1012" s="5">
        <f t="shared" si="11"/>
        <v>-1647.78</v>
      </c>
      <c r="L1012" s="15" t="s">
        <v>133</v>
      </c>
      <c r="M1012" s="44">
        <f>SUMIFS('Saldos Iniciales'!$D:$D,'Saldos Iniciales'!$A:$A,C1012,'Saldos Iniciales'!$B:$B,D1012)+SUMIFS($K$1:$K$1325,$C$1:$C$1325,C1012,$D$1:$D$1325,D1012,$B$1:$B$1325,"&lt;="&amp;B1012)</f>
        <v>2097.760000000002</v>
      </c>
      <c r="N1012" s="65" t="str">
        <f>IF(tblMovimientos[[#This Row],[Tipo de Movimiento]]="Ingreso",tblMovimientos[[#This Row],[Monto (S/)]],"0")</f>
        <v>0</v>
      </c>
      <c r="O1012" s="65">
        <f>IF(tblMovimientos[[#This Row],[Tipo de Movimiento]]="Egreso",tblMovimientos[[#This Row],[Monto (S/)]],"0")</f>
        <v>1647.78</v>
      </c>
      <c r="P1012" s="28">
        <f>IF(tblMovimientos[[#This Row],[Tipo de Movimiento]]="Ingreso",tblMovimientos[[#This Row],[Ingreso]],-tblMovimientos[[#This Row],[Egreso]])</f>
        <v>-1647.78</v>
      </c>
      <c r="Q1012" s="91" t="str">
        <f>IF(tblMovimientos[[#This Row],[Cuenta Bancaria]]="","",_xlfn.XLOOKUP(tblMovimientos[[#This Row],[Cuenta Bancaria]],Cuentas!$C:$C,Cuentas!$A:$A,"No encontrado"))</f>
        <v>SSP Group</v>
      </c>
      <c r="R1012" s="91" t="str">
        <f>TRIM(_xlfn.XLOOKUP(tblMovimientos[[#This Row],[Cuenta Bancaria]],Cuentas!$C:$C,Cuentas!$B:$B,""))</f>
        <v/>
      </c>
    </row>
    <row r="1013" spans="1:18" x14ac:dyDescent="0.3">
      <c r="B1013" s="39">
        <v>46279</v>
      </c>
      <c r="C1013" s="46" t="str">
        <f>_xlfn.XLOOKUP(tblMovimientos[[#This Row],[Cuenta Bancaria]],Listas!$B:$B,Listas!$A:$A,"")</f>
        <v>CFT Group</v>
      </c>
      <c r="D1013" s="41" t="s">
        <v>95</v>
      </c>
      <c r="E1013" s="4" t="str">
        <f>_xlfn.XLOOKUP(tblMovimientos[[#This Row],[Cuenta Bancaria]],Listas!$B:$B,Listas!$C:$C,"")</f>
        <v xml:space="preserve">Amerant Bank </v>
      </c>
      <c r="F1013" s="41" t="s">
        <v>9</v>
      </c>
      <c r="G1013" s="41" t="s">
        <v>76</v>
      </c>
      <c r="H1013" s="4" t="str">
        <f>IFERROR(_xlfn.XLOOKUP(G1013,Listas!E:E,Listas!F:F,""),"")</f>
        <v>Financiamiento</v>
      </c>
      <c r="I1013" s="46" t="str">
        <f>IFERROR(_xlfn.XLOOKUP(G1013,Listas!E:E,Listas!G:G,""),"")</f>
        <v>Externo</v>
      </c>
      <c r="J1013" s="43">
        <v>150000</v>
      </c>
      <c r="K1013" s="5">
        <f t="shared" si="11"/>
        <v>150000</v>
      </c>
      <c r="L1013" s="15" t="s">
        <v>133</v>
      </c>
      <c r="M1013" s="44">
        <f>SUMIFS('Saldos Iniciales'!$D:$D,'Saldos Iniciales'!$A:$A,C1013,'Saldos Iniciales'!$B:$B,D1013)+SUMIFS($K$1:$K$1325,$C$1:$C$1325,C1013,$D$1:$D$1325,D1013,$B$1:$B$1325,"&lt;="&amp;B1013)</f>
        <v>1665508.1300000011</v>
      </c>
      <c r="N1013" s="65">
        <f>IF(tblMovimientos[[#This Row],[Tipo de Movimiento]]="Ingreso",tblMovimientos[[#This Row],[Monto (S/)]],"0")</f>
        <v>150000</v>
      </c>
      <c r="O1013" s="65" t="str">
        <f>IF(tblMovimientos[[#This Row],[Tipo de Movimiento]]="Egreso",tblMovimientos[[#This Row],[Monto (S/)]],"0")</f>
        <v>0</v>
      </c>
      <c r="P1013" s="28">
        <f>IF(tblMovimientos[[#This Row],[Tipo de Movimiento]]="Ingreso",tblMovimientos[[#This Row],[Ingreso]],-tblMovimientos[[#This Row],[Egreso]])</f>
        <v>150000</v>
      </c>
      <c r="Q1013" s="91" t="str">
        <f>IF(tblMovimientos[[#This Row],[Cuenta Bancaria]]="","",_xlfn.XLOOKUP(tblMovimientos[[#This Row],[Cuenta Bancaria]],Cuentas!$C:$C,Cuentas!$A:$A,"No encontrado"))</f>
        <v>SSP Group</v>
      </c>
      <c r="R1013" s="91" t="str">
        <f>TRIM(_xlfn.XLOOKUP(tblMovimientos[[#This Row],[Cuenta Bancaria]],Cuentas!$C:$C,Cuentas!$B:$B,""))</f>
        <v/>
      </c>
    </row>
    <row r="1014" spans="1:18" x14ac:dyDescent="0.3">
      <c r="B1014" s="39">
        <v>46279</v>
      </c>
      <c r="C1014" s="46" t="str">
        <f>_xlfn.XLOOKUP(tblMovimientos[[#This Row],[Cuenta Bancaria]],Listas!$B:$B,Listas!$A:$A,"")</f>
        <v>SSP Capital</v>
      </c>
      <c r="D1014" s="41" t="s">
        <v>104</v>
      </c>
      <c r="E1014" s="4" t="str">
        <f>_xlfn.XLOOKUP(tblMovimientos[[#This Row],[Cuenta Bancaria]],Listas!$B:$B,Listas!$C:$C,"")</f>
        <v xml:space="preserve">Amerant Bank </v>
      </c>
      <c r="F1014" s="41" t="s">
        <v>10</v>
      </c>
      <c r="G1014" s="41" t="s">
        <v>39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40310.81</v>
      </c>
      <c r="K1014" s="5">
        <f t="shared" si="11"/>
        <v>-40310.81</v>
      </c>
      <c r="L1014" s="15" t="s">
        <v>133</v>
      </c>
      <c r="M1014" s="44">
        <f>SUMIFS('Saldos Iniciales'!$D:$D,'Saldos Iniciales'!$A:$A,C1014,'Saldos Iniciales'!$B:$B,D1014)+SUMIFS($K$1:$K$1325,$C$1:$C$1325,C1014,$D$1:$D$1325,D1014,$B$1:$B$1325,"&lt;="&amp;B1014)</f>
        <v>340825.51999999926</v>
      </c>
      <c r="N1014" s="65" t="str">
        <f>IF(tblMovimientos[[#This Row],[Tipo de Movimiento]]="Ingreso",tblMovimientos[[#This Row],[Monto (S/)]],"0")</f>
        <v>0</v>
      </c>
      <c r="O1014" s="65">
        <f>IF(tblMovimientos[[#This Row],[Tipo de Movimiento]]="Egreso",tblMovimientos[[#This Row],[Monto (S/)]],"0")</f>
        <v>40310.81</v>
      </c>
      <c r="P1014" s="28">
        <f>IF(tblMovimientos[[#This Row],[Tipo de Movimiento]]="Ingreso",tblMovimientos[[#This Row],[Ingreso]],-tblMovimientos[[#This Row],[Egreso]])</f>
        <v>-40310.81</v>
      </c>
      <c r="Q1014" s="91" t="str">
        <f>IF(tblMovimientos[[#This Row],[Cuenta Bancaria]]="","",_xlfn.XLOOKUP(tblMovimientos[[#This Row],[Cuenta Bancaria]],Cuentas!$C:$C,Cuentas!$A:$A,"No encontrado"))</f>
        <v>SSP Group</v>
      </c>
      <c r="R1014" s="91" t="str">
        <f>TRIM(_xlfn.XLOOKUP(tblMovimientos[[#This Row],[Cuenta Bancaria]],Cuentas!$C:$C,Cuentas!$B:$B,""))</f>
        <v/>
      </c>
    </row>
    <row r="1015" spans="1:18" x14ac:dyDescent="0.3">
      <c r="B1015" s="39">
        <v>46279</v>
      </c>
      <c r="C1015" s="46" t="str">
        <f>_xlfn.XLOOKUP(tblMovimientos[[#This Row],[Cuenta Bancaria]],Listas!$B:$B,Listas!$A:$A,"")</f>
        <v>Go Blue</v>
      </c>
      <c r="D1015" s="41" t="s">
        <v>126</v>
      </c>
      <c r="E1015" s="4" t="str">
        <f>_xlfn.XLOOKUP(tblMovimientos[[#This Row],[Cuenta Bancaria]],Listas!$B:$B,Listas!$C:$C,"")</f>
        <v xml:space="preserve">Amerant Bank </v>
      </c>
      <c r="F1015" s="41" t="s">
        <v>10</v>
      </c>
      <c r="G1015" s="41" t="s">
        <v>62</v>
      </c>
      <c r="H1015" s="4" t="str">
        <f>IFERROR(_xlfn.XLOOKUP(G1015,Listas!E:E,Listas!F:F,""),"")</f>
        <v>Operativo</v>
      </c>
      <c r="I1015" s="46" t="str">
        <f>IFERROR(_xlfn.XLOOKUP(G1015,Listas!E:E,Listas!G:G,""),"")</f>
        <v>Interno</v>
      </c>
      <c r="J1015" s="43">
        <v>1500</v>
      </c>
      <c r="K1015" s="5">
        <f t="shared" si="11"/>
        <v>-1500</v>
      </c>
      <c r="L1015" s="15" t="s">
        <v>133</v>
      </c>
      <c r="M1015" s="44">
        <f>SUMIFS('Saldos Iniciales'!$D:$D,'Saldos Iniciales'!$A:$A,C1015,'Saldos Iniciales'!$B:$B,D1015)+SUMIFS($K$1:$K$1325,$C$1:$C$1325,C1015,$D$1:$D$1325,D1015,$B$1:$B$1325,"&lt;="&amp;B1015)</f>
        <v>14664.689999999999</v>
      </c>
      <c r="N1015" s="65" t="str">
        <f>IF(tblMovimientos[[#This Row],[Tipo de Movimiento]]="Ingreso",tblMovimientos[[#This Row],[Monto (S/)]],"0")</f>
        <v>0</v>
      </c>
      <c r="O1015" s="65">
        <f>IF(tblMovimientos[[#This Row],[Tipo de Movimiento]]="Egreso",tblMovimientos[[#This Row],[Monto (S/)]],"0")</f>
        <v>1500</v>
      </c>
      <c r="P1015" s="28">
        <f>IF(tblMovimientos[[#This Row],[Tipo de Movimiento]]="Ingreso",tblMovimientos[[#This Row],[Ingreso]],-tblMovimientos[[#This Row],[Egreso]])</f>
        <v>-1500</v>
      </c>
      <c r="Q1015" s="91" t="str">
        <f>IF(tblMovimientos[[#This Row],[Cuenta Bancaria]]="","",_xlfn.XLOOKUP(tblMovimientos[[#This Row],[Cuenta Bancaria]],Cuentas!$C:$C,Cuentas!$A:$A,"No encontrado"))</f>
        <v>SSP Group</v>
      </c>
      <c r="R1015" s="91" t="str">
        <f>TRIM(_xlfn.XLOOKUP(tblMovimientos[[#This Row],[Cuenta Bancaria]],Cuentas!$C:$C,Cuentas!$B:$B,""))</f>
        <v/>
      </c>
    </row>
    <row r="1016" spans="1:18" x14ac:dyDescent="0.3">
      <c r="B1016" s="39">
        <v>46279</v>
      </c>
      <c r="C1016" s="46" t="str">
        <f>_xlfn.XLOOKUP(tblMovimientos[[#This Row],[Cuenta Bancaria]],Listas!$B:$B,Listas!$A:$A,"")</f>
        <v>CFT 1 residence LLC</v>
      </c>
      <c r="D1016" s="41" t="s">
        <v>184</v>
      </c>
      <c r="E1016" s="80" t="str">
        <f>_xlfn.XLOOKUP(tblMovimientos[[#This Row],[Cuenta Bancaria]],Listas!$B:$B,Listas!$C:$C,"")</f>
        <v xml:space="preserve">Amerant Bank </v>
      </c>
      <c r="F1016" s="41" t="s">
        <v>10</v>
      </c>
      <c r="G1016" s="41" t="s">
        <v>38</v>
      </c>
      <c r="H1016" s="4" t="str">
        <f>IFERROR(_xlfn.XLOOKUP(G1016,Listas!E:E,Listas!F:F,""),"")</f>
        <v>Operativo</v>
      </c>
      <c r="I1016" s="46" t="str">
        <f>IFERROR(_xlfn.XLOOKUP(G1016,Listas!E:E,Listas!G:G,""),"")</f>
        <v>Externo</v>
      </c>
      <c r="J1016" s="43">
        <v>282.8</v>
      </c>
      <c r="K1016" s="5">
        <f t="shared" si="11"/>
        <v>-282.8</v>
      </c>
      <c r="L1016" s="15" t="s">
        <v>133</v>
      </c>
      <c r="M1016" s="44">
        <f>SUMIFS('Saldos Iniciales'!$D:$D,'Saldos Iniciales'!$A:$A,C1016,'Saldos Iniciales'!$B:$B,D1016)+SUMIFS($K$1:$K$1325,$C$1:$C$1325,C1016,$D$1:$D$1325,D1016,$B$1:$B$1325,"&lt;="&amp;B1016)</f>
        <v>25545.46</v>
      </c>
      <c r="N1016" s="65" t="str">
        <f>IF(tblMovimientos[[#This Row],[Tipo de Movimiento]]="Ingreso",tblMovimientos[[#This Row],[Monto (S/)]],"0")</f>
        <v>0</v>
      </c>
      <c r="O1016" s="65">
        <f>IF(tblMovimientos[[#This Row],[Tipo de Movimiento]]="Egreso",tblMovimientos[[#This Row],[Monto (S/)]],"0")</f>
        <v>282.8</v>
      </c>
      <c r="P1016" s="28">
        <f>IF(tblMovimientos[[#This Row],[Tipo de Movimiento]]="Ingreso",tblMovimientos[[#This Row],[Ingreso]],-tblMovimientos[[#This Row],[Egreso]])</f>
        <v>-282.8</v>
      </c>
      <c r="Q1016" s="91" t="str">
        <f>IF(tblMovimientos[[#This Row],[Cuenta Bancaria]]="","",_xlfn.XLOOKUP(tblMovimientos[[#This Row],[Cuenta Bancaria]],Cuentas!$C:$C,Cuentas!$A:$A,"No encontrado"))</f>
        <v>Carmen Cross Irrevocable Trust</v>
      </c>
      <c r="R1016" s="91" t="str">
        <f>TRIM(_xlfn.XLOOKUP(tblMovimientos[[#This Row],[Cuenta Bancaria]],Cuentas!$C:$C,Cuentas!$B:$B,""))</f>
        <v/>
      </c>
    </row>
    <row r="1017" spans="1:18" x14ac:dyDescent="0.3">
      <c r="B1017" s="39">
        <v>46279</v>
      </c>
      <c r="C1017" s="46" t="str">
        <f>_xlfn.XLOOKUP(tblMovimientos[[#This Row],[Cuenta Bancaria]],Listas!$B:$B,Listas!$A:$A,"")</f>
        <v>CFT 1 residence LLC</v>
      </c>
      <c r="D1017" s="41" t="s">
        <v>184</v>
      </c>
      <c r="E1017" s="80" t="str">
        <f>_xlfn.XLOOKUP(tblMovimientos[[#This Row],[Cuenta Bancaria]],Listas!$B:$B,Listas!$C:$C,"")</f>
        <v xml:space="preserve">Amerant Bank </v>
      </c>
      <c r="F1017" s="41" t="s">
        <v>10</v>
      </c>
      <c r="G1017" s="41" t="s">
        <v>38</v>
      </c>
      <c r="H1017" s="4" t="str">
        <f>IFERROR(_xlfn.XLOOKUP(G1017,Listas!E:E,Listas!F:F,""),"")</f>
        <v>Operativo</v>
      </c>
      <c r="I1017" s="46" t="str">
        <f>IFERROR(_xlfn.XLOOKUP(G1017,Listas!E:E,Listas!G:G,""),"")</f>
        <v>Externo</v>
      </c>
      <c r="J1017" s="43">
        <v>829.09</v>
      </c>
      <c r="K1017" s="5">
        <f t="shared" si="11"/>
        <v>-829.09</v>
      </c>
      <c r="L1017" s="15" t="s">
        <v>133</v>
      </c>
      <c r="M1017" s="44">
        <f>SUMIFS('Saldos Iniciales'!$D:$D,'Saldos Iniciales'!$A:$A,C1017,'Saldos Iniciales'!$B:$B,D1017)+SUMIFS($K$1:$K$1325,$C$1:$C$1325,C1017,$D$1:$D$1325,D1017,$B$1:$B$1325,"&lt;="&amp;B1017)</f>
        <v>25545.46</v>
      </c>
      <c r="N1017" s="65" t="str">
        <f>IF(tblMovimientos[[#This Row],[Tipo de Movimiento]]="Ingreso",tblMovimientos[[#This Row],[Monto (S/)]],"0")</f>
        <v>0</v>
      </c>
      <c r="O1017" s="65">
        <f>IF(tblMovimientos[[#This Row],[Tipo de Movimiento]]="Egreso",tblMovimientos[[#This Row],[Monto (S/)]],"0")</f>
        <v>829.09</v>
      </c>
      <c r="P1017" s="28">
        <f>IF(tblMovimientos[[#This Row],[Tipo de Movimiento]]="Ingreso",tblMovimientos[[#This Row],[Ingreso]],-tblMovimientos[[#This Row],[Egreso]])</f>
        <v>-829.09</v>
      </c>
      <c r="Q1017" s="91" t="str">
        <f>IF(tblMovimientos[[#This Row],[Cuenta Bancaria]]="","",_xlfn.XLOOKUP(tblMovimientos[[#This Row],[Cuenta Bancaria]],Cuentas!$C:$C,Cuentas!$A:$A,"No encontrado"))</f>
        <v>Carmen Cross Irrevocable Trust</v>
      </c>
      <c r="R1017" s="91" t="str">
        <f>TRIM(_xlfn.XLOOKUP(tblMovimientos[[#This Row],[Cuenta Bancaria]],Cuentas!$C:$C,Cuentas!$B:$B,""))</f>
        <v/>
      </c>
    </row>
    <row r="1018" spans="1:18" x14ac:dyDescent="0.3">
      <c r="B1018" s="39">
        <v>46279</v>
      </c>
      <c r="C1018" s="46" t="str">
        <f>_xlfn.XLOOKUP(tblMovimientos[[#This Row],[Cuenta Bancaria]],Listas!$B:$B,Listas!$A:$A,"")</f>
        <v>Prendamas SRL</v>
      </c>
      <c r="D1018" s="41" t="s">
        <v>186</v>
      </c>
      <c r="E1018" s="80" t="str">
        <f>_xlfn.XLOOKUP(tblMovimientos[[#This Row],[Cuenta Bancaria]],Listas!$B:$B,Listas!$C:$C,"")</f>
        <v xml:space="preserve">Amerant Bank </v>
      </c>
      <c r="F1018" s="41" t="s">
        <v>10</v>
      </c>
      <c r="G1018" s="41" t="s">
        <v>38</v>
      </c>
      <c r="H1018" s="4" t="str">
        <f>IFERROR(_xlfn.XLOOKUP(G1018,Listas!E:E,Listas!F:F,""),"")</f>
        <v>Operativo</v>
      </c>
      <c r="I1018" s="46" t="str">
        <f>IFERROR(_xlfn.XLOOKUP(G1018,Listas!E:E,Listas!G:G,""),"")</f>
        <v>Externo</v>
      </c>
      <c r="J1018" s="43">
        <v>499.34</v>
      </c>
      <c r="K1018" s="5">
        <f t="shared" si="11"/>
        <v>-499.34</v>
      </c>
      <c r="L1018" s="15" t="s">
        <v>133</v>
      </c>
      <c r="M1018" s="44">
        <f>SUMIFS('Saldos Iniciales'!$D:$D,'Saldos Iniciales'!$A:$A,C1018,'Saldos Iniciales'!$B:$B,D1018)+SUMIFS($K$1:$K$1325,$C$1:$C$1325,C1018,$D$1:$D$1325,D1018,$B$1:$B$1325,"&lt;="&amp;B1018)</f>
        <v>31107.189999999981</v>
      </c>
      <c r="N1018" s="65" t="str">
        <f>IF(tblMovimientos[[#This Row],[Tipo de Movimiento]]="Ingreso",tblMovimientos[[#This Row],[Monto (S/)]],"0")</f>
        <v>0</v>
      </c>
      <c r="O1018" s="65">
        <f>IF(tblMovimientos[[#This Row],[Tipo de Movimiento]]="Egreso",tblMovimientos[[#This Row],[Monto (S/)]],"0")</f>
        <v>499.34</v>
      </c>
      <c r="P1018" s="28">
        <f>IF(tblMovimientos[[#This Row],[Tipo de Movimiento]]="Ingreso",tblMovimientos[[#This Row],[Ingreso]],-tblMovimientos[[#This Row],[Egreso]])</f>
        <v>-499.34</v>
      </c>
      <c r="Q1018" s="91" t="str">
        <f>IF(tblMovimientos[[#This Row],[Cuenta Bancaria]]="","",_xlfn.XLOOKUP(tblMovimientos[[#This Row],[Cuenta Bancaria]],Cuentas!$C:$C,Cuentas!$A:$A,"No encontrado"))</f>
        <v>Unidades de Negocio</v>
      </c>
      <c r="R1018" s="91" t="str">
        <f>TRIM(_xlfn.XLOOKUP(tblMovimientos[[#This Row],[Cuenta Bancaria]],Cuentas!$C:$C,Cuentas!$B:$B,""))</f>
        <v/>
      </c>
    </row>
    <row r="1019" spans="1:18" x14ac:dyDescent="0.3">
      <c r="A1019" s="45"/>
      <c r="B1019" s="39">
        <v>46279</v>
      </c>
      <c r="C1019" s="46" t="str">
        <f>_xlfn.XLOOKUP(tblMovimientos[[#This Row],[Cuenta Bancaria]],Listas!$B:$B,Listas!$A:$A,"")</f>
        <v>Prendamas SRL</v>
      </c>
      <c r="D1019" s="41" t="s">
        <v>186</v>
      </c>
      <c r="E1019" s="81" t="str">
        <f>_xlfn.XLOOKUP(tblMovimientos[[#This Row],[Cuenta Bancaria]],Listas!$B:$B,Listas!$C:$C,"")</f>
        <v xml:space="preserve">Amerant Bank </v>
      </c>
      <c r="F1019" s="41" t="s">
        <v>10</v>
      </c>
      <c r="G1019" s="41" t="s">
        <v>44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14.98</v>
      </c>
      <c r="K1019" s="5">
        <f t="shared" si="11"/>
        <v>-14.98</v>
      </c>
      <c r="L1019" s="15" t="s">
        <v>133</v>
      </c>
      <c r="M1019" s="44">
        <f>SUMIFS('Saldos Iniciales'!$D:$D,'Saldos Iniciales'!$A:$A,C1019,'Saldos Iniciales'!$B:$B,D1019)+SUMIFS($K$1:$K$1325,$C$1:$C$1325,C1019,$D$1:$D$1325,D1019,$B$1:$B$1325,"&lt;="&amp;B1019)</f>
        <v>31107.189999999981</v>
      </c>
      <c r="N1019" s="65" t="str">
        <f>IF(tblMovimientos[[#This Row],[Tipo de Movimiento]]="Ingreso",tblMovimientos[[#This Row],[Monto (S/)]],"0")</f>
        <v>0</v>
      </c>
      <c r="O1019" s="65">
        <f>IF(tblMovimientos[[#This Row],[Tipo de Movimiento]]="Egreso",tblMovimientos[[#This Row],[Monto (S/)]],"0")</f>
        <v>14.98</v>
      </c>
      <c r="P1019" s="28">
        <f>IF(tblMovimientos[[#This Row],[Tipo de Movimiento]]="Ingreso",tblMovimientos[[#This Row],[Ingreso]],-tblMovimientos[[#This Row],[Egreso]])</f>
        <v>-14.98</v>
      </c>
      <c r="Q1019" s="91" t="str">
        <f>IF(tblMovimientos[[#This Row],[Cuenta Bancaria]]="","",_xlfn.XLOOKUP(tblMovimientos[[#This Row],[Cuenta Bancaria]],Cuentas!$C:$C,Cuentas!$A:$A,"No encontrado"))</f>
        <v>Unidades de Negocio</v>
      </c>
      <c r="R1019" s="91" t="str">
        <f>TRIM(_xlfn.XLOOKUP(tblMovimientos[[#This Row],[Cuenta Bancaria]],Cuentas!$C:$C,Cuentas!$B:$B,""))</f>
        <v/>
      </c>
    </row>
    <row r="1020" spans="1:18" x14ac:dyDescent="0.3">
      <c r="B1020" s="39">
        <v>46279</v>
      </c>
      <c r="C1020" s="46" t="str">
        <f>_xlfn.XLOOKUP(tblMovimientos[[#This Row],[Cuenta Bancaria]],Listas!$B:$B,Listas!$A:$A,"")</f>
        <v>Nobe Aparments</v>
      </c>
      <c r="D1020" s="41" t="s">
        <v>191</v>
      </c>
      <c r="E1020" s="80" t="str">
        <f>_xlfn.XLOOKUP(tblMovimientos[[#This Row],[Cuenta Bancaria]],Listas!$B:$B,Listas!$C:$C,"")</f>
        <v>Bank of America</v>
      </c>
      <c r="F1020" s="41" t="s">
        <v>10</v>
      </c>
      <c r="G1020" s="41" t="s">
        <v>38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101.65</v>
      </c>
      <c r="K1020" s="5">
        <f t="shared" si="11"/>
        <v>-101.65</v>
      </c>
      <c r="L1020" s="15" t="s">
        <v>133</v>
      </c>
      <c r="M1020" s="44">
        <f>SUMIFS('Saldos Iniciales'!$D:$D,'Saldos Iniciales'!$A:$A,C1020,'Saldos Iniciales'!$B:$B,D1020)+SUMIFS($K$1:$K$1325,$C$1:$C$1325,C1020,$D$1:$D$1325,D1020,$B$1:$B$1325,"&lt;="&amp;B1020)</f>
        <v>209262.87</v>
      </c>
      <c r="N1020" s="65" t="str">
        <f>IF(tblMovimientos[[#This Row],[Tipo de Movimiento]]="Ingreso",tblMovimientos[[#This Row],[Monto (S/)]],"0")</f>
        <v>0</v>
      </c>
      <c r="O1020" s="65">
        <f>IF(tblMovimientos[[#This Row],[Tipo de Movimiento]]="Egreso",tblMovimientos[[#This Row],[Monto (S/)]],"0")</f>
        <v>101.65</v>
      </c>
      <c r="P1020" s="28">
        <f>IF(tblMovimientos[[#This Row],[Tipo de Movimiento]]="Ingreso",tblMovimientos[[#This Row],[Ingreso]],-tblMovimientos[[#This Row],[Egreso]])</f>
        <v>-101.65</v>
      </c>
      <c r="Q1020" s="91" t="str">
        <f>IF(tblMovimientos[[#This Row],[Cuenta Bancaria]]="","",_xlfn.XLOOKUP(tblMovimientos[[#This Row],[Cuenta Bancaria]],Cuentas!$C:$C,Cuentas!$A:$A,"No encontrado"))</f>
        <v>Carmen Cross / Estate</v>
      </c>
      <c r="R1020" s="91" t="str">
        <f>TRIM(_xlfn.XLOOKUP(tblMovimientos[[#This Row],[Cuenta Bancaria]],Cuentas!$C:$C,Cuentas!$B:$B,""))</f>
        <v/>
      </c>
    </row>
    <row r="1021" spans="1:18" x14ac:dyDescent="0.3">
      <c r="B1021" s="39">
        <v>46280</v>
      </c>
      <c r="C1021" s="46" t="str">
        <f>_xlfn.XLOOKUP(tblMovimientos[[#This Row],[Cuenta Bancaria]],Listas!$B:$B,Listas!$A:$A,"")</f>
        <v>SSP Capital</v>
      </c>
      <c r="D1021" s="41" t="s">
        <v>102</v>
      </c>
      <c r="E1021" s="4" t="str">
        <f>_xlfn.XLOOKUP(tblMovimientos[[#This Row],[Cuenta Bancaria]],Listas!$B:$B,Listas!$C:$C,"")</f>
        <v>Bank of America</v>
      </c>
      <c r="F1021" s="41" t="s">
        <v>10</v>
      </c>
      <c r="G1021" s="41" t="s">
        <v>44</v>
      </c>
      <c r="H1021" s="4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29.41</v>
      </c>
      <c r="K1021" s="5">
        <f t="shared" si="11"/>
        <v>-29.41</v>
      </c>
      <c r="L1021" s="15" t="s">
        <v>133</v>
      </c>
      <c r="M1021" s="44">
        <f>SUMIFS('Saldos Iniciales'!$D:$D,'Saldos Iniciales'!$A:$A,C1021,'Saldos Iniciales'!$B:$B,D1021)+SUMIFS($K$1:$K$1325,$C$1:$C$1325,C1021,$D$1:$D$1325,D1021,$B$1:$B$1325,"&lt;="&amp;B1021)</f>
        <v>945</v>
      </c>
      <c r="N1021" s="65" t="str">
        <f>IF(tblMovimientos[[#This Row],[Tipo de Movimiento]]="Ingreso",tblMovimientos[[#This Row],[Monto (S/)]],"0")</f>
        <v>0</v>
      </c>
      <c r="O1021" s="65">
        <f>IF(tblMovimientos[[#This Row],[Tipo de Movimiento]]="Egreso",tblMovimientos[[#This Row],[Monto (S/)]],"0")</f>
        <v>29.41</v>
      </c>
      <c r="P1021" s="28">
        <f>IF(tblMovimientos[[#This Row],[Tipo de Movimiento]]="Ingreso",tblMovimientos[[#This Row],[Ingreso]],-tblMovimientos[[#This Row],[Egreso]])</f>
        <v>-29.41</v>
      </c>
      <c r="Q1021" s="91" t="str">
        <f>IF(tblMovimientos[[#This Row],[Cuenta Bancaria]]="","",_xlfn.XLOOKUP(tblMovimientos[[#This Row],[Cuenta Bancaria]],Cuentas!$C:$C,Cuentas!$A:$A,"No encontrado"))</f>
        <v>SSP Group</v>
      </c>
      <c r="R1021" s="91" t="str">
        <f>TRIM(_xlfn.XLOOKUP(tblMovimientos[[#This Row],[Cuenta Bancaria]],Cuentas!$C:$C,Cuentas!$B:$B,""))</f>
        <v/>
      </c>
    </row>
    <row r="1022" spans="1:18" x14ac:dyDescent="0.3">
      <c r="B1022" s="39">
        <v>46280</v>
      </c>
      <c r="C1022" s="46" t="str">
        <f>_xlfn.XLOOKUP(tblMovimientos[[#This Row],[Cuenta Bancaria]],Listas!$B:$B,Listas!$A:$A,"")</f>
        <v>A&amp;M Imports</v>
      </c>
      <c r="D1022" s="41" t="s">
        <v>100</v>
      </c>
      <c r="E1022" s="4" t="str">
        <f>_xlfn.XLOOKUP(tblMovimientos[[#This Row],[Cuenta Bancaria]],Listas!$B:$B,Listas!$C:$C,"")</f>
        <v>Bank of America</v>
      </c>
      <c r="F1022" s="41" t="s">
        <v>10</v>
      </c>
      <c r="G1022" s="41" t="s">
        <v>44</v>
      </c>
      <c r="H1022" s="4" t="str">
        <f>IFERROR(_xlfn.XLOOKUP(G1022,Listas!E:E,Listas!F:F,""),"")</f>
        <v>Operativo</v>
      </c>
      <c r="I1022" s="46" t="str">
        <f>IFERROR(_xlfn.XLOOKUP(G1022,Listas!E:E,Listas!G:G,""),"")</f>
        <v>Externo</v>
      </c>
      <c r="J1022" s="43">
        <v>375.62</v>
      </c>
      <c r="K1022" s="5">
        <f t="shared" si="11"/>
        <v>-375.62</v>
      </c>
      <c r="L1022" s="15" t="s">
        <v>133</v>
      </c>
      <c r="M1022" s="44">
        <f>SUMIFS('Saldos Iniciales'!$D:$D,'Saldos Iniciales'!$A:$A,C1022,'Saldos Iniciales'!$B:$B,D1022)+SUMIFS($K$1:$K$1325,$C$1:$C$1325,C1022,$D$1:$D$1325,D1022,$B$1:$B$1325,"&lt;="&amp;B1022)</f>
        <v>1105534.6399999999</v>
      </c>
      <c r="N1022" s="65" t="str">
        <f>IF(tblMovimientos[[#This Row],[Tipo de Movimiento]]="Ingreso",tblMovimientos[[#This Row],[Monto (S/)]],"0")</f>
        <v>0</v>
      </c>
      <c r="O1022" s="65">
        <f>IF(tblMovimientos[[#This Row],[Tipo de Movimiento]]="Egreso",tblMovimientos[[#This Row],[Monto (S/)]],"0")</f>
        <v>375.62</v>
      </c>
      <c r="P1022" s="28">
        <f>IF(tblMovimientos[[#This Row],[Tipo de Movimiento]]="Ingreso",tblMovimientos[[#This Row],[Ingreso]],-tblMovimientos[[#This Row],[Egreso]])</f>
        <v>-375.62</v>
      </c>
      <c r="Q1022" s="91" t="str">
        <f>IF(tblMovimientos[[#This Row],[Cuenta Bancaria]]="","",_xlfn.XLOOKUP(tblMovimientos[[#This Row],[Cuenta Bancaria]],Cuentas!$C:$C,Cuentas!$A:$A,"No encontrado"))</f>
        <v>SSP Group</v>
      </c>
      <c r="R1022" s="91" t="str">
        <f>TRIM(_xlfn.XLOOKUP(tblMovimientos[[#This Row],[Cuenta Bancaria]],Cuentas!$C:$C,Cuentas!$B:$B,""))</f>
        <v>Cross Security Trust</v>
      </c>
    </row>
    <row r="1023" spans="1:18" x14ac:dyDescent="0.3">
      <c r="B1023" s="39">
        <v>46280</v>
      </c>
      <c r="C1023" s="46" t="str">
        <f>_xlfn.XLOOKUP(tblMovimientos[[#This Row],[Cuenta Bancaria]],Listas!$B:$B,Listas!$A:$A,"")</f>
        <v>M1B</v>
      </c>
      <c r="D1023" s="41" t="s">
        <v>97</v>
      </c>
      <c r="E1023" s="4" t="str">
        <f>_xlfn.XLOOKUP(tblMovimientos[[#This Row],[Cuenta Bancaria]],Listas!$B:$B,Listas!$C:$C,"")</f>
        <v xml:space="preserve">Amerant Bank </v>
      </c>
      <c r="F1023" s="41" t="s">
        <v>9</v>
      </c>
      <c r="G1023" s="41" t="s">
        <v>68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6748.49</v>
      </c>
      <c r="K1023" s="5">
        <f t="shared" si="11"/>
        <v>6748.49</v>
      </c>
      <c r="L1023" s="15" t="s">
        <v>133</v>
      </c>
      <c r="M1023" s="44">
        <f>SUMIFS('Saldos Iniciales'!$D:$D,'Saldos Iniciales'!$A:$A,C1023,'Saldos Iniciales'!$B:$B,D1023)+SUMIFS($K$1:$K$1325,$C$1:$C$1325,C1023,$D$1:$D$1325,D1023,$B$1:$B$1325,"&lt;="&amp;B1023)</f>
        <v>95486.460000000166</v>
      </c>
      <c r="N1023" s="65">
        <f>IF(tblMovimientos[[#This Row],[Tipo de Movimiento]]="Ingreso",tblMovimientos[[#This Row],[Monto (S/)]],"0")</f>
        <v>6748.49</v>
      </c>
      <c r="O1023" s="65" t="str">
        <f>IF(tblMovimientos[[#This Row],[Tipo de Movimiento]]="Egreso",tblMovimientos[[#This Row],[Monto (S/)]],"0")</f>
        <v>0</v>
      </c>
      <c r="P1023" s="28">
        <f>IF(tblMovimientos[[#This Row],[Tipo de Movimiento]]="Ingreso",tblMovimientos[[#This Row],[Ingreso]],-tblMovimientos[[#This Row],[Egreso]])</f>
        <v>6748.49</v>
      </c>
      <c r="Q1023" s="91" t="str">
        <f>IF(tblMovimientos[[#This Row],[Cuenta Bancaria]]="","",_xlfn.XLOOKUP(tblMovimientos[[#This Row],[Cuenta Bancaria]],Cuentas!$C:$C,Cuentas!$A:$A,"No encontrado"))</f>
        <v>SSP Group</v>
      </c>
      <c r="R1023" s="91" t="str">
        <f>TRIM(_xlfn.XLOOKUP(tblMovimientos[[#This Row],[Cuenta Bancaria]],Cuentas!$C:$C,Cuentas!$B:$B,""))</f>
        <v/>
      </c>
    </row>
    <row r="1024" spans="1:18" x14ac:dyDescent="0.3">
      <c r="B1024" s="39">
        <v>46280</v>
      </c>
      <c r="C1024" s="46" t="str">
        <f>_xlfn.XLOOKUP(tblMovimientos[[#This Row],[Cuenta Bancaria]],Listas!$B:$B,Listas!$A:$A,"")</f>
        <v>Go Blue</v>
      </c>
      <c r="D1024" s="41" t="s">
        <v>126</v>
      </c>
      <c r="E1024" s="4" t="str">
        <f>_xlfn.XLOOKUP(tblMovimientos[[#This Row],[Cuenta Bancaria]],Listas!$B:$B,Listas!$C:$C,"")</f>
        <v xml:space="preserve">Amerant Bank </v>
      </c>
      <c r="F1024" s="41" t="s">
        <v>10</v>
      </c>
      <c r="G1024" s="41" t="s">
        <v>38</v>
      </c>
      <c r="H1024" s="4" t="str">
        <f>IFERROR(_xlfn.XLOOKUP(G1024,Listas!E:E,Listas!F:F,""),"")</f>
        <v>Operativo</v>
      </c>
      <c r="I1024" s="46" t="str">
        <f>IFERROR(_xlfn.XLOOKUP(G1024,Listas!E:E,Listas!G:G,""),"")</f>
        <v>Externo</v>
      </c>
      <c r="J1024" s="43">
        <v>175</v>
      </c>
      <c r="K1024" s="5">
        <f t="shared" si="11"/>
        <v>-175</v>
      </c>
      <c r="L1024" s="15" t="s">
        <v>133</v>
      </c>
      <c r="M1024" s="44">
        <f>SUMIFS('Saldos Iniciales'!$D:$D,'Saldos Iniciales'!$A:$A,C1024,'Saldos Iniciales'!$B:$B,D1024)+SUMIFS($K$1:$K$1325,$C$1:$C$1325,C1024,$D$1:$D$1325,D1024,$B$1:$B$1325,"&lt;="&amp;B1024)</f>
        <v>14489.689999999999</v>
      </c>
      <c r="N1024" s="65" t="str">
        <f>IF(tblMovimientos[[#This Row],[Tipo de Movimiento]]="Ingreso",tblMovimientos[[#This Row],[Monto (S/)]],"0")</f>
        <v>0</v>
      </c>
      <c r="O1024" s="65">
        <f>IF(tblMovimientos[[#This Row],[Tipo de Movimiento]]="Egreso",tblMovimientos[[#This Row],[Monto (S/)]],"0")</f>
        <v>175</v>
      </c>
      <c r="P1024" s="28">
        <f>IF(tblMovimientos[[#This Row],[Tipo de Movimiento]]="Ingreso",tblMovimientos[[#This Row],[Ingreso]],-tblMovimientos[[#This Row],[Egreso]])</f>
        <v>-175</v>
      </c>
      <c r="Q1024" s="91" t="str">
        <f>IF(tblMovimientos[[#This Row],[Cuenta Bancaria]]="","",_xlfn.XLOOKUP(tblMovimientos[[#This Row],[Cuenta Bancaria]],Cuentas!$C:$C,Cuentas!$A:$A,"No encontrado"))</f>
        <v>SSP Group</v>
      </c>
      <c r="R1024" s="91" t="str">
        <f>TRIM(_xlfn.XLOOKUP(tblMovimientos[[#This Row],[Cuenta Bancaria]],Cuentas!$C:$C,Cuentas!$B:$B,""))</f>
        <v/>
      </c>
    </row>
    <row r="1025" spans="1:18" x14ac:dyDescent="0.3">
      <c r="B1025" s="39">
        <v>46280</v>
      </c>
      <c r="C1025" s="46" t="str">
        <f>_xlfn.XLOOKUP(tblMovimientos[[#This Row],[Cuenta Bancaria]],Listas!$B:$B,Listas!$A:$A,"")</f>
        <v>Prendamas SRL</v>
      </c>
      <c r="D1025" s="41" t="s">
        <v>186</v>
      </c>
      <c r="E1025" s="80" t="str">
        <f>_xlfn.XLOOKUP(tblMovimientos[[#This Row],[Cuenta Bancaria]],Listas!$B:$B,Listas!$C:$C,"")</f>
        <v xml:space="preserve">Amerant Bank </v>
      </c>
      <c r="F1025" s="41" t="s">
        <v>10</v>
      </c>
      <c r="G1025" s="41" t="s">
        <v>38</v>
      </c>
      <c r="H1025" s="4" t="str">
        <f>IFERROR(_xlfn.XLOOKUP(G1025,Listas!E:E,Listas!F:F,""),"")</f>
        <v>Operativo</v>
      </c>
      <c r="I1025" s="46" t="str">
        <f>IFERROR(_xlfn.XLOOKUP(G1025,Listas!E:E,Listas!G:G,""),"")</f>
        <v>Externo</v>
      </c>
      <c r="J1025" s="43">
        <v>499.34</v>
      </c>
      <c r="K1025" s="5">
        <f t="shared" si="11"/>
        <v>-499.34</v>
      </c>
      <c r="L1025" s="15" t="s">
        <v>133</v>
      </c>
      <c r="M1025" s="44">
        <f>SUMIFS('Saldos Iniciales'!$D:$D,'Saldos Iniciales'!$A:$A,C1025,'Saldos Iniciales'!$B:$B,D1025)+SUMIFS($K$1:$K$1325,$C$1:$C$1325,C1025,$D$1:$D$1325,D1025,$B$1:$B$1325,"&lt;="&amp;B1025)</f>
        <v>30592.869999999981</v>
      </c>
      <c r="N1025" s="65" t="str">
        <f>IF(tblMovimientos[[#This Row],[Tipo de Movimiento]]="Ingreso",tblMovimientos[[#This Row],[Monto (S/)]],"0")</f>
        <v>0</v>
      </c>
      <c r="O1025" s="65">
        <f>IF(tblMovimientos[[#This Row],[Tipo de Movimiento]]="Egreso",tblMovimientos[[#This Row],[Monto (S/)]],"0")</f>
        <v>499.34</v>
      </c>
      <c r="P1025" s="28">
        <f>IF(tblMovimientos[[#This Row],[Tipo de Movimiento]]="Ingreso",tblMovimientos[[#This Row],[Ingreso]],-tblMovimientos[[#This Row],[Egreso]])</f>
        <v>-499.34</v>
      </c>
      <c r="Q1025" s="91" t="str">
        <f>IF(tblMovimientos[[#This Row],[Cuenta Bancaria]]="","",_xlfn.XLOOKUP(tblMovimientos[[#This Row],[Cuenta Bancaria]],Cuentas!$C:$C,Cuentas!$A:$A,"No encontrado"))</f>
        <v>Unidades de Negocio</v>
      </c>
      <c r="R1025" s="91" t="str">
        <f>TRIM(_xlfn.XLOOKUP(tblMovimientos[[#This Row],[Cuenta Bancaria]],Cuentas!$C:$C,Cuentas!$B:$B,""))</f>
        <v/>
      </c>
    </row>
    <row r="1026" spans="1:18" x14ac:dyDescent="0.3">
      <c r="A1026" s="45"/>
      <c r="B1026" s="39">
        <v>46280</v>
      </c>
      <c r="C1026" s="46" t="str">
        <f>_xlfn.XLOOKUP(tblMovimientos[[#This Row],[Cuenta Bancaria]],Listas!$B:$B,Listas!$A:$A,"")</f>
        <v>Prendamas SRL</v>
      </c>
      <c r="D1026" s="41" t="s">
        <v>186</v>
      </c>
      <c r="E1026" s="81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44</v>
      </c>
      <c r="H1026" s="46" t="str">
        <f>IFERROR(_xlfn.XLOOKUP(G1026,Listas!E:E,Listas!F:F,""),"")</f>
        <v>Operativo</v>
      </c>
      <c r="I1026" s="46" t="str">
        <f>IFERROR(_xlfn.XLOOKUP(G1026,Listas!E:E,Listas!G:G,""),"")</f>
        <v>Externo</v>
      </c>
      <c r="J1026" s="43">
        <v>14.98</v>
      </c>
      <c r="K1026" s="5">
        <f t="shared" si="11"/>
        <v>-14.98</v>
      </c>
      <c r="L1026" s="15" t="s">
        <v>133</v>
      </c>
      <c r="M1026" s="44">
        <f>SUMIFS('Saldos Iniciales'!$D:$D,'Saldos Iniciales'!$A:$A,C1026,'Saldos Iniciales'!$B:$B,D1026)+SUMIFS($K$1:$K$1325,$C$1:$C$1325,C1026,$D$1:$D$1325,D1026,$B$1:$B$1325,"&lt;="&amp;B1026)</f>
        <v>30592.869999999981</v>
      </c>
      <c r="N1026" s="65" t="str">
        <f>IF(tblMovimientos[[#This Row],[Tipo de Movimiento]]="Ingreso",tblMovimientos[[#This Row],[Monto (S/)]],"0")</f>
        <v>0</v>
      </c>
      <c r="O1026" s="65">
        <f>IF(tblMovimientos[[#This Row],[Tipo de Movimiento]]="Egreso",tblMovimientos[[#This Row],[Monto (S/)]],"0")</f>
        <v>14.98</v>
      </c>
      <c r="P1026" s="28">
        <f>IF(tblMovimientos[[#This Row],[Tipo de Movimiento]]="Ingreso",tblMovimientos[[#This Row],[Ingreso]],-tblMovimientos[[#This Row],[Egreso]])</f>
        <v>-14.98</v>
      </c>
      <c r="Q1026" s="91" t="str">
        <f>IF(tblMovimientos[[#This Row],[Cuenta Bancaria]]="","",_xlfn.XLOOKUP(tblMovimientos[[#This Row],[Cuenta Bancaria]],Cuentas!$C:$C,Cuentas!$A:$A,"No encontrado"))</f>
        <v>Unidades de Negocio</v>
      </c>
      <c r="R1026" s="91" t="str">
        <f>TRIM(_xlfn.XLOOKUP(tblMovimientos[[#This Row],[Cuenta Bancaria]],Cuentas!$C:$C,Cuentas!$B:$B,""))</f>
        <v/>
      </c>
    </row>
    <row r="1027" spans="1:18" x14ac:dyDescent="0.3">
      <c r="B1027" s="39">
        <v>46280</v>
      </c>
      <c r="C1027" s="46" t="str">
        <f>_xlfn.XLOOKUP(tblMovimientos[[#This Row],[Cuenta Bancaria]],Listas!$B:$B,Listas!$A:$A,"")</f>
        <v>Cross Security Trust</v>
      </c>
      <c r="D1027" s="41" t="s">
        <v>112</v>
      </c>
      <c r="E1027" s="80" t="str">
        <f>_xlfn.XLOOKUP(tblMovimientos[[#This Row],[Cuenta Bancaria]],Listas!$B:$B,Listas!$C:$C,"")</f>
        <v>Bank of America</v>
      </c>
      <c r="F1027" s="41" t="s">
        <v>9</v>
      </c>
      <c r="G1027" s="41" t="s">
        <v>84</v>
      </c>
      <c r="H1027" s="46" t="str">
        <f>IFERROR(_xlfn.XLOOKUP(G1027,Listas!E:E,Listas!F:F,""),"")</f>
        <v>Operativo</v>
      </c>
      <c r="I1027" s="81" t="str">
        <f>IFERROR(_xlfn.XLOOKUP(G1027,Listas!E:E,Listas!G:G,""),"")</f>
        <v>Externo</v>
      </c>
      <c r="J1027" s="43">
        <v>4.24</v>
      </c>
      <c r="K1027" s="5">
        <f t="shared" si="11"/>
        <v>4.24</v>
      </c>
      <c r="L1027" s="15" t="s">
        <v>133</v>
      </c>
      <c r="M1027" s="44">
        <f>SUMIFS('Saldos Iniciales'!$D:$D,'Saldos Iniciales'!$A:$A,C1027,'Saldos Iniciales'!$B:$B,D1027)+SUMIFS($K$1:$K$1325,$C$1:$C$1325,C1027,$D$1:$D$1325,D1027,$B$1:$B$1325,"&lt;="&amp;B1027)</f>
        <v>98173.499999999985</v>
      </c>
      <c r="N1027" s="65">
        <f>IF(tblMovimientos[[#This Row],[Tipo de Movimiento]]="Ingreso",tblMovimientos[[#This Row],[Monto (S/)]],"0")</f>
        <v>4.24</v>
      </c>
      <c r="O1027" s="65" t="str">
        <f>IF(tblMovimientos[[#This Row],[Tipo de Movimiento]]="Egreso",tblMovimientos[[#This Row],[Monto (S/)]],"0")</f>
        <v>0</v>
      </c>
      <c r="P1027" s="28">
        <f>IF(tblMovimientos[[#This Row],[Tipo de Movimiento]]="Ingreso",tblMovimientos[[#This Row],[Ingreso]],-tblMovimientos[[#This Row],[Egreso]])</f>
        <v>4.24</v>
      </c>
      <c r="Q1027" s="91" t="str">
        <f>IF(tblMovimientos[[#This Row],[Cuenta Bancaria]]="","",_xlfn.XLOOKUP(tblMovimientos[[#This Row],[Cuenta Bancaria]],Cuentas!$C:$C,Cuentas!$A:$A,"No encontrado"))</f>
        <v>SSP Group</v>
      </c>
      <c r="R1027" s="91" t="str">
        <f>TRIM(_xlfn.XLOOKUP(tblMovimientos[[#This Row],[Cuenta Bancaria]],Cuentas!$C:$C,Cuentas!$B:$B,""))</f>
        <v>Cross Security Trust</v>
      </c>
    </row>
    <row r="1028" spans="1:18" x14ac:dyDescent="0.3">
      <c r="B1028" s="39">
        <v>46281</v>
      </c>
      <c r="C1028" s="46" t="str">
        <f>_xlfn.XLOOKUP(tblMovimientos[[#This Row],[Cuenta Bancaria]],Listas!$B:$B,Listas!$A:$A,"")</f>
        <v>SSP Capital</v>
      </c>
      <c r="D1028" s="41" t="s">
        <v>101</v>
      </c>
      <c r="E1028" s="4" t="str">
        <f>_xlfn.XLOOKUP(tblMovimientos[[#This Row],[Cuenta Bancaria]],Listas!$B:$B,Listas!$C:$C,"")</f>
        <v>Bank of America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2490.36</v>
      </c>
      <c r="K1028" s="5">
        <f t="shared" si="11"/>
        <v>-2490.36</v>
      </c>
      <c r="L1028" s="15" t="s">
        <v>133</v>
      </c>
      <c r="M1028" s="44">
        <f>SUMIFS('Saldos Iniciales'!$D:$D,'Saldos Iniciales'!$A:$A,C1028,'Saldos Iniciales'!$B:$B,D1028)+SUMIFS($K$1:$K$1325,$C$1:$C$1325,C1028,$D$1:$D$1325,D1028,$B$1:$B$1325,"&lt;="&amp;B1028)</f>
        <v>26581.72</v>
      </c>
      <c r="N1028" s="65" t="str">
        <f>IF(tblMovimientos[[#This Row],[Tipo de Movimiento]]="Ingreso",tblMovimientos[[#This Row],[Monto (S/)]],"0")</f>
        <v>0</v>
      </c>
      <c r="O1028" s="65">
        <f>IF(tblMovimientos[[#This Row],[Tipo de Movimiento]]="Egreso",tblMovimientos[[#This Row],[Monto (S/)]],"0")</f>
        <v>2490.36</v>
      </c>
      <c r="P1028" s="28">
        <f>IF(tblMovimientos[[#This Row],[Tipo de Movimiento]]="Ingreso",tblMovimientos[[#This Row],[Ingreso]],-tblMovimientos[[#This Row],[Egreso]])</f>
        <v>-2490.36</v>
      </c>
      <c r="Q1028" s="91" t="str">
        <f>IF(tblMovimientos[[#This Row],[Cuenta Bancaria]]="","",_xlfn.XLOOKUP(tblMovimientos[[#This Row],[Cuenta Bancaria]],Cuentas!$C:$C,Cuentas!$A:$A,"No encontrado"))</f>
        <v>SSP Group</v>
      </c>
      <c r="R1028" s="91" t="str">
        <f>TRIM(_xlfn.XLOOKUP(tblMovimientos[[#This Row],[Cuenta Bancaria]],Cuentas!$C:$C,Cuentas!$B:$B,""))</f>
        <v/>
      </c>
    </row>
    <row r="1029" spans="1:18" x14ac:dyDescent="0.3">
      <c r="B1029" s="39">
        <v>46281</v>
      </c>
      <c r="C1029" s="46" t="str">
        <f>_xlfn.XLOOKUP(tblMovimientos[[#This Row],[Cuenta Bancaria]],Listas!$B:$B,Listas!$A:$A,"")</f>
        <v>Go Blue</v>
      </c>
      <c r="D1029" s="41" t="s">
        <v>165</v>
      </c>
      <c r="E1029" s="4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203</v>
      </c>
      <c r="K1029" s="5">
        <f t="shared" si="11"/>
        <v>-203</v>
      </c>
      <c r="L1029" s="15" t="s">
        <v>133</v>
      </c>
      <c r="M1029" s="44">
        <f>SUMIFS('Saldos Iniciales'!$D:$D,'Saldos Iniciales'!$A:$A,C1029,'Saldos Iniciales'!$B:$B,D1029)+SUMIFS($K$1:$K$1325,$C$1:$C$1325,C1029,$D$1:$D$1325,D1029,$B$1:$B$1325,"&lt;="&amp;B1029)</f>
        <v>1894.760000000002</v>
      </c>
      <c r="N1029" s="65" t="str">
        <f>IF(tblMovimientos[[#This Row],[Tipo de Movimiento]]="Ingreso",tblMovimientos[[#This Row],[Monto (S/)]],"0")</f>
        <v>0</v>
      </c>
      <c r="O1029" s="65">
        <f>IF(tblMovimientos[[#This Row],[Tipo de Movimiento]]="Egreso",tblMovimientos[[#This Row],[Monto (S/)]],"0")</f>
        <v>203</v>
      </c>
      <c r="P1029" s="28">
        <f>IF(tblMovimientos[[#This Row],[Tipo de Movimiento]]="Ingreso",tblMovimientos[[#This Row],[Ingreso]],-tblMovimientos[[#This Row],[Egreso]])</f>
        <v>-203</v>
      </c>
      <c r="Q1029" s="91" t="str">
        <f>IF(tblMovimientos[[#This Row],[Cuenta Bancaria]]="","",_xlfn.XLOOKUP(tblMovimientos[[#This Row],[Cuenta Bancaria]],Cuentas!$C:$C,Cuentas!$A:$A,"No encontrado"))</f>
        <v>SSP Group</v>
      </c>
      <c r="R1029" s="91" t="str">
        <f>TRIM(_xlfn.XLOOKUP(tblMovimientos[[#This Row],[Cuenta Bancaria]],Cuentas!$C:$C,Cuentas!$B:$B,""))</f>
        <v/>
      </c>
    </row>
    <row r="1030" spans="1:18" x14ac:dyDescent="0.3">
      <c r="B1030" s="39">
        <v>46281</v>
      </c>
      <c r="C1030" s="46" t="str">
        <f>_xlfn.XLOOKUP(tblMovimientos[[#This Row],[Cuenta Bancaria]],Listas!$B:$B,Listas!$A:$A,"")</f>
        <v>Prendamas SRL</v>
      </c>
      <c r="D1030" s="41" t="s">
        <v>186</v>
      </c>
      <c r="E1030" s="80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38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715</v>
      </c>
      <c r="K1030" s="5">
        <f t="shared" si="11"/>
        <v>-715</v>
      </c>
      <c r="L1030" s="15" t="s">
        <v>133</v>
      </c>
      <c r="M1030" s="44">
        <f>SUMIFS('Saldos Iniciales'!$D:$D,'Saldos Iniciales'!$A:$A,C1030,'Saldos Iniciales'!$B:$B,D1030)+SUMIFS($K$1:$K$1325,$C$1:$C$1325,C1030,$D$1:$D$1325,D1030,$B$1:$B$1325,"&lt;="&amp;B1030)</f>
        <v>29877.869999999981</v>
      </c>
      <c r="N1030" s="65" t="str">
        <f>IF(tblMovimientos[[#This Row],[Tipo de Movimiento]]="Ingreso",tblMovimientos[[#This Row],[Monto (S/)]],"0")</f>
        <v>0</v>
      </c>
      <c r="O1030" s="65">
        <f>IF(tblMovimientos[[#This Row],[Tipo de Movimiento]]="Egreso",tblMovimientos[[#This Row],[Monto (S/)]],"0")</f>
        <v>715</v>
      </c>
      <c r="P1030" s="28">
        <f>IF(tblMovimientos[[#This Row],[Tipo de Movimiento]]="Ingreso",tblMovimientos[[#This Row],[Ingreso]],-tblMovimientos[[#This Row],[Egreso]])</f>
        <v>-715</v>
      </c>
      <c r="Q1030" s="91" t="str">
        <f>IF(tblMovimientos[[#This Row],[Cuenta Bancaria]]="","",_xlfn.XLOOKUP(tblMovimientos[[#This Row],[Cuenta Bancaria]],Cuentas!$C:$C,Cuentas!$A:$A,"No encontrado"))</f>
        <v>Unidades de Negocio</v>
      </c>
      <c r="R1030" s="91" t="str">
        <f>TRIM(_xlfn.XLOOKUP(tblMovimientos[[#This Row],[Cuenta Bancaria]],Cuentas!$C:$C,Cuentas!$B:$B,""))</f>
        <v/>
      </c>
    </row>
    <row r="1031" spans="1:18" x14ac:dyDescent="0.3">
      <c r="B1031" s="39">
        <v>46282</v>
      </c>
      <c r="C1031" s="46" t="str">
        <f>_xlfn.XLOOKUP(tblMovimientos[[#This Row],[Cuenta Bancaria]],Listas!$B:$B,Listas!$A:$A,"")</f>
        <v>A&amp;M Imports</v>
      </c>
      <c r="D1031" s="41" t="s">
        <v>100</v>
      </c>
      <c r="E1031" s="4" t="str">
        <f>_xlfn.XLOOKUP(tblMovimientos[[#This Row],[Cuenta Bancaria]],Listas!$B:$B,Listas!$C:$C,"")</f>
        <v>Bank of America</v>
      </c>
      <c r="F1031" s="41" t="s">
        <v>10</v>
      </c>
      <c r="G1031" s="41" t="s">
        <v>62</v>
      </c>
      <c r="H1031" s="46" t="str">
        <f>IFERROR(_xlfn.XLOOKUP(G1031,Listas!E:E,Listas!F:F,""),"")</f>
        <v>Operativo</v>
      </c>
      <c r="I1031" s="46" t="str">
        <f>IFERROR(_xlfn.XLOOKUP(G1031,Listas!E:E,Listas!G:G,""),"")</f>
        <v>Interno</v>
      </c>
      <c r="J1031" s="43">
        <v>60000</v>
      </c>
      <c r="K1031" s="5">
        <f t="shared" si="11"/>
        <v>-60000</v>
      </c>
      <c r="L1031" s="15" t="s">
        <v>133</v>
      </c>
      <c r="M1031" s="44">
        <f>SUMIFS('Saldos Iniciales'!$D:$D,'Saldos Iniciales'!$A:$A,C1031,'Saldos Iniciales'!$B:$B,D1031)+SUMIFS($K$1:$K$1325,$C$1:$C$1325,C1031,$D$1:$D$1325,D1031,$B$1:$B$1325,"&lt;="&amp;B1031)</f>
        <v>975534.6399999999</v>
      </c>
      <c r="N1031" s="65" t="str">
        <f>IF(tblMovimientos[[#This Row],[Tipo de Movimiento]]="Ingreso",tblMovimientos[[#This Row],[Monto (S/)]],"0")</f>
        <v>0</v>
      </c>
      <c r="O1031" s="65">
        <f>IF(tblMovimientos[[#This Row],[Tipo de Movimiento]]="Egreso",tblMovimientos[[#This Row],[Monto (S/)]],"0")</f>
        <v>60000</v>
      </c>
      <c r="P1031" s="28">
        <f>IF(tblMovimientos[[#This Row],[Tipo de Movimiento]]="Ingreso",tblMovimientos[[#This Row],[Ingreso]],-tblMovimientos[[#This Row],[Egreso]])</f>
        <v>-60000</v>
      </c>
      <c r="Q1031" s="91" t="str">
        <f>IF(tblMovimientos[[#This Row],[Cuenta Bancaria]]="","",_xlfn.XLOOKUP(tblMovimientos[[#This Row],[Cuenta Bancaria]],Cuentas!$C:$C,Cuentas!$A:$A,"No encontrado"))</f>
        <v>SSP Group</v>
      </c>
      <c r="R1031" s="91" t="str">
        <f>TRIM(_xlfn.XLOOKUP(tblMovimientos[[#This Row],[Cuenta Bancaria]],Cuentas!$C:$C,Cuentas!$B:$B,""))</f>
        <v>Cross Security Trust</v>
      </c>
    </row>
    <row r="1032" spans="1:18" x14ac:dyDescent="0.3">
      <c r="B1032" s="39">
        <v>46282</v>
      </c>
      <c r="C1032" s="46" t="str">
        <f>_xlfn.XLOOKUP(tblMovimientos[[#This Row],[Cuenta Bancaria]],Listas!$B:$B,Listas!$A:$A,"")</f>
        <v>A&amp;M Imports</v>
      </c>
      <c r="D1032" s="41" t="s">
        <v>100</v>
      </c>
      <c r="E1032" s="4" t="str">
        <f>_xlfn.XLOOKUP(tblMovimientos[[#This Row],[Cuenta Bancaria]],Listas!$B:$B,Listas!$C:$C,"")</f>
        <v>Bank of America</v>
      </c>
      <c r="F1032" s="41" t="s">
        <v>10</v>
      </c>
      <c r="G1032" s="41" t="s">
        <v>62</v>
      </c>
      <c r="H1032" s="46" t="str">
        <f>IFERROR(_xlfn.XLOOKUP(G1032,Listas!E:E,Listas!F:F,""),"")</f>
        <v>Operativo</v>
      </c>
      <c r="I1032" s="46" t="str">
        <f>IFERROR(_xlfn.XLOOKUP(G1032,Listas!E:E,Listas!G:G,""),"")</f>
        <v>Interno</v>
      </c>
      <c r="J1032" s="43">
        <v>70000</v>
      </c>
      <c r="K1032" s="5">
        <f t="shared" si="11"/>
        <v>-70000</v>
      </c>
      <c r="L1032" s="15" t="s">
        <v>133</v>
      </c>
      <c r="M1032" s="44">
        <f>SUMIFS('Saldos Iniciales'!$D:$D,'Saldos Iniciales'!$A:$A,C1032,'Saldos Iniciales'!$B:$B,D1032)+SUMIFS($K$1:$K$1325,$C$1:$C$1325,C1032,$D$1:$D$1325,D1032,$B$1:$B$1325,"&lt;="&amp;B1032)</f>
        <v>975534.6399999999</v>
      </c>
      <c r="N1032" s="65" t="str">
        <f>IF(tblMovimientos[[#This Row],[Tipo de Movimiento]]="Ingreso",tblMovimientos[[#This Row],[Monto (S/)]],"0")</f>
        <v>0</v>
      </c>
      <c r="O1032" s="65">
        <f>IF(tblMovimientos[[#This Row],[Tipo de Movimiento]]="Egreso",tblMovimientos[[#This Row],[Monto (S/)]],"0")</f>
        <v>70000</v>
      </c>
      <c r="P1032" s="28">
        <f>IF(tblMovimientos[[#This Row],[Tipo de Movimiento]]="Ingreso",tblMovimientos[[#This Row],[Ingreso]],-tblMovimientos[[#This Row],[Egreso]])</f>
        <v>-70000</v>
      </c>
      <c r="Q1032" s="91" t="str">
        <f>IF(tblMovimientos[[#This Row],[Cuenta Bancaria]]="","",_xlfn.XLOOKUP(tblMovimientos[[#This Row],[Cuenta Bancaria]],Cuentas!$C:$C,Cuentas!$A:$A,"No encontrado"))</f>
        <v>SSP Group</v>
      </c>
      <c r="R1032" s="91" t="str">
        <f>TRIM(_xlfn.XLOOKUP(tblMovimientos[[#This Row],[Cuenta Bancaria]],Cuentas!$C:$C,Cuentas!$B:$B,""))</f>
        <v>Cross Security Trust</v>
      </c>
    </row>
    <row r="1033" spans="1:18" x14ac:dyDescent="0.3">
      <c r="B1033" s="39">
        <v>46282</v>
      </c>
      <c r="C1033" s="46" t="str">
        <f>_xlfn.XLOOKUP(tblMovimientos[[#This Row],[Cuenta Bancaria]],Listas!$B:$B,Listas!$A:$A,"")</f>
        <v>Go Blue</v>
      </c>
      <c r="D1033" s="41" t="s">
        <v>165</v>
      </c>
      <c r="E1033" s="4" t="str">
        <f>_xlfn.XLOOKUP(tblMovimientos[[#This Row],[Cuenta Bancaria]],Listas!$B:$B,Listas!$C:$C,"")</f>
        <v xml:space="preserve">Amerant Bank </v>
      </c>
      <c r="F1033" s="41" t="s">
        <v>10</v>
      </c>
      <c r="G1033" s="41" t="s">
        <v>38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220.01</v>
      </c>
      <c r="K1033" s="5">
        <f t="shared" si="11"/>
        <v>-220.01</v>
      </c>
      <c r="L1033" s="15" t="s">
        <v>133</v>
      </c>
      <c r="M1033" s="44">
        <f>SUMIFS('Saldos Iniciales'!$D:$D,'Saldos Iniciales'!$A:$A,C1033,'Saldos Iniciales'!$B:$B,D1033)+SUMIFS($K$1:$K$1325,$C$1:$C$1325,C1033,$D$1:$D$1325,D1033,$B$1:$B$1325,"&lt;="&amp;B1033)</f>
        <v>1674.7500000000018</v>
      </c>
      <c r="N1033" s="65" t="str">
        <f>IF(tblMovimientos[[#This Row],[Tipo de Movimiento]]="Ingreso",tblMovimientos[[#This Row],[Monto (S/)]],"0")</f>
        <v>0</v>
      </c>
      <c r="O1033" s="65">
        <f>IF(tblMovimientos[[#This Row],[Tipo de Movimiento]]="Egreso",tblMovimientos[[#This Row],[Monto (S/)]],"0")</f>
        <v>220.01</v>
      </c>
      <c r="P1033" s="28">
        <f>IF(tblMovimientos[[#This Row],[Tipo de Movimiento]]="Ingreso",tblMovimientos[[#This Row],[Ingreso]],-tblMovimientos[[#This Row],[Egreso]])</f>
        <v>-220.01</v>
      </c>
      <c r="Q1033" s="91" t="str">
        <f>IF(tblMovimientos[[#This Row],[Cuenta Bancaria]]="","",_xlfn.XLOOKUP(tblMovimientos[[#This Row],[Cuenta Bancaria]],Cuentas!$C:$C,Cuentas!$A:$A,"No encontrado"))</f>
        <v>SSP Group</v>
      </c>
      <c r="R1033" s="91" t="str">
        <f>TRIM(_xlfn.XLOOKUP(tblMovimientos[[#This Row],[Cuenta Bancaria]],Cuentas!$C:$C,Cuentas!$B:$B,""))</f>
        <v/>
      </c>
    </row>
    <row r="1034" spans="1:18" x14ac:dyDescent="0.3">
      <c r="B1034" s="39">
        <v>46282</v>
      </c>
      <c r="C1034" s="46" t="str">
        <f>_xlfn.XLOOKUP(tblMovimientos[[#This Row],[Cuenta Bancaria]],Listas!$B:$B,Listas!$A:$A,"")</f>
        <v>CFT Group</v>
      </c>
      <c r="D1034" s="41" t="s">
        <v>95</v>
      </c>
      <c r="E1034" s="4" t="str">
        <f>_xlfn.XLOOKUP(tblMovimientos[[#This Row],[Cuenta Bancaria]],Listas!$B:$B,Listas!$C:$C,"")</f>
        <v xml:space="preserve">Amerant Bank </v>
      </c>
      <c r="F1034" s="41" t="s">
        <v>10</v>
      </c>
      <c r="G1034" s="41" t="s">
        <v>46</v>
      </c>
      <c r="H1034" s="4" t="str">
        <f>IFERROR(_xlfn.XLOOKUP(G1034,Listas!E:E,Listas!F:F,""),"")</f>
        <v>Financiamiento</v>
      </c>
      <c r="I1034" s="46" t="str">
        <f>IFERROR(_xlfn.XLOOKUP(G1034,Listas!E:E,Listas!G:G,""),"")</f>
        <v>Externo</v>
      </c>
      <c r="J1034" s="43">
        <v>2916.67</v>
      </c>
      <c r="K1034" s="5">
        <f t="shared" si="11"/>
        <v>-2916.67</v>
      </c>
      <c r="L1034" s="15" t="s">
        <v>133</v>
      </c>
      <c r="M1034" s="44">
        <f>SUMIFS('Saldos Iniciales'!$D:$D,'Saldos Iniciales'!$A:$A,C1034,'Saldos Iniciales'!$B:$B,D1034)+SUMIFS($K$1:$K$1325,$C$1:$C$1325,C1034,$D$1:$D$1325,D1034,$B$1:$B$1325,"&lt;="&amp;B1034)</f>
        <v>1534879.790000001</v>
      </c>
      <c r="N1034" s="65" t="str">
        <f>IF(tblMovimientos[[#This Row],[Tipo de Movimiento]]="Ingreso",tblMovimientos[[#This Row],[Monto (S/)]],"0")</f>
        <v>0</v>
      </c>
      <c r="O1034" s="65">
        <f>IF(tblMovimientos[[#This Row],[Tipo de Movimiento]]="Egreso",tblMovimientos[[#This Row],[Monto (S/)]],"0")</f>
        <v>2916.67</v>
      </c>
      <c r="P1034" s="28">
        <f>IF(tblMovimientos[[#This Row],[Tipo de Movimiento]]="Ingreso",tblMovimientos[[#This Row],[Ingreso]],-tblMovimientos[[#This Row],[Egreso]])</f>
        <v>-2916.67</v>
      </c>
      <c r="Q1034" s="91" t="str">
        <f>IF(tblMovimientos[[#This Row],[Cuenta Bancaria]]="","",_xlfn.XLOOKUP(tblMovimientos[[#This Row],[Cuenta Bancaria]],Cuentas!$C:$C,Cuentas!$A:$A,"No encontrado"))</f>
        <v>SSP Group</v>
      </c>
      <c r="R1034" s="91" t="str">
        <f>TRIM(_xlfn.XLOOKUP(tblMovimientos[[#This Row],[Cuenta Bancaria]],Cuentas!$C:$C,Cuentas!$B:$B,""))</f>
        <v/>
      </c>
    </row>
    <row r="1035" spans="1:18" x14ac:dyDescent="0.3">
      <c r="B1035" s="39">
        <v>46282</v>
      </c>
      <c r="C1035" s="46" t="str">
        <f>_xlfn.XLOOKUP(tblMovimientos[[#This Row],[Cuenta Bancaria]],Listas!$B:$B,Listas!$A:$A,"")</f>
        <v>CFT Group</v>
      </c>
      <c r="D1035" s="41" t="s">
        <v>95</v>
      </c>
      <c r="E1035" s="4" t="str">
        <f>_xlfn.XLOOKUP(tblMovimientos[[#This Row],[Cuenta Bancaria]],Listas!$B:$B,Listas!$C:$C,"")</f>
        <v xml:space="preserve">Amerant Bank </v>
      </c>
      <c r="F1035" s="41" t="s">
        <v>10</v>
      </c>
      <c r="G1035" s="41" t="s">
        <v>46</v>
      </c>
      <c r="H1035" s="4" t="str">
        <f>IFERROR(_xlfn.XLOOKUP(G1035,Listas!E:E,Listas!F:F,""),"")</f>
        <v>Financiamiento</v>
      </c>
      <c r="I1035" s="46" t="str">
        <f>IFERROR(_xlfn.XLOOKUP(G1035,Listas!E:E,Listas!G:G,""),"")</f>
        <v>Externo</v>
      </c>
      <c r="J1035" s="43">
        <v>3908.33</v>
      </c>
      <c r="K1035" s="5">
        <f t="shared" si="11"/>
        <v>-3908.33</v>
      </c>
      <c r="L1035" s="15" t="s">
        <v>133</v>
      </c>
      <c r="M1035" s="44">
        <f>SUMIFS('Saldos Iniciales'!$D:$D,'Saldos Iniciales'!$A:$A,C1035,'Saldos Iniciales'!$B:$B,D1035)+SUMIFS($K$1:$K$1325,$C$1:$C$1325,C1035,$D$1:$D$1325,D1035,$B$1:$B$1325,"&lt;="&amp;B1035)</f>
        <v>1534879.790000001</v>
      </c>
      <c r="N1035" s="65" t="str">
        <f>IF(tblMovimientos[[#This Row],[Tipo de Movimiento]]="Ingreso",tblMovimientos[[#This Row],[Monto (S/)]],"0")</f>
        <v>0</v>
      </c>
      <c r="O1035" s="65">
        <f>IF(tblMovimientos[[#This Row],[Tipo de Movimiento]]="Egreso",tblMovimientos[[#This Row],[Monto (S/)]],"0")</f>
        <v>3908.33</v>
      </c>
      <c r="P1035" s="28">
        <f>IF(tblMovimientos[[#This Row],[Tipo de Movimiento]]="Ingreso",tblMovimientos[[#This Row],[Ingreso]],-tblMovimientos[[#This Row],[Egreso]])</f>
        <v>-3908.33</v>
      </c>
      <c r="Q1035" s="91" t="str">
        <f>IF(tblMovimientos[[#This Row],[Cuenta Bancaria]]="","",_xlfn.XLOOKUP(tblMovimientos[[#This Row],[Cuenta Bancaria]],Cuentas!$C:$C,Cuentas!$A:$A,"No encontrado"))</f>
        <v>SSP Group</v>
      </c>
      <c r="R1035" s="91" t="str">
        <f>TRIM(_xlfn.XLOOKUP(tblMovimientos[[#This Row],[Cuenta Bancaria]],Cuentas!$C:$C,Cuentas!$B:$B,""))</f>
        <v/>
      </c>
    </row>
    <row r="1036" spans="1:18" x14ac:dyDescent="0.3">
      <c r="B1036" s="39">
        <v>46282</v>
      </c>
      <c r="C1036" s="46" t="str">
        <f>_xlfn.XLOOKUP(tblMovimientos[[#This Row],[Cuenta Bancaria]],Listas!$B:$B,Listas!$A:$A,"")</f>
        <v>CFT Group</v>
      </c>
      <c r="D1036" s="41" t="s">
        <v>95</v>
      </c>
      <c r="E1036" s="4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46</v>
      </c>
      <c r="H1036" s="4" t="str">
        <f>IFERROR(_xlfn.XLOOKUP(G1036,Listas!E:E,Listas!F:F,""),"")</f>
        <v>Financiamiento</v>
      </c>
      <c r="I1036" s="46" t="str">
        <f>IFERROR(_xlfn.XLOOKUP(G1036,Listas!E:E,Listas!G:G,""),"")</f>
        <v>Externo</v>
      </c>
      <c r="J1036" s="43">
        <v>12055.56</v>
      </c>
      <c r="K1036" s="5">
        <f t="shared" si="11"/>
        <v>-12055.56</v>
      </c>
      <c r="L1036" s="15" t="s">
        <v>133</v>
      </c>
      <c r="M1036" s="44">
        <f>SUMIFS('Saldos Iniciales'!$D:$D,'Saldos Iniciales'!$A:$A,C1036,'Saldos Iniciales'!$B:$B,D1036)+SUMIFS($K$1:$K$1325,$C$1:$C$1325,C1036,$D$1:$D$1325,D1036,$B$1:$B$1325,"&lt;="&amp;B1036)</f>
        <v>1534879.790000001</v>
      </c>
      <c r="N1036" s="65" t="str">
        <f>IF(tblMovimientos[[#This Row],[Tipo de Movimiento]]="Ingreso",tblMovimientos[[#This Row],[Monto (S/)]],"0")</f>
        <v>0</v>
      </c>
      <c r="O1036" s="65">
        <f>IF(tblMovimientos[[#This Row],[Tipo de Movimiento]]="Egreso",tblMovimientos[[#This Row],[Monto (S/)]],"0")</f>
        <v>12055.56</v>
      </c>
      <c r="P1036" s="28">
        <f>IF(tblMovimientos[[#This Row],[Tipo de Movimiento]]="Ingreso",tblMovimientos[[#This Row],[Ingreso]],-tblMovimientos[[#This Row],[Egreso]])</f>
        <v>-12055.56</v>
      </c>
      <c r="Q1036" s="91" t="str">
        <f>IF(tblMovimientos[[#This Row],[Cuenta Bancaria]]="","",_xlfn.XLOOKUP(tblMovimientos[[#This Row],[Cuenta Bancaria]],Cuentas!$C:$C,Cuentas!$A:$A,"No encontrado"))</f>
        <v>SSP Group</v>
      </c>
      <c r="R1036" s="91" t="str">
        <f>TRIM(_xlfn.XLOOKUP(tblMovimientos[[#This Row],[Cuenta Bancaria]],Cuentas!$C:$C,Cuentas!$B:$B,""))</f>
        <v/>
      </c>
    </row>
    <row r="1037" spans="1:18" x14ac:dyDescent="0.3">
      <c r="B1037" s="39">
        <v>46282</v>
      </c>
      <c r="C1037" s="46" t="str">
        <f>_xlfn.XLOOKUP(tblMovimientos[[#This Row],[Cuenta Bancaria]],Listas!$B:$B,Listas!$A:$A,"")</f>
        <v>CFT Group</v>
      </c>
      <c r="D1037" s="41" t="s">
        <v>95</v>
      </c>
      <c r="E1037" s="4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46</v>
      </c>
      <c r="H1037" s="4" t="str">
        <f>IFERROR(_xlfn.XLOOKUP(G1037,Listas!E:E,Listas!F:F,""),"")</f>
        <v>Financiamiento</v>
      </c>
      <c r="I1037" s="46" t="str">
        <f>IFERROR(_xlfn.XLOOKUP(G1037,Listas!E:E,Listas!G:G,""),"")</f>
        <v>Externo</v>
      </c>
      <c r="J1037" s="43">
        <v>13622.78</v>
      </c>
      <c r="K1037" s="5">
        <f t="shared" si="11"/>
        <v>-13622.78</v>
      </c>
      <c r="L1037" s="15" t="s">
        <v>133</v>
      </c>
      <c r="M1037" s="44">
        <f>SUMIFS('Saldos Iniciales'!$D:$D,'Saldos Iniciales'!$A:$A,C1037,'Saldos Iniciales'!$B:$B,D1037)+SUMIFS($K$1:$K$1325,$C$1:$C$1325,C1037,$D$1:$D$1325,D1037,$B$1:$B$1325,"&lt;="&amp;B1037)</f>
        <v>1534879.790000001</v>
      </c>
      <c r="N1037" s="65" t="str">
        <f>IF(tblMovimientos[[#This Row],[Tipo de Movimiento]]="Ingreso",tblMovimientos[[#This Row],[Monto (S/)]],"0")</f>
        <v>0</v>
      </c>
      <c r="O1037" s="65">
        <f>IF(tblMovimientos[[#This Row],[Tipo de Movimiento]]="Egreso",tblMovimientos[[#This Row],[Monto (S/)]],"0")</f>
        <v>13622.78</v>
      </c>
      <c r="P1037" s="28">
        <f>IF(tblMovimientos[[#This Row],[Tipo de Movimiento]]="Ingreso",tblMovimientos[[#This Row],[Ingreso]],-tblMovimientos[[#This Row],[Egreso]])</f>
        <v>-13622.78</v>
      </c>
      <c r="Q1037" s="91" t="str">
        <f>IF(tblMovimientos[[#This Row],[Cuenta Bancaria]]="","",_xlfn.XLOOKUP(tblMovimientos[[#This Row],[Cuenta Bancaria]],Cuentas!$C:$C,Cuentas!$A:$A,"No encontrado"))</f>
        <v>SSP Group</v>
      </c>
      <c r="R1037" s="91" t="str">
        <f>TRIM(_xlfn.XLOOKUP(tblMovimientos[[#This Row],[Cuenta Bancaria]],Cuentas!$C:$C,Cuentas!$B:$B,""))</f>
        <v/>
      </c>
    </row>
    <row r="1038" spans="1:18" x14ac:dyDescent="0.3">
      <c r="B1038" s="39">
        <v>46282</v>
      </c>
      <c r="C1038" s="46" t="str">
        <f>_xlfn.XLOOKUP(tblMovimientos[[#This Row],[Cuenta Bancaria]],Listas!$B:$B,Listas!$A:$A,"")</f>
        <v>CFT Group</v>
      </c>
      <c r="D1038" s="41" t="s">
        <v>95</v>
      </c>
      <c r="E1038" s="4" t="str">
        <f>_xlfn.XLOOKUP(tblMovimientos[[#This Row],[Cuenta Bancaria]],Listas!$B:$B,Listas!$C:$C,"")</f>
        <v xml:space="preserve">Amerant Bank </v>
      </c>
      <c r="F1038" s="41" t="s">
        <v>10</v>
      </c>
      <c r="G1038" s="41" t="s">
        <v>46</v>
      </c>
      <c r="H1038" s="4" t="str">
        <f>IFERROR(_xlfn.XLOOKUP(G1038,Listas!E:E,Listas!F:F,""),"")</f>
        <v>Financiamiento</v>
      </c>
      <c r="I1038" s="46" t="str">
        <f>IFERROR(_xlfn.XLOOKUP(G1038,Listas!E:E,Listas!G:G,""),"")</f>
        <v>Externo</v>
      </c>
      <c r="J1038" s="43">
        <v>27083.33</v>
      </c>
      <c r="K1038" s="5">
        <f t="shared" si="11"/>
        <v>-27083.33</v>
      </c>
      <c r="L1038" s="15" t="s">
        <v>133</v>
      </c>
      <c r="M1038" s="44">
        <f>SUMIFS('Saldos Iniciales'!$D:$D,'Saldos Iniciales'!$A:$A,C1038,'Saldos Iniciales'!$B:$B,D1038)+SUMIFS($K$1:$K$1325,$C$1:$C$1325,C1038,$D$1:$D$1325,D1038,$B$1:$B$1325,"&lt;="&amp;B1038)</f>
        <v>1534879.790000001</v>
      </c>
      <c r="N1038" s="65" t="str">
        <f>IF(tblMovimientos[[#This Row],[Tipo de Movimiento]]="Ingreso",tblMovimientos[[#This Row],[Monto (S/)]],"0")</f>
        <v>0</v>
      </c>
      <c r="O1038" s="65">
        <f>IF(tblMovimientos[[#This Row],[Tipo de Movimiento]]="Egreso",tblMovimientos[[#This Row],[Monto (S/)]],"0")</f>
        <v>27083.33</v>
      </c>
      <c r="P1038" s="28">
        <f>IF(tblMovimientos[[#This Row],[Tipo de Movimiento]]="Ingreso",tblMovimientos[[#This Row],[Ingreso]],-tblMovimientos[[#This Row],[Egreso]])</f>
        <v>-27083.33</v>
      </c>
      <c r="Q1038" s="91" t="str">
        <f>IF(tblMovimientos[[#This Row],[Cuenta Bancaria]]="","",_xlfn.XLOOKUP(tblMovimientos[[#This Row],[Cuenta Bancaria]],Cuentas!$C:$C,Cuentas!$A:$A,"No encontrado"))</f>
        <v>SSP Group</v>
      </c>
      <c r="R1038" s="91" t="str">
        <f>TRIM(_xlfn.XLOOKUP(tblMovimientos[[#This Row],[Cuenta Bancaria]],Cuentas!$C:$C,Cuentas!$B:$B,""))</f>
        <v/>
      </c>
    </row>
    <row r="1039" spans="1:18" x14ac:dyDescent="0.3">
      <c r="B1039" s="39">
        <v>46282</v>
      </c>
      <c r="C1039" s="46" t="str">
        <f>_xlfn.XLOOKUP(tblMovimientos[[#This Row],[Cuenta Bancaria]],Listas!$B:$B,Listas!$A:$A,"")</f>
        <v>CFT Group</v>
      </c>
      <c r="D1039" s="41" t="s">
        <v>95</v>
      </c>
      <c r="E1039" s="4" t="str">
        <f>_xlfn.XLOOKUP(tblMovimientos[[#This Row],[Cuenta Bancaria]],Listas!$B:$B,Listas!$C:$C,"")</f>
        <v xml:space="preserve">Amerant Bank </v>
      </c>
      <c r="F1039" s="41" t="s">
        <v>10</v>
      </c>
      <c r="G1039" s="41" t="s">
        <v>46</v>
      </c>
      <c r="H1039" s="4" t="str">
        <f>IFERROR(_xlfn.XLOOKUP(G1039,Listas!E:E,Listas!F:F,""),"")</f>
        <v>Financiamiento</v>
      </c>
      <c r="I1039" s="46" t="str">
        <f>IFERROR(_xlfn.XLOOKUP(G1039,Listas!E:E,Listas!G:G,""),"")</f>
        <v>Externo</v>
      </c>
      <c r="J1039" s="43">
        <v>71041.67</v>
      </c>
      <c r="K1039" s="5">
        <f t="shared" si="11"/>
        <v>-71041.67</v>
      </c>
      <c r="L1039" s="15" t="s">
        <v>133</v>
      </c>
      <c r="M1039" s="44">
        <f>SUMIFS('Saldos Iniciales'!$D:$D,'Saldos Iniciales'!$A:$A,C1039,'Saldos Iniciales'!$B:$B,D1039)+SUMIFS($K$1:$K$1325,$C$1:$C$1325,C1039,$D$1:$D$1325,D1039,$B$1:$B$1325,"&lt;="&amp;B1039)</f>
        <v>1534879.790000001</v>
      </c>
      <c r="N1039" s="65" t="str">
        <f>IF(tblMovimientos[[#This Row],[Tipo de Movimiento]]="Ingreso",tblMovimientos[[#This Row],[Monto (S/)]],"0")</f>
        <v>0</v>
      </c>
      <c r="O1039" s="65">
        <f>IF(tblMovimientos[[#This Row],[Tipo de Movimiento]]="Egreso",tblMovimientos[[#This Row],[Monto (S/)]],"0")</f>
        <v>71041.67</v>
      </c>
      <c r="P1039" s="28">
        <f>IF(tblMovimientos[[#This Row],[Tipo de Movimiento]]="Ingreso",tblMovimientos[[#This Row],[Ingreso]],-tblMovimientos[[#This Row],[Egreso]])</f>
        <v>-71041.67</v>
      </c>
      <c r="Q1039" s="91" t="str">
        <f>IF(tblMovimientos[[#This Row],[Cuenta Bancaria]]="","",_xlfn.XLOOKUP(tblMovimientos[[#This Row],[Cuenta Bancaria]],Cuentas!$C:$C,Cuentas!$A:$A,"No encontrado"))</f>
        <v>SSP Group</v>
      </c>
      <c r="R1039" s="91" t="str">
        <f>TRIM(_xlfn.XLOOKUP(tblMovimientos[[#This Row],[Cuenta Bancaria]],Cuentas!$C:$C,Cuentas!$B:$B,""))</f>
        <v/>
      </c>
    </row>
    <row r="1040" spans="1:18" x14ac:dyDescent="0.3">
      <c r="B1040" s="39">
        <v>46282</v>
      </c>
      <c r="C1040" s="46" t="str">
        <f>_xlfn.XLOOKUP(tblMovimientos[[#This Row],[Cuenta Bancaria]],Listas!$B:$B,Listas!$A:$A,"")</f>
        <v>SSP Capital</v>
      </c>
      <c r="D1040" s="41" t="s">
        <v>104</v>
      </c>
      <c r="E1040" s="4" t="str">
        <f>_xlfn.XLOOKUP(tblMovimientos[[#This Row],[Cuenta Bancaria]],Listas!$B:$B,Listas!$C:$C,"")</f>
        <v xml:space="preserve">Amerant Bank </v>
      </c>
      <c r="F1040" s="41" t="s">
        <v>10</v>
      </c>
      <c r="G1040" s="41" t="s">
        <v>46</v>
      </c>
      <c r="H1040" s="4" t="str">
        <f>IFERROR(_xlfn.XLOOKUP(G1040,Listas!E:E,Listas!F:F,""),"")</f>
        <v>Financiamiento</v>
      </c>
      <c r="I1040" s="46" t="str">
        <f>IFERROR(_xlfn.XLOOKUP(G1040,Listas!E:E,Listas!G:G,""),"")</f>
        <v>Externo</v>
      </c>
      <c r="J1040" s="43">
        <v>5597.22</v>
      </c>
      <c r="K1040" s="5">
        <f t="shared" si="11"/>
        <v>-5597.22</v>
      </c>
      <c r="L1040" s="15" t="s">
        <v>133</v>
      </c>
      <c r="M1040" s="44">
        <f>SUMIFS('Saldos Iniciales'!$D:$D,'Saldos Iniciales'!$A:$A,C1040,'Saldos Iniciales'!$B:$B,D1040)+SUMIFS($K$1:$K$1325,$C$1:$C$1325,C1040,$D$1:$D$1325,D1040,$B$1:$B$1325,"&lt;="&amp;B1040)</f>
        <v>222033.84999999928</v>
      </c>
      <c r="N1040" s="65" t="str">
        <f>IF(tblMovimientos[[#This Row],[Tipo de Movimiento]]="Ingreso",tblMovimientos[[#This Row],[Monto (S/)]],"0")</f>
        <v>0</v>
      </c>
      <c r="O1040" s="65">
        <f>IF(tblMovimientos[[#This Row],[Tipo de Movimiento]]="Egreso",tblMovimientos[[#This Row],[Monto (S/)]],"0")</f>
        <v>5597.22</v>
      </c>
      <c r="P1040" s="28">
        <f>IF(tblMovimientos[[#This Row],[Tipo de Movimiento]]="Ingreso",tblMovimientos[[#This Row],[Ingreso]],-tblMovimientos[[#This Row],[Egreso]])</f>
        <v>-5597.22</v>
      </c>
      <c r="Q1040" s="91" t="str">
        <f>IF(tblMovimientos[[#This Row],[Cuenta Bancaria]]="","",_xlfn.XLOOKUP(tblMovimientos[[#This Row],[Cuenta Bancaria]],Cuentas!$C:$C,Cuentas!$A:$A,"No encontrado"))</f>
        <v>SSP Group</v>
      </c>
      <c r="R1040" s="91" t="str">
        <f>TRIM(_xlfn.XLOOKUP(tblMovimientos[[#This Row],[Cuenta Bancaria]],Cuentas!$C:$C,Cuentas!$B:$B,""))</f>
        <v/>
      </c>
    </row>
    <row r="1041" spans="2:18" x14ac:dyDescent="0.3">
      <c r="B1041" s="39">
        <v>46282</v>
      </c>
      <c r="C1041" s="46" t="str">
        <f>_xlfn.XLOOKUP(tblMovimientos[[#This Row],[Cuenta Bancaria]],Listas!$B:$B,Listas!$A:$A,"")</f>
        <v>SSP Capital</v>
      </c>
      <c r="D1041" s="41" t="s">
        <v>104</v>
      </c>
      <c r="E1041" s="4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46</v>
      </c>
      <c r="H1041" s="4" t="str">
        <f>IFERROR(_xlfn.XLOOKUP(G1041,Listas!E:E,Listas!F:F,""),"")</f>
        <v>Financiamiento</v>
      </c>
      <c r="I1041" s="46" t="str">
        <f>IFERROR(_xlfn.XLOOKUP(G1041,Listas!E:E,Listas!G:G,""),"")</f>
        <v>Externo</v>
      </c>
      <c r="J1041" s="43">
        <v>26250</v>
      </c>
      <c r="K1041" s="5">
        <f t="shared" si="11"/>
        <v>-26250</v>
      </c>
      <c r="L1041" s="15" t="s">
        <v>133</v>
      </c>
      <c r="M1041" s="44">
        <f>SUMIFS('Saldos Iniciales'!$D:$D,'Saldos Iniciales'!$A:$A,C1041,'Saldos Iniciales'!$B:$B,D1041)+SUMIFS($K$1:$K$1325,$C$1:$C$1325,C1041,$D$1:$D$1325,D1041,$B$1:$B$1325,"&lt;="&amp;B1041)</f>
        <v>222033.84999999928</v>
      </c>
      <c r="N1041" s="65" t="str">
        <f>IF(tblMovimientos[[#This Row],[Tipo de Movimiento]]="Ingreso",tblMovimientos[[#This Row],[Monto (S/)]],"0")</f>
        <v>0</v>
      </c>
      <c r="O1041" s="65">
        <f>IF(tblMovimientos[[#This Row],[Tipo de Movimiento]]="Egreso",tblMovimientos[[#This Row],[Monto (S/)]],"0")</f>
        <v>26250</v>
      </c>
      <c r="P1041" s="28">
        <f>IF(tblMovimientos[[#This Row],[Tipo de Movimiento]]="Ingreso",tblMovimientos[[#This Row],[Ingreso]],-tblMovimientos[[#This Row],[Egreso]])</f>
        <v>-26250</v>
      </c>
      <c r="Q1041" s="91" t="str">
        <f>IF(tblMovimientos[[#This Row],[Cuenta Bancaria]]="","",_xlfn.XLOOKUP(tblMovimientos[[#This Row],[Cuenta Bancaria]],Cuentas!$C:$C,Cuentas!$A:$A,"No encontrado"))</f>
        <v>SSP Group</v>
      </c>
      <c r="R1041" s="91" t="str">
        <f>TRIM(_xlfn.XLOOKUP(tblMovimientos[[#This Row],[Cuenta Bancaria]],Cuentas!$C:$C,Cuentas!$B:$B,""))</f>
        <v/>
      </c>
    </row>
    <row r="1042" spans="2:18" x14ac:dyDescent="0.3">
      <c r="B1042" s="39">
        <v>46282</v>
      </c>
      <c r="C1042" s="46" t="str">
        <f>_xlfn.XLOOKUP(tblMovimientos[[#This Row],[Cuenta Bancaria]],Listas!$B:$B,Listas!$A:$A,"")</f>
        <v>SSP Capital</v>
      </c>
      <c r="D1042" s="41" t="s">
        <v>104</v>
      </c>
      <c r="E1042" s="4" t="str">
        <f>_xlfn.XLOOKUP(tblMovimientos[[#This Row],[Cuenta Bancaria]],Listas!$B:$B,Listas!$C:$C,"")</f>
        <v xml:space="preserve">Amerant Bank </v>
      </c>
      <c r="F1042" s="41" t="s">
        <v>10</v>
      </c>
      <c r="G1042" s="41" t="s">
        <v>46</v>
      </c>
      <c r="H1042" s="4" t="str">
        <f>IFERROR(_xlfn.XLOOKUP(G1042,Listas!E:E,Listas!F:F,""),"")</f>
        <v>Financiamiento</v>
      </c>
      <c r="I1042" s="46" t="str">
        <f>IFERROR(_xlfn.XLOOKUP(G1042,Listas!E:E,Listas!G:G,""),"")</f>
        <v>Externo</v>
      </c>
      <c r="J1042" s="43">
        <v>39583.339999999997</v>
      </c>
      <c r="K1042" s="5">
        <f t="shared" si="11"/>
        <v>-39583.339999999997</v>
      </c>
      <c r="L1042" s="15" t="s">
        <v>133</v>
      </c>
      <c r="M1042" s="44">
        <f>SUMIFS('Saldos Iniciales'!$D:$D,'Saldos Iniciales'!$A:$A,C1042,'Saldos Iniciales'!$B:$B,D1042)+SUMIFS($K$1:$K$1325,$C$1:$C$1325,C1042,$D$1:$D$1325,D1042,$B$1:$B$1325,"&lt;="&amp;B1042)</f>
        <v>222033.84999999928</v>
      </c>
      <c r="N1042" s="65" t="str">
        <f>IF(tblMovimientos[[#This Row],[Tipo de Movimiento]]="Ingreso",tblMovimientos[[#This Row],[Monto (S/)]],"0")</f>
        <v>0</v>
      </c>
      <c r="O1042" s="65">
        <f>IF(tblMovimientos[[#This Row],[Tipo de Movimiento]]="Egreso",tblMovimientos[[#This Row],[Monto (S/)]],"0")</f>
        <v>39583.339999999997</v>
      </c>
      <c r="P1042" s="28">
        <f>IF(tblMovimientos[[#This Row],[Tipo de Movimiento]]="Ingreso",tblMovimientos[[#This Row],[Ingreso]],-tblMovimientos[[#This Row],[Egreso]])</f>
        <v>-39583.339999999997</v>
      </c>
      <c r="Q1042" s="91" t="str">
        <f>IF(tblMovimientos[[#This Row],[Cuenta Bancaria]]="","",_xlfn.XLOOKUP(tblMovimientos[[#This Row],[Cuenta Bancaria]],Cuentas!$C:$C,Cuentas!$A:$A,"No encontrado"))</f>
        <v>SSP Group</v>
      </c>
      <c r="R1042" s="91" t="str">
        <f>TRIM(_xlfn.XLOOKUP(tblMovimientos[[#This Row],[Cuenta Bancaria]],Cuentas!$C:$C,Cuentas!$B:$B,""))</f>
        <v/>
      </c>
    </row>
    <row r="1043" spans="2:18" x14ac:dyDescent="0.3">
      <c r="B1043" s="39">
        <v>46282</v>
      </c>
      <c r="C1043" s="46" t="str">
        <f>_xlfn.XLOOKUP(tblMovimientos[[#This Row],[Cuenta Bancaria]],Listas!$B:$B,Listas!$A:$A,"")</f>
        <v>SSP Capital</v>
      </c>
      <c r="D1043" s="41" t="s">
        <v>104</v>
      </c>
      <c r="E1043" s="4" t="str">
        <f>_xlfn.XLOOKUP(tblMovimientos[[#This Row],[Cuenta Bancaria]],Listas!$B:$B,Listas!$C:$C,"")</f>
        <v xml:space="preserve">Amerant Bank </v>
      </c>
      <c r="F1043" s="41" t="s">
        <v>10</v>
      </c>
      <c r="G1043" s="41" t="s">
        <v>46</v>
      </c>
      <c r="H1043" s="4" t="str">
        <f>IFERROR(_xlfn.XLOOKUP(G1043,Listas!E:E,Listas!F:F,""),"")</f>
        <v>Financiamiento</v>
      </c>
      <c r="I1043" s="46" t="str">
        <f>IFERROR(_xlfn.XLOOKUP(G1043,Listas!E:E,Listas!G:G,""),"")</f>
        <v>Externo</v>
      </c>
      <c r="J1043" s="43">
        <v>47361.11</v>
      </c>
      <c r="K1043" s="5">
        <f t="shared" si="11"/>
        <v>-47361.11</v>
      </c>
      <c r="L1043" s="15" t="s">
        <v>133</v>
      </c>
      <c r="M1043" s="44">
        <f>SUMIFS('Saldos Iniciales'!$D:$D,'Saldos Iniciales'!$A:$A,C1043,'Saldos Iniciales'!$B:$B,D1043)+SUMIFS($K$1:$K$1325,$C$1:$C$1325,C1043,$D$1:$D$1325,D1043,$B$1:$B$1325,"&lt;="&amp;B1043)</f>
        <v>222033.84999999928</v>
      </c>
      <c r="N1043" s="65" t="str">
        <f>IF(tblMovimientos[[#This Row],[Tipo de Movimiento]]="Ingreso",tblMovimientos[[#This Row],[Monto (S/)]],"0")</f>
        <v>0</v>
      </c>
      <c r="O1043" s="65">
        <f>IF(tblMovimientos[[#This Row],[Tipo de Movimiento]]="Egreso",tblMovimientos[[#This Row],[Monto (S/)]],"0")</f>
        <v>47361.11</v>
      </c>
      <c r="P1043" s="28">
        <f>IF(tblMovimientos[[#This Row],[Tipo de Movimiento]]="Ingreso",tblMovimientos[[#This Row],[Ingreso]],-tblMovimientos[[#This Row],[Egreso]])</f>
        <v>-47361.11</v>
      </c>
      <c r="Q1043" s="91" t="str">
        <f>IF(tblMovimientos[[#This Row],[Cuenta Bancaria]]="","",_xlfn.XLOOKUP(tblMovimientos[[#This Row],[Cuenta Bancaria]],Cuentas!$C:$C,Cuentas!$A:$A,"No encontrado"))</f>
        <v>SSP Group</v>
      </c>
      <c r="R1043" s="91" t="str">
        <f>TRIM(_xlfn.XLOOKUP(tblMovimientos[[#This Row],[Cuenta Bancaria]],Cuentas!$C:$C,Cuentas!$B:$B,""))</f>
        <v/>
      </c>
    </row>
    <row r="1044" spans="2:18" x14ac:dyDescent="0.3">
      <c r="B1044" s="39">
        <v>46282</v>
      </c>
      <c r="C1044" s="46" t="str">
        <f>_xlfn.XLOOKUP(tblMovimientos[[#This Row],[Cuenta Bancaria]],Listas!$B:$B,Listas!$A:$A,"")</f>
        <v>Pacha Ventures LLC</v>
      </c>
      <c r="D1044" s="41" t="s">
        <v>187</v>
      </c>
      <c r="E1044" s="80" t="str">
        <f>_xlfn.XLOOKUP(tblMovimientos[[#This Row],[Cuenta Bancaria]],Listas!$B:$B,Listas!$C:$C,"")</f>
        <v xml:space="preserve">Amerant Bank </v>
      </c>
      <c r="F1044" s="41" t="s">
        <v>9</v>
      </c>
      <c r="G1044" s="41" t="s">
        <v>69</v>
      </c>
      <c r="H1044" s="4" t="str">
        <f>IFERROR(_xlfn.XLOOKUP(G1044,Listas!E:E,Listas!F:F,""),"")</f>
        <v>Operativo</v>
      </c>
      <c r="I1044" s="46" t="str">
        <f>IFERROR(_xlfn.XLOOKUP(G1044,Listas!E:E,Listas!G:G,""),"")</f>
        <v>Interno</v>
      </c>
      <c r="J1044" s="43">
        <v>13622.78</v>
      </c>
      <c r="K1044" s="5">
        <f t="shared" si="11"/>
        <v>13622.78</v>
      </c>
      <c r="L1044" s="15" t="s">
        <v>133</v>
      </c>
      <c r="M1044" s="44">
        <f>SUMIFS('Saldos Iniciales'!$D:$D,'Saldos Iniciales'!$A:$A,C1044,'Saldos Iniciales'!$B:$B,D1044)+SUMIFS($K$1:$K$1325,$C$1:$C$1325,C1044,$D$1:$D$1325,D1044,$B$1:$B$1325,"&lt;="&amp;B1044)</f>
        <v>312415.12000000005</v>
      </c>
      <c r="N1044" s="65">
        <f>IF(tblMovimientos[[#This Row],[Tipo de Movimiento]]="Ingreso",tblMovimientos[[#This Row],[Monto (S/)]],"0")</f>
        <v>13622.78</v>
      </c>
      <c r="O1044" s="65" t="str">
        <f>IF(tblMovimientos[[#This Row],[Tipo de Movimiento]]="Egreso",tblMovimientos[[#This Row],[Monto (S/)]],"0")</f>
        <v>0</v>
      </c>
      <c r="P1044" s="28">
        <f>IF(tblMovimientos[[#This Row],[Tipo de Movimiento]]="Ingreso",tblMovimientos[[#This Row],[Ingreso]],-tblMovimientos[[#This Row],[Egreso]])</f>
        <v>13622.78</v>
      </c>
      <c r="Q1044" s="91" t="str">
        <f>IF(tblMovimientos[[#This Row],[Cuenta Bancaria]]="","",_xlfn.XLOOKUP(tblMovimientos[[#This Row],[Cuenta Bancaria]],Cuentas!$C:$C,Cuentas!$A:$A,"No encontrado"))</f>
        <v>Michael Cross</v>
      </c>
      <c r="R1044" s="91" t="str">
        <f>TRIM(_xlfn.XLOOKUP(tblMovimientos[[#This Row],[Cuenta Bancaria]],Cuentas!$C:$C,Cuentas!$B:$B,""))</f>
        <v/>
      </c>
    </row>
    <row r="1045" spans="2:18" x14ac:dyDescent="0.3">
      <c r="B1045" s="39">
        <v>46282</v>
      </c>
      <c r="C1045" s="46" t="str">
        <f>_xlfn.XLOOKUP(tblMovimientos[[#This Row],[Cuenta Bancaria]],Listas!$B:$B,Listas!$A:$A,"")</f>
        <v>CFT 1 residence LLC</v>
      </c>
      <c r="D1045" s="41" t="s">
        <v>184</v>
      </c>
      <c r="E1045" s="80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38</v>
      </c>
      <c r="H1045" s="4" t="str">
        <f>IFERROR(_xlfn.XLOOKUP(G1045,Listas!E:E,Listas!F:F,""),"")</f>
        <v>Operativo</v>
      </c>
      <c r="I1045" s="46" t="str">
        <f>IFERROR(_xlfn.XLOOKUP(G1045,Listas!E:E,Listas!G:G,""),"")</f>
        <v>Externo</v>
      </c>
      <c r="J1045" s="43">
        <v>9767.73</v>
      </c>
      <c r="K1045" s="5">
        <f t="shared" si="11"/>
        <v>-9767.73</v>
      </c>
      <c r="L1045" s="15" t="s">
        <v>133</v>
      </c>
      <c r="M1045" s="44">
        <f>SUMIFS('Saldos Iniciales'!$D:$D,'Saldos Iniciales'!$A:$A,C1045,'Saldos Iniciales'!$B:$B,D1045)+SUMIFS($K$1:$K$1325,$C$1:$C$1325,C1045,$D$1:$D$1325,D1045,$B$1:$B$1325,"&lt;="&amp;B1045)</f>
        <v>15777.729999999996</v>
      </c>
      <c r="N1045" s="65" t="str">
        <f>IF(tblMovimientos[[#This Row],[Tipo de Movimiento]]="Ingreso",tblMovimientos[[#This Row],[Monto (S/)]],"0")</f>
        <v>0</v>
      </c>
      <c r="O1045" s="65">
        <f>IF(tblMovimientos[[#This Row],[Tipo de Movimiento]]="Egreso",tblMovimientos[[#This Row],[Monto (S/)]],"0")</f>
        <v>9767.73</v>
      </c>
      <c r="P1045" s="28">
        <f>IF(tblMovimientos[[#This Row],[Tipo de Movimiento]]="Ingreso",tblMovimientos[[#This Row],[Ingreso]],-tblMovimientos[[#This Row],[Egreso]])</f>
        <v>-9767.73</v>
      </c>
      <c r="Q1045" s="91" t="str">
        <f>IF(tblMovimientos[[#This Row],[Cuenta Bancaria]]="","",_xlfn.XLOOKUP(tblMovimientos[[#This Row],[Cuenta Bancaria]],Cuentas!$C:$C,Cuentas!$A:$A,"No encontrado"))</f>
        <v>Carmen Cross Irrevocable Trust</v>
      </c>
      <c r="R1045" s="91" t="str">
        <f>TRIM(_xlfn.XLOOKUP(tblMovimientos[[#This Row],[Cuenta Bancaria]],Cuentas!$C:$C,Cuentas!$B:$B,""))</f>
        <v/>
      </c>
    </row>
    <row r="1046" spans="2:18" x14ac:dyDescent="0.3">
      <c r="B1046" s="39">
        <v>46282</v>
      </c>
      <c r="C1046" s="46" t="str">
        <f>_xlfn.XLOOKUP(tblMovimientos[[#This Row],[Cuenta Bancaria]],Listas!$B:$B,Listas!$A:$A,"")</f>
        <v>Prendamas SRL</v>
      </c>
      <c r="D1046" s="41" t="s">
        <v>186</v>
      </c>
      <c r="E1046" s="80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38</v>
      </c>
      <c r="H1046" s="4" t="str">
        <f>IFERROR(_xlfn.XLOOKUP(G1046,Listas!E:E,Listas!F:F,""),"")</f>
        <v>Operativo</v>
      </c>
      <c r="I1046" s="46" t="str">
        <f>IFERROR(_xlfn.XLOOKUP(G1046,Listas!E:E,Listas!G:G,""),"")</f>
        <v>Externo</v>
      </c>
      <c r="J1046" s="43">
        <v>547.04</v>
      </c>
      <c r="K1046" s="5">
        <f t="shared" si="11"/>
        <v>-547.04</v>
      </c>
      <c r="L1046" s="15" t="s">
        <v>133</v>
      </c>
      <c r="M1046" s="44">
        <f>SUMIFS('Saldos Iniciales'!$D:$D,'Saldos Iniciales'!$A:$A,C1046,'Saldos Iniciales'!$B:$B,D1046)+SUMIFS($K$1:$K$1325,$C$1:$C$1325,C1046,$D$1:$D$1325,D1046,$B$1:$B$1325,"&lt;="&amp;B1046)</f>
        <v>26755.729999999981</v>
      </c>
      <c r="N1046" s="65" t="str">
        <f>IF(tblMovimientos[[#This Row],[Tipo de Movimiento]]="Ingreso",tblMovimientos[[#This Row],[Monto (S/)]],"0")</f>
        <v>0</v>
      </c>
      <c r="O1046" s="65">
        <f>IF(tblMovimientos[[#This Row],[Tipo de Movimiento]]="Egreso",tblMovimientos[[#This Row],[Monto (S/)]],"0")</f>
        <v>547.04</v>
      </c>
      <c r="P1046" s="28">
        <f>IF(tblMovimientos[[#This Row],[Tipo de Movimiento]]="Ingreso",tblMovimientos[[#This Row],[Ingreso]],-tblMovimientos[[#This Row],[Egreso]])</f>
        <v>-547.04</v>
      </c>
      <c r="Q1046" s="91" t="str">
        <f>IF(tblMovimientos[[#This Row],[Cuenta Bancaria]]="","",_xlfn.XLOOKUP(tblMovimientos[[#This Row],[Cuenta Bancaria]],Cuentas!$C:$C,Cuentas!$A:$A,"No encontrado"))</f>
        <v>Unidades de Negocio</v>
      </c>
      <c r="R1046" s="91" t="str">
        <f>TRIM(_xlfn.XLOOKUP(tblMovimientos[[#This Row],[Cuenta Bancaria]],Cuentas!$C:$C,Cuentas!$B:$B,""))</f>
        <v/>
      </c>
    </row>
    <row r="1047" spans="2:18" x14ac:dyDescent="0.3">
      <c r="B1047" s="39">
        <v>46282</v>
      </c>
      <c r="C1047" s="46" t="str">
        <f>_xlfn.XLOOKUP(tblMovimientos[[#This Row],[Cuenta Bancaria]],Listas!$B:$B,Listas!$A:$A,"")</f>
        <v>Prendamas SRL</v>
      </c>
      <c r="D1047" s="41" t="s">
        <v>186</v>
      </c>
      <c r="E1047" s="80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38</v>
      </c>
      <c r="H1047" s="4" t="str">
        <f>IFERROR(_xlfn.XLOOKUP(G1047,Listas!E:E,Listas!F:F,""),"")</f>
        <v>Operativo</v>
      </c>
      <c r="I1047" s="46" t="str">
        <f>IFERROR(_xlfn.XLOOKUP(G1047,Listas!E:E,Listas!G:G,""),"")</f>
        <v>Externo</v>
      </c>
      <c r="J1047" s="43">
        <v>2518.69</v>
      </c>
      <c r="K1047" s="5">
        <f t="shared" si="11"/>
        <v>-2518.69</v>
      </c>
      <c r="L1047" s="15" t="s">
        <v>133</v>
      </c>
      <c r="M1047" s="44">
        <f>SUMIFS('Saldos Iniciales'!$D:$D,'Saldos Iniciales'!$A:$A,C1047,'Saldos Iniciales'!$B:$B,D1047)+SUMIFS($K$1:$K$1325,$C$1:$C$1325,C1047,$D$1:$D$1325,D1047,$B$1:$B$1325,"&lt;="&amp;B1047)</f>
        <v>26755.729999999981</v>
      </c>
      <c r="N1047" s="65" t="str">
        <f>IF(tblMovimientos[[#This Row],[Tipo de Movimiento]]="Ingreso",tblMovimientos[[#This Row],[Monto (S/)]],"0")</f>
        <v>0</v>
      </c>
      <c r="O1047" s="65">
        <f>IF(tblMovimientos[[#This Row],[Tipo de Movimiento]]="Egreso",tblMovimientos[[#This Row],[Monto (S/)]],"0")</f>
        <v>2518.69</v>
      </c>
      <c r="P1047" s="28">
        <f>IF(tblMovimientos[[#This Row],[Tipo de Movimiento]]="Ingreso",tblMovimientos[[#This Row],[Ingreso]],-tblMovimientos[[#This Row],[Egreso]])</f>
        <v>-2518.69</v>
      </c>
      <c r="Q1047" s="91" t="str">
        <f>IF(tblMovimientos[[#This Row],[Cuenta Bancaria]]="","",_xlfn.XLOOKUP(tblMovimientos[[#This Row],[Cuenta Bancaria]],Cuentas!$C:$C,Cuentas!$A:$A,"No encontrado"))</f>
        <v>Unidades de Negocio</v>
      </c>
      <c r="R1047" s="91" t="str">
        <f>TRIM(_xlfn.XLOOKUP(tblMovimientos[[#This Row],[Cuenta Bancaria]],Cuentas!$C:$C,Cuentas!$B:$B,""))</f>
        <v/>
      </c>
    </row>
    <row r="1048" spans="2:18" x14ac:dyDescent="0.3">
      <c r="B1048" s="39">
        <v>46282</v>
      </c>
      <c r="C1048" s="46" t="str">
        <f>_xlfn.XLOOKUP(tblMovimientos[[#This Row],[Cuenta Bancaria]],Listas!$B:$B,Listas!$A:$A,"")</f>
        <v>Prendamas SRL</v>
      </c>
      <c r="D1048" s="41" t="s">
        <v>186</v>
      </c>
      <c r="E1048" s="80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44</v>
      </c>
      <c r="H1048" s="4" t="str">
        <f>IFERROR(_xlfn.XLOOKUP(G1048,Listas!E:E,Listas!F:F,""),"")</f>
        <v>Operativo</v>
      </c>
      <c r="I1048" s="46" t="str">
        <f>IFERROR(_xlfn.XLOOKUP(G1048,Listas!E:E,Listas!G:G,""),"")</f>
        <v>Externo</v>
      </c>
      <c r="J1048" s="43">
        <v>40</v>
      </c>
      <c r="K1048" s="5">
        <f t="shared" si="11"/>
        <v>-40</v>
      </c>
      <c r="L1048" s="15" t="s">
        <v>133</v>
      </c>
      <c r="M1048" s="44">
        <f>SUMIFS('Saldos Iniciales'!$D:$D,'Saldos Iniciales'!$A:$A,C1048,'Saldos Iniciales'!$B:$B,D1048)+SUMIFS($K$1:$K$1325,$C$1:$C$1325,C1048,$D$1:$D$1325,D1048,$B$1:$B$1325,"&lt;="&amp;B1048)</f>
        <v>26755.729999999981</v>
      </c>
      <c r="N1048" s="65" t="str">
        <f>IF(tblMovimientos[[#This Row],[Tipo de Movimiento]]="Ingreso",tblMovimientos[[#This Row],[Monto (S/)]],"0")</f>
        <v>0</v>
      </c>
      <c r="O1048" s="65">
        <f>IF(tblMovimientos[[#This Row],[Tipo de Movimiento]]="Egreso",tblMovimientos[[#This Row],[Monto (S/)]],"0")</f>
        <v>40</v>
      </c>
      <c r="P1048" s="28">
        <f>IF(tblMovimientos[[#This Row],[Tipo de Movimiento]]="Ingreso",tblMovimientos[[#This Row],[Ingreso]],-tblMovimientos[[#This Row],[Egreso]])</f>
        <v>-40</v>
      </c>
      <c r="Q1048" s="91" t="str">
        <f>IF(tblMovimientos[[#This Row],[Cuenta Bancaria]]="","",_xlfn.XLOOKUP(tblMovimientos[[#This Row],[Cuenta Bancaria]],Cuentas!$C:$C,Cuentas!$A:$A,"No encontrado"))</f>
        <v>Unidades de Negocio</v>
      </c>
      <c r="R1048" s="91" t="str">
        <f>TRIM(_xlfn.XLOOKUP(tblMovimientos[[#This Row],[Cuenta Bancaria]],Cuentas!$C:$C,Cuentas!$B:$B,""))</f>
        <v/>
      </c>
    </row>
    <row r="1049" spans="2:18" x14ac:dyDescent="0.3">
      <c r="B1049" s="39">
        <v>46282</v>
      </c>
      <c r="C1049" s="46" t="str">
        <f>_xlfn.XLOOKUP(tblMovimientos[[#This Row],[Cuenta Bancaria]],Listas!$B:$B,Listas!$A:$A,"")</f>
        <v>Prendamas SRL</v>
      </c>
      <c r="D1049" s="41" t="s">
        <v>186</v>
      </c>
      <c r="E1049" s="80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44</v>
      </c>
      <c r="H1049" s="4" t="str">
        <f>IFERROR(_xlfn.XLOOKUP(G1049,Listas!E:E,Listas!F:F,""),"")</f>
        <v>Operativo</v>
      </c>
      <c r="I1049" s="46" t="str">
        <f>IFERROR(_xlfn.XLOOKUP(G1049,Listas!E:E,Listas!G:G,""),"")</f>
        <v>Externo</v>
      </c>
      <c r="J1049" s="43">
        <v>16.41</v>
      </c>
      <c r="K1049" s="5">
        <f t="shared" si="11"/>
        <v>-16.41</v>
      </c>
      <c r="L1049" s="15" t="s">
        <v>133</v>
      </c>
      <c r="M1049" s="44">
        <f>SUMIFS('Saldos Iniciales'!$D:$D,'Saldos Iniciales'!$A:$A,C1049,'Saldos Iniciales'!$B:$B,D1049)+SUMIFS($K$1:$K$1325,$C$1:$C$1325,C1049,$D$1:$D$1325,D1049,$B$1:$B$1325,"&lt;="&amp;B1049)</f>
        <v>26755.729999999981</v>
      </c>
      <c r="N1049" s="65" t="str">
        <f>IF(tblMovimientos[[#This Row],[Tipo de Movimiento]]="Ingreso",tblMovimientos[[#This Row],[Monto (S/)]],"0")</f>
        <v>0</v>
      </c>
      <c r="O1049" s="65">
        <f>IF(tblMovimientos[[#This Row],[Tipo de Movimiento]]="Egreso",tblMovimientos[[#This Row],[Monto (S/)]],"0")</f>
        <v>16.41</v>
      </c>
      <c r="P1049" s="28">
        <f>IF(tblMovimientos[[#This Row],[Tipo de Movimiento]]="Ingreso",tblMovimientos[[#This Row],[Ingreso]],-tblMovimientos[[#This Row],[Egreso]])</f>
        <v>-16.41</v>
      </c>
      <c r="Q1049" s="91" t="str">
        <f>IF(tblMovimientos[[#This Row],[Cuenta Bancaria]]="","",_xlfn.XLOOKUP(tblMovimientos[[#This Row],[Cuenta Bancaria]],Cuentas!$C:$C,Cuentas!$A:$A,"No encontrado"))</f>
        <v>Unidades de Negocio</v>
      </c>
      <c r="R1049" s="91" t="str">
        <f>TRIM(_xlfn.XLOOKUP(tblMovimientos[[#This Row],[Cuenta Bancaria]],Cuentas!$C:$C,Cuentas!$B:$B,""))</f>
        <v/>
      </c>
    </row>
    <row r="1050" spans="2:18" x14ac:dyDescent="0.3">
      <c r="B1050" s="39">
        <v>46283</v>
      </c>
      <c r="C1050" s="46" t="str">
        <f>_xlfn.XLOOKUP(tblMovimientos[[#This Row],[Cuenta Bancaria]],Listas!$B:$B,Listas!$A:$A,"")</f>
        <v>SSP Capital</v>
      </c>
      <c r="D1050" s="41" t="s">
        <v>102</v>
      </c>
      <c r="E1050" s="4" t="str">
        <f>_xlfn.XLOOKUP(tblMovimientos[[#This Row],[Cuenta Bancaria]],Listas!$B:$B,Listas!$C:$C,"")</f>
        <v>Bank of America</v>
      </c>
      <c r="F1050" s="41" t="s">
        <v>10</v>
      </c>
      <c r="G1050" s="41" t="s">
        <v>38</v>
      </c>
      <c r="H1050" s="4" t="str">
        <f>IFERROR(_xlfn.XLOOKUP(G1050,Listas!E:E,Listas!F:F,""),"")</f>
        <v>Operativo</v>
      </c>
      <c r="I1050" s="46" t="str">
        <f>IFERROR(_xlfn.XLOOKUP(G1050,Listas!E:E,Listas!G:G,""),"")</f>
        <v>Externo</v>
      </c>
      <c r="J1050" s="43">
        <v>166.66</v>
      </c>
      <c r="K1050" s="5">
        <f t="shared" si="11"/>
        <v>-166.66</v>
      </c>
      <c r="L1050" s="15" t="s">
        <v>133</v>
      </c>
      <c r="M1050" s="44">
        <f>SUMIFS('Saldos Iniciales'!$D:$D,'Saldos Iniciales'!$A:$A,C1050,'Saldos Iniciales'!$B:$B,D1050)+SUMIFS($K$1:$K$1325,$C$1:$C$1325,C1050,$D$1:$D$1325,D1050,$B$1:$B$1325,"&lt;="&amp;B1050)</f>
        <v>778.34</v>
      </c>
      <c r="N1050" s="65" t="str">
        <f>IF(tblMovimientos[[#This Row],[Tipo de Movimiento]]="Ingreso",tblMovimientos[[#This Row],[Monto (S/)]],"0")</f>
        <v>0</v>
      </c>
      <c r="O1050" s="65">
        <f>IF(tblMovimientos[[#This Row],[Tipo de Movimiento]]="Egreso",tblMovimientos[[#This Row],[Monto (S/)]],"0")</f>
        <v>166.66</v>
      </c>
      <c r="P1050" s="28">
        <f>IF(tblMovimientos[[#This Row],[Tipo de Movimiento]]="Ingreso",tblMovimientos[[#This Row],[Ingreso]],-tblMovimientos[[#This Row],[Egreso]])</f>
        <v>-166.66</v>
      </c>
      <c r="Q1050" s="91" t="str">
        <f>IF(tblMovimientos[[#This Row],[Cuenta Bancaria]]="","",_xlfn.XLOOKUP(tblMovimientos[[#This Row],[Cuenta Bancaria]],Cuentas!$C:$C,Cuentas!$A:$A,"No encontrado"))</f>
        <v>SSP Group</v>
      </c>
      <c r="R1050" s="91" t="str">
        <f>TRIM(_xlfn.XLOOKUP(tblMovimientos[[#This Row],[Cuenta Bancaria]],Cuentas!$C:$C,Cuentas!$B:$B,""))</f>
        <v/>
      </c>
    </row>
    <row r="1051" spans="2:18" x14ac:dyDescent="0.3">
      <c r="B1051" s="39">
        <v>46283</v>
      </c>
      <c r="C1051" s="46" t="str">
        <f>_xlfn.XLOOKUP(tblMovimientos[[#This Row],[Cuenta Bancaria]],Listas!$B:$B,Listas!$A:$A,"")</f>
        <v>A&amp;M Imports</v>
      </c>
      <c r="D1051" s="41" t="s">
        <v>100</v>
      </c>
      <c r="E1051" s="4" t="str">
        <f>_xlfn.XLOOKUP(tblMovimientos[[#This Row],[Cuenta Bancaria]],Listas!$B:$B,Listas!$C:$C,"")</f>
        <v>Bank of America</v>
      </c>
      <c r="F1051" s="41" t="s">
        <v>9</v>
      </c>
      <c r="G1051" s="41" t="s">
        <v>80</v>
      </c>
      <c r="H1051" s="4" t="str">
        <f>IFERROR(_xlfn.XLOOKUP(G1051,Listas!E:E,Listas!F:F,""),"")</f>
        <v>Operativo</v>
      </c>
      <c r="I1051" s="46" t="str">
        <f>IFERROR(_xlfn.XLOOKUP(G1051,Listas!E:E,Listas!G:G,""),"")</f>
        <v>Externo</v>
      </c>
      <c r="J1051" s="43">
        <v>450000</v>
      </c>
      <c r="K1051" s="5">
        <f t="shared" si="11"/>
        <v>450000</v>
      </c>
      <c r="L1051" s="15" t="s">
        <v>133</v>
      </c>
      <c r="M1051" s="44">
        <f>SUMIFS('Saldos Iniciales'!$D:$D,'Saldos Iniciales'!$A:$A,C1051,'Saldos Iniciales'!$B:$B,D1051)+SUMIFS($K$1:$K$1325,$C$1:$C$1325,C1051,$D$1:$D$1325,D1051,$B$1:$B$1325,"&lt;="&amp;B1051)</f>
        <v>1425534.64</v>
      </c>
      <c r="N1051" s="65">
        <f>IF(tblMovimientos[[#This Row],[Tipo de Movimiento]]="Ingreso",tblMovimientos[[#This Row],[Monto (S/)]],"0")</f>
        <v>450000</v>
      </c>
      <c r="O1051" s="65" t="str">
        <f>IF(tblMovimientos[[#This Row],[Tipo de Movimiento]]="Egreso",tblMovimientos[[#This Row],[Monto (S/)]],"0")</f>
        <v>0</v>
      </c>
      <c r="P1051" s="28">
        <f>IF(tblMovimientos[[#This Row],[Tipo de Movimiento]]="Ingreso",tblMovimientos[[#This Row],[Ingreso]],-tblMovimientos[[#This Row],[Egreso]])</f>
        <v>450000</v>
      </c>
      <c r="Q1051" s="91" t="str">
        <f>IF(tblMovimientos[[#This Row],[Cuenta Bancaria]]="","",_xlfn.XLOOKUP(tblMovimientos[[#This Row],[Cuenta Bancaria]],Cuentas!$C:$C,Cuentas!$A:$A,"No encontrado"))</f>
        <v>SSP Group</v>
      </c>
      <c r="R1051" s="91" t="str">
        <f>TRIM(_xlfn.XLOOKUP(tblMovimientos[[#This Row],[Cuenta Bancaria]],Cuentas!$C:$C,Cuentas!$B:$B,""))</f>
        <v>Cross Security Trust</v>
      </c>
    </row>
    <row r="1052" spans="2:18" x14ac:dyDescent="0.3">
      <c r="B1052" s="39">
        <v>46283</v>
      </c>
      <c r="C1052" s="46" t="str">
        <f>_xlfn.XLOOKUP(tblMovimientos[[#This Row],[Cuenta Bancaria]],Listas!$B:$B,Listas!$A:$A,"")</f>
        <v>2515 Overbrook</v>
      </c>
      <c r="D1052" s="41" t="s">
        <v>121</v>
      </c>
      <c r="E1052" s="4" t="str">
        <f>_xlfn.XLOOKUP(tblMovimientos[[#This Row],[Cuenta Bancaria]],Listas!$B:$B,Listas!$C:$C,"")</f>
        <v>Bank of America</v>
      </c>
      <c r="F1052" s="41" t="s">
        <v>9</v>
      </c>
      <c r="G1052" s="41" t="s">
        <v>87</v>
      </c>
      <c r="H1052" s="4" t="str">
        <f>IFERROR(_xlfn.XLOOKUP(G1052,Listas!E:E,Listas!F:F,""),"")</f>
        <v>Operativo</v>
      </c>
      <c r="I1052" s="46" t="str">
        <f>IFERROR(_xlfn.XLOOKUP(G1052,Listas!E:E,Listas!G:G,""),"")</f>
        <v>Externo</v>
      </c>
      <c r="J1052" s="43">
        <v>5250</v>
      </c>
      <c r="K1052" s="5">
        <f t="shared" si="11"/>
        <v>5250</v>
      </c>
      <c r="L1052" s="15" t="s">
        <v>133</v>
      </c>
      <c r="M1052" s="44">
        <f>SUMIFS('Saldos Iniciales'!$D:$D,'Saldos Iniciales'!$A:$A,C1052,'Saldos Iniciales'!$B:$B,D1052)+SUMIFS($K$1:$K$1325,$C$1:$C$1325,C1052,$D$1:$D$1325,D1052,$B$1:$B$1325,"&lt;="&amp;B1052)</f>
        <v>29976.959999999963</v>
      </c>
      <c r="N1052" s="65">
        <f>IF(tblMovimientos[[#This Row],[Tipo de Movimiento]]="Ingreso",tblMovimientos[[#This Row],[Monto (S/)]],"0")</f>
        <v>5250</v>
      </c>
      <c r="O1052" s="65" t="str">
        <f>IF(tblMovimientos[[#This Row],[Tipo de Movimiento]]="Egreso",tblMovimientos[[#This Row],[Monto (S/)]],"0")</f>
        <v>0</v>
      </c>
      <c r="P1052" s="28">
        <f>IF(tblMovimientos[[#This Row],[Tipo de Movimiento]]="Ingreso",tblMovimientos[[#This Row],[Ingreso]],-tblMovimientos[[#This Row],[Egreso]])</f>
        <v>5250</v>
      </c>
      <c r="Q1052" s="91" t="str">
        <f>IF(tblMovimientos[[#This Row],[Cuenta Bancaria]]="","",_xlfn.XLOOKUP(tblMovimientos[[#This Row],[Cuenta Bancaria]],Cuentas!$C:$C,Cuentas!$A:$A,"No encontrado"))</f>
        <v>SSP Group</v>
      </c>
      <c r="R1052" s="91" t="str">
        <f>TRIM(_xlfn.XLOOKUP(tblMovimientos[[#This Row],[Cuenta Bancaria]],Cuentas!$C:$C,Cuentas!$B:$B,""))</f>
        <v/>
      </c>
    </row>
    <row r="1053" spans="2:18" x14ac:dyDescent="0.3">
      <c r="B1053" s="39">
        <v>46283</v>
      </c>
      <c r="C1053" s="46" t="str">
        <f>_xlfn.XLOOKUP(tblMovimientos[[#This Row],[Cuenta Bancaria]],Listas!$B:$B,Listas!$A:$A,"")</f>
        <v>CFT Group</v>
      </c>
      <c r="D1053" s="41" t="s">
        <v>95</v>
      </c>
      <c r="E1053" s="4" t="str">
        <f>_xlfn.XLOOKUP(tblMovimientos[[#This Row],[Cuenta Bancaria]],Listas!$B:$B,Listas!$C:$C,"")</f>
        <v xml:space="preserve">Amerant Bank </v>
      </c>
      <c r="F1053" s="41" t="s">
        <v>9</v>
      </c>
      <c r="G1053" s="41" t="s">
        <v>70</v>
      </c>
      <c r="H1053" s="4" t="str">
        <f>IFERROR(_xlfn.XLOOKUP(G1053,Listas!E:E,Listas!F:F,""),"")</f>
        <v>Operativo</v>
      </c>
      <c r="I1053" s="46" t="str">
        <f>IFERROR(_xlfn.XLOOKUP(G1053,Listas!E:E,Listas!G:G,""),"")</f>
        <v>Externo</v>
      </c>
      <c r="J1053" s="43">
        <v>410000</v>
      </c>
      <c r="K1053" s="5">
        <f t="shared" si="11"/>
        <v>410000</v>
      </c>
      <c r="L1053" s="15" t="s">
        <v>133</v>
      </c>
      <c r="M1053" s="44">
        <f>SUMIFS('Saldos Iniciales'!$D:$D,'Saldos Iniciales'!$A:$A,C1053,'Saldos Iniciales'!$B:$B,D1053)+SUMIFS($K$1:$K$1325,$C$1:$C$1325,C1053,$D$1:$D$1325,D1053,$B$1:$B$1325,"&lt;="&amp;B1053)</f>
        <v>1944879.790000001</v>
      </c>
      <c r="N1053" s="65">
        <f>IF(tblMovimientos[[#This Row],[Tipo de Movimiento]]="Ingreso",tblMovimientos[[#This Row],[Monto (S/)]],"0")</f>
        <v>410000</v>
      </c>
      <c r="O1053" s="65" t="str">
        <f>IF(tblMovimientos[[#This Row],[Tipo de Movimiento]]="Egreso",tblMovimientos[[#This Row],[Monto (S/)]],"0")</f>
        <v>0</v>
      </c>
      <c r="P1053" s="28">
        <f>IF(tblMovimientos[[#This Row],[Tipo de Movimiento]]="Ingreso",tblMovimientos[[#This Row],[Ingreso]],-tblMovimientos[[#This Row],[Egreso]])</f>
        <v>410000</v>
      </c>
      <c r="Q1053" s="91" t="str">
        <f>IF(tblMovimientos[[#This Row],[Cuenta Bancaria]]="","",_xlfn.XLOOKUP(tblMovimientos[[#This Row],[Cuenta Bancaria]],Cuentas!$C:$C,Cuentas!$A:$A,"No encontrado"))</f>
        <v>SSP Group</v>
      </c>
      <c r="R1053" s="91" t="str">
        <f>TRIM(_xlfn.XLOOKUP(tblMovimientos[[#This Row],[Cuenta Bancaria]],Cuentas!$C:$C,Cuentas!$B:$B,""))</f>
        <v/>
      </c>
    </row>
    <row r="1054" spans="2:18" x14ac:dyDescent="0.3">
      <c r="B1054" s="39">
        <v>46283</v>
      </c>
      <c r="C1054" s="46" t="str">
        <f>_xlfn.XLOOKUP(tblMovimientos[[#This Row],[Cuenta Bancaria]],Listas!$B:$B,Listas!$A:$A,"")</f>
        <v>CFT 1 residence LLC</v>
      </c>
      <c r="D1054" s="41" t="s">
        <v>184</v>
      </c>
      <c r="E1054" s="80" t="str">
        <f>_xlfn.XLOOKUP(tblMovimientos[[#This Row],[Cuenta Bancaria]],Listas!$B:$B,Listas!$C:$C,"")</f>
        <v xml:space="preserve">Amerant Bank </v>
      </c>
      <c r="F1054" s="41" t="s">
        <v>9</v>
      </c>
      <c r="G1054" s="41" t="s">
        <v>87</v>
      </c>
      <c r="H1054" s="4" t="str">
        <f>IFERROR(_xlfn.XLOOKUP(G1054,Listas!E:E,Listas!F:F,""),"")</f>
        <v>Operativo</v>
      </c>
      <c r="I1054" s="46" t="str">
        <f>IFERROR(_xlfn.XLOOKUP(G1054,Listas!E:E,Listas!G:G,""),"")</f>
        <v>Externo</v>
      </c>
      <c r="J1054" s="43">
        <v>87518.74</v>
      </c>
      <c r="K1054" s="5">
        <f t="shared" si="11"/>
        <v>87518.74</v>
      </c>
      <c r="L1054" s="15" t="s">
        <v>133</v>
      </c>
      <c r="M1054" s="44">
        <f>SUMIFS('Saldos Iniciales'!$D:$D,'Saldos Iniciales'!$A:$A,C1054,'Saldos Iniciales'!$B:$B,D1054)+SUMIFS($K$1:$K$1325,$C$1:$C$1325,C1054,$D$1:$D$1325,D1054,$B$1:$B$1325,"&lt;="&amp;B1054)</f>
        <v>102213.31</v>
      </c>
      <c r="N1054" s="65">
        <f>IF(tblMovimientos[[#This Row],[Tipo de Movimiento]]="Ingreso",tblMovimientos[[#This Row],[Monto (S/)]],"0")</f>
        <v>87518.74</v>
      </c>
      <c r="O1054" s="65" t="str">
        <f>IF(tblMovimientos[[#This Row],[Tipo de Movimiento]]="Egreso",tblMovimientos[[#This Row],[Monto (S/)]],"0")</f>
        <v>0</v>
      </c>
      <c r="P1054" s="28">
        <f>IF(tblMovimientos[[#This Row],[Tipo de Movimiento]]="Ingreso",tblMovimientos[[#This Row],[Ingreso]],-tblMovimientos[[#This Row],[Egreso]])</f>
        <v>87518.74</v>
      </c>
      <c r="Q1054" s="91" t="str">
        <f>IF(tblMovimientos[[#This Row],[Cuenta Bancaria]]="","",_xlfn.XLOOKUP(tblMovimientos[[#This Row],[Cuenta Bancaria]],Cuentas!$C:$C,Cuentas!$A:$A,"No encontrado"))</f>
        <v>Carmen Cross Irrevocable Trust</v>
      </c>
      <c r="R1054" s="91" t="str">
        <f>TRIM(_xlfn.XLOOKUP(tblMovimientos[[#This Row],[Cuenta Bancaria]],Cuentas!$C:$C,Cuentas!$B:$B,""))</f>
        <v/>
      </c>
    </row>
    <row r="1055" spans="2:18" x14ac:dyDescent="0.3">
      <c r="B1055" s="39">
        <v>46283</v>
      </c>
      <c r="C1055" s="46" t="str">
        <f>_xlfn.XLOOKUP(tblMovimientos[[#This Row],[Cuenta Bancaria]],Listas!$B:$B,Listas!$A:$A,"")</f>
        <v>CFT 1 residence LLC</v>
      </c>
      <c r="D1055" s="41" t="s">
        <v>184</v>
      </c>
      <c r="E1055" s="80" t="str">
        <f>_xlfn.XLOOKUP(tblMovimientos[[#This Row],[Cuenta Bancaria]],Listas!$B:$B,Listas!$C:$C,"")</f>
        <v xml:space="preserve">Amerant Bank </v>
      </c>
      <c r="F1055" s="41" t="s">
        <v>10</v>
      </c>
      <c r="G1055" s="41" t="s">
        <v>38</v>
      </c>
      <c r="H1055" s="4" t="str">
        <f>IFERROR(_xlfn.XLOOKUP(G1055,Listas!E:E,Listas!F:F,""),"")</f>
        <v>Operativo</v>
      </c>
      <c r="I1055" s="46" t="str">
        <f>IFERROR(_xlfn.XLOOKUP(G1055,Listas!E:E,Listas!G:G,""),"")</f>
        <v>Externo</v>
      </c>
      <c r="J1055" s="43">
        <v>1083.1600000000001</v>
      </c>
      <c r="K1055" s="5">
        <f t="shared" si="11"/>
        <v>-1083.1600000000001</v>
      </c>
      <c r="L1055" s="15" t="s">
        <v>133</v>
      </c>
      <c r="M1055" s="44">
        <f>SUMIFS('Saldos Iniciales'!$D:$D,'Saldos Iniciales'!$A:$A,C1055,'Saldos Iniciales'!$B:$B,D1055)+SUMIFS($K$1:$K$1325,$C$1:$C$1325,C1055,$D$1:$D$1325,D1055,$B$1:$B$1325,"&lt;="&amp;B1055)</f>
        <v>102213.31</v>
      </c>
      <c r="N1055" s="65" t="str">
        <f>IF(tblMovimientos[[#This Row],[Tipo de Movimiento]]="Ingreso",tblMovimientos[[#This Row],[Monto (S/)]],"0")</f>
        <v>0</v>
      </c>
      <c r="O1055" s="65">
        <f>IF(tblMovimientos[[#This Row],[Tipo de Movimiento]]="Egreso",tblMovimientos[[#This Row],[Monto (S/)]],"0")</f>
        <v>1083.1600000000001</v>
      </c>
      <c r="P1055" s="28">
        <f>IF(tblMovimientos[[#This Row],[Tipo de Movimiento]]="Ingreso",tblMovimientos[[#This Row],[Ingreso]],-tblMovimientos[[#This Row],[Egreso]])</f>
        <v>-1083.1600000000001</v>
      </c>
      <c r="Q1055" s="91" t="str">
        <f>IF(tblMovimientos[[#This Row],[Cuenta Bancaria]]="","",_xlfn.XLOOKUP(tblMovimientos[[#This Row],[Cuenta Bancaria]],Cuentas!$C:$C,Cuentas!$A:$A,"No encontrado"))</f>
        <v>Carmen Cross Irrevocable Trust</v>
      </c>
      <c r="R1055" s="91" t="str">
        <f>TRIM(_xlfn.XLOOKUP(tblMovimientos[[#This Row],[Cuenta Bancaria]],Cuentas!$C:$C,Cuentas!$B:$B,""))</f>
        <v/>
      </c>
    </row>
    <row r="1056" spans="2:18" x14ac:dyDescent="0.3">
      <c r="B1056" s="39">
        <v>46286</v>
      </c>
      <c r="C1056" s="46" t="str">
        <f>_xlfn.XLOOKUP(tblMovimientos[[#This Row],[Cuenta Bancaria]],Listas!$B:$B,Listas!$A:$A,"")</f>
        <v>Go Blue</v>
      </c>
      <c r="D1056" s="41" t="s">
        <v>165</v>
      </c>
      <c r="E1056" s="4" t="str">
        <f>_xlfn.XLOOKUP(tblMovimientos[[#This Row],[Cuenta Bancaria]],Listas!$B:$B,Listas!$C:$C,"")</f>
        <v xml:space="preserve">Amerant Bank </v>
      </c>
      <c r="F1056" s="41" t="s">
        <v>10</v>
      </c>
      <c r="G1056" s="41" t="s">
        <v>38</v>
      </c>
      <c r="H1056" s="4" t="str">
        <f>IFERROR(_xlfn.XLOOKUP(G1056,Listas!E:E,Listas!F:F,""),"")</f>
        <v>Operativo</v>
      </c>
      <c r="I1056" s="46" t="str">
        <f>IFERROR(_xlfn.XLOOKUP(G1056,Listas!E:E,Listas!G:G,""),"")</f>
        <v>Externo</v>
      </c>
      <c r="J1056" s="43">
        <v>749</v>
      </c>
      <c r="K1056" s="5">
        <f t="shared" si="11"/>
        <v>-749</v>
      </c>
      <c r="L1056" s="15" t="s">
        <v>133</v>
      </c>
      <c r="M1056" s="44">
        <f>SUMIFS('Saldos Iniciales'!$D:$D,'Saldos Iniciales'!$A:$A,C1056,'Saldos Iniciales'!$B:$B,D1056)+SUMIFS($K$1:$K$1325,$C$1:$C$1325,C1056,$D$1:$D$1325,D1056,$B$1:$B$1325,"&lt;="&amp;B1056)</f>
        <v>903.28000000000156</v>
      </c>
      <c r="N1056" s="65" t="str">
        <f>IF(tblMovimientos[[#This Row],[Tipo de Movimiento]]="Ingreso",tblMovimientos[[#This Row],[Monto (S/)]],"0")</f>
        <v>0</v>
      </c>
      <c r="O1056" s="65">
        <f>IF(tblMovimientos[[#This Row],[Tipo de Movimiento]]="Egreso",tblMovimientos[[#This Row],[Monto (S/)]],"0")</f>
        <v>749</v>
      </c>
      <c r="P1056" s="28">
        <f>IF(tblMovimientos[[#This Row],[Tipo de Movimiento]]="Ingreso",tblMovimientos[[#This Row],[Ingreso]],-tblMovimientos[[#This Row],[Egreso]])</f>
        <v>-749</v>
      </c>
      <c r="Q1056" s="91" t="str">
        <f>IF(tblMovimientos[[#This Row],[Cuenta Bancaria]]="","",_xlfn.XLOOKUP(tblMovimientos[[#This Row],[Cuenta Bancaria]],Cuentas!$C:$C,Cuentas!$A:$A,"No encontrado"))</f>
        <v>SSP Group</v>
      </c>
      <c r="R1056" s="91" t="str">
        <f>TRIM(_xlfn.XLOOKUP(tblMovimientos[[#This Row],[Cuenta Bancaria]],Cuentas!$C:$C,Cuentas!$B:$B,""))</f>
        <v/>
      </c>
    </row>
    <row r="1057" spans="2:18" x14ac:dyDescent="0.3">
      <c r="B1057" s="39">
        <v>46286</v>
      </c>
      <c r="C1057" s="46" t="str">
        <f>_xlfn.XLOOKUP(tblMovimientos[[#This Row],[Cuenta Bancaria]],Listas!$B:$B,Listas!$A:$A,"")</f>
        <v>Go Blue</v>
      </c>
      <c r="D1057" s="41" t="s">
        <v>165</v>
      </c>
      <c r="E1057" s="4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44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22.47</v>
      </c>
      <c r="K1057" s="5">
        <f t="shared" si="11"/>
        <v>-22.47</v>
      </c>
      <c r="L1057" s="15" t="s">
        <v>133</v>
      </c>
      <c r="M1057" s="44">
        <f>SUMIFS('Saldos Iniciales'!$D:$D,'Saldos Iniciales'!$A:$A,C1057,'Saldos Iniciales'!$B:$B,D1057)+SUMIFS($K$1:$K$1325,$C$1:$C$1325,C1057,$D$1:$D$1325,D1057,$B$1:$B$1325,"&lt;="&amp;B1057)</f>
        <v>903.28000000000156</v>
      </c>
      <c r="N1057" s="65" t="str">
        <f>IF(tblMovimientos[[#This Row],[Tipo de Movimiento]]="Ingreso",tblMovimientos[[#This Row],[Monto (S/)]],"0")</f>
        <v>0</v>
      </c>
      <c r="O1057" s="65">
        <f>IF(tblMovimientos[[#This Row],[Tipo de Movimiento]]="Egreso",tblMovimientos[[#This Row],[Monto (S/)]],"0")</f>
        <v>22.47</v>
      </c>
      <c r="P1057" s="28">
        <f>IF(tblMovimientos[[#This Row],[Tipo de Movimiento]]="Ingreso",tblMovimientos[[#This Row],[Ingreso]],-tblMovimientos[[#This Row],[Egreso]])</f>
        <v>-22.47</v>
      </c>
      <c r="Q1057" s="91" t="str">
        <f>IF(tblMovimientos[[#This Row],[Cuenta Bancaria]]="","",_xlfn.XLOOKUP(tblMovimientos[[#This Row],[Cuenta Bancaria]],Cuentas!$C:$C,Cuentas!$A:$A,"No encontrado"))</f>
        <v>SSP Group</v>
      </c>
      <c r="R1057" s="91" t="str">
        <f>TRIM(_xlfn.XLOOKUP(tblMovimientos[[#This Row],[Cuenta Bancaria]],Cuentas!$C:$C,Cuentas!$B:$B,""))</f>
        <v/>
      </c>
    </row>
    <row r="1058" spans="2:18" x14ac:dyDescent="0.3">
      <c r="B1058" s="39">
        <v>46286</v>
      </c>
      <c r="C1058" s="46" t="str">
        <f>_xlfn.XLOOKUP(tblMovimientos[[#This Row],[Cuenta Bancaria]],Listas!$B:$B,Listas!$A:$A,"")</f>
        <v>SSP Capital</v>
      </c>
      <c r="D1058" s="41" t="s">
        <v>101</v>
      </c>
      <c r="E1058" s="4" t="str">
        <f>_xlfn.XLOOKUP(tblMovimientos[[#This Row],[Cuenta Bancaria]],Listas!$B:$B,Listas!$C:$C,"")</f>
        <v>Bank of America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2463.8000000000002</v>
      </c>
      <c r="K1058" s="5">
        <f t="shared" si="11"/>
        <v>-2463.8000000000002</v>
      </c>
      <c r="L1058" s="15" t="s">
        <v>133</v>
      </c>
      <c r="M1058" s="44">
        <f>SUMIFS('Saldos Iniciales'!$D:$D,'Saldos Iniciales'!$A:$A,C1058,'Saldos Iniciales'!$B:$B,D1058)+SUMIFS($K$1:$K$1325,$C$1:$C$1325,C1058,$D$1:$D$1325,D1058,$B$1:$B$1325,"&lt;="&amp;B1058)</f>
        <v>22599.980000000003</v>
      </c>
      <c r="N1058" s="65" t="str">
        <f>IF(tblMovimientos[[#This Row],[Tipo de Movimiento]]="Ingreso",tblMovimientos[[#This Row],[Monto (S/)]],"0")</f>
        <v>0</v>
      </c>
      <c r="O1058" s="65">
        <f>IF(tblMovimientos[[#This Row],[Tipo de Movimiento]]="Egreso",tblMovimientos[[#This Row],[Monto (S/)]],"0")</f>
        <v>2463.8000000000002</v>
      </c>
      <c r="P1058" s="28">
        <f>IF(tblMovimientos[[#This Row],[Tipo de Movimiento]]="Ingreso",tblMovimientos[[#This Row],[Ingreso]],-tblMovimientos[[#This Row],[Egreso]])</f>
        <v>-2463.8000000000002</v>
      </c>
      <c r="Q1058" s="91" t="str">
        <f>IF(tblMovimientos[[#This Row],[Cuenta Bancaria]]="","",_xlfn.XLOOKUP(tblMovimientos[[#This Row],[Cuenta Bancaria]],Cuentas!$C:$C,Cuentas!$A:$A,"No encontrado"))</f>
        <v>SSP Group</v>
      </c>
      <c r="R1058" s="91" t="str">
        <f>TRIM(_xlfn.XLOOKUP(tblMovimientos[[#This Row],[Cuenta Bancaria]],Cuentas!$C:$C,Cuentas!$B:$B,""))</f>
        <v/>
      </c>
    </row>
    <row r="1059" spans="2:18" x14ac:dyDescent="0.3">
      <c r="B1059" s="39">
        <v>46286</v>
      </c>
      <c r="C1059" s="46" t="str">
        <f>_xlfn.XLOOKUP(tblMovimientos[[#This Row],[Cuenta Bancaria]],Listas!$B:$B,Listas!$A:$A,"")</f>
        <v>SSP Capital</v>
      </c>
      <c r="D1059" s="41" t="s">
        <v>101</v>
      </c>
      <c r="E1059" s="4" t="str">
        <f>_xlfn.XLOOKUP(tblMovimientos[[#This Row],[Cuenta Bancaria]],Listas!$B:$B,Listas!$C:$C,"")</f>
        <v>Bank of America</v>
      </c>
      <c r="F1059" s="41" t="s">
        <v>10</v>
      </c>
      <c r="G1059" s="41" t="s">
        <v>41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780.9</v>
      </c>
      <c r="K1059" s="5">
        <f t="shared" si="11"/>
        <v>-780.9</v>
      </c>
      <c r="L1059" s="15" t="s">
        <v>133</v>
      </c>
      <c r="M1059" s="44">
        <f>SUMIFS('Saldos Iniciales'!$D:$D,'Saldos Iniciales'!$A:$A,C1059,'Saldos Iniciales'!$B:$B,D1059)+SUMIFS($K$1:$K$1325,$C$1:$C$1325,C1059,$D$1:$D$1325,D1059,$B$1:$B$1325,"&lt;="&amp;B1059)</f>
        <v>22599.980000000003</v>
      </c>
      <c r="N1059" s="65" t="str">
        <f>IF(tblMovimientos[[#This Row],[Tipo de Movimiento]]="Ingreso",tblMovimientos[[#This Row],[Monto (S/)]],"0")</f>
        <v>0</v>
      </c>
      <c r="O1059" s="65">
        <f>IF(tblMovimientos[[#This Row],[Tipo de Movimiento]]="Egreso",tblMovimientos[[#This Row],[Monto (S/)]],"0")</f>
        <v>780.9</v>
      </c>
      <c r="P1059" s="28">
        <f>IF(tblMovimientos[[#This Row],[Tipo de Movimiento]]="Ingreso",tblMovimientos[[#This Row],[Ingreso]],-tblMovimientos[[#This Row],[Egreso]])</f>
        <v>-780.9</v>
      </c>
      <c r="Q1059" s="91" t="str">
        <f>IF(tblMovimientos[[#This Row],[Cuenta Bancaria]]="","",_xlfn.XLOOKUP(tblMovimientos[[#This Row],[Cuenta Bancaria]],Cuentas!$C:$C,Cuentas!$A:$A,"No encontrado"))</f>
        <v>SSP Group</v>
      </c>
      <c r="R1059" s="91" t="str">
        <f>TRIM(_xlfn.XLOOKUP(tblMovimientos[[#This Row],[Cuenta Bancaria]],Cuentas!$C:$C,Cuentas!$B:$B,""))</f>
        <v/>
      </c>
    </row>
    <row r="1060" spans="2:18" x14ac:dyDescent="0.3">
      <c r="B1060" s="39">
        <v>46286</v>
      </c>
      <c r="C1060" s="46" t="str">
        <f>_xlfn.XLOOKUP(tblMovimientos[[#This Row],[Cuenta Bancaria]],Listas!$B:$B,Listas!$A:$A,"")</f>
        <v>SSP Capital</v>
      </c>
      <c r="D1060" s="41" t="s">
        <v>101</v>
      </c>
      <c r="E1060" s="4" t="str">
        <f>_xlfn.XLOOKUP(tblMovimientos[[#This Row],[Cuenta Bancaria]],Listas!$B:$B,Listas!$C:$C,"")</f>
        <v>Bank of America</v>
      </c>
      <c r="F1060" s="41" t="s">
        <v>10</v>
      </c>
      <c r="G1060" s="41" t="s">
        <v>38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737.04</v>
      </c>
      <c r="K1060" s="5">
        <f t="shared" si="11"/>
        <v>-737.04</v>
      </c>
      <c r="L1060" s="15" t="s">
        <v>133</v>
      </c>
      <c r="M1060" s="44">
        <f>SUMIFS('Saldos Iniciales'!$D:$D,'Saldos Iniciales'!$A:$A,C1060,'Saldos Iniciales'!$B:$B,D1060)+SUMIFS($K$1:$K$1325,$C$1:$C$1325,C1060,$D$1:$D$1325,D1060,$B$1:$B$1325,"&lt;="&amp;B1060)</f>
        <v>22599.980000000003</v>
      </c>
      <c r="N1060" s="65" t="str">
        <f>IF(tblMovimientos[[#This Row],[Tipo de Movimiento]]="Ingreso",tblMovimientos[[#This Row],[Monto (S/)]],"0")</f>
        <v>0</v>
      </c>
      <c r="O1060" s="65">
        <f>IF(tblMovimientos[[#This Row],[Tipo de Movimiento]]="Egreso",tblMovimientos[[#This Row],[Monto (S/)]],"0")</f>
        <v>737.04</v>
      </c>
      <c r="P1060" s="28">
        <f>IF(tblMovimientos[[#This Row],[Tipo de Movimiento]]="Ingreso",tblMovimientos[[#This Row],[Ingreso]],-tblMovimientos[[#This Row],[Egreso]])</f>
        <v>-737.04</v>
      </c>
      <c r="Q1060" s="91" t="str">
        <f>IF(tblMovimientos[[#This Row],[Cuenta Bancaria]]="","",_xlfn.XLOOKUP(tblMovimientos[[#This Row],[Cuenta Bancaria]],Cuentas!$C:$C,Cuentas!$A:$A,"No encontrado"))</f>
        <v>SSP Group</v>
      </c>
      <c r="R1060" s="91" t="str">
        <f>TRIM(_xlfn.XLOOKUP(tblMovimientos[[#This Row],[Cuenta Bancaria]],Cuentas!$C:$C,Cuentas!$B:$B,""))</f>
        <v/>
      </c>
    </row>
    <row r="1061" spans="2:18" x14ac:dyDescent="0.3">
      <c r="B1061" s="39">
        <v>46286</v>
      </c>
      <c r="C1061" s="46" t="str">
        <f>_xlfn.XLOOKUP(tblMovimientos[[#This Row],[Cuenta Bancaria]],Listas!$B:$B,Listas!$A:$A,"")</f>
        <v>A&amp;M Imports</v>
      </c>
      <c r="D1061" s="41" t="s">
        <v>100</v>
      </c>
      <c r="E1061" s="4" t="str">
        <f>_xlfn.XLOOKUP(tblMovimientos[[#This Row],[Cuenta Bancaria]],Listas!$B:$B,Listas!$C:$C,"")</f>
        <v>Bank of America</v>
      </c>
      <c r="F1061" s="41" t="s">
        <v>9</v>
      </c>
      <c r="G1061" s="41" t="s">
        <v>80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28068.720000000001</v>
      </c>
      <c r="K1061" s="5">
        <f t="shared" si="11"/>
        <v>28068.720000000001</v>
      </c>
      <c r="L1061" s="15" t="s">
        <v>133</v>
      </c>
      <c r="M1061" s="44">
        <f>SUMIFS('Saldos Iniciales'!$D:$D,'Saldos Iniciales'!$A:$A,C1061,'Saldos Iniciales'!$B:$B,D1061)+SUMIFS($K$1:$K$1325,$C$1:$C$1325,C1061,$D$1:$D$1325,D1061,$B$1:$B$1325,"&lt;="&amp;B1061)</f>
        <v>1453603.3599999999</v>
      </c>
      <c r="N1061" s="65">
        <f>IF(tblMovimientos[[#This Row],[Tipo de Movimiento]]="Ingreso",tblMovimientos[[#This Row],[Monto (S/)]],"0")</f>
        <v>28068.720000000001</v>
      </c>
      <c r="O1061" s="65" t="str">
        <f>IF(tblMovimientos[[#This Row],[Tipo de Movimiento]]="Egreso",tblMovimientos[[#This Row],[Monto (S/)]],"0")</f>
        <v>0</v>
      </c>
      <c r="P1061" s="28">
        <f>IF(tblMovimientos[[#This Row],[Tipo de Movimiento]]="Ingreso",tblMovimientos[[#This Row],[Ingreso]],-tblMovimientos[[#This Row],[Egreso]])</f>
        <v>28068.720000000001</v>
      </c>
      <c r="Q1061" s="91" t="str">
        <f>IF(tblMovimientos[[#This Row],[Cuenta Bancaria]]="","",_xlfn.XLOOKUP(tblMovimientos[[#This Row],[Cuenta Bancaria]],Cuentas!$C:$C,Cuentas!$A:$A,"No encontrado"))</f>
        <v>SSP Group</v>
      </c>
      <c r="R1061" s="91" t="str">
        <f>TRIM(_xlfn.XLOOKUP(tblMovimientos[[#This Row],[Cuenta Bancaria]],Cuentas!$C:$C,Cuentas!$B:$B,""))</f>
        <v>Cross Security Trust</v>
      </c>
    </row>
    <row r="1062" spans="2:18" x14ac:dyDescent="0.3">
      <c r="B1062" s="39">
        <v>46286</v>
      </c>
      <c r="C1062" s="46" t="str">
        <f>_xlfn.XLOOKUP(tblMovimientos[[#This Row],[Cuenta Bancaria]],Listas!$B:$B,Listas!$A:$A,"")</f>
        <v>Prendamas SRL</v>
      </c>
      <c r="D1062" s="41" t="s">
        <v>186</v>
      </c>
      <c r="E1062" s="80" t="str">
        <f>_xlfn.XLOOKUP(tblMovimientos[[#This Row],[Cuenta Bancaria]],Listas!$B:$B,Listas!$C:$C,"")</f>
        <v xml:space="preserve">Amerant Bank </v>
      </c>
      <c r="F1062" s="41" t="s">
        <v>10</v>
      </c>
      <c r="G1062" s="41" t="s">
        <v>38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611.6</v>
      </c>
      <c r="K1062" s="5">
        <f t="shared" si="11"/>
        <v>-611.6</v>
      </c>
      <c r="L1062" s="15" t="s">
        <v>133</v>
      </c>
      <c r="M1062" s="44">
        <f>SUMIFS('Saldos Iniciales'!$D:$D,'Saldos Iniciales'!$A:$A,C1062,'Saldos Iniciales'!$B:$B,D1062)+SUMIFS($K$1:$K$1325,$C$1:$C$1325,C1062,$D$1:$D$1325,D1062,$B$1:$B$1325,"&lt;="&amp;B1062)</f>
        <v>25507.15999999996</v>
      </c>
      <c r="N1062" s="65" t="str">
        <f>IF(tblMovimientos[[#This Row],[Tipo de Movimiento]]="Ingreso",tblMovimientos[[#This Row],[Monto (S/)]],"0")</f>
        <v>0</v>
      </c>
      <c r="O1062" s="65">
        <f>IF(tblMovimientos[[#This Row],[Tipo de Movimiento]]="Egreso",tblMovimientos[[#This Row],[Monto (S/)]],"0")</f>
        <v>611.6</v>
      </c>
      <c r="P1062" s="28">
        <f>IF(tblMovimientos[[#This Row],[Tipo de Movimiento]]="Ingreso",tblMovimientos[[#This Row],[Ingreso]],-tblMovimientos[[#This Row],[Egreso]])</f>
        <v>-611.6</v>
      </c>
      <c r="Q1062" s="91" t="str">
        <f>IF(tblMovimientos[[#This Row],[Cuenta Bancaria]]="","",_xlfn.XLOOKUP(tblMovimientos[[#This Row],[Cuenta Bancaria]],Cuentas!$C:$C,Cuentas!$A:$A,"No encontrado"))</f>
        <v>Unidades de Negocio</v>
      </c>
      <c r="R1062" s="91" t="str">
        <f>TRIM(_xlfn.XLOOKUP(tblMovimientos[[#This Row],[Cuenta Bancaria]],Cuentas!$C:$C,Cuentas!$B:$B,""))</f>
        <v/>
      </c>
    </row>
    <row r="1063" spans="2:18" x14ac:dyDescent="0.3">
      <c r="B1063" s="39">
        <v>46286</v>
      </c>
      <c r="C1063" s="46" t="str">
        <f>_xlfn.XLOOKUP(tblMovimientos[[#This Row],[Cuenta Bancaria]],Listas!$B:$B,Listas!$A:$A,"")</f>
        <v>Prendamas SRL</v>
      </c>
      <c r="D1063" s="41" t="s">
        <v>186</v>
      </c>
      <c r="E1063" s="80" t="str">
        <f>_xlfn.XLOOKUP(tblMovimientos[[#This Row],[Cuenta Bancaria]],Listas!$B:$B,Listas!$C:$C,"")</f>
        <v xml:space="preserve">Amerant Bank </v>
      </c>
      <c r="F1063" s="41" t="s">
        <v>10</v>
      </c>
      <c r="G1063" s="41" t="s">
        <v>38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600.6</v>
      </c>
      <c r="K1063" s="5">
        <f t="shared" si="11"/>
        <v>-600.6</v>
      </c>
      <c r="L1063" s="15" t="s">
        <v>133</v>
      </c>
      <c r="M1063" s="44">
        <f>SUMIFS('Saldos Iniciales'!$D:$D,'Saldos Iniciales'!$A:$A,C1063,'Saldos Iniciales'!$B:$B,D1063)+SUMIFS($K$1:$K$1325,$C$1:$C$1325,C1063,$D$1:$D$1325,D1063,$B$1:$B$1325,"&lt;="&amp;B1063)</f>
        <v>25507.15999999996</v>
      </c>
      <c r="N1063" s="65" t="str">
        <f>IF(tblMovimientos[[#This Row],[Tipo de Movimiento]]="Ingreso",tblMovimientos[[#This Row],[Monto (S/)]],"0")</f>
        <v>0</v>
      </c>
      <c r="O1063" s="65">
        <f>IF(tblMovimientos[[#This Row],[Tipo de Movimiento]]="Egreso",tblMovimientos[[#This Row],[Monto (S/)]],"0")</f>
        <v>600.6</v>
      </c>
      <c r="P1063" s="28">
        <f>IF(tblMovimientos[[#This Row],[Tipo de Movimiento]]="Ingreso",tblMovimientos[[#This Row],[Ingreso]],-tblMovimientos[[#This Row],[Egreso]])</f>
        <v>-600.6</v>
      </c>
      <c r="Q1063" s="91" t="str">
        <f>IF(tblMovimientos[[#This Row],[Cuenta Bancaria]]="","",_xlfn.XLOOKUP(tblMovimientos[[#This Row],[Cuenta Bancaria]],Cuentas!$C:$C,Cuentas!$A:$A,"No encontrado"))</f>
        <v>Unidades de Negocio</v>
      </c>
      <c r="R1063" s="91" t="str">
        <f>TRIM(_xlfn.XLOOKUP(tblMovimientos[[#This Row],[Cuenta Bancaria]],Cuentas!$C:$C,Cuentas!$B:$B,""))</f>
        <v/>
      </c>
    </row>
    <row r="1064" spans="2:18" x14ac:dyDescent="0.3">
      <c r="B1064" s="39">
        <v>46286</v>
      </c>
      <c r="C1064" s="46" t="str">
        <f>_xlfn.XLOOKUP(tblMovimientos[[#This Row],[Cuenta Bancaria]],Listas!$B:$B,Listas!$A:$A,"")</f>
        <v>Prendamas SRL</v>
      </c>
      <c r="D1064" s="41" t="s">
        <v>186</v>
      </c>
      <c r="E1064" s="80" t="str">
        <f>_xlfn.XLOOKUP(tblMovimientos[[#This Row],[Cuenta Bancaria]],Listas!$B:$B,Listas!$C:$C,"")</f>
        <v xml:space="preserve">Amerant Bank </v>
      </c>
      <c r="F1064" s="41" t="s">
        <v>10</v>
      </c>
      <c r="G1064" s="41" t="s">
        <v>44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18.02</v>
      </c>
      <c r="K1064" s="5">
        <f t="shared" si="11"/>
        <v>-18.02</v>
      </c>
      <c r="L1064" s="15" t="s">
        <v>133</v>
      </c>
      <c r="M1064" s="44">
        <f>SUMIFS('Saldos Iniciales'!$D:$D,'Saldos Iniciales'!$A:$A,C1064,'Saldos Iniciales'!$B:$B,D1064)+SUMIFS($K$1:$K$1325,$C$1:$C$1325,C1064,$D$1:$D$1325,D1064,$B$1:$B$1325,"&lt;="&amp;B1064)</f>
        <v>25507.15999999996</v>
      </c>
      <c r="N1064" s="65" t="str">
        <f>IF(tblMovimientos[[#This Row],[Tipo de Movimiento]]="Ingreso",tblMovimientos[[#This Row],[Monto (S/)]],"0")</f>
        <v>0</v>
      </c>
      <c r="O1064" s="65">
        <f>IF(tblMovimientos[[#This Row],[Tipo de Movimiento]]="Egreso",tblMovimientos[[#This Row],[Monto (S/)]],"0")</f>
        <v>18.02</v>
      </c>
      <c r="P1064" s="28">
        <f>IF(tblMovimientos[[#This Row],[Tipo de Movimiento]]="Ingreso",tblMovimientos[[#This Row],[Ingreso]],-tblMovimientos[[#This Row],[Egreso]])</f>
        <v>-18.02</v>
      </c>
      <c r="Q1064" s="91" t="str">
        <f>IF(tblMovimientos[[#This Row],[Cuenta Bancaria]]="","",_xlfn.XLOOKUP(tblMovimientos[[#This Row],[Cuenta Bancaria]],Cuentas!$C:$C,Cuentas!$A:$A,"No encontrado"))</f>
        <v>Unidades de Negocio</v>
      </c>
      <c r="R1064" s="91" t="str">
        <f>TRIM(_xlfn.XLOOKUP(tblMovimientos[[#This Row],[Cuenta Bancaria]],Cuentas!$C:$C,Cuentas!$B:$B,""))</f>
        <v/>
      </c>
    </row>
    <row r="1065" spans="2:18" x14ac:dyDescent="0.3">
      <c r="B1065" s="39">
        <v>46286</v>
      </c>
      <c r="C1065" s="46" t="str">
        <f>_xlfn.XLOOKUP(tblMovimientos[[#This Row],[Cuenta Bancaria]],Listas!$B:$B,Listas!$A:$A,"")</f>
        <v>Prendamas SRL</v>
      </c>
      <c r="D1065" s="41" t="s">
        <v>186</v>
      </c>
      <c r="E1065" s="80" t="str">
        <f>_xlfn.XLOOKUP(tblMovimientos[[#This Row],[Cuenta Bancaria]],Listas!$B:$B,Listas!$C:$C,"")</f>
        <v xml:space="preserve">Amerant Bank </v>
      </c>
      <c r="F1065" s="41" t="s">
        <v>10</v>
      </c>
      <c r="G1065" s="41" t="s">
        <v>44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18.350000000000001</v>
      </c>
      <c r="K1065" s="5">
        <f t="shared" si="11"/>
        <v>-18.350000000000001</v>
      </c>
      <c r="L1065" s="15" t="s">
        <v>133</v>
      </c>
      <c r="M1065" s="44">
        <f>SUMIFS('Saldos Iniciales'!$D:$D,'Saldos Iniciales'!$A:$A,C1065,'Saldos Iniciales'!$B:$B,D1065)+SUMIFS($K$1:$K$1325,$C$1:$C$1325,C1065,$D$1:$D$1325,D1065,$B$1:$B$1325,"&lt;="&amp;B1065)</f>
        <v>25507.15999999996</v>
      </c>
      <c r="N1065" s="65" t="str">
        <f>IF(tblMovimientos[[#This Row],[Tipo de Movimiento]]="Ingreso",tblMovimientos[[#This Row],[Monto (S/)]],"0")</f>
        <v>0</v>
      </c>
      <c r="O1065" s="65">
        <f>IF(tblMovimientos[[#This Row],[Tipo de Movimiento]]="Egreso",tblMovimientos[[#This Row],[Monto (S/)]],"0")</f>
        <v>18.350000000000001</v>
      </c>
      <c r="P1065" s="28">
        <f>IF(tblMovimientos[[#This Row],[Tipo de Movimiento]]="Ingreso",tblMovimientos[[#This Row],[Ingreso]],-tblMovimientos[[#This Row],[Egreso]])</f>
        <v>-18.350000000000001</v>
      </c>
      <c r="Q1065" s="91" t="str">
        <f>IF(tblMovimientos[[#This Row],[Cuenta Bancaria]]="","",_xlfn.XLOOKUP(tblMovimientos[[#This Row],[Cuenta Bancaria]],Cuentas!$C:$C,Cuentas!$A:$A,"No encontrado"))</f>
        <v>Unidades de Negocio</v>
      </c>
      <c r="R1065" s="91" t="str">
        <f>TRIM(_xlfn.XLOOKUP(tblMovimientos[[#This Row],[Cuenta Bancaria]],Cuentas!$C:$C,Cuentas!$B:$B,""))</f>
        <v/>
      </c>
    </row>
    <row r="1066" spans="2:18" x14ac:dyDescent="0.3">
      <c r="B1066" s="39">
        <v>46286</v>
      </c>
      <c r="C1066" s="46" t="str">
        <f>_xlfn.XLOOKUP(tblMovimientos[[#This Row],[Cuenta Bancaria]],Listas!$B:$B,Listas!$A:$A,"")</f>
        <v>Nobe Aparments</v>
      </c>
      <c r="D1066" s="41" t="s">
        <v>191</v>
      </c>
      <c r="E1066" s="80" t="str">
        <f>_xlfn.XLOOKUP(tblMovimientos[[#This Row],[Cuenta Bancaria]],Listas!$B:$B,Listas!$C:$C,"")</f>
        <v>Bank of America</v>
      </c>
      <c r="F1066" s="41" t="s">
        <v>10</v>
      </c>
      <c r="G1066" s="41" t="s">
        <v>38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405.74</v>
      </c>
      <c r="K1066" s="5">
        <f t="shared" si="11"/>
        <v>-405.74</v>
      </c>
      <c r="L1066" s="15" t="s">
        <v>133</v>
      </c>
      <c r="M1066" s="44">
        <f>SUMIFS('Saldos Iniciales'!$D:$D,'Saldos Iniciales'!$A:$A,C1066,'Saldos Iniciales'!$B:$B,D1066)+SUMIFS($K$1:$K$1325,$C$1:$C$1325,C1066,$D$1:$D$1325,D1066,$B$1:$B$1325,"&lt;="&amp;B1066)</f>
        <v>208857.13</v>
      </c>
      <c r="N1066" s="65" t="str">
        <f>IF(tblMovimientos[[#This Row],[Tipo de Movimiento]]="Ingreso",tblMovimientos[[#This Row],[Monto (S/)]],"0")</f>
        <v>0</v>
      </c>
      <c r="O1066" s="65">
        <f>IF(tblMovimientos[[#This Row],[Tipo de Movimiento]]="Egreso",tblMovimientos[[#This Row],[Monto (S/)]],"0")</f>
        <v>405.74</v>
      </c>
      <c r="P1066" s="28">
        <f>IF(tblMovimientos[[#This Row],[Tipo de Movimiento]]="Ingreso",tblMovimientos[[#This Row],[Ingreso]],-tblMovimientos[[#This Row],[Egreso]])</f>
        <v>-405.74</v>
      </c>
      <c r="Q1066" s="91" t="str">
        <f>IF(tblMovimientos[[#This Row],[Cuenta Bancaria]]="","",_xlfn.XLOOKUP(tblMovimientos[[#This Row],[Cuenta Bancaria]],Cuentas!$C:$C,Cuentas!$A:$A,"No encontrado"))</f>
        <v>Carmen Cross / Estate</v>
      </c>
      <c r="R1066" s="91" t="str">
        <f>TRIM(_xlfn.XLOOKUP(tblMovimientos[[#This Row],[Cuenta Bancaria]],Cuentas!$C:$C,Cuentas!$B:$B,""))</f>
        <v/>
      </c>
    </row>
    <row r="1067" spans="2:18" x14ac:dyDescent="0.3">
      <c r="B1067" s="39">
        <v>46287</v>
      </c>
      <c r="C1067" s="46" t="str">
        <f>_xlfn.XLOOKUP(tblMovimientos[[#This Row],[Cuenta Bancaria]],Listas!$B:$B,Listas!$A:$A,"")</f>
        <v>SSP Capital</v>
      </c>
      <c r="D1067" s="41" t="s">
        <v>101</v>
      </c>
      <c r="E1067" s="4" t="str">
        <f>_xlfn.XLOOKUP(tblMovimientos[[#This Row],[Cuenta Bancaria]],Listas!$B:$B,Listas!$C:$C,"")</f>
        <v>Bank of America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762.99</v>
      </c>
      <c r="K1067" s="5">
        <f t="shared" si="11"/>
        <v>-762.99</v>
      </c>
      <c r="L1067" s="15" t="s">
        <v>133</v>
      </c>
      <c r="M1067" s="44">
        <f>SUMIFS('Saldos Iniciales'!$D:$D,'Saldos Iniciales'!$A:$A,C1067,'Saldos Iniciales'!$B:$B,D1067)+SUMIFS($K$1:$K$1325,$C$1:$C$1325,C1067,$D$1:$D$1325,D1067,$B$1:$B$1325,"&lt;="&amp;B1067)</f>
        <v>21836.990000000005</v>
      </c>
      <c r="N1067" s="65" t="str">
        <f>IF(tblMovimientos[[#This Row],[Tipo de Movimiento]]="Ingreso",tblMovimientos[[#This Row],[Monto (S/)]],"0")</f>
        <v>0</v>
      </c>
      <c r="O1067" s="65">
        <f>IF(tblMovimientos[[#This Row],[Tipo de Movimiento]]="Egreso",tblMovimientos[[#This Row],[Monto (S/)]],"0")</f>
        <v>762.99</v>
      </c>
      <c r="P1067" s="28">
        <f>IF(tblMovimientos[[#This Row],[Tipo de Movimiento]]="Ingreso",tblMovimientos[[#This Row],[Ingreso]],-tblMovimientos[[#This Row],[Egreso]])</f>
        <v>-762.99</v>
      </c>
      <c r="Q1067" s="91" t="str">
        <f>IF(tblMovimientos[[#This Row],[Cuenta Bancaria]]="","",_xlfn.XLOOKUP(tblMovimientos[[#This Row],[Cuenta Bancaria]],Cuentas!$C:$C,Cuentas!$A:$A,"No encontrado"))</f>
        <v>SSP Group</v>
      </c>
      <c r="R1067" s="91" t="str">
        <f>TRIM(_xlfn.XLOOKUP(tblMovimientos[[#This Row],[Cuenta Bancaria]],Cuentas!$C:$C,Cuentas!$B:$B,""))</f>
        <v/>
      </c>
    </row>
    <row r="1068" spans="2:18" x14ac:dyDescent="0.3">
      <c r="B1068" s="39">
        <v>46287</v>
      </c>
      <c r="C1068" s="46" t="str">
        <f>_xlfn.XLOOKUP(tblMovimientos[[#This Row],[Cuenta Bancaria]],Listas!$B:$B,Listas!$A:$A,"")</f>
        <v>2515 Overbrook</v>
      </c>
      <c r="D1068" s="41" t="s">
        <v>121</v>
      </c>
      <c r="E1068" s="4" t="str">
        <f>_xlfn.XLOOKUP(tblMovimientos[[#This Row],[Cuenta Bancaria]],Listas!$B:$B,Listas!$C:$C,"")</f>
        <v>Bank of America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262.5</v>
      </c>
      <c r="K1068" s="5">
        <f t="shared" si="11"/>
        <v>-262.5</v>
      </c>
      <c r="L1068" s="15" t="s">
        <v>133</v>
      </c>
      <c r="M1068" s="44">
        <f>SUMIFS('Saldos Iniciales'!$D:$D,'Saldos Iniciales'!$A:$A,C1068,'Saldos Iniciales'!$B:$B,D1068)+SUMIFS($K$1:$K$1325,$C$1:$C$1325,C1068,$D$1:$D$1325,D1068,$B$1:$B$1325,"&lt;="&amp;B1068)</f>
        <v>28414.459999999963</v>
      </c>
      <c r="N1068" s="65" t="str">
        <f>IF(tblMovimientos[[#This Row],[Tipo de Movimiento]]="Ingreso",tblMovimientos[[#This Row],[Monto (S/)]],"0")</f>
        <v>0</v>
      </c>
      <c r="O1068" s="65">
        <f>IF(tblMovimientos[[#This Row],[Tipo de Movimiento]]="Egreso",tblMovimientos[[#This Row],[Monto (S/)]],"0")</f>
        <v>262.5</v>
      </c>
      <c r="P1068" s="28">
        <f>IF(tblMovimientos[[#This Row],[Tipo de Movimiento]]="Ingreso",tblMovimientos[[#This Row],[Ingreso]],-tblMovimientos[[#This Row],[Egreso]])</f>
        <v>-262.5</v>
      </c>
      <c r="Q1068" s="91" t="str">
        <f>IF(tblMovimientos[[#This Row],[Cuenta Bancaria]]="","",_xlfn.XLOOKUP(tblMovimientos[[#This Row],[Cuenta Bancaria]],Cuentas!$C:$C,Cuentas!$A:$A,"No encontrado"))</f>
        <v>SSP Group</v>
      </c>
      <c r="R1068" s="91" t="str">
        <f>TRIM(_xlfn.XLOOKUP(tblMovimientos[[#This Row],[Cuenta Bancaria]],Cuentas!$C:$C,Cuentas!$B:$B,""))</f>
        <v/>
      </c>
    </row>
    <row r="1069" spans="2:18" x14ac:dyDescent="0.3">
      <c r="B1069" s="39">
        <v>46287</v>
      </c>
      <c r="C1069" s="46" t="str">
        <f>_xlfn.XLOOKUP(tblMovimientos[[#This Row],[Cuenta Bancaria]],Listas!$B:$B,Listas!$A:$A,"")</f>
        <v>2515 Overbrook</v>
      </c>
      <c r="D1069" s="41" t="s">
        <v>121</v>
      </c>
      <c r="E1069" s="4" t="str">
        <f>_xlfn.XLOOKUP(tblMovimientos[[#This Row],[Cuenta Bancaria]],Listas!$B:$B,Listas!$C:$C,"")</f>
        <v>Bank of America</v>
      </c>
      <c r="F1069" s="41" t="s">
        <v>10</v>
      </c>
      <c r="G1069" s="41" t="s">
        <v>38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1300</v>
      </c>
      <c r="K1069" s="5">
        <f t="shared" si="11"/>
        <v>-1300</v>
      </c>
      <c r="L1069" s="15" t="s">
        <v>133</v>
      </c>
      <c r="M1069" s="44">
        <f>SUMIFS('Saldos Iniciales'!$D:$D,'Saldos Iniciales'!$A:$A,C1069,'Saldos Iniciales'!$B:$B,D1069)+SUMIFS($K$1:$K$1325,$C$1:$C$1325,C1069,$D$1:$D$1325,D1069,$B$1:$B$1325,"&lt;="&amp;B1069)</f>
        <v>28414.459999999963</v>
      </c>
      <c r="N1069" s="65" t="str">
        <f>IF(tblMovimientos[[#This Row],[Tipo de Movimiento]]="Ingreso",tblMovimientos[[#This Row],[Monto (S/)]],"0")</f>
        <v>0</v>
      </c>
      <c r="O1069" s="65">
        <f>IF(tblMovimientos[[#This Row],[Tipo de Movimiento]]="Egreso",tblMovimientos[[#This Row],[Monto (S/)]],"0")</f>
        <v>1300</v>
      </c>
      <c r="P1069" s="28">
        <f>IF(tblMovimientos[[#This Row],[Tipo de Movimiento]]="Ingreso",tblMovimientos[[#This Row],[Ingreso]],-tblMovimientos[[#This Row],[Egreso]])</f>
        <v>-1300</v>
      </c>
      <c r="Q1069" s="91" t="str">
        <f>IF(tblMovimientos[[#This Row],[Cuenta Bancaria]]="","",_xlfn.XLOOKUP(tblMovimientos[[#This Row],[Cuenta Bancaria]],Cuentas!$C:$C,Cuentas!$A:$A,"No encontrado"))</f>
        <v>SSP Group</v>
      </c>
      <c r="R1069" s="91" t="str">
        <f>TRIM(_xlfn.XLOOKUP(tblMovimientos[[#This Row],[Cuenta Bancaria]],Cuentas!$C:$C,Cuentas!$B:$B,""))</f>
        <v/>
      </c>
    </row>
    <row r="1070" spans="2:18" x14ac:dyDescent="0.3">
      <c r="B1070" s="39">
        <v>46287</v>
      </c>
      <c r="C1070" s="46" t="str">
        <f>_xlfn.XLOOKUP(tblMovimientos[[#This Row],[Cuenta Bancaria]],Listas!$B:$B,Listas!$A:$A,"")</f>
        <v>112 Florida Ave</v>
      </c>
      <c r="D1070" s="41" t="s">
        <v>123</v>
      </c>
      <c r="E1070" s="4" t="str">
        <f>_xlfn.XLOOKUP(tblMovimientos[[#This Row],[Cuenta Bancaria]],Listas!$B:$B,Listas!$C:$C,"")</f>
        <v>Bank of America</v>
      </c>
      <c r="F1070" s="41" t="s">
        <v>10</v>
      </c>
      <c r="G1070" s="41" t="s">
        <v>38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1120.03</v>
      </c>
      <c r="K1070" s="5">
        <f t="shared" si="11"/>
        <v>-1120.03</v>
      </c>
      <c r="L1070" s="15" t="s">
        <v>133</v>
      </c>
      <c r="M1070" s="44">
        <f>SUMIFS('Saldos Iniciales'!$D:$D,'Saldos Iniciales'!$A:$A,C1070,'Saldos Iniciales'!$B:$B,D1070)+SUMIFS($K$1:$K$1325,$C$1:$C$1325,C1070,$D$1:$D$1325,D1070,$B$1:$B$1325,"&lt;="&amp;B1070)</f>
        <v>15162.600000000006</v>
      </c>
      <c r="N1070" s="65" t="str">
        <f>IF(tblMovimientos[[#This Row],[Tipo de Movimiento]]="Ingreso",tblMovimientos[[#This Row],[Monto (S/)]],"0")</f>
        <v>0</v>
      </c>
      <c r="O1070" s="65">
        <f>IF(tblMovimientos[[#This Row],[Tipo de Movimiento]]="Egreso",tblMovimientos[[#This Row],[Monto (S/)]],"0")</f>
        <v>1120.03</v>
      </c>
      <c r="P1070" s="28">
        <f>IF(tblMovimientos[[#This Row],[Tipo de Movimiento]]="Ingreso",tblMovimientos[[#This Row],[Ingreso]],-tblMovimientos[[#This Row],[Egreso]])</f>
        <v>-1120.03</v>
      </c>
      <c r="Q1070" s="91" t="str">
        <f>IF(tblMovimientos[[#This Row],[Cuenta Bancaria]]="","",_xlfn.XLOOKUP(tblMovimientos[[#This Row],[Cuenta Bancaria]],Cuentas!$C:$C,Cuentas!$A:$A,"No encontrado"))</f>
        <v>SSP Group</v>
      </c>
      <c r="R1070" s="91" t="str">
        <f>TRIM(_xlfn.XLOOKUP(tblMovimientos[[#This Row],[Cuenta Bancaria]],Cuentas!$C:$C,Cuentas!$B:$B,""))</f>
        <v/>
      </c>
    </row>
    <row r="1071" spans="2:18" x14ac:dyDescent="0.3">
      <c r="B1071" s="39">
        <v>46287</v>
      </c>
      <c r="C1071" s="46" t="str">
        <f>_xlfn.XLOOKUP(tblMovimientos[[#This Row],[Cuenta Bancaria]],Listas!$B:$B,Listas!$A:$A,"")</f>
        <v>3628 Thomas Ave</v>
      </c>
      <c r="D1071" s="41" t="s">
        <v>124</v>
      </c>
      <c r="E1071" s="4" t="str">
        <f>_xlfn.XLOOKUP(tblMovimientos[[#This Row],[Cuenta Bancaria]],Listas!$B:$B,Listas!$C:$C,"")</f>
        <v>Bank of America</v>
      </c>
      <c r="F1071" s="41" t="s">
        <v>10</v>
      </c>
      <c r="G1071" s="41" t="s">
        <v>38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231.3</v>
      </c>
      <c r="K1071" s="5">
        <f t="shared" si="11"/>
        <v>-231.3</v>
      </c>
      <c r="L1071" s="15" t="s">
        <v>133</v>
      </c>
      <c r="M1071" s="44">
        <f>SUMIFS('Saldos Iniciales'!$D:$D,'Saldos Iniciales'!$A:$A,C1071,'Saldos Iniciales'!$B:$B,D1071)+SUMIFS($K$1:$K$1325,$C$1:$C$1325,C1071,$D$1:$D$1325,D1071,$B$1:$B$1325,"&lt;="&amp;B1071)</f>
        <v>12937.859999999997</v>
      </c>
      <c r="N1071" s="65" t="str">
        <f>IF(tblMovimientos[[#This Row],[Tipo de Movimiento]]="Ingreso",tblMovimientos[[#This Row],[Monto (S/)]],"0")</f>
        <v>0</v>
      </c>
      <c r="O1071" s="65">
        <f>IF(tblMovimientos[[#This Row],[Tipo de Movimiento]]="Egreso",tblMovimientos[[#This Row],[Monto (S/)]],"0")</f>
        <v>231.3</v>
      </c>
      <c r="P1071" s="28">
        <f>IF(tblMovimientos[[#This Row],[Tipo de Movimiento]]="Ingreso",tblMovimientos[[#This Row],[Ingreso]],-tblMovimientos[[#This Row],[Egreso]])</f>
        <v>-231.3</v>
      </c>
      <c r="Q1071" s="91" t="str">
        <f>IF(tblMovimientos[[#This Row],[Cuenta Bancaria]]="","",_xlfn.XLOOKUP(tblMovimientos[[#This Row],[Cuenta Bancaria]],Cuentas!$C:$C,Cuentas!$A:$A,"No encontrado"))</f>
        <v>SSP Group</v>
      </c>
      <c r="R1071" s="91" t="str">
        <f>TRIM(_xlfn.XLOOKUP(tblMovimientos[[#This Row],[Cuenta Bancaria]],Cuentas!$C:$C,Cuentas!$B:$B,""))</f>
        <v/>
      </c>
    </row>
    <row r="1072" spans="2:18" x14ac:dyDescent="0.3">
      <c r="B1072" s="39">
        <v>46287</v>
      </c>
      <c r="C1072" s="46" t="str">
        <f>_xlfn.XLOOKUP(tblMovimientos[[#This Row],[Cuenta Bancaria]],Listas!$B:$B,Listas!$A:$A,"")</f>
        <v>3628 Thomas Ave</v>
      </c>
      <c r="D1072" s="41" t="s">
        <v>124</v>
      </c>
      <c r="E1072" s="4" t="str">
        <f>_xlfn.XLOOKUP(tblMovimientos[[#This Row],[Cuenta Bancaria]],Listas!$B:$B,Listas!$C:$C,"")</f>
        <v>Bank of America</v>
      </c>
      <c r="F1072" s="41" t="s">
        <v>10</v>
      </c>
      <c r="G1072" s="41" t="s">
        <v>38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46.84</v>
      </c>
      <c r="K1072" s="5">
        <f t="shared" si="11"/>
        <v>-46.84</v>
      </c>
      <c r="L1072" s="15" t="s">
        <v>133</v>
      </c>
      <c r="M1072" s="44">
        <f>SUMIFS('Saldos Iniciales'!$D:$D,'Saldos Iniciales'!$A:$A,C1072,'Saldos Iniciales'!$B:$B,D1072)+SUMIFS($K$1:$K$1325,$C$1:$C$1325,C1072,$D$1:$D$1325,D1072,$B$1:$B$1325,"&lt;="&amp;B1072)</f>
        <v>12937.859999999997</v>
      </c>
      <c r="N1072" s="65" t="str">
        <f>IF(tblMovimientos[[#This Row],[Tipo de Movimiento]]="Ingreso",tblMovimientos[[#This Row],[Monto (S/)]],"0")</f>
        <v>0</v>
      </c>
      <c r="O1072" s="65">
        <f>IF(tblMovimientos[[#This Row],[Tipo de Movimiento]]="Egreso",tblMovimientos[[#This Row],[Monto (S/)]],"0")</f>
        <v>46.84</v>
      </c>
      <c r="P1072" s="28">
        <f>IF(tblMovimientos[[#This Row],[Tipo de Movimiento]]="Ingreso",tblMovimientos[[#This Row],[Ingreso]],-tblMovimientos[[#This Row],[Egreso]])</f>
        <v>-46.84</v>
      </c>
      <c r="Q1072" s="91" t="str">
        <f>IF(tblMovimientos[[#This Row],[Cuenta Bancaria]]="","",_xlfn.XLOOKUP(tblMovimientos[[#This Row],[Cuenta Bancaria]],Cuentas!$C:$C,Cuentas!$A:$A,"No encontrado"))</f>
        <v>SSP Group</v>
      </c>
      <c r="R1072" s="91" t="str">
        <f>TRIM(_xlfn.XLOOKUP(tblMovimientos[[#This Row],[Cuenta Bancaria]],Cuentas!$C:$C,Cuentas!$B:$B,""))</f>
        <v/>
      </c>
    </row>
    <row r="1073" spans="1:18" x14ac:dyDescent="0.3">
      <c r="B1073" s="39">
        <v>46287</v>
      </c>
      <c r="C1073" s="46" t="str">
        <f>_xlfn.XLOOKUP(tblMovimientos[[#This Row],[Cuenta Bancaria]],Listas!$B:$B,Listas!$A:$A,"")</f>
        <v>3628 Thomas Ave</v>
      </c>
      <c r="D1073" s="41" t="s">
        <v>124</v>
      </c>
      <c r="E1073" s="4" t="str">
        <f>_xlfn.XLOOKUP(tblMovimientos[[#This Row],[Cuenta Bancaria]],Listas!$B:$B,Listas!$C:$C,"")</f>
        <v>Bank of America</v>
      </c>
      <c r="F1073" s="41" t="s">
        <v>10</v>
      </c>
      <c r="G1073" s="41" t="s">
        <v>38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470</v>
      </c>
      <c r="K1073" s="5">
        <f t="shared" si="11"/>
        <v>-470</v>
      </c>
      <c r="L1073" s="15" t="s">
        <v>133</v>
      </c>
      <c r="M1073" s="44">
        <f>SUMIFS('Saldos Iniciales'!$D:$D,'Saldos Iniciales'!$A:$A,C1073,'Saldos Iniciales'!$B:$B,D1073)+SUMIFS($K$1:$K$1325,$C$1:$C$1325,C1073,$D$1:$D$1325,D1073,$B$1:$B$1325,"&lt;="&amp;B1073)</f>
        <v>12937.859999999997</v>
      </c>
      <c r="N1073" s="65" t="str">
        <f>IF(tblMovimientos[[#This Row],[Tipo de Movimiento]]="Ingreso",tblMovimientos[[#This Row],[Monto (S/)]],"0")</f>
        <v>0</v>
      </c>
      <c r="O1073" s="65">
        <f>IF(tblMovimientos[[#This Row],[Tipo de Movimiento]]="Egreso",tblMovimientos[[#This Row],[Monto (S/)]],"0")</f>
        <v>470</v>
      </c>
      <c r="P1073" s="28">
        <f>IF(tblMovimientos[[#This Row],[Tipo de Movimiento]]="Ingreso",tblMovimientos[[#This Row],[Ingreso]],-tblMovimientos[[#This Row],[Egreso]])</f>
        <v>-470</v>
      </c>
      <c r="Q1073" s="91" t="str">
        <f>IF(tblMovimientos[[#This Row],[Cuenta Bancaria]]="","",_xlfn.XLOOKUP(tblMovimientos[[#This Row],[Cuenta Bancaria]],Cuentas!$C:$C,Cuentas!$A:$A,"No encontrado"))</f>
        <v>SSP Group</v>
      </c>
      <c r="R1073" s="91" t="str">
        <f>TRIM(_xlfn.XLOOKUP(tblMovimientos[[#This Row],[Cuenta Bancaria]],Cuentas!$C:$C,Cuentas!$B:$B,""))</f>
        <v/>
      </c>
    </row>
    <row r="1074" spans="1:18" x14ac:dyDescent="0.3">
      <c r="B1074" s="39">
        <v>46287</v>
      </c>
      <c r="C1074" s="46" t="str">
        <f>_xlfn.XLOOKUP(tblMovimientos[[#This Row],[Cuenta Bancaria]],Listas!$B:$B,Listas!$A:$A,"")</f>
        <v>Prendamas SRL</v>
      </c>
      <c r="D1074" s="41" t="s">
        <v>186</v>
      </c>
      <c r="E1074" s="80" t="str">
        <f>_xlfn.XLOOKUP(tblMovimientos[[#This Row],[Cuenta Bancaria]],Listas!$B:$B,Listas!$C:$C,"")</f>
        <v xml:space="preserve">Amerant Bank </v>
      </c>
      <c r="F1074" s="41" t="s">
        <v>10</v>
      </c>
      <c r="G1074" s="41" t="s">
        <v>38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546.54</v>
      </c>
      <c r="K1074" s="5">
        <f t="shared" ref="K1074:K1137" si="12">IF(F1074="Ingreso",J1074,-J1074)</f>
        <v>-546.54</v>
      </c>
      <c r="L1074" s="15" t="s">
        <v>133</v>
      </c>
      <c r="M1074" s="44">
        <f>SUMIFS('Saldos Iniciales'!$D:$D,'Saldos Iniciales'!$A:$A,C1074,'Saldos Iniciales'!$B:$B,D1074)+SUMIFS($K$1:$K$1325,$C$1:$C$1325,C1074,$D$1:$D$1325,D1074,$B$1:$B$1325,"&lt;="&amp;B1074)</f>
        <v>24944.219999999972</v>
      </c>
      <c r="N1074" s="65" t="str">
        <f>IF(tblMovimientos[[#This Row],[Tipo de Movimiento]]="Ingreso",tblMovimientos[[#This Row],[Monto (S/)]],"0")</f>
        <v>0</v>
      </c>
      <c r="O1074" s="65">
        <f>IF(tblMovimientos[[#This Row],[Tipo de Movimiento]]="Egreso",tblMovimientos[[#This Row],[Monto (S/)]],"0")</f>
        <v>546.54</v>
      </c>
      <c r="P1074" s="28">
        <f>IF(tblMovimientos[[#This Row],[Tipo de Movimiento]]="Ingreso",tblMovimientos[[#This Row],[Ingreso]],-tblMovimientos[[#This Row],[Egreso]])</f>
        <v>-546.54</v>
      </c>
      <c r="Q1074" s="91" t="str">
        <f>IF(tblMovimientos[[#This Row],[Cuenta Bancaria]]="","",_xlfn.XLOOKUP(tblMovimientos[[#This Row],[Cuenta Bancaria]],Cuentas!$C:$C,Cuentas!$A:$A,"No encontrado"))</f>
        <v>Unidades de Negocio</v>
      </c>
      <c r="R1074" s="91" t="str">
        <f>TRIM(_xlfn.XLOOKUP(tblMovimientos[[#This Row],[Cuenta Bancaria]],Cuentas!$C:$C,Cuentas!$B:$B,""))</f>
        <v/>
      </c>
    </row>
    <row r="1075" spans="1:18" x14ac:dyDescent="0.3">
      <c r="A1075" s="45"/>
      <c r="B1075" s="39">
        <v>46287</v>
      </c>
      <c r="C1075" s="46" t="str">
        <f>_xlfn.XLOOKUP(tblMovimientos[[#This Row],[Cuenta Bancaria]],Listas!$B:$B,Listas!$A:$A,"")</f>
        <v>Prendamas SRL</v>
      </c>
      <c r="D1075" s="41" t="s">
        <v>186</v>
      </c>
      <c r="E1075" s="81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44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16.399999999999999</v>
      </c>
      <c r="K1075" s="5">
        <f t="shared" si="12"/>
        <v>-16.399999999999999</v>
      </c>
      <c r="L1075" s="15" t="s">
        <v>133</v>
      </c>
      <c r="M1075" s="44">
        <f>SUMIFS('Saldos Iniciales'!$D:$D,'Saldos Iniciales'!$A:$A,C1075,'Saldos Iniciales'!$B:$B,D1075)+SUMIFS($K$1:$K$1325,$C$1:$C$1325,C1075,$D$1:$D$1325,D1075,$B$1:$B$1325,"&lt;="&amp;B1075)</f>
        <v>24944.219999999972</v>
      </c>
      <c r="N1075" s="65" t="str">
        <f>IF(tblMovimientos[[#This Row],[Tipo de Movimiento]]="Ingreso",tblMovimientos[[#This Row],[Monto (S/)]],"0")</f>
        <v>0</v>
      </c>
      <c r="O1075" s="65">
        <f>IF(tblMovimientos[[#This Row],[Tipo de Movimiento]]="Egreso",tblMovimientos[[#This Row],[Monto (S/)]],"0")</f>
        <v>16.399999999999999</v>
      </c>
      <c r="P1075" s="28">
        <f>IF(tblMovimientos[[#This Row],[Tipo de Movimiento]]="Ingreso",tblMovimientos[[#This Row],[Ingreso]],-tblMovimientos[[#This Row],[Egreso]])</f>
        <v>-16.399999999999999</v>
      </c>
      <c r="Q1075" s="91" t="str">
        <f>IF(tblMovimientos[[#This Row],[Cuenta Bancaria]]="","",_xlfn.XLOOKUP(tblMovimientos[[#This Row],[Cuenta Bancaria]],Cuentas!$C:$C,Cuentas!$A:$A,"No encontrado"))</f>
        <v>Unidades de Negocio</v>
      </c>
      <c r="R1075" s="91" t="str">
        <f>TRIM(_xlfn.XLOOKUP(tblMovimientos[[#This Row],[Cuenta Bancaria]],Cuentas!$C:$C,Cuentas!$B:$B,""))</f>
        <v/>
      </c>
    </row>
    <row r="1076" spans="1:18" s="87" customFormat="1" x14ac:dyDescent="0.3">
      <c r="A1076" s="45"/>
      <c r="B1076" s="39">
        <v>46287</v>
      </c>
      <c r="C1076" s="46" t="str">
        <f>_xlfn.XLOOKUP(tblMovimientos[[#This Row],[Cuenta Bancaria]],Listas!$B:$B,Listas!$A:$A,"")</f>
        <v>Nobe Aparments</v>
      </c>
      <c r="D1076" s="41" t="s">
        <v>191</v>
      </c>
      <c r="E1076" s="81" t="str">
        <f>_xlfn.XLOOKUP(tblMovimientos[[#This Row],[Cuenta Bancaria]],Listas!$B:$B,Listas!$C:$C,"")</f>
        <v>Bank of America</v>
      </c>
      <c r="F1076" s="41" t="s">
        <v>10</v>
      </c>
      <c r="G1076" s="41" t="s">
        <v>38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2812.67</v>
      </c>
      <c r="K1076" s="5">
        <f t="shared" si="12"/>
        <v>-2812.67</v>
      </c>
      <c r="L1076" s="15" t="s">
        <v>133</v>
      </c>
      <c r="M1076" s="44">
        <f>SUMIFS('Saldos Iniciales'!$D:$D,'Saldos Iniciales'!$A:$A,C1076,'Saldos Iniciales'!$B:$B,D1076)+SUMIFS($K$1:$K$1325,$C$1:$C$1325,C1076,$D$1:$D$1325,D1076,$B$1:$B$1325,"&lt;="&amp;B1076)</f>
        <v>203099.46</v>
      </c>
      <c r="N1076" s="65" t="str">
        <f>IF(tblMovimientos[[#This Row],[Tipo de Movimiento]]="Ingreso",tblMovimientos[[#This Row],[Monto (S/)]],"0")</f>
        <v>0</v>
      </c>
      <c r="O1076" s="65">
        <f>IF(tblMovimientos[[#This Row],[Tipo de Movimiento]]="Egreso",tblMovimientos[[#This Row],[Monto (S/)]],"0")</f>
        <v>2812.67</v>
      </c>
      <c r="P1076" s="28">
        <f>IF(tblMovimientos[[#This Row],[Tipo de Movimiento]]="Ingreso",tblMovimientos[[#This Row],[Ingreso]],-tblMovimientos[[#This Row],[Egreso]])</f>
        <v>-2812.67</v>
      </c>
      <c r="Q1076" s="91" t="str">
        <f>IF(tblMovimientos[[#This Row],[Cuenta Bancaria]]="","",_xlfn.XLOOKUP(tblMovimientos[[#This Row],[Cuenta Bancaria]],Cuentas!$C:$C,Cuentas!$A:$A,"No encontrado"))</f>
        <v>Carmen Cross / Estate</v>
      </c>
      <c r="R1076" s="91" t="str">
        <f>TRIM(_xlfn.XLOOKUP(tblMovimientos[[#This Row],[Cuenta Bancaria]],Cuentas!$C:$C,Cuentas!$B:$B,""))</f>
        <v/>
      </c>
    </row>
    <row r="1077" spans="1:18" x14ac:dyDescent="0.3">
      <c r="B1077" s="39">
        <v>46287</v>
      </c>
      <c r="C1077" s="46" t="str">
        <f>_xlfn.XLOOKUP(tblMovimientos[[#This Row],[Cuenta Bancaria]],Listas!$B:$B,Listas!$A:$A,"")</f>
        <v>Nobe Aparments</v>
      </c>
      <c r="D1077" s="41" t="s">
        <v>191</v>
      </c>
      <c r="E1077" s="80" t="str">
        <f>_xlfn.XLOOKUP(tblMovimientos[[#This Row],[Cuenta Bancaria]],Listas!$B:$B,Listas!$C:$C,"")</f>
        <v>Bank of America</v>
      </c>
      <c r="F1077" s="41" t="s">
        <v>10</v>
      </c>
      <c r="G1077" s="41" t="s">
        <v>38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660</v>
      </c>
      <c r="K1077" s="5">
        <f t="shared" si="12"/>
        <v>-660</v>
      </c>
      <c r="L1077" s="15" t="s">
        <v>133</v>
      </c>
      <c r="M1077" s="44">
        <f>SUMIFS('Saldos Iniciales'!$D:$D,'Saldos Iniciales'!$A:$A,C1077,'Saldos Iniciales'!$B:$B,D1077)+SUMIFS($K$1:$K$1325,$C$1:$C$1325,C1077,$D$1:$D$1325,D1077,$B$1:$B$1325,"&lt;="&amp;B1077)</f>
        <v>203099.46</v>
      </c>
      <c r="N1077" s="65" t="str">
        <f>IF(tblMovimientos[[#This Row],[Tipo de Movimiento]]="Ingreso",tblMovimientos[[#This Row],[Monto (S/)]],"0")</f>
        <v>0</v>
      </c>
      <c r="O1077" s="65">
        <f>IF(tblMovimientos[[#This Row],[Tipo de Movimiento]]="Egreso",tblMovimientos[[#This Row],[Monto (S/)]],"0")</f>
        <v>660</v>
      </c>
      <c r="P1077" s="28">
        <f>IF(tblMovimientos[[#This Row],[Tipo de Movimiento]]="Ingreso",tblMovimientos[[#This Row],[Ingreso]],-tblMovimientos[[#This Row],[Egreso]])</f>
        <v>-660</v>
      </c>
      <c r="Q1077" s="91" t="str">
        <f>IF(tblMovimientos[[#This Row],[Cuenta Bancaria]]="","",_xlfn.XLOOKUP(tblMovimientos[[#This Row],[Cuenta Bancaria]],Cuentas!$C:$C,Cuentas!$A:$A,"No encontrado"))</f>
        <v>Carmen Cross / Estate</v>
      </c>
      <c r="R1077" s="91" t="str">
        <f>TRIM(_xlfn.XLOOKUP(tblMovimientos[[#This Row],[Cuenta Bancaria]],Cuentas!$C:$C,Cuentas!$B:$B,""))</f>
        <v/>
      </c>
    </row>
    <row r="1078" spans="1:18" x14ac:dyDescent="0.3">
      <c r="A1078" s="45"/>
      <c r="B1078" s="39">
        <v>46287</v>
      </c>
      <c r="C1078" s="46" t="str">
        <f>_xlfn.XLOOKUP(tblMovimientos[[#This Row],[Cuenta Bancaria]],Listas!$B:$B,Listas!$A:$A,"")</f>
        <v>Nobe Aparments</v>
      </c>
      <c r="D1078" s="41" t="s">
        <v>191</v>
      </c>
      <c r="E1078" s="81" t="str">
        <f>_xlfn.XLOOKUP(tblMovimientos[[#This Row],[Cuenta Bancaria]],Listas!$B:$B,Listas!$C:$C,"")</f>
        <v>Bank of America</v>
      </c>
      <c r="F1078" s="41" t="s">
        <v>10</v>
      </c>
      <c r="G1078" s="41" t="s">
        <v>38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2285</v>
      </c>
      <c r="K1078" s="5">
        <f t="shared" si="12"/>
        <v>-2285</v>
      </c>
      <c r="L1078" s="15" t="s">
        <v>133</v>
      </c>
      <c r="M1078" s="44">
        <f>SUMIFS('Saldos Iniciales'!$D:$D,'Saldos Iniciales'!$A:$A,C1078,'Saldos Iniciales'!$B:$B,D1078)+SUMIFS($K$1:$K$1325,$C$1:$C$1325,C1078,$D$1:$D$1325,D1078,$B$1:$B$1325,"&lt;="&amp;B1078)</f>
        <v>203099.46</v>
      </c>
      <c r="N1078" s="65" t="str">
        <f>IF(tblMovimientos[[#This Row],[Tipo de Movimiento]]="Ingreso",tblMovimientos[[#This Row],[Monto (S/)]],"0")</f>
        <v>0</v>
      </c>
      <c r="O1078" s="65">
        <f>IF(tblMovimientos[[#This Row],[Tipo de Movimiento]]="Egreso",tblMovimientos[[#This Row],[Monto (S/)]],"0")</f>
        <v>2285</v>
      </c>
      <c r="P1078" s="28">
        <f>IF(tblMovimientos[[#This Row],[Tipo de Movimiento]]="Ingreso",tblMovimientos[[#This Row],[Ingreso]],-tblMovimientos[[#This Row],[Egreso]])</f>
        <v>-2285</v>
      </c>
      <c r="Q1078" s="91" t="str">
        <f>IF(tblMovimientos[[#This Row],[Cuenta Bancaria]]="","",_xlfn.XLOOKUP(tblMovimientos[[#This Row],[Cuenta Bancaria]],Cuentas!$C:$C,Cuentas!$A:$A,"No encontrado"))</f>
        <v>Carmen Cross / Estate</v>
      </c>
      <c r="R1078" s="91" t="str">
        <f>TRIM(_xlfn.XLOOKUP(tblMovimientos[[#This Row],[Cuenta Bancaria]],Cuentas!$C:$C,Cuentas!$B:$B,""))</f>
        <v/>
      </c>
    </row>
    <row r="1079" spans="1:18" x14ac:dyDescent="0.3">
      <c r="B1079" s="39">
        <v>46288</v>
      </c>
      <c r="C1079" s="46" t="str">
        <f>_xlfn.XLOOKUP(tblMovimientos[[#This Row],[Cuenta Bancaria]],Listas!$B:$B,Listas!$A:$A,"")</f>
        <v>Nobe Aparments</v>
      </c>
      <c r="D1079" s="41" t="s">
        <v>191</v>
      </c>
      <c r="E1079" s="80" t="str">
        <f>_xlfn.XLOOKUP(tblMovimientos[[#This Row],[Cuenta Bancaria]],Listas!$B:$B,Listas!$C:$C,"")</f>
        <v>Bank of America</v>
      </c>
      <c r="F1079" s="41" t="s">
        <v>9</v>
      </c>
      <c r="G1079" s="41" t="s">
        <v>81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1905</v>
      </c>
      <c r="K1079" s="5">
        <f t="shared" si="12"/>
        <v>1905</v>
      </c>
      <c r="L1079" s="15" t="s">
        <v>133</v>
      </c>
      <c r="M1079" s="44">
        <f>SUMIFS('Saldos Iniciales'!$D:$D,'Saldos Iniciales'!$A:$A,C1079,'Saldos Iniciales'!$B:$B,D1079)+SUMIFS($K$1:$K$1325,$C$1:$C$1325,C1079,$D$1:$D$1325,D1079,$B$1:$B$1325,"&lt;="&amp;B1079)</f>
        <v>204999.46</v>
      </c>
      <c r="N1079" s="65">
        <f>IF(tblMovimientos[[#This Row],[Tipo de Movimiento]]="Ingreso",tblMovimientos[[#This Row],[Monto (S/)]],"0")</f>
        <v>1905</v>
      </c>
      <c r="O1079" s="65" t="str">
        <f>IF(tblMovimientos[[#This Row],[Tipo de Movimiento]]="Egreso",tblMovimientos[[#This Row],[Monto (S/)]],"0")</f>
        <v>0</v>
      </c>
      <c r="P1079" s="28">
        <f>IF(tblMovimientos[[#This Row],[Tipo de Movimiento]]="Ingreso",tblMovimientos[[#This Row],[Ingreso]],-tblMovimientos[[#This Row],[Egreso]])</f>
        <v>1905</v>
      </c>
      <c r="Q1079" s="91" t="str">
        <f>IF(tblMovimientos[[#This Row],[Cuenta Bancaria]]="","",_xlfn.XLOOKUP(tblMovimientos[[#This Row],[Cuenta Bancaria]],Cuentas!$C:$C,Cuentas!$A:$A,"No encontrado"))</f>
        <v>Carmen Cross / Estate</v>
      </c>
      <c r="R1079" s="91" t="str">
        <f>TRIM(_xlfn.XLOOKUP(tblMovimientos[[#This Row],[Cuenta Bancaria]],Cuentas!$C:$C,Cuentas!$B:$B,""))</f>
        <v/>
      </c>
    </row>
    <row r="1080" spans="1:18" x14ac:dyDescent="0.3">
      <c r="A1080" s="45"/>
      <c r="B1080" s="39">
        <v>46288</v>
      </c>
      <c r="C1080" s="46" t="str">
        <f>_xlfn.XLOOKUP(tblMovimientos[[#This Row],[Cuenta Bancaria]],Listas!$B:$B,Listas!$A:$A,"")</f>
        <v>Nobe Aparments</v>
      </c>
      <c r="D1080" s="41" t="s">
        <v>191</v>
      </c>
      <c r="E1080" s="81" t="str">
        <f>_xlfn.XLOOKUP(tblMovimientos[[#This Row],[Cuenta Bancaria]],Listas!$B:$B,Listas!$C:$C,"")</f>
        <v>Bank of America</v>
      </c>
      <c r="F1080" s="41" t="s">
        <v>10</v>
      </c>
      <c r="G1080" s="41" t="s">
        <v>44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5</v>
      </c>
      <c r="K1080" s="5">
        <f t="shared" si="12"/>
        <v>-5</v>
      </c>
      <c r="L1080" s="15" t="s">
        <v>133</v>
      </c>
      <c r="M1080" s="44">
        <f>SUMIFS('Saldos Iniciales'!$D:$D,'Saldos Iniciales'!$A:$A,C1080,'Saldos Iniciales'!$B:$B,D1080)+SUMIFS($K$1:$K$1325,$C$1:$C$1325,C1080,$D$1:$D$1325,D1080,$B$1:$B$1325,"&lt;="&amp;B1080)</f>
        <v>204999.46</v>
      </c>
      <c r="N1080" s="65" t="str">
        <f>IF(tblMovimientos[[#This Row],[Tipo de Movimiento]]="Ingreso",tblMovimientos[[#This Row],[Monto (S/)]],"0")</f>
        <v>0</v>
      </c>
      <c r="O1080" s="65">
        <f>IF(tblMovimientos[[#This Row],[Tipo de Movimiento]]="Egreso",tblMovimientos[[#This Row],[Monto (S/)]],"0")</f>
        <v>5</v>
      </c>
      <c r="P1080" s="28">
        <f>IF(tblMovimientos[[#This Row],[Tipo de Movimiento]]="Ingreso",tblMovimientos[[#This Row],[Ingreso]],-tblMovimientos[[#This Row],[Egreso]])</f>
        <v>-5</v>
      </c>
      <c r="Q1080" s="91" t="str">
        <f>IF(tblMovimientos[[#This Row],[Cuenta Bancaria]]="","",_xlfn.XLOOKUP(tblMovimientos[[#This Row],[Cuenta Bancaria]],Cuentas!$C:$C,Cuentas!$A:$A,"No encontrado"))</f>
        <v>Carmen Cross / Estate</v>
      </c>
      <c r="R1080" s="91" t="str">
        <f>TRIM(_xlfn.XLOOKUP(tblMovimientos[[#This Row],[Cuenta Bancaria]],Cuentas!$C:$C,Cuentas!$B:$B,""))</f>
        <v/>
      </c>
    </row>
    <row r="1081" spans="1:18" x14ac:dyDescent="0.3">
      <c r="A1081" s="45"/>
      <c r="B1081" s="39">
        <v>46289</v>
      </c>
      <c r="C1081" s="46" t="str">
        <f>_xlfn.XLOOKUP(tblMovimientos[[#This Row],[Cuenta Bancaria]],Listas!$B:$B,Listas!$A:$A,"")</f>
        <v>Prendamas SRL</v>
      </c>
      <c r="D1081" s="41" t="s">
        <v>186</v>
      </c>
      <c r="E1081" s="81" t="str">
        <f>_xlfn.XLOOKUP(tblMovimientos[[#This Row],[Cuenta Bancaria]],Listas!$B:$B,Listas!$C:$C,"")</f>
        <v xml:space="preserve">Amerant Bank 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498.51</v>
      </c>
      <c r="K1081" s="5">
        <f t="shared" si="12"/>
        <v>-498.51</v>
      </c>
      <c r="L1081" s="15" t="s">
        <v>133</v>
      </c>
      <c r="M1081" s="44">
        <f>SUMIFS('Saldos Iniciales'!$D:$D,'Saldos Iniciales'!$A:$A,C1081,'Saldos Iniciales'!$B:$B,D1081)+SUMIFS($K$1:$K$1325,$C$1:$C$1325,C1081,$D$1:$D$1325,D1081,$B$1:$B$1325,"&lt;="&amp;B1081)</f>
        <v>24430.749999999971</v>
      </c>
      <c r="N1081" s="65" t="str">
        <f>IF(tblMovimientos[[#This Row],[Tipo de Movimiento]]="Ingreso",tblMovimientos[[#This Row],[Monto (S/)]],"0")</f>
        <v>0</v>
      </c>
      <c r="O1081" s="65">
        <f>IF(tblMovimientos[[#This Row],[Tipo de Movimiento]]="Egreso",tblMovimientos[[#This Row],[Monto (S/)]],"0")</f>
        <v>498.51</v>
      </c>
      <c r="P1081" s="28">
        <f>IF(tblMovimientos[[#This Row],[Tipo de Movimiento]]="Ingreso",tblMovimientos[[#This Row],[Ingreso]],-tblMovimientos[[#This Row],[Egreso]])</f>
        <v>-498.51</v>
      </c>
      <c r="Q1081" s="91" t="str">
        <f>IF(tblMovimientos[[#This Row],[Cuenta Bancaria]]="","",_xlfn.XLOOKUP(tblMovimientos[[#This Row],[Cuenta Bancaria]],Cuentas!$C:$C,Cuentas!$A:$A,"No encontrado"))</f>
        <v>Unidades de Negocio</v>
      </c>
      <c r="R1081" s="91" t="str">
        <f>TRIM(_xlfn.XLOOKUP(tblMovimientos[[#This Row],[Cuenta Bancaria]],Cuentas!$C:$C,Cuentas!$B:$B,""))</f>
        <v/>
      </c>
    </row>
    <row r="1082" spans="1:18" x14ac:dyDescent="0.3">
      <c r="A1082" s="45"/>
      <c r="B1082" s="39">
        <v>46289</v>
      </c>
      <c r="C1082" s="46" t="str">
        <f>_xlfn.XLOOKUP(tblMovimientos[[#This Row],[Cuenta Bancaria]],Listas!$B:$B,Listas!$A:$A,"")</f>
        <v>Prendamas SRL</v>
      </c>
      <c r="D1082" s="41" t="s">
        <v>186</v>
      </c>
      <c r="E1082" s="81" t="str">
        <f>_xlfn.XLOOKUP(tblMovimientos[[#This Row],[Cuenta Bancaria]],Listas!$B:$B,Listas!$C:$C,"")</f>
        <v xml:space="preserve">Amerant Bank 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14.96</v>
      </c>
      <c r="K1082" s="5">
        <f t="shared" si="12"/>
        <v>-14.96</v>
      </c>
      <c r="L1082" s="15" t="s">
        <v>133</v>
      </c>
      <c r="M1082" s="44">
        <f>SUMIFS('Saldos Iniciales'!$D:$D,'Saldos Iniciales'!$A:$A,C1082,'Saldos Iniciales'!$B:$B,D1082)+SUMIFS($K$1:$K$1325,$C$1:$C$1325,C1082,$D$1:$D$1325,D1082,$B$1:$B$1325,"&lt;="&amp;B1082)</f>
        <v>24430.749999999971</v>
      </c>
      <c r="N1082" s="65" t="str">
        <f>IF(tblMovimientos[[#This Row],[Tipo de Movimiento]]="Ingreso",tblMovimientos[[#This Row],[Monto (S/)]],"0")</f>
        <v>0</v>
      </c>
      <c r="O1082" s="65">
        <f>IF(tblMovimientos[[#This Row],[Tipo de Movimiento]]="Egreso",tblMovimientos[[#This Row],[Monto (S/)]],"0")</f>
        <v>14.96</v>
      </c>
      <c r="P1082" s="28">
        <f>IF(tblMovimientos[[#This Row],[Tipo de Movimiento]]="Ingreso",tblMovimientos[[#This Row],[Ingreso]],-tblMovimientos[[#This Row],[Egreso]])</f>
        <v>-14.96</v>
      </c>
      <c r="Q1082" s="91" t="str">
        <f>IF(tblMovimientos[[#This Row],[Cuenta Bancaria]]="","",_xlfn.XLOOKUP(tblMovimientos[[#This Row],[Cuenta Bancaria]],Cuentas!$C:$C,Cuentas!$A:$A,"No encontrado"))</f>
        <v>Unidades de Negocio</v>
      </c>
      <c r="R1082" s="91" t="str">
        <f>TRIM(_xlfn.XLOOKUP(tblMovimientos[[#This Row],[Cuenta Bancaria]],Cuentas!$C:$C,Cuentas!$B:$B,""))</f>
        <v/>
      </c>
    </row>
    <row r="1083" spans="1:18" x14ac:dyDescent="0.3">
      <c r="A1083" s="45"/>
      <c r="B1083" s="39">
        <v>46290</v>
      </c>
      <c r="C1083" s="46" t="str">
        <f>_xlfn.XLOOKUP(tblMovimientos[[#This Row],[Cuenta Bancaria]],Listas!$B:$B,Listas!$A:$A,"")</f>
        <v>A&amp;M Imports</v>
      </c>
      <c r="D1083" s="41" t="s">
        <v>100</v>
      </c>
      <c r="E1083" s="46" t="str">
        <f>_xlfn.XLOOKUP(tblMovimientos[[#This Row],[Cuenta Bancaria]],Listas!$B:$B,Listas!$C:$C,"")</f>
        <v>Bank of America</v>
      </c>
      <c r="F1083" s="41" t="s">
        <v>10</v>
      </c>
      <c r="G1083" s="41" t="s">
        <v>61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60000</v>
      </c>
      <c r="K1083" s="5">
        <f t="shared" si="12"/>
        <v>-60000</v>
      </c>
      <c r="L1083" s="15" t="s">
        <v>133</v>
      </c>
      <c r="M1083" s="44">
        <f>SUMIFS('Saldos Iniciales'!$D:$D,'Saldos Iniciales'!$A:$A,C1083,'Saldos Iniciales'!$B:$B,D1083)+SUMIFS($K$1:$K$1325,$C$1:$C$1325,C1083,$D$1:$D$1325,D1083,$B$1:$B$1325,"&lt;="&amp;B1083)</f>
        <v>1313603.3599999999</v>
      </c>
      <c r="N1083" s="65" t="str">
        <f>IF(tblMovimientos[[#This Row],[Tipo de Movimiento]]="Ingreso",tblMovimientos[[#This Row],[Monto (S/)]],"0")</f>
        <v>0</v>
      </c>
      <c r="O1083" s="65">
        <f>IF(tblMovimientos[[#This Row],[Tipo de Movimiento]]="Egreso",tblMovimientos[[#This Row],[Monto (S/)]],"0")</f>
        <v>60000</v>
      </c>
      <c r="P1083" s="28">
        <f>IF(tblMovimientos[[#This Row],[Tipo de Movimiento]]="Ingreso",tblMovimientos[[#This Row],[Ingreso]],-tblMovimientos[[#This Row],[Egreso]])</f>
        <v>-60000</v>
      </c>
      <c r="Q1083" s="91" t="str">
        <f>IF(tblMovimientos[[#This Row],[Cuenta Bancaria]]="","",_xlfn.XLOOKUP(tblMovimientos[[#This Row],[Cuenta Bancaria]],Cuentas!$C:$C,Cuentas!$A:$A,"No encontrado"))</f>
        <v>SSP Group</v>
      </c>
      <c r="R1083" s="91" t="str">
        <f>TRIM(_xlfn.XLOOKUP(tblMovimientos[[#This Row],[Cuenta Bancaria]],Cuentas!$C:$C,Cuentas!$B:$B,""))</f>
        <v>Cross Security Trust</v>
      </c>
    </row>
    <row r="1084" spans="1:18" s="87" customFormat="1" x14ac:dyDescent="0.3">
      <c r="A1084" s="45"/>
      <c r="B1084" s="39">
        <v>46290</v>
      </c>
      <c r="C1084" s="46" t="str">
        <f>_xlfn.XLOOKUP(tblMovimientos[[#This Row],[Cuenta Bancaria]],Listas!$B:$B,Listas!$A:$A,"")</f>
        <v>A&amp;M Imports</v>
      </c>
      <c r="D1084" s="41" t="s">
        <v>100</v>
      </c>
      <c r="E1084" s="46" t="str">
        <f>_xlfn.XLOOKUP(tblMovimientos[[#This Row],[Cuenta Bancaria]],Listas!$B:$B,Listas!$C:$C,"")</f>
        <v>Bank of America</v>
      </c>
      <c r="F1084" s="41" t="s">
        <v>10</v>
      </c>
      <c r="G1084" s="41" t="s">
        <v>61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80000</v>
      </c>
      <c r="K1084" s="5">
        <f t="shared" si="12"/>
        <v>-80000</v>
      </c>
      <c r="L1084" s="15" t="s">
        <v>133</v>
      </c>
      <c r="M1084" s="44">
        <f>SUMIFS('Saldos Iniciales'!$D:$D,'Saldos Iniciales'!$A:$A,C1084,'Saldos Iniciales'!$B:$B,D1084)+SUMIFS($K$1:$K$1325,$C$1:$C$1325,C1084,$D$1:$D$1325,D1084,$B$1:$B$1325,"&lt;="&amp;B1084)</f>
        <v>1313603.3599999999</v>
      </c>
      <c r="N1084" s="65" t="str">
        <f>IF(tblMovimientos[[#This Row],[Tipo de Movimiento]]="Ingreso",tblMovimientos[[#This Row],[Monto (S/)]],"0")</f>
        <v>0</v>
      </c>
      <c r="O1084" s="65">
        <f>IF(tblMovimientos[[#This Row],[Tipo de Movimiento]]="Egreso",tblMovimientos[[#This Row],[Monto (S/)]],"0")</f>
        <v>80000</v>
      </c>
      <c r="P1084" s="28">
        <f>IF(tblMovimientos[[#This Row],[Tipo de Movimiento]]="Ingreso",tblMovimientos[[#This Row],[Ingreso]],-tblMovimientos[[#This Row],[Egreso]])</f>
        <v>-80000</v>
      </c>
      <c r="Q1084" s="91" t="str">
        <f>IF(tblMovimientos[[#This Row],[Cuenta Bancaria]]="","",_xlfn.XLOOKUP(tblMovimientos[[#This Row],[Cuenta Bancaria]],Cuentas!$C:$C,Cuentas!$A:$A,"No encontrado"))</f>
        <v>SSP Group</v>
      </c>
      <c r="R1084" s="91" t="str">
        <f>TRIM(_xlfn.XLOOKUP(tblMovimientos[[#This Row],[Cuenta Bancaria]],Cuentas!$C:$C,Cuentas!$B:$B,""))</f>
        <v>Cross Security Trust</v>
      </c>
    </row>
    <row r="1085" spans="1:18" x14ac:dyDescent="0.3">
      <c r="A1085" s="45"/>
      <c r="B1085" s="39">
        <v>46290</v>
      </c>
      <c r="C1085" s="46" t="str">
        <f>_xlfn.XLOOKUP(tblMovimientos[[#This Row],[Cuenta Bancaria]],Listas!$B:$B,Listas!$A:$A,"")</f>
        <v>112 Florida Ave</v>
      </c>
      <c r="D1085" s="41" t="s">
        <v>123</v>
      </c>
      <c r="E1085" s="46" t="str">
        <f>_xlfn.XLOOKUP(tblMovimientos[[#This Row],[Cuenta Bancaria]],Listas!$B:$B,Listas!$C:$C,"")</f>
        <v>Bank of America</v>
      </c>
      <c r="F1085" s="41" t="s">
        <v>9</v>
      </c>
      <c r="G1085" s="41" t="s">
        <v>71</v>
      </c>
      <c r="H1085" s="46" t="str">
        <f>IFERROR(_xlfn.XLOOKUP(G1085,Listas!E:E,Listas!F:F,""),"")</f>
        <v>Operativo</v>
      </c>
      <c r="I1085" s="46" t="str">
        <f>IFERROR(_xlfn.XLOOKUP(G1085,Listas!E:E,Listas!G:G,""),"")</f>
        <v>Interno</v>
      </c>
      <c r="J1085" s="43">
        <v>8227.09</v>
      </c>
      <c r="K1085" s="5">
        <f t="shared" si="12"/>
        <v>8227.09</v>
      </c>
      <c r="L1085" s="15" t="s">
        <v>133</v>
      </c>
      <c r="M1085" s="44">
        <f>SUMIFS('Saldos Iniciales'!$D:$D,'Saldos Iniciales'!$A:$A,C1085,'Saldos Iniciales'!$B:$B,D1085)+SUMIFS($K$1:$K$1325,$C$1:$C$1325,C1085,$D$1:$D$1325,D1085,$B$1:$B$1325,"&lt;="&amp;B1085)</f>
        <v>23389.690000000006</v>
      </c>
      <c r="N1085" s="65">
        <f>IF(tblMovimientos[[#This Row],[Tipo de Movimiento]]="Ingreso",tblMovimientos[[#This Row],[Monto (S/)]],"0")</f>
        <v>8227.09</v>
      </c>
      <c r="O1085" s="65" t="str">
        <f>IF(tblMovimientos[[#This Row],[Tipo de Movimiento]]="Egreso",tblMovimientos[[#This Row],[Monto (S/)]],"0")</f>
        <v>0</v>
      </c>
      <c r="P1085" s="28">
        <f>IF(tblMovimientos[[#This Row],[Tipo de Movimiento]]="Ingreso",tblMovimientos[[#This Row],[Ingreso]],-tblMovimientos[[#This Row],[Egreso]])</f>
        <v>8227.09</v>
      </c>
      <c r="Q1085" s="91" t="str">
        <f>IF(tblMovimientos[[#This Row],[Cuenta Bancaria]]="","",_xlfn.XLOOKUP(tblMovimientos[[#This Row],[Cuenta Bancaria]],Cuentas!$C:$C,Cuentas!$A:$A,"No encontrado"))</f>
        <v>SSP Group</v>
      </c>
      <c r="R1085" s="91" t="str">
        <f>TRIM(_xlfn.XLOOKUP(tblMovimientos[[#This Row],[Cuenta Bancaria]],Cuentas!$C:$C,Cuentas!$B:$B,""))</f>
        <v/>
      </c>
    </row>
    <row r="1086" spans="1:18" x14ac:dyDescent="0.3">
      <c r="A1086" s="45"/>
      <c r="B1086" s="39">
        <v>46290</v>
      </c>
      <c r="C1086" s="46" t="str">
        <f>_xlfn.XLOOKUP(tblMovimientos[[#This Row],[Cuenta Bancaria]],Listas!$B:$B,Listas!$A:$A,"")</f>
        <v>3628 Thomas Ave</v>
      </c>
      <c r="D1086" s="41" t="s">
        <v>124</v>
      </c>
      <c r="E1086" s="46" t="str">
        <f>_xlfn.XLOOKUP(tblMovimientos[[#This Row],[Cuenta Bancaria]],Listas!$B:$B,Listas!$C:$C,"")</f>
        <v>Bank of America</v>
      </c>
      <c r="F1086" s="41" t="s">
        <v>9</v>
      </c>
      <c r="G1086" s="41" t="s">
        <v>71</v>
      </c>
      <c r="H1086" s="46" t="str">
        <f>IFERROR(_xlfn.XLOOKUP(G1086,Listas!E:E,Listas!F:F,""),"")</f>
        <v>Operativo</v>
      </c>
      <c r="I1086" s="46" t="str">
        <f>IFERROR(_xlfn.XLOOKUP(G1086,Listas!E:E,Listas!G:G,""),"")</f>
        <v>Interno</v>
      </c>
      <c r="J1086" s="43">
        <v>3958.2</v>
      </c>
      <c r="K1086" s="5">
        <f t="shared" si="12"/>
        <v>3958.2</v>
      </c>
      <c r="L1086" s="15" t="s">
        <v>133</v>
      </c>
      <c r="M1086" s="44">
        <f>SUMIFS('Saldos Iniciales'!$D:$D,'Saldos Iniciales'!$A:$A,C1086,'Saldos Iniciales'!$B:$B,D1086)+SUMIFS($K$1:$K$1325,$C$1:$C$1325,C1086,$D$1:$D$1325,D1086,$B$1:$B$1325,"&lt;="&amp;B1086)</f>
        <v>16896.059999999998</v>
      </c>
      <c r="N1086" s="65">
        <f>IF(tblMovimientos[[#This Row],[Tipo de Movimiento]]="Ingreso",tblMovimientos[[#This Row],[Monto (S/)]],"0")</f>
        <v>3958.2</v>
      </c>
      <c r="O1086" s="65" t="str">
        <f>IF(tblMovimientos[[#This Row],[Tipo de Movimiento]]="Egreso",tblMovimientos[[#This Row],[Monto (S/)]],"0")</f>
        <v>0</v>
      </c>
      <c r="P1086" s="28">
        <f>IF(tblMovimientos[[#This Row],[Tipo de Movimiento]]="Ingreso",tblMovimientos[[#This Row],[Ingreso]],-tblMovimientos[[#This Row],[Egreso]])</f>
        <v>3958.2</v>
      </c>
      <c r="Q1086" s="91" t="str">
        <f>IF(tblMovimientos[[#This Row],[Cuenta Bancaria]]="","",_xlfn.XLOOKUP(tblMovimientos[[#This Row],[Cuenta Bancaria]],Cuentas!$C:$C,Cuentas!$A:$A,"No encontrado"))</f>
        <v>SSP Group</v>
      </c>
      <c r="R1086" s="91" t="str">
        <f>TRIM(_xlfn.XLOOKUP(tblMovimientos[[#This Row],[Cuenta Bancaria]],Cuentas!$C:$C,Cuentas!$B:$B,""))</f>
        <v/>
      </c>
    </row>
    <row r="1087" spans="1:18" x14ac:dyDescent="0.3">
      <c r="B1087" s="39">
        <v>46290</v>
      </c>
      <c r="C1087" s="46" t="str">
        <f>_xlfn.XLOOKUP(tblMovimientos[[#This Row],[Cuenta Bancaria]],Listas!$B:$B,Listas!$A:$A,"")</f>
        <v>CFT Group</v>
      </c>
      <c r="D1087" s="41" t="s">
        <v>95</v>
      </c>
      <c r="E1087" s="4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46</v>
      </c>
      <c r="H1087" s="4" t="str">
        <f>IFERROR(_xlfn.XLOOKUP(G1087,Listas!E:E,Listas!F:F,""),"")</f>
        <v>Financiamiento</v>
      </c>
      <c r="I1087" s="46" t="str">
        <f>IFERROR(_xlfn.XLOOKUP(G1087,Listas!E:E,Listas!G:G,""),"")</f>
        <v>Externo</v>
      </c>
      <c r="J1087" s="43">
        <v>1108.79</v>
      </c>
      <c r="K1087" s="5">
        <f t="shared" si="12"/>
        <v>-1108.79</v>
      </c>
      <c r="L1087" s="15" t="s">
        <v>133</v>
      </c>
      <c r="M1087" s="44">
        <f>SUMIFS('Saldos Iniciales'!$D:$D,'Saldos Iniciales'!$A:$A,C1087,'Saldos Iniciales'!$B:$B,D1087)+SUMIFS($K$1:$K$1325,$C$1:$C$1325,C1087,$D$1:$D$1325,D1087,$B$1:$B$1325,"&lt;="&amp;B1087)</f>
        <v>1458385.7100000009</v>
      </c>
      <c r="N1087" s="65" t="str">
        <f>IF(tblMovimientos[[#This Row],[Tipo de Movimiento]]="Ingreso",tblMovimientos[[#This Row],[Monto (S/)]],"0")</f>
        <v>0</v>
      </c>
      <c r="O1087" s="65">
        <f>IF(tblMovimientos[[#This Row],[Tipo de Movimiento]]="Egreso",tblMovimientos[[#This Row],[Monto (S/)]],"0")</f>
        <v>1108.79</v>
      </c>
      <c r="P1087" s="28">
        <f>IF(tblMovimientos[[#This Row],[Tipo de Movimiento]]="Ingreso",tblMovimientos[[#This Row],[Ingreso]],-tblMovimientos[[#This Row],[Egreso]])</f>
        <v>-1108.79</v>
      </c>
      <c r="Q1087" s="91" t="str">
        <f>IF(tblMovimientos[[#This Row],[Cuenta Bancaria]]="","",_xlfn.XLOOKUP(tblMovimientos[[#This Row],[Cuenta Bancaria]],Cuentas!$C:$C,Cuentas!$A:$A,"No encontrado"))</f>
        <v>SSP Group</v>
      </c>
      <c r="R1087" s="91" t="str">
        <f>TRIM(_xlfn.XLOOKUP(tblMovimientos[[#This Row],[Cuenta Bancaria]],Cuentas!$C:$C,Cuentas!$B:$B,""))</f>
        <v/>
      </c>
    </row>
    <row r="1088" spans="1:18" x14ac:dyDescent="0.3">
      <c r="B1088" s="39">
        <v>46290</v>
      </c>
      <c r="C1088" s="46" t="str">
        <f>_xlfn.XLOOKUP(tblMovimientos[[#This Row],[Cuenta Bancaria]],Listas!$B:$B,Listas!$A:$A,"")</f>
        <v>CFT Group</v>
      </c>
      <c r="D1088" s="41" t="s">
        <v>95</v>
      </c>
      <c r="E1088" s="4" t="str">
        <f>_xlfn.XLOOKUP(tblMovimientos[[#This Row],[Cuenta Bancaria]],Listas!$B:$B,Listas!$C:$C,"")</f>
        <v xml:space="preserve">Amerant Bank </v>
      </c>
      <c r="F1088" s="41" t="s">
        <v>10</v>
      </c>
      <c r="G1088" s="41" t="s">
        <v>46</v>
      </c>
      <c r="H1088" s="4" t="str">
        <f>IFERROR(_xlfn.XLOOKUP(G1088,Listas!E:E,Listas!F:F,""),"")</f>
        <v>Financiamiento</v>
      </c>
      <c r="I1088" s="46" t="str">
        <f>IFERROR(_xlfn.XLOOKUP(G1088,Listas!E:E,Listas!G:G,""),"")</f>
        <v>Externo</v>
      </c>
      <c r="J1088" s="43">
        <v>2366.67</v>
      </c>
      <c r="K1088" s="5">
        <f t="shared" si="12"/>
        <v>-2366.67</v>
      </c>
      <c r="L1088" s="15" t="s">
        <v>133</v>
      </c>
      <c r="M1088" s="44">
        <f>SUMIFS('Saldos Iniciales'!$D:$D,'Saldos Iniciales'!$A:$A,C1088,'Saldos Iniciales'!$B:$B,D1088)+SUMIFS($K$1:$K$1325,$C$1:$C$1325,C1088,$D$1:$D$1325,D1088,$B$1:$B$1325,"&lt;="&amp;B1088)</f>
        <v>1458385.7100000009</v>
      </c>
      <c r="N1088" s="65" t="str">
        <f>IF(tblMovimientos[[#This Row],[Tipo de Movimiento]]="Ingreso",tblMovimientos[[#This Row],[Monto (S/)]],"0")</f>
        <v>0</v>
      </c>
      <c r="O1088" s="65">
        <f>IF(tblMovimientos[[#This Row],[Tipo de Movimiento]]="Egreso",tblMovimientos[[#This Row],[Monto (S/)]],"0")</f>
        <v>2366.67</v>
      </c>
      <c r="P1088" s="28">
        <f>IF(tblMovimientos[[#This Row],[Tipo de Movimiento]]="Ingreso",tblMovimientos[[#This Row],[Ingreso]],-tblMovimientos[[#This Row],[Egreso]])</f>
        <v>-2366.67</v>
      </c>
      <c r="Q1088" s="91" t="str">
        <f>IF(tblMovimientos[[#This Row],[Cuenta Bancaria]]="","",_xlfn.XLOOKUP(tblMovimientos[[#This Row],[Cuenta Bancaria]],Cuentas!$C:$C,Cuentas!$A:$A,"No encontrado"))</f>
        <v>SSP Group</v>
      </c>
      <c r="R1088" s="91" t="str">
        <f>TRIM(_xlfn.XLOOKUP(tblMovimientos[[#This Row],[Cuenta Bancaria]],Cuentas!$C:$C,Cuentas!$B:$B,""))</f>
        <v/>
      </c>
    </row>
    <row r="1089" spans="1:18" x14ac:dyDescent="0.3">
      <c r="A1089" s="45"/>
      <c r="B1089" s="39">
        <v>46290</v>
      </c>
      <c r="C1089" s="46" t="str">
        <f>_xlfn.XLOOKUP(tblMovimientos[[#This Row],[Cuenta Bancaria]],Listas!$B:$B,Listas!$A:$A,"")</f>
        <v>CFT Group</v>
      </c>
      <c r="D1089" s="41" t="s">
        <v>95</v>
      </c>
      <c r="E1089" s="46" t="str">
        <f>_xlfn.XLOOKUP(tblMovimientos[[#This Row],[Cuenta Bancaria]],Listas!$B:$B,Listas!$C:$C,"")</f>
        <v xml:space="preserve">Amerant Bank </v>
      </c>
      <c r="F1089" s="41" t="s">
        <v>10</v>
      </c>
      <c r="G1089" s="41" t="s">
        <v>50</v>
      </c>
      <c r="H1089" s="46" t="str">
        <f>IFERROR(_xlfn.XLOOKUP(G1089,Listas!E:E,Listas!F:F,""),"")</f>
        <v>Financiamiento</v>
      </c>
      <c r="I1089" s="46" t="str">
        <f>IFERROR(_xlfn.XLOOKUP(G1089,Listas!E:E,Listas!G:G,""),"")</f>
        <v>Externo</v>
      </c>
      <c r="J1089" s="43">
        <v>3958.2</v>
      </c>
      <c r="K1089" s="5">
        <f t="shared" si="12"/>
        <v>-3958.2</v>
      </c>
      <c r="L1089" s="15" t="s">
        <v>133</v>
      </c>
      <c r="M1089" s="44">
        <f>SUMIFS('Saldos Iniciales'!$D:$D,'Saldos Iniciales'!$A:$A,C1089,'Saldos Iniciales'!$B:$B,D1089)+SUMIFS($K$1:$K$1325,$C$1:$C$1325,C1089,$D$1:$D$1325,D1089,$B$1:$B$1325,"&lt;="&amp;B1089)</f>
        <v>1458385.7100000009</v>
      </c>
      <c r="N1089" s="65" t="str">
        <f>IF(tblMovimientos[[#This Row],[Tipo de Movimiento]]="Ingreso",tblMovimientos[[#This Row],[Monto (S/)]],"0")</f>
        <v>0</v>
      </c>
      <c r="O1089" s="65">
        <f>IF(tblMovimientos[[#This Row],[Tipo de Movimiento]]="Egreso",tblMovimientos[[#This Row],[Monto (S/)]],"0")</f>
        <v>3958.2</v>
      </c>
      <c r="P1089" s="28">
        <f>IF(tblMovimientos[[#This Row],[Tipo de Movimiento]]="Ingreso",tblMovimientos[[#This Row],[Ingreso]],-tblMovimientos[[#This Row],[Egreso]])</f>
        <v>-3958.2</v>
      </c>
      <c r="Q1089" s="91" t="str">
        <f>IF(tblMovimientos[[#This Row],[Cuenta Bancaria]]="","",_xlfn.XLOOKUP(tblMovimientos[[#This Row],[Cuenta Bancaria]],Cuentas!$C:$C,Cuentas!$A:$A,"No encontrado"))</f>
        <v>SSP Group</v>
      </c>
      <c r="R1089" s="91" t="str">
        <f>TRIM(_xlfn.XLOOKUP(tblMovimientos[[#This Row],[Cuenta Bancaria]],Cuentas!$C:$C,Cuentas!$B:$B,""))</f>
        <v/>
      </c>
    </row>
    <row r="1090" spans="1:18" x14ac:dyDescent="0.3">
      <c r="B1090" s="39">
        <v>46290</v>
      </c>
      <c r="C1090" s="46" t="str">
        <f>_xlfn.XLOOKUP(tblMovimientos[[#This Row],[Cuenta Bancaria]],Listas!$B:$B,Listas!$A:$A,"")</f>
        <v>CFT Group</v>
      </c>
      <c r="D1090" s="41" t="s">
        <v>95</v>
      </c>
      <c r="E1090" s="4" t="str">
        <f>_xlfn.XLOOKUP(tblMovimientos[[#This Row],[Cuenta Bancaria]],Listas!$B:$B,Listas!$C:$C,"")</f>
        <v xml:space="preserve">Amerant Bank </v>
      </c>
      <c r="F1090" s="41" t="s">
        <v>10</v>
      </c>
      <c r="G1090" s="41" t="s">
        <v>50</v>
      </c>
      <c r="H1090" s="4" t="str">
        <f>IFERROR(_xlfn.XLOOKUP(G1090,Listas!E:E,Listas!F:F,""),"")</f>
        <v>Financiamiento</v>
      </c>
      <c r="I1090" s="46" t="str">
        <f>IFERROR(_xlfn.XLOOKUP(G1090,Listas!E:E,Listas!G:G,""),"")</f>
        <v>Externo</v>
      </c>
      <c r="J1090" s="43">
        <v>8227.09</v>
      </c>
      <c r="K1090" s="5">
        <f t="shared" si="12"/>
        <v>-8227.09</v>
      </c>
      <c r="L1090" s="15" t="s">
        <v>133</v>
      </c>
      <c r="M1090" s="44">
        <f>SUMIFS('Saldos Iniciales'!$D:$D,'Saldos Iniciales'!$A:$A,C1090,'Saldos Iniciales'!$B:$B,D1090)+SUMIFS($K$1:$K$1325,$C$1:$C$1325,C1090,$D$1:$D$1325,D1090,$B$1:$B$1325,"&lt;="&amp;B1090)</f>
        <v>1458385.7100000009</v>
      </c>
      <c r="N1090" s="65" t="str">
        <f>IF(tblMovimientos[[#This Row],[Tipo de Movimiento]]="Ingreso",tblMovimientos[[#This Row],[Monto (S/)]],"0")</f>
        <v>0</v>
      </c>
      <c r="O1090" s="65">
        <f>IF(tblMovimientos[[#This Row],[Tipo de Movimiento]]="Egreso",tblMovimientos[[#This Row],[Monto (S/)]],"0")</f>
        <v>8227.09</v>
      </c>
      <c r="P1090" s="28">
        <f>IF(tblMovimientos[[#This Row],[Tipo de Movimiento]]="Ingreso",tblMovimientos[[#This Row],[Ingreso]],-tblMovimientos[[#This Row],[Egreso]])</f>
        <v>-8227.09</v>
      </c>
      <c r="Q1090" s="91" t="str">
        <f>IF(tblMovimientos[[#This Row],[Cuenta Bancaria]]="","",_xlfn.XLOOKUP(tblMovimientos[[#This Row],[Cuenta Bancaria]],Cuentas!$C:$C,Cuentas!$A:$A,"No encontrado"))</f>
        <v>SSP Group</v>
      </c>
      <c r="R1090" s="91" t="str">
        <f>TRIM(_xlfn.XLOOKUP(tblMovimientos[[#This Row],[Cuenta Bancaria]],Cuentas!$C:$C,Cuentas!$B:$B,""))</f>
        <v/>
      </c>
    </row>
    <row r="1091" spans="1:18" x14ac:dyDescent="0.3">
      <c r="B1091" s="39">
        <v>46290</v>
      </c>
      <c r="C1091" s="46" t="str">
        <f>_xlfn.XLOOKUP(tblMovimientos[[#This Row],[Cuenta Bancaria]],Listas!$B:$B,Listas!$A:$A,"")</f>
        <v>CFT Group</v>
      </c>
      <c r="D1091" s="41" t="s">
        <v>95</v>
      </c>
      <c r="E1091" s="4" t="str">
        <f>_xlfn.XLOOKUP(tblMovimientos[[#This Row],[Cuenta Bancaria]],Listas!$B:$B,Listas!$C:$C,"")</f>
        <v xml:space="preserve">Amerant Bank </v>
      </c>
      <c r="F1091" s="41" t="s">
        <v>10</v>
      </c>
      <c r="G1091" s="41" t="s">
        <v>46</v>
      </c>
      <c r="H1091" s="4" t="str">
        <f>IFERROR(_xlfn.XLOOKUP(G1091,Listas!E:E,Listas!F:F,""),"")</f>
        <v>Financiamiento</v>
      </c>
      <c r="I1091" s="46" t="str">
        <f>IFERROR(_xlfn.XLOOKUP(G1091,Listas!E:E,Listas!G:G,""),"")</f>
        <v>Externo</v>
      </c>
      <c r="J1091" s="43">
        <v>10000</v>
      </c>
      <c r="K1091" s="5">
        <f t="shared" si="12"/>
        <v>-10000</v>
      </c>
      <c r="L1091" s="15" t="s">
        <v>133</v>
      </c>
      <c r="M1091" s="44">
        <f>SUMIFS('Saldos Iniciales'!$D:$D,'Saldos Iniciales'!$A:$A,C1091,'Saldos Iniciales'!$B:$B,D1091)+SUMIFS($K$1:$K$1325,$C$1:$C$1325,C1091,$D$1:$D$1325,D1091,$B$1:$B$1325,"&lt;="&amp;B1091)</f>
        <v>1458385.7100000009</v>
      </c>
      <c r="N1091" s="65" t="str">
        <f>IF(tblMovimientos[[#This Row],[Tipo de Movimiento]]="Ingreso",tblMovimientos[[#This Row],[Monto (S/)]],"0")</f>
        <v>0</v>
      </c>
      <c r="O1091" s="65">
        <f>IF(tblMovimientos[[#This Row],[Tipo de Movimiento]]="Egreso",tblMovimientos[[#This Row],[Monto (S/)]],"0")</f>
        <v>10000</v>
      </c>
      <c r="P1091" s="28">
        <f>IF(tblMovimientos[[#This Row],[Tipo de Movimiento]]="Ingreso",tblMovimientos[[#This Row],[Ingreso]],-tblMovimientos[[#This Row],[Egreso]])</f>
        <v>-10000</v>
      </c>
      <c r="Q1091" s="91" t="str">
        <f>IF(tblMovimientos[[#This Row],[Cuenta Bancaria]]="","",_xlfn.XLOOKUP(tblMovimientos[[#This Row],[Cuenta Bancaria]],Cuentas!$C:$C,Cuentas!$A:$A,"No encontrado"))</f>
        <v>SSP Group</v>
      </c>
      <c r="R1091" s="91" t="str">
        <f>TRIM(_xlfn.XLOOKUP(tblMovimientos[[#This Row],[Cuenta Bancaria]],Cuentas!$C:$C,Cuentas!$B:$B,""))</f>
        <v/>
      </c>
    </row>
    <row r="1092" spans="1:18" x14ac:dyDescent="0.3">
      <c r="A1092" s="45"/>
      <c r="B1092" s="39">
        <v>46290</v>
      </c>
      <c r="C1092" s="46" t="str">
        <f>_xlfn.XLOOKUP(tblMovimientos[[#This Row],[Cuenta Bancaria]],Listas!$B:$B,Listas!$A:$A,"")</f>
        <v>CFT Group</v>
      </c>
      <c r="D1092" s="41" t="s">
        <v>95</v>
      </c>
      <c r="E1092" s="46" t="str">
        <f>_xlfn.XLOOKUP(tblMovimientos[[#This Row],[Cuenta Bancaria]],Listas!$B:$B,Listas!$C:$C,"")</f>
        <v xml:space="preserve">Amerant Bank </v>
      </c>
      <c r="F1092" s="41" t="s">
        <v>10</v>
      </c>
      <c r="G1092" s="41" t="s">
        <v>46</v>
      </c>
      <c r="H1092" s="46" t="str">
        <f>IFERROR(_xlfn.XLOOKUP(G1092,Listas!E:E,Listas!F:F,""),"")</f>
        <v>Financiamiento</v>
      </c>
      <c r="I1092" s="46" t="str">
        <f>IFERROR(_xlfn.XLOOKUP(G1092,Listas!E:E,Listas!G:G,""),"")</f>
        <v>Externo</v>
      </c>
      <c r="J1092" s="43">
        <v>10833.33</v>
      </c>
      <c r="K1092" s="5">
        <f t="shared" si="12"/>
        <v>-10833.33</v>
      </c>
      <c r="L1092" s="15" t="s">
        <v>133</v>
      </c>
      <c r="M1092" s="44">
        <f>SUMIFS('Saldos Iniciales'!$D:$D,'Saldos Iniciales'!$A:$A,C1092,'Saldos Iniciales'!$B:$B,D1092)+SUMIFS($K$1:$K$1325,$C$1:$C$1325,C1092,$D$1:$D$1325,D1092,$B$1:$B$1325,"&lt;="&amp;B1092)</f>
        <v>1458385.7100000009</v>
      </c>
      <c r="N1092" s="65" t="str">
        <f>IF(tblMovimientos[[#This Row],[Tipo de Movimiento]]="Ingreso",tblMovimientos[[#This Row],[Monto (S/)]],"0")</f>
        <v>0</v>
      </c>
      <c r="O1092" s="65">
        <f>IF(tblMovimientos[[#This Row],[Tipo de Movimiento]]="Egreso",tblMovimientos[[#This Row],[Monto (S/)]],"0")</f>
        <v>10833.33</v>
      </c>
      <c r="P1092" s="28">
        <f>IF(tblMovimientos[[#This Row],[Tipo de Movimiento]]="Ingreso",tblMovimientos[[#This Row],[Ingreso]],-tblMovimientos[[#This Row],[Egreso]])</f>
        <v>-10833.33</v>
      </c>
      <c r="Q1092" s="91" t="str">
        <f>IF(tblMovimientos[[#This Row],[Cuenta Bancaria]]="","",_xlfn.XLOOKUP(tblMovimientos[[#This Row],[Cuenta Bancaria]],Cuentas!$C:$C,Cuentas!$A:$A,"No encontrado"))</f>
        <v>SSP Group</v>
      </c>
      <c r="R1092" s="91" t="str">
        <f>TRIM(_xlfn.XLOOKUP(tblMovimientos[[#This Row],[Cuenta Bancaria]],Cuentas!$C:$C,Cuentas!$B:$B,""))</f>
        <v/>
      </c>
    </row>
    <row r="1093" spans="1:18" x14ac:dyDescent="0.3">
      <c r="B1093" s="39">
        <v>46290</v>
      </c>
      <c r="C1093" s="46" t="str">
        <f>_xlfn.XLOOKUP(tblMovimientos[[#This Row],[Cuenta Bancaria]],Listas!$B:$B,Listas!$A:$A,"")</f>
        <v>CFT Group</v>
      </c>
      <c r="D1093" s="41" t="s">
        <v>95</v>
      </c>
      <c r="E1093" s="4" t="str">
        <f>_xlfn.XLOOKUP(tblMovimientos[[#This Row],[Cuenta Bancaria]],Listas!$B:$B,Listas!$C:$C,"")</f>
        <v xml:space="preserve">Amerant Bank </v>
      </c>
      <c r="F1093" s="41" t="s">
        <v>10</v>
      </c>
      <c r="G1093" s="41" t="s">
        <v>61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100000</v>
      </c>
      <c r="K1093" s="5">
        <f t="shared" si="12"/>
        <v>-100000</v>
      </c>
      <c r="L1093" s="15" t="s">
        <v>133</v>
      </c>
      <c r="M1093" s="44">
        <f>SUMIFS('Saldos Iniciales'!$D:$D,'Saldos Iniciales'!$A:$A,C1093,'Saldos Iniciales'!$B:$B,D1093)+SUMIFS($K$1:$K$1325,$C$1:$C$1325,C1093,$D$1:$D$1325,D1093,$B$1:$B$1325,"&lt;="&amp;B1093)</f>
        <v>1458385.7100000009</v>
      </c>
      <c r="N1093" s="65" t="str">
        <f>IF(tblMovimientos[[#This Row],[Tipo de Movimiento]]="Ingreso",tblMovimientos[[#This Row],[Monto (S/)]],"0")</f>
        <v>0</v>
      </c>
      <c r="O1093" s="65">
        <f>IF(tblMovimientos[[#This Row],[Tipo de Movimiento]]="Egreso",tblMovimientos[[#This Row],[Monto (S/)]],"0")</f>
        <v>100000</v>
      </c>
      <c r="P1093" s="28">
        <f>IF(tblMovimientos[[#This Row],[Tipo de Movimiento]]="Ingreso",tblMovimientos[[#This Row],[Ingreso]],-tblMovimientos[[#This Row],[Egreso]])</f>
        <v>-100000</v>
      </c>
      <c r="Q1093" s="91" t="str">
        <f>IF(tblMovimientos[[#This Row],[Cuenta Bancaria]]="","",_xlfn.XLOOKUP(tblMovimientos[[#This Row],[Cuenta Bancaria]],Cuentas!$C:$C,Cuentas!$A:$A,"No encontrado"))</f>
        <v>SSP Group</v>
      </c>
      <c r="R1093" s="91" t="str">
        <f>TRIM(_xlfn.XLOOKUP(tblMovimientos[[#This Row],[Cuenta Bancaria]],Cuentas!$C:$C,Cuentas!$B:$B,""))</f>
        <v/>
      </c>
    </row>
    <row r="1094" spans="1:18" x14ac:dyDescent="0.3">
      <c r="A1094" s="45"/>
      <c r="B1094" s="39">
        <v>46290</v>
      </c>
      <c r="C1094" s="46" t="str">
        <f>_xlfn.XLOOKUP(tblMovimientos[[#This Row],[Cuenta Bancaria]],Listas!$B:$B,Listas!$A:$A,"")</f>
        <v>CFT Group</v>
      </c>
      <c r="D1094" s="41" t="s">
        <v>95</v>
      </c>
      <c r="E1094" s="46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62</v>
      </c>
      <c r="H1094" s="46" t="str">
        <f>IFERROR(_xlfn.XLOOKUP(G1094,Listas!E:E,Listas!F:F,""),"")</f>
        <v>Operativo</v>
      </c>
      <c r="I1094" s="46" t="str">
        <f>IFERROR(_xlfn.XLOOKUP(G1094,Listas!E:E,Listas!G:G,""),"")</f>
        <v>Interno</v>
      </c>
      <c r="J1094" s="43">
        <v>350000</v>
      </c>
      <c r="K1094" s="5">
        <f t="shared" si="12"/>
        <v>-350000</v>
      </c>
      <c r="L1094" s="15" t="s">
        <v>133</v>
      </c>
      <c r="M1094" s="44">
        <f>SUMIFS('Saldos Iniciales'!$D:$D,'Saldos Iniciales'!$A:$A,C1094,'Saldos Iniciales'!$B:$B,D1094)+SUMIFS($K$1:$K$1325,$C$1:$C$1325,C1094,$D$1:$D$1325,D1094,$B$1:$B$1325,"&lt;="&amp;B1094)</f>
        <v>1458385.7100000009</v>
      </c>
      <c r="N1094" s="65" t="str">
        <f>IF(tblMovimientos[[#This Row],[Tipo de Movimiento]]="Ingreso",tblMovimientos[[#This Row],[Monto (S/)]],"0")</f>
        <v>0</v>
      </c>
      <c r="O1094" s="65">
        <f>IF(tblMovimientos[[#This Row],[Tipo de Movimiento]]="Egreso",tblMovimientos[[#This Row],[Monto (S/)]],"0")</f>
        <v>350000</v>
      </c>
      <c r="P1094" s="28">
        <f>IF(tblMovimientos[[#This Row],[Tipo de Movimiento]]="Ingreso",tblMovimientos[[#This Row],[Ingreso]],-tblMovimientos[[#This Row],[Egreso]])</f>
        <v>-350000</v>
      </c>
      <c r="Q1094" s="91" t="str">
        <f>IF(tblMovimientos[[#This Row],[Cuenta Bancaria]]="","",_xlfn.XLOOKUP(tblMovimientos[[#This Row],[Cuenta Bancaria]],Cuentas!$C:$C,Cuentas!$A:$A,"No encontrado"))</f>
        <v>SSP Group</v>
      </c>
      <c r="R1094" s="91" t="str">
        <f>TRIM(_xlfn.XLOOKUP(tblMovimientos[[#This Row],[Cuenta Bancaria]],Cuentas!$C:$C,Cuentas!$B:$B,""))</f>
        <v/>
      </c>
    </row>
    <row r="1095" spans="1:18" x14ac:dyDescent="0.3">
      <c r="B1095" s="39">
        <v>46290</v>
      </c>
      <c r="C1095" s="46" t="str">
        <f>_xlfn.XLOOKUP(tblMovimientos[[#This Row],[Cuenta Bancaria]],Listas!$B:$B,Listas!$A:$A,"")</f>
        <v>SSP Capital</v>
      </c>
      <c r="D1095" s="41" t="s">
        <v>104</v>
      </c>
      <c r="E1095" s="4" t="str">
        <f>_xlfn.XLOOKUP(tblMovimientos[[#This Row],[Cuenta Bancaria]],Listas!$B:$B,Listas!$C:$C,"")</f>
        <v xml:space="preserve">Amerant Bank </v>
      </c>
      <c r="F1095" s="41" t="s">
        <v>9</v>
      </c>
      <c r="G1095" s="41" t="s">
        <v>75</v>
      </c>
      <c r="H1095" s="4" t="str">
        <f>IFERROR(_xlfn.XLOOKUP(G1095,Listas!E:E,Listas!F:F,""),"")</f>
        <v>Financiamiento</v>
      </c>
      <c r="I1095" s="46" t="str">
        <f>IFERROR(_xlfn.XLOOKUP(G1095,Listas!E:E,Listas!G:G,""),"")</f>
        <v>Interno</v>
      </c>
      <c r="J1095" s="43">
        <v>350000</v>
      </c>
      <c r="K1095" s="5">
        <f t="shared" si="12"/>
        <v>350000</v>
      </c>
      <c r="L1095" s="15" t="s">
        <v>133</v>
      </c>
      <c r="M1095" s="44">
        <f>SUMIFS('Saldos Iniciales'!$D:$D,'Saldos Iniciales'!$A:$A,C1095,'Saldos Iniciales'!$B:$B,D1095)+SUMIFS($K$1:$K$1325,$C$1:$C$1325,C1095,$D$1:$D$1325,D1095,$B$1:$B$1325,"&lt;="&amp;B1095)</f>
        <v>506391.70999999926</v>
      </c>
      <c r="N1095" s="65">
        <f>IF(tblMovimientos[[#This Row],[Tipo de Movimiento]]="Ingreso",tblMovimientos[[#This Row],[Monto (S/)]],"0")</f>
        <v>350000</v>
      </c>
      <c r="O1095" s="65" t="str">
        <f>IF(tblMovimientos[[#This Row],[Tipo de Movimiento]]="Egreso",tblMovimientos[[#This Row],[Monto (S/)]],"0")</f>
        <v>0</v>
      </c>
      <c r="P1095" s="28">
        <f>IF(tblMovimientos[[#This Row],[Tipo de Movimiento]]="Ingreso",tblMovimientos[[#This Row],[Ingreso]],-tblMovimientos[[#This Row],[Egreso]])</f>
        <v>350000</v>
      </c>
      <c r="Q1095" s="91" t="str">
        <f>IF(tblMovimientos[[#This Row],[Cuenta Bancaria]]="","",_xlfn.XLOOKUP(tblMovimientos[[#This Row],[Cuenta Bancaria]],Cuentas!$C:$C,Cuentas!$A:$A,"No encontrado"))</f>
        <v>SSP Group</v>
      </c>
      <c r="R1095" s="91" t="str">
        <f>TRIM(_xlfn.XLOOKUP(tblMovimientos[[#This Row],[Cuenta Bancaria]],Cuentas!$C:$C,Cuentas!$B:$B,""))</f>
        <v/>
      </c>
    </row>
    <row r="1096" spans="1:18" x14ac:dyDescent="0.3">
      <c r="B1096" s="39">
        <v>46290</v>
      </c>
      <c r="C1096" s="46" t="str">
        <f>_xlfn.XLOOKUP(tblMovimientos[[#This Row],[Cuenta Bancaria]],Listas!$B:$B,Listas!$A:$A,"")</f>
        <v>SSP Capital</v>
      </c>
      <c r="D1096" s="41" t="s">
        <v>104</v>
      </c>
      <c r="E1096" s="4" t="str">
        <f>_xlfn.XLOOKUP(tblMovimientos[[#This Row],[Cuenta Bancaria]],Listas!$B:$B,Listas!$C:$C,"")</f>
        <v xml:space="preserve">Amerant Bank </v>
      </c>
      <c r="F1096" s="41" t="s">
        <v>10</v>
      </c>
      <c r="G1096" s="41" t="s">
        <v>38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295</v>
      </c>
      <c r="K1096" s="5">
        <f t="shared" si="12"/>
        <v>-295</v>
      </c>
      <c r="L1096" s="15" t="s">
        <v>133</v>
      </c>
      <c r="M1096" s="44">
        <f>SUMIFS('Saldos Iniciales'!$D:$D,'Saldos Iniciales'!$A:$A,C1096,'Saldos Iniciales'!$B:$B,D1096)+SUMIFS($K$1:$K$1325,$C$1:$C$1325,C1096,$D$1:$D$1325,D1096,$B$1:$B$1325,"&lt;="&amp;B1096)</f>
        <v>506391.70999999926</v>
      </c>
      <c r="N1096" s="65" t="str">
        <f>IF(tblMovimientos[[#This Row],[Tipo de Movimiento]]="Ingreso",tblMovimientos[[#This Row],[Monto (S/)]],"0")</f>
        <v>0</v>
      </c>
      <c r="O1096" s="65">
        <f>IF(tblMovimientos[[#This Row],[Tipo de Movimiento]]="Egreso",tblMovimientos[[#This Row],[Monto (S/)]],"0")</f>
        <v>295</v>
      </c>
      <c r="P1096" s="28">
        <f>IF(tblMovimientos[[#This Row],[Tipo de Movimiento]]="Ingreso",tblMovimientos[[#This Row],[Ingreso]],-tblMovimientos[[#This Row],[Egreso]])</f>
        <v>-295</v>
      </c>
      <c r="Q1096" s="91" t="str">
        <f>IF(tblMovimientos[[#This Row],[Cuenta Bancaria]]="","",_xlfn.XLOOKUP(tblMovimientos[[#This Row],[Cuenta Bancaria]],Cuentas!$C:$C,Cuentas!$A:$A,"No encontrado"))</f>
        <v>SSP Group</v>
      </c>
      <c r="R1096" s="91" t="str">
        <f>TRIM(_xlfn.XLOOKUP(tblMovimientos[[#This Row],[Cuenta Bancaria]],Cuentas!$C:$C,Cuentas!$B:$B,""))</f>
        <v/>
      </c>
    </row>
    <row r="1097" spans="1:18" x14ac:dyDescent="0.3">
      <c r="B1097" s="39">
        <v>46290</v>
      </c>
      <c r="C1097" s="46" t="str">
        <f>_xlfn.XLOOKUP(tblMovimientos[[#This Row],[Cuenta Bancaria]],Listas!$B:$B,Listas!$A:$A,"")</f>
        <v>SSP Capital</v>
      </c>
      <c r="D1097" s="41" t="s">
        <v>104</v>
      </c>
      <c r="E1097" s="4" t="str">
        <f>_xlfn.XLOOKUP(tblMovimientos[[#This Row],[Cuenta Bancaria]],Listas!$B:$B,Listas!$C:$C,"")</f>
        <v xml:space="preserve">Amerant Bank </v>
      </c>
      <c r="F1097" s="41" t="s">
        <v>10</v>
      </c>
      <c r="G1097" s="41" t="s">
        <v>46</v>
      </c>
      <c r="H1097" s="4" t="str">
        <f>IFERROR(_xlfn.XLOOKUP(G1097,Listas!E:E,Listas!F:F,""),"")</f>
        <v>Financiamiento</v>
      </c>
      <c r="I1097" s="46" t="str">
        <f>IFERROR(_xlfn.XLOOKUP(G1097,Listas!E:E,Listas!G:G,""),"")</f>
        <v>Externo</v>
      </c>
      <c r="J1097" s="43">
        <v>4071.45</v>
      </c>
      <c r="K1097" s="5">
        <f t="shared" si="12"/>
        <v>-4071.45</v>
      </c>
      <c r="L1097" s="15" t="s">
        <v>133</v>
      </c>
      <c r="M1097" s="44">
        <f>SUMIFS('Saldos Iniciales'!$D:$D,'Saldos Iniciales'!$A:$A,C1097,'Saldos Iniciales'!$B:$B,D1097)+SUMIFS($K$1:$K$1325,$C$1:$C$1325,C1097,$D$1:$D$1325,D1097,$B$1:$B$1325,"&lt;="&amp;B1097)</f>
        <v>506391.70999999926</v>
      </c>
      <c r="N1097" s="65" t="str">
        <f>IF(tblMovimientos[[#This Row],[Tipo de Movimiento]]="Ingreso",tblMovimientos[[#This Row],[Monto (S/)]],"0")</f>
        <v>0</v>
      </c>
      <c r="O1097" s="65">
        <f>IF(tblMovimientos[[#This Row],[Tipo de Movimiento]]="Egreso",tblMovimientos[[#This Row],[Monto (S/)]],"0")</f>
        <v>4071.45</v>
      </c>
      <c r="P1097" s="28">
        <f>IF(tblMovimientos[[#This Row],[Tipo de Movimiento]]="Ingreso",tblMovimientos[[#This Row],[Ingreso]],-tblMovimientos[[#This Row],[Egreso]])</f>
        <v>-4071.45</v>
      </c>
      <c r="Q1097" s="91" t="str">
        <f>IF(tblMovimientos[[#This Row],[Cuenta Bancaria]]="","",_xlfn.XLOOKUP(tblMovimientos[[#This Row],[Cuenta Bancaria]],Cuentas!$C:$C,Cuentas!$A:$A,"No encontrado"))</f>
        <v>SSP Group</v>
      </c>
      <c r="R1097" s="91" t="str">
        <f>TRIM(_xlfn.XLOOKUP(tblMovimientos[[#This Row],[Cuenta Bancaria]],Cuentas!$C:$C,Cuentas!$B:$B,""))</f>
        <v/>
      </c>
    </row>
    <row r="1098" spans="1:18" x14ac:dyDescent="0.3">
      <c r="A1098" s="45"/>
      <c r="B1098" s="39">
        <v>46290</v>
      </c>
      <c r="C1098" s="46" t="str">
        <f>_xlfn.XLOOKUP(tblMovimientos[[#This Row],[Cuenta Bancaria]],Listas!$B:$B,Listas!$A:$A,"")</f>
        <v>SSP Capital</v>
      </c>
      <c r="D1098" s="41" t="s">
        <v>104</v>
      </c>
      <c r="E1098" s="46" t="str">
        <f>_xlfn.XLOOKUP(tblMovimientos[[#This Row],[Cuenta Bancaria]],Listas!$B:$B,Listas!$C:$C,"")</f>
        <v xml:space="preserve">Amerant Bank </v>
      </c>
      <c r="F1098" s="41" t="s">
        <v>10</v>
      </c>
      <c r="G1098" s="41" t="s">
        <v>56</v>
      </c>
      <c r="H1098" s="46" t="str">
        <f>IFERROR(_xlfn.XLOOKUP(G1098,Listas!E:E,Listas!F:F,""),"")</f>
        <v>Inversion</v>
      </c>
      <c r="I1098" s="46" t="str">
        <f>IFERROR(_xlfn.XLOOKUP(G1098,Listas!E:E,Listas!G:G,""),"")</f>
        <v>Externo</v>
      </c>
      <c r="J1098" s="43">
        <v>8392.27</v>
      </c>
      <c r="K1098" s="5">
        <f t="shared" si="12"/>
        <v>-8392.27</v>
      </c>
      <c r="L1098" s="15" t="s">
        <v>133</v>
      </c>
      <c r="M1098" s="44">
        <f>SUMIFS('Saldos Iniciales'!$D:$D,'Saldos Iniciales'!$A:$A,C1098,'Saldos Iniciales'!$B:$B,D1098)+SUMIFS($K$1:$K$1325,$C$1:$C$1325,C1098,$D$1:$D$1325,D1098,$B$1:$B$1325,"&lt;="&amp;B1098)</f>
        <v>506391.70999999926</v>
      </c>
      <c r="N1098" s="65" t="str">
        <f>IF(tblMovimientos[[#This Row],[Tipo de Movimiento]]="Ingreso",tblMovimientos[[#This Row],[Monto (S/)]],"0")</f>
        <v>0</v>
      </c>
      <c r="O1098" s="65">
        <f>IF(tblMovimientos[[#This Row],[Tipo de Movimiento]]="Egreso",tblMovimientos[[#This Row],[Monto (S/)]],"0")</f>
        <v>8392.27</v>
      </c>
      <c r="P1098" s="28">
        <f>IF(tblMovimientos[[#This Row],[Tipo de Movimiento]]="Ingreso",tblMovimientos[[#This Row],[Ingreso]],-tblMovimientos[[#This Row],[Egreso]])</f>
        <v>-8392.27</v>
      </c>
      <c r="Q1098" s="91" t="str">
        <f>IF(tblMovimientos[[#This Row],[Cuenta Bancaria]]="","",_xlfn.XLOOKUP(tblMovimientos[[#This Row],[Cuenta Bancaria]],Cuentas!$C:$C,Cuentas!$A:$A,"No encontrado"))</f>
        <v>SSP Group</v>
      </c>
      <c r="R1098" s="91" t="str">
        <f>TRIM(_xlfn.XLOOKUP(tblMovimientos[[#This Row],[Cuenta Bancaria]],Cuentas!$C:$C,Cuentas!$B:$B,""))</f>
        <v/>
      </c>
    </row>
    <row r="1099" spans="1:18" x14ac:dyDescent="0.3">
      <c r="B1099" s="39">
        <v>46290</v>
      </c>
      <c r="C1099" s="46" t="str">
        <f>_xlfn.XLOOKUP(tblMovimientos[[#This Row],[Cuenta Bancaria]],Listas!$B:$B,Listas!$A:$A,"")</f>
        <v>SSP Capital</v>
      </c>
      <c r="D1099" s="41" t="s">
        <v>104</v>
      </c>
      <c r="E1099" s="4" t="str">
        <f>_xlfn.XLOOKUP(tblMovimientos[[#This Row],[Cuenta Bancaria]],Listas!$B:$B,Listas!$C:$C,"")</f>
        <v xml:space="preserve">Amerant Bank </v>
      </c>
      <c r="F1099" s="41" t="s">
        <v>10</v>
      </c>
      <c r="G1099" s="41" t="s">
        <v>46</v>
      </c>
      <c r="H1099" s="4" t="str">
        <f>IFERROR(_xlfn.XLOOKUP(G1099,Listas!E:E,Listas!F:F,""),"")</f>
        <v>Financiamiento</v>
      </c>
      <c r="I1099" s="46" t="str">
        <f>IFERROR(_xlfn.XLOOKUP(G1099,Listas!E:E,Listas!G:G,""),"")</f>
        <v>Externo</v>
      </c>
      <c r="J1099" s="43">
        <v>8666.67</v>
      </c>
      <c r="K1099" s="5">
        <f t="shared" si="12"/>
        <v>-8666.67</v>
      </c>
      <c r="L1099" s="15" t="s">
        <v>133</v>
      </c>
      <c r="M1099" s="44">
        <f>SUMIFS('Saldos Iniciales'!$D:$D,'Saldos Iniciales'!$A:$A,C1099,'Saldos Iniciales'!$B:$B,D1099)+SUMIFS($K$1:$K$1325,$C$1:$C$1325,C1099,$D$1:$D$1325,D1099,$B$1:$B$1325,"&lt;="&amp;B1099)</f>
        <v>506391.70999999926</v>
      </c>
      <c r="N1099" s="65" t="str">
        <f>IF(tblMovimientos[[#This Row],[Tipo de Movimiento]]="Ingreso",tblMovimientos[[#This Row],[Monto (S/)]],"0")</f>
        <v>0</v>
      </c>
      <c r="O1099" s="65">
        <f>IF(tblMovimientos[[#This Row],[Tipo de Movimiento]]="Egreso",tblMovimientos[[#This Row],[Monto (S/)]],"0")</f>
        <v>8666.67</v>
      </c>
      <c r="P1099" s="28">
        <f>IF(tblMovimientos[[#This Row],[Tipo de Movimiento]]="Ingreso",tblMovimientos[[#This Row],[Ingreso]],-tblMovimientos[[#This Row],[Egreso]])</f>
        <v>-8666.67</v>
      </c>
      <c r="Q1099" s="91" t="str">
        <f>IF(tblMovimientos[[#This Row],[Cuenta Bancaria]]="","",_xlfn.XLOOKUP(tblMovimientos[[#This Row],[Cuenta Bancaria]],Cuentas!$C:$C,Cuentas!$A:$A,"No encontrado"))</f>
        <v>SSP Group</v>
      </c>
      <c r="R1099" s="91" t="str">
        <f>TRIM(_xlfn.XLOOKUP(tblMovimientos[[#This Row],[Cuenta Bancaria]],Cuentas!$C:$C,Cuentas!$B:$B,""))</f>
        <v/>
      </c>
    </row>
    <row r="1100" spans="1:18" x14ac:dyDescent="0.3">
      <c r="A1100" s="45"/>
      <c r="B1100" s="39">
        <v>46290</v>
      </c>
      <c r="C1100" s="46" t="str">
        <f>_xlfn.XLOOKUP(tblMovimientos[[#This Row],[Cuenta Bancaria]],Listas!$B:$B,Listas!$A:$A,"")</f>
        <v>SSP Capital</v>
      </c>
      <c r="D1100" s="41" t="s">
        <v>104</v>
      </c>
      <c r="E1100" s="46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38</v>
      </c>
      <c r="H1100" s="46" t="str">
        <f>IFERROR(_xlfn.XLOOKUP(G1100,Listas!E:E,Listas!F:F,""),"")</f>
        <v>Operativo</v>
      </c>
      <c r="I1100" s="46" t="str">
        <f>IFERROR(_xlfn.XLOOKUP(G1100,Listas!E:E,Listas!G:G,""),"")</f>
        <v>Externo</v>
      </c>
      <c r="J1100" s="43">
        <v>10753.2</v>
      </c>
      <c r="K1100" s="5">
        <f t="shared" si="12"/>
        <v>-10753.2</v>
      </c>
      <c r="L1100" s="15" t="s">
        <v>133</v>
      </c>
      <c r="M1100" s="44">
        <f>SUMIFS('Saldos Iniciales'!$D:$D,'Saldos Iniciales'!$A:$A,C1100,'Saldos Iniciales'!$B:$B,D1100)+SUMIFS($K$1:$K$1325,$C$1:$C$1325,C1100,$D$1:$D$1325,D1100,$B$1:$B$1325,"&lt;="&amp;B1100)</f>
        <v>506391.70999999926</v>
      </c>
      <c r="N1100" s="65" t="str">
        <f>IF(tblMovimientos[[#This Row],[Tipo de Movimiento]]="Ingreso",tblMovimientos[[#This Row],[Monto (S/)]],"0")</f>
        <v>0</v>
      </c>
      <c r="O1100" s="65">
        <f>IF(tblMovimientos[[#This Row],[Tipo de Movimiento]]="Egreso",tblMovimientos[[#This Row],[Monto (S/)]],"0")</f>
        <v>10753.2</v>
      </c>
      <c r="P1100" s="28">
        <f>IF(tblMovimientos[[#This Row],[Tipo de Movimiento]]="Ingreso",tblMovimientos[[#This Row],[Ingreso]],-tblMovimientos[[#This Row],[Egreso]])</f>
        <v>-10753.2</v>
      </c>
      <c r="Q1100" s="91" t="str">
        <f>IF(tblMovimientos[[#This Row],[Cuenta Bancaria]]="","",_xlfn.XLOOKUP(tblMovimientos[[#This Row],[Cuenta Bancaria]],Cuentas!$C:$C,Cuentas!$A:$A,"No encontrado"))</f>
        <v>SSP Group</v>
      </c>
      <c r="R1100" s="91" t="str">
        <f>TRIM(_xlfn.XLOOKUP(tblMovimientos[[#This Row],[Cuenta Bancaria]],Cuentas!$C:$C,Cuentas!$B:$B,""))</f>
        <v/>
      </c>
    </row>
    <row r="1101" spans="1:18" x14ac:dyDescent="0.3">
      <c r="A1101" s="45"/>
      <c r="B1101" s="39">
        <v>46290</v>
      </c>
      <c r="C1101" s="46" t="str">
        <f>_xlfn.XLOOKUP(tblMovimientos[[#This Row],[Cuenta Bancaria]],Listas!$B:$B,Listas!$A:$A,"")</f>
        <v>SSP Capital</v>
      </c>
      <c r="D1101" s="41" t="s">
        <v>104</v>
      </c>
      <c r="E1101" s="46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46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33463.550000000003</v>
      </c>
      <c r="K1101" s="5">
        <f t="shared" si="12"/>
        <v>-33463.550000000003</v>
      </c>
      <c r="L1101" s="15" t="s">
        <v>133</v>
      </c>
      <c r="M1101" s="44">
        <f>SUMIFS('Saldos Iniciales'!$D:$D,'Saldos Iniciales'!$A:$A,C1101,'Saldos Iniciales'!$B:$B,D1101)+SUMIFS($K$1:$K$1325,$C$1:$C$1325,C1101,$D$1:$D$1325,D1101,$B$1:$B$1325,"&lt;="&amp;B1101)</f>
        <v>506391.70999999926</v>
      </c>
      <c r="N1101" s="65" t="str">
        <f>IF(tblMovimientos[[#This Row],[Tipo de Movimiento]]="Ingreso",tblMovimientos[[#This Row],[Monto (S/)]],"0")</f>
        <v>0</v>
      </c>
      <c r="O1101" s="65">
        <f>IF(tblMovimientos[[#This Row],[Tipo de Movimiento]]="Egreso",tblMovimientos[[#This Row],[Monto (S/)]],"0")</f>
        <v>33463.550000000003</v>
      </c>
      <c r="P1101" s="28">
        <f>IF(tblMovimientos[[#This Row],[Tipo de Movimiento]]="Ingreso",tblMovimientos[[#This Row],[Ingreso]],-tblMovimientos[[#This Row],[Egreso]])</f>
        <v>-33463.550000000003</v>
      </c>
      <c r="Q1101" s="91" t="str">
        <f>IF(tblMovimientos[[#This Row],[Cuenta Bancaria]]="","",_xlfn.XLOOKUP(tblMovimientos[[#This Row],[Cuenta Bancaria]],Cuentas!$C:$C,Cuentas!$A:$A,"No encontrado"))</f>
        <v>SSP Group</v>
      </c>
      <c r="R1101" s="91" t="str">
        <f>TRIM(_xlfn.XLOOKUP(tblMovimientos[[#This Row],[Cuenta Bancaria]],Cuentas!$C:$C,Cuentas!$B:$B,""))</f>
        <v/>
      </c>
    </row>
    <row r="1102" spans="1:18" x14ac:dyDescent="0.3">
      <c r="B1102" s="39">
        <v>46290</v>
      </c>
      <c r="C1102" s="46" t="str">
        <f>_xlfn.XLOOKUP(tblMovimientos[[#This Row],[Cuenta Bancaria]],Listas!$B:$B,Listas!$A:$A,"")</f>
        <v>Go Blue</v>
      </c>
      <c r="D1102" s="41" t="s">
        <v>126</v>
      </c>
      <c r="E1102" s="4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38</v>
      </c>
      <c r="H1102" s="4" t="str">
        <f>IFERROR(_xlfn.XLOOKUP(G1102,Listas!E:E,Listas!F:F,""),"")</f>
        <v>Operativo</v>
      </c>
      <c r="I1102" s="46" t="str">
        <f>IFERROR(_xlfn.XLOOKUP(G1102,Listas!E:E,Listas!G:G,""),"")</f>
        <v>Externo</v>
      </c>
      <c r="J1102" s="43">
        <v>3125</v>
      </c>
      <c r="K1102" s="5">
        <f t="shared" si="12"/>
        <v>-3125</v>
      </c>
      <c r="L1102" s="15" t="s">
        <v>133</v>
      </c>
      <c r="M1102" s="44">
        <f>SUMIFS('Saldos Iniciales'!$D:$D,'Saldos Iniciales'!$A:$A,C1102,'Saldos Iniciales'!$B:$B,D1102)+SUMIFS($K$1:$K$1325,$C$1:$C$1325,C1102,$D$1:$D$1325,D1102,$B$1:$B$1325,"&lt;="&amp;B1102)</f>
        <v>11349.689999999999</v>
      </c>
      <c r="N1102" s="65" t="str">
        <f>IF(tblMovimientos[[#This Row],[Tipo de Movimiento]]="Ingreso",tblMovimientos[[#This Row],[Monto (S/)]],"0")</f>
        <v>0</v>
      </c>
      <c r="O1102" s="65">
        <f>IF(tblMovimientos[[#This Row],[Tipo de Movimiento]]="Egreso",tblMovimientos[[#This Row],[Monto (S/)]],"0")</f>
        <v>3125</v>
      </c>
      <c r="P1102" s="28">
        <f>IF(tblMovimientos[[#This Row],[Tipo de Movimiento]]="Ingreso",tblMovimientos[[#This Row],[Ingreso]],-tblMovimientos[[#This Row],[Egreso]])</f>
        <v>-3125</v>
      </c>
      <c r="Q1102" s="91" t="str">
        <f>IF(tblMovimientos[[#This Row],[Cuenta Bancaria]]="","",_xlfn.XLOOKUP(tblMovimientos[[#This Row],[Cuenta Bancaria]],Cuentas!$C:$C,Cuentas!$A:$A,"No encontrado"))</f>
        <v>SSP Group</v>
      </c>
      <c r="R1102" s="91" t="str">
        <f>TRIM(_xlfn.XLOOKUP(tblMovimientos[[#This Row],[Cuenta Bancaria]],Cuentas!$C:$C,Cuentas!$B:$B,""))</f>
        <v/>
      </c>
    </row>
    <row r="1103" spans="1:18" x14ac:dyDescent="0.3">
      <c r="A1103" s="45"/>
      <c r="B1103" s="39">
        <v>46290</v>
      </c>
      <c r="C1103" s="46" t="str">
        <f>_xlfn.XLOOKUP(tblMovimientos[[#This Row],[Cuenta Bancaria]],Listas!$B:$B,Listas!$A:$A,"")</f>
        <v>Go Blue</v>
      </c>
      <c r="D1103" s="41" t="s">
        <v>126</v>
      </c>
      <c r="E1103" s="46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44</v>
      </c>
      <c r="H1103" s="46" t="str">
        <f>IFERROR(_xlfn.XLOOKUP(G1103,Listas!E:E,Listas!F:F,""),"")</f>
        <v>Operativo</v>
      </c>
      <c r="I1103" s="46" t="str">
        <f>IFERROR(_xlfn.XLOOKUP(G1103,Listas!E:E,Listas!G:G,""),"")</f>
        <v>Externo</v>
      </c>
      <c r="J1103" s="43">
        <v>15</v>
      </c>
      <c r="K1103" s="5">
        <f t="shared" si="12"/>
        <v>-15</v>
      </c>
      <c r="L1103" s="15" t="s">
        <v>133</v>
      </c>
      <c r="M1103" s="44">
        <f>SUMIFS('Saldos Iniciales'!$D:$D,'Saldos Iniciales'!$A:$A,C1103,'Saldos Iniciales'!$B:$B,D1103)+SUMIFS($K$1:$K$1325,$C$1:$C$1325,C1103,$D$1:$D$1325,D1103,$B$1:$B$1325,"&lt;="&amp;B1103)</f>
        <v>11349.689999999999</v>
      </c>
      <c r="N1103" s="65" t="str">
        <f>IF(tblMovimientos[[#This Row],[Tipo de Movimiento]]="Ingreso",tblMovimientos[[#This Row],[Monto (S/)]],"0")</f>
        <v>0</v>
      </c>
      <c r="O1103" s="65">
        <f>IF(tblMovimientos[[#This Row],[Tipo de Movimiento]]="Egreso",tblMovimientos[[#This Row],[Monto (S/)]],"0")</f>
        <v>15</v>
      </c>
      <c r="P1103" s="28">
        <f>IF(tblMovimientos[[#This Row],[Tipo de Movimiento]]="Ingreso",tblMovimientos[[#This Row],[Ingreso]],-tblMovimientos[[#This Row],[Egreso]])</f>
        <v>-15</v>
      </c>
      <c r="Q1103" s="91" t="str">
        <f>IF(tblMovimientos[[#This Row],[Cuenta Bancaria]]="","",_xlfn.XLOOKUP(tblMovimientos[[#This Row],[Cuenta Bancaria]],Cuentas!$C:$C,Cuentas!$A:$A,"No encontrado"))</f>
        <v>SSP Group</v>
      </c>
      <c r="R1103" s="91" t="str">
        <f>TRIM(_xlfn.XLOOKUP(tblMovimientos[[#This Row],[Cuenta Bancaria]],Cuentas!$C:$C,Cuentas!$B:$B,""))</f>
        <v/>
      </c>
    </row>
    <row r="1104" spans="1:18" x14ac:dyDescent="0.3">
      <c r="A1104" s="45"/>
      <c r="B1104" s="39">
        <v>46290</v>
      </c>
      <c r="C1104" s="46" t="str">
        <f>_xlfn.XLOOKUP(tblMovimientos[[#This Row],[Cuenta Bancaria]],Listas!$B:$B,Listas!$A:$A,"")</f>
        <v>Pacha Ventures LLC</v>
      </c>
      <c r="D1104" s="41" t="s">
        <v>187</v>
      </c>
      <c r="E1104" s="81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38</v>
      </c>
      <c r="H1104" s="46" t="str">
        <f>IFERROR(_xlfn.XLOOKUP(G1104,Listas!E:E,Listas!F:F,""),"")</f>
        <v>Operativo</v>
      </c>
      <c r="I1104" s="46" t="str">
        <f>IFERROR(_xlfn.XLOOKUP(G1104,Listas!E:E,Listas!G:G,""),"")</f>
        <v>Externo</v>
      </c>
      <c r="J1104" s="43">
        <v>100.75</v>
      </c>
      <c r="K1104" s="5">
        <f t="shared" si="12"/>
        <v>-100.75</v>
      </c>
      <c r="L1104" s="15" t="s">
        <v>133</v>
      </c>
      <c r="M1104" s="44">
        <f>SUMIFS('Saldos Iniciales'!$D:$D,'Saldos Iniciales'!$A:$A,C1104,'Saldos Iniciales'!$B:$B,D1104)+SUMIFS($K$1:$K$1325,$C$1:$C$1325,C1104,$D$1:$D$1325,D1104,$B$1:$B$1325,"&lt;="&amp;B1104)</f>
        <v>312314.37000000005</v>
      </c>
      <c r="N1104" s="65" t="str">
        <f>IF(tblMovimientos[[#This Row],[Tipo de Movimiento]]="Ingreso",tblMovimientos[[#This Row],[Monto (S/)]],"0")</f>
        <v>0</v>
      </c>
      <c r="O1104" s="65">
        <f>IF(tblMovimientos[[#This Row],[Tipo de Movimiento]]="Egreso",tblMovimientos[[#This Row],[Monto (S/)]],"0")</f>
        <v>100.75</v>
      </c>
      <c r="P1104" s="28">
        <f>IF(tblMovimientos[[#This Row],[Tipo de Movimiento]]="Ingreso",tblMovimientos[[#This Row],[Ingreso]],-tblMovimientos[[#This Row],[Egreso]])</f>
        <v>-100.75</v>
      </c>
      <c r="Q1104" s="91" t="str">
        <f>IF(tblMovimientos[[#This Row],[Cuenta Bancaria]]="","",_xlfn.XLOOKUP(tblMovimientos[[#This Row],[Cuenta Bancaria]],Cuentas!$C:$C,Cuentas!$A:$A,"No encontrado"))</f>
        <v>Michael Cross</v>
      </c>
      <c r="R1104" s="91" t="str">
        <f>TRIM(_xlfn.XLOOKUP(tblMovimientos[[#This Row],[Cuenta Bancaria]],Cuentas!$C:$C,Cuentas!$B:$B,""))</f>
        <v/>
      </c>
    </row>
    <row r="1105" spans="1:18" x14ac:dyDescent="0.3">
      <c r="A1105" s="45"/>
      <c r="B1105" s="39">
        <v>46290</v>
      </c>
      <c r="C1105" s="46" t="str">
        <f>_xlfn.XLOOKUP(tblMovimientos[[#This Row],[Cuenta Bancaria]],Listas!$B:$B,Listas!$A:$A,"")</f>
        <v>Prendamas SRL</v>
      </c>
      <c r="D1105" s="41" t="s">
        <v>186</v>
      </c>
      <c r="E1105" s="81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38</v>
      </c>
      <c r="H1105" s="46" t="str">
        <f>IFERROR(_xlfn.XLOOKUP(G1105,Listas!E:E,Listas!F:F,""),"")</f>
        <v>Operativo</v>
      </c>
      <c r="I1105" s="46" t="str">
        <f>IFERROR(_xlfn.XLOOKUP(G1105,Listas!E:E,Listas!G:G,""),"")</f>
        <v>Externo</v>
      </c>
      <c r="J1105" s="43">
        <v>1428.88</v>
      </c>
      <c r="K1105" s="5">
        <f t="shared" si="12"/>
        <v>-1428.88</v>
      </c>
      <c r="L1105" s="15" t="s">
        <v>133</v>
      </c>
      <c r="M1105" s="44">
        <f>SUMIFS('Saldos Iniciales'!$D:$D,'Saldos Iniciales'!$A:$A,C1105,'Saldos Iniciales'!$B:$B,D1105)+SUMIFS($K$1:$K$1325,$C$1:$C$1325,C1105,$D$1:$D$1325,D1105,$B$1:$B$1325,"&lt;="&amp;B1105)</f>
        <v>22961.869999999966</v>
      </c>
      <c r="N1105" s="65" t="str">
        <f>IF(tblMovimientos[[#This Row],[Tipo de Movimiento]]="Ingreso",tblMovimientos[[#This Row],[Monto (S/)]],"0")</f>
        <v>0</v>
      </c>
      <c r="O1105" s="65">
        <f>IF(tblMovimientos[[#This Row],[Tipo de Movimiento]]="Egreso",tblMovimientos[[#This Row],[Monto (S/)]],"0")</f>
        <v>1428.88</v>
      </c>
      <c r="P1105" s="28">
        <f>IF(tblMovimientos[[#This Row],[Tipo de Movimiento]]="Ingreso",tblMovimientos[[#This Row],[Ingreso]],-tblMovimientos[[#This Row],[Egreso]])</f>
        <v>-1428.88</v>
      </c>
      <c r="Q1105" s="91" t="str">
        <f>IF(tblMovimientos[[#This Row],[Cuenta Bancaria]]="","",_xlfn.XLOOKUP(tblMovimientos[[#This Row],[Cuenta Bancaria]],Cuentas!$C:$C,Cuentas!$A:$A,"No encontrado"))</f>
        <v>Unidades de Negocio</v>
      </c>
      <c r="R1105" s="91" t="str">
        <f>TRIM(_xlfn.XLOOKUP(tblMovimientos[[#This Row],[Cuenta Bancaria]],Cuentas!$C:$C,Cuentas!$B:$B,""))</f>
        <v/>
      </c>
    </row>
    <row r="1106" spans="1:18" s="87" customFormat="1" x14ac:dyDescent="0.3">
      <c r="A1106" s="3"/>
      <c r="B1106" s="39">
        <v>46290</v>
      </c>
      <c r="C1106" s="46" t="str">
        <f>_xlfn.XLOOKUP(tblMovimientos[[#This Row],[Cuenta Bancaria]],Listas!$B:$B,Listas!$A:$A,"")</f>
        <v>Prendamas SRL</v>
      </c>
      <c r="D1106" s="41" t="s">
        <v>186</v>
      </c>
      <c r="E1106" s="80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44</v>
      </c>
      <c r="H1106" s="4" t="str">
        <f>IFERROR(_xlfn.XLOOKUP(G1106,Listas!E:E,Listas!F:F,""),"")</f>
        <v>Operativo</v>
      </c>
      <c r="I1106" s="46" t="str">
        <f>IFERROR(_xlfn.XLOOKUP(G1106,Listas!E:E,Listas!G:G,""),"")</f>
        <v>Externo</v>
      </c>
      <c r="J1106" s="43">
        <v>40</v>
      </c>
      <c r="K1106" s="5">
        <f t="shared" si="12"/>
        <v>-40</v>
      </c>
      <c r="L1106" s="15" t="s">
        <v>133</v>
      </c>
      <c r="M1106" s="44">
        <f>SUMIFS('Saldos Iniciales'!$D:$D,'Saldos Iniciales'!$A:$A,C1106,'Saldos Iniciales'!$B:$B,D1106)+SUMIFS($K$1:$K$1325,$C$1:$C$1325,C1106,$D$1:$D$1325,D1106,$B$1:$B$1325,"&lt;="&amp;B1106)</f>
        <v>22961.869999999966</v>
      </c>
      <c r="N1106" s="65" t="str">
        <f>IF(tblMovimientos[[#This Row],[Tipo de Movimiento]]="Ingreso",tblMovimientos[[#This Row],[Monto (S/)]],"0")</f>
        <v>0</v>
      </c>
      <c r="O1106" s="65">
        <f>IF(tblMovimientos[[#This Row],[Tipo de Movimiento]]="Egreso",tblMovimientos[[#This Row],[Monto (S/)]],"0")</f>
        <v>40</v>
      </c>
      <c r="P1106" s="28">
        <f>IF(tblMovimientos[[#This Row],[Tipo de Movimiento]]="Ingreso",tblMovimientos[[#This Row],[Ingreso]],-tblMovimientos[[#This Row],[Egreso]])</f>
        <v>-40</v>
      </c>
      <c r="Q1106" s="91" t="str">
        <f>IF(tblMovimientos[[#This Row],[Cuenta Bancaria]]="","",_xlfn.XLOOKUP(tblMovimientos[[#This Row],[Cuenta Bancaria]],Cuentas!$C:$C,Cuentas!$A:$A,"No encontrado"))</f>
        <v>Unidades de Negocio</v>
      </c>
      <c r="R1106" s="91" t="str">
        <f>TRIM(_xlfn.XLOOKUP(tblMovimientos[[#This Row],[Cuenta Bancaria]],Cuentas!$C:$C,Cuentas!$B:$B,""))</f>
        <v/>
      </c>
    </row>
    <row r="1107" spans="1:18" x14ac:dyDescent="0.3">
      <c r="A1107" s="45"/>
      <c r="B1107" s="39">
        <v>46290</v>
      </c>
      <c r="C1107" s="46" t="str">
        <f>_xlfn.XLOOKUP(tblMovimientos[[#This Row],[Cuenta Bancaria]],Listas!$B:$B,Listas!$A:$A,"")</f>
        <v>Nobe Aparments</v>
      </c>
      <c r="D1107" s="41" t="s">
        <v>191</v>
      </c>
      <c r="E1107" s="81" t="str">
        <f>_xlfn.XLOOKUP(tblMovimientos[[#This Row],[Cuenta Bancaria]],Listas!$B:$B,Listas!$C:$C,"")</f>
        <v>Bank of America</v>
      </c>
      <c r="F1107" s="41" t="s">
        <v>10</v>
      </c>
      <c r="G1107" s="41" t="s">
        <v>45</v>
      </c>
      <c r="H1107" s="46" t="str">
        <f>IFERROR(_xlfn.XLOOKUP(G1107,Listas!E:E,Listas!F:F,""),"")</f>
        <v>Operativo</v>
      </c>
      <c r="I1107" s="46" t="str">
        <f>IFERROR(_xlfn.XLOOKUP(G1107,Listas!E:E,Listas!G:G,""),"")</f>
        <v>Externo</v>
      </c>
      <c r="J1107" s="43">
        <v>60</v>
      </c>
      <c r="K1107" s="5">
        <f t="shared" si="12"/>
        <v>-60</v>
      </c>
      <c r="L1107" s="15" t="s">
        <v>133</v>
      </c>
      <c r="M1107" s="44">
        <f>SUMIFS('Saldos Iniciales'!$D:$D,'Saldos Iniciales'!$A:$A,C1107,'Saldos Iniciales'!$B:$B,D1107)+SUMIFS($K$1:$K$1325,$C$1:$C$1325,C1107,$D$1:$D$1325,D1107,$B$1:$B$1325,"&lt;="&amp;B1107)</f>
        <v>204939.46</v>
      </c>
      <c r="N1107" s="65" t="str">
        <f>IF(tblMovimientos[[#This Row],[Tipo de Movimiento]]="Ingreso",tblMovimientos[[#This Row],[Monto (S/)]],"0")</f>
        <v>0</v>
      </c>
      <c r="O1107" s="65">
        <f>IF(tblMovimientos[[#This Row],[Tipo de Movimiento]]="Egreso",tblMovimientos[[#This Row],[Monto (S/)]],"0")</f>
        <v>60</v>
      </c>
      <c r="P1107" s="28">
        <f>IF(tblMovimientos[[#This Row],[Tipo de Movimiento]]="Ingreso",tblMovimientos[[#This Row],[Ingreso]],-tblMovimientos[[#This Row],[Egreso]])</f>
        <v>-60</v>
      </c>
      <c r="Q1107" s="91" t="str">
        <f>IF(tblMovimientos[[#This Row],[Cuenta Bancaria]]="","",_xlfn.XLOOKUP(tblMovimientos[[#This Row],[Cuenta Bancaria]],Cuentas!$C:$C,Cuentas!$A:$A,"No encontrado"))</f>
        <v>Carmen Cross / Estate</v>
      </c>
      <c r="R1107" s="91" t="str">
        <f>TRIM(_xlfn.XLOOKUP(tblMovimientos[[#This Row],[Cuenta Bancaria]],Cuentas!$C:$C,Cuentas!$B:$B,""))</f>
        <v/>
      </c>
    </row>
    <row r="1108" spans="1:18" s="87" customFormat="1" x14ac:dyDescent="0.3">
      <c r="A1108" s="45"/>
      <c r="B1108" s="39">
        <v>46293</v>
      </c>
      <c r="C1108" s="46" t="str">
        <f>_xlfn.XLOOKUP(tblMovimientos[[#This Row],[Cuenta Bancaria]],Listas!$B:$B,Listas!$A:$A,"")</f>
        <v>A&amp;M Imports</v>
      </c>
      <c r="D1108" s="41" t="s">
        <v>100</v>
      </c>
      <c r="E1108" s="46" t="str">
        <f>_xlfn.XLOOKUP(tblMovimientos[[#This Row],[Cuenta Bancaria]],Listas!$B:$B,Listas!$C:$C,"")</f>
        <v>Bank of America</v>
      </c>
      <c r="F1108" s="41" t="s">
        <v>9</v>
      </c>
      <c r="G1108" s="41" t="s">
        <v>68</v>
      </c>
      <c r="H1108" s="46" t="str">
        <f>IFERROR(_xlfn.XLOOKUP(G1108,Listas!E:E,Listas!F:F,""),"")</f>
        <v>Operativo</v>
      </c>
      <c r="I1108" s="46" t="str">
        <f>IFERROR(_xlfn.XLOOKUP(G1108,Listas!E:E,Listas!G:G,""),"")</f>
        <v>Externo</v>
      </c>
      <c r="J1108" s="43">
        <v>16978.900000000001</v>
      </c>
      <c r="K1108" s="5">
        <f t="shared" si="12"/>
        <v>16978.900000000001</v>
      </c>
      <c r="L1108" s="15" t="s">
        <v>133</v>
      </c>
      <c r="M1108" s="44">
        <f>SUMIFS('Saldos Iniciales'!$D:$D,'Saldos Iniciales'!$A:$A,C1108,'Saldos Iniciales'!$B:$B,D1108)+SUMIFS($K$1:$K$1325,$C$1:$C$1325,C1108,$D$1:$D$1325,D1108,$B$1:$B$1325,"&lt;="&amp;B1108)</f>
        <v>1330582.2599999998</v>
      </c>
      <c r="N1108" s="65">
        <f>IF(tblMovimientos[[#This Row],[Tipo de Movimiento]]="Ingreso",tblMovimientos[[#This Row],[Monto (S/)]],"0")</f>
        <v>16978.900000000001</v>
      </c>
      <c r="O1108" s="65" t="str">
        <f>IF(tblMovimientos[[#This Row],[Tipo de Movimiento]]="Egreso",tblMovimientos[[#This Row],[Monto (S/)]],"0")</f>
        <v>0</v>
      </c>
      <c r="P1108" s="28">
        <f>IF(tblMovimientos[[#This Row],[Tipo de Movimiento]]="Ingreso",tblMovimientos[[#This Row],[Ingreso]],-tblMovimientos[[#This Row],[Egreso]])</f>
        <v>16978.900000000001</v>
      </c>
      <c r="Q1108" s="91" t="str">
        <f>IF(tblMovimientos[[#This Row],[Cuenta Bancaria]]="","",_xlfn.XLOOKUP(tblMovimientos[[#This Row],[Cuenta Bancaria]],Cuentas!$C:$C,Cuentas!$A:$A,"No encontrado"))</f>
        <v>SSP Group</v>
      </c>
      <c r="R1108" s="91" t="str">
        <f>TRIM(_xlfn.XLOOKUP(tblMovimientos[[#This Row],[Cuenta Bancaria]],Cuentas!$C:$C,Cuentas!$B:$B,""))</f>
        <v>Cross Security Trust</v>
      </c>
    </row>
    <row r="1109" spans="1:18" x14ac:dyDescent="0.3">
      <c r="B1109" s="39">
        <v>46293</v>
      </c>
      <c r="C1109" s="46" t="str">
        <f>_xlfn.XLOOKUP(tblMovimientos[[#This Row],[Cuenta Bancaria]],Listas!$B:$B,Listas!$A:$A,"")</f>
        <v>CFT Group</v>
      </c>
      <c r="D1109" s="41" t="s">
        <v>94</v>
      </c>
      <c r="E1109" s="4" t="str">
        <f>_xlfn.XLOOKUP(tblMovimientos[[#This Row],[Cuenta Bancaria]],Listas!$B:$B,Listas!$C:$C,"")</f>
        <v>Bank of America</v>
      </c>
      <c r="F1109" s="41" t="s">
        <v>9</v>
      </c>
      <c r="G1109" s="41" t="s">
        <v>68</v>
      </c>
      <c r="H1109" s="4" t="str">
        <f>IFERROR(_xlfn.XLOOKUP(G1109,Listas!E:E,Listas!F:F,""),"")</f>
        <v>Operativo</v>
      </c>
      <c r="I1109" s="46" t="str">
        <f>IFERROR(_xlfn.XLOOKUP(G1109,Listas!E:E,Listas!G:G,""),"")</f>
        <v>Externo</v>
      </c>
      <c r="J1109" s="43">
        <v>7796.5</v>
      </c>
      <c r="K1109" s="5">
        <f t="shared" si="12"/>
        <v>7796.5</v>
      </c>
      <c r="L1109" s="15" t="s">
        <v>133</v>
      </c>
      <c r="M1109" s="44">
        <f>SUMIFS('Saldos Iniciales'!$D:$D,'Saldos Iniciales'!$A:$A,C1109,'Saldos Iniciales'!$B:$B,D1109)+SUMIFS($K$1:$K$1325,$C$1:$C$1325,C1109,$D$1:$D$1325,D1109,$B$1:$B$1325,"&lt;="&amp;B1109)</f>
        <v>380018.52999999997</v>
      </c>
      <c r="N1109" s="65">
        <f>IF(tblMovimientos[[#This Row],[Tipo de Movimiento]]="Ingreso",tblMovimientos[[#This Row],[Monto (S/)]],"0")</f>
        <v>7796.5</v>
      </c>
      <c r="O1109" s="65" t="str">
        <f>IF(tblMovimientos[[#This Row],[Tipo de Movimiento]]="Egreso",tblMovimientos[[#This Row],[Monto (S/)]],"0")</f>
        <v>0</v>
      </c>
      <c r="P1109" s="28">
        <f>IF(tblMovimientos[[#This Row],[Tipo de Movimiento]]="Ingreso",tblMovimientos[[#This Row],[Ingreso]],-tblMovimientos[[#This Row],[Egreso]])</f>
        <v>7796.5</v>
      </c>
      <c r="Q1109" s="91" t="str">
        <f>IF(tblMovimientos[[#This Row],[Cuenta Bancaria]]="","",_xlfn.XLOOKUP(tblMovimientos[[#This Row],[Cuenta Bancaria]],Cuentas!$C:$C,Cuentas!$A:$A,"No encontrado"))</f>
        <v>SSP Group</v>
      </c>
      <c r="R1109" s="91" t="str">
        <f>TRIM(_xlfn.XLOOKUP(tblMovimientos[[#This Row],[Cuenta Bancaria]],Cuentas!$C:$C,Cuentas!$B:$B,""))</f>
        <v/>
      </c>
    </row>
    <row r="1110" spans="1:18" x14ac:dyDescent="0.3">
      <c r="B1110" s="39">
        <v>46293</v>
      </c>
      <c r="C1110" s="46" t="str">
        <f>_xlfn.XLOOKUP(tblMovimientos[[#This Row],[Cuenta Bancaria]],Listas!$B:$B,Listas!$A:$A,"")</f>
        <v>112 Florida Ave</v>
      </c>
      <c r="D1110" s="41" t="s">
        <v>123</v>
      </c>
      <c r="E1110" s="4" t="str">
        <f>_xlfn.XLOOKUP(tblMovimientos[[#This Row],[Cuenta Bancaria]],Listas!$B:$B,Listas!$C:$C,"")</f>
        <v>Bank of America</v>
      </c>
      <c r="F1110" s="41" t="s">
        <v>10</v>
      </c>
      <c r="G1110" s="41" t="s">
        <v>44</v>
      </c>
      <c r="H1110" s="4" t="str">
        <f>IFERROR(_xlfn.XLOOKUP(G1110,Listas!E:E,Listas!F:F,""),"")</f>
        <v>Operativo</v>
      </c>
      <c r="I1110" s="46" t="str">
        <f>IFERROR(_xlfn.XLOOKUP(G1110,Listas!E:E,Listas!G:G,""),"")</f>
        <v>Externo</v>
      </c>
      <c r="J1110" s="43">
        <v>15</v>
      </c>
      <c r="K1110" s="5">
        <f t="shared" si="12"/>
        <v>-15</v>
      </c>
      <c r="L1110" s="15" t="s">
        <v>133</v>
      </c>
      <c r="M1110" s="44">
        <f>SUMIFS('Saldos Iniciales'!$D:$D,'Saldos Iniciales'!$A:$A,C1110,'Saldos Iniciales'!$B:$B,D1110)+SUMIFS($K$1:$K$1325,$C$1:$C$1325,C1110,$D$1:$D$1325,D1110,$B$1:$B$1325,"&lt;="&amp;B1110)</f>
        <v>23374.690000000006</v>
      </c>
      <c r="N1110" s="65" t="str">
        <f>IF(tblMovimientos[[#This Row],[Tipo de Movimiento]]="Ingreso",tblMovimientos[[#This Row],[Monto (S/)]],"0")</f>
        <v>0</v>
      </c>
      <c r="O1110" s="65">
        <f>IF(tblMovimientos[[#This Row],[Tipo de Movimiento]]="Egreso",tblMovimientos[[#This Row],[Monto (S/)]],"0")</f>
        <v>15</v>
      </c>
      <c r="P1110" s="28">
        <f>IF(tblMovimientos[[#This Row],[Tipo de Movimiento]]="Ingreso",tblMovimientos[[#This Row],[Ingreso]],-tblMovimientos[[#This Row],[Egreso]])</f>
        <v>-15</v>
      </c>
      <c r="Q1110" s="91" t="str">
        <f>IF(tblMovimientos[[#This Row],[Cuenta Bancaria]]="","",_xlfn.XLOOKUP(tblMovimientos[[#This Row],[Cuenta Bancaria]],Cuentas!$C:$C,Cuentas!$A:$A,"No encontrado"))</f>
        <v>SSP Group</v>
      </c>
      <c r="R1110" s="91" t="str">
        <f>TRIM(_xlfn.XLOOKUP(tblMovimientos[[#This Row],[Cuenta Bancaria]],Cuentas!$C:$C,Cuentas!$B:$B,""))</f>
        <v/>
      </c>
    </row>
    <row r="1111" spans="1:18" x14ac:dyDescent="0.3">
      <c r="B1111" s="39">
        <v>46293</v>
      </c>
      <c r="C1111" s="46" t="str">
        <f>_xlfn.XLOOKUP(tblMovimientos[[#This Row],[Cuenta Bancaria]],Listas!$B:$B,Listas!$A:$A,"")</f>
        <v>3628 Thomas Ave</v>
      </c>
      <c r="D1111" s="41" t="s">
        <v>124</v>
      </c>
      <c r="E1111" s="4" t="str">
        <f>_xlfn.XLOOKUP(tblMovimientos[[#This Row],[Cuenta Bancaria]],Listas!$B:$B,Listas!$C:$C,"")</f>
        <v>Bank of America</v>
      </c>
      <c r="F1111" s="41" t="s">
        <v>10</v>
      </c>
      <c r="G1111" s="41" t="s">
        <v>38</v>
      </c>
      <c r="H1111" s="4" t="str">
        <f>IFERROR(_xlfn.XLOOKUP(G1111,Listas!E:E,Listas!F:F,""),"")</f>
        <v>Operativo</v>
      </c>
      <c r="I1111" s="46" t="str">
        <f>IFERROR(_xlfn.XLOOKUP(G1111,Listas!E:E,Listas!G:G,""),"")</f>
        <v>Externo</v>
      </c>
      <c r="J1111" s="43">
        <v>89.25</v>
      </c>
      <c r="K1111" s="5">
        <f t="shared" si="12"/>
        <v>-89.25</v>
      </c>
      <c r="L1111" s="15" t="s">
        <v>133</v>
      </c>
      <c r="M1111" s="44">
        <f>SUMIFS('Saldos Iniciales'!$D:$D,'Saldos Iniciales'!$A:$A,C1111,'Saldos Iniciales'!$B:$B,D1111)+SUMIFS($K$1:$K$1325,$C$1:$C$1325,C1111,$D$1:$D$1325,D1111,$B$1:$B$1325,"&lt;="&amp;B1111)</f>
        <v>16266.809999999998</v>
      </c>
      <c r="N1111" s="65" t="str">
        <f>IF(tblMovimientos[[#This Row],[Tipo de Movimiento]]="Ingreso",tblMovimientos[[#This Row],[Monto (S/)]],"0")</f>
        <v>0</v>
      </c>
      <c r="O1111" s="65">
        <f>IF(tblMovimientos[[#This Row],[Tipo de Movimiento]]="Egreso",tblMovimientos[[#This Row],[Monto (S/)]],"0")</f>
        <v>89.25</v>
      </c>
      <c r="P1111" s="28">
        <f>IF(tblMovimientos[[#This Row],[Tipo de Movimiento]]="Ingreso",tblMovimientos[[#This Row],[Ingreso]],-tblMovimientos[[#This Row],[Egreso]])</f>
        <v>-89.25</v>
      </c>
      <c r="Q1111" s="91" t="str">
        <f>IF(tblMovimientos[[#This Row],[Cuenta Bancaria]]="","",_xlfn.XLOOKUP(tblMovimientos[[#This Row],[Cuenta Bancaria]],Cuentas!$C:$C,Cuentas!$A:$A,"No encontrado"))</f>
        <v>SSP Group</v>
      </c>
      <c r="R1111" s="91" t="str">
        <f>TRIM(_xlfn.XLOOKUP(tblMovimientos[[#This Row],[Cuenta Bancaria]],Cuentas!$C:$C,Cuentas!$B:$B,""))</f>
        <v/>
      </c>
    </row>
    <row r="1112" spans="1:18" x14ac:dyDescent="0.3">
      <c r="A1112" s="45"/>
      <c r="B1112" s="39">
        <v>46293</v>
      </c>
      <c r="C1112" s="46" t="str">
        <f>_xlfn.XLOOKUP(tblMovimientos[[#This Row],[Cuenta Bancaria]],Listas!$B:$B,Listas!$A:$A,"")</f>
        <v>3628 Thomas Ave</v>
      </c>
      <c r="D1112" s="41" t="s">
        <v>124</v>
      </c>
      <c r="E1112" s="46" t="str">
        <f>_xlfn.XLOOKUP(tblMovimientos[[#This Row],[Cuenta Bancaria]],Listas!$B:$B,Listas!$C:$C,"")</f>
        <v>Bank of America</v>
      </c>
      <c r="F1112" s="41" t="s">
        <v>10</v>
      </c>
      <c r="G1112" s="41" t="s">
        <v>38</v>
      </c>
      <c r="H1112" s="46" t="str">
        <f>IFERROR(_xlfn.XLOOKUP(G1112,Listas!E:E,Listas!F:F,""),"")</f>
        <v>Operativo</v>
      </c>
      <c r="I1112" s="46" t="str">
        <f>IFERROR(_xlfn.XLOOKUP(G1112,Listas!E:E,Listas!G:G,""),"")</f>
        <v>Externo</v>
      </c>
      <c r="J1112" s="43">
        <v>375</v>
      </c>
      <c r="K1112" s="5">
        <f t="shared" si="12"/>
        <v>-375</v>
      </c>
      <c r="L1112" s="15" t="s">
        <v>133</v>
      </c>
      <c r="M1112" s="44">
        <f>SUMIFS('Saldos Iniciales'!$D:$D,'Saldos Iniciales'!$A:$A,C1112,'Saldos Iniciales'!$B:$B,D1112)+SUMIFS($K$1:$K$1325,$C$1:$C$1325,C1112,$D$1:$D$1325,D1112,$B$1:$B$1325,"&lt;="&amp;B1112)</f>
        <v>16266.809999999998</v>
      </c>
      <c r="N1112" s="65" t="str">
        <f>IF(tblMovimientos[[#This Row],[Tipo de Movimiento]]="Ingreso",tblMovimientos[[#This Row],[Monto (S/)]],"0")</f>
        <v>0</v>
      </c>
      <c r="O1112" s="65">
        <f>IF(tblMovimientos[[#This Row],[Tipo de Movimiento]]="Egreso",tblMovimientos[[#This Row],[Monto (S/)]],"0")</f>
        <v>375</v>
      </c>
      <c r="P1112" s="28">
        <f>IF(tblMovimientos[[#This Row],[Tipo de Movimiento]]="Ingreso",tblMovimientos[[#This Row],[Ingreso]],-tblMovimientos[[#This Row],[Egreso]])</f>
        <v>-375</v>
      </c>
      <c r="Q1112" s="91" t="str">
        <f>IF(tblMovimientos[[#This Row],[Cuenta Bancaria]]="","",_xlfn.XLOOKUP(tblMovimientos[[#This Row],[Cuenta Bancaria]],Cuentas!$C:$C,Cuentas!$A:$A,"No encontrado"))</f>
        <v>SSP Group</v>
      </c>
      <c r="R1112" s="91" t="str">
        <f>TRIM(_xlfn.XLOOKUP(tblMovimientos[[#This Row],[Cuenta Bancaria]],Cuentas!$C:$C,Cuentas!$B:$B,""))</f>
        <v/>
      </c>
    </row>
    <row r="1113" spans="1:18" x14ac:dyDescent="0.3">
      <c r="A1113" s="45"/>
      <c r="B1113" s="39">
        <v>46293</v>
      </c>
      <c r="C1113" s="46" t="str">
        <f>_xlfn.XLOOKUP(tblMovimientos[[#This Row],[Cuenta Bancaria]],Listas!$B:$B,Listas!$A:$A,"")</f>
        <v>3628 Thomas Ave</v>
      </c>
      <c r="D1113" s="41" t="s">
        <v>124</v>
      </c>
      <c r="E1113" s="46" t="str">
        <f>_xlfn.XLOOKUP(tblMovimientos[[#This Row],[Cuenta Bancaria]],Listas!$B:$B,Listas!$C:$C,"")</f>
        <v>Bank of America</v>
      </c>
      <c r="F1113" s="41" t="s">
        <v>10</v>
      </c>
      <c r="G1113" s="41" t="s">
        <v>38</v>
      </c>
      <c r="H1113" s="46" t="str">
        <f>IFERROR(_xlfn.XLOOKUP(G1113,Listas!E:E,Listas!F:F,""),"")</f>
        <v>Operativo</v>
      </c>
      <c r="I1113" s="46" t="str">
        <f>IFERROR(_xlfn.XLOOKUP(G1113,Listas!E:E,Listas!G:G,""),"")</f>
        <v>Externo</v>
      </c>
      <c r="J1113" s="43">
        <v>150</v>
      </c>
      <c r="K1113" s="5">
        <f t="shared" si="12"/>
        <v>-150</v>
      </c>
      <c r="L1113" s="15" t="s">
        <v>133</v>
      </c>
      <c r="M1113" s="44">
        <f>SUMIFS('Saldos Iniciales'!$D:$D,'Saldos Iniciales'!$A:$A,C1113,'Saldos Iniciales'!$B:$B,D1113)+SUMIFS($K$1:$K$1325,$C$1:$C$1325,C1113,$D$1:$D$1325,D1113,$B$1:$B$1325,"&lt;="&amp;B1113)</f>
        <v>16266.809999999998</v>
      </c>
      <c r="N1113" s="65" t="str">
        <f>IF(tblMovimientos[[#This Row],[Tipo de Movimiento]]="Ingreso",tblMovimientos[[#This Row],[Monto (S/)]],"0")</f>
        <v>0</v>
      </c>
      <c r="O1113" s="65">
        <f>IF(tblMovimientos[[#This Row],[Tipo de Movimiento]]="Egreso",tblMovimientos[[#This Row],[Monto (S/)]],"0")</f>
        <v>150</v>
      </c>
      <c r="P1113" s="28">
        <f>IF(tblMovimientos[[#This Row],[Tipo de Movimiento]]="Ingreso",tblMovimientos[[#This Row],[Ingreso]],-tblMovimientos[[#This Row],[Egreso]])</f>
        <v>-150</v>
      </c>
      <c r="Q1113" s="91" t="str">
        <f>IF(tblMovimientos[[#This Row],[Cuenta Bancaria]]="","",_xlfn.XLOOKUP(tblMovimientos[[#This Row],[Cuenta Bancaria]],Cuentas!$C:$C,Cuentas!$A:$A,"No encontrado"))</f>
        <v>SSP Group</v>
      </c>
      <c r="R1113" s="91" t="str">
        <f>TRIM(_xlfn.XLOOKUP(tblMovimientos[[#This Row],[Cuenta Bancaria]],Cuentas!$C:$C,Cuentas!$B:$B,""))</f>
        <v/>
      </c>
    </row>
    <row r="1114" spans="1:18" x14ac:dyDescent="0.3">
      <c r="B1114" s="39">
        <v>46293</v>
      </c>
      <c r="C1114" s="46" t="str">
        <f>_xlfn.XLOOKUP(tblMovimientos[[#This Row],[Cuenta Bancaria]],Listas!$B:$B,Listas!$A:$A,"")</f>
        <v>3628 Thomas Ave</v>
      </c>
      <c r="D1114" s="41" t="s">
        <v>124</v>
      </c>
      <c r="E1114" s="4" t="str">
        <f>_xlfn.XLOOKUP(tblMovimientos[[#This Row],[Cuenta Bancaria]],Listas!$B:$B,Listas!$C:$C,"")</f>
        <v>Bank of America</v>
      </c>
      <c r="F1114" s="41" t="s">
        <v>10</v>
      </c>
      <c r="G1114" s="41" t="s">
        <v>44</v>
      </c>
      <c r="H1114" s="4" t="str">
        <f>IFERROR(_xlfn.XLOOKUP(G1114,Listas!E:E,Listas!F:F,""),"")</f>
        <v>Operativo</v>
      </c>
      <c r="I1114" s="46" t="str">
        <f>IFERROR(_xlfn.XLOOKUP(G1114,Listas!E:E,Listas!G:G,""),"")</f>
        <v>Externo</v>
      </c>
      <c r="J1114" s="43">
        <v>15</v>
      </c>
      <c r="K1114" s="5">
        <f t="shared" si="12"/>
        <v>-15</v>
      </c>
      <c r="L1114" s="15" t="s">
        <v>133</v>
      </c>
      <c r="M1114" s="44">
        <f>SUMIFS('Saldos Iniciales'!$D:$D,'Saldos Iniciales'!$A:$A,C1114,'Saldos Iniciales'!$B:$B,D1114)+SUMIFS($K$1:$K$1325,$C$1:$C$1325,C1114,$D$1:$D$1325,D1114,$B$1:$B$1325,"&lt;="&amp;B1114)</f>
        <v>16266.809999999998</v>
      </c>
      <c r="N1114" s="65" t="str">
        <f>IF(tblMovimientos[[#This Row],[Tipo de Movimiento]]="Ingreso",tblMovimientos[[#This Row],[Monto (S/)]],"0")</f>
        <v>0</v>
      </c>
      <c r="O1114" s="65">
        <f>IF(tblMovimientos[[#This Row],[Tipo de Movimiento]]="Egreso",tblMovimientos[[#This Row],[Monto (S/)]],"0")</f>
        <v>15</v>
      </c>
      <c r="P1114" s="28">
        <f>IF(tblMovimientos[[#This Row],[Tipo de Movimiento]]="Ingreso",tblMovimientos[[#This Row],[Ingreso]],-tblMovimientos[[#This Row],[Egreso]])</f>
        <v>-15</v>
      </c>
      <c r="Q1114" s="91" t="str">
        <f>IF(tblMovimientos[[#This Row],[Cuenta Bancaria]]="","",_xlfn.XLOOKUP(tblMovimientos[[#This Row],[Cuenta Bancaria]],Cuentas!$C:$C,Cuentas!$A:$A,"No encontrado"))</f>
        <v>SSP Group</v>
      </c>
      <c r="R1114" s="91" t="str">
        <f>TRIM(_xlfn.XLOOKUP(tblMovimientos[[#This Row],[Cuenta Bancaria]],Cuentas!$C:$C,Cuentas!$B:$B,""))</f>
        <v/>
      </c>
    </row>
    <row r="1115" spans="1:18" x14ac:dyDescent="0.3">
      <c r="A1115" s="45"/>
      <c r="B1115" s="39">
        <v>46293</v>
      </c>
      <c r="C1115" s="46" t="str">
        <f>_xlfn.XLOOKUP(tblMovimientos[[#This Row],[Cuenta Bancaria]],Listas!$B:$B,Listas!$A:$A,"")</f>
        <v>Prendamas SRL</v>
      </c>
      <c r="D1115" s="41" t="s">
        <v>186</v>
      </c>
      <c r="E1115" s="81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38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490.38</v>
      </c>
      <c r="K1115" s="5">
        <f t="shared" si="12"/>
        <v>-490.38</v>
      </c>
      <c r="L1115" s="15" t="s">
        <v>133</v>
      </c>
      <c r="M1115" s="44">
        <f>SUMIFS('Saldos Iniciales'!$D:$D,'Saldos Iniciales'!$A:$A,C1115,'Saldos Iniciales'!$B:$B,D1115)+SUMIFS($K$1:$K$1325,$C$1:$C$1325,C1115,$D$1:$D$1325,D1115,$B$1:$B$1325,"&lt;="&amp;B1115)</f>
        <v>22456.779999999955</v>
      </c>
      <c r="N1115" s="65" t="str">
        <f>IF(tblMovimientos[[#This Row],[Tipo de Movimiento]]="Ingreso",tblMovimientos[[#This Row],[Monto (S/)]],"0")</f>
        <v>0</v>
      </c>
      <c r="O1115" s="65">
        <f>IF(tblMovimientos[[#This Row],[Tipo de Movimiento]]="Egreso",tblMovimientos[[#This Row],[Monto (S/)]],"0")</f>
        <v>490.38</v>
      </c>
      <c r="P1115" s="28">
        <f>IF(tblMovimientos[[#This Row],[Tipo de Movimiento]]="Ingreso",tblMovimientos[[#This Row],[Ingreso]],-tblMovimientos[[#This Row],[Egreso]])</f>
        <v>-490.38</v>
      </c>
      <c r="Q1115" s="91" t="str">
        <f>IF(tblMovimientos[[#This Row],[Cuenta Bancaria]]="","",_xlfn.XLOOKUP(tblMovimientos[[#This Row],[Cuenta Bancaria]],Cuentas!$C:$C,Cuentas!$A:$A,"No encontrado"))</f>
        <v>Unidades de Negocio</v>
      </c>
      <c r="R1115" s="91" t="str">
        <f>TRIM(_xlfn.XLOOKUP(tblMovimientos[[#This Row],[Cuenta Bancaria]],Cuentas!$C:$C,Cuentas!$B:$B,""))</f>
        <v/>
      </c>
    </row>
    <row r="1116" spans="1:18" x14ac:dyDescent="0.3">
      <c r="B1116" s="39">
        <v>46293</v>
      </c>
      <c r="C1116" s="46" t="str">
        <f>_xlfn.XLOOKUP(tblMovimientos[[#This Row],[Cuenta Bancaria]],Listas!$B:$B,Listas!$A:$A,"")</f>
        <v>Prendamas SRL</v>
      </c>
      <c r="D1116" s="41" t="s">
        <v>186</v>
      </c>
      <c r="E1116" s="80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44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14.71</v>
      </c>
      <c r="K1116" s="5">
        <f t="shared" si="12"/>
        <v>-14.71</v>
      </c>
      <c r="L1116" s="15" t="s">
        <v>133</v>
      </c>
      <c r="M1116" s="44">
        <f>SUMIFS('Saldos Iniciales'!$D:$D,'Saldos Iniciales'!$A:$A,C1116,'Saldos Iniciales'!$B:$B,D1116)+SUMIFS($K$1:$K$1325,$C$1:$C$1325,C1116,$D$1:$D$1325,D1116,$B$1:$B$1325,"&lt;="&amp;B1116)</f>
        <v>22456.779999999955</v>
      </c>
      <c r="N1116" s="65" t="str">
        <f>IF(tblMovimientos[[#This Row],[Tipo de Movimiento]]="Ingreso",tblMovimientos[[#This Row],[Monto (S/)]],"0")</f>
        <v>0</v>
      </c>
      <c r="O1116" s="65">
        <f>IF(tblMovimientos[[#This Row],[Tipo de Movimiento]]="Egreso",tblMovimientos[[#This Row],[Monto (S/)]],"0")</f>
        <v>14.71</v>
      </c>
      <c r="P1116" s="28">
        <f>IF(tblMovimientos[[#This Row],[Tipo de Movimiento]]="Ingreso",tblMovimientos[[#This Row],[Ingreso]],-tblMovimientos[[#This Row],[Egreso]])</f>
        <v>-14.71</v>
      </c>
      <c r="Q1116" s="91" t="str">
        <f>IF(tblMovimientos[[#This Row],[Cuenta Bancaria]]="","",_xlfn.XLOOKUP(tblMovimientos[[#This Row],[Cuenta Bancaria]],Cuentas!$C:$C,Cuentas!$A:$A,"No encontrado"))</f>
        <v>Unidades de Negocio</v>
      </c>
      <c r="R1116" s="91" t="str">
        <f>TRIM(_xlfn.XLOOKUP(tblMovimientos[[#This Row],[Cuenta Bancaria]],Cuentas!$C:$C,Cuentas!$B:$B,""))</f>
        <v/>
      </c>
    </row>
    <row r="1117" spans="1:18" x14ac:dyDescent="0.3">
      <c r="A1117" s="45"/>
      <c r="B1117" s="39">
        <v>46293</v>
      </c>
      <c r="C1117" s="46" t="str">
        <f>_xlfn.XLOOKUP(tblMovimientos[[#This Row],[Cuenta Bancaria]],Listas!$B:$B,Listas!$A:$A,"")</f>
        <v>Nobe Aparments</v>
      </c>
      <c r="D1117" s="41" t="s">
        <v>191</v>
      </c>
      <c r="E1117" s="81" t="str">
        <f>_xlfn.XLOOKUP(tblMovimientos[[#This Row],[Cuenta Bancaria]],Listas!$B:$B,Listas!$C:$C,"")</f>
        <v>Bank of America</v>
      </c>
      <c r="F1117" s="41" t="s">
        <v>9</v>
      </c>
      <c r="G1117" s="41" t="s">
        <v>81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1850</v>
      </c>
      <c r="K1117" s="5">
        <f t="shared" si="12"/>
        <v>1850</v>
      </c>
      <c r="L1117" s="15" t="s">
        <v>133</v>
      </c>
      <c r="M1117" s="44">
        <f>SUMIFS('Saldos Iniciales'!$D:$D,'Saldos Iniciales'!$A:$A,C1117,'Saldos Iniciales'!$B:$B,D1117)+SUMIFS($K$1:$K$1325,$C$1:$C$1325,C1117,$D$1:$D$1325,D1117,$B$1:$B$1325,"&lt;="&amp;B1117)</f>
        <v>206789.46</v>
      </c>
      <c r="N1117" s="65">
        <f>IF(tblMovimientos[[#This Row],[Tipo de Movimiento]]="Ingreso",tblMovimientos[[#This Row],[Monto (S/)]],"0")</f>
        <v>1850</v>
      </c>
      <c r="O1117" s="65" t="str">
        <f>IF(tblMovimientos[[#This Row],[Tipo de Movimiento]]="Egreso",tblMovimientos[[#This Row],[Monto (S/)]],"0")</f>
        <v>0</v>
      </c>
      <c r="P1117" s="28">
        <f>IF(tblMovimientos[[#This Row],[Tipo de Movimiento]]="Ingreso",tblMovimientos[[#This Row],[Ingreso]],-tblMovimientos[[#This Row],[Egreso]])</f>
        <v>1850</v>
      </c>
      <c r="Q1117" s="91" t="str">
        <f>IF(tblMovimientos[[#This Row],[Cuenta Bancaria]]="","",_xlfn.XLOOKUP(tblMovimientos[[#This Row],[Cuenta Bancaria]],Cuentas!$C:$C,Cuentas!$A:$A,"No encontrado"))</f>
        <v>Carmen Cross / Estate</v>
      </c>
      <c r="R1117" s="91" t="str">
        <f>TRIM(_xlfn.XLOOKUP(tblMovimientos[[#This Row],[Cuenta Bancaria]],Cuentas!$C:$C,Cuentas!$B:$B,""))</f>
        <v/>
      </c>
    </row>
    <row r="1118" spans="1:18" x14ac:dyDescent="0.3">
      <c r="B1118" s="39">
        <v>46294</v>
      </c>
      <c r="C1118" s="46" t="str">
        <f>_xlfn.XLOOKUP(tblMovimientos[[#This Row],[Cuenta Bancaria]],Listas!$B:$B,Listas!$A:$A,"")</f>
        <v>SSP Capital</v>
      </c>
      <c r="D1118" s="41" t="s">
        <v>101</v>
      </c>
      <c r="E1118" s="4" t="str">
        <f>_xlfn.XLOOKUP(tblMovimientos[[#This Row],[Cuenta Bancaria]],Listas!$B:$B,Listas!$C:$C,"")</f>
        <v>Bank of America</v>
      </c>
      <c r="F1118" s="41" t="s">
        <v>10</v>
      </c>
      <c r="G1118" s="41" t="s">
        <v>48</v>
      </c>
      <c r="H1118" s="4" t="str">
        <f>IFERROR(_xlfn.XLOOKUP(G1118,Listas!E:E,Listas!F:F,""),"")</f>
        <v>Financiamiento</v>
      </c>
      <c r="I1118" s="46" t="str">
        <f>IFERROR(_xlfn.XLOOKUP(G1118,Listas!E:E,Listas!G:G,""),"")</f>
        <v>Externo</v>
      </c>
      <c r="J1118" s="43">
        <v>526.75</v>
      </c>
      <c r="K1118" s="5">
        <f t="shared" si="12"/>
        <v>-526.75</v>
      </c>
      <c r="L1118" s="15" t="s">
        <v>133</v>
      </c>
      <c r="M1118" s="44">
        <f>SUMIFS('Saldos Iniciales'!$D:$D,'Saldos Iniciales'!$A:$A,C1118,'Saldos Iniciales'!$B:$B,D1118)+SUMIFS($K$1:$K$1325,$C$1:$C$1325,C1118,$D$1:$D$1325,D1118,$B$1:$B$1325,"&lt;="&amp;B1118)</f>
        <v>21115.380000000005</v>
      </c>
      <c r="N1118" s="65" t="str">
        <f>IF(tblMovimientos[[#This Row],[Tipo de Movimiento]]="Ingreso",tblMovimientos[[#This Row],[Monto (S/)]],"0")</f>
        <v>0</v>
      </c>
      <c r="O1118" s="65">
        <f>IF(tblMovimientos[[#This Row],[Tipo de Movimiento]]="Egreso",tblMovimientos[[#This Row],[Monto (S/)]],"0")</f>
        <v>526.75</v>
      </c>
      <c r="P1118" s="28">
        <f>IF(tblMovimientos[[#This Row],[Tipo de Movimiento]]="Ingreso",tblMovimientos[[#This Row],[Ingreso]],-tblMovimientos[[#This Row],[Egreso]])</f>
        <v>-526.75</v>
      </c>
      <c r="Q1118" s="91" t="str">
        <f>IF(tblMovimientos[[#This Row],[Cuenta Bancaria]]="","",_xlfn.XLOOKUP(tblMovimientos[[#This Row],[Cuenta Bancaria]],Cuentas!$C:$C,Cuentas!$A:$A,"No encontrado"))</f>
        <v>SSP Group</v>
      </c>
      <c r="R1118" s="91" t="str">
        <f>TRIM(_xlfn.XLOOKUP(tblMovimientos[[#This Row],[Cuenta Bancaria]],Cuentas!$C:$C,Cuentas!$B:$B,""))</f>
        <v/>
      </c>
    </row>
    <row r="1119" spans="1:18" x14ac:dyDescent="0.3">
      <c r="A1119" s="45"/>
      <c r="B1119" s="39">
        <v>46294</v>
      </c>
      <c r="C1119" s="46" t="str">
        <f>_xlfn.XLOOKUP(tblMovimientos[[#This Row],[Cuenta Bancaria]],Listas!$B:$B,Listas!$A:$A,"")</f>
        <v>SSP Capital</v>
      </c>
      <c r="D1119" s="41" t="s">
        <v>101</v>
      </c>
      <c r="E1119" s="46" t="str">
        <f>_xlfn.XLOOKUP(tblMovimientos[[#This Row],[Cuenta Bancaria]],Listas!$B:$B,Listas!$C:$C,"")</f>
        <v>Bank of America</v>
      </c>
      <c r="F1119" s="41" t="s">
        <v>10</v>
      </c>
      <c r="G1119" s="41" t="s">
        <v>38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194.86</v>
      </c>
      <c r="K1119" s="5">
        <f t="shared" si="12"/>
        <v>-194.86</v>
      </c>
      <c r="L1119" s="15" t="s">
        <v>133</v>
      </c>
      <c r="M1119" s="44">
        <f>SUMIFS('Saldos Iniciales'!$D:$D,'Saldos Iniciales'!$A:$A,C1119,'Saldos Iniciales'!$B:$B,D1119)+SUMIFS($K$1:$K$1325,$C$1:$C$1325,C1119,$D$1:$D$1325,D1119,$B$1:$B$1325,"&lt;="&amp;B1119)</f>
        <v>21115.380000000005</v>
      </c>
      <c r="N1119" s="65" t="str">
        <f>IF(tblMovimientos[[#This Row],[Tipo de Movimiento]]="Ingreso",tblMovimientos[[#This Row],[Monto (S/)]],"0")</f>
        <v>0</v>
      </c>
      <c r="O1119" s="65">
        <f>IF(tblMovimientos[[#This Row],[Tipo de Movimiento]]="Egreso",tblMovimientos[[#This Row],[Monto (S/)]],"0")</f>
        <v>194.86</v>
      </c>
      <c r="P1119" s="28">
        <f>IF(tblMovimientos[[#This Row],[Tipo de Movimiento]]="Ingreso",tblMovimientos[[#This Row],[Ingreso]],-tblMovimientos[[#This Row],[Egreso]])</f>
        <v>-194.86</v>
      </c>
      <c r="Q1119" s="91" t="str">
        <f>IF(tblMovimientos[[#This Row],[Cuenta Bancaria]]="","",_xlfn.XLOOKUP(tblMovimientos[[#This Row],[Cuenta Bancaria]],Cuentas!$C:$C,Cuentas!$A:$A,"No encontrado"))</f>
        <v>SSP Group</v>
      </c>
      <c r="R1119" s="91" t="str">
        <f>TRIM(_xlfn.XLOOKUP(tblMovimientos[[#This Row],[Cuenta Bancaria]],Cuentas!$C:$C,Cuentas!$B:$B,""))</f>
        <v/>
      </c>
    </row>
    <row r="1120" spans="1:18" x14ac:dyDescent="0.3">
      <c r="A1120" s="45"/>
      <c r="B1120" s="39">
        <v>46294</v>
      </c>
      <c r="C1120" s="46" t="str">
        <f>_xlfn.XLOOKUP(tblMovimientos[[#This Row],[Cuenta Bancaria]],Listas!$B:$B,Listas!$A:$A,"")</f>
        <v>CFT Group</v>
      </c>
      <c r="D1120" s="41" t="s">
        <v>94</v>
      </c>
      <c r="E1120" s="46" t="str">
        <f>_xlfn.XLOOKUP(tblMovimientos[[#This Row],[Cuenta Bancaria]],Listas!$B:$B,Listas!$C:$C,"")</f>
        <v>Bank of America</v>
      </c>
      <c r="F1120" s="41" t="s">
        <v>9</v>
      </c>
      <c r="G1120" s="41" t="s">
        <v>68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184.93</v>
      </c>
      <c r="K1120" s="5">
        <f t="shared" si="12"/>
        <v>184.93</v>
      </c>
      <c r="L1120" s="15" t="s">
        <v>133</v>
      </c>
      <c r="M1120" s="44">
        <f>SUMIFS('Saldos Iniciales'!$D:$D,'Saldos Iniciales'!$A:$A,C1120,'Saldos Iniciales'!$B:$B,D1120)+SUMIFS($K$1:$K$1325,$C$1:$C$1325,C1120,$D$1:$D$1325,D1120,$B$1:$B$1325,"&lt;="&amp;B1120)</f>
        <v>377225.5</v>
      </c>
      <c r="N1120" s="65">
        <f>IF(tblMovimientos[[#This Row],[Tipo de Movimiento]]="Ingreso",tblMovimientos[[#This Row],[Monto (S/)]],"0")</f>
        <v>184.93</v>
      </c>
      <c r="O1120" s="65" t="str">
        <f>IF(tblMovimientos[[#This Row],[Tipo de Movimiento]]="Egreso",tblMovimientos[[#This Row],[Monto (S/)]],"0")</f>
        <v>0</v>
      </c>
      <c r="P1120" s="28">
        <f>IF(tblMovimientos[[#This Row],[Tipo de Movimiento]]="Ingreso",tblMovimientos[[#This Row],[Ingreso]],-tblMovimientos[[#This Row],[Egreso]])</f>
        <v>184.93</v>
      </c>
      <c r="Q1120" s="91" t="str">
        <f>IF(tblMovimientos[[#This Row],[Cuenta Bancaria]]="","",_xlfn.XLOOKUP(tblMovimientos[[#This Row],[Cuenta Bancaria]],Cuentas!$C:$C,Cuentas!$A:$A,"No encontrado"))</f>
        <v>SSP Group</v>
      </c>
      <c r="R1120" s="91" t="str">
        <f>TRIM(_xlfn.XLOOKUP(tblMovimientos[[#This Row],[Cuenta Bancaria]],Cuentas!$C:$C,Cuentas!$B:$B,""))</f>
        <v/>
      </c>
    </row>
    <row r="1121" spans="1:18" x14ac:dyDescent="0.3">
      <c r="B1121" s="39">
        <v>46294</v>
      </c>
      <c r="C1121" s="46" t="str">
        <f>_xlfn.XLOOKUP(tblMovimientos[[#This Row],[Cuenta Bancaria]],Listas!$B:$B,Listas!$A:$A,"")</f>
        <v>CFT Group</v>
      </c>
      <c r="D1121" s="41" t="s">
        <v>94</v>
      </c>
      <c r="E1121" s="4" t="str">
        <f>_xlfn.XLOOKUP(tblMovimientos[[#This Row],[Cuenta Bancaria]],Listas!$B:$B,Listas!$C:$C,"")</f>
        <v>Bank of America</v>
      </c>
      <c r="F1121" s="41" t="s">
        <v>10</v>
      </c>
      <c r="G1121" s="41" t="s">
        <v>46</v>
      </c>
      <c r="H1121" s="4" t="str">
        <f>IFERROR(_xlfn.XLOOKUP(G1121,Listas!E:E,Listas!F:F,""),"")</f>
        <v>Financiamiento</v>
      </c>
      <c r="I1121" s="46" t="str">
        <f>IFERROR(_xlfn.XLOOKUP(G1121,Listas!E:E,Listas!G:G,""),"")</f>
        <v>Externo</v>
      </c>
      <c r="J1121" s="43">
        <v>2977.96</v>
      </c>
      <c r="K1121" s="5">
        <f t="shared" si="12"/>
        <v>-2977.96</v>
      </c>
      <c r="L1121" s="15" t="s">
        <v>133</v>
      </c>
      <c r="M1121" s="44">
        <f>SUMIFS('Saldos Iniciales'!$D:$D,'Saldos Iniciales'!$A:$A,C1121,'Saldos Iniciales'!$B:$B,D1121)+SUMIFS($K$1:$K$1325,$C$1:$C$1325,C1121,$D$1:$D$1325,D1121,$B$1:$B$1325,"&lt;="&amp;B1121)</f>
        <v>377225.5</v>
      </c>
      <c r="N1121" s="65" t="str">
        <f>IF(tblMovimientos[[#This Row],[Tipo de Movimiento]]="Ingreso",tblMovimientos[[#This Row],[Monto (S/)]],"0")</f>
        <v>0</v>
      </c>
      <c r="O1121" s="65">
        <f>IF(tblMovimientos[[#This Row],[Tipo de Movimiento]]="Egreso",tblMovimientos[[#This Row],[Monto (S/)]],"0")</f>
        <v>2977.96</v>
      </c>
      <c r="P1121" s="28">
        <f>IF(tblMovimientos[[#This Row],[Tipo de Movimiento]]="Ingreso",tblMovimientos[[#This Row],[Ingreso]],-tblMovimientos[[#This Row],[Egreso]])</f>
        <v>-2977.96</v>
      </c>
      <c r="Q1121" s="91" t="str">
        <f>IF(tblMovimientos[[#This Row],[Cuenta Bancaria]]="","",_xlfn.XLOOKUP(tblMovimientos[[#This Row],[Cuenta Bancaria]],Cuentas!$C:$C,Cuentas!$A:$A,"No encontrado"))</f>
        <v>SSP Group</v>
      </c>
      <c r="R1121" s="91" t="str">
        <f>TRIM(_xlfn.XLOOKUP(tblMovimientos[[#This Row],[Cuenta Bancaria]],Cuentas!$C:$C,Cuentas!$B:$B,""))</f>
        <v/>
      </c>
    </row>
    <row r="1122" spans="1:18" x14ac:dyDescent="0.3">
      <c r="B1122" s="39">
        <v>46294</v>
      </c>
      <c r="C1122" s="46" t="str">
        <f>_xlfn.XLOOKUP(tblMovimientos[[#This Row],[Cuenta Bancaria]],Listas!$B:$B,Listas!$A:$A,"")</f>
        <v>3628 Thomas Ave</v>
      </c>
      <c r="D1122" s="41" t="s">
        <v>124</v>
      </c>
      <c r="E1122" s="4" t="str">
        <f>_xlfn.XLOOKUP(tblMovimientos[[#This Row],[Cuenta Bancaria]],Listas!$B:$B,Listas!$C:$C,"")</f>
        <v>Bank of America</v>
      </c>
      <c r="F1122" s="41" t="s">
        <v>9</v>
      </c>
      <c r="G1122" s="41" t="s">
        <v>81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3000</v>
      </c>
      <c r="K1122" s="5">
        <f t="shared" si="12"/>
        <v>3000</v>
      </c>
      <c r="L1122" s="15" t="s">
        <v>133</v>
      </c>
      <c r="M1122" s="44">
        <f>SUMIFS('Saldos Iniciales'!$D:$D,'Saldos Iniciales'!$A:$A,C1122,'Saldos Iniciales'!$B:$B,D1122)+SUMIFS($K$1:$K$1325,$C$1:$C$1325,C1122,$D$1:$D$1325,D1122,$B$1:$B$1325,"&lt;="&amp;B1122)</f>
        <v>19266.809999999998</v>
      </c>
      <c r="N1122" s="65">
        <f>IF(tblMovimientos[[#This Row],[Tipo de Movimiento]]="Ingreso",tblMovimientos[[#This Row],[Monto (S/)]],"0")</f>
        <v>3000</v>
      </c>
      <c r="O1122" s="65" t="str">
        <f>IF(tblMovimientos[[#This Row],[Tipo de Movimiento]]="Egreso",tblMovimientos[[#This Row],[Monto (S/)]],"0")</f>
        <v>0</v>
      </c>
      <c r="P1122" s="28">
        <f>IF(tblMovimientos[[#This Row],[Tipo de Movimiento]]="Ingreso",tblMovimientos[[#This Row],[Ingreso]],-tblMovimientos[[#This Row],[Egreso]])</f>
        <v>3000</v>
      </c>
      <c r="Q1122" s="91" t="str">
        <f>IF(tblMovimientos[[#This Row],[Cuenta Bancaria]]="","",_xlfn.XLOOKUP(tblMovimientos[[#This Row],[Cuenta Bancaria]],Cuentas!$C:$C,Cuentas!$A:$A,"No encontrado"))</f>
        <v>SSP Group</v>
      </c>
      <c r="R1122" s="91" t="str">
        <f>TRIM(_xlfn.XLOOKUP(tblMovimientos[[#This Row],[Cuenta Bancaria]],Cuentas!$C:$C,Cuentas!$B:$B,""))</f>
        <v/>
      </c>
    </row>
    <row r="1123" spans="1:18" x14ac:dyDescent="0.3">
      <c r="B1123" s="39">
        <v>46294</v>
      </c>
      <c r="C1123" s="46" t="str">
        <f>_xlfn.XLOOKUP(tblMovimientos[[#This Row],[Cuenta Bancaria]],Listas!$B:$B,Listas!$A:$A,"")</f>
        <v>SSP Capital</v>
      </c>
      <c r="D1123" s="41" t="s">
        <v>104</v>
      </c>
      <c r="E1123" s="4" t="str">
        <f>_xlfn.XLOOKUP(tblMovimientos[[#This Row],[Cuenta Bancaria]],Listas!$B:$B,Listas!$C:$C,"")</f>
        <v xml:space="preserve">Amerant Bank </v>
      </c>
      <c r="F1123" s="41" t="s">
        <v>10</v>
      </c>
      <c r="G1123" s="41" t="s">
        <v>40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168437.9</v>
      </c>
      <c r="K1123" s="5">
        <f t="shared" si="12"/>
        <v>-168437.9</v>
      </c>
      <c r="L1123" s="15" t="s">
        <v>133</v>
      </c>
      <c r="M1123" s="44">
        <f>SUMIFS('Saldos Iniciales'!$D:$D,'Saldos Iniciales'!$A:$A,C1123,'Saldos Iniciales'!$B:$B,D1123)+SUMIFS($K$1:$K$1325,$C$1:$C$1325,C1123,$D$1:$D$1325,D1123,$B$1:$B$1325,"&lt;="&amp;B1123)</f>
        <v>337953.80999999924</v>
      </c>
      <c r="N1123" s="65" t="str">
        <f>IF(tblMovimientos[[#This Row],[Tipo de Movimiento]]="Ingreso",tblMovimientos[[#This Row],[Monto (S/)]],"0")</f>
        <v>0</v>
      </c>
      <c r="O1123" s="65">
        <f>IF(tblMovimientos[[#This Row],[Tipo de Movimiento]]="Egreso",tblMovimientos[[#This Row],[Monto (S/)]],"0")</f>
        <v>168437.9</v>
      </c>
      <c r="P1123" s="28">
        <f>IF(tblMovimientos[[#This Row],[Tipo de Movimiento]]="Ingreso",tblMovimientos[[#This Row],[Ingreso]],-tblMovimientos[[#This Row],[Egreso]])</f>
        <v>-168437.9</v>
      </c>
      <c r="Q1123" s="91" t="str">
        <f>IF(tblMovimientos[[#This Row],[Cuenta Bancaria]]="","",_xlfn.XLOOKUP(tblMovimientos[[#This Row],[Cuenta Bancaria]],Cuentas!$C:$C,Cuentas!$A:$A,"No encontrado"))</f>
        <v>SSP Group</v>
      </c>
      <c r="R1123" s="91" t="str">
        <f>TRIM(_xlfn.XLOOKUP(tblMovimientos[[#This Row],[Cuenta Bancaria]],Cuentas!$C:$C,Cuentas!$B:$B,""))</f>
        <v/>
      </c>
    </row>
    <row r="1124" spans="1:18" x14ac:dyDescent="0.3">
      <c r="A1124" s="45"/>
      <c r="B1124" s="39">
        <v>46294</v>
      </c>
      <c r="C1124" s="46" t="str">
        <f>_xlfn.XLOOKUP(tblMovimientos[[#This Row],[Cuenta Bancaria]],Listas!$B:$B,Listas!$A:$A,"")</f>
        <v>CFT 1 residence LLC</v>
      </c>
      <c r="D1124" s="41" t="s">
        <v>184</v>
      </c>
      <c r="E1124" s="81" t="str">
        <f>_xlfn.XLOOKUP(tblMovimientos[[#This Row],[Cuenta Bancaria]],Listas!$B:$B,Listas!$C:$C,"")</f>
        <v xml:space="preserve">Amerant Bank 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1166.92</v>
      </c>
      <c r="K1124" s="5">
        <f t="shared" si="12"/>
        <v>-1166.92</v>
      </c>
      <c r="L1124" s="15" t="s">
        <v>133</v>
      </c>
      <c r="M1124" s="44">
        <f>SUMIFS('Saldos Iniciales'!$D:$D,'Saldos Iniciales'!$A:$A,C1124,'Saldos Iniciales'!$B:$B,D1124)+SUMIFS($K$1:$K$1325,$C$1:$C$1325,C1124,$D$1:$D$1325,D1124,$B$1:$B$1325,"&lt;="&amp;B1124)</f>
        <v>101046.39</v>
      </c>
      <c r="N1124" s="65" t="str">
        <f>IF(tblMovimientos[[#This Row],[Tipo de Movimiento]]="Ingreso",tblMovimientos[[#This Row],[Monto (S/)]],"0")</f>
        <v>0</v>
      </c>
      <c r="O1124" s="65">
        <f>IF(tblMovimientos[[#This Row],[Tipo de Movimiento]]="Egreso",tblMovimientos[[#This Row],[Monto (S/)]],"0")</f>
        <v>1166.92</v>
      </c>
      <c r="P1124" s="28">
        <f>IF(tblMovimientos[[#This Row],[Tipo de Movimiento]]="Ingreso",tblMovimientos[[#This Row],[Ingreso]],-tblMovimientos[[#This Row],[Egreso]])</f>
        <v>-1166.92</v>
      </c>
      <c r="Q1124" s="91" t="str">
        <f>IF(tblMovimientos[[#This Row],[Cuenta Bancaria]]="","",_xlfn.XLOOKUP(tblMovimientos[[#This Row],[Cuenta Bancaria]],Cuentas!$C:$C,Cuentas!$A:$A,"No encontrado"))</f>
        <v>Carmen Cross Irrevocable Trust</v>
      </c>
      <c r="R1124" s="91" t="str">
        <f>TRIM(_xlfn.XLOOKUP(tblMovimientos[[#This Row],[Cuenta Bancaria]],Cuentas!$C:$C,Cuentas!$B:$B,""))</f>
        <v/>
      </c>
    </row>
    <row r="1125" spans="1:18" x14ac:dyDescent="0.3">
      <c r="B1125" s="39">
        <v>46294</v>
      </c>
      <c r="C1125" s="46" t="str">
        <f>_xlfn.XLOOKUP(tblMovimientos[[#This Row],[Cuenta Bancaria]],Listas!$B:$B,Listas!$A:$A,"")</f>
        <v>Nobe Aparments</v>
      </c>
      <c r="D1125" s="41" t="s">
        <v>191</v>
      </c>
      <c r="E1125" s="80" t="str">
        <f>_xlfn.XLOOKUP(tblMovimientos[[#This Row],[Cuenta Bancaria]],Listas!$B:$B,Listas!$C:$C,"")</f>
        <v>Bank of America</v>
      </c>
      <c r="F1125" s="41" t="s">
        <v>9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1640</v>
      </c>
      <c r="K1125" s="5">
        <f t="shared" si="12"/>
        <v>1640</v>
      </c>
      <c r="L1125" s="15" t="s">
        <v>133</v>
      </c>
      <c r="M1125" s="44">
        <f>SUMIFS('Saldos Iniciales'!$D:$D,'Saldos Iniciales'!$A:$A,C1125,'Saldos Iniciales'!$B:$B,D1125)+SUMIFS($K$1:$K$1325,$C$1:$C$1325,C1125,$D$1:$D$1325,D1125,$B$1:$B$1325,"&lt;="&amp;B1125)</f>
        <v>208429.46</v>
      </c>
      <c r="N1125" s="65">
        <f>IF(tblMovimientos[[#This Row],[Tipo de Movimiento]]="Ingreso",tblMovimientos[[#This Row],[Monto (S/)]],"0")</f>
        <v>1640</v>
      </c>
      <c r="O1125" s="65" t="str">
        <f>IF(tblMovimientos[[#This Row],[Tipo de Movimiento]]="Egreso",tblMovimientos[[#This Row],[Monto (S/)]],"0")</f>
        <v>0</v>
      </c>
      <c r="P1125" s="28">
        <f>IF(tblMovimientos[[#This Row],[Tipo de Movimiento]]="Ingreso",tblMovimientos[[#This Row],[Ingreso]],-tblMovimientos[[#This Row],[Egreso]])</f>
        <v>1640</v>
      </c>
      <c r="Q1125" s="91" t="str">
        <f>IF(tblMovimientos[[#This Row],[Cuenta Bancaria]]="","",_xlfn.XLOOKUP(tblMovimientos[[#This Row],[Cuenta Bancaria]],Cuentas!$C:$C,Cuentas!$A:$A,"No encontrado"))</f>
        <v>Carmen Cross / Estate</v>
      </c>
      <c r="R1125" s="91" t="str">
        <f>TRIM(_xlfn.XLOOKUP(tblMovimientos[[#This Row],[Cuenta Bancaria]],Cuentas!$C:$C,Cuentas!$B:$B,""))</f>
        <v/>
      </c>
    </row>
    <row r="1126" spans="1:18" x14ac:dyDescent="0.3">
      <c r="B1126" s="39">
        <v>46294</v>
      </c>
      <c r="C1126" s="46" t="str">
        <f>_xlfn.XLOOKUP(tblMovimientos[[#This Row],[Cuenta Bancaria]],Listas!$B:$B,Listas!$A:$A,"")</f>
        <v>Electrama</v>
      </c>
      <c r="D1126" s="41" t="s">
        <v>113</v>
      </c>
      <c r="E1126" s="80" t="str">
        <f>_xlfn.XLOOKUP(tblMovimientos[[#This Row],[Cuenta Bancaria]],Listas!$B:$B,Listas!$C:$C,"")</f>
        <v>Chase Bank</v>
      </c>
      <c r="F1126" s="41" t="s">
        <v>10</v>
      </c>
      <c r="G1126" s="41" t="s">
        <v>40</v>
      </c>
      <c r="H1126" s="4" t="str">
        <f>IFERROR(_xlfn.XLOOKUP(G1126,Listas!E:E,Listas!F:F,""),"")</f>
        <v>Operativo</v>
      </c>
      <c r="I1126" s="81" t="str">
        <f>IFERROR(_xlfn.XLOOKUP(G1126,Listas!E:E,Listas!G:G,""),"")</f>
        <v>Externo</v>
      </c>
      <c r="J1126" s="43">
        <v>1270.43</v>
      </c>
      <c r="K1126" s="5">
        <f t="shared" si="12"/>
        <v>-1270.43</v>
      </c>
      <c r="L1126" s="15" t="s">
        <v>133</v>
      </c>
      <c r="M1126" s="44">
        <f>SUMIFS('Saldos Iniciales'!$D:$D,'Saldos Iniciales'!$A:$A,C1126,'Saldos Iniciales'!$B:$B,D1126)+SUMIFS($K$1:$K$1325,$C$1:$C$1325,C1126,$D$1:$D$1325,D1126,$B$1:$B$1325,"&lt;="&amp;B1126)</f>
        <v>10474.32</v>
      </c>
      <c r="N1126" s="65" t="str">
        <f>IF(tblMovimientos[[#This Row],[Tipo de Movimiento]]="Ingreso",tblMovimientos[[#This Row],[Monto (S/)]],"0")</f>
        <v>0</v>
      </c>
      <c r="O1126" s="65">
        <f>IF(tblMovimientos[[#This Row],[Tipo de Movimiento]]="Egreso",tblMovimientos[[#This Row],[Monto (S/)]],"0")</f>
        <v>1270.43</v>
      </c>
      <c r="P1126" s="28">
        <f>IF(tblMovimientos[[#This Row],[Tipo de Movimiento]]="Ingreso",tblMovimientos[[#This Row],[Ingreso]],-tblMovimientos[[#This Row],[Egreso]])</f>
        <v>-1270.43</v>
      </c>
      <c r="Q1126" s="91" t="str">
        <f>IF(tblMovimientos[[#This Row],[Cuenta Bancaria]]="","",_xlfn.XLOOKUP(tblMovimientos[[#This Row],[Cuenta Bancaria]],Cuentas!$C:$C,Cuentas!$A:$A,"No encontrado"))</f>
        <v>SSP Group</v>
      </c>
      <c r="R1126" s="91" t="str">
        <f>TRIM(_xlfn.XLOOKUP(tblMovimientos[[#This Row],[Cuenta Bancaria]],Cuentas!$C:$C,Cuentas!$B:$B,""))</f>
        <v/>
      </c>
    </row>
    <row r="1127" spans="1:18" x14ac:dyDescent="0.3">
      <c r="B1127" s="39">
        <v>46295</v>
      </c>
      <c r="C1127" s="46" t="str">
        <f>_xlfn.XLOOKUP(tblMovimientos[[#This Row],[Cuenta Bancaria]],Listas!$B:$B,Listas!$A:$A,"")</f>
        <v>A&amp;M Imports</v>
      </c>
      <c r="D1127" s="41" t="s">
        <v>100</v>
      </c>
      <c r="E1127" s="4" t="str">
        <f>_xlfn.XLOOKUP(tblMovimientos[[#This Row],[Cuenta Bancaria]],Listas!$B:$B,Listas!$C:$C,"")</f>
        <v>Bank of America</v>
      </c>
      <c r="F1127" s="41" t="s">
        <v>9</v>
      </c>
      <c r="G1127" s="41" t="s">
        <v>68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23791.439999999999</v>
      </c>
      <c r="K1127" s="5">
        <f t="shared" si="12"/>
        <v>23791.439999999999</v>
      </c>
      <c r="L1127" s="15" t="s">
        <v>133</v>
      </c>
      <c r="M1127" s="44">
        <f>SUMIFS('Saldos Iniciales'!$D:$D,'Saldos Iniciales'!$A:$A,C1127,'Saldos Iniciales'!$B:$B,D1127)+SUMIFS($K$1:$K$1325,$C$1:$C$1325,C1127,$D$1:$D$1325,D1127,$B$1:$B$1325,"&lt;="&amp;B1127)</f>
        <v>1355779.1799999997</v>
      </c>
      <c r="N1127" s="65">
        <f>IF(tblMovimientos[[#This Row],[Tipo de Movimiento]]="Ingreso",tblMovimientos[[#This Row],[Monto (S/)]],"0")</f>
        <v>23791.439999999999</v>
      </c>
      <c r="O1127" s="65" t="str">
        <f>IF(tblMovimientos[[#This Row],[Tipo de Movimiento]]="Egreso",tblMovimientos[[#This Row],[Monto (S/)]],"0")</f>
        <v>0</v>
      </c>
      <c r="P1127" s="28">
        <f>IF(tblMovimientos[[#This Row],[Tipo de Movimiento]]="Ingreso",tblMovimientos[[#This Row],[Ingreso]],-tblMovimientos[[#This Row],[Egreso]])</f>
        <v>23791.439999999999</v>
      </c>
      <c r="Q1127" s="91" t="str">
        <f>IF(tblMovimientos[[#This Row],[Cuenta Bancaria]]="","",_xlfn.XLOOKUP(tblMovimientos[[#This Row],[Cuenta Bancaria]],Cuentas!$C:$C,Cuentas!$A:$A,"No encontrado"))</f>
        <v>SSP Group</v>
      </c>
      <c r="R1127" s="91" t="str">
        <f>TRIM(_xlfn.XLOOKUP(tblMovimientos[[#This Row],[Cuenta Bancaria]],Cuentas!$C:$C,Cuentas!$B:$B,""))</f>
        <v>Cross Security Trust</v>
      </c>
    </row>
    <row r="1128" spans="1:18" x14ac:dyDescent="0.3">
      <c r="A1128" s="45"/>
      <c r="B1128" s="39">
        <v>46295</v>
      </c>
      <c r="C1128" s="46" t="str">
        <f>_xlfn.XLOOKUP(tblMovimientos[[#This Row],[Cuenta Bancaria]],Listas!$B:$B,Listas!$A:$A,"")</f>
        <v>A&amp;M Imports</v>
      </c>
      <c r="D1128" s="41" t="s">
        <v>100</v>
      </c>
      <c r="E1128" s="46" t="str">
        <f>_xlfn.XLOOKUP(tblMovimientos[[#This Row],[Cuenta Bancaria]],Listas!$B:$B,Listas!$C:$C,"")</f>
        <v>Bank of America</v>
      </c>
      <c r="F1128" s="41" t="s">
        <v>9</v>
      </c>
      <c r="G1128" s="41" t="s">
        <v>68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1405.48</v>
      </c>
      <c r="K1128" s="5">
        <f t="shared" si="12"/>
        <v>1405.48</v>
      </c>
      <c r="L1128" s="15" t="s">
        <v>133</v>
      </c>
      <c r="M1128" s="44">
        <f>SUMIFS('Saldos Iniciales'!$D:$D,'Saldos Iniciales'!$A:$A,C1128,'Saldos Iniciales'!$B:$B,D1128)+SUMIFS($K$1:$K$1325,$C$1:$C$1325,C1128,$D$1:$D$1325,D1128,$B$1:$B$1325,"&lt;="&amp;B1128)</f>
        <v>1355779.1799999997</v>
      </c>
      <c r="N1128" s="65">
        <f>IF(tblMovimientos[[#This Row],[Tipo de Movimiento]]="Ingreso",tblMovimientos[[#This Row],[Monto (S/)]],"0")</f>
        <v>1405.48</v>
      </c>
      <c r="O1128" s="65" t="str">
        <f>IF(tblMovimientos[[#This Row],[Tipo de Movimiento]]="Egreso",tblMovimientos[[#This Row],[Monto (S/)]],"0")</f>
        <v>0</v>
      </c>
      <c r="P1128" s="28">
        <f>IF(tblMovimientos[[#This Row],[Tipo de Movimiento]]="Ingreso",tblMovimientos[[#This Row],[Ingreso]],-tblMovimientos[[#This Row],[Egreso]])</f>
        <v>1405.48</v>
      </c>
      <c r="Q1128" s="91" t="str">
        <f>IF(tblMovimientos[[#This Row],[Cuenta Bancaria]]="","",_xlfn.XLOOKUP(tblMovimientos[[#This Row],[Cuenta Bancaria]],Cuentas!$C:$C,Cuentas!$A:$A,"No encontrado"))</f>
        <v>SSP Group</v>
      </c>
      <c r="R1128" s="91" t="str">
        <f>TRIM(_xlfn.XLOOKUP(tblMovimientos[[#This Row],[Cuenta Bancaria]],Cuentas!$C:$C,Cuentas!$B:$B,""))</f>
        <v>Cross Security Trust</v>
      </c>
    </row>
    <row r="1129" spans="1:18" x14ac:dyDescent="0.3">
      <c r="B1129" s="39">
        <v>46295</v>
      </c>
      <c r="C1129" s="46" t="str">
        <f>_xlfn.XLOOKUP(tblMovimientos[[#This Row],[Cuenta Bancaria]],Listas!$B:$B,Listas!$A:$A,"")</f>
        <v>CFT Group</v>
      </c>
      <c r="D1129" s="41" t="s">
        <v>94</v>
      </c>
      <c r="E1129" s="4" t="str">
        <f>_xlfn.XLOOKUP(tblMovimientos[[#This Row],[Cuenta Bancaria]],Listas!$B:$B,Listas!$C:$C,"")</f>
        <v>Bank of America</v>
      </c>
      <c r="F1129" s="41" t="s">
        <v>9</v>
      </c>
      <c r="G1129" s="41" t="s">
        <v>68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73364</v>
      </c>
      <c r="K1129" s="5">
        <f t="shared" si="12"/>
        <v>73364</v>
      </c>
      <c r="L1129" s="15" t="s">
        <v>133</v>
      </c>
      <c r="M1129" s="44">
        <f>SUMIFS('Saldos Iniciales'!$D:$D,'Saldos Iniciales'!$A:$A,C1129,'Saldos Iniciales'!$B:$B,D1129)+SUMIFS($K$1:$K$1325,$C$1:$C$1325,C1129,$D$1:$D$1325,D1129,$B$1:$B$1325,"&lt;="&amp;B1129)</f>
        <v>463219.50999999995</v>
      </c>
      <c r="N1129" s="65">
        <f>IF(tblMovimientos[[#This Row],[Tipo de Movimiento]]="Ingreso",tblMovimientos[[#This Row],[Monto (S/)]],"0")</f>
        <v>73364</v>
      </c>
      <c r="O1129" s="65" t="str">
        <f>IF(tblMovimientos[[#This Row],[Tipo de Movimiento]]="Egreso",tblMovimientos[[#This Row],[Monto (S/)]],"0")</f>
        <v>0</v>
      </c>
      <c r="P1129" s="28">
        <f>IF(tblMovimientos[[#This Row],[Tipo de Movimiento]]="Ingreso",tblMovimientos[[#This Row],[Ingreso]],-tblMovimientos[[#This Row],[Egreso]])</f>
        <v>73364</v>
      </c>
      <c r="Q1129" s="91" t="str">
        <f>IF(tblMovimientos[[#This Row],[Cuenta Bancaria]]="","",_xlfn.XLOOKUP(tblMovimientos[[#This Row],[Cuenta Bancaria]],Cuentas!$C:$C,Cuentas!$A:$A,"No encontrado"))</f>
        <v>SSP Group</v>
      </c>
      <c r="R1129" s="91" t="str">
        <f>TRIM(_xlfn.XLOOKUP(tblMovimientos[[#This Row],[Cuenta Bancaria]],Cuentas!$C:$C,Cuentas!$B:$B,""))</f>
        <v/>
      </c>
    </row>
    <row r="1130" spans="1:18" x14ac:dyDescent="0.3">
      <c r="A1130" s="45"/>
      <c r="B1130" s="39">
        <v>46295</v>
      </c>
      <c r="C1130" s="46" t="str">
        <f>_xlfn.XLOOKUP(tblMovimientos[[#This Row],[Cuenta Bancaria]],Listas!$B:$B,Listas!$A:$A,"")</f>
        <v>CFT Group</v>
      </c>
      <c r="D1130" s="41" t="s">
        <v>94</v>
      </c>
      <c r="E1130" s="46" t="str">
        <f>_xlfn.XLOOKUP(tblMovimientos[[#This Row],[Cuenta Bancaria]],Listas!$B:$B,Listas!$C:$C,"")</f>
        <v>Bank of America</v>
      </c>
      <c r="F1130" s="41" t="s">
        <v>9</v>
      </c>
      <c r="G1130" s="41" t="s">
        <v>68</v>
      </c>
      <c r="H1130" s="46" t="str">
        <f>IFERROR(_xlfn.XLOOKUP(G1130,Listas!E:E,Listas!F:F,""),"")</f>
        <v>Operativo</v>
      </c>
      <c r="I1130" s="46" t="str">
        <f>IFERROR(_xlfn.XLOOKUP(G1130,Listas!E:E,Listas!G:G,""),"")</f>
        <v>Externo</v>
      </c>
      <c r="J1130" s="43">
        <v>13241.09</v>
      </c>
      <c r="K1130" s="5">
        <f t="shared" si="12"/>
        <v>13241.09</v>
      </c>
      <c r="L1130" s="15" t="s">
        <v>133</v>
      </c>
      <c r="M1130" s="44">
        <f>SUMIFS('Saldos Iniciales'!$D:$D,'Saldos Iniciales'!$A:$A,C1130,'Saldos Iniciales'!$B:$B,D1130)+SUMIFS($K$1:$K$1325,$C$1:$C$1325,C1130,$D$1:$D$1325,D1130,$B$1:$B$1325,"&lt;="&amp;B1130)</f>
        <v>463219.50999999995</v>
      </c>
      <c r="N1130" s="65">
        <f>IF(tblMovimientos[[#This Row],[Tipo de Movimiento]]="Ingreso",tblMovimientos[[#This Row],[Monto (S/)]],"0")</f>
        <v>13241.09</v>
      </c>
      <c r="O1130" s="65" t="str">
        <f>IF(tblMovimientos[[#This Row],[Tipo de Movimiento]]="Egreso",tblMovimientos[[#This Row],[Monto (S/)]],"0")</f>
        <v>0</v>
      </c>
      <c r="P1130" s="28">
        <f>IF(tblMovimientos[[#This Row],[Tipo de Movimiento]]="Ingreso",tblMovimientos[[#This Row],[Ingreso]],-tblMovimientos[[#This Row],[Egreso]])</f>
        <v>13241.09</v>
      </c>
      <c r="Q1130" s="91" t="str">
        <f>IF(tblMovimientos[[#This Row],[Cuenta Bancaria]]="","",_xlfn.XLOOKUP(tblMovimientos[[#This Row],[Cuenta Bancaria]],Cuentas!$C:$C,Cuentas!$A:$A,"No encontrado"))</f>
        <v>SSP Group</v>
      </c>
      <c r="R1130" s="91" t="str">
        <f>TRIM(_xlfn.XLOOKUP(tblMovimientos[[#This Row],[Cuenta Bancaria]],Cuentas!$C:$C,Cuentas!$B:$B,""))</f>
        <v/>
      </c>
    </row>
    <row r="1131" spans="1:18" x14ac:dyDescent="0.3">
      <c r="B1131" s="39">
        <v>46295</v>
      </c>
      <c r="C1131" s="46" t="str">
        <f>_xlfn.XLOOKUP(tblMovimientos[[#This Row],[Cuenta Bancaria]],Listas!$B:$B,Listas!$A:$A,"")</f>
        <v>CFT Group</v>
      </c>
      <c r="D1131" s="41" t="s">
        <v>94</v>
      </c>
      <c r="E1131" s="4" t="str">
        <f>_xlfn.XLOOKUP(tblMovimientos[[#This Row],[Cuenta Bancaria]],Listas!$B:$B,Listas!$C:$C,"")</f>
        <v>Bank of America</v>
      </c>
      <c r="F1131" s="41" t="s">
        <v>10</v>
      </c>
      <c r="G1131" s="41" t="s">
        <v>42</v>
      </c>
      <c r="H1131" s="4" t="str">
        <f>IFERROR(_xlfn.XLOOKUP(G1131,Listas!E:E,Listas!F:F,""),"")</f>
        <v>Operativo</v>
      </c>
      <c r="I1131" s="46" t="str">
        <f>IFERROR(_xlfn.XLOOKUP(G1131,Listas!E:E,Listas!G:G,""),"")</f>
        <v>Externo</v>
      </c>
      <c r="J1131" s="43">
        <v>611.08000000000004</v>
      </c>
      <c r="K1131" s="5">
        <f t="shared" si="12"/>
        <v>-611.08000000000004</v>
      </c>
      <c r="L1131" s="15" t="s">
        <v>133</v>
      </c>
      <c r="M1131" s="44">
        <f>SUMIFS('Saldos Iniciales'!$D:$D,'Saldos Iniciales'!$A:$A,C1131,'Saldos Iniciales'!$B:$B,D1131)+SUMIFS($K$1:$K$1325,$C$1:$C$1325,C1131,$D$1:$D$1325,D1131,$B$1:$B$1325,"&lt;="&amp;B1131)</f>
        <v>463219.50999999995</v>
      </c>
      <c r="N1131" s="65" t="str">
        <f>IF(tblMovimientos[[#This Row],[Tipo de Movimiento]]="Ingreso",tblMovimientos[[#This Row],[Monto (S/)]],"0")</f>
        <v>0</v>
      </c>
      <c r="O1131" s="65">
        <f>IF(tblMovimientos[[#This Row],[Tipo de Movimiento]]="Egreso",tblMovimientos[[#This Row],[Monto (S/)]],"0")</f>
        <v>611.08000000000004</v>
      </c>
      <c r="P1131" s="28">
        <f>IF(tblMovimientos[[#This Row],[Tipo de Movimiento]]="Ingreso",tblMovimientos[[#This Row],[Ingreso]],-tblMovimientos[[#This Row],[Egreso]])</f>
        <v>-611.08000000000004</v>
      </c>
      <c r="Q1131" s="91" t="str">
        <f>IF(tblMovimientos[[#This Row],[Cuenta Bancaria]]="","",_xlfn.XLOOKUP(tblMovimientos[[#This Row],[Cuenta Bancaria]],Cuentas!$C:$C,Cuentas!$A:$A,"No encontrado"))</f>
        <v>SSP Group</v>
      </c>
      <c r="R1131" s="91" t="str">
        <f>TRIM(_xlfn.XLOOKUP(tblMovimientos[[#This Row],[Cuenta Bancaria]],Cuentas!$C:$C,Cuentas!$B:$B,""))</f>
        <v/>
      </c>
    </row>
    <row r="1132" spans="1:18" x14ac:dyDescent="0.3">
      <c r="A1132" s="45"/>
      <c r="B1132" s="39">
        <v>46295</v>
      </c>
      <c r="C1132" s="46" t="str">
        <f>_xlfn.XLOOKUP(tblMovimientos[[#This Row],[Cuenta Bancaria]],Listas!$B:$B,Listas!$A:$A,"")</f>
        <v>M1B</v>
      </c>
      <c r="D1132" s="41" t="s">
        <v>97</v>
      </c>
      <c r="E1132" s="46" t="str">
        <f>_xlfn.XLOOKUP(tblMovimientos[[#This Row],[Cuenta Bancaria]],Listas!$B:$B,Listas!$C:$C,"")</f>
        <v xml:space="preserve">Amerant Bank </v>
      </c>
      <c r="F1132" s="41" t="s">
        <v>9</v>
      </c>
      <c r="G1132" s="41" t="s">
        <v>68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2637.13</v>
      </c>
      <c r="K1132" s="5">
        <f t="shared" si="12"/>
        <v>2637.13</v>
      </c>
      <c r="L1132" s="15" t="s">
        <v>133</v>
      </c>
      <c r="M1132" s="44">
        <f>SUMIFS('Saldos Iniciales'!$D:$D,'Saldos Iniciales'!$A:$A,C1132,'Saldos Iniciales'!$B:$B,D1132)+SUMIFS($K$1:$K$1325,$C$1:$C$1325,C1132,$D$1:$D$1325,D1132,$B$1:$B$1325,"&lt;="&amp;B1132)</f>
        <v>98123.590000000171</v>
      </c>
      <c r="N1132" s="65">
        <f>IF(tblMovimientos[[#This Row],[Tipo de Movimiento]]="Ingreso",tblMovimientos[[#This Row],[Monto (S/)]],"0")</f>
        <v>2637.13</v>
      </c>
      <c r="O1132" s="65" t="str">
        <f>IF(tblMovimientos[[#This Row],[Tipo de Movimiento]]="Egreso",tblMovimientos[[#This Row],[Monto (S/)]],"0")</f>
        <v>0</v>
      </c>
      <c r="P1132" s="28">
        <f>IF(tblMovimientos[[#This Row],[Tipo de Movimiento]]="Ingreso",tblMovimientos[[#This Row],[Ingreso]],-tblMovimientos[[#This Row],[Egreso]])</f>
        <v>2637.13</v>
      </c>
      <c r="Q1132" s="91" t="str">
        <f>IF(tblMovimientos[[#This Row],[Cuenta Bancaria]]="","",_xlfn.XLOOKUP(tblMovimientos[[#This Row],[Cuenta Bancaria]],Cuentas!$C:$C,Cuentas!$A:$A,"No encontrado"))</f>
        <v>SSP Group</v>
      </c>
      <c r="R1132" s="91" t="str">
        <f>TRIM(_xlfn.XLOOKUP(tblMovimientos[[#This Row],[Cuenta Bancaria]],Cuentas!$C:$C,Cuentas!$B:$B,""))</f>
        <v/>
      </c>
    </row>
    <row r="1133" spans="1:18" x14ac:dyDescent="0.3">
      <c r="B1133" s="39">
        <v>46295</v>
      </c>
      <c r="C1133" s="46" t="str">
        <f>_xlfn.XLOOKUP(tblMovimientos[[#This Row],[Cuenta Bancaria]],Listas!$B:$B,Listas!$A:$A,"")</f>
        <v>SSP Capital</v>
      </c>
      <c r="D1133" s="41" t="s">
        <v>106</v>
      </c>
      <c r="E1133" s="4" t="str">
        <f>_xlfn.XLOOKUP(tblMovimientos[[#This Row],[Cuenta Bancaria]],Listas!$B:$B,Listas!$C:$C,"")</f>
        <v>Amerant Bank Money Market</v>
      </c>
      <c r="F1133" s="41" t="s">
        <v>9</v>
      </c>
      <c r="G1133" s="41" t="s">
        <v>84</v>
      </c>
      <c r="H1133" s="4" t="str">
        <f>IFERROR(_xlfn.XLOOKUP(G1133,Listas!E:E,Listas!F:F,""),"")</f>
        <v>Operativo</v>
      </c>
      <c r="I1133" s="46" t="str">
        <f>IFERROR(_xlfn.XLOOKUP(G1133,Listas!E:E,Listas!G:G,""),"")</f>
        <v>Externo</v>
      </c>
      <c r="J1133" s="43">
        <v>2362.59</v>
      </c>
      <c r="K1133" s="5">
        <f t="shared" si="12"/>
        <v>2362.59</v>
      </c>
      <c r="L1133" s="15" t="s">
        <v>133</v>
      </c>
      <c r="M1133" s="44">
        <f>SUMIFS('Saldos Iniciales'!$D:$D,'Saldos Iniciales'!$A:$A,C1133,'Saldos Iniciales'!$B:$B,D1133)+SUMIFS($K$1:$K$1325,$C$1:$C$1325,C1133,$D$1:$D$1325,D1133,$B$1:$B$1325,"&lt;="&amp;B1133)</f>
        <v>813903.92999999993</v>
      </c>
      <c r="N1133" s="65">
        <f>IF(tblMovimientos[[#This Row],[Tipo de Movimiento]]="Ingreso",tblMovimientos[[#This Row],[Monto (S/)]],"0")</f>
        <v>2362.59</v>
      </c>
      <c r="O1133" s="65" t="str">
        <f>IF(tblMovimientos[[#This Row],[Tipo de Movimiento]]="Egreso",tblMovimientos[[#This Row],[Monto (S/)]],"0")</f>
        <v>0</v>
      </c>
      <c r="P1133" s="28">
        <f>IF(tblMovimientos[[#This Row],[Tipo de Movimiento]]="Ingreso",tblMovimientos[[#This Row],[Ingreso]],-tblMovimientos[[#This Row],[Egreso]])</f>
        <v>2362.59</v>
      </c>
      <c r="Q1133" s="91" t="str">
        <f>IF(tblMovimientos[[#This Row],[Cuenta Bancaria]]="","",_xlfn.XLOOKUP(tblMovimientos[[#This Row],[Cuenta Bancaria]],Cuentas!$C:$C,Cuentas!$A:$A,"No encontrado"))</f>
        <v>SSP Group</v>
      </c>
      <c r="R1133" s="91" t="str">
        <f>TRIM(_xlfn.XLOOKUP(tblMovimientos[[#This Row],[Cuenta Bancaria]],Cuentas!$C:$C,Cuentas!$B:$B,""))</f>
        <v/>
      </c>
    </row>
    <row r="1134" spans="1:18" x14ac:dyDescent="0.3">
      <c r="A1134" s="45"/>
      <c r="B1134" s="39">
        <v>46295</v>
      </c>
      <c r="C1134" s="46" t="str">
        <f>_xlfn.XLOOKUP(tblMovimientos[[#This Row],[Cuenta Bancaria]],Listas!$B:$B,Listas!$A:$A,"")</f>
        <v>SSP Capital</v>
      </c>
      <c r="D1134" s="41" t="s">
        <v>104</v>
      </c>
      <c r="E1134" s="46" t="str">
        <f>_xlfn.XLOOKUP(tblMovimientos[[#This Row],[Cuenta Bancaria]],Listas!$B:$B,Listas!$C:$C,"")</f>
        <v xml:space="preserve">Amerant Bank </v>
      </c>
      <c r="F1134" s="41" t="s">
        <v>10</v>
      </c>
      <c r="G1134" s="41" t="s">
        <v>42</v>
      </c>
      <c r="H1134" s="46" t="str">
        <f>IFERROR(_xlfn.XLOOKUP(G1134,Listas!E:E,Listas!F:F,""),"")</f>
        <v>Operativo</v>
      </c>
      <c r="I1134" s="46" t="str">
        <f>IFERROR(_xlfn.XLOOKUP(G1134,Listas!E:E,Listas!G:G,""),"")</f>
        <v>Externo</v>
      </c>
      <c r="J1134" s="43">
        <v>72131.05</v>
      </c>
      <c r="K1134" s="5">
        <f t="shared" si="12"/>
        <v>-72131.05</v>
      </c>
      <c r="L1134" s="15" t="s">
        <v>133</v>
      </c>
      <c r="M1134" s="44">
        <f>SUMIFS('Saldos Iniciales'!$D:$D,'Saldos Iniciales'!$A:$A,C1134,'Saldos Iniciales'!$B:$B,D1134)+SUMIFS($K$1:$K$1325,$C$1:$C$1325,C1134,$D$1:$D$1325,D1134,$B$1:$B$1325,"&lt;="&amp;B1134)</f>
        <v>265822.75999999925</v>
      </c>
      <c r="N1134" s="65" t="str">
        <f>IF(tblMovimientos[[#This Row],[Tipo de Movimiento]]="Ingreso",tblMovimientos[[#This Row],[Monto (S/)]],"0")</f>
        <v>0</v>
      </c>
      <c r="O1134" s="65">
        <f>IF(tblMovimientos[[#This Row],[Tipo de Movimiento]]="Egreso",tblMovimientos[[#This Row],[Monto (S/)]],"0")</f>
        <v>72131.05</v>
      </c>
      <c r="P1134" s="28">
        <f>IF(tblMovimientos[[#This Row],[Tipo de Movimiento]]="Ingreso",tblMovimientos[[#This Row],[Ingreso]],-tblMovimientos[[#This Row],[Egreso]])</f>
        <v>-72131.05</v>
      </c>
      <c r="Q1134" s="91" t="str">
        <f>IF(tblMovimientos[[#This Row],[Cuenta Bancaria]]="","",_xlfn.XLOOKUP(tblMovimientos[[#This Row],[Cuenta Bancaria]],Cuentas!$C:$C,Cuentas!$A:$A,"No encontrado"))</f>
        <v>SSP Group</v>
      </c>
      <c r="R1134" s="91" t="str">
        <f>TRIM(_xlfn.XLOOKUP(tblMovimientos[[#This Row],[Cuenta Bancaria]],Cuentas!$C:$C,Cuentas!$B:$B,""))</f>
        <v/>
      </c>
    </row>
    <row r="1135" spans="1:18" x14ac:dyDescent="0.3">
      <c r="B1135" s="39">
        <v>46295</v>
      </c>
      <c r="C1135" s="46" t="str">
        <f>_xlfn.XLOOKUP(tblMovimientos[[#This Row],[Cuenta Bancaria]],Listas!$B:$B,Listas!$A:$A,"")</f>
        <v>Pacha Ventures LLC</v>
      </c>
      <c r="D1135" s="41" t="s">
        <v>187</v>
      </c>
      <c r="E1135" s="80" t="str">
        <f>_xlfn.XLOOKUP(tblMovimientos[[#This Row],[Cuenta Bancaria]],Listas!$B:$B,Listas!$C:$C,"")</f>
        <v xml:space="preserve">Amerant Bank </v>
      </c>
      <c r="F1135" s="41" t="s">
        <v>9</v>
      </c>
      <c r="G1135" s="41" t="s">
        <v>84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864.61</v>
      </c>
      <c r="K1135" s="5">
        <f t="shared" si="12"/>
        <v>864.61</v>
      </c>
      <c r="L1135" s="15" t="s">
        <v>133</v>
      </c>
      <c r="M1135" s="44">
        <f>SUMIFS('Saldos Iniciales'!$D:$D,'Saldos Iniciales'!$A:$A,C1135,'Saldos Iniciales'!$B:$B,D1135)+SUMIFS($K$1:$K$1325,$C$1:$C$1325,C1135,$D$1:$D$1325,D1135,$B$1:$B$1325,"&lt;="&amp;B1135)</f>
        <v>313178.98000000004</v>
      </c>
      <c r="N1135" s="65">
        <f>IF(tblMovimientos[[#This Row],[Tipo de Movimiento]]="Ingreso",tblMovimientos[[#This Row],[Monto (S/)]],"0")</f>
        <v>864.61</v>
      </c>
      <c r="O1135" s="65" t="str">
        <f>IF(tblMovimientos[[#This Row],[Tipo de Movimiento]]="Egreso",tblMovimientos[[#This Row],[Monto (S/)]],"0")</f>
        <v>0</v>
      </c>
      <c r="P1135" s="28">
        <f>IF(tblMovimientos[[#This Row],[Tipo de Movimiento]]="Ingreso",tblMovimientos[[#This Row],[Ingreso]],-tblMovimientos[[#This Row],[Egreso]])</f>
        <v>864.61</v>
      </c>
      <c r="Q1135" s="91" t="str">
        <f>IF(tblMovimientos[[#This Row],[Cuenta Bancaria]]="","",_xlfn.XLOOKUP(tblMovimientos[[#This Row],[Cuenta Bancaria]],Cuentas!$C:$C,Cuentas!$A:$A,"No encontrado"))</f>
        <v>Michael Cross</v>
      </c>
      <c r="R1135" s="91" t="str">
        <f>TRIM(_xlfn.XLOOKUP(tblMovimientos[[#This Row],[Cuenta Bancaria]],Cuentas!$C:$C,Cuentas!$B:$B,""))</f>
        <v/>
      </c>
    </row>
    <row r="1136" spans="1:18" x14ac:dyDescent="0.3">
      <c r="A1136" s="45"/>
      <c r="B1136" s="39">
        <v>46295</v>
      </c>
      <c r="C1136" s="46" t="str">
        <f>_xlfn.XLOOKUP(tblMovimientos[[#This Row],[Cuenta Bancaria]],Listas!$B:$B,Listas!$A:$A,"")</f>
        <v>CFT 1 residence LLC</v>
      </c>
      <c r="D1136" s="41" t="s">
        <v>184</v>
      </c>
      <c r="E1136" s="81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38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50</v>
      </c>
      <c r="K1136" s="5">
        <f t="shared" si="12"/>
        <v>-50</v>
      </c>
      <c r="L1136" s="15" t="s">
        <v>133</v>
      </c>
      <c r="M1136" s="44">
        <f>SUMIFS('Saldos Iniciales'!$D:$D,'Saldos Iniciales'!$A:$A,C1136,'Saldos Iniciales'!$B:$B,D1136)+SUMIFS($K$1:$K$1325,$C$1:$C$1325,C1136,$D$1:$D$1325,D1136,$B$1:$B$1325,"&lt;="&amp;B1136)</f>
        <v>100996.39</v>
      </c>
      <c r="N1136" s="65" t="str">
        <f>IF(tblMovimientos[[#This Row],[Tipo de Movimiento]]="Ingreso",tblMovimientos[[#This Row],[Monto (S/)]],"0")</f>
        <v>0</v>
      </c>
      <c r="O1136" s="65">
        <f>IF(tblMovimientos[[#This Row],[Tipo de Movimiento]]="Egreso",tblMovimientos[[#This Row],[Monto (S/)]],"0")</f>
        <v>50</v>
      </c>
      <c r="P1136" s="28">
        <f>IF(tblMovimientos[[#This Row],[Tipo de Movimiento]]="Ingreso",tblMovimientos[[#This Row],[Ingreso]],-tblMovimientos[[#This Row],[Egreso]])</f>
        <v>-50</v>
      </c>
      <c r="Q1136" s="91" t="str">
        <f>IF(tblMovimientos[[#This Row],[Cuenta Bancaria]]="","",_xlfn.XLOOKUP(tblMovimientos[[#This Row],[Cuenta Bancaria]],Cuentas!$C:$C,Cuentas!$A:$A,"No encontrado"))</f>
        <v>Carmen Cross Irrevocable Trust</v>
      </c>
      <c r="R1136" s="91" t="str">
        <f>TRIM(_xlfn.XLOOKUP(tblMovimientos[[#This Row],[Cuenta Bancaria]],Cuentas!$C:$C,Cuentas!$B:$B,""))</f>
        <v/>
      </c>
    </row>
    <row r="1137" spans="1:18" x14ac:dyDescent="0.3">
      <c r="A1137" s="45"/>
      <c r="B1137" s="39">
        <v>46295</v>
      </c>
      <c r="C1137" s="46" t="str">
        <f>_xlfn.XLOOKUP(tblMovimientos[[#This Row],[Cuenta Bancaria]],Listas!$B:$B,Listas!$A:$A,"")</f>
        <v>Prendamas SRL</v>
      </c>
      <c r="D1137" s="41" t="s">
        <v>186</v>
      </c>
      <c r="E1137" s="81" t="str">
        <f>_xlfn.XLOOKUP(tblMovimientos[[#This Row],[Cuenta Bancaria]],Listas!$B:$B,Listas!$C:$C,"")</f>
        <v xml:space="preserve">Amerant Bank </v>
      </c>
      <c r="F1137" s="41" t="s">
        <v>10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491.98</v>
      </c>
      <c r="K1137" s="5">
        <f t="shared" si="12"/>
        <v>-491.98</v>
      </c>
      <c r="L1137" s="15" t="s">
        <v>133</v>
      </c>
      <c r="M1137" s="44">
        <f>SUMIFS('Saldos Iniciales'!$D:$D,'Saldos Iniciales'!$A:$A,C1137,'Saldos Iniciales'!$B:$B,D1137)+SUMIFS($K$1:$K$1325,$C$1:$C$1325,C1137,$D$1:$D$1325,D1137,$B$1:$B$1325,"&lt;="&amp;B1137)</f>
        <v>21964.799999999959</v>
      </c>
      <c r="N1137" s="65" t="str">
        <f>IF(tblMovimientos[[#This Row],[Tipo de Movimiento]]="Ingreso",tblMovimientos[[#This Row],[Monto (S/)]],"0")</f>
        <v>0</v>
      </c>
      <c r="O1137" s="65">
        <f>IF(tblMovimientos[[#This Row],[Tipo de Movimiento]]="Egreso",tblMovimientos[[#This Row],[Monto (S/)]],"0")</f>
        <v>491.98</v>
      </c>
      <c r="P1137" s="28">
        <f>IF(tblMovimientos[[#This Row],[Tipo de Movimiento]]="Ingreso",tblMovimientos[[#This Row],[Ingreso]],-tblMovimientos[[#This Row],[Egreso]])</f>
        <v>-491.98</v>
      </c>
      <c r="Q1137" s="91" t="str">
        <f>IF(tblMovimientos[[#This Row],[Cuenta Bancaria]]="","",_xlfn.XLOOKUP(tblMovimientos[[#This Row],[Cuenta Bancaria]],Cuentas!$C:$C,Cuentas!$A:$A,"No encontrado"))</f>
        <v>Unidades de Negocio</v>
      </c>
      <c r="R1137" s="91" t="str">
        <f>TRIM(_xlfn.XLOOKUP(tblMovimientos[[#This Row],[Cuenta Bancaria]],Cuentas!$C:$C,Cuentas!$B:$B,""))</f>
        <v/>
      </c>
    </row>
    <row r="1138" spans="1:18" x14ac:dyDescent="0.3">
      <c r="B1138" s="39">
        <v>46295</v>
      </c>
      <c r="C1138" s="46" t="str">
        <f>_xlfn.XLOOKUP(tblMovimientos[[#This Row],[Cuenta Bancaria]],Listas!$B:$B,Listas!$A:$A,"")</f>
        <v>Cross Security Trust</v>
      </c>
      <c r="D1138" s="41" t="s">
        <v>112</v>
      </c>
      <c r="E1138" s="80" t="str">
        <f>_xlfn.XLOOKUP(tblMovimientos[[#This Row],[Cuenta Bancaria]],Listas!$B:$B,Listas!$C:$C,"")</f>
        <v>Bank of America</v>
      </c>
      <c r="F1138" s="41" t="s">
        <v>10</v>
      </c>
      <c r="G1138" s="41" t="s">
        <v>38</v>
      </c>
      <c r="H1138" s="4" t="str">
        <f>IFERROR(_xlfn.XLOOKUP(G1138,Listas!E:E,Listas!F:F,""),"")</f>
        <v>Operativo</v>
      </c>
      <c r="I1138" s="81" t="str">
        <f>IFERROR(_xlfn.XLOOKUP(G1138,Listas!E:E,Listas!G:G,""),"")</f>
        <v>Externo</v>
      </c>
      <c r="J1138" s="43">
        <v>24154</v>
      </c>
      <c r="K1138" s="5">
        <f t="shared" ref="K1138:K1183" si="13">IF(F1138="Ingreso",J1138,-J1138)</f>
        <v>-24154</v>
      </c>
      <c r="L1138" s="15" t="s">
        <v>133</v>
      </c>
      <c r="M1138" s="44">
        <f>SUMIFS('Saldos Iniciales'!$D:$D,'Saldos Iniciales'!$A:$A,C1138,'Saldos Iniciales'!$B:$B,D1138)+SUMIFS($K$1:$K$1325,$C$1:$C$1325,C1138,$D$1:$D$1325,D1138,$B$1:$B$1325,"&lt;="&amp;B1138)</f>
        <v>-38981.500000000015</v>
      </c>
      <c r="N1138" s="65" t="str">
        <f>IF(tblMovimientos[[#This Row],[Tipo de Movimiento]]="Ingreso",tblMovimientos[[#This Row],[Monto (S/)]],"0")</f>
        <v>0</v>
      </c>
      <c r="O1138" s="65">
        <f>IF(tblMovimientos[[#This Row],[Tipo de Movimiento]]="Egreso",tblMovimientos[[#This Row],[Monto (S/)]],"0")</f>
        <v>24154</v>
      </c>
      <c r="P1138" s="28">
        <f>IF(tblMovimientos[[#This Row],[Tipo de Movimiento]]="Ingreso",tblMovimientos[[#This Row],[Ingreso]],-tblMovimientos[[#This Row],[Egreso]])</f>
        <v>-24154</v>
      </c>
      <c r="Q1138" s="91" t="str">
        <f>IF(tblMovimientos[[#This Row],[Cuenta Bancaria]]="","",_xlfn.XLOOKUP(tblMovimientos[[#This Row],[Cuenta Bancaria]],Cuentas!$C:$C,Cuentas!$A:$A,"No encontrado"))</f>
        <v>SSP Group</v>
      </c>
      <c r="R1138" s="91" t="str">
        <f>TRIM(_xlfn.XLOOKUP(tblMovimientos[[#This Row],[Cuenta Bancaria]],Cuentas!$C:$C,Cuentas!$B:$B,""))</f>
        <v>Cross Security Trust</v>
      </c>
    </row>
    <row r="1139" spans="1:18" x14ac:dyDescent="0.3">
      <c r="B1139" s="39">
        <v>46295</v>
      </c>
      <c r="C1139" s="46" t="str">
        <f>_xlfn.XLOOKUP(tblMovimientos[[#This Row],[Cuenta Bancaria]],Listas!$B:$B,Listas!$A:$A,"")</f>
        <v>Cross Security Trust</v>
      </c>
      <c r="D1139" s="41" t="s">
        <v>112</v>
      </c>
      <c r="E1139" s="80" t="str">
        <f>_xlfn.XLOOKUP(tblMovimientos[[#This Row],[Cuenta Bancaria]],Listas!$B:$B,Listas!$C:$C,"")</f>
        <v>Bank of America</v>
      </c>
      <c r="F1139" s="41" t="s">
        <v>10</v>
      </c>
      <c r="G1139" s="41" t="s">
        <v>38</v>
      </c>
      <c r="H1139" s="4" t="str">
        <f>IFERROR(_xlfn.XLOOKUP(G1139,Listas!E:E,Listas!F:F,""),"")</f>
        <v>Operativo</v>
      </c>
      <c r="I1139" s="81" t="str">
        <f>IFERROR(_xlfn.XLOOKUP(G1139,Listas!E:E,Listas!G:G,""),"")</f>
        <v>Externo</v>
      </c>
      <c r="J1139" s="43">
        <v>113001</v>
      </c>
      <c r="K1139" s="5">
        <f t="shared" si="13"/>
        <v>-113001</v>
      </c>
      <c r="L1139" s="15" t="s">
        <v>133</v>
      </c>
      <c r="M1139" s="44">
        <f>SUMIFS('Saldos Iniciales'!$D:$D,'Saldos Iniciales'!$A:$A,C1139,'Saldos Iniciales'!$B:$B,D1139)+SUMIFS($K$1:$K$1325,$C$1:$C$1325,C1139,$D$1:$D$1325,D1139,$B$1:$B$1325,"&lt;="&amp;B1139)</f>
        <v>-38981.500000000015</v>
      </c>
      <c r="N1139" s="65" t="str">
        <f>IF(tblMovimientos[[#This Row],[Tipo de Movimiento]]="Ingreso",tblMovimientos[[#This Row],[Monto (S/)]],"0")</f>
        <v>0</v>
      </c>
      <c r="O1139" s="65">
        <f>IF(tblMovimientos[[#This Row],[Tipo de Movimiento]]="Egreso",tblMovimientos[[#This Row],[Monto (S/)]],"0")</f>
        <v>113001</v>
      </c>
      <c r="P1139" s="28">
        <f>IF(tblMovimientos[[#This Row],[Tipo de Movimiento]]="Ingreso",tblMovimientos[[#This Row],[Ingreso]],-tblMovimientos[[#This Row],[Egreso]])</f>
        <v>-113001</v>
      </c>
      <c r="Q1139" s="91" t="str">
        <f>IF(tblMovimientos[[#This Row],[Cuenta Bancaria]]="","",_xlfn.XLOOKUP(tblMovimientos[[#This Row],[Cuenta Bancaria]],Cuentas!$C:$C,Cuentas!$A:$A,"No encontrado"))</f>
        <v>SSP Group</v>
      </c>
      <c r="R1139" s="91" t="str">
        <f>TRIM(_xlfn.XLOOKUP(tblMovimientos[[#This Row],[Cuenta Bancaria]],Cuentas!$C:$C,Cuentas!$B:$B,""))</f>
        <v>Cross Security Trust</v>
      </c>
    </row>
    <row r="1140" spans="1:18" x14ac:dyDescent="0.3">
      <c r="B1140" s="39">
        <v>46295</v>
      </c>
      <c r="C1140" s="46" t="str">
        <f>_xlfn.XLOOKUP(tblMovimientos[[#This Row],[Cuenta Bancaria]],Listas!$B:$B,Listas!$A:$A,"")</f>
        <v>Electrama</v>
      </c>
      <c r="D1140" s="41" t="s">
        <v>113</v>
      </c>
      <c r="E1140" s="80" t="str">
        <f>_xlfn.XLOOKUP(tblMovimientos[[#This Row],[Cuenta Bancaria]],Listas!$B:$B,Listas!$C:$C,"")</f>
        <v>Chase Bank</v>
      </c>
      <c r="F1140" s="41" t="s">
        <v>10</v>
      </c>
      <c r="G1140" s="41" t="s">
        <v>42</v>
      </c>
      <c r="H1140" s="4" t="str">
        <f>IFERROR(_xlfn.XLOOKUP(G1140,Listas!E:E,Listas!F:F,""),"")</f>
        <v>Operativo</v>
      </c>
      <c r="I1140" s="81" t="str">
        <f>IFERROR(_xlfn.XLOOKUP(G1140,Listas!E:E,Listas!G:G,""),"")</f>
        <v>Externo</v>
      </c>
      <c r="J1140" s="43">
        <v>215.14</v>
      </c>
      <c r="K1140" s="5">
        <f t="shared" si="13"/>
        <v>-215.14</v>
      </c>
      <c r="L1140" s="15" t="s">
        <v>133</v>
      </c>
      <c r="M1140" s="44">
        <f>SUMIFS('Saldos Iniciales'!$D:$D,'Saldos Iniciales'!$A:$A,C1140,'Saldos Iniciales'!$B:$B,D1140)+SUMIFS($K$1:$K$1325,$C$1:$C$1325,C1140,$D$1:$D$1325,D1140,$B$1:$B$1325,"&lt;="&amp;B1140)</f>
        <v>10259.18</v>
      </c>
      <c r="N1140" s="65" t="str">
        <f>IF(tblMovimientos[[#This Row],[Tipo de Movimiento]]="Ingreso",tblMovimientos[[#This Row],[Monto (S/)]],"0")</f>
        <v>0</v>
      </c>
      <c r="O1140" s="65">
        <f>IF(tblMovimientos[[#This Row],[Tipo de Movimiento]]="Egreso",tblMovimientos[[#This Row],[Monto (S/)]],"0")</f>
        <v>215.14</v>
      </c>
      <c r="P1140" s="28">
        <f>IF(tblMovimientos[[#This Row],[Tipo de Movimiento]]="Ingreso",tblMovimientos[[#This Row],[Ingreso]],-tblMovimientos[[#This Row],[Egreso]])</f>
        <v>-215.14</v>
      </c>
      <c r="Q1140" s="91" t="str">
        <f>IF(tblMovimientos[[#This Row],[Cuenta Bancaria]]="","",_xlfn.XLOOKUP(tblMovimientos[[#This Row],[Cuenta Bancaria]],Cuentas!$C:$C,Cuentas!$A:$A,"No encontrado"))</f>
        <v>SSP Group</v>
      </c>
      <c r="R1140" s="91" t="str">
        <f>TRIM(_xlfn.XLOOKUP(tblMovimientos[[#This Row],[Cuenta Bancaria]],Cuentas!$C:$C,Cuentas!$B:$B,""))</f>
        <v/>
      </c>
    </row>
    <row r="1141" spans="1:18" x14ac:dyDescent="0.3">
      <c r="B1141" s="39">
        <v>46296</v>
      </c>
      <c r="C1141" s="46" t="str">
        <f>_xlfn.XLOOKUP(tblMovimientos[[#This Row],[Cuenta Bancaria]],Listas!$B:$B,Listas!$A:$A,"")</f>
        <v>SSP Capital</v>
      </c>
      <c r="D1141" s="41" t="s">
        <v>101</v>
      </c>
      <c r="E1141" s="4" t="str">
        <f>_xlfn.XLOOKUP(tblMovimientos[[#This Row],[Cuenta Bancaria]],Listas!$B:$B,Listas!$C:$C,"")</f>
        <v>Bank of America</v>
      </c>
      <c r="F1141" s="41" t="s">
        <v>9</v>
      </c>
      <c r="G1141" s="41" t="s">
        <v>73</v>
      </c>
      <c r="H1141" s="4" t="str">
        <f>IFERROR(_xlfn.XLOOKUP(G1141,Listas!E:E,Listas!F:F,""),"")</f>
        <v>Operativo</v>
      </c>
      <c r="I1141" s="46" t="str">
        <f>IFERROR(_xlfn.XLOOKUP(G1141,Listas!E:E,Listas!G:G,""),"")</f>
        <v>Interno</v>
      </c>
      <c r="J1141" s="43">
        <v>15252.43</v>
      </c>
      <c r="K1141" s="5">
        <f t="shared" si="13"/>
        <v>15252.43</v>
      </c>
      <c r="L1141" s="15" t="s">
        <v>134</v>
      </c>
      <c r="M1141" s="44">
        <f>SUMIFS('Saldos Iniciales'!$D:$D,'Saldos Iniciales'!$A:$A,C1141,'Saldos Iniciales'!$B:$B,D1141)+SUMIFS($K$1:$K$1325,$C$1:$C$1325,C1141,$D$1:$D$1325,D1141,$B$1:$B$1325,"&lt;="&amp;B1141)</f>
        <v>36367.810000000005</v>
      </c>
      <c r="N1141" s="65">
        <f>IF(tblMovimientos[[#This Row],[Tipo de Movimiento]]="Ingreso",tblMovimientos[[#This Row],[Monto (S/)]],"0")</f>
        <v>15252.43</v>
      </c>
      <c r="O1141" s="65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15252.43</v>
      </c>
      <c r="Q1141" s="91" t="str">
        <f>IF(tblMovimientos[[#This Row],[Cuenta Bancaria]]="","",_xlfn.XLOOKUP(tblMovimientos[[#This Row],[Cuenta Bancaria]],Cuentas!$C:$C,Cuentas!$A:$A,"No encontrado"))</f>
        <v>SSP Group</v>
      </c>
      <c r="R1141" s="91" t="str">
        <f>TRIM(_xlfn.XLOOKUP(tblMovimientos[[#This Row],[Cuenta Bancaria]],Cuentas!$C:$C,Cuentas!$B:$B,""))</f>
        <v/>
      </c>
    </row>
    <row r="1142" spans="1:18" x14ac:dyDescent="0.3">
      <c r="B1142" s="39">
        <v>46296</v>
      </c>
      <c r="C1142" s="46" t="str">
        <f>_xlfn.XLOOKUP(tblMovimientos[[#This Row],[Cuenta Bancaria]],Listas!$B:$B,Listas!$A:$A,"")</f>
        <v>A&amp;M Imports</v>
      </c>
      <c r="D1142" s="41" t="s">
        <v>100</v>
      </c>
      <c r="E1142" s="4" t="str">
        <f>_xlfn.XLOOKUP(tblMovimientos[[#This Row],[Cuenta Bancaria]],Listas!$B:$B,Listas!$C:$C,"")</f>
        <v>Bank of America</v>
      </c>
      <c r="F1142" s="41" t="s">
        <v>10</v>
      </c>
      <c r="G1142" s="41" t="s">
        <v>61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60000</v>
      </c>
      <c r="K1142" s="5">
        <f t="shared" si="13"/>
        <v>-60000</v>
      </c>
      <c r="L1142" s="15" t="s">
        <v>134</v>
      </c>
      <c r="M1142" s="44">
        <f>SUMIFS('Saldos Iniciales'!$D:$D,'Saldos Iniciales'!$A:$A,C1142,'Saldos Iniciales'!$B:$B,D1142)+SUMIFS($K$1:$K$1325,$C$1:$C$1325,C1142,$D$1:$D$1325,D1142,$B$1:$B$1325,"&lt;="&amp;B1142)</f>
        <v>1200526.7499999995</v>
      </c>
      <c r="N1142" s="65" t="str">
        <f>IF(tblMovimientos[[#This Row],[Tipo de Movimiento]]="Ingreso",tblMovimientos[[#This Row],[Monto (S/)]],"0")</f>
        <v>0</v>
      </c>
      <c r="O1142" s="65">
        <f>IF(tblMovimientos[[#This Row],[Tipo de Movimiento]]="Egreso",tblMovimientos[[#This Row],[Monto (S/)]],"0")</f>
        <v>60000</v>
      </c>
      <c r="P1142" s="28">
        <f>IF(tblMovimientos[[#This Row],[Tipo de Movimiento]]="Ingreso",tblMovimientos[[#This Row],[Ingreso]],-tblMovimientos[[#This Row],[Egreso]])</f>
        <v>-60000</v>
      </c>
      <c r="Q1142" s="91" t="str">
        <f>IF(tblMovimientos[[#This Row],[Cuenta Bancaria]]="","",_xlfn.XLOOKUP(tblMovimientos[[#This Row],[Cuenta Bancaria]],Cuentas!$C:$C,Cuentas!$A:$A,"No encontrado"))</f>
        <v>SSP Group</v>
      </c>
      <c r="R1142" s="91" t="str">
        <f>TRIM(_xlfn.XLOOKUP(tblMovimientos[[#This Row],[Cuenta Bancaria]],Cuentas!$C:$C,Cuentas!$B:$B,""))</f>
        <v>Cross Security Trust</v>
      </c>
    </row>
    <row r="1143" spans="1:18" x14ac:dyDescent="0.3">
      <c r="B1143" s="39">
        <v>46296</v>
      </c>
      <c r="C1143" s="46" t="str">
        <f>_xlfn.XLOOKUP(tblMovimientos[[#This Row],[Cuenta Bancaria]],Listas!$B:$B,Listas!$A:$A,"")</f>
        <v>A&amp;M Imports</v>
      </c>
      <c r="D1143" s="41" t="s">
        <v>100</v>
      </c>
      <c r="E1143" s="4" t="str">
        <f>_xlfn.XLOOKUP(tblMovimientos[[#This Row],[Cuenta Bancaria]],Listas!$B:$B,Listas!$C:$C,"")</f>
        <v>Bank of America</v>
      </c>
      <c r="F1143" s="41" t="s">
        <v>10</v>
      </c>
      <c r="G1143" s="41" t="s">
        <v>61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80000</v>
      </c>
      <c r="K1143" s="5">
        <f t="shared" si="13"/>
        <v>-80000</v>
      </c>
      <c r="L1143" s="15" t="s">
        <v>134</v>
      </c>
      <c r="M1143" s="44">
        <f>SUMIFS('Saldos Iniciales'!$D:$D,'Saldos Iniciales'!$A:$A,C1143,'Saldos Iniciales'!$B:$B,D1143)+SUMIFS($K$1:$K$1325,$C$1:$C$1325,C1143,$D$1:$D$1325,D1143,$B$1:$B$1325,"&lt;="&amp;B1143)</f>
        <v>1200526.7499999995</v>
      </c>
      <c r="N1143" s="65" t="str">
        <f>IF(tblMovimientos[[#This Row],[Tipo de Movimiento]]="Ingreso",tblMovimientos[[#This Row],[Monto (S/)]],"0")</f>
        <v>0</v>
      </c>
      <c r="O1143" s="65">
        <f>IF(tblMovimientos[[#This Row],[Tipo de Movimiento]]="Egreso",tblMovimientos[[#This Row],[Monto (S/)]],"0")</f>
        <v>80000</v>
      </c>
      <c r="P1143" s="28">
        <f>IF(tblMovimientos[[#This Row],[Tipo de Movimiento]]="Ingreso",tblMovimientos[[#This Row],[Ingreso]],-tblMovimientos[[#This Row],[Egreso]])</f>
        <v>-80000</v>
      </c>
      <c r="Q1143" s="91" t="str">
        <f>IF(tblMovimientos[[#This Row],[Cuenta Bancaria]]="","",_xlfn.XLOOKUP(tblMovimientos[[#This Row],[Cuenta Bancaria]],Cuentas!$C:$C,Cuentas!$A:$A,"No encontrado"))</f>
        <v>SSP Group</v>
      </c>
      <c r="R1143" s="91" t="str">
        <f>TRIM(_xlfn.XLOOKUP(tblMovimientos[[#This Row],[Cuenta Bancaria]],Cuentas!$C:$C,Cuentas!$B:$B,""))</f>
        <v>Cross Security Trust</v>
      </c>
    </row>
    <row r="1144" spans="1:18" x14ac:dyDescent="0.3">
      <c r="B1144" s="39">
        <v>46296</v>
      </c>
      <c r="C1144" s="46" t="str">
        <f>_xlfn.XLOOKUP(tblMovimientos[[#This Row],[Cuenta Bancaria]],Listas!$B:$B,Listas!$A:$A,"")</f>
        <v>A&amp;M Imports</v>
      </c>
      <c r="D1144" s="41" t="s">
        <v>100</v>
      </c>
      <c r="E1144" s="4" t="str">
        <f>_xlfn.XLOOKUP(tblMovimientos[[#This Row],[Cuenta Bancaria]],Listas!$B:$B,Listas!$C:$C,"")</f>
        <v>Bank of America</v>
      </c>
      <c r="F1144" s="41" t="s">
        <v>10</v>
      </c>
      <c r="G1144" s="41" t="s">
        <v>51</v>
      </c>
      <c r="H1144" s="4" t="str">
        <f>IFERROR(_xlfn.XLOOKUP(G1144,Listas!E:E,Listas!F:F,""),"")</f>
        <v>Financiamiento</v>
      </c>
      <c r="I1144" s="46" t="str">
        <f>IFERROR(_xlfn.XLOOKUP(G1144,Listas!E:E,Listas!G:G,""),"")</f>
        <v>Externo</v>
      </c>
      <c r="J1144" s="43">
        <v>15252.43</v>
      </c>
      <c r="K1144" s="5">
        <f t="shared" si="13"/>
        <v>-15252.43</v>
      </c>
      <c r="L1144" s="15" t="s">
        <v>134</v>
      </c>
      <c r="M1144" s="44">
        <f>SUMIFS('Saldos Iniciales'!$D:$D,'Saldos Iniciales'!$A:$A,C1144,'Saldos Iniciales'!$B:$B,D1144)+SUMIFS($K$1:$K$1325,$C$1:$C$1325,C1144,$D$1:$D$1325,D1144,$B$1:$B$1325,"&lt;="&amp;B1144)</f>
        <v>1200526.7499999995</v>
      </c>
      <c r="N1144" s="65" t="str">
        <f>IF(tblMovimientos[[#This Row],[Tipo de Movimiento]]="Ingreso",tblMovimientos[[#This Row],[Monto (S/)]],"0")</f>
        <v>0</v>
      </c>
      <c r="O1144" s="65">
        <f>IF(tblMovimientos[[#This Row],[Tipo de Movimiento]]="Egreso",tblMovimientos[[#This Row],[Monto (S/)]],"0")</f>
        <v>15252.43</v>
      </c>
      <c r="P1144" s="28">
        <f>IF(tblMovimientos[[#This Row],[Tipo de Movimiento]]="Ingreso",tblMovimientos[[#This Row],[Ingreso]],-tblMovimientos[[#This Row],[Egreso]])</f>
        <v>-15252.43</v>
      </c>
      <c r="Q1144" s="91" t="str">
        <f>IF(tblMovimientos[[#This Row],[Cuenta Bancaria]]="","",_xlfn.XLOOKUP(tblMovimientos[[#This Row],[Cuenta Bancaria]],Cuentas!$C:$C,Cuentas!$A:$A,"No encontrado"))</f>
        <v>SSP Group</v>
      </c>
      <c r="R1144" s="91" t="str">
        <f>TRIM(_xlfn.XLOOKUP(tblMovimientos[[#This Row],[Cuenta Bancaria]],Cuentas!$C:$C,Cuentas!$B:$B,""))</f>
        <v>Cross Security Trust</v>
      </c>
    </row>
    <row r="1145" spans="1:18" x14ac:dyDescent="0.3">
      <c r="B1145" s="39">
        <v>46296</v>
      </c>
      <c r="C1145" s="46" t="str">
        <f>_xlfn.XLOOKUP(tblMovimientos[[#This Row],[Cuenta Bancaria]],Listas!$B:$B,Listas!$A:$A,"")</f>
        <v>CFT Group</v>
      </c>
      <c r="D1145" s="41" t="s">
        <v>94</v>
      </c>
      <c r="E1145" s="4" t="str">
        <f>_xlfn.XLOOKUP(tblMovimientos[[#This Row],[Cuenta Bancaria]],Listas!$B:$B,Listas!$C:$C,"")</f>
        <v>Bank of America</v>
      </c>
      <c r="F1145" s="41" t="s">
        <v>10</v>
      </c>
      <c r="G1145" s="41" t="s">
        <v>64</v>
      </c>
      <c r="H1145" s="4" t="str">
        <f>IFERROR(_xlfn.XLOOKUP(G1145,Listas!E:E,Listas!F:F,""),"")</f>
        <v>Operativo</v>
      </c>
      <c r="I1145" s="46" t="str">
        <f>IFERROR(_xlfn.XLOOKUP(G1145,Listas!E:E,Listas!G:G,""),"")</f>
        <v>Interno</v>
      </c>
      <c r="J1145" s="43">
        <v>440000</v>
      </c>
      <c r="K1145" s="5">
        <f t="shared" si="13"/>
        <v>-440000</v>
      </c>
      <c r="L1145" s="15" t="s">
        <v>134</v>
      </c>
      <c r="M1145" s="44">
        <f>SUMIFS('Saldos Iniciales'!$D:$D,'Saldos Iniciales'!$A:$A,C1145,'Saldos Iniciales'!$B:$B,D1145)+SUMIFS($K$1:$K$1325,$C$1:$C$1325,C1145,$D$1:$D$1325,D1145,$B$1:$B$1325,"&lt;="&amp;B1145)</f>
        <v>23219.509999999951</v>
      </c>
      <c r="N1145" s="65" t="str">
        <f>IF(tblMovimientos[[#This Row],[Tipo de Movimiento]]="Ingreso",tblMovimientos[[#This Row],[Monto (S/)]],"0")</f>
        <v>0</v>
      </c>
      <c r="O1145" s="65">
        <f>IF(tblMovimientos[[#This Row],[Tipo de Movimiento]]="Egreso",tblMovimientos[[#This Row],[Monto (S/)]],"0")</f>
        <v>440000</v>
      </c>
      <c r="P1145" s="28">
        <f>IF(tblMovimientos[[#This Row],[Tipo de Movimiento]]="Ingreso",tblMovimientos[[#This Row],[Ingreso]],-tblMovimientos[[#This Row],[Egreso]])</f>
        <v>-440000</v>
      </c>
      <c r="Q1145" s="91" t="str">
        <f>IF(tblMovimientos[[#This Row],[Cuenta Bancaria]]="","",_xlfn.XLOOKUP(tblMovimientos[[#This Row],[Cuenta Bancaria]],Cuentas!$C:$C,Cuentas!$A:$A,"No encontrado"))</f>
        <v>SSP Group</v>
      </c>
      <c r="R1145" s="91" t="str">
        <f>TRIM(_xlfn.XLOOKUP(tblMovimientos[[#This Row],[Cuenta Bancaria]],Cuentas!$C:$C,Cuentas!$B:$B,""))</f>
        <v/>
      </c>
    </row>
    <row r="1146" spans="1:18" x14ac:dyDescent="0.3">
      <c r="B1146" s="39">
        <v>46296</v>
      </c>
      <c r="C1146" s="46" t="str">
        <f>_xlfn.XLOOKUP(tblMovimientos[[#This Row],[Cuenta Bancaria]],Listas!$B:$B,Listas!$A:$A,"")</f>
        <v>Cross Family Trust</v>
      </c>
      <c r="D1146" s="41" t="s">
        <v>110</v>
      </c>
      <c r="E1146" s="4" t="str">
        <f>_xlfn.XLOOKUP(tblMovimientos[[#This Row],[Cuenta Bancaria]],Listas!$B:$B,Listas!$C:$C,"")</f>
        <v>Bank of America</v>
      </c>
      <c r="F1146" s="41" t="s">
        <v>10</v>
      </c>
      <c r="G1146" s="41" t="s">
        <v>38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6000</v>
      </c>
      <c r="K1146" s="5">
        <f t="shared" si="13"/>
        <v>-6000</v>
      </c>
      <c r="L1146" s="15" t="s">
        <v>134</v>
      </c>
      <c r="M1146" s="44">
        <f>SUMIFS('Saldos Iniciales'!$D:$D,'Saldos Iniciales'!$A:$A,C1146,'Saldos Iniciales'!$B:$B,D1146)+SUMIFS($K$1:$K$1325,$C$1:$C$1325,C1146,$D$1:$D$1325,D1146,$B$1:$B$1325,"&lt;="&amp;B1146)</f>
        <v>27206.89</v>
      </c>
      <c r="N1146" s="65" t="str">
        <f>IF(tblMovimientos[[#This Row],[Tipo de Movimiento]]="Ingreso",tblMovimientos[[#This Row],[Monto (S/)]],"0")</f>
        <v>0</v>
      </c>
      <c r="O1146" s="65">
        <f>IF(tblMovimientos[[#This Row],[Tipo de Movimiento]]="Egreso",tblMovimientos[[#This Row],[Monto (S/)]],"0")</f>
        <v>6000</v>
      </c>
      <c r="P1146" s="28">
        <f>IF(tblMovimientos[[#This Row],[Tipo de Movimiento]]="Ingreso",tblMovimientos[[#This Row],[Ingreso]],-tblMovimientos[[#This Row],[Egreso]])</f>
        <v>-6000</v>
      </c>
      <c r="Q1146" s="91" t="str">
        <f>IF(tblMovimientos[[#This Row],[Cuenta Bancaria]]="","",_xlfn.XLOOKUP(tblMovimientos[[#This Row],[Cuenta Bancaria]],Cuentas!$C:$C,Cuentas!$A:$A,"No encontrado"))</f>
        <v>Trust</v>
      </c>
      <c r="R1146" s="91" t="str">
        <f>TRIM(_xlfn.XLOOKUP(tblMovimientos[[#This Row],[Cuenta Bancaria]],Cuentas!$C:$C,Cuentas!$B:$B,""))</f>
        <v/>
      </c>
    </row>
    <row r="1147" spans="1:18" x14ac:dyDescent="0.3">
      <c r="B1147" s="39">
        <v>46296</v>
      </c>
      <c r="C1147" s="46" t="str">
        <f>_xlfn.XLOOKUP(tblMovimientos[[#This Row],[Cuenta Bancaria]],Listas!$B:$B,Listas!$A:$A,"")</f>
        <v>Sacred Valley Capital</v>
      </c>
      <c r="D1147" s="41" t="s">
        <v>114</v>
      </c>
      <c r="E1147" s="4" t="str">
        <f>_xlfn.XLOOKUP(tblMovimientos[[#This Row],[Cuenta Bancaria]],Listas!$B:$B,Listas!$C:$C,"")</f>
        <v>Bank of America</v>
      </c>
      <c r="F1147" s="41" t="s">
        <v>10</v>
      </c>
      <c r="G1147" s="41" t="s">
        <v>44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29.95</v>
      </c>
      <c r="K1147" s="5">
        <f t="shared" si="13"/>
        <v>-29.95</v>
      </c>
      <c r="L1147" s="15" t="s">
        <v>134</v>
      </c>
      <c r="M1147" s="44">
        <f>SUMIFS('Saldos Iniciales'!$D:$D,'Saldos Iniciales'!$A:$A,C1147,'Saldos Iniciales'!$B:$B,D1147)+SUMIFS($K$1:$K$1325,$C$1:$C$1325,C1147,$D$1:$D$1325,D1147,$B$1:$B$1325,"&lt;="&amp;B1147)</f>
        <v>64.55</v>
      </c>
      <c r="N1147" s="65" t="str">
        <f>IF(tblMovimientos[[#This Row],[Tipo de Movimiento]]="Ingreso",tblMovimientos[[#This Row],[Monto (S/)]],"0")</f>
        <v>0</v>
      </c>
      <c r="O1147" s="65">
        <f>IF(tblMovimientos[[#This Row],[Tipo de Movimiento]]="Egreso",tblMovimientos[[#This Row],[Monto (S/)]],"0")</f>
        <v>29.95</v>
      </c>
      <c r="P1147" s="28">
        <f>IF(tblMovimientos[[#This Row],[Tipo de Movimiento]]="Ingreso",tblMovimientos[[#This Row],[Ingreso]],-tblMovimientos[[#This Row],[Egreso]])</f>
        <v>-29.95</v>
      </c>
      <c r="Q1147" s="91" t="str">
        <f>IF(tblMovimientos[[#This Row],[Cuenta Bancaria]]="","",_xlfn.XLOOKUP(tblMovimientos[[#This Row],[Cuenta Bancaria]],Cuentas!$C:$C,Cuentas!$A:$A,"No encontrado"))</f>
        <v>SSP Group</v>
      </c>
      <c r="R1147" s="91" t="str">
        <f>TRIM(_xlfn.XLOOKUP(tblMovimientos[[#This Row],[Cuenta Bancaria]],Cuentas!$C:$C,Cuentas!$B:$B,""))</f>
        <v/>
      </c>
    </row>
    <row r="1148" spans="1:18" x14ac:dyDescent="0.3">
      <c r="B1148" s="39">
        <v>46296</v>
      </c>
      <c r="C1148" s="46" t="str">
        <f>_xlfn.XLOOKUP(tblMovimientos[[#This Row],[Cuenta Bancaria]],Listas!$B:$B,Listas!$A:$A,"")</f>
        <v>YWC Capital</v>
      </c>
      <c r="D1148" s="41" t="s">
        <v>115</v>
      </c>
      <c r="E1148" s="4" t="str">
        <f>_xlfn.XLOOKUP(tblMovimientos[[#This Row],[Cuenta Bancaria]],Listas!$B:$B,Listas!$C:$C,"")</f>
        <v>Bank of America</v>
      </c>
      <c r="F1148" s="41" t="s">
        <v>10</v>
      </c>
      <c r="G1148" s="41" t="s">
        <v>44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29.95</v>
      </c>
      <c r="K1148" s="5">
        <f t="shared" si="13"/>
        <v>-29.95</v>
      </c>
      <c r="L1148" s="15" t="s">
        <v>134</v>
      </c>
      <c r="M1148" s="44">
        <f>SUMIFS('Saldos Iniciales'!$D:$D,'Saldos Iniciales'!$A:$A,C1148,'Saldos Iniciales'!$B:$B,D1148)+SUMIFS($K$1:$K$1325,$C$1:$C$1325,C1148,$D$1:$D$1325,D1148,$B$1:$B$1325,"&lt;="&amp;B1148)</f>
        <v>2117.9700000000003</v>
      </c>
      <c r="N1148" s="65" t="str">
        <f>IF(tblMovimientos[[#This Row],[Tipo de Movimiento]]="Ingreso",tblMovimientos[[#This Row],[Monto (S/)]],"0")</f>
        <v>0</v>
      </c>
      <c r="O1148" s="65">
        <f>IF(tblMovimientos[[#This Row],[Tipo de Movimiento]]="Egreso",tblMovimientos[[#This Row],[Monto (S/)]],"0")</f>
        <v>29.95</v>
      </c>
      <c r="P1148" s="28">
        <f>IF(tblMovimientos[[#This Row],[Tipo de Movimiento]]="Ingreso",tblMovimientos[[#This Row],[Ingreso]],-tblMovimientos[[#This Row],[Egreso]])</f>
        <v>-29.95</v>
      </c>
      <c r="Q1148" s="91" t="str">
        <f>IF(tblMovimientos[[#This Row],[Cuenta Bancaria]]="","",_xlfn.XLOOKUP(tblMovimientos[[#This Row],[Cuenta Bancaria]],Cuentas!$C:$C,Cuentas!$A:$A,"No encontrado"))</f>
        <v>SSP Group</v>
      </c>
      <c r="R1148" s="91" t="str">
        <f>TRIM(_xlfn.XLOOKUP(tblMovimientos[[#This Row],[Cuenta Bancaria]],Cuentas!$C:$C,Cuentas!$B:$B,""))</f>
        <v/>
      </c>
    </row>
    <row r="1149" spans="1:18" x14ac:dyDescent="0.3">
      <c r="B1149" s="39">
        <v>46296</v>
      </c>
      <c r="C1149" s="46" t="str">
        <f>_xlfn.XLOOKUP(tblMovimientos[[#This Row],[Cuenta Bancaria]],Listas!$B:$B,Listas!$A:$A,"")</f>
        <v>Arbor Capital Properties</v>
      </c>
      <c r="D1149" s="41" t="s">
        <v>120</v>
      </c>
      <c r="E1149" s="4" t="str">
        <f>_xlfn.XLOOKUP(tblMovimientos[[#This Row],[Cuenta Bancaria]],Listas!$B:$B,Listas!$C:$C,"")</f>
        <v>Bank of America</v>
      </c>
      <c r="F1149" s="41" t="s">
        <v>10</v>
      </c>
      <c r="G1149" s="41" t="s">
        <v>44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16</v>
      </c>
      <c r="K1149" s="5">
        <f t="shared" si="13"/>
        <v>-16</v>
      </c>
      <c r="L1149" s="15" t="s">
        <v>134</v>
      </c>
      <c r="M1149" s="44">
        <f>SUMIFS('Saldos Iniciales'!$D:$D,'Saldos Iniciales'!$A:$A,C1149,'Saldos Iniciales'!$B:$B,D1149)+SUMIFS($K$1:$K$1325,$C$1:$C$1325,C1149,$D$1:$D$1325,D1149,$B$1:$B$1325,"&lt;="&amp;B1149)</f>
        <v>1364.08</v>
      </c>
      <c r="N1149" s="65" t="str">
        <f>IF(tblMovimientos[[#This Row],[Tipo de Movimiento]]="Ingreso",tblMovimientos[[#This Row],[Monto (S/)]],"0")</f>
        <v>0</v>
      </c>
      <c r="O1149" s="65">
        <f>IF(tblMovimientos[[#This Row],[Tipo de Movimiento]]="Egreso",tblMovimientos[[#This Row],[Monto (S/)]],"0")</f>
        <v>16</v>
      </c>
      <c r="P1149" s="28">
        <f>IF(tblMovimientos[[#This Row],[Tipo de Movimiento]]="Ingreso",tblMovimientos[[#This Row],[Ingreso]],-tblMovimientos[[#This Row],[Egreso]])</f>
        <v>-16</v>
      </c>
      <c r="Q1149" s="91" t="str">
        <f>IF(tblMovimientos[[#This Row],[Cuenta Bancaria]]="","",_xlfn.XLOOKUP(tblMovimientos[[#This Row],[Cuenta Bancaria]],Cuentas!$C:$C,Cuentas!$A:$A,"No encontrado"))</f>
        <v>SSP Group</v>
      </c>
      <c r="R1149" s="91" t="str">
        <f>TRIM(_xlfn.XLOOKUP(tblMovimientos[[#This Row],[Cuenta Bancaria]],Cuentas!$C:$C,Cuentas!$B:$B,""))</f>
        <v/>
      </c>
    </row>
    <row r="1150" spans="1:18" x14ac:dyDescent="0.3">
      <c r="B1150" s="39">
        <v>46296</v>
      </c>
      <c r="C1150" s="46" t="str">
        <f>_xlfn.XLOOKUP(tblMovimientos[[#This Row],[Cuenta Bancaria]],Listas!$B:$B,Listas!$A:$A,"")</f>
        <v>2515 Overbrook</v>
      </c>
      <c r="D1150" s="41" t="s">
        <v>121</v>
      </c>
      <c r="E1150" s="4" t="str">
        <f>_xlfn.XLOOKUP(tblMovimientos[[#This Row],[Cuenta Bancaria]],Listas!$B:$B,Listas!$C:$C,"")</f>
        <v>Bank of America</v>
      </c>
      <c r="F1150" s="41" t="s">
        <v>10</v>
      </c>
      <c r="G1150" s="41" t="s">
        <v>46</v>
      </c>
      <c r="H1150" s="4" t="str">
        <f>IFERROR(_xlfn.XLOOKUP(G1150,Listas!E:E,Listas!F:F,""),"")</f>
        <v>Financiamiento</v>
      </c>
      <c r="I1150" s="46" t="str">
        <f>IFERROR(_xlfn.XLOOKUP(G1150,Listas!E:E,Listas!G:G,""),"")</f>
        <v>Externo</v>
      </c>
      <c r="J1150" s="43">
        <v>8533.33</v>
      </c>
      <c r="K1150" s="5">
        <f t="shared" si="13"/>
        <v>-8533.33</v>
      </c>
      <c r="L1150" s="15" t="s">
        <v>134</v>
      </c>
      <c r="M1150" s="44">
        <f>SUMIFS('Saldos Iniciales'!$D:$D,'Saldos Iniciales'!$A:$A,C1150,'Saldos Iniciales'!$B:$B,D1150)+SUMIFS($K$1:$K$1325,$C$1:$C$1325,C1150,$D$1:$D$1325,D1150,$B$1:$B$1325,"&lt;="&amp;B1150)</f>
        <v>19881.129999999965</v>
      </c>
      <c r="N1150" s="65" t="str">
        <f>IF(tblMovimientos[[#This Row],[Tipo de Movimiento]]="Ingreso",tblMovimientos[[#This Row],[Monto (S/)]],"0")</f>
        <v>0</v>
      </c>
      <c r="O1150" s="65">
        <f>IF(tblMovimientos[[#This Row],[Tipo de Movimiento]]="Egreso",tblMovimientos[[#This Row],[Monto (S/)]],"0")</f>
        <v>8533.33</v>
      </c>
      <c r="P1150" s="28">
        <f>IF(tblMovimientos[[#This Row],[Tipo de Movimiento]]="Ingreso",tblMovimientos[[#This Row],[Ingreso]],-tblMovimientos[[#This Row],[Egreso]])</f>
        <v>-8533.33</v>
      </c>
      <c r="Q1150" s="91" t="str">
        <f>IF(tblMovimientos[[#This Row],[Cuenta Bancaria]]="","",_xlfn.XLOOKUP(tblMovimientos[[#This Row],[Cuenta Bancaria]],Cuentas!$C:$C,Cuentas!$A:$A,"No encontrado"))</f>
        <v>SSP Group</v>
      </c>
      <c r="R1150" s="91" t="str">
        <f>TRIM(_xlfn.XLOOKUP(tblMovimientos[[#This Row],[Cuenta Bancaria]],Cuentas!$C:$C,Cuentas!$B:$B,""))</f>
        <v/>
      </c>
    </row>
    <row r="1151" spans="1:18" x14ac:dyDescent="0.3">
      <c r="B1151" s="39">
        <v>46296</v>
      </c>
      <c r="C1151" s="46" t="str">
        <f>_xlfn.XLOOKUP(tblMovimientos[[#This Row],[Cuenta Bancaria]],Listas!$B:$B,Listas!$A:$A,"")</f>
        <v>2515 Overbrook</v>
      </c>
      <c r="D1151" s="41" t="s">
        <v>122</v>
      </c>
      <c r="E1151" s="4" t="str">
        <f>_xlfn.XLOOKUP(tblMovimientos[[#This Row],[Cuenta Bancaria]],Listas!$B:$B,Listas!$C:$C,"")</f>
        <v>Bank of America</v>
      </c>
      <c r="F1151" s="41" t="s">
        <v>10</v>
      </c>
      <c r="G1151" s="41" t="s">
        <v>44</v>
      </c>
      <c r="H1151" s="4" t="str">
        <f>IFERROR(_xlfn.XLOOKUP(G1151,Listas!E:E,Listas!F:F,""),"")</f>
        <v>Operativo</v>
      </c>
      <c r="I1151" s="46" t="str">
        <f>IFERROR(_xlfn.XLOOKUP(G1151,Listas!E:E,Listas!G:G,""),"")</f>
        <v>Externo</v>
      </c>
      <c r="J1151" s="43">
        <v>10</v>
      </c>
      <c r="K1151" s="5">
        <f t="shared" si="13"/>
        <v>-10</v>
      </c>
      <c r="L1151" s="15" t="s">
        <v>134</v>
      </c>
      <c r="M1151" s="44">
        <f>SUMIFS('Saldos Iniciales'!$D:$D,'Saldos Iniciales'!$A:$A,C1151,'Saldos Iniciales'!$B:$B,D1151)+SUMIFS($K$1:$K$1325,$C$1:$C$1325,C1151,$D$1:$D$1325,D1151,$B$1:$B$1325,"&lt;="&amp;B1151)</f>
        <v>290.42</v>
      </c>
      <c r="N1151" s="65" t="str">
        <f>IF(tblMovimientos[[#This Row],[Tipo de Movimiento]]="Ingreso",tblMovimientos[[#This Row],[Monto (S/)]],"0")</f>
        <v>0</v>
      </c>
      <c r="O1151" s="65">
        <f>IF(tblMovimientos[[#This Row],[Tipo de Movimiento]]="Egreso",tblMovimientos[[#This Row],[Monto (S/)]],"0")</f>
        <v>10</v>
      </c>
      <c r="P1151" s="28">
        <f>IF(tblMovimientos[[#This Row],[Tipo de Movimiento]]="Ingreso",tblMovimientos[[#This Row],[Ingreso]],-tblMovimientos[[#This Row],[Egreso]])</f>
        <v>-10</v>
      </c>
      <c r="Q1151" s="91" t="str">
        <f>IF(tblMovimientos[[#This Row],[Cuenta Bancaria]]="","",_xlfn.XLOOKUP(tblMovimientos[[#This Row],[Cuenta Bancaria]],Cuentas!$C:$C,Cuentas!$A:$A,"No encontrado"))</f>
        <v>SSP Group</v>
      </c>
      <c r="R1151" s="91" t="str">
        <f>TRIM(_xlfn.XLOOKUP(tblMovimientos[[#This Row],[Cuenta Bancaria]],Cuentas!$C:$C,Cuentas!$B:$B,""))</f>
        <v/>
      </c>
    </row>
    <row r="1152" spans="1:18" x14ac:dyDescent="0.3">
      <c r="B1152" s="39">
        <v>46296</v>
      </c>
      <c r="C1152" s="46" t="str">
        <f>_xlfn.XLOOKUP(tblMovimientos[[#This Row],[Cuenta Bancaria]],Listas!$B:$B,Listas!$A:$A,"")</f>
        <v>112 Florida Ave</v>
      </c>
      <c r="D1152" s="41" t="s">
        <v>123</v>
      </c>
      <c r="E1152" s="4" t="str">
        <f>_xlfn.XLOOKUP(tblMovimientos[[#This Row],[Cuenta Bancaria]],Listas!$B:$B,Listas!$C:$C,"")</f>
        <v>Bank of America</v>
      </c>
      <c r="F1152" s="41" t="s">
        <v>10</v>
      </c>
      <c r="G1152" s="41" t="s">
        <v>48</v>
      </c>
      <c r="H1152" s="4" t="str">
        <f>IFERROR(_xlfn.XLOOKUP(G1152,Listas!E:E,Listas!F:F,""),"")</f>
        <v>Financiamiento</v>
      </c>
      <c r="I1152" s="46" t="str">
        <f>IFERROR(_xlfn.XLOOKUP(G1152,Listas!E:E,Listas!G:G,""),"")</f>
        <v>Externo</v>
      </c>
      <c r="J1152" s="43">
        <v>9798.6299999999992</v>
      </c>
      <c r="K1152" s="5">
        <f t="shared" si="13"/>
        <v>-9798.6299999999992</v>
      </c>
      <c r="L1152" s="15" t="s">
        <v>134</v>
      </c>
      <c r="M1152" s="44">
        <f>SUMIFS('Saldos Iniciales'!$D:$D,'Saldos Iniciales'!$A:$A,C1152,'Saldos Iniciales'!$B:$B,D1152)+SUMIFS($K$1:$K$1325,$C$1:$C$1325,C1152,$D$1:$D$1325,D1152,$B$1:$B$1325,"&lt;="&amp;B1152)</f>
        <v>13576.060000000007</v>
      </c>
      <c r="N1152" s="65" t="str">
        <f>IF(tblMovimientos[[#This Row],[Tipo de Movimiento]]="Ingreso",tblMovimientos[[#This Row],[Monto (S/)]],"0")</f>
        <v>0</v>
      </c>
      <c r="O1152" s="65">
        <f>IF(tblMovimientos[[#This Row],[Tipo de Movimiento]]="Egreso",tblMovimientos[[#This Row],[Monto (S/)]],"0")</f>
        <v>9798.6299999999992</v>
      </c>
      <c r="P1152" s="28">
        <f>IF(tblMovimientos[[#This Row],[Tipo de Movimiento]]="Ingreso",tblMovimientos[[#This Row],[Ingreso]],-tblMovimientos[[#This Row],[Egreso]])</f>
        <v>-9798.6299999999992</v>
      </c>
      <c r="Q1152" s="91" t="str">
        <f>IF(tblMovimientos[[#This Row],[Cuenta Bancaria]]="","",_xlfn.XLOOKUP(tblMovimientos[[#This Row],[Cuenta Bancaria]],Cuentas!$C:$C,Cuentas!$A:$A,"No encontrado"))</f>
        <v>SSP Group</v>
      </c>
      <c r="R1152" s="91" t="str">
        <f>TRIM(_xlfn.XLOOKUP(tblMovimientos[[#This Row],[Cuenta Bancaria]],Cuentas!$C:$C,Cuentas!$B:$B,""))</f>
        <v/>
      </c>
    </row>
    <row r="1153" spans="2:18" x14ac:dyDescent="0.3">
      <c r="B1153" s="39">
        <v>46296</v>
      </c>
      <c r="C1153" s="46" t="str">
        <f>_xlfn.XLOOKUP(tblMovimientos[[#This Row],[Cuenta Bancaria]],Listas!$B:$B,Listas!$A:$A,"")</f>
        <v>3628 Thomas Ave</v>
      </c>
      <c r="D1153" s="41" t="s">
        <v>124</v>
      </c>
      <c r="E1153" s="4" t="str">
        <f>_xlfn.XLOOKUP(tblMovimientos[[#This Row],[Cuenta Bancaria]],Listas!$B:$B,Listas!$C:$C,"")</f>
        <v>Bank of America</v>
      </c>
      <c r="F1153" s="41" t="s">
        <v>9</v>
      </c>
      <c r="G1153" s="41" t="s">
        <v>81</v>
      </c>
      <c r="H1153" s="4" t="str">
        <f>IFERROR(_xlfn.XLOOKUP(G1153,Listas!E:E,Listas!F:F,""),"")</f>
        <v>Operativo</v>
      </c>
      <c r="I1153" s="46" t="str">
        <f>IFERROR(_xlfn.XLOOKUP(G1153,Listas!E:E,Listas!G:G,""),"")</f>
        <v>Externo</v>
      </c>
      <c r="J1153" s="43">
        <v>4400</v>
      </c>
      <c r="K1153" s="5">
        <f t="shared" si="13"/>
        <v>4400</v>
      </c>
      <c r="L1153" s="15" t="s">
        <v>134</v>
      </c>
      <c r="M1153" s="44">
        <f>SUMIFS('Saldos Iniciales'!$D:$D,'Saldos Iniciales'!$A:$A,C1153,'Saldos Iniciales'!$B:$B,D1153)+SUMIFS($K$1:$K$1325,$C$1:$C$1325,C1153,$D$1:$D$1325,D1153,$B$1:$B$1325,"&lt;="&amp;B1153)</f>
        <v>16893.769999999997</v>
      </c>
      <c r="N1153" s="65">
        <f>IF(tblMovimientos[[#This Row],[Tipo de Movimiento]]="Ingreso",tblMovimientos[[#This Row],[Monto (S/)]],"0")</f>
        <v>4400</v>
      </c>
      <c r="O1153" s="65" t="str">
        <f>IF(tblMovimientos[[#This Row],[Tipo de Movimiento]]="Egreso",tblMovimientos[[#This Row],[Monto (S/)]],"0")</f>
        <v>0</v>
      </c>
      <c r="P1153" s="28">
        <f>IF(tblMovimientos[[#This Row],[Tipo de Movimiento]]="Ingreso",tblMovimientos[[#This Row],[Ingreso]],-tblMovimientos[[#This Row],[Egreso]])</f>
        <v>4400</v>
      </c>
      <c r="Q1153" s="91" t="str">
        <f>IF(tblMovimientos[[#This Row],[Cuenta Bancaria]]="","",_xlfn.XLOOKUP(tblMovimientos[[#This Row],[Cuenta Bancaria]],Cuentas!$C:$C,Cuentas!$A:$A,"No encontrado"))</f>
        <v>SSP Group</v>
      </c>
      <c r="R1153" s="91" t="str">
        <f>TRIM(_xlfn.XLOOKUP(tblMovimientos[[#This Row],[Cuenta Bancaria]],Cuentas!$C:$C,Cuentas!$B:$B,""))</f>
        <v/>
      </c>
    </row>
    <row r="1154" spans="2:18" x14ac:dyDescent="0.3">
      <c r="B1154" s="39">
        <v>46296</v>
      </c>
      <c r="C1154" s="46" t="str">
        <f>_xlfn.XLOOKUP(tblMovimientos[[#This Row],[Cuenta Bancaria]],Listas!$B:$B,Listas!$A:$A,"")</f>
        <v>3628 Thomas Ave</v>
      </c>
      <c r="D1154" s="41" t="s">
        <v>124</v>
      </c>
      <c r="E1154" s="4" t="str">
        <f>_xlfn.XLOOKUP(tblMovimientos[[#This Row],[Cuenta Bancaria]],Listas!$B:$B,Listas!$C:$C,"")</f>
        <v>Bank of America</v>
      </c>
      <c r="F1154" s="41" t="s">
        <v>9</v>
      </c>
      <c r="G1154" s="41" t="s">
        <v>81</v>
      </c>
      <c r="H1154" s="4" t="str">
        <f>IFERROR(_xlfn.XLOOKUP(G1154,Listas!E:E,Listas!F:F,""),"")</f>
        <v>Operativo</v>
      </c>
      <c r="I1154" s="46" t="str">
        <f>IFERROR(_xlfn.XLOOKUP(G1154,Listas!E:E,Listas!G:G,""),"")</f>
        <v>Externo</v>
      </c>
      <c r="J1154" s="43">
        <v>2000</v>
      </c>
      <c r="K1154" s="5">
        <f t="shared" si="13"/>
        <v>2000</v>
      </c>
      <c r="L1154" s="15" t="s">
        <v>134</v>
      </c>
      <c r="M1154" s="44">
        <f>SUMIFS('Saldos Iniciales'!$D:$D,'Saldos Iniciales'!$A:$A,C1154,'Saldos Iniciales'!$B:$B,D1154)+SUMIFS($K$1:$K$1325,$C$1:$C$1325,C1154,$D$1:$D$1325,D1154,$B$1:$B$1325,"&lt;="&amp;B1154)</f>
        <v>16893.769999999997</v>
      </c>
      <c r="N1154" s="65">
        <f>IF(tblMovimientos[[#This Row],[Tipo de Movimiento]]="Ingreso",tblMovimientos[[#This Row],[Monto (S/)]],"0")</f>
        <v>2000</v>
      </c>
      <c r="O1154" s="65" t="str">
        <f>IF(tblMovimientos[[#This Row],[Tipo de Movimiento]]="Egreso",tblMovimientos[[#This Row],[Monto (S/)]],"0")</f>
        <v>0</v>
      </c>
      <c r="P1154" s="28">
        <f>IF(tblMovimientos[[#This Row],[Tipo de Movimiento]]="Ingreso",tblMovimientos[[#This Row],[Ingreso]],-tblMovimientos[[#This Row],[Egreso]])</f>
        <v>2000</v>
      </c>
      <c r="Q1154" s="91" t="str">
        <f>IF(tblMovimientos[[#This Row],[Cuenta Bancaria]]="","",_xlfn.XLOOKUP(tblMovimientos[[#This Row],[Cuenta Bancaria]],Cuentas!$C:$C,Cuentas!$A:$A,"No encontrado"))</f>
        <v>SSP Group</v>
      </c>
      <c r="R1154" s="91" t="str">
        <f>TRIM(_xlfn.XLOOKUP(tblMovimientos[[#This Row],[Cuenta Bancaria]],Cuentas!$C:$C,Cuentas!$B:$B,""))</f>
        <v/>
      </c>
    </row>
    <row r="1155" spans="2:18" x14ac:dyDescent="0.3">
      <c r="B1155" s="39">
        <v>46296</v>
      </c>
      <c r="C1155" s="46" t="str">
        <f>_xlfn.XLOOKUP(tblMovimientos[[#This Row],[Cuenta Bancaria]],Listas!$B:$B,Listas!$A:$A,"")</f>
        <v>3628 Thomas Ave</v>
      </c>
      <c r="D1155" s="41" t="s">
        <v>124</v>
      </c>
      <c r="E1155" s="4" t="str">
        <f>_xlfn.XLOOKUP(tblMovimientos[[#This Row],[Cuenta Bancaria]],Listas!$B:$B,Listas!$C:$C,"")</f>
        <v>Bank of America</v>
      </c>
      <c r="F1155" s="41" t="s">
        <v>10</v>
      </c>
      <c r="G1155" s="41" t="s">
        <v>48</v>
      </c>
      <c r="H1155" s="4" t="str">
        <f>IFERROR(_xlfn.XLOOKUP(G1155,Listas!E:E,Listas!F:F,""),"")</f>
        <v>Financiamiento</v>
      </c>
      <c r="I1155" s="46" t="str">
        <f>IFERROR(_xlfn.XLOOKUP(G1155,Listas!E:E,Listas!G:G,""),"")</f>
        <v>Externo</v>
      </c>
      <c r="J1155" s="43">
        <v>8773.0400000000009</v>
      </c>
      <c r="K1155" s="5">
        <f t="shared" si="13"/>
        <v>-8773.0400000000009</v>
      </c>
      <c r="L1155" s="15" t="s">
        <v>134</v>
      </c>
      <c r="M1155" s="44">
        <f>SUMIFS('Saldos Iniciales'!$D:$D,'Saldos Iniciales'!$A:$A,C1155,'Saldos Iniciales'!$B:$B,D1155)+SUMIFS($K$1:$K$1325,$C$1:$C$1325,C1155,$D$1:$D$1325,D1155,$B$1:$B$1325,"&lt;="&amp;B1155)</f>
        <v>16893.769999999997</v>
      </c>
      <c r="N1155" s="65" t="str">
        <f>IF(tblMovimientos[[#This Row],[Tipo de Movimiento]]="Ingreso",tblMovimientos[[#This Row],[Monto (S/)]],"0")</f>
        <v>0</v>
      </c>
      <c r="O1155" s="65">
        <f>IF(tblMovimientos[[#This Row],[Tipo de Movimiento]]="Egreso",tblMovimientos[[#This Row],[Monto (S/)]],"0")</f>
        <v>8773.0400000000009</v>
      </c>
      <c r="P1155" s="28">
        <f>IF(tblMovimientos[[#This Row],[Tipo de Movimiento]]="Ingreso",tblMovimientos[[#This Row],[Ingreso]],-tblMovimientos[[#This Row],[Egreso]])</f>
        <v>-8773.0400000000009</v>
      </c>
      <c r="Q1155" s="91" t="str">
        <f>IF(tblMovimientos[[#This Row],[Cuenta Bancaria]]="","",_xlfn.XLOOKUP(tblMovimientos[[#This Row],[Cuenta Bancaria]],Cuentas!$C:$C,Cuentas!$A:$A,"No encontrado"))</f>
        <v>SSP Group</v>
      </c>
      <c r="R1155" s="91" t="str">
        <f>TRIM(_xlfn.XLOOKUP(tblMovimientos[[#This Row],[Cuenta Bancaria]],Cuentas!$C:$C,Cuentas!$B:$B,""))</f>
        <v/>
      </c>
    </row>
    <row r="1156" spans="2:18" x14ac:dyDescent="0.3">
      <c r="B1156" s="39">
        <v>46296</v>
      </c>
      <c r="C1156" s="46" t="str">
        <f>_xlfn.XLOOKUP(tblMovimientos[[#This Row],[Cuenta Bancaria]],Listas!$B:$B,Listas!$A:$A,"")</f>
        <v>CFT Group</v>
      </c>
      <c r="D1156" s="41" t="s">
        <v>95</v>
      </c>
      <c r="E1156" s="4" t="str">
        <f>_xlfn.XLOOKUP(tblMovimientos[[#This Row],[Cuenta Bancaria]],Listas!$B:$B,Listas!$C:$C,"")</f>
        <v xml:space="preserve">Amerant Bank </v>
      </c>
      <c r="F1156" s="41" t="s">
        <v>9</v>
      </c>
      <c r="G1156" s="41" t="s">
        <v>85</v>
      </c>
      <c r="H1156" s="4" t="str">
        <f>IFERROR(_xlfn.XLOOKUP(G1156,Listas!E:E,Listas!F:F,""),"")</f>
        <v>Operativo</v>
      </c>
      <c r="I1156" s="46" t="str">
        <f>IFERROR(_xlfn.XLOOKUP(G1156,Listas!E:E,Listas!G:G,""),"")</f>
        <v>Interno</v>
      </c>
      <c r="J1156" s="43">
        <v>440000</v>
      </c>
      <c r="K1156" s="5">
        <f t="shared" si="13"/>
        <v>440000</v>
      </c>
      <c r="L1156" s="15" t="s">
        <v>134</v>
      </c>
      <c r="M1156" s="44">
        <f>SUMIFS('Saldos Iniciales'!$D:$D,'Saldos Iniciales'!$A:$A,C1156,'Saldos Iniciales'!$B:$B,D1156)+SUMIFS($K$1:$K$1325,$C$1:$C$1325,C1156,$D$1:$D$1325,D1156,$B$1:$B$1325,"&lt;="&amp;B1156)</f>
        <v>3071394.040000001</v>
      </c>
      <c r="N1156" s="65">
        <f>IF(tblMovimientos[[#This Row],[Tipo de Movimiento]]="Ingreso",tblMovimientos[[#This Row],[Monto (S/)]],"0")</f>
        <v>440000</v>
      </c>
      <c r="O1156" s="65" t="str">
        <f>IF(tblMovimientos[[#This Row],[Tipo de Movimiento]]="Egreso",tblMovimientos[[#This Row],[Monto (S/)]],"0")</f>
        <v>0</v>
      </c>
      <c r="P1156" s="28">
        <f>IF(tblMovimientos[[#This Row],[Tipo de Movimiento]]="Ingreso",tblMovimientos[[#This Row],[Ingreso]],-tblMovimientos[[#This Row],[Egreso]])</f>
        <v>440000</v>
      </c>
      <c r="Q1156" s="91" t="str">
        <f>IF(tblMovimientos[[#This Row],[Cuenta Bancaria]]="","",_xlfn.XLOOKUP(tblMovimientos[[#This Row],[Cuenta Bancaria]],Cuentas!$C:$C,Cuentas!$A:$A,"No encontrado"))</f>
        <v>SSP Group</v>
      </c>
      <c r="R1156" s="91" t="str">
        <f>TRIM(_xlfn.XLOOKUP(tblMovimientos[[#This Row],[Cuenta Bancaria]],Cuentas!$C:$C,Cuentas!$B:$B,""))</f>
        <v/>
      </c>
    </row>
    <row r="1157" spans="2:18" x14ac:dyDescent="0.3">
      <c r="B1157" s="39">
        <v>46296</v>
      </c>
      <c r="C1157" s="46" t="str">
        <f>_xlfn.XLOOKUP(tblMovimientos[[#This Row],[Cuenta Bancaria]],Listas!$B:$B,Listas!$A:$A,"")</f>
        <v>CFT Group</v>
      </c>
      <c r="D1157" s="41" t="s">
        <v>95</v>
      </c>
      <c r="E1157" s="4" t="str">
        <f>_xlfn.XLOOKUP(tblMovimientos[[#This Row],[Cuenta Bancaria]],Listas!$B:$B,Listas!$C:$C,"")</f>
        <v xml:space="preserve">Amerant Bank </v>
      </c>
      <c r="F1157" s="41" t="s">
        <v>9</v>
      </c>
      <c r="G1157" s="41" t="s">
        <v>76</v>
      </c>
      <c r="H1157" s="4" t="str">
        <f>IFERROR(_xlfn.XLOOKUP(G1157,Listas!E:E,Listas!F:F,""),"")</f>
        <v>Financiamiento</v>
      </c>
      <c r="I1157" s="46" t="str">
        <f>IFERROR(_xlfn.XLOOKUP(G1157,Listas!E:E,Listas!G:G,""),"")</f>
        <v>Externo</v>
      </c>
      <c r="J1157" s="43">
        <v>2000000</v>
      </c>
      <c r="K1157" s="5">
        <f t="shared" si="13"/>
        <v>2000000</v>
      </c>
      <c r="L1157" s="15" t="s">
        <v>134</v>
      </c>
      <c r="M1157" s="44">
        <f>SUMIFS('Saldos Iniciales'!$D:$D,'Saldos Iniciales'!$A:$A,C1157,'Saldos Iniciales'!$B:$B,D1157)+SUMIFS($K$1:$K$1325,$C$1:$C$1325,C1157,$D$1:$D$1325,D1157,$B$1:$B$1325,"&lt;="&amp;B1157)</f>
        <v>3071394.040000001</v>
      </c>
      <c r="N1157" s="65">
        <f>IF(tblMovimientos[[#This Row],[Tipo de Movimiento]]="Ingreso",tblMovimientos[[#This Row],[Monto (S/)]],"0")</f>
        <v>2000000</v>
      </c>
      <c r="O1157" s="65" t="str">
        <f>IF(tblMovimientos[[#This Row],[Tipo de Movimiento]]="Egreso",tblMovimientos[[#This Row],[Monto (S/)]],"0")</f>
        <v>0</v>
      </c>
      <c r="P1157" s="28">
        <f>IF(tblMovimientos[[#This Row],[Tipo de Movimiento]]="Ingreso",tblMovimientos[[#This Row],[Ingreso]],-tblMovimientos[[#This Row],[Egreso]])</f>
        <v>2000000</v>
      </c>
      <c r="Q1157" s="91" t="str">
        <f>IF(tblMovimientos[[#This Row],[Cuenta Bancaria]]="","",_xlfn.XLOOKUP(tblMovimientos[[#This Row],[Cuenta Bancaria]],Cuentas!$C:$C,Cuentas!$A:$A,"No encontrado"))</f>
        <v>SSP Group</v>
      </c>
      <c r="R1157" s="91" t="str">
        <f>TRIM(_xlfn.XLOOKUP(tblMovimientos[[#This Row],[Cuenta Bancaria]],Cuentas!$C:$C,Cuentas!$B:$B,""))</f>
        <v/>
      </c>
    </row>
    <row r="1158" spans="2:18" x14ac:dyDescent="0.3">
      <c r="B1158" s="39">
        <v>46296</v>
      </c>
      <c r="C1158" s="46" t="str">
        <f>_xlfn.XLOOKUP(tblMovimientos[[#This Row],[Cuenta Bancaria]],Listas!$B:$B,Listas!$A:$A,"")</f>
        <v>CFT Group</v>
      </c>
      <c r="D1158" s="41" t="s">
        <v>95</v>
      </c>
      <c r="E1158" s="4" t="str">
        <f>_xlfn.XLOOKUP(tblMovimientos[[#This Row],[Cuenta Bancaria]],Listas!$B:$B,Listas!$C:$C,"")</f>
        <v xml:space="preserve">Amerant Bank </v>
      </c>
      <c r="F1158" s="41" t="s">
        <v>10</v>
      </c>
      <c r="G1158" s="41" t="s">
        <v>46</v>
      </c>
      <c r="H1158" s="4" t="str">
        <f>IFERROR(_xlfn.XLOOKUP(G1158,Listas!E:E,Listas!F:F,""),"")</f>
        <v>Financiamiento</v>
      </c>
      <c r="I1158" s="46" t="str">
        <f>IFERROR(_xlfn.XLOOKUP(G1158,Listas!E:E,Listas!G:G,""),"")</f>
        <v>Externo</v>
      </c>
      <c r="J1158" s="43">
        <v>1516.67</v>
      </c>
      <c r="K1158" s="5">
        <f t="shared" si="13"/>
        <v>-1516.67</v>
      </c>
      <c r="L1158" s="15" t="s">
        <v>134</v>
      </c>
      <c r="M1158" s="44">
        <f>SUMIFS('Saldos Iniciales'!$D:$D,'Saldos Iniciales'!$A:$A,C1158,'Saldos Iniciales'!$B:$B,D1158)+SUMIFS($K$1:$K$1325,$C$1:$C$1325,C1158,$D$1:$D$1325,D1158,$B$1:$B$1325,"&lt;="&amp;B1158)</f>
        <v>3071394.040000001</v>
      </c>
      <c r="N1158" s="65" t="str">
        <f>IF(tblMovimientos[[#This Row],[Tipo de Movimiento]]="Ingreso",tblMovimientos[[#This Row],[Monto (S/)]],"0")</f>
        <v>0</v>
      </c>
      <c r="O1158" s="65">
        <f>IF(tblMovimientos[[#This Row],[Tipo de Movimiento]]="Egreso",tblMovimientos[[#This Row],[Monto (S/)]],"0")</f>
        <v>1516.67</v>
      </c>
      <c r="P1158" s="28">
        <f>IF(tblMovimientos[[#This Row],[Tipo de Movimiento]]="Ingreso",tblMovimientos[[#This Row],[Ingreso]],-tblMovimientos[[#This Row],[Egreso]])</f>
        <v>-1516.67</v>
      </c>
      <c r="Q1158" s="91" t="str">
        <f>IF(tblMovimientos[[#This Row],[Cuenta Bancaria]]="","",_xlfn.XLOOKUP(tblMovimientos[[#This Row],[Cuenta Bancaria]],Cuentas!$C:$C,Cuentas!$A:$A,"No encontrado"))</f>
        <v>SSP Group</v>
      </c>
      <c r="R1158" s="91" t="str">
        <f>TRIM(_xlfn.XLOOKUP(tblMovimientos[[#This Row],[Cuenta Bancaria]],Cuentas!$C:$C,Cuentas!$B:$B,""))</f>
        <v/>
      </c>
    </row>
    <row r="1159" spans="2:18" x14ac:dyDescent="0.3">
      <c r="B1159" s="39">
        <v>46296</v>
      </c>
      <c r="C1159" s="46" t="str">
        <f>_xlfn.XLOOKUP(tblMovimientos[[#This Row],[Cuenta Bancaria]],Listas!$B:$B,Listas!$A:$A,"")</f>
        <v>CFT Group</v>
      </c>
      <c r="D1159" s="41" t="s">
        <v>95</v>
      </c>
      <c r="E1159" s="4" t="str">
        <f>_xlfn.XLOOKUP(tblMovimientos[[#This Row],[Cuenta Bancaria]],Listas!$B:$B,Listas!$C:$C,"")</f>
        <v xml:space="preserve">Amerant Bank </v>
      </c>
      <c r="F1159" s="41" t="s">
        <v>10</v>
      </c>
      <c r="G1159" s="41" t="s">
        <v>46</v>
      </c>
      <c r="H1159" s="4" t="str">
        <f>IFERROR(_xlfn.XLOOKUP(G1159,Listas!E:E,Listas!F:F,""),"")</f>
        <v>Financiamiento</v>
      </c>
      <c r="I1159" s="46" t="str">
        <f>IFERROR(_xlfn.XLOOKUP(G1159,Listas!E:E,Listas!G:G,""),"")</f>
        <v>Externo</v>
      </c>
      <c r="J1159" s="43">
        <v>2975</v>
      </c>
      <c r="K1159" s="5">
        <f t="shared" si="13"/>
        <v>-2975</v>
      </c>
      <c r="L1159" s="15" t="s">
        <v>134</v>
      </c>
      <c r="M1159" s="44">
        <f>SUMIFS('Saldos Iniciales'!$D:$D,'Saldos Iniciales'!$A:$A,C1159,'Saldos Iniciales'!$B:$B,D1159)+SUMIFS($K$1:$K$1325,$C$1:$C$1325,C1159,$D$1:$D$1325,D1159,$B$1:$B$1325,"&lt;="&amp;B1159)</f>
        <v>3071394.040000001</v>
      </c>
      <c r="N1159" s="65" t="str">
        <f>IF(tblMovimientos[[#This Row],[Tipo de Movimiento]]="Ingreso",tblMovimientos[[#This Row],[Monto (S/)]],"0")</f>
        <v>0</v>
      </c>
      <c r="O1159" s="65">
        <f>IF(tblMovimientos[[#This Row],[Tipo de Movimiento]]="Egreso",tblMovimientos[[#This Row],[Monto (S/)]],"0")</f>
        <v>2975</v>
      </c>
      <c r="P1159" s="28">
        <f>IF(tblMovimientos[[#This Row],[Tipo de Movimiento]]="Ingreso",tblMovimientos[[#This Row],[Ingreso]],-tblMovimientos[[#This Row],[Egreso]])</f>
        <v>-2975</v>
      </c>
      <c r="Q1159" s="91" t="str">
        <f>IF(tblMovimientos[[#This Row],[Cuenta Bancaria]]="","",_xlfn.XLOOKUP(tblMovimientos[[#This Row],[Cuenta Bancaria]],Cuentas!$C:$C,Cuentas!$A:$A,"No encontrado"))</f>
        <v>SSP Group</v>
      </c>
      <c r="R1159" s="91" t="str">
        <f>TRIM(_xlfn.XLOOKUP(tblMovimientos[[#This Row],[Cuenta Bancaria]],Cuentas!$C:$C,Cuentas!$B:$B,""))</f>
        <v/>
      </c>
    </row>
    <row r="1160" spans="2:18" x14ac:dyDescent="0.3">
      <c r="B1160" s="39">
        <v>46296</v>
      </c>
      <c r="C1160" s="46" t="str">
        <f>_xlfn.XLOOKUP(tblMovimientos[[#This Row],[Cuenta Bancaria]],Listas!$B:$B,Listas!$A:$A,"")</f>
        <v>CFT Group</v>
      </c>
      <c r="D1160" s="41" t="s">
        <v>95</v>
      </c>
      <c r="E1160" s="4" t="str">
        <f>_xlfn.XLOOKUP(tblMovimientos[[#This Row],[Cuenta Bancaria]],Listas!$B:$B,Listas!$C:$C,"")</f>
        <v xml:space="preserve">Amerant Bank </v>
      </c>
      <c r="F1160" s="41" t="s">
        <v>10</v>
      </c>
      <c r="G1160" s="41" t="s">
        <v>46</v>
      </c>
      <c r="H1160" s="4" t="str">
        <f>IFERROR(_xlfn.XLOOKUP(G1160,Listas!E:E,Listas!F:F,""),"")</f>
        <v>Financiamiento</v>
      </c>
      <c r="I1160" s="46" t="str">
        <f>IFERROR(_xlfn.XLOOKUP(G1160,Listas!E:E,Listas!G:G,""),"")</f>
        <v>Externo</v>
      </c>
      <c r="J1160" s="43">
        <v>10833.33</v>
      </c>
      <c r="K1160" s="5">
        <f t="shared" si="13"/>
        <v>-10833.33</v>
      </c>
      <c r="L1160" s="15" t="s">
        <v>134</v>
      </c>
      <c r="M1160" s="44">
        <f>SUMIFS('Saldos Iniciales'!$D:$D,'Saldos Iniciales'!$A:$A,C1160,'Saldos Iniciales'!$B:$B,D1160)+SUMIFS($K$1:$K$1325,$C$1:$C$1325,C1160,$D$1:$D$1325,D1160,$B$1:$B$1325,"&lt;="&amp;B1160)</f>
        <v>3071394.040000001</v>
      </c>
      <c r="N1160" s="65" t="str">
        <f>IF(tblMovimientos[[#This Row],[Tipo de Movimiento]]="Ingreso",tblMovimientos[[#This Row],[Monto (S/)]],"0")</f>
        <v>0</v>
      </c>
      <c r="O1160" s="65">
        <f>IF(tblMovimientos[[#This Row],[Tipo de Movimiento]]="Egreso",tblMovimientos[[#This Row],[Monto (S/)]],"0")</f>
        <v>10833.33</v>
      </c>
      <c r="P1160" s="28">
        <f>IF(tblMovimientos[[#This Row],[Tipo de Movimiento]]="Ingreso",tblMovimientos[[#This Row],[Ingreso]],-tblMovimientos[[#This Row],[Egreso]])</f>
        <v>-10833.33</v>
      </c>
      <c r="Q1160" s="91" t="str">
        <f>IF(tblMovimientos[[#This Row],[Cuenta Bancaria]]="","",_xlfn.XLOOKUP(tblMovimientos[[#This Row],[Cuenta Bancaria]],Cuentas!$C:$C,Cuentas!$A:$A,"No encontrado"))</f>
        <v>SSP Group</v>
      </c>
      <c r="R1160" s="91" t="str">
        <f>TRIM(_xlfn.XLOOKUP(tblMovimientos[[#This Row],[Cuenta Bancaria]],Cuentas!$C:$C,Cuentas!$B:$B,""))</f>
        <v/>
      </c>
    </row>
    <row r="1161" spans="2:18" x14ac:dyDescent="0.3">
      <c r="B1161" s="39">
        <v>46296</v>
      </c>
      <c r="C1161" s="46" t="str">
        <f>_xlfn.XLOOKUP(tblMovimientos[[#This Row],[Cuenta Bancaria]],Listas!$B:$B,Listas!$A:$A,"")</f>
        <v>CFT Group</v>
      </c>
      <c r="D1161" s="41" t="s">
        <v>95</v>
      </c>
      <c r="E1161" s="4" t="str">
        <f>_xlfn.XLOOKUP(tblMovimientos[[#This Row],[Cuenta Bancaria]],Listas!$B:$B,Listas!$C:$C,"")</f>
        <v xml:space="preserve">Amerant Bank </v>
      </c>
      <c r="F1161" s="41" t="s">
        <v>10</v>
      </c>
      <c r="G1161" s="41" t="s">
        <v>46</v>
      </c>
      <c r="H1161" s="4" t="str">
        <f>IFERROR(_xlfn.XLOOKUP(G1161,Listas!E:E,Listas!F:F,""),"")</f>
        <v>Financiamiento</v>
      </c>
      <c r="I1161" s="46" t="str">
        <f>IFERROR(_xlfn.XLOOKUP(G1161,Listas!E:E,Listas!G:G,""),"")</f>
        <v>Externo</v>
      </c>
      <c r="J1161" s="43">
        <v>11666.67</v>
      </c>
      <c r="K1161" s="5">
        <f t="shared" si="13"/>
        <v>-11666.67</v>
      </c>
      <c r="L1161" s="15" t="s">
        <v>134</v>
      </c>
      <c r="M1161" s="44">
        <f>SUMIFS('Saldos Iniciales'!$D:$D,'Saldos Iniciales'!$A:$A,C1161,'Saldos Iniciales'!$B:$B,D1161)+SUMIFS($K$1:$K$1325,$C$1:$C$1325,C1161,$D$1:$D$1325,D1161,$B$1:$B$1325,"&lt;="&amp;B1161)</f>
        <v>3071394.040000001</v>
      </c>
      <c r="N1161" s="65" t="str">
        <f>IF(tblMovimientos[[#This Row],[Tipo de Movimiento]]="Ingreso",tblMovimientos[[#This Row],[Monto (S/)]],"0")</f>
        <v>0</v>
      </c>
      <c r="O1161" s="65">
        <f>IF(tblMovimientos[[#This Row],[Tipo de Movimiento]]="Egreso",tblMovimientos[[#This Row],[Monto (S/)]],"0")</f>
        <v>11666.67</v>
      </c>
      <c r="P1161" s="28">
        <f>IF(tblMovimientos[[#This Row],[Tipo de Movimiento]]="Ingreso",tblMovimientos[[#This Row],[Ingreso]],-tblMovimientos[[#This Row],[Egreso]])</f>
        <v>-11666.67</v>
      </c>
      <c r="Q1161" s="91" t="str">
        <f>IF(tblMovimientos[[#This Row],[Cuenta Bancaria]]="","",_xlfn.XLOOKUP(tblMovimientos[[#This Row],[Cuenta Bancaria]],Cuentas!$C:$C,Cuentas!$A:$A,"No encontrado"))</f>
        <v>SSP Group</v>
      </c>
      <c r="R1161" s="91" t="str">
        <f>TRIM(_xlfn.XLOOKUP(tblMovimientos[[#This Row],[Cuenta Bancaria]],Cuentas!$C:$C,Cuentas!$B:$B,""))</f>
        <v/>
      </c>
    </row>
    <row r="1162" spans="2:18" x14ac:dyDescent="0.3">
      <c r="B1162" s="39">
        <v>46296</v>
      </c>
      <c r="C1162" s="46" t="str">
        <f>_xlfn.XLOOKUP(tblMovimientos[[#This Row],[Cuenta Bancaria]],Listas!$B:$B,Listas!$A:$A,"")</f>
        <v>CFT Group</v>
      </c>
      <c r="D1162" s="41" t="s">
        <v>95</v>
      </c>
      <c r="E1162" s="4" t="str">
        <f>_xlfn.XLOOKUP(tblMovimientos[[#This Row],[Cuenta Bancaria]],Listas!$B:$B,Listas!$C:$C,"")</f>
        <v xml:space="preserve">Amerant Bank </v>
      </c>
      <c r="F1162" s="41" t="s">
        <v>10</v>
      </c>
      <c r="G1162" s="41" t="s">
        <v>61</v>
      </c>
      <c r="H1162" s="4" t="str">
        <f>IFERROR(_xlfn.XLOOKUP(G1162,Listas!E:E,Listas!F:F,""),"")</f>
        <v>Operativo</v>
      </c>
      <c r="I1162" s="46" t="str">
        <f>IFERROR(_xlfn.XLOOKUP(G1162,Listas!E:E,Listas!G:G,""),"")</f>
        <v>Externo</v>
      </c>
      <c r="J1162" s="43">
        <v>100000</v>
      </c>
      <c r="K1162" s="5">
        <f t="shared" si="13"/>
        <v>-100000</v>
      </c>
      <c r="L1162" s="15" t="s">
        <v>134</v>
      </c>
      <c r="M1162" s="44">
        <f>SUMIFS('Saldos Iniciales'!$D:$D,'Saldos Iniciales'!$A:$A,C1162,'Saldos Iniciales'!$B:$B,D1162)+SUMIFS($K$1:$K$1325,$C$1:$C$1325,C1162,$D$1:$D$1325,D1162,$B$1:$B$1325,"&lt;="&amp;B1162)</f>
        <v>3071394.040000001</v>
      </c>
      <c r="N1162" s="65" t="str">
        <f>IF(tblMovimientos[[#This Row],[Tipo de Movimiento]]="Ingreso",tblMovimientos[[#This Row],[Monto (S/)]],"0")</f>
        <v>0</v>
      </c>
      <c r="O1162" s="65">
        <f>IF(tblMovimientos[[#This Row],[Tipo de Movimiento]]="Egreso",tblMovimientos[[#This Row],[Monto (S/)]],"0")</f>
        <v>100000</v>
      </c>
      <c r="P1162" s="28">
        <f>IF(tblMovimientos[[#This Row],[Tipo de Movimiento]]="Ingreso",tblMovimientos[[#This Row],[Ingreso]],-tblMovimientos[[#This Row],[Egreso]])</f>
        <v>-100000</v>
      </c>
      <c r="Q1162" s="91" t="str">
        <f>IF(tblMovimientos[[#This Row],[Cuenta Bancaria]]="","",_xlfn.XLOOKUP(tblMovimientos[[#This Row],[Cuenta Bancaria]],Cuentas!$C:$C,Cuentas!$A:$A,"No encontrado"))</f>
        <v>SSP Group</v>
      </c>
      <c r="R1162" s="91" t="str">
        <f>TRIM(_xlfn.XLOOKUP(tblMovimientos[[#This Row],[Cuenta Bancaria]],Cuentas!$C:$C,Cuentas!$B:$B,""))</f>
        <v/>
      </c>
    </row>
    <row r="1163" spans="2:18" x14ac:dyDescent="0.3">
      <c r="B1163" s="39">
        <v>46296</v>
      </c>
      <c r="C1163" s="46" t="str">
        <f>_xlfn.XLOOKUP(tblMovimientos[[#This Row],[Cuenta Bancaria]],Listas!$B:$B,Listas!$A:$A,"")</f>
        <v>CFT Group</v>
      </c>
      <c r="D1163" s="41" t="s">
        <v>95</v>
      </c>
      <c r="E1163" s="4" t="str">
        <f>_xlfn.XLOOKUP(tblMovimientos[[#This Row],[Cuenta Bancaria]],Listas!$B:$B,Listas!$C:$C,"")</f>
        <v xml:space="preserve">Amerant Bank </v>
      </c>
      <c r="F1163" s="41" t="s">
        <v>10</v>
      </c>
      <c r="G1163" s="41" t="s">
        <v>46</v>
      </c>
      <c r="H1163" s="4" t="str">
        <f>IFERROR(_xlfn.XLOOKUP(G1163,Listas!E:E,Listas!F:F,""),"")</f>
        <v>Financiamiento</v>
      </c>
      <c r="I1163" s="46" t="str">
        <f>IFERROR(_xlfn.XLOOKUP(G1163,Listas!E:E,Listas!G:G,""),"")</f>
        <v>Externo</v>
      </c>
      <c r="J1163" s="43">
        <v>200000</v>
      </c>
      <c r="K1163" s="5">
        <f t="shared" si="13"/>
        <v>-200000</v>
      </c>
      <c r="L1163" s="15" t="s">
        <v>134</v>
      </c>
      <c r="M1163" s="44">
        <f>SUMIFS('Saldos Iniciales'!$D:$D,'Saldos Iniciales'!$A:$A,C1163,'Saldos Iniciales'!$B:$B,D1163)+SUMIFS($K$1:$K$1325,$C$1:$C$1325,C1163,$D$1:$D$1325,D1163,$B$1:$B$1325,"&lt;="&amp;B1163)</f>
        <v>3071394.040000001</v>
      </c>
      <c r="N1163" s="65" t="str">
        <f>IF(tblMovimientos[[#This Row],[Tipo de Movimiento]]="Ingreso",tblMovimientos[[#This Row],[Monto (S/)]],"0")</f>
        <v>0</v>
      </c>
      <c r="O1163" s="65">
        <f>IF(tblMovimientos[[#This Row],[Tipo de Movimiento]]="Egreso",tblMovimientos[[#This Row],[Monto (S/)]],"0")</f>
        <v>200000</v>
      </c>
      <c r="P1163" s="28">
        <f>IF(tblMovimientos[[#This Row],[Tipo de Movimiento]]="Ingreso",tblMovimientos[[#This Row],[Ingreso]],-tblMovimientos[[#This Row],[Egreso]])</f>
        <v>-200000</v>
      </c>
      <c r="Q1163" s="91" t="str">
        <f>IF(tblMovimientos[[#This Row],[Cuenta Bancaria]]="","",_xlfn.XLOOKUP(tblMovimientos[[#This Row],[Cuenta Bancaria]],Cuentas!$C:$C,Cuentas!$A:$A,"No encontrado"))</f>
        <v>SSP Group</v>
      </c>
      <c r="R1163" s="91" t="str">
        <f>TRIM(_xlfn.XLOOKUP(tblMovimientos[[#This Row],[Cuenta Bancaria]],Cuentas!$C:$C,Cuentas!$B:$B,""))</f>
        <v/>
      </c>
    </row>
    <row r="1164" spans="2:18" x14ac:dyDescent="0.3">
      <c r="B1164" s="39">
        <v>46296</v>
      </c>
      <c r="C1164" s="46" t="str">
        <f>_xlfn.XLOOKUP(tblMovimientos[[#This Row],[Cuenta Bancaria]],Listas!$B:$B,Listas!$A:$A,"")</f>
        <v>CFT Group</v>
      </c>
      <c r="D1164" s="41" t="s">
        <v>95</v>
      </c>
      <c r="E1164" s="4" t="str">
        <f>_xlfn.XLOOKUP(tblMovimientos[[#This Row],[Cuenta Bancaria]],Listas!$B:$B,Listas!$C:$C,"")</f>
        <v xml:space="preserve">Amerant Bank </v>
      </c>
      <c r="F1164" s="41" t="s">
        <v>10</v>
      </c>
      <c r="G1164" s="41" t="s">
        <v>62</v>
      </c>
      <c r="H1164" s="4" t="str">
        <f>IFERROR(_xlfn.XLOOKUP(G1164,Listas!E:E,Listas!F:F,""),"")</f>
        <v>Operativo</v>
      </c>
      <c r="I1164" s="46" t="str">
        <f>IFERROR(_xlfn.XLOOKUP(G1164,Listas!E:E,Listas!G:G,""),"")</f>
        <v>Interno</v>
      </c>
      <c r="J1164" s="43">
        <v>500000</v>
      </c>
      <c r="K1164" s="5">
        <f t="shared" si="13"/>
        <v>-500000</v>
      </c>
      <c r="L1164" s="15" t="s">
        <v>134</v>
      </c>
      <c r="M1164" s="44">
        <f>SUMIFS('Saldos Iniciales'!$D:$D,'Saldos Iniciales'!$A:$A,C1164,'Saldos Iniciales'!$B:$B,D1164)+SUMIFS($K$1:$K$1325,$C$1:$C$1325,C1164,$D$1:$D$1325,D1164,$B$1:$B$1325,"&lt;="&amp;B1164)</f>
        <v>3071394.040000001</v>
      </c>
      <c r="N1164" s="65" t="str">
        <f>IF(tblMovimientos[[#This Row],[Tipo de Movimiento]]="Ingreso",tblMovimientos[[#This Row],[Monto (S/)]],"0")</f>
        <v>0</v>
      </c>
      <c r="O1164" s="65">
        <f>IF(tblMovimientos[[#This Row],[Tipo de Movimiento]]="Egreso",tblMovimientos[[#This Row],[Monto (S/)]],"0")</f>
        <v>500000</v>
      </c>
      <c r="P1164" s="28">
        <f>IF(tblMovimientos[[#This Row],[Tipo de Movimiento]]="Ingreso",tblMovimientos[[#This Row],[Ingreso]],-tblMovimientos[[#This Row],[Egreso]])</f>
        <v>-500000</v>
      </c>
      <c r="Q1164" s="91" t="str">
        <f>IF(tblMovimientos[[#This Row],[Cuenta Bancaria]]="","",_xlfn.XLOOKUP(tblMovimientos[[#This Row],[Cuenta Bancaria]],Cuentas!$C:$C,Cuentas!$A:$A,"No encontrado"))</f>
        <v>SSP Group</v>
      </c>
      <c r="R1164" s="91" t="str">
        <f>TRIM(_xlfn.XLOOKUP(tblMovimientos[[#This Row],[Cuenta Bancaria]],Cuentas!$C:$C,Cuentas!$B:$B,""))</f>
        <v/>
      </c>
    </row>
    <row r="1165" spans="2:18" x14ac:dyDescent="0.3">
      <c r="B1165" s="39">
        <v>46296</v>
      </c>
      <c r="C1165" s="46" t="str">
        <f>_xlfn.XLOOKUP(tblMovimientos[[#This Row],[Cuenta Bancaria]],Listas!$B:$B,Listas!$A:$A,"")</f>
        <v>Carmen Cross Irrevocable Trust</v>
      </c>
      <c r="D1165" s="41" t="s">
        <v>183</v>
      </c>
      <c r="E1165" s="4" t="str">
        <f>_xlfn.XLOOKUP(tblMovimientos[[#This Row],[Cuenta Bancaria]],Listas!$B:$B,Listas!$C:$C,"")</f>
        <v xml:space="preserve">Amerant Bank </v>
      </c>
      <c r="F1165" s="41" t="s">
        <v>9</v>
      </c>
      <c r="G1165" s="41" t="s">
        <v>79</v>
      </c>
      <c r="H1165" s="4" t="str">
        <f>IFERROR(_xlfn.XLOOKUP(G1165,Listas!E:E,Listas!F:F,""),"")</f>
        <v>Inversion</v>
      </c>
      <c r="I1165" s="46" t="str">
        <f>IFERROR(_xlfn.XLOOKUP(G1165,Listas!E:E,Listas!G:G,""),"")</f>
        <v>Externo</v>
      </c>
      <c r="J1165" s="43">
        <v>30000</v>
      </c>
      <c r="K1165" s="5">
        <f t="shared" si="13"/>
        <v>30000</v>
      </c>
      <c r="L1165" s="15" t="s">
        <v>134</v>
      </c>
      <c r="M1165" s="44">
        <f>SUMIFS('Saldos Iniciales'!$D:$D,'Saldos Iniciales'!$A:$A,C1165,'Saldos Iniciales'!$B:$B,D1165)+SUMIFS($K$1:$K$1325,$C$1:$C$1325,C1165,$D$1:$D$1325,D1165,$B$1:$B$1325,"&lt;="&amp;B1165)</f>
        <v>100631.96</v>
      </c>
      <c r="N1165" s="65">
        <f>IF(tblMovimientos[[#This Row],[Tipo de Movimiento]]="Ingreso",tblMovimientos[[#This Row],[Monto (S/)]],"0")</f>
        <v>30000</v>
      </c>
      <c r="O1165" s="65" t="str">
        <f>IF(tblMovimientos[[#This Row],[Tipo de Movimiento]]="Egreso",tblMovimientos[[#This Row],[Monto (S/)]],"0")</f>
        <v>0</v>
      </c>
      <c r="P1165" s="28">
        <f>IF(tblMovimientos[[#This Row],[Tipo de Movimiento]]="Ingreso",tblMovimientos[[#This Row],[Ingreso]],-tblMovimientos[[#This Row],[Egreso]])</f>
        <v>30000</v>
      </c>
      <c r="Q1165" s="91" t="str">
        <f>IF(tblMovimientos[[#This Row],[Cuenta Bancaria]]="","",_xlfn.XLOOKUP(tblMovimientos[[#This Row],[Cuenta Bancaria]],Cuentas!$C:$C,Cuentas!$A:$A,"No encontrado"))</f>
        <v>Trust</v>
      </c>
      <c r="R1165" s="91" t="str">
        <f>TRIM(_xlfn.XLOOKUP(tblMovimientos[[#This Row],[Cuenta Bancaria]],Cuentas!$C:$C,Cuentas!$B:$B,""))</f>
        <v/>
      </c>
    </row>
    <row r="1166" spans="2:18" x14ac:dyDescent="0.3">
      <c r="B1166" s="39">
        <v>46296</v>
      </c>
      <c r="C1166" s="46" t="str">
        <f>_xlfn.XLOOKUP(tblMovimientos[[#This Row],[Cuenta Bancaria]],Listas!$B:$B,Listas!$A:$A,"")</f>
        <v>Carmen Cross Irrevocable Trust</v>
      </c>
      <c r="D1166" s="41" t="s">
        <v>183</v>
      </c>
      <c r="E1166" s="4" t="str">
        <f>_xlfn.XLOOKUP(tblMovimientos[[#This Row],[Cuenta Bancaria]],Listas!$B:$B,Listas!$C:$C,"")</f>
        <v xml:space="preserve">Amerant Bank </v>
      </c>
      <c r="F1166" s="41" t="s">
        <v>9</v>
      </c>
      <c r="G1166" s="41" t="s">
        <v>79</v>
      </c>
      <c r="H1166" s="4" t="str">
        <f>IFERROR(_xlfn.XLOOKUP(G1166,Listas!E:E,Listas!F:F,""),"")</f>
        <v>Inversion</v>
      </c>
      <c r="I1166" s="46" t="str">
        <f>IFERROR(_xlfn.XLOOKUP(G1166,Listas!E:E,Listas!G:G,""),"")</f>
        <v>Externo</v>
      </c>
      <c r="J1166" s="43">
        <v>67000</v>
      </c>
      <c r="K1166" s="5">
        <f t="shared" si="13"/>
        <v>67000</v>
      </c>
      <c r="L1166" s="15" t="s">
        <v>134</v>
      </c>
      <c r="M1166" s="44">
        <f>SUMIFS('Saldos Iniciales'!$D:$D,'Saldos Iniciales'!$A:$A,C1166,'Saldos Iniciales'!$B:$B,D1166)+SUMIFS($K$1:$K$1325,$C$1:$C$1325,C1166,$D$1:$D$1325,D1166,$B$1:$B$1325,"&lt;="&amp;B1166)</f>
        <v>100631.96</v>
      </c>
      <c r="N1166" s="65">
        <f>IF(tblMovimientos[[#This Row],[Tipo de Movimiento]]="Ingreso",tblMovimientos[[#This Row],[Monto (S/)]],"0")</f>
        <v>67000</v>
      </c>
      <c r="O1166" s="65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67000</v>
      </c>
      <c r="Q1166" s="91" t="str">
        <f>IF(tblMovimientos[[#This Row],[Cuenta Bancaria]]="","",_xlfn.XLOOKUP(tblMovimientos[[#This Row],[Cuenta Bancaria]],Cuentas!$C:$C,Cuentas!$A:$A,"No encontrado"))</f>
        <v>Trust</v>
      </c>
      <c r="R1166" s="91" t="str">
        <f>TRIM(_xlfn.XLOOKUP(tblMovimientos[[#This Row],[Cuenta Bancaria]],Cuentas!$C:$C,Cuentas!$B:$B,""))</f>
        <v/>
      </c>
    </row>
    <row r="1167" spans="2:18" x14ac:dyDescent="0.3">
      <c r="B1167" s="39">
        <v>46296</v>
      </c>
      <c r="C1167" s="46" t="str">
        <f>_xlfn.XLOOKUP(tblMovimientos[[#This Row],[Cuenta Bancaria]],Listas!$B:$B,Listas!$A:$A,"")</f>
        <v>Cross Family Trust</v>
      </c>
      <c r="D1167" s="41" t="s">
        <v>111</v>
      </c>
      <c r="E1167" s="4" t="str">
        <f>_xlfn.XLOOKUP(tblMovimientos[[#This Row],[Cuenta Bancaria]],Listas!$B:$B,Listas!$C:$C,"")</f>
        <v xml:space="preserve">Amerant Bank </v>
      </c>
      <c r="F1167" s="41" t="s">
        <v>10</v>
      </c>
      <c r="G1167" s="41" t="s">
        <v>53</v>
      </c>
      <c r="H1167" s="4" t="str">
        <f>IFERROR(_xlfn.XLOOKUP(G1167,Listas!E:E,Listas!F:F,""),"")</f>
        <v>Inversion</v>
      </c>
      <c r="I1167" s="46" t="str">
        <f>IFERROR(_xlfn.XLOOKUP(G1167,Listas!E:E,Listas!G:G,""),"")</f>
        <v>Interno</v>
      </c>
      <c r="J1167" s="43">
        <v>15000</v>
      </c>
      <c r="K1167" s="5">
        <f t="shared" si="13"/>
        <v>-15000</v>
      </c>
      <c r="L1167" s="15" t="s">
        <v>134</v>
      </c>
      <c r="M1167" s="44">
        <f>SUMIFS('Saldos Iniciales'!$D:$D,'Saldos Iniciales'!$A:$A,C1167,'Saldos Iniciales'!$B:$B,D1167)+SUMIFS($K$1:$K$1325,$C$1:$C$1325,C1167,$D$1:$D$1325,D1167,$B$1:$B$1325,"&lt;="&amp;B1167)</f>
        <v>117999.36000000002</v>
      </c>
      <c r="N1167" s="65" t="str">
        <f>IF(tblMovimientos[[#This Row],[Tipo de Movimiento]]="Ingreso",tblMovimientos[[#This Row],[Monto (S/)]],"0")</f>
        <v>0</v>
      </c>
      <c r="O1167" s="65">
        <f>IF(tblMovimientos[[#This Row],[Tipo de Movimiento]]="Egreso",tblMovimientos[[#This Row],[Monto (S/)]],"0")</f>
        <v>15000</v>
      </c>
      <c r="P1167" s="28">
        <f>IF(tblMovimientos[[#This Row],[Tipo de Movimiento]]="Ingreso",tblMovimientos[[#This Row],[Ingreso]],-tblMovimientos[[#This Row],[Egreso]])</f>
        <v>-15000</v>
      </c>
      <c r="Q1167" s="91" t="str">
        <f>IF(tblMovimientos[[#This Row],[Cuenta Bancaria]]="","",_xlfn.XLOOKUP(tblMovimientos[[#This Row],[Cuenta Bancaria]],Cuentas!$C:$C,Cuentas!$A:$A,"No encontrado"))</f>
        <v>Trust</v>
      </c>
      <c r="R1167" s="91" t="str">
        <f>TRIM(_xlfn.XLOOKUP(tblMovimientos[[#This Row],[Cuenta Bancaria]],Cuentas!$C:$C,Cuentas!$B:$B,""))</f>
        <v/>
      </c>
    </row>
    <row r="1168" spans="2:18" x14ac:dyDescent="0.3">
      <c r="B1168" s="39">
        <v>46296</v>
      </c>
      <c r="C1168" s="46" t="str">
        <f>_xlfn.XLOOKUP(tblMovimientos[[#This Row],[Cuenta Bancaria]],Listas!$B:$B,Listas!$A:$A,"")</f>
        <v>SSP Capital</v>
      </c>
      <c r="D1168" s="41" t="s">
        <v>104</v>
      </c>
      <c r="E1168" s="4" t="str">
        <f>_xlfn.XLOOKUP(tblMovimientos[[#This Row],[Cuenta Bancaria]],Listas!$B:$B,Listas!$C:$C,"")</f>
        <v xml:space="preserve">Amerant Bank </v>
      </c>
      <c r="F1168" s="41" t="s">
        <v>9</v>
      </c>
      <c r="G1168" s="41" t="s">
        <v>75</v>
      </c>
      <c r="H1168" s="4" t="str">
        <f>IFERROR(_xlfn.XLOOKUP(G1168,Listas!E:E,Listas!F:F,""),"")</f>
        <v>Financiamiento</v>
      </c>
      <c r="I1168" s="46" t="str">
        <f>IFERROR(_xlfn.XLOOKUP(G1168,Listas!E:E,Listas!G:G,""),"")</f>
        <v>Interno</v>
      </c>
      <c r="J1168" s="43">
        <v>500000</v>
      </c>
      <c r="K1168" s="5">
        <f t="shared" si="13"/>
        <v>500000</v>
      </c>
      <c r="L1168" s="15" t="s">
        <v>134</v>
      </c>
      <c r="M1168" s="44">
        <f>SUMIFS('Saldos Iniciales'!$D:$D,'Saldos Iniciales'!$A:$A,C1168,'Saldos Iniciales'!$B:$B,D1168)+SUMIFS($K$1:$K$1325,$C$1:$C$1325,C1168,$D$1:$D$1325,D1168,$B$1:$B$1325,"&lt;="&amp;B1168)</f>
        <v>725822.75999999931</v>
      </c>
      <c r="N1168" s="65">
        <f>IF(tblMovimientos[[#This Row],[Tipo de Movimiento]]="Ingreso",tblMovimientos[[#This Row],[Monto (S/)]],"0")</f>
        <v>500000</v>
      </c>
      <c r="O1168" s="65" t="str">
        <f>IF(tblMovimientos[[#This Row],[Tipo de Movimiento]]="Egreso",tblMovimientos[[#This Row],[Monto (S/)]],"0")</f>
        <v>0</v>
      </c>
      <c r="P1168" s="28">
        <f>IF(tblMovimientos[[#This Row],[Tipo de Movimiento]]="Ingreso",tblMovimientos[[#This Row],[Ingreso]],-tblMovimientos[[#This Row],[Egreso]])</f>
        <v>500000</v>
      </c>
      <c r="Q1168" s="91" t="str">
        <f>IF(tblMovimientos[[#This Row],[Cuenta Bancaria]]="","",_xlfn.XLOOKUP(tblMovimientos[[#This Row],[Cuenta Bancaria]],Cuentas!$C:$C,Cuentas!$A:$A,"No encontrado"))</f>
        <v>SSP Group</v>
      </c>
      <c r="R1168" s="91" t="str">
        <f>TRIM(_xlfn.XLOOKUP(tblMovimientos[[#This Row],[Cuenta Bancaria]],Cuentas!$C:$C,Cuentas!$B:$B,""))</f>
        <v/>
      </c>
    </row>
    <row r="1169" spans="2:18" x14ac:dyDescent="0.3">
      <c r="B1169" s="39">
        <v>46296</v>
      </c>
      <c r="C1169" s="46" t="str">
        <f>_xlfn.XLOOKUP(tblMovimientos[[#This Row],[Cuenta Bancaria]],Listas!$B:$B,Listas!$A:$A,"")</f>
        <v>SSP Capital</v>
      </c>
      <c r="D1169" s="41" t="s">
        <v>104</v>
      </c>
      <c r="E1169" s="4" t="str">
        <f>_xlfn.XLOOKUP(tblMovimientos[[#This Row],[Cuenta Bancaria]],Listas!$B:$B,Listas!$C:$C,"")</f>
        <v xml:space="preserve">Amerant Bank </v>
      </c>
      <c r="F1169" s="41" t="s">
        <v>10</v>
      </c>
      <c r="G1169" s="41" t="s">
        <v>46</v>
      </c>
      <c r="H1169" s="4" t="str">
        <f>IFERROR(_xlfn.XLOOKUP(G1169,Listas!E:E,Listas!F:F,""),"")</f>
        <v>Financiamiento</v>
      </c>
      <c r="I1169" s="46" t="str">
        <f>IFERROR(_xlfn.XLOOKUP(G1169,Listas!E:E,Listas!G:G,""),"")</f>
        <v>Externo</v>
      </c>
      <c r="J1169" s="43">
        <v>10000</v>
      </c>
      <c r="K1169" s="5">
        <f t="shared" si="13"/>
        <v>-10000</v>
      </c>
      <c r="L1169" s="15" t="s">
        <v>134</v>
      </c>
      <c r="M1169" s="44">
        <f>SUMIFS('Saldos Iniciales'!$D:$D,'Saldos Iniciales'!$A:$A,C1169,'Saldos Iniciales'!$B:$B,D1169)+SUMIFS($K$1:$K$1325,$C$1:$C$1325,C1169,$D$1:$D$1325,D1169,$B$1:$B$1325,"&lt;="&amp;B1169)</f>
        <v>725822.75999999931</v>
      </c>
      <c r="N1169" s="65" t="str">
        <f>IF(tblMovimientos[[#This Row],[Tipo de Movimiento]]="Ingreso",tblMovimientos[[#This Row],[Monto (S/)]],"0")</f>
        <v>0</v>
      </c>
      <c r="O1169" s="65">
        <f>IF(tblMovimientos[[#This Row],[Tipo de Movimiento]]="Egreso",tblMovimientos[[#This Row],[Monto (S/)]],"0")</f>
        <v>10000</v>
      </c>
      <c r="P1169" s="28">
        <f>IF(tblMovimientos[[#This Row],[Tipo de Movimiento]]="Ingreso",tblMovimientos[[#This Row],[Ingreso]],-tblMovimientos[[#This Row],[Egreso]])</f>
        <v>-10000</v>
      </c>
      <c r="Q1169" s="91" t="str">
        <f>IF(tblMovimientos[[#This Row],[Cuenta Bancaria]]="","",_xlfn.XLOOKUP(tblMovimientos[[#This Row],[Cuenta Bancaria]],Cuentas!$C:$C,Cuentas!$A:$A,"No encontrado"))</f>
        <v>SSP Group</v>
      </c>
      <c r="R1169" s="91" t="str">
        <f>TRIM(_xlfn.XLOOKUP(tblMovimientos[[#This Row],[Cuenta Bancaria]],Cuentas!$C:$C,Cuentas!$B:$B,""))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SSP Capital</v>
      </c>
      <c r="D1170" s="41" t="s">
        <v>104</v>
      </c>
      <c r="E1170" s="4" t="str">
        <f>_xlfn.XLOOKUP(tblMovimientos[[#This Row],[Cuenta Bancaria]],Listas!$B:$B,Listas!$C:$C,"")</f>
        <v xml:space="preserve">Amerant Bank </v>
      </c>
      <c r="F1170" s="41" t="s">
        <v>10</v>
      </c>
      <c r="G1170" s="41" t="s">
        <v>60</v>
      </c>
      <c r="H1170" s="4" t="str">
        <f>IFERROR(_xlfn.XLOOKUP(G1170,Listas!E:E,Listas!F:F,""),"")</f>
        <v>Inversion</v>
      </c>
      <c r="I1170" s="4" t="str">
        <f>IFERROR(_xlfn.XLOOKUP(G1170,Listas!E:E,Listas!G:G,""),"")</f>
        <v>Interno</v>
      </c>
      <c r="J1170" s="43">
        <v>30000</v>
      </c>
      <c r="K1170" s="5">
        <f t="shared" si="13"/>
        <v>-30000</v>
      </c>
      <c r="L1170" s="15" t="s">
        <v>134</v>
      </c>
      <c r="M1170" s="44">
        <f>SUMIFS('Saldos Iniciales'!$D:$D,'Saldos Iniciales'!$A:$A,C1170,'Saldos Iniciales'!$B:$B,D1170)+SUMIFS($K$1:$K$1325,$C$1:$C$1325,C1170,$D$1:$D$1325,D1170,$B$1:$B$1325,"&lt;="&amp;B1170)</f>
        <v>725822.75999999931</v>
      </c>
      <c r="N1170" s="65" t="str">
        <f>IF(tblMovimientos[[#This Row],[Tipo de Movimiento]]="Ingreso",tblMovimientos[[#This Row],[Monto (S/)]],"0")</f>
        <v>0</v>
      </c>
      <c r="O1170" s="65">
        <f>IF(tblMovimientos[[#This Row],[Tipo de Movimiento]]="Egreso",tblMovimientos[[#This Row],[Monto (S/)]],"0")</f>
        <v>30000</v>
      </c>
      <c r="P1170" s="28">
        <f>IF(tblMovimientos[[#This Row],[Tipo de Movimiento]]="Ingreso",tblMovimientos[[#This Row],[Ingreso]],-tblMovimientos[[#This Row],[Egreso]])</f>
        <v>-30000</v>
      </c>
      <c r="Q1170" s="91" t="str">
        <f>IF(tblMovimientos[[#This Row],[Cuenta Bancaria]]="","",_xlfn.XLOOKUP(tblMovimientos[[#This Row],[Cuenta Bancaria]],Cuentas!$C:$C,Cuentas!$A:$A,"No encontrado"))</f>
        <v>SSP Group</v>
      </c>
      <c r="R1170" s="91" t="str">
        <f>TRIM(_xlfn.XLOOKUP(tblMovimientos[[#This Row],[Cuenta Bancaria]],Cuentas!$C:$C,Cuentas!$B:$B,""))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Green Harbor Trust</v>
      </c>
      <c r="D1171" s="41" t="s">
        <v>125</v>
      </c>
      <c r="E1171" s="4" t="str">
        <f>_xlfn.XLOOKUP(tblMovimientos[[#This Row],[Cuenta Bancaria]],Listas!$B:$B,Listas!$C:$C,"")</f>
        <v xml:space="preserve">Amerant Bank </v>
      </c>
      <c r="F1171" s="41" t="s">
        <v>9</v>
      </c>
      <c r="G1171" s="41" t="s">
        <v>77</v>
      </c>
      <c r="H1171" s="4" t="str">
        <f>IFERROR(_xlfn.XLOOKUP(G1171,Listas!E:E,Listas!F:F,""),"")</f>
        <v>Inversion</v>
      </c>
      <c r="I1171" s="4" t="str">
        <f>IFERROR(_xlfn.XLOOKUP(G1171,Listas!E:E,Listas!G:G,""),"")</f>
        <v>Interno</v>
      </c>
      <c r="J1171" s="43">
        <v>15000</v>
      </c>
      <c r="K1171" s="5">
        <f t="shared" si="13"/>
        <v>15000</v>
      </c>
      <c r="L1171" s="15" t="s">
        <v>134</v>
      </c>
      <c r="M1171" s="44">
        <f>SUMIFS('Saldos Iniciales'!$D:$D,'Saldos Iniciales'!$A:$A,C1171,'Saldos Iniciales'!$B:$B,D1171)+SUMIFS($K$1:$K$1325,$C$1:$C$1325,C1171,$D$1:$D$1325,D1171,$B$1:$B$1325,"&lt;="&amp;B1171)</f>
        <v>345</v>
      </c>
      <c r="N1171" s="65">
        <f>IF(tblMovimientos[[#This Row],[Tipo de Movimiento]]="Ingreso",tblMovimientos[[#This Row],[Monto (S/)]],"0")</f>
        <v>15000</v>
      </c>
      <c r="O1171" s="65" t="str">
        <f>IF(tblMovimientos[[#This Row],[Tipo de Movimiento]]="Egreso",tblMovimientos[[#This Row],[Monto (S/)]],"0")</f>
        <v>0</v>
      </c>
      <c r="P1171" s="28">
        <f>IF(tblMovimientos[[#This Row],[Tipo de Movimiento]]="Ingreso",tblMovimientos[[#This Row],[Ingreso]],-tblMovimientos[[#This Row],[Egreso]])</f>
        <v>15000</v>
      </c>
      <c r="Q1171" s="91" t="str">
        <f>IF(tblMovimientos[[#This Row],[Cuenta Bancaria]]="","",_xlfn.XLOOKUP(tblMovimientos[[#This Row],[Cuenta Bancaria]],Cuentas!$C:$C,Cuentas!$A:$A,"No encontrado"))</f>
        <v>SSP Group</v>
      </c>
      <c r="R1171" s="91" t="str">
        <f>TRIM(_xlfn.XLOOKUP(tblMovimientos[[#This Row],[Cuenta Bancaria]],Cuentas!$C:$C,Cuentas!$B:$B,""))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Green Harbor Trust</v>
      </c>
      <c r="D1172" s="41" t="s">
        <v>125</v>
      </c>
      <c r="E1172" s="4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53</v>
      </c>
      <c r="H1172" s="4" t="str">
        <f>IFERROR(_xlfn.XLOOKUP(G1172,Listas!E:E,Listas!F:F,""),"")</f>
        <v>Inversion</v>
      </c>
      <c r="I1172" s="4" t="str">
        <f>IFERROR(_xlfn.XLOOKUP(G1172,Listas!E:E,Listas!G:G,""),"")</f>
        <v>Interno</v>
      </c>
      <c r="J1172" s="43">
        <v>15000</v>
      </c>
      <c r="K1172" s="5">
        <f t="shared" si="13"/>
        <v>-15000</v>
      </c>
      <c r="L1172" s="15" t="s">
        <v>134</v>
      </c>
      <c r="M1172" s="44">
        <f>SUMIFS('Saldos Iniciales'!$D:$D,'Saldos Iniciales'!$A:$A,C1172,'Saldos Iniciales'!$B:$B,D1172)+SUMIFS($K$1:$K$1325,$C$1:$C$1325,C1172,$D$1:$D$1325,D1172,$B$1:$B$1325,"&lt;="&amp;B1172)</f>
        <v>345</v>
      </c>
      <c r="N1172" s="65" t="str">
        <f>IF(tblMovimientos[[#This Row],[Tipo de Movimiento]]="Ingreso",tblMovimientos[[#This Row],[Monto (S/)]],"0")</f>
        <v>0</v>
      </c>
      <c r="O1172" s="65">
        <f>IF(tblMovimientos[[#This Row],[Tipo de Movimiento]]="Egreso",tblMovimientos[[#This Row],[Monto (S/)]],"0")</f>
        <v>15000</v>
      </c>
      <c r="P1172" s="28">
        <f>IF(tblMovimientos[[#This Row],[Tipo de Movimiento]]="Ingreso",tblMovimientos[[#This Row],[Ingreso]],-tblMovimientos[[#This Row],[Egreso]])</f>
        <v>-15000</v>
      </c>
      <c r="Q1172" s="91" t="str">
        <f>IF(tblMovimientos[[#This Row],[Cuenta Bancaria]]="","",_xlfn.XLOOKUP(tblMovimientos[[#This Row],[Cuenta Bancaria]],Cuentas!$C:$C,Cuentas!$A:$A,"No encontrado"))</f>
        <v>SSP Group</v>
      </c>
      <c r="R1172" s="91" t="str">
        <f>TRIM(_xlfn.XLOOKUP(tblMovimientos[[#This Row],[Cuenta Bancaria]],Cuentas!$C:$C,Cuentas!$B:$B,""))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Go Blue</v>
      </c>
      <c r="D1173" s="41" t="s">
        <v>126</v>
      </c>
      <c r="E1173" s="4" t="str">
        <f>_xlfn.XLOOKUP(tblMovimientos[[#This Row],[Cuenta Bancaria]],Listas!$B:$B,Listas!$C:$C,"")</f>
        <v xml:space="preserve">Amerant Bank </v>
      </c>
      <c r="F1173" s="41" t="s">
        <v>9</v>
      </c>
      <c r="G1173" s="41" t="s">
        <v>77</v>
      </c>
      <c r="H1173" s="4" t="str">
        <f>IFERROR(_xlfn.XLOOKUP(G1173,Listas!E:E,Listas!F:F,""),"")</f>
        <v>Inversion</v>
      </c>
      <c r="I1173" s="4" t="str">
        <f>IFERROR(_xlfn.XLOOKUP(G1173,Listas!E:E,Listas!G:G,""),"")</f>
        <v>Interno</v>
      </c>
      <c r="J1173" s="43">
        <v>15000</v>
      </c>
      <c r="K1173" s="5">
        <f t="shared" si="13"/>
        <v>15000</v>
      </c>
      <c r="L1173" s="15" t="s">
        <v>134</v>
      </c>
      <c r="M1173" s="44">
        <f>SUMIFS('Saldos Iniciales'!$D:$D,'Saldos Iniciales'!$A:$A,C1173,'Saldos Iniciales'!$B:$B,D1173)+SUMIFS($K$1:$K$1325,$C$1:$C$1325,C1173,$D$1:$D$1325,D1173,$B$1:$B$1325,"&lt;="&amp;B1173)</f>
        <v>25982.69</v>
      </c>
      <c r="N1173" s="65">
        <f>IF(tblMovimientos[[#This Row],[Tipo de Movimiento]]="Ingreso",tblMovimientos[[#This Row],[Monto (S/)]],"0")</f>
        <v>15000</v>
      </c>
      <c r="O1173" s="65" t="str">
        <f>IF(tblMovimientos[[#This Row],[Tipo de Movimiento]]="Egreso",tblMovimientos[[#This Row],[Monto (S/)]],"0")</f>
        <v>0</v>
      </c>
      <c r="P1173" s="28">
        <f>IF(tblMovimientos[[#This Row],[Tipo de Movimiento]]="Ingreso",tblMovimientos[[#This Row],[Ingreso]],-tblMovimientos[[#This Row],[Egreso]])</f>
        <v>15000</v>
      </c>
      <c r="Q1173" s="91" t="str">
        <f>IF(tblMovimientos[[#This Row],[Cuenta Bancaria]]="","",_xlfn.XLOOKUP(tblMovimientos[[#This Row],[Cuenta Bancaria]],Cuentas!$C:$C,Cuentas!$A:$A,"No encontrado"))</f>
        <v>SSP Group</v>
      </c>
      <c r="R1173" s="91" t="str">
        <f>TRIM(_xlfn.XLOOKUP(tblMovimientos[[#This Row],[Cuenta Bancaria]],Cuentas!$C:$C,Cuentas!$B:$B,""))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Go Blue</v>
      </c>
      <c r="D1174" s="41" t="s">
        <v>126</v>
      </c>
      <c r="E1174" s="4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38</v>
      </c>
      <c r="H1174" s="4" t="str">
        <f>IFERROR(_xlfn.XLOOKUP(G1174,Listas!E:E,Listas!F:F,""),"")</f>
        <v>Operativo</v>
      </c>
      <c r="I1174" s="4" t="str">
        <f>IFERROR(_xlfn.XLOOKUP(G1174,Listas!E:E,Listas!G:G,""),"")</f>
        <v>Externo</v>
      </c>
      <c r="J1174" s="43">
        <v>352</v>
      </c>
      <c r="K1174" s="5">
        <f t="shared" si="13"/>
        <v>-352</v>
      </c>
      <c r="L1174" s="15" t="s">
        <v>134</v>
      </c>
      <c r="M1174" s="44">
        <f>SUMIFS('Saldos Iniciales'!$D:$D,'Saldos Iniciales'!$A:$A,C1174,'Saldos Iniciales'!$B:$B,D1174)+SUMIFS($K$1:$K$1325,$C$1:$C$1325,C1174,$D$1:$D$1325,D1174,$B$1:$B$1325,"&lt;="&amp;B1174)</f>
        <v>25982.69</v>
      </c>
      <c r="N1174" s="65" t="str">
        <f>IF(tblMovimientos[[#This Row],[Tipo de Movimiento]]="Ingreso",tblMovimientos[[#This Row],[Monto (S/)]],"0")</f>
        <v>0</v>
      </c>
      <c r="O1174" s="65">
        <f>IF(tblMovimientos[[#This Row],[Tipo de Movimiento]]="Egreso",tblMovimientos[[#This Row],[Monto (S/)]],"0")</f>
        <v>352</v>
      </c>
      <c r="P1174" s="28">
        <f>IF(tblMovimientos[[#This Row],[Tipo de Movimiento]]="Ingreso",tblMovimientos[[#This Row],[Ingreso]],-tblMovimientos[[#This Row],[Egreso]])</f>
        <v>-352</v>
      </c>
      <c r="Q1174" s="91" t="str">
        <f>IF(tblMovimientos[[#This Row],[Cuenta Bancaria]]="","",_xlfn.XLOOKUP(tblMovimientos[[#This Row],[Cuenta Bancaria]],Cuentas!$C:$C,Cuentas!$A:$A,"No encontrado"))</f>
        <v>SSP Group</v>
      </c>
      <c r="R1174" s="91" t="str">
        <f>TRIM(_xlfn.XLOOKUP(tblMovimientos[[#This Row],[Cuenta Bancaria]],Cuentas!$C:$C,Cuentas!$B:$B,""))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Go Blue</v>
      </c>
      <c r="D1175" s="41" t="s">
        <v>126</v>
      </c>
      <c r="E1175" s="4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44</v>
      </c>
      <c r="H1175" s="4" t="str">
        <f>IFERROR(_xlfn.XLOOKUP(G1175,Listas!E:E,Listas!F:F,""),"")</f>
        <v>Operativo</v>
      </c>
      <c r="I1175" s="4" t="str">
        <f>IFERROR(_xlfn.XLOOKUP(G1175,Listas!E:E,Listas!G:G,""),"")</f>
        <v>Externo</v>
      </c>
      <c r="J1175" s="43">
        <v>15</v>
      </c>
      <c r="K1175" s="5">
        <f t="shared" si="13"/>
        <v>-15</v>
      </c>
      <c r="L1175" s="15" t="s">
        <v>134</v>
      </c>
      <c r="M1175" s="44">
        <f>SUMIFS('Saldos Iniciales'!$D:$D,'Saldos Iniciales'!$A:$A,C1175,'Saldos Iniciales'!$B:$B,D1175)+SUMIFS($K$1:$K$1325,$C$1:$C$1325,C1175,$D$1:$D$1325,D1175,$B$1:$B$1325,"&lt;="&amp;B1175)</f>
        <v>25982.69</v>
      </c>
      <c r="N1175" s="65" t="str">
        <f>IF(tblMovimientos[[#This Row],[Tipo de Movimiento]]="Ingreso",tblMovimientos[[#This Row],[Monto (S/)]],"0")</f>
        <v>0</v>
      </c>
      <c r="O1175" s="65">
        <f>IF(tblMovimientos[[#This Row],[Tipo de Movimiento]]="Egreso",tblMovimientos[[#This Row],[Monto (S/)]],"0")</f>
        <v>15</v>
      </c>
      <c r="P1175" s="28">
        <f>IF(tblMovimientos[[#This Row],[Tipo de Movimiento]]="Ingreso",tblMovimientos[[#This Row],[Ingreso]],-tblMovimientos[[#This Row],[Egreso]])</f>
        <v>-15</v>
      </c>
      <c r="Q1175" s="91" t="str">
        <f>IF(tblMovimientos[[#This Row],[Cuenta Bancaria]]="","",_xlfn.XLOOKUP(tblMovimientos[[#This Row],[Cuenta Bancaria]],Cuentas!$C:$C,Cuentas!$A:$A,"No encontrado"))</f>
        <v>SSP Group</v>
      </c>
      <c r="R1175" s="91" t="str">
        <f>TRIM(_xlfn.XLOOKUP(tblMovimientos[[#This Row],[Cuenta Bancaria]],Cuentas!$C:$C,Cuentas!$B:$B,""))</f>
        <v/>
      </c>
    </row>
    <row r="1176" spans="2:18" x14ac:dyDescent="0.3">
      <c r="B1176" s="39">
        <v>46297</v>
      </c>
      <c r="C1176" s="4" t="str">
        <f>_xlfn.XLOOKUP(tblMovimientos[[#This Row],[Cuenta Bancaria]],Listas!$B:$B,Listas!$A:$A,"")</f>
        <v>Nobe Aparments</v>
      </c>
      <c r="D1176" s="41" t="s">
        <v>191</v>
      </c>
      <c r="E1176" s="4" t="str">
        <f>_xlfn.XLOOKUP(tblMovimientos[[#This Row],[Cuenta Bancaria]],Listas!$B:$B,Listas!$C:$C,"")</f>
        <v>Bank of America</v>
      </c>
      <c r="F1176" s="41" t="s">
        <v>9</v>
      </c>
      <c r="G1176" s="41" t="s">
        <v>81</v>
      </c>
      <c r="H1176" s="4" t="str">
        <f>IFERROR(_xlfn.XLOOKUP(G1176,Listas!E:E,Listas!F:F,""),"")</f>
        <v>Operativo</v>
      </c>
      <c r="I1176" s="4" t="str">
        <f>IFERROR(_xlfn.XLOOKUP(G1176,Listas!E:E,Listas!G:G,""),"")</f>
        <v>Externo</v>
      </c>
      <c r="J1176" s="43">
        <v>950</v>
      </c>
      <c r="K1176" s="5">
        <f t="shared" si="13"/>
        <v>950</v>
      </c>
      <c r="L1176" s="15" t="s">
        <v>134</v>
      </c>
      <c r="M1176" s="44">
        <f>SUMIFS('Saldos Iniciales'!$D:$D,'Saldos Iniciales'!$A:$A,C1176,'Saldos Iniciales'!$B:$B,D1176)+SUMIFS($K$1:$K$1325,$C$1:$C$1325,C1176,$D$1:$D$1325,D1176,$B$1:$B$1325,"&lt;="&amp;B1176)</f>
        <v>209379.46</v>
      </c>
      <c r="N1176" s="65">
        <f>IF(tblMovimientos[[#This Row],[Tipo de Movimiento]]="Ingreso",tblMovimientos[[#This Row],[Monto (S/)]],"0")</f>
        <v>950</v>
      </c>
      <c r="O1176" s="65" t="str">
        <f>IF(tblMovimientos[[#This Row],[Tipo de Movimiento]]="Egreso",tblMovimientos[[#This Row],[Monto (S/)]],"0")</f>
        <v>0</v>
      </c>
      <c r="P1176" s="28">
        <f>IF(tblMovimientos[[#This Row],[Tipo de Movimiento]]="Ingreso",tblMovimientos[[#This Row],[Ingreso]],-tblMovimientos[[#This Row],[Egreso]])</f>
        <v>950</v>
      </c>
      <c r="Q1176" s="91" t="str">
        <f>IF(tblMovimientos[[#This Row],[Cuenta Bancaria]]="","",_xlfn.XLOOKUP(tblMovimientos[[#This Row],[Cuenta Bancaria]],Cuentas!$C:$C,Cuentas!$A:$A,"No encontrado"))</f>
        <v>Carmen Cross / Estate</v>
      </c>
      <c r="R1176" s="91" t="str">
        <f>TRIM(_xlfn.XLOOKUP(tblMovimientos[[#This Row],[Cuenta Bancaria]],Cuentas!$C:$C,Cuentas!$B:$B,""))</f>
        <v/>
      </c>
    </row>
    <row r="1177" spans="2:18" x14ac:dyDescent="0.3">
      <c r="B1177" s="39">
        <v>46297</v>
      </c>
      <c r="C1177" s="4" t="str">
        <f>_xlfn.XLOOKUP(tblMovimientos[[#This Row],[Cuenta Bancaria]],Listas!$B:$B,Listas!$A:$A,"")</f>
        <v>CFT 1 residence LLC</v>
      </c>
      <c r="D1177" s="41" t="s">
        <v>184</v>
      </c>
      <c r="E1177" s="4" t="str">
        <f>_xlfn.XLOOKUP(tblMovimientos[[#This Row],[Cuenta Bancaria]],Listas!$B:$B,Listas!$C:$C,"")</f>
        <v xml:space="preserve">Amerant Bank </v>
      </c>
      <c r="F1177" s="41" t="s">
        <v>10</v>
      </c>
      <c r="G1177" s="41" t="s">
        <v>38</v>
      </c>
      <c r="H1177" s="4" t="str">
        <f>IFERROR(_xlfn.XLOOKUP(G1177,Listas!E:E,Listas!F:F,""),"")</f>
        <v>Operativo</v>
      </c>
      <c r="I1177" s="4" t="str">
        <f>IFERROR(_xlfn.XLOOKUP(G1177,Listas!E:E,Listas!G:G,""),"")</f>
        <v>Externo</v>
      </c>
      <c r="J1177" s="43">
        <v>82.62</v>
      </c>
      <c r="K1177" s="5">
        <f t="shared" si="13"/>
        <v>-82.62</v>
      </c>
      <c r="L1177" s="15" t="s">
        <v>134</v>
      </c>
      <c r="M1177" s="44">
        <f>SUMIFS('Saldos Iniciales'!$D:$D,'Saldos Iniciales'!$A:$A,C1177,'Saldos Iniciales'!$B:$B,D1177)+SUMIFS($K$1:$K$1325,$C$1:$C$1325,C1177,$D$1:$D$1325,D1177,$B$1:$B$1325,"&lt;="&amp;B1177)</f>
        <v>100884.42</v>
      </c>
      <c r="N1177" s="65" t="str">
        <f>IF(tblMovimientos[[#This Row],[Tipo de Movimiento]]="Ingreso",tblMovimientos[[#This Row],[Monto (S/)]],"0")</f>
        <v>0</v>
      </c>
      <c r="O1177" s="65">
        <f>IF(tblMovimientos[[#This Row],[Tipo de Movimiento]]="Egreso",tblMovimientos[[#This Row],[Monto (S/)]],"0")</f>
        <v>82.62</v>
      </c>
      <c r="P1177" s="28">
        <f>IF(tblMovimientos[[#This Row],[Tipo de Movimiento]]="Ingreso",tblMovimientos[[#This Row],[Ingreso]],-tblMovimientos[[#This Row],[Egreso]])</f>
        <v>-82.62</v>
      </c>
      <c r="Q1177" s="91" t="str">
        <f>IF(tblMovimientos[[#This Row],[Cuenta Bancaria]]="","",_xlfn.XLOOKUP(tblMovimientos[[#This Row],[Cuenta Bancaria]],Cuentas!$C:$C,Cuentas!$A:$A,"No encontrado"))</f>
        <v>Carmen Cross Irrevocable Trust</v>
      </c>
      <c r="R1177" s="91" t="str">
        <f>TRIM(_xlfn.XLOOKUP(tblMovimientos[[#This Row],[Cuenta Bancaria]],Cuentas!$C:$C,Cuentas!$B:$B,""))</f>
        <v/>
      </c>
    </row>
    <row r="1178" spans="2:18" x14ac:dyDescent="0.3">
      <c r="B1178" s="39">
        <v>46297</v>
      </c>
      <c r="C1178" s="4" t="str">
        <f>_xlfn.XLOOKUP(tblMovimientos[[#This Row],[Cuenta Bancaria]],Listas!$B:$B,Listas!$A:$A,"")</f>
        <v>CFT 1 residence LLC</v>
      </c>
      <c r="D1178" s="41" t="s">
        <v>184</v>
      </c>
      <c r="E1178" s="4" t="str">
        <f>_xlfn.XLOOKUP(tblMovimientos[[#This Row],[Cuenta Bancaria]],Listas!$B:$B,Listas!$C:$C,"")</f>
        <v xml:space="preserve">Amerant Bank </v>
      </c>
      <c r="F1178" s="41" t="s">
        <v>10</v>
      </c>
      <c r="G1178" s="41" t="s">
        <v>38</v>
      </c>
      <c r="H1178" s="4" t="str">
        <f>IFERROR(_xlfn.XLOOKUP(G1178,Listas!E:E,Listas!F:F,""),"")</f>
        <v>Operativo</v>
      </c>
      <c r="I1178" s="4" t="str">
        <f>IFERROR(_xlfn.XLOOKUP(G1178,Listas!E:E,Listas!G:G,""),"")</f>
        <v>Externo</v>
      </c>
      <c r="J1178" s="43">
        <v>29.35</v>
      </c>
      <c r="K1178" s="5">
        <f t="shared" si="13"/>
        <v>-29.35</v>
      </c>
      <c r="L1178" s="15" t="s">
        <v>134</v>
      </c>
      <c r="M1178" s="44">
        <f>SUMIFS('Saldos Iniciales'!$D:$D,'Saldos Iniciales'!$A:$A,C1178,'Saldos Iniciales'!$B:$B,D1178)+SUMIFS($K$1:$K$1325,$C$1:$C$1325,C1178,$D$1:$D$1325,D1178,$B$1:$B$1325,"&lt;="&amp;B1178)</f>
        <v>100884.42</v>
      </c>
      <c r="N1178" s="65" t="str">
        <f>IF(tblMovimientos[[#This Row],[Tipo de Movimiento]]="Ingreso",tblMovimientos[[#This Row],[Monto (S/)]],"0")</f>
        <v>0</v>
      </c>
      <c r="O1178" s="65">
        <f>IF(tblMovimientos[[#This Row],[Tipo de Movimiento]]="Egreso",tblMovimientos[[#This Row],[Monto (S/)]],"0")</f>
        <v>29.35</v>
      </c>
      <c r="P1178" s="28">
        <f>IF(tblMovimientos[[#This Row],[Tipo de Movimiento]]="Ingreso",tblMovimientos[[#This Row],[Ingreso]],-tblMovimientos[[#This Row],[Egreso]])</f>
        <v>-29.35</v>
      </c>
      <c r="Q1178" s="91" t="str">
        <f>IF(tblMovimientos[[#This Row],[Cuenta Bancaria]]="","",_xlfn.XLOOKUP(tblMovimientos[[#This Row],[Cuenta Bancaria]],Cuentas!$C:$C,Cuentas!$A:$A,"No encontrado"))</f>
        <v>Carmen Cross Irrevocable Trust</v>
      </c>
      <c r="R1178" s="91" t="str">
        <f>TRIM(_xlfn.XLOOKUP(tblMovimientos[[#This Row],[Cuenta Bancaria]],Cuentas!$C:$C,Cuentas!$B:$B,""))</f>
        <v/>
      </c>
    </row>
    <row r="1179" spans="2:18" x14ac:dyDescent="0.3">
      <c r="B1179" s="39">
        <v>46297</v>
      </c>
      <c r="C1179" s="4" t="str">
        <f>_xlfn.XLOOKUP(tblMovimientos[[#This Row],[Cuenta Bancaria]],Listas!$B:$B,Listas!$A:$A,"")</f>
        <v>Prendamas SRL</v>
      </c>
      <c r="D1179" s="41" t="s">
        <v>186</v>
      </c>
      <c r="E1179" s="4" t="str">
        <f>_xlfn.XLOOKUP(tblMovimientos[[#This Row],[Cuenta Bancaria]],Listas!$B:$B,Listas!$C:$C,"")</f>
        <v xml:space="preserve">Amerant Bank </v>
      </c>
      <c r="F1179" s="41" t="s">
        <v>10</v>
      </c>
      <c r="G1179" s="41" t="s">
        <v>38</v>
      </c>
      <c r="H1179" s="4" t="str">
        <f>IFERROR(_xlfn.XLOOKUP(G1179,Listas!E:E,Listas!F:F,""),"")</f>
        <v>Operativo</v>
      </c>
      <c r="I1179" s="4" t="str">
        <f>IFERROR(_xlfn.XLOOKUP(G1179,Listas!E:E,Listas!G:G,""),"")</f>
        <v>Externo</v>
      </c>
      <c r="J1179" s="43">
        <v>514.42999999999995</v>
      </c>
      <c r="K1179" s="5">
        <f t="shared" si="13"/>
        <v>-514.42999999999995</v>
      </c>
      <c r="L1179" s="15" t="s">
        <v>134</v>
      </c>
      <c r="M1179" s="44">
        <f>SUMIFS('Saldos Iniciales'!$D:$D,'Saldos Iniciales'!$A:$A,C1179,'Saldos Iniciales'!$B:$B,D1179)+SUMIFS($K$1:$K$1325,$C$1:$C$1325,C1179,$D$1:$D$1325,D1179,$B$1:$B$1325,"&lt;="&amp;B1179)</f>
        <v>21434.939999999973</v>
      </c>
      <c r="N1179" s="65" t="str">
        <f>IF(tblMovimientos[[#This Row],[Tipo de Movimiento]]="Ingreso",tblMovimientos[[#This Row],[Monto (S/)]],"0")</f>
        <v>0</v>
      </c>
      <c r="O1179" s="65">
        <f>IF(tblMovimientos[[#This Row],[Tipo de Movimiento]]="Egreso",tblMovimientos[[#This Row],[Monto (S/)]],"0")</f>
        <v>514.42999999999995</v>
      </c>
      <c r="P1179" s="28">
        <f>IF(tblMovimientos[[#This Row],[Tipo de Movimiento]]="Ingreso",tblMovimientos[[#This Row],[Ingreso]],-tblMovimientos[[#This Row],[Egreso]])</f>
        <v>-514.42999999999995</v>
      </c>
      <c r="Q1179" s="91" t="str">
        <f>IF(tblMovimientos[[#This Row],[Cuenta Bancaria]]="","",_xlfn.XLOOKUP(tblMovimientos[[#This Row],[Cuenta Bancaria]],Cuentas!$C:$C,Cuentas!$A:$A,"No encontrado"))</f>
        <v>Unidades de Negocio</v>
      </c>
      <c r="R1179" s="91" t="str">
        <f>TRIM(_xlfn.XLOOKUP(tblMovimientos[[#This Row],[Cuenta Bancaria]],Cuentas!$C:$C,Cuentas!$B:$B,""))</f>
        <v/>
      </c>
    </row>
    <row r="1180" spans="2:18" x14ac:dyDescent="0.3">
      <c r="B1180" s="39">
        <v>46297</v>
      </c>
      <c r="C1180" s="4" t="str">
        <f>_xlfn.XLOOKUP(tblMovimientos[[#This Row],[Cuenta Bancaria]],Listas!$B:$B,Listas!$A:$A,"")</f>
        <v>Prendamas SRL</v>
      </c>
      <c r="D1180" s="41" t="s">
        <v>186</v>
      </c>
      <c r="E1180" s="4" t="str">
        <f>_xlfn.XLOOKUP(tblMovimientos[[#This Row],[Cuenta Bancaria]],Listas!$B:$B,Listas!$C:$C,"")</f>
        <v xml:space="preserve">Amerant Bank </v>
      </c>
      <c r="F1180" s="41" t="s">
        <v>10</v>
      </c>
      <c r="G1180" s="41" t="s">
        <v>44</v>
      </c>
      <c r="H1180" s="4" t="str">
        <f>IFERROR(_xlfn.XLOOKUP(G1180,Listas!E:E,Listas!F:F,""),"")</f>
        <v>Operativo</v>
      </c>
      <c r="I1180" s="4" t="str">
        <f>IFERROR(_xlfn.XLOOKUP(G1180,Listas!E:E,Listas!G:G,""),"")</f>
        <v>Externo</v>
      </c>
      <c r="J1180" s="43">
        <v>15.43</v>
      </c>
      <c r="K1180" s="5">
        <f t="shared" si="13"/>
        <v>-15.43</v>
      </c>
      <c r="L1180" s="15" t="s">
        <v>134</v>
      </c>
      <c r="M1180" s="44">
        <f>SUMIFS('Saldos Iniciales'!$D:$D,'Saldos Iniciales'!$A:$A,C1180,'Saldos Iniciales'!$B:$B,D1180)+SUMIFS($K$1:$K$1325,$C$1:$C$1325,C1180,$D$1:$D$1325,D1180,$B$1:$B$1325,"&lt;="&amp;B1180)</f>
        <v>21434.939999999973</v>
      </c>
      <c r="N1180" s="65" t="str">
        <f>IF(tblMovimientos[[#This Row],[Tipo de Movimiento]]="Ingreso",tblMovimientos[[#This Row],[Monto (S/)]],"0")</f>
        <v>0</v>
      </c>
      <c r="O1180" s="65">
        <f>IF(tblMovimientos[[#This Row],[Tipo de Movimiento]]="Egreso",tblMovimientos[[#This Row],[Monto (S/)]],"0")</f>
        <v>15.43</v>
      </c>
      <c r="P1180" s="28">
        <f>IF(tblMovimientos[[#This Row],[Tipo de Movimiento]]="Ingreso",tblMovimientos[[#This Row],[Ingreso]],-tblMovimientos[[#This Row],[Egreso]])</f>
        <v>-15.43</v>
      </c>
      <c r="Q1180" s="91" t="str">
        <f>IF(tblMovimientos[[#This Row],[Cuenta Bancaria]]="","",_xlfn.XLOOKUP(tblMovimientos[[#This Row],[Cuenta Bancaria]],Cuentas!$C:$C,Cuentas!$A:$A,"No encontrado"))</f>
        <v>Unidades de Negocio</v>
      </c>
      <c r="R1180" s="91" t="str">
        <f>TRIM(_xlfn.XLOOKUP(tblMovimientos[[#This Row],[Cuenta Bancaria]],Cuentas!$C:$C,Cuentas!$B:$B,""))</f>
        <v/>
      </c>
    </row>
    <row r="1181" spans="2:18" x14ac:dyDescent="0.3">
      <c r="B1181" s="39">
        <v>46297</v>
      </c>
      <c r="C1181" s="4" t="str">
        <f>_xlfn.XLOOKUP(tblMovimientos[[#This Row],[Cuenta Bancaria]],Listas!$B:$B,Listas!$A:$A,"")</f>
        <v>Go Blue</v>
      </c>
      <c r="D1181" s="41" t="s">
        <v>126</v>
      </c>
      <c r="E1181" s="4" t="str">
        <f>_xlfn.XLOOKUP(tblMovimientos[[#This Row],[Cuenta Bancaria]],Listas!$B:$B,Listas!$C:$C,"")</f>
        <v xml:space="preserve">Amerant Bank </v>
      </c>
      <c r="F1181" s="41" t="s">
        <v>10</v>
      </c>
      <c r="G1181" s="41" t="s">
        <v>38</v>
      </c>
      <c r="H1181" s="4" t="str">
        <f>IFERROR(_xlfn.XLOOKUP(G1181,Listas!E:E,Listas!F:F,""),"")</f>
        <v>Operativo</v>
      </c>
      <c r="I1181" s="4" t="str">
        <f>IFERROR(_xlfn.XLOOKUP(G1181,Listas!E:E,Listas!G:G,""),"")</f>
        <v>Externo</v>
      </c>
      <c r="J1181" s="43">
        <v>55</v>
      </c>
      <c r="K1181" s="5">
        <f t="shared" si="13"/>
        <v>-55</v>
      </c>
      <c r="L1181" s="15" t="s">
        <v>134</v>
      </c>
      <c r="M1181" s="44">
        <f>SUMIFS('Saldos Iniciales'!$D:$D,'Saldos Iniciales'!$A:$A,C1181,'Saldos Iniciales'!$B:$B,D1181)+SUMIFS($K$1:$K$1325,$C$1:$C$1325,C1181,$D$1:$D$1325,D1181,$B$1:$B$1325,"&lt;="&amp;B1181)</f>
        <v>22169.35</v>
      </c>
      <c r="N1181" s="65" t="str">
        <f>IF(tblMovimientos[[#This Row],[Tipo de Movimiento]]="Ingreso",tblMovimientos[[#This Row],[Monto (S/)]],"0")</f>
        <v>0</v>
      </c>
      <c r="O1181" s="65">
        <f>IF(tblMovimientos[[#This Row],[Tipo de Movimiento]]="Egreso",tblMovimientos[[#This Row],[Monto (S/)]],"0")</f>
        <v>55</v>
      </c>
      <c r="P1181" s="28">
        <f>IF(tblMovimientos[[#This Row],[Tipo de Movimiento]]="Ingreso",tblMovimientos[[#This Row],[Ingreso]],-tblMovimientos[[#This Row],[Egreso]])</f>
        <v>-55</v>
      </c>
      <c r="Q1181" s="91" t="str">
        <f>IF(tblMovimientos[[#This Row],[Cuenta Bancaria]]="","",_xlfn.XLOOKUP(tblMovimientos[[#This Row],[Cuenta Bancaria]],Cuentas!$C:$C,Cuentas!$A:$A,"No encontrado"))</f>
        <v>SSP Group</v>
      </c>
      <c r="R1181" s="91" t="str">
        <f>TRIM(_xlfn.XLOOKUP(tblMovimientos[[#This Row],[Cuenta Bancaria]],Cuentas!$C:$C,Cuentas!$B:$B,""))</f>
        <v/>
      </c>
    </row>
    <row r="1182" spans="2:18" x14ac:dyDescent="0.3">
      <c r="B1182" s="39">
        <v>46297</v>
      </c>
      <c r="C1182" s="4" t="str">
        <f>_xlfn.XLOOKUP(tblMovimientos[[#This Row],[Cuenta Bancaria]],Listas!$B:$B,Listas!$A:$A,"")</f>
        <v>Go Blue</v>
      </c>
      <c r="D1182" s="41" t="s">
        <v>126</v>
      </c>
      <c r="E1182" s="4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38</v>
      </c>
      <c r="H1182" s="4" t="str">
        <f>IFERROR(_xlfn.XLOOKUP(G1182,Listas!E:E,Listas!F:F,""),"")</f>
        <v>Operativo</v>
      </c>
      <c r="I1182" s="4" t="str">
        <f>IFERROR(_xlfn.XLOOKUP(G1182,Listas!E:E,Listas!G:G,""),"")</f>
        <v>Externo</v>
      </c>
      <c r="J1182" s="43">
        <v>448.76</v>
      </c>
      <c r="K1182" s="5">
        <f t="shared" si="13"/>
        <v>-448.76</v>
      </c>
      <c r="L1182" s="15" t="s">
        <v>134</v>
      </c>
      <c r="M1182" s="44">
        <f>SUMIFS('Saldos Iniciales'!$D:$D,'Saldos Iniciales'!$A:$A,C1182,'Saldos Iniciales'!$B:$B,D1182)+SUMIFS($K$1:$K$1325,$C$1:$C$1325,C1182,$D$1:$D$1325,D1182,$B$1:$B$1325,"&lt;="&amp;B1182)</f>
        <v>22169.35</v>
      </c>
      <c r="N1182" s="65" t="str">
        <f>IF(tblMovimientos[[#This Row],[Tipo de Movimiento]]="Ingreso",tblMovimientos[[#This Row],[Monto (S/)]],"0")</f>
        <v>0</v>
      </c>
      <c r="O1182" s="65">
        <f>IF(tblMovimientos[[#This Row],[Tipo de Movimiento]]="Egreso",tblMovimientos[[#This Row],[Monto (S/)]],"0")</f>
        <v>448.76</v>
      </c>
      <c r="P1182" s="28">
        <f>IF(tblMovimientos[[#This Row],[Tipo de Movimiento]]="Ingreso",tblMovimientos[[#This Row],[Ingreso]],-tblMovimientos[[#This Row],[Egreso]])</f>
        <v>-448.76</v>
      </c>
      <c r="Q1182" s="91" t="str">
        <f>IF(tblMovimientos[[#This Row],[Cuenta Bancaria]]="","",_xlfn.XLOOKUP(tblMovimientos[[#This Row],[Cuenta Bancaria]],Cuentas!$C:$C,Cuentas!$A:$A,"No encontrado"))</f>
        <v>SSP Group</v>
      </c>
      <c r="R1182" s="91" t="str">
        <f>TRIM(_xlfn.XLOOKUP(tblMovimientos[[#This Row],[Cuenta Bancaria]],Cuentas!$C:$C,Cuentas!$B:$B,""))</f>
        <v/>
      </c>
    </row>
    <row r="1183" spans="2:18" x14ac:dyDescent="0.3">
      <c r="B1183" s="39">
        <v>46297</v>
      </c>
      <c r="C1183" s="4" t="str">
        <f>_xlfn.XLOOKUP(tblMovimientos[[#This Row],[Cuenta Bancaria]],Listas!$B:$B,Listas!$A:$A,"")</f>
        <v>Go Blue</v>
      </c>
      <c r="D1183" s="41" t="s">
        <v>126</v>
      </c>
      <c r="E1183" s="4" t="str">
        <f>_xlfn.XLOOKUP(tblMovimientos[[#This Row],[Cuenta Bancaria]],Listas!$B:$B,Listas!$C:$C,"")</f>
        <v xml:space="preserve">Amerant Bank </v>
      </c>
      <c r="F1183" s="41" t="s">
        <v>10</v>
      </c>
      <c r="G1183" s="41" t="s">
        <v>38</v>
      </c>
      <c r="H1183" s="4" t="str">
        <f>IFERROR(_xlfn.XLOOKUP(G1183,Listas!E:E,Listas!F:F,""),"")</f>
        <v>Operativo</v>
      </c>
      <c r="I1183" s="4" t="str">
        <f>IFERROR(_xlfn.XLOOKUP(G1183,Listas!E:E,Listas!G:G,""),"")</f>
        <v>Externo</v>
      </c>
      <c r="J1183" s="43">
        <v>3309.58</v>
      </c>
      <c r="K1183" s="5">
        <f t="shared" si="13"/>
        <v>-3309.58</v>
      </c>
      <c r="L1183" s="15" t="s">
        <v>134</v>
      </c>
      <c r="M1183" s="44">
        <f>SUMIFS('Saldos Iniciales'!$D:$D,'Saldos Iniciales'!$A:$A,C1183,'Saldos Iniciales'!$B:$B,D1183)+SUMIFS($K$1:$K$1325,$C$1:$C$1325,C1183,$D$1:$D$1325,D1183,$B$1:$B$1325,"&lt;="&amp;B1183)</f>
        <v>22169.35</v>
      </c>
      <c r="N1183" s="65" t="str">
        <f>IF(tblMovimientos[[#This Row],[Tipo de Movimiento]]="Ingreso",tblMovimientos[[#This Row],[Monto (S/)]],"0")</f>
        <v>0</v>
      </c>
      <c r="O1183" s="65">
        <f>IF(tblMovimientos[[#This Row],[Tipo de Movimiento]]="Egreso",tblMovimientos[[#This Row],[Monto (S/)]],"0")</f>
        <v>3309.58</v>
      </c>
      <c r="P1183" s="28">
        <f>IF(tblMovimientos[[#This Row],[Tipo de Movimiento]]="Ingreso",tblMovimientos[[#This Row],[Ingreso]],-tblMovimientos[[#This Row],[Egreso]])</f>
        <v>-3309.58</v>
      </c>
      <c r="Q1183" s="91" t="str">
        <f>IF(tblMovimientos[[#This Row],[Cuenta Bancaria]]="","",_xlfn.XLOOKUP(tblMovimientos[[#This Row],[Cuenta Bancaria]],Cuentas!$C:$C,Cuentas!$A:$A,"No encontrado"))</f>
        <v>SSP Group</v>
      </c>
      <c r="R1183" s="91" t="str">
        <f>TRIM(_xlfn.XLOOKUP(tblMovimientos[[#This Row],[Cuenta Bancaria]],Cuentas!$C:$C,Cuentas!$B:$B,""))</f>
        <v/>
      </c>
    </row>
    <row r="1184" spans="2:18" x14ac:dyDescent="0.3">
      <c r="E1184" s="80"/>
      <c r="I1184" s="80"/>
      <c r="Q1184" s="91"/>
      <c r="R1184" s="91"/>
    </row>
    <row r="1185" spans="5:18" x14ac:dyDescent="0.3">
      <c r="E1185" s="80"/>
      <c r="I1185" s="80"/>
      <c r="Q1185" s="91"/>
      <c r="R1185" s="91"/>
    </row>
    <row r="1186" spans="5:18" x14ac:dyDescent="0.3">
      <c r="E1186" s="80"/>
      <c r="I1186" s="80"/>
      <c r="Q1186" s="91"/>
      <c r="R1186" s="91"/>
    </row>
    <row r="1187" spans="5:18" x14ac:dyDescent="0.3">
      <c r="E1187" s="80"/>
      <c r="I1187" s="80"/>
      <c r="Q1187" s="91"/>
      <c r="R1187" s="91"/>
    </row>
    <row r="1188" spans="5:18" x14ac:dyDescent="0.3">
      <c r="E1188" s="80"/>
      <c r="I1188" s="80"/>
      <c r="Q1188" s="91"/>
      <c r="R1188" s="91"/>
    </row>
    <row r="1189" spans="5:18" x14ac:dyDescent="0.3">
      <c r="E1189" s="80"/>
      <c r="I1189" s="80"/>
      <c r="Q1189" s="91"/>
      <c r="R1189" s="91"/>
    </row>
    <row r="1190" spans="5:18" x14ac:dyDescent="0.3">
      <c r="E1190" s="80"/>
      <c r="I1190" s="80"/>
      <c r="Q1190" s="91"/>
      <c r="R1190" s="91"/>
    </row>
    <row r="1191" spans="5:18" x14ac:dyDescent="0.3">
      <c r="E1191" s="80"/>
      <c r="I1191" s="80"/>
      <c r="Q1191" s="91"/>
      <c r="R1191" s="91"/>
    </row>
    <row r="1192" spans="5:18" x14ac:dyDescent="0.3">
      <c r="E1192" s="80"/>
      <c r="I1192" s="80"/>
      <c r="Q1192" s="91"/>
      <c r="R1192" s="91"/>
    </row>
    <row r="1193" spans="5:18" x14ac:dyDescent="0.3">
      <c r="E1193" s="80"/>
      <c r="I1193" s="80"/>
      <c r="Q1193" s="91"/>
      <c r="R1193" s="91"/>
    </row>
    <row r="1194" spans="5:18" x14ac:dyDescent="0.3">
      <c r="E1194" s="80"/>
      <c r="I1194" s="80"/>
      <c r="Q1194" s="91"/>
      <c r="R1194" s="91"/>
    </row>
    <row r="1195" spans="5:18" x14ac:dyDescent="0.3">
      <c r="E1195" s="80"/>
      <c r="I1195" s="80"/>
      <c r="Q1195" s="91"/>
      <c r="R1195" s="91"/>
    </row>
    <row r="1196" spans="5:18" x14ac:dyDescent="0.3">
      <c r="E1196" s="80"/>
      <c r="I1196" s="80"/>
      <c r="Q1196" s="91"/>
      <c r="R1196" s="91"/>
    </row>
    <row r="1197" spans="5:18" x14ac:dyDescent="0.3">
      <c r="E1197" s="80"/>
      <c r="I1197" s="80"/>
      <c r="Q1197" s="91"/>
      <c r="R1197" s="91"/>
    </row>
    <row r="1198" spans="5:18" x14ac:dyDescent="0.3">
      <c r="E1198" s="80"/>
      <c r="I1198" s="80"/>
      <c r="Q1198" s="91"/>
      <c r="R1198" s="91"/>
    </row>
    <row r="1199" spans="5:18" x14ac:dyDescent="0.3">
      <c r="E1199" s="80"/>
      <c r="I1199" s="80"/>
      <c r="Q1199" s="91"/>
      <c r="R1199" s="91"/>
    </row>
    <row r="1200" spans="5:18" x14ac:dyDescent="0.3">
      <c r="E1200" s="80"/>
      <c r="I1200" s="80"/>
      <c r="Q1200" s="91"/>
      <c r="R1200" s="91"/>
    </row>
    <row r="1201" spans="5:18" x14ac:dyDescent="0.3">
      <c r="E1201" s="80"/>
      <c r="I1201" s="80"/>
      <c r="Q1201" s="91"/>
      <c r="R1201" s="91"/>
    </row>
    <row r="1202" spans="5:18" x14ac:dyDescent="0.3">
      <c r="E1202" s="80"/>
      <c r="I1202" s="80"/>
      <c r="Q1202" s="91"/>
      <c r="R1202" s="91"/>
    </row>
    <row r="1203" spans="5:18" x14ac:dyDescent="0.3">
      <c r="E1203" s="80"/>
      <c r="I1203" s="80"/>
      <c r="Q1203" s="91"/>
      <c r="R1203" s="91"/>
    </row>
    <row r="1204" spans="5:18" x14ac:dyDescent="0.3">
      <c r="E1204" s="80"/>
      <c r="I1204" s="80"/>
      <c r="Q1204" s="91"/>
      <c r="R1204" s="91"/>
    </row>
    <row r="1205" spans="5:18" x14ac:dyDescent="0.3">
      <c r="E1205" s="80"/>
      <c r="I1205" s="80"/>
      <c r="Q1205" s="91"/>
      <c r="R1205" s="91"/>
    </row>
    <row r="1206" spans="5:18" x14ac:dyDescent="0.3">
      <c r="E1206" s="80"/>
      <c r="I1206" s="80"/>
      <c r="Q1206" s="91"/>
      <c r="R1206" s="91"/>
    </row>
    <row r="1207" spans="5:18" x14ac:dyDescent="0.3">
      <c r="E1207" s="80"/>
      <c r="I1207" s="80"/>
      <c r="Q1207" s="91"/>
      <c r="R1207" s="91"/>
    </row>
    <row r="1208" spans="5:18" x14ac:dyDescent="0.3">
      <c r="E1208" s="80"/>
      <c r="I1208" s="80"/>
      <c r="Q1208" s="91"/>
      <c r="R1208" s="91"/>
    </row>
    <row r="1209" spans="5:18" x14ac:dyDescent="0.3">
      <c r="E1209" s="80"/>
      <c r="I1209" s="80"/>
      <c r="Q1209" s="91"/>
      <c r="R1209" s="91"/>
    </row>
    <row r="1210" spans="5:18" x14ac:dyDescent="0.3">
      <c r="E1210" s="80"/>
      <c r="I1210" s="80"/>
      <c r="Q1210" s="91"/>
      <c r="R1210" s="91"/>
    </row>
    <row r="1211" spans="5:18" x14ac:dyDescent="0.3">
      <c r="E1211" s="80"/>
      <c r="I1211" s="80"/>
      <c r="Q1211" s="91"/>
      <c r="R1211" s="91"/>
    </row>
    <row r="1212" spans="5:18" x14ac:dyDescent="0.3">
      <c r="E1212" s="80"/>
      <c r="I1212" s="80"/>
      <c r="Q1212" s="91"/>
      <c r="R1212" s="91"/>
    </row>
    <row r="1213" spans="5:18" x14ac:dyDescent="0.3">
      <c r="E1213" s="80"/>
      <c r="I1213" s="80"/>
      <c r="Q1213" s="91"/>
      <c r="R1213" s="91"/>
    </row>
    <row r="1214" spans="5:18" x14ac:dyDescent="0.3">
      <c r="E1214" s="80"/>
      <c r="I1214" s="80"/>
      <c r="Q1214" s="91"/>
      <c r="R1214" s="91"/>
    </row>
    <row r="1215" spans="5:18" x14ac:dyDescent="0.3">
      <c r="E1215" s="80"/>
      <c r="I1215" s="80"/>
      <c r="Q1215" s="91"/>
      <c r="R1215" s="91"/>
    </row>
    <row r="1216" spans="5:18" x14ac:dyDescent="0.3">
      <c r="E1216" s="80"/>
      <c r="I1216" s="80"/>
      <c r="Q1216" s="91"/>
      <c r="R1216" s="91"/>
    </row>
    <row r="1217" spans="5:18" x14ac:dyDescent="0.3">
      <c r="E1217" s="80"/>
      <c r="I1217" s="80"/>
      <c r="Q1217" s="91"/>
      <c r="R1217" s="91"/>
    </row>
    <row r="1218" spans="5:18" x14ac:dyDescent="0.3">
      <c r="E1218" s="80"/>
      <c r="I1218" s="80"/>
      <c r="Q1218" s="91"/>
      <c r="R1218" s="91"/>
    </row>
    <row r="1219" spans="5:18" x14ac:dyDescent="0.3">
      <c r="E1219" s="80"/>
      <c r="I1219" s="80"/>
      <c r="Q1219" s="91"/>
      <c r="R1219" s="91"/>
    </row>
    <row r="1220" spans="5:18" x14ac:dyDescent="0.3">
      <c r="E1220" s="80"/>
      <c r="I1220" s="80"/>
      <c r="Q1220" s="91"/>
      <c r="R1220" s="91"/>
    </row>
    <row r="1221" spans="5:18" x14ac:dyDescent="0.3">
      <c r="E1221" s="80"/>
      <c r="I1221" s="80"/>
      <c r="Q1221" s="91"/>
      <c r="R1221" s="91"/>
    </row>
    <row r="1222" spans="5:18" x14ac:dyDescent="0.3">
      <c r="E1222" s="80"/>
      <c r="I1222" s="80"/>
      <c r="Q1222" s="91"/>
      <c r="R1222" s="91"/>
    </row>
    <row r="1223" spans="5:18" x14ac:dyDescent="0.3">
      <c r="E1223" s="80"/>
      <c r="I1223" s="80"/>
      <c r="Q1223" s="91"/>
      <c r="R1223" s="91"/>
    </row>
    <row r="1224" spans="5:18" x14ac:dyDescent="0.3">
      <c r="E1224" s="80"/>
      <c r="I1224" s="80"/>
      <c r="Q1224" s="91"/>
      <c r="R1224" s="91"/>
    </row>
    <row r="1225" spans="5:18" x14ac:dyDescent="0.3">
      <c r="E1225" s="80"/>
      <c r="I1225" s="80"/>
      <c r="Q1225" s="91"/>
      <c r="R1225" s="91"/>
    </row>
    <row r="1226" spans="5:18" x14ac:dyDescent="0.3">
      <c r="E1226" s="80"/>
      <c r="I1226" s="80"/>
      <c r="Q1226" s="91"/>
      <c r="R1226" s="91"/>
    </row>
    <row r="1227" spans="5:18" x14ac:dyDescent="0.3">
      <c r="E1227" s="80"/>
      <c r="I1227" s="80"/>
      <c r="Q1227" s="91"/>
      <c r="R1227" s="91"/>
    </row>
    <row r="1228" spans="5:18" x14ac:dyDescent="0.3">
      <c r="E1228" s="80"/>
      <c r="I1228" s="80"/>
      <c r="Q1228" s="91"/>
      <c r="R1228" s="91"/>
    </row>
    <row r="1229" spans="5:18" x14ac:dyDescent="0.3">
      <c r="E1229" s="80"/>
      <c r="I1229" s="80"/>
      <c r="Q1229" s="91"/>
      <c r="R1229" s="91"/>
    </row>
    <row r="1230" spans="5:18" x14ac:dyDescent="0.3">
      <c r="E1230" s="80"/>
      <c r="I1230" s="80"/>
      <c r="Q1230" s="91"/>
      <c r="R1230" s="91"/>
    </row>
    <row r="1231" spans="5:18" x14ac:dyDescent="0.3">
      <c r="E1231" s="80"/>
      <c r="I1231" s="80"/>
      <c r="Q1231" s="91"/>
      <c r="R1231" s="91"/>
    </row>
    <row r="1232" spans="5:18" x14ac:dyDescent="0.3">
      <c r="E1232" s="80"/>
      <c r="I1232" s="80"/>
      <c r="Q1232" s="91"/>
      <c r="R1232" s="91"/>
    </row>
    <row r="1233" spans="5:18" x14ac:dyDescent="0.3">
      <c r="E1233" s="80"/>
      <c r="I1233" s="80"/>
      <c r="Q1233" s="91"/>
      <c r="R1233" s="91"/>
    </row>
    <row r="1234" spans="5:18" x14ac:dyDescent="0.3">
      <c r="E1234" s="80"/>
      <c r="I1234" s="80"/>
      <c r="Q1234" s="91"/>
      <c r="R1234" s="91"/>
    </row>
    <row r="1235" spans="5:18" x14ac:dyDescent="0.3">
      <c r="E1235" s="80"/>
      <c r="I1235" s="80"/>
      <c r="Q1235" s="91"/>
      <c r="R1235" s="91"/>
    </row>
    <row r="1236" spans="5:18" x14ac:dyDescent="0.3">
      <c r="E1236" s="80"/>
      <c r="I1236" s="80"/>
      <c r="Q1236" s="91"/>
      <c r="R1236" s="91"/>
    </row>
    <row r="1237" spans="5:18" x14ac:dyDescent="0.3">
      <c r="E1237" s="80"/>
      <c r="I1237" s="80"/>
      <c r="Q1237" s="91"/>
      <c r="R1237" s="91"/>
    </row>
    <row r="1238" spans="5:18" x14ac:dyDescent="0.3">
      <c r="E1238" s="80"/>
      <c r="I1238" s="80"/>
      <c r="Q1238" s="91"/>
      <c r="R1238" s="91"/>
    </row>
    <row r="1239" spans="5:18" x14ac:dyDescent="0.3">
      <c r="E1239" s="80"/>
      <c r="I1239" s="80"/>
      <c r="Q1239" s="91"/>
      <c r="R1239" s="91"/>
    </row>
    <row r="1240" spans="5:18" x14ac:dyDescent="0.3">
      <c r="E1240" s="80"/>
      <c r="I1240" s="80"/>
      <c r="Q1240" s="91"/>
      <c r="R1240" s="91"/>
    </row>
    <row r="1241" spans="5:18" x14ac:dyDescent="0.3">
      <c r="E1241" s="80"/>
      <c r="I1241" s="80"/>
      <c r="Q1241" s="91"/>
      <c r="R1241" s="91"/>
    </row>
    <row r="1242" spans="5:18" x14ac:dyDescent="0.3">
      <c r="E1242" s="80"/>
      <c r="I1242" s="80"/>
      <c r="Q1242" s="91"/>
      <c r="R1242" s="91"/>
    </row>
    <row r="1243" spans="5:18" x14ac:dyDescent="0.3">
      <c r="E1243" s="80"/>
      <c r="I1243" s="80"/>
      <c r="Q1243" s="91"/>
      <c r="R1243" s="91"/>
    </row>
    <row r="1244" spans="5:18" x14ac:dyDescent="0.3">
      <c r="E1244" s="80"/>
      <c r="I1244" s="80"/>
      <c r="Q1244" s="91"/>
      <c r="R1244" s="91"/>
    </row>
    <row r="1245" spans="5:18" x14ac:dyDescent="0.3">
      <c r="E1245" s="80"/>
      <c r="I1245" s="80"/>
      <c r="Q1245" s="91"/>
      <c r="R1245" s="91"/>
    </row>
    <row r="1246" spans="5:18" x14ac:dyDescent="0.3">
      <c r="E1246" s="80"/>
      <c r="I1246" s="80"/>
      <c r="Q1246" s="91"/>
      <c r="R1246" s="91"/>
    </row>
    <row r="1247" spans="5:18" x14ac:dyDescent="0.3">
      <c r="E1247" s="80"/>
      <c r="I1247" s="80"/>
      <c r="Q1247" s="91"/>
      <c r="R1247" s="91"/>
    </row>
    <row r="1248" spans="5:18" x14ac:dyDescent="0.3">
      <c r="E1248" s="80"/>
      <c r="I1248" s="80"/>
      <c r="Q1248" s="91"/>
      <c r="R1248" s="91"/>
    </row>
    <row r="1249" spans="5:18" x14ac:dyDescent="0.3">
      <c r="E1249" s="80"/>
      <c r="I1249" s="80"/>
      <c r="Q1249" s="91"/>
      <c r="R1249" s="91"/>
    </row>
    <row r="1250" spans="5:18" x14ac:dyDescent="0.3">
      <c r="E1250" s="80"/>
      <c r="I1250" s="80"/>
      <c r="Q1250" s="91"/>
      <c r="R1250" s="91"/>
    </row>
    <row r="1251" spans="5:18" x14ac:dyDescent="0.3">
      <c r="E1251" s="80"/>
      <c r="I1251" s="80"/>
      <c r="Q1251" s="91"/>
      <c r="R1251" s="91"/>
    </row>
    <row r="1252" spans="5:18" x14ac:dyDescent="0.3">
      <c r="E1252" s="80"/>
      <c r="I1252" s="80"/>
      <c r="Q1252" s="91"/>
      <c r="R1252" s="91"/>
    </row>
    <row r="1253" spans="5:18" x14ac:dyDescent="0.3">
      <c r="E1253" s="80"/>
      <c r="I1253" s="80"/>
      <c r="Q1253" s="91"/>
      <c r="R1253" s="91"/>
    </row>
    <row r="1254" spans="5:18" x14ac:dyDescent="0.3">
      <c r="E1254" s="80"/>
      <c r="I1254" s="80"/>
      <c r="Q1254" s="91"/>
      <c r="R1254" s="91"/>
    </row>
    <row r="1255" spans="5:18" x14ac:dyDescent="0.3">
      <c r="E1255" s="80"/>
      <c r="I1255" s="80"/>
      <c r="Q1255" s="91"/>
      <c r="R1255" s="91"/>
    </row>
    <row r="1256" spans="5:18" x14ac:dyDescent="0.3">
      <c r="E1256" s="80"/>
      <c r="I1256" s="80"/>
      <c r="Q1256" s="91"/>
      <c r="R1256" s="91"/>
    </row>
    <row r="1257" spans="5:18" x14ac:dyDescent="0.3">
      <c r="E1257" s="80"/>
      <c r="I1257" s="80"/>
      <c r="Q1257" s="91"/>
      <c r="R1257" s="91"/>
    </row>
    <row r="1258" spans="5:18" x14ac:dyDescent="0.3">
      <c r="E1258" s="80"/>
      <c r="I1258" s="80"/>
      <c r="Q1258" s="91"/>
      <c r="R1258" s="91"/>
    </row>
    <row r="1259" spans="5:18" x14ac:dyDescent="0.3">
      <c r="E1259" s="80"/>
      <c r="I1259" s="80"/>
      <c r="Q1259" s="91"/>
      <c r="R1259" s="91"/>
    </row>
    <row r="1260" spans="5:18" x14ac:dyDescent="0.3">
      <c r="E1260" s="80"/>
      <c r="I1260" s="80"/>
      <c r="Q1260" s="91"/>
      <c r="R1260" s="91"/>
    </row>
    <row r="1261" spans="5:18" x14ac:dyDescent="0.3">
      <c r="E1261" s="80"/>
      <c r="I1261" s="80"/>
      <c r="Q1261" s="91"/>
      <c r="R1261" s="91"/>
    </row>
    <row r="1262" spans="5:18" x14ac:dyDescent="0.3">
      <c r="E1262" s="80"/>
      <c r="I1262" s="80"/>
      <c r="Q1262" s="91"/>
      <c r="R1262" s="91"/>
    </row>
    <row r="1263" spans="5:18" x14ac:dyDescent="0.3">
      <c r="E1263" s="80"/>
      <c r="I1263" s="80"/>
      <c r="Q1263" s="91"/>
      <c r="R1263" s="91"/>
    </row>
    <row r="1264" spans="5:18" x14ac:dyDescent="0.3">
      <c r="E1264" s="80"/>
      <c r="I1264" s="80"/>
      <c r="Q1264" s="91"/>
      <c r="R1264" s="91"/>
    </row>
    <row r="1265" spans="5:18" x14ac:dyDescent="0.3">
      <c r="E1265" s="80"/>
      <c r="I1265" s="80"/>
      <c r="Q1265" s="91"/>
      <c r="R1265" s="91"/>
    </row>
    <row r="1266" spans="5:18" x14ac:dyDescent="0.3">
      <c r="E1266" s="80"/>
      <c r="I1266" s="80"/>
      <c r="Q1266" s="91"/>
      <c r="R1266" s="91"/>
    </row>
    <row r="1267" spans="5:18" x14ac:dyDescent="0.3">
      <c r="E1267" s="80"/>
      <c r="I1267" s="80"/>
      <c r="Q1267" s="91"/>
      <c r="R1267" s="91"/>
    </row>
    <row r="1268" spans="5:18" x14ac:dyDescent="0.3">
      <c r="E1268" s="80"/>
      <c r="I1268" s="80"/>
      <c r="Q1268" s="91"/>
      <c r="R1268" s="91"/>
    </row>
    <row r="1269" spans="5:18" x14ac:dyDescent="0.3">
      <c r="E1269" s="80"/>
      <c r="I1269" s="80"/>
      <c r="Q1269" s="91"/>
      <c r="R1269" s="91"/>
    </row>
    <row r="1270" spans="5:18" x14ac:dyDescent="0.3">
      <c r="E1270" s="80"/>
      <c r="I1270" s="80"/>
      <c r="Q1270" s="91"/>
      <c r="R1270" s="91"/>
    </row>
    <row r="1271" spans="5:18" x14ac:dyDescent="0.3">
      <c r="E1271" s="80"/>
      <c r="I1271" s="80"/>
      <c r="Q1271" s="91"/>
      <c r="R1271" s="91"/>
    </row>
    <row r="1272" spans="5:18" x14ac:dyDescent="0.3">
      <c r="E1272" s="80"/>
      <c r="I1272" s="80"/>
      <c r="Q1272" s="91"/>
      <c r="R1272" s="91"/>
    </row>
    <row r="1273" spans="5:18" x14ac:dyDescent="0.3">
      <c r="E1273" s="80"/>
      <c r="I1273" s="80"/>
      <c r="Q1273" s="91"/>
      <c r="R1273" s="91"/>
    </row>
    <row r="1274" spans="5:18" x14ac:dyDescent="0.3">
      <c r="E1274" s="80"/>
      <c r="I1274" s="80"/>
      <c r="Q1274" s="91"/>
      <c r="R1274" s="91"/>
    </row>
    <row r="1275" spans="5:18" x14ac:dyDescent="0.3">
      <c r="E1275" s="80"/>
      <c r="I1275" s="80"/>
      <c r="Q1275" s="91"/>
      <c r="R1275" s="91"/>
    </row>
    <row r="1276" spans="5:18" x14ac:dyDescent="0.3">
      <c r="E1276" s="80"/>
      <c r="I1276" s="80"/>
      <c r="Q1276" s="91"/>
      <c r="R1276" s="91"/>
    </row>
    <row r="1277" spans="5:18" x14ac:dyDescent="0.3">
      <c r="E1277" s="80"/>
      <c r="I1277" s="80"/>
      <c r="Q1277" s="91"/>
      <c r="R1277" s="91"/>
    </row>
    <row r="1278" spans="5:18" x14ac:dyDescent="0.3">
      <c r="E1278" s="80"/>
      <c r="I1278" s="80"/>
      <c r="Q1278" s="91"/>
      <c r="R1278" s="91"/>
    </row>
    <row r="1279" spans="5:18" x14ac:dyDescent="0.3">
      <c r="E1279" s="80"/>
      <c r="I1279" s="80"/>
      <c r="Q1279" s="91"/>
      <c r="R1279" s="91"/>
    </row>
    <row r="1280" spans="5:18" x14ac:dyDescent="0.3">
      <c r="E1280" s="80"/>
      <c r="I1280" s="80"/>
      <c r="Q1280" s="91"/>
      <c r="R1280" s="91"/>
    </row>
    <row r="1281" spans="5:18" x14ac:dyDescent="0.3">
      <c r="E1281" s="80"/>
      <c r="I1281" s="80"/>
      <c r="Q1281" s="91"/>
      <c r="R1281" s="91"/>
    </row>
    <row r="1282" spans="5:18" x14ac:dyDescent="0.3">
      <c r="E1282" s="80"/>
      <c r="I1282" s="80"/>
      <c r="Q1282" s="91"/>
      <c r="R1282" s="91"/>
    </row>
    <row r="1283" spans="5:18" x14ac:dyDescent="0.3">
      <c r="E1283" s="80"/>
      <c r="I1283" s="80"/>
      <c r="Q1283" s="91"/>
      <c r="R1283" s="91"/>
    </row>
    <row r="1284" spans="5:18" x14ac:dyDescent="0.3">
      <c r="E1284" s="80"/>
      <c r="I1284" s="80"/>
      <c r="Q1284" s="91"/>
      <c r="R1284" s="91"/>
    </row>
    <row r="1285" spans="5:18" x14ac:dyDescent="0.3">
      <c r="E1285" s="80"/>
      <c r="I1285" s="80"/>
      <c r="Q1285" s="91"/>
      <c r="R1285" s="91"/>
    </row>
    <row r="1286" spans="5:18" x14ac:dyDescent="0.3">
      <c r="E1286" s="80"/>
      <c r="I1286" s="80"/>
      <c r="Q1286" s="91"/>
      <c r="R1286" s="91"/>
    </row>
    <row r="1287" spans="5:18" x14ac:dyDescent="0.3">
      <c r="E1287" s="80"/>
      <c r="I1287" s="80"/>
      <c r="Q1287" s="91"/>
      <c r="R1287" s="91"/>
    </row>
    <row r="1288" spans="5:18" x14ac:dyDescent="0.3">
      <c r="E1288" s="80"/>
      <c r="I1288" s="80"/>
      <c r="Q1288" s="91"/>
      <c r="R1288" s="91"/>
    </row>
    <row r="1289" spans="5:18" x14ac:dyDescent="0.3">
      <c r="E1289" s="80"/>
      <c r="I1289" s="80"/>
      <c r="Q1289" s="91"/>
      <c r="R1289" s="91"/>
    </row>
    <row r="1290" spans="5:18" x14ac:dyDescent="0.3">
      <c r="E1290" s="80"/>
      <c r="I1290" s="80"/>
      <c r="Q1290" s="91"/>
      <c r="R1290" s="91"/>
    </row>
    <row r="1291" spans="5:18" x14ac:dyDescent="0.3">
      <c r="E1291" s="80"/>
      <c r="I1291" s="80"/>
      <c r="Q1291" s="91"/>
      <c r="R1291" s="91"/>
    </row>
    <row r="1292" spans="5:18" x14ac:dyDescent="0.3">
      <c r="E1292" s="80"/>
      <c r="I1292" s="80"/>
      <c r="Q1292" s="91"/>
      <c r="R1292" s="91"/>
    </row>
    <row r="1293" spans="5:18" x14ac:dyDescent="0.3">
      <c r="E1293" s="80"/>
      <c r="I1293" s="80"/>
      <c r="Q1293" s="91"/>
      <c r="R1293" s="91"/>
    </row>
    <row r="1294" spans="5:18" x14ac:dyDescent="0.3">
      <c r="E1294" s="80"/>
      <c r="I1294" s="80"/>
      <c r="Q1294" s="91"/>
      <c r="R1294" s="91"/>
    </row>
    <row r="1295" spans="5:18" x14ac:dyDescent="0.3">
      <c r="E1295" s="80"/>
      <c r="I1295" s="80"/>
      <c r="Q1295" s="91"/>
      <c r="R1295" s="91"/>
    </row>
    <row r="1296" spans="5:18" x14ac:dyDescent="0.3">
      <c r="E1296" s="80"/>
      <c r="I1296" s="80"/>
      <c r="Q1296" s="91"/>
      <c r="R1296" s="91"/>
    </row>
    <row r="1297" spans="5:18" x14ac:dyDescent="0.3">
      <c r="E1297" s="80"/>
      <c r="I1297" s="80"/>
      <c r="Q1297" s="91"/>
      <c r="R1297" s="91"/>
    </row>
    <row r="1298" spans="5:18" x14ac:dyDescent="0.3">
      <c r="E1298" s="80"/>
      <c r="I1298" s="80"/>
      <c r="Q1298" s="91"/>
      <c r="R1298" s="91"/>
    </row>
    <row r="1299" spans="5:18" x14ac:dyDescent="0.3">
      <c r="E1299" s="80"/>
      <c r="I1299" s="80"/>
      <c r="Q1299" s="91"/>
      <c r="R1299" s="91"/>
    </row>
    <row r="1300" spans="5:18" x14ac:dyDescent="0.3">
      <c r="E1300" s="80"/>
      <c r="I1300" s="80"/>
      <c r="Q1300" s="91"/>
      <c r="R1300" s="91"/>
    </row>
    <row r="1301" spans="5:18" x14ac:dyDescent="0.3">
      <c r="E1301" s="80"/>
      <c r="I1301" s="80"/>
      <c r="Q1301" s="91"/>
      <c r="R1301" s="91"/>
    </row>
    <row r="1302" spans="5:18" x14ac:dyDescent="0.3">
      <c r="E1302" s="80"/>
      <c r="I1302" s="80"/>
      <c r="Q1302" s="91"/>
      <c r="R1302" s="91"/>
    </row>
    <row r="1303" spans="5:18" x14ac:dyDescent="0.3">
      <c r="E1303" s="80"/>
      <c r="I1303" s="80"/>
      <c r="Q1303" s="91"/>
      <c r="R1303" s="91"/>
    </row>
    <row r="1304" spans="5:18" x14ac:dyDescent="0.3">
      <c r="E1304" s="80"/>
      <c r="I1304" s="80"/>
      <c r="Q1304" s="91"/>
      <c r="R1304" s="91"/>
    </row>
    <row r="1305" spans="5:18" x14ac:dyDescent="0.3">
      <c r="E1305" s="80"/>
      <c r="I1305" s="80"/>
      <c r="Q1305" s="91"/>
      <c r="R1305" s="91"/>
    </row>
    <row r="1306" spans="5:18" x14ac:dyDescent="0.3">
      <c r="E1306" s="80"/>
      <c r="I1306" s="80"/>
      <c r="Q1306" s="91"/>
      <c r="R1306" s="91"/>
    </row>
    <row r="1307" spans="5:18" x14ac:dyDescent="0.3">
      <c r="E1307" s="80"/>
      <c r="I1307" s="80"/>
      <c r="Q1307" s="91"/>
      <c r="R1307" s="91"/>
    </row>
    <row r="1308" spans="5:18" x14ac:dyDescent="0.3">
      <c r="E1308" s="80"/>
      <c r="I1308" s="80"/>
      <c r="Q1308" s="91"/>
      <c r="R1308" s="91"/>
    </row>
    <row r="1309" spans="5:18" x14ac:dyDescent="0.3">
      <c r="E1309" s="80"/>
      <c r="I1309" s="80"/>
      <c r="Q1309" s="91"/>
      <c r="R1309" s="91"/>
    </row>
    <row r="1310" spans="5:18" x14ac:dyDescent="0.3">
      <c r="E1310" s="80"/>
      <c r="I1310" s="80"/>
      <c r="Q1310" s="91"/>
      <c r="R1310" s="91"/>
    </row>
    <row r="1311" spans="5:18" x14ac:dyDescent="0.3">
      <c r="E1311" s="80"/>
      <c r="I1311" s="80"/>
      <c r="Q1311" s="91"/>
      <c r="R1311" s="91"/>
    </row>
    <row r="1312" spans="5:18" x14ac:dyDescent="0.3">
      <c r="E1312" s="80"/>
      <c r="I1312" s="80"/>
      <c r="Q1312" s="91"/>
      <c r="R1312" s="91"/>
    </row>
    <row r="1313" spans="1:18" x14ac:dyDescent="0.3">
      <c r="E1313" s="80"/>
      <c r="I1313" s="80"/>
      <c r="Q1313" s="91"/>
      <c r="R1313" s="91"/>
    </row>
    <row r="1314" spans="1:18" x14ac:dyDescent="0.3">
      <c r="E1314" s="80"/>
      <c r="I1314" s="80"/>
      <c r="Q1314" s="91"/>
      <c r="R1314" s="91"/>
    </row>
    <row r="1315" spans="1:18" x14ac:dyDescent="0.3">
      <c r="E1315" s="80"/>
      <c r="I1315" s="80"/>
      <c r="Q1315" s="91"/>
      <c r="R1315" s="91"/>
    </row>
    <row r="1316" spans="1:18" x14ac:dyDescent="0.3">
      <c r="E1316" s="80"/>
      <c r="I1316" s="80"/>
      <c r="Q1316" s="91"/>
      <c r="R1316" s="91"/>
    </row>
    <row r="1317" spans="1:18" x14ac:dyDescent="0.3">
      <c r="E1317" s="80"/>
      <c r="I1317" s="80"/>
      <c r="Q1317" s="91"/>
      <c r="R1317" s="91"/>
    </row>
    <row r="1318" spans="1:18" x14ac:dyDescent="0.3">
      <c r="E1318" s="80"/>
      <c r="I1318" s="80"/>
      <c r="Q1318" s="91"/>
      <c r="R1318" s="91"/>
    </row>
    <row r="1319" spans="1:18" x14ac:dyDescent="0.3">
      <c r="E1319" s="80"/>
      <c r="I1319" s="80"/>
      <c r="Q1319" s="91"/>
      <c r="R1319" s="91"/>
    </row>
    <row r="1320" spans="1:18" x14ac:dyDescent="0.3">
      <c r="E1320" s="80"/>
      <c r="I1320" s="80"/>
      <c r="Q1320" s="91"/>
      <c r="R1320" s="91"/>
    </row>
    <row r="1321" spans="1:18" x14ac:dyDescent="0.3">
      <c r="E1321" s="80"/>
      <c r="I1321" s="80"/>
      <c r="Q1321" s="91"/>
      <c r="R1321" s="91"/>
    </row>
    <row r="1322" spans="1:18" x14ac:dyDescent="0.3">
      <c r="E1322" s="80"/>
      <c r="I1322" s="80"/>
      <c r="Q1322" s="91"/>
      <c r="R1322" s="91"/>
    </row>
    <row r="1323" spans="1:18" x14ac:dyDescent="0.3">
      <c r="E1323" s="80"/>
      <c r="I1323" s="80"/>
      <c r="Q1323" s="91"/>
      <c r="R1323" s="91"/>
    </row>
    <row r="1324" spans="1:18" x14ac:dyDescent="0.3">
      <c r="E1324" s="80"/>
      <c r="I1324" s="80"/>
      <c r="Q1324" s="91"/>
      <c r="R1324" s="91"/>
    </row>
    <row r="1325" spans="1:18" x14ac:dyDescent="0.3">
      <c r="A1325" s="45"/>
      <c r="C1325" s="46"/>
      <c r="E1325" s="81"/>
      <c r="H1325" s="46"/>
      <c r="I1325" s="81"/>
      <c r="K1325" s="47"/>
      <c r="M1325" s="58"/>
      <c r="N1325" s="75"/>
      <c r="O1325" s="75"/>
      <c r="Q1325" s="91"/>
      <c r="R1325" s="91"/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C2:C893 C1149</xm:sqref>
        </x14:dataValidation>
        <x14:dataValidation type="list" allowBlank="1" xr:uid="{DC8BA3D2-F104-4639-8653-545CA2BBE131}">
          <x14:formula1>
            <xm:f>Listas!$E$2:$E$52</xm:f>
          </x14:formula1>
          <xm:sqref>G2:G1325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F2:F1325</xm:sqref>
        </x14:dataValidation>
        <x14:dataValidation type="list" allowBlank="1" xr:uid="{85D4A43C-7FC0-464F-8A3B-0DEFAC9C7724}">
          <x14:formula1>
            <xm:f>Listas!$A$2:$A$60</xm:f>
          </x14:formula1>
          <xm:sqref>C894:C1148 C1150:C1169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18</v>
      </c>
      <c r="C2" s="35">
        <f>SUMIF('Saldos Iniciales'!B:B,"*"&amp;A2&amp;"*",'Saldos Iniciales'!D:D)</f>
        <v>660194.87999999989</v>
      </c>
      <c r="D2" s="35">
        <f>SUMIF(tblMovimientos[Banco],"*"&amp;A2&amp;"*",tblMovimientos[Monto con signo])</f>
        <v>891000.76000000141</v>
      </c>
      <c r="E2" s="37">
        <f>C2+D2</f>
        <v>1551195.6400000013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3783081.0800000066</v>
      </c>
      <c r="E3" s="37">
        <f t="shared" ref="E3:E9" si="0">C3+D3</f>
        <v>5402107.1400000062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S2" activePane="bottomRight" state="frozen"/>
      <selection pane="topRight" activeCell="C1" sqref="C1"/>
      <selection pane="bottomLeft" activeCell="A5" sqref="A5"/>
      <selection pane="bottomRight" activeCell="C32" sqref="C32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SUMIFS(Movimientos!$J$1:$J$1325,Movimientos!$C$1:$C$1325,$B2,Movimientos!$D$1:$D$1325,$C2,Movimientos!$L$1:$L$1325,A$3,Movimientos!$F$1:$F$1325,"Ingreso")</f>
        <v>490932.83999999997</v>
      </c>
      <c r="K2" s="44">
        <f>SUMIFS(Movimientos!$J$1:$J$1325,Movimientos!$C$1:$C$1325,$B2,Movimientos!$D$1:$D$1325,$C2,Movimientos!$L$1:$L$1325,A$3,Movimientos!$F$1:$F$1325,"Egreso")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SUMIFS(Movimientos!$J$1:$J$1325,Movimientos!$C$1:$C$1325,$B2,Movimientos!$D$1:$D$1325,$C2,Movimientos!$L$1:$L$1325,A$4,Movimientos!$F$1:$F$1325,"Ingreso")</f>
        <v>215870.71999999997</v>
      </c>
      <c r="P2" s="44">
        <f>SUMIFS(Movimientos!$J$1:$J$1325,Movimientos!$C$1:$C$1325,$B2,Movimientos!$D$1:$D$1325,$C2,Movimientos!$L$1:$L$1325,A$4,Movimientos!$F$1:$F$1325,"Egreso")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SUMIFS(Movimientos!$J$1:$J$1325,Movimientos!$C$1:$C$1325,$B2,Movimientos!$D$1:$D$1325,$C2,Movimientos!$L$1:$L$1325,A$5,Movimientos!$F$1:$F$1325,"Ingreso")</f>
        <v>555995.58000000007</v>
      </c>
      <c r="U2" s="44">
        <f>SUMIFS(Movimientos!$J$1:$J$1325,Movimientos!$C$1:$C$1325,$B2,Movimientos!$D$1:$D$1325,$C2,Movimientos!$L$1:$L$1325,A$5,Movimientos!$F$1:$F$1325,"Egreso")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SUMIFS(Movimientos!$J$1:$J$1325,Movimientos!$C$1:$C$1325,$B2,Movimientos!$D$1:$D$1325,$C2,Movimientos!$L$1:$L$1325,A$6,Movimientos!$F$1:$F$1325,"Ingreso")</f>
        <v>432537.32</v>
      </c>
      <c r="Z2" s="44">
        <f>SUMIFS(Movimientos!$J$1:$J$1325,Movimientos!$C$1:$C$1325,$B2,Movimientos!$D$1:$D$1325,$C2,Movimientos!$L$1:$L$1325,A$6,Movimientos!$F$1:$F$1325,"Egreso")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SUMIFS(Movimientos!$J$1:$J$1325,Movimientos!$C$1:$C$1325,$B3,Movimientos!$D$1:$D$1325,$C3,Movimientos!$L$1:$L$1325,A$3,Movimientos!$F$1:$F$1325,"Ingreso")</f>
        <v>8947382.8399999999</v>
      </c>
      <c r="K3" s="44">
        <f>SUMIFS(Movimientos!$J$1:$J$1325,Movimientos!$C$1:$C$1325,$B3,Movimientos!$D$1:$D$1325,$C3,Movimientos!$L$1:$L$1325,A$3,Movimientos!$F$1:$F$1325,"Egreso")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SUMIFS(Movimientos!$J$1:$J$1325,Movimientos!$C$1:$C$1325,$B3,Movimientos!$D$1:$D$1325,$C3,Movimientos!$L$1:$L$1325,A$4,Movimientos!$F$1:$F$1325,"Ingreso")</f>
        <v>250000</v>
      </c>
      <c r="P3" s="44">
        <f>SUMIFS(Movimientos!$J$1:$J$1325,Movimientos!$C$1:$C$1325,$B3,Movimientos!$D$1:$D$1325,$C3,Movimientos!$L$1:$L$1325,A$4,Movimientos!$F$1:$F$1325,"Egreso")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SUMIFS(Movimientos!$J$1:$J$1325,Movimientos!$C$1:$C$1325,$B3,Movimientos!$D$1:$D$1325,$C3,Movimientos!$L$1:$L$1325,A$5,Movimientos!$F$1:$F$1325,"Ingreso")</f>
        <v>910061.42999999993</v>
      </c>
      <c r="U3" s="44">
        <f>SUMIFS(Movimientos!$J$1:$J$1325,Movimientos!$C$1:$C$1325,$B3,Movimientos!$D$1:$D$1325,$C3,Movimientos!$L$1:$L$1325,A$5,Movimientos!$F$1:$F$1325,"Egreso")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SUMIFS(Movimientos!$J$1:$J$1325,Movimientos!$C$1:$C$1325,$B3,Movimientos!$D$1:$D$1325,$C3,Movimientos!$L$1:$L$1325,A$6,Movimientos!$F$1:$F$1325,"Ingreso")</f>
        <v>2658155.37</v>
      </c>
      <c r="Z3" s="44">
        <f>SUMIFS(Movimientos!$J$1:$J$1325,Movimientos!$C$1:$C$1325,$B3,Movimientos!$D$1:$D$1325,$C3,Movimientos!$L$1:$L$1325,A$6,Movimientos!$F$1:$F$1325,"Egreso")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SUMIFS(Movimientos!$J$1:$J$1325,Movimientos!$C$1:$C$1325,$B4,Movimientos!$D$1:$D$1325,$C4,Movimientos!$L$1:$L$1325,A$3,Movimientos!$F$1:$F$1325,"Ingreso")</f>
        <v>0</v>
      </c>
      <c r="K4" s="44">
        <f>SUMIFS(Movimientos!$J$1:$J$1325,Movimientos!$C$1:$C$1325,$B4,Movimientos!$D$1:$D$1325,$C4,Movimientos!$L$1:$L$1325,A$3,Movimientos!$F$1:$F$1325,"Egreso")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SUMIFS(Movimientos!$J$1:$J$1325,Movimientos!$C$1:$C$1325,$B4,Movimientos!$D$1:$D$1325,$C4,Movimientos!$L$1:$L$1325,A$4,Movimientos!$F$1:$F$1325,"Ingreso")</f>
        <v>0</v>
      </c>
      <c r="P4" s="44">
        <f>SUMIFS(Movimientos!$J$1:$J$1325,Movimientos!$C$1:$C$1325,$B4,Movimientos!$D$1:$D$1325,$C4,Movimientos!$L$1:$L$1325,A$4,Movimientos!$F$1:$F$1325,"Egreso")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SUMIFS(Movimientos!$J$1:$J$1325,Movimientos!$C$1:$C$1325,$B4,Movimientos!$D$1:$D$1325,$C4,Movimientos!$L$1:$L$1325,A$5,Movimientos!$F$1:$F$1325,"Ingreso")</f>
        <v>0</v>
      </c>
      <c r="U4" s="44">
        <f>SUMIFS(Movimientos!$J$1:$J$1325,Movimientos!$C$1:$C$1325,$B4,Movimientos!$D$1:$D$1325,$C4,Movimientos!$L$1:$L$1325,A$5,Movimientos!$F$1:$F$1325,"Egreso")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SUMIFS(Movimientos!$J$1:$J$1325,Movimientos!$C$1:$C$1325,$B4,Movimientos!$D$1:$D$1325,$C4,Movimientos!$L$1:$L$1325,A$6,Movimientos!$F$1:$F$1325,"Ingreso")</f>
        <v>0</v>
      </c>
      <c r="Z4" s="44">
        <f>SUMIFS(Movimientos!$J$1:$J$1325,Movimientos!$C$1:$C$1325,$B4,Movimientos!$D$1:$D$1325,$C4,Movimientos!$L$1:$L$1325,A$6,Movimientos!$F$1:$F$1325,"Egreso")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SUMIFS(Movimientos!$J$1:$J$1325,Movimientos!$C$1:$C$1325,$B5,Movimientos!$D$1:$D$1325,$C5,Movimientos!$L$1:$L$1325,A$3,Movimientos!$F$1:$F$1325,"Ingreso")</f>
        <v>16742.400000000001</v>
      </c>
      <c r="K5" s="44">
        <f>SUMIFS(Movimientos!$J$1:$J$1325,Movimientos!$C$1:$C$1325,$B5,Movimientos!$D$1:$D$1325,$C5,Movimientos!$L$1:$L$1325,A$3,Movimientos!$F$1:$F$1325,"Egreso")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SUMIFS(Movimientos!$J$1:$J$1325,Movimientos!$C$1:$C$1325,$B5,Movimientos!$D$1:$D$1325,$C5,Movimientos!$L$1:$L$1325,A$4,Movimientos!$F$1:$F$1325,"Ingreso")</f>
        <v>10053.57</v>
      </c>
      <c r="P5" s="44">
        <f>SUMIFS(Movimientos!$J$1:$J$1325,Movimientos!$C$1:$C$1325,$B5,Movimientos!$D$1:$D$1325,$C5,Movimientos!$L$1:$L$1325,A$4,Movimientos!$F$1:$F$1325,"Egreso")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SUMIFS(Movimientos!$J$1:$J$1325,Movimientos!$C$1:$C$1325,$B5,Movimientos!$D$1:$D$1325,$C5,Movimientos!$L$1:$L$1325,A$5,Movimientos!$F$1:$F$1325,"Ingreso")</f>
        <v>10068.98</v>
      </c>
      <c r="U5" s="44">
        <f>SUMIFS(Movimientos!$J$1:$J$1325,Movimientos!$C$1:$C$1325,$B5,Movimientos!$D$1:$D$1325,$C5,Movimientos!$L$1:$L$1325,A$5,Movimientos!$F$1:$F$1325,"Egreso")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SUMIFS(Movimientos!$J$1:$J$1325,Movimientos!$C$1:$C$1325,$B5,Movimientos!$D$1:$D$1325,$C5,Movimientos!$L$1:$L$1325,A$6,Movimientos!$F$1:$F$1325,"Ingreso")</f>
        <v>9843.36</v>
      </c>
      <c r="Z5" s="44">
        <f>SUMIFS(Movimientos!$J$1:$J$1325,Movimientos!$C$1:$C$1325,$B5,Movimientos!$D$1:$D$1325,$C5,Movimientos!$L$1:$L$1325,A$6,Movimientos!$F$1:$F$1325,"Egreso")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SUMIFS(Movimientos!$J$1:$J$1325,Movimientos!$C$1:$C$1325,$B6,Movimientos!$D$1:$D$1325,$C6,Movimientos!$L$1:$L$1325,A$3,Movimientos!$F$1:$F$1325,"Ingreso")</f>
        <v>0</v>
      </c>
      <c r="K6" s="44">
        <f>SUMIFS(Movimientos!$J$1:$J$1325,Movimientos!$C$1:$C$1325,$B6,Movimientos!$D$1:$D$1325,$C6,Movimientos!$L$1:$L$1325,A$3,Movimientos!$F$1:$F$1325,"Egreso")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SUMIFS(Movimientos!$J$1:$J$1325,Movimientos!$C$1:$C$1325,$B6,Movimientos!$D$1:$D$1325,$C6,Movimientos!$L$1:$L$1325,A$4,Movimientos!$F$1:$F$1325,"Ingreso")</f>
        <v>0</v>
      </c>
      <c r="P6" s="44">
        <f>SUMIFS(Movimientos!$J$1:$J$1325,Movimientos!$C$1:$C$1325,$B6,Movimientos!$D$1:$D$1325,$C6,Movimientos!$L$1:$L$1325,A$4,Movimientos!$F$1:$F$1325,"Egreso")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SUMIFS(Movimientos!$J$1:$J$1325,Movimientos!$C$1:$C$1325,$B6,Movimientos!$D$1:$D$1325,$C6,Movimientos!$L$1:$L$1325,A$5,Movimientos!$F$1:$F$1325,"Ingreso")</f>
        <v>0</v>
      </c>
      <c r="U6" s="44">
        <f>SUMIFS(Movimientos!$J$1:$J$1325,Movimientos!$C$1:$C$1325,$B6,Movimientos!$D$1:$D$1325,$C6,Movimientos!$L$1:$L$1325,A$5,Movimientos!$F$1:$F$1325,"Egreso")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SUMIFS(Movimientos!$J$1:$J$1325,Movimientos!$C$1:$C$1325,$B6,Movimientos!$D$1:$D$1325,$C6,Movimientos!$L$1:$L$1325,A$6,Movimientos!$F$1:$F$1325,"Ingreso")</f>
        <v>0</v>
      </c>
      <c r="Z6" s="44">
        <f>SUMIFS(Movimientos!$J$1:$J$1325,Movimientos!$C$1:$C$1325,$B6,Movimientos!$D$1:$D$1325,$C6,Movimientos!$L$1:$L$1325,A$6,Movimientos!$F$1:$F$1325,"Egreso")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SUMIFS(Movimientos!$J$1:$J$1325,Movimientos!$C$1:$C$1325,$B7,Movimientos!$D$1:$D$1325,$C7,Movimientos!$L$1:$L$1325,A$3,Movimientos!$F$1:$F$1325,"Ingreso")</f>
        <v>0</v>
      </c>
      <c r="K7" s="44">
        <f>SUMIFS(Movimientos!$J$1:$J$1325,Movimientos!$C$1:$C$1325,$B7,Movimientos!$D$1:$D$1325,$C7,Movimientos!$L$1:$L$1325,A$3,Movimientos!$F$1:$F$1325,"Egreso")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SUMIFS(Movimientos!$J$1:$J$1325,Movimientos!$C$1:$C$1325,$B7,Movimientos!$D$1:$D$1325,$C7,Movimientos!$L$1:$L$1325,A$4,Movimientos!$F$1:$F$1325,"Ingreso")</f>
        <v>0</v>
      </c>
      <c r="P7" s="44">
        <f>SUMIFS(Movimientos!$J$1:$J$1325,Movimientos!$C$1:$C$1325,$B7,Movimientos!$D$1:$D$1325,$C7,Movimientos!$L$1:$L$1325,A$4,Movimientos!$F$1:$F$1325,"Egreso")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SUMIFS(Movimientos!$J$1:$J$1325,Movimientos!$C$1:$C$1325,$B7,Movimientos!$D$1:$D$1325,$C7,Movimientos!$L$1:$L$1325,A$5,Movimientos!$F$1:$F$1325,"Ingreso")</f>
        <v>0</v>
      </c>
      <c r="U7" s="44">
        <f>SUMIFS(Movimientos!$J$1:$J$1325,Movimientos!$C$1:$C$1325,$B7,Movimientos!$D$1:$D$1325,$C7,Movimientos!$L$1:$L$1325,A$5,Movimientos!$F$1:$F$1325,"Egreso")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SUMIFS(Movimientos!$J$1:$J$1325,Movimientos!$C$1:$C$1325,$B7,Movimientos!$D$1:$D$1325,$C7,Movimientos!$L$1:$L$1325,A$6,Movimientos!$F$1:$F$1325,"Ingreso")</f>
        <v>0</v>
      </c>
      <c r="Z7" s="44">
        <f>SUMIFS(Movimientos!$J$1:$J$1325,Movimientos!$C$1:$C$1325,$B7,Movimientos!$D$1:$D$1325,$C7,Movimientos!$L$1:$L$1325,F$5,Movimientos!$F$1:$F$1325,"Egreso")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SUMIFS(Movimientos!$J$1:$J$1325,Movimientos!$C$1:$C$1325,$B8,Movimientos!$D$1:$D$1325,$C8,Movimientos!$L$1:$L$1325,A$3,Movimientos!$F$1:$F$1325,"Ingreso")</f>
        <v>440602.39</v>
      </c>
      <c r="K8" s="44">
        <f>SUMIFS(Movimientos!$J$1:$J$1325,Movimientos!$C$1:$C$1325,$B8,Movimientos!$D$1:$D$1325,$C8,Movimientos!$L$1:$L$1325,A$3,Movimientos!$F$1:$F$1325,"Egreso")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SUMIFS(Movimientos!$J$1:$J$1325,Movimientos!$C$1:$C$1325,$B8,Movimientos!$D$1:$D$1325,$C8,Movimientos!$L$1:$L$1325,A$4,Movimientos!$F$1:$F$1325,"Ingreso")</f>
        <v>1306812.04</v>
      </c>
      <c r="P8" s="44">
        <f>SUMIFS(Movimientos!$J$1:$J$1325,Movimientos!$C$1:$C$1325,$B8,Movimientos!$D$1:$D$1325,$C8,Movimientos!$L$1:$L$1325,A$4,Movimientos!$F$1:$F$1325,"Egreso")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SUMIFS(Movimientos!$J$1:$J$1325,Movimientos!$C$1:$C$1325,$B8,Movimientos!$D$1:$D$1325,$C8,Movimientos!$L$1:$L$1325,A$5,Movimientos!$F$1:$F$1325,"Ingreso")</f>
        <v>250866.9</v>
      </c>
      <c r="U8" s="44">
        <f>SUMIFS(Movimientos!$J$1:$J$1325,Movimientos!$C$1:$C$1325,$B8,Movimientos!$D$1:$D$1325,$C8,Movimientos!$L$1:$L$1325,A$5,Movimientos!$F$1:$F$1325,"Egreso")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SUMIFS(Movimientos!$J$1:$J$1325,Movimientos!$C$1:$C$1325,$B8,Movimientos!$D$1:$D$1325,$C8,Movimientos!$L$1:$L$1325,A$6,Movimientos!$F$1:$F$1325,"Ingreso")</f>
        <v>542761.79999999993</v>
      </c>
      <c r="Z8" s="44">
        <f>SUMIFS(Movimientos!$J$1:$J$1325,Movimientos!$C$1:$C$1325,$B8,Movimientos!$D$1:$D$1325,$C8,Movimientos!$L$1:$L$1325,F$5,Movimientos!$F$1:$F$1325,"Egreso")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SUMIFS(Movimientos!$J$1:$J$1325,Movimientos!$C$1:$C$1325,$B9,Movimientos!$D$1:$D$1325,$C9,Movimientos!$L$1:$L$1325,A$3,Movimientos!$F$1:$F$1325,"Ingreso")</f>
        <v>15307.88</v>
      </c>
      <c r="K9" s="44">
        <f>SUMIFS(Movimientos!$J$1:$J$1325,Movimientos!$C$1:$C$1325,$B9,Movimientos!$D$1:$D$1325,$C9,Movimientos!$L$1:$L$1325,A$3,Movimientos!$F$1:$F$1325,"Egreso")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SUMIFS(Movimientos!$J$1:$J$1325,Movimientos!$C$1:$C$1325,$B9,Movimientos!$D$1:$D$1325,$C9,Movimientos!$L$1:$L$1325,A$4,Movimientos!$F$1:$F$1325,"Ingreso")</f>
        <v>15280.15</v>
      </c>
      <c r="P9" s="44">
        <f>SUMIFS(Movimientos!$J$1:$J$1325,Movimientos!$C$1:$C$1325,$B9,Movimientos!$D$1:$D$1325,$C9,Movimientos!$L$1:$L$1325,A$4,Movimientos!$F$1:$F$1325,"Egreso")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SUMIFS(Movimientos!$J$1:$J$1325,Movimientos!$C$1:$C$1325,$B9,Movimientos!$D$1:$D$1325,$C9,Movimientos!$L$1:$L$1325,A$5,Movimientos!$F$1:$F$1325,"Ingreso")</f>
        <v>35280.15</v>
      </c>
      <c r="U9" s="44">
        <f>SUMIFS(Movimientos!$J$1:$J$1325,Movimientos!$C$1:$C$1325,$B9,Movimientos!$D$1:$D$1325,$C9,Movimientos!$L$1:$L$1325,A$5,Movimientos!$F$1:$F$1325,"Egreso")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SUMIFS(Movimientos!$J$1:$J$1325,Movimientos!$C$1:$C$1325,$B9,Movimientos!$D$1:$D$1325,$C9,Movimientos!$L$1:$L$1325,A$6,Movimientos!$F$1:$F$1325,"Ingreso")</f>
        <v>15266.29</v>
      </c>
      <c r="Z9" s="44">
        <f>SUMIFS(Movimientos!$J$1:$J$1325,Movimientos!$C$1:$C$1325,$B9,Movimientos!$D$1:$D$1325,$C9,Movimientos!$L$1:$L$1325,F$5,Movimientos!$F$1:$F$1325,"Egreso")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SUMIFS(Movimientos!$J$1:$J$1325,Movimientos!$C$1:$C$1325,$B10,Movimientos!$D$1:$D$1325,$C10,Movimientos!$L$1:$L$1325,A$3,Movimientos!$F$1:$F$1325,"Ingreso")</f>
        <v>0</v>
      </c>
      <c r="K10" s="44">
        <f>SUMIFS(Movimientos!$J$1:$J$1325,Movimientos!$C$1:$C$1325,$B10,Movimientos!$D$1:$D$1325,$C10,Movimientos!$L$1:$L$1325,A$3,Movimientos!$F$1:$F$1325,"Egreso")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SUMIFS(Movimientos!$J$1:$J$1325,Movimientos!$C$1:$C$1325,$B10,Movimientos!$D$1:$D$1325,$C10,Movimientos!$L$1:$L$1325,A$4,Movimientos!$F$1:$F$1325,"Ingreso")</f>
        <v>1000</v>
      </c>
      <c r="P10" s="44">
        <f>SUMIFS(Movimientos!$J$1:$J$1325,Movimientos!$C$1:$C$1325,$B10,Movimientos!$D$1:$D$1325,$C10,Movimientos!$L$1:$L$1325,A$4,Movimientos!$F$1:$F$1325,"Egreso")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SUMIFS(Movimientos!$J$1:$J$1325,Movimientos!$C$1:$C$1325,$B10,Movimientos!$D$1:$D$1325,$C10,Movimientos!$L$1:$L$1325,A$5,Movimientos!$F$1:$F$1325,"Ingreso")</f>
        <v>0</v>
      </c>
      <c r="U10" s="44">
        <f>SUMIFS(Movimientos!$J$1:$J$1325,Movimientos!$C$1:$C$1325,$B10,Movimientos!$D$1:$D$1325,$C10,Movimientos!$L$1:$L$1325,A$5,Movimientos!$F$1:$F$1325,"Egreso")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SUMIFS(Movimientos!$J$1:$J$1325,Movimientos!$C$1:$C$1325,$B10,Movimientos!$D$1:$D$1325,$C10,Movimientos!$L$1:$L$1325,A$6,Movimientos!$F$1:$F$1325,"Ingreso")</f>
        <v>0</v>
      </c>
      <c r="Z10" s="44">
        <f>SUMIFS(Movimientos!$J$1:$J$1325,Movimientos!$C$1:$C$1325,$B10,Movimientos!$D$1:$D$1325,$C10,Movimientos!$L$1:$L$1325,F$5,Movimientos!$F$1:$F$1325,"Egreso")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SUMIFS(Movimientos!$J$1:$J$1325,Movimientos!$C$1:$C$1325,$B11,Movimientos!$D$1:$D$1325,$C11,Movimientos!$L$1:$L$1325,A$3,Movimientos!$F$1:$F$1325,"Ingreso")</f>
        <v>0</v>
      </c>
      <c r="K11" s="44">
        <f>SUMIFS(Movimientos!$J$1:$J$1325,Movimientos!$C$1:$C$1325,$B11,Movimientos!$D$1:$D$1325,$C11,Movimientos!$L$1:$L$1325,A$3,Movimientos!$F$1:$F$1325,"Egreso")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SUMIFS(Movimientos!$J$1:$J$1325,Movimientos!$C$1:$C$1325,$B11,Movimientos!$D$1:$D$1325,$C11,Movimientos!$L$1:$L$1325,A$4,Movimientos!$F$1:$F$1325,"Ingreso")</f>
        <v>0</v>
      </c>
      <c r="P11" s="44">
        <f>SUMIFS(Movimientos!$J$1:$J$1325,Movimientos!$C$1:$C$1325,$B11,Movimientos!$D$1:$D$1325,$C11,Movimientos!$L$1:$L$1325,A$4,Movimientos!$F$1:$F$1325,"Egreso")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SUMIFS(Movimientos!$J$1:$J$1325,Movimientos!$C$1:$C$1325,$B11,Movimientos!$D$1:$D$1325,$C11,Movimientos!$L$1:$L$1325,A$5,Movimientos!$F$1:$F$1325,"Ingreso")</f>
        <v>0</v>
      </c>
      <c r="U11" s="44">
        <f>SUMIFS(Movimientos!$J$1:$J$1325,Movimientos!$C$1:$C$1325,$B11,Movimientos!$D$1:$D$1325,$C11,Movimientos!$L$1:$L$1325,A$5,Movimientos!$F$1:$F$1325,"Egreso")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SUMIFS(Movimientos!$J$1:$J$1325,Movimientos!$C$1:$C$1325,$B11,Movimientos!$D$1:$D$1325,$C11,Movimientos!$L$1:$L$1325,A$6,Movimientos!$F$1:$F$1325,"Ingreso")</f>
        <v>0</v>
      </c>
      <c r="Z11" s="44">
        <f>SUMIFS(Movimientos!$J$1:$J$1325,Movimientos!$C$1:$C$1325,$B11,Movimientos!$D$1:$D$1325,$C11,Movimientos!$L$1:$L$1325,F$5,Movimientos!$F$1:$F$1325,"Egreso")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SUMIFS(Movimientos!$J$1:$J$1325,Movimientos!$C$1:$C$1325,$B12,Movimientos!$D$1:$D$1325,$C12,Movimientos!$L$1:$L$1325,A$3,Movimientos!$F$1:$F$1325,"Ingreso")</f>
        <v>4970000</v>
      </c>
      <c r="K12" s="44">
        <f>SUMIFS(Movimientos!$J$1:$J$1325,Movimientos!$C$1:$C$1325,$B12,Movimientos!$D$1:$D$1325,$C12,Movimientos!$L$1:$L$1325,A$3,Movimientos!$F$1:$F$1325,"Egreso")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SUMIFS(Movimientos!$J$1:$J$1325,Movimientos!$C$1:$C$1325,$B12,Movimientos!$D$1:$D$1325,$C12,Movimientos!$L$1:$L$1325,A$4,Movimientos!$F$1:$F$1325,"Ingreso")</f>
        <v>1320000</v>
      </c>
      <c r="P12" s="44">
        <f>SUMIFS(Movimientos!$J$1:$J$1325,Movimientos!$C$1:$C$1325,$B12,Movimientos!$D$1:$D$1325,$C12,Movimientos!$L$1:$L$1325,A$4,Movimientos!$F$1:$F$1325,"Egreso")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SUMIFS(Movimientos!$J$1:$J$1325,Movimientos!$C$1:$C$1325,$B12,Movimientos!$D$1:$D$1325,$C12,Movimientos!$L$1:$L$1325,A$5,Movimientos!$F$1:$F$1325,"Ingreso")</f>
        <v>1100000</v>
      </c>
      <c r="U12" s="44">
        <f>SUMIFS(Movimientos!$J$1:$J$1325,Movimientos!$C$1:$C$1325,$B12,Movimientos!$D$1:$D$1325,$C12,Movimientos!$L$1:$L$1325,A$5,Movimientos!$F$1:$F$1325,"Egreso")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SUMIFS(Movimientos!$J$1:$J$1325,Movimientos!$C$1:$C$1325,$B12,Movimientos!$D$1:$D$1325,$C12,Movimientos!$L$1:$L$1325,A$6,Movimientos!$F$1:$F$1325,"Ingreso")</f>
        <v>350000</v>
      </c>
      <c r="Z12" s="44">
        <f>SUMIFS(Movimientos!$J$1:$J$1325,Movimientos!$C$1:$C$1325,$B12,Movimientos!$D$1:$D$1325,$C12,Movimientos!$L$1:$L$1325,F$5,Movimientos!$F$1:$F$1325,"Egreso")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SUMIFS(Movimientos!$J$1:$J$1325,Movimientos!$C$1:$C$1325,$B13,Movimientos!$D$1:$D$1325,$C13,Movimientos!$L$1:$L$1325,A$3,Movimientos!$F$1:$F$1325,"Ingreso")</f>
        <v>0</v>
      </c>
      <c r="K13" s="44">
        <f>SUMIFS(Movimientos!$J$1:$J$1325,Movimientos!$C$1:$C$1325,$B13,Movimientos!$D$1:$D$1325,$C13,Movimientos!$L$1:$L$1325,A$3,Movimientos!$F$1:$F$1325,"Egreso")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SUMIFS(Movimientos!$J$1:$J$1325,Movimientos!$C$1:$C$1325,$B13,Movimientos!$D$1:$D$1325,$C13,Movimientos!$L$1:$L$1325,A$4,Movimientos!$F$1:$F$1325,"Ingreso")</f>
        <v>0</v>
      </c>
      <c r="P13" s="44">
        <f>SUMIFS(Movimientos!$J$1:$J$1325,Movimientos!$C$1:$C$1325,$B13,Movimientos!$D$1:$D$1325,$C13,Movimientos!$L$1:$L$1325,A$4,Movimientos!$F$1:$F$1325,"Egreso")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SUMIFS(Movimientos!$J$1:$J$1325,Movimientos!$C$1:$C$1325,$B13,Movimientos!$D$1:$D$1325,$C13,Movimientos!$L$1:$L$1325,A$5,Movimientos!$F$1:$F$1325,"Ingreso")</f>
        <v>0</v>
      </c>
      <c r="U13" s="44">
        <f>SUMIFS(Movimientos!$J$1:$J$1325,Movimientos!$C$1:$C$1325,$B13,Movimientos!$D$1:$D$1325,$C13,Movimientos!$L$1:$L$1325,A$5,Movimientos!$F$1:$F$1325,"Egreso")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SUMIFS(Movimientos!$J$1:$J$1325,Movimientos!$C$1:$C$1325,$B13,Movimientos!$D$1:$D$1325,$C13,Movimientos!$L$1:$L$1325,A$6,Movimientos!$F$1:$F$1325,"Ingreso")</f>
        <v>0</v>
      </c>
      <c r="Z13" s="44">
        <f>SUMIFS(Movimientos!$J$1:$J$1325,Movimientos!$C$1:$C$1325,$B13,Movimientos!$D$1:$D$1325,$C13,Movimientos!$L$1:$L$1325,F$5,Movimientos!$F$1:$F$1325,"Egreso")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SUMIFS(Movimientos!$J$1:$J$1325,Movimientos!$C$1:$C$1325,$B14,Movimientos!$D$1:$D$1325,$C14,Movimientos!$L$1:$L$1325,A$3,Movimientos!$F$1:$F$1325,"Ingreso")</f>
        <v>56867.66</v>
      </c>
      <c r="K14" s="44">
        <f>SUMIFS(Movimientos!$J$1:$J$1325,Movimientos!$C$1:$C$1325,$B14,Movimientos!$D$1:$D$1325,$C14,Movimientos!$L$1:$L$1325,A$3,Movimientos!$F$1:$F$1325,"Egreso")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SUMIFS(Movimientos!$J$1:$J$1325,Movimientos!$C$1:$C$1325,$B14,Movimientos!$D$1:$D$1325,$C14,Movimientos!$L$1:$L$1325,A$4,Movimientos!$F$1:$F$1325,"Ingreso")</f>
        <v>2426.71</v>
      </c>
      <c r="P14" s="44">
        <f>SUMIFS(Movimientos!$J$1:$J$1325,Movimientos!$C$1:$C$1325,$B14,Movimientos!$D$1:$D$1325,$C14,Movimientos!$L$1:$L$1325,A$4,Movimientos!$F$1:$F$1325,"Egreso")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SUMIFS(Movimientos!$J$1:$J$1325,Movimientos!$C$1:$C$1325,$B14,Movimientos!$D$1:$D$1325,$C14,Movimientos!$L$1:$L$1325,A$5,Movimientos!$F$1:$F$1325,"Ingreso")</f>
        <v>2434.02</v>
      </c>
      <c r="U14" s="44">
        <f>SUMIFS(Movimientos!$J$1:$J$1325,Movimientos!$C$1:$C$1325,$B14,Movimientos!$D$1:$D$1325,$C14,Movimientos!$L$1:$L$1325,A$5,Movimientos!$F$1:$F$1325,"Egreso")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SUMIFS(Movimientos!$J$1:$J$1325,Movimientos!$C$1:$C$1325,$B14,Movimientos!$D$1:$D$1325,$C14,Movimientos!$L$1:$L$1325,A$6,Movimientos!$F$1:$F$1325,"Ingreso")</f>
        <v>2362.59</v>
      </c>
      <c r="Z14" s="44">
        <f>SUMIFS(Movimientos!$J$1:$J$1325,Movimientos!$C$1:$C$1325,$B14,Movimientos!$D$1:$D$1325,$C14,Movimientos!$L$1:$L$1325,F$5,Movimientos!$F$1:$F$1325,"Egreso")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SUMIFS(Movimientos!$J$1:$J$1325,Movimientos!$C$1:$C$1325,$B15,Movimientos!$D$1:$D$1325,$C15,Movimientos!$L$1:$L$1325,A$3,Movimientos!$F$1:$F$1325,"Ingreso")</f>
        <v>0</v>
      </c>
      <c r="K15" s="44">
        <f>SUMIFS(Movimientos!$J$1:$J$1325,Movimientos!$C$1:$C$1325,$B15,Movimientos!$D$1:$D$1325,$C15,Movimientos!$L$1:$L$1325,A$3,Movimientos!$F$1:$F$1325,"Egreso")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SUMIFS(Movimientos!$J$1:$J$1325,Movimientos!$C$1:$C$1325,$B15,Movimientos!$D$1:$D$1325,$C15,Movimientos!$L$1:$L$1325,A$4,Movimientos!$F$1:$F$1325,"Ingreso")</f>
        <v>0</v>
      </c>
      <c r="P15" s="44">
        <f>SUMIFS(Movimientos!$J$1:$J$1325,Movimientos!$C$1:$C$1325,$B15,Movimientos!$D$1:$D$1325,$C15,Movimientos!$L$1:$L$1325,A$4,Movimientos!$F$1:$F$1325,"Egreso")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SUMIFS(Movimientos!$J$1:$J$1325,Movimientos!$C$1:$C$1325,$B15,Movimientos!$D$1:$D$1325,$C15,Movimientos!$L$1:$L$1325,A$5,Movimientos!$F$1:$F$1325,"Ingreso")</f>
        <v>0</v>
      </c>
      <c r="U15" s="44">
        <f>SUMIFS(Movimientos!$J$1:$J$1325,Movimientos!$C$1:$C$1325,$B15,Movimientos!$D$1:$D$1325,$C15,Movimientos!$L$1:$L$1325,A$5,Movimientos!$F$1:$F$1325,"Egreso")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SUMIFS(Movimientos!$J$1:$J$1325,Movimientos!$C$1:$C$1325,$B15,Movimientos!$D$1:$D$1325,$C15,Movimientos!$L$1:$L$1325,A$6,Movimientos!$F$1:$F$1325,"Ingreso")</f>
        <v>0</v>
      </c>
      <c r="Z15" s="44">
        <f>SUMIFS(Movimientos!$J$1:$J$1325,Movimientos!$C$1:$C$1325,$B15,Movimientos!$D$1:$D$1325,$C15,Movimientos!$L$1:$L$1325,F$5,Movimientos!$F$1:$F$1325,"Egreso")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SUMIFS(Movimientos!$J$1:$J$1325,Movimientos!$C$1:$C$1325,$B16,Movimientos!$D$1:$D$1325,$C16,Movimientos!$L$1:$L$1325,A$3,Movimientos!$F$1:$F$1325,"Ingreso")</f>
        <v>0</v>
      </c>
      <c r="K16" s="44">
        <f>SUMIFS(Movimientos!$J$1:$J$1325,Movimientos!$C$1:$C$1325,$B16,Movimientos!$D$1:$D$1325,$C16,Movimientos!$L$1:$L$1325,A$3,Movimientos!$F$1:$F$1325,"Egreso")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SUMIFS(Movimientos!$J$1:$J$1325,Movimientos!$C$1:$C$1325,$B16,Movimientos!$D$1:$D$1325,$C16,Movimientos!$L$1:$L$1325,A$4,Movimientos!$F$1:$F$1325,"Ingreso")</f>
        <v>0</v>
      </c>
      <c r="P16" s="44">
        <f>SUMIFS(Movimientos!$J$1:$J$1325,Movimientos!$C$1:$C$1325,$B16,Movimientos!$D$1:$D$1325,$C16,Movimientos!$L$1:$L$1325,A$4,Movimientos!$F$1:$F$1325,"Egreso")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SUMIFS(Movimientos!$J$1:$J$1325,Movimientos!$C$1:$C$1325,$B16,Movimientos!$D$1:$D$1325,$C16,Movimientos!$L$1:$L$1325,A$5,Movimientos!$F$1:$F$1325,"Ingreso")</f>
        <v>0</v>
      </c>
      <c r="U16" s="44">
        <f>SUMIFS(Movimientos!$J$1:$J$1325,Movimientos!$C$1:$C$1325,$B16,Movimientos!$D$1:$D$1325,$C16,Movimientos!$L$1:$L$1325,A$5,Movimientos!$F$1:$F$1325,"Egreso")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SUMIFS(Movimientos!$J$1:$J$1325,Movimientos!$C$1:$C$1325,$B16,Movimientos!$D$1:$D$1325,$C16,Movimientos!$L$1:$L$1325,A$6,Movimientos!$F$1:$F$1325,"Ingreso")</f>
        <v>0</v>
      </c>
      <c r="Z16" s="44">
        <f>SUMIFS(Movimientos!$J$1:$J$1325,Movimientos!$C$1:$C$1325,$B16,Movimientos!$D$1:$D$1325,$C16,Movimientos!$L$1:$L$1325,F$5,Movimientos!$F$1:$F$1325,"Egreso")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SUMIFS(Movimientos!$J$1:$J$1325,Movimientos!$C$1:$C$1325,$B17,Movimientos!$D$1:$D$1325,$C17,Movimientos!$L$1:$L$1325,A$3,Movimientos!$F$1:$F$1325,"Ingreso")</f>
        <v>0</v>
      </c>
      <c r="K17" s="44">
        <f>SUMIFS(Movimientos!$J$1:$J$1325,Movimientos!$C$1:$C$1325,$B17,Movimientos!$D$1:$D$1325,$C17,Movimientos!$L$1:$L$1325,A$3,Movimientos!$F$1:$F$1325,"Egreso")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SUMIFS(Movimientos!$J$1:$J$1325,Movimientos!$C$1:$C$1325,$B17,Movimientos!$D$1:$D$1325,$C17,Movimientos!$L$1:$L$1325,A$4,Movimientos!$F$1:$F$1325,"Ingreso")</f>
        <v>0</v>
      </c>
      <c r="P17" s="44">
        <f>SUMIFS(Movimientos!$J$1:$J$1325,Movimientos!$C$1:$C$1325,$B17,Movimientos!$D$1:$D$1325,$C17,Movimientos!$L$1:$L$1325,A$4,Movimientos!$F$1:$F$1325,"Egreso")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SUMIFS(Movimientos!$J$1:$J$1325,Movimientos!$C$1:$C$1325,$B17,Movimientos!$D$1:$D$1325,$C17,Movimientos!$L$1:$L$1325,A$5,Movimientos!$F$1:$F$1325,"Ingreso")</f>
        <v>0</v>
      </c>
      <c r="U17" s="44">
        <f>SUMIFS(Movimientos!$J$1:$J$1325,Movimientos!$C$1:$C$1325,$B17,Movimientos!$D$1:$D$1325,$C17,Movimientos!$L$1:$L$1325,A$5,Movimientos!$F$1:$F$1325,"Egreso")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SUMIFS(Movimientos!$J$1:$J$1325,Movimientos!$C$1:$C$1325,$B17,Movimientos!$D$1:$D$1325,$C17,Movimientos!$L$1:$L$1325,A$6,Movimientos!$F$1:$F$1325,"Ingreso")</f>
        <v>0</v>
      </c>
      <c r="Z17" s="44">
        <f>SUMIFS(Movimientos!$J$1:$J$1325,Movimientos!$C$1:$C$1325,$B17,Movimientos!$D$1:$D$1325,$C17,Movimientos!$L$1:$L$1325,F$5,Movimientos!$F$1:$F$1325,"Egreso")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SUMIFS(Movimientos!$J$1:$J$1325,Movimientos!$C$1:$C$1325,$B18,Movimientos!$D$1:$D$1325,$C18,Movimientos!$L$1:$L$1325,A$3,Movimientos!$F$1:$F$1325,"Ingreso")</f>
        <v>0</v>
      </c>
      <c r="K18" s="44">
        <f>SUMIFS(Movimientos!$J$1:$J$1325,Movimientos!$C$1:$C$1325,$B18,Movimientos!$D$1:$D$1325,$C18,Movimientos!$L$1:$L$1325,A$3,Movimientos!$F$1:$F$1325,"Egreso")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SUMIFS(Movimientos!$J$1:$J$1325,Movimientos!$C$1:$C$1325,$B18,Movimientos!$D$1:$D$1325,$C18,Movimientos!$L$1:$L$1325,A$4,Movimientos!$F$1:$F$1325,"Ingreso")</f>
        <v>0</v>
      </c>
      <c r="P18" s="44">
        <f>SUMIFS(Movimientos!$J$1:$J$1325,Movimientos!$C$1:$C$1325,$B18,Movimientos!$D$1:$D$1325,$C18,Movimientos!$L$1:$L$1325,A$4,Movimientos!$F$1:$F$1325,"Egreso")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SUMIFS(Movimientos!$J$1:$J$1325,Movimientos!$C$1:$C$1325,$B18,Movimientos!$D$1:$D$1325,$C18,Movimientos!$L$1:$L$1325,A$5,Movimientos!$F$1:$F$1325,"Ingreso")</f>
        <v>0</v>
      </c>
      <c r="U18" s="44">
        <f>SUMIFS(Movimientos!$J$1:$J$1325,Movimientos!$C$1:$C$1325,$B18,Movimientos!$D$1:$D$1325,$C18,Movimientos!$L$1:$L$1325,A$5,Movimientos!$F$1:$F$1325,"Egreso")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SUMIFS(Movimientos!$J$1:$J$1325,Movimientos!$C$1:$C$1325,$B18,Movimientos!$D$1:$D$1325,$C18,Movimientos!$L$1:$L$1325,A$6,Movimientos!$F$1:$F$1325,"Ingreso")</f>
        <v>0</v>
      </c>
      <c r="Z18" s="44">
        <f>SUMIFS(Movimientos!$J$1:$J$1325,Movimientos!$C$1:$C$1325,$B18,Movimientos!$D$1:$D$1325,$C18,Movimientos!$L$1:$L$1325,F$5,Movimientos!$F$1:$F$1325,"Egreso")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SUMIFS(Movimientos!$J$1:$J$1325,Movimientos!$C$1:$C$1325,$B19,Movimientos!$D$1:$D$1325,$C19,Movimientos!$L$1:$L$1325,A$3,Movimientos!$F$1:$F$1325,"Ingreso")</f>
        <v>2580000</v>
      </c>
      <c r="K19" s="44">
        <f>SUMIFS(Movimientos!$J$1:$J$1325,Movimientos!$C$1:$C$1325,$B19,Movimientos!$D$1:$D$1325,$C19,Movimientos!$L$1:$L$1325,A$3,Movimientos!$F$1:$F$1325,"Egreso")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SUMIFS(Movimientos!$J$1:$J$1325,Movimientos!$C$1:$C$1325,$B19,Movimientos!$D$1:$D$1325,$C19,Movimientos!$L$1:$L$1325,A$4,Movimientos!$F$1:$F$1325,"Ingreso")</f>
        <v>0</v>
      </c>
      <c r="P19" s="44">
        <f>SUMIFS(Movimientos!$J$1:$J$1325,Movimientos!$C$1:$C$1325,$B19,Movimientos!$D$1:$D$1325,$C19,Movimientos!$L$1:$L$1325,A$4,Movimientos!$F$1:$F$1325,"Egreso")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SUMIFS(Movimientos!$J$1:$J$1325,Movimientos!$C$1:$C$1325,$B19,Movimientos!$D$1:$D$1325,$C19,Movimientos!$L$1:$L$1325,A$5,Movimientos!$F$1:$F$1325,"Ingreso")</f>
        <v>560000</v>
      </c>
      <c r="U19" s="44">
        <f>SUMIFS(Movimientos!$J$1:$J$1325,Movimientos!$C$1:$C$1325,$B19,Movimientos!$D$1:$D$1325,$C19,Movimientos!$L$1:$L$1325,A$5,Movimientos!$F$1:$F$1325,"Egreso")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SUMIFS(Movimientos!$J$1:$J$1325,Movimientos!$C$1:$C$1325,$B19,Movimientos!$D$1:$D$1325,$C19,Movimientos!$L$1:$L$1325,A$6,Movimientos!$F$1:$F$1325,"Ingreso")</f>
        <v>34281.760000000002</v>
      </c>
      <c r="Z19" s="44">
        <f>SUMIFS(Movimientos!$J$1:$J$1325,Movimientos!$C$1:$C$1325,$B19,Movimientos!$D$1:$D$1325,$C19,Movimientos!$L$1:$L$1325,F$5,Movimientos!$F$1:$F$1325,"Egreso")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SUMIFS(Movimientos!$J$1:$J$1325,Movimientos!$C$1:$C$1325,$B20,Movimientos!$D$1:$D$1325,$C20,Movimientos!$L$1:$L$1325,A$3,Movimientos!$F$1:$F$1325,"Ingreso")</f>
        <v>0</v>
      </c>
      <c r="K20" s="44">
        <f>SUMIFS(Movimientos!$J$1:$J$1325,Movimientos!$C$1:$C$1325,$B20,Movimientos!$D$1:$D$1325,$C20,Movimientos!$L$1:$L$1325,A$3,Movimientos!$F$1:$F$1325,"Egreso")</f>
        <v>0</v>
      </c>
      <c r="L20" s="7">
        <f t="shared" si="0"/>
        <v>0</v>
      </c>
      <c r="M20" s="12">
        <f t="shared" si="6"/>
        <v>88090.370000000112</v>
      </c>
      <c r="N20" s="5">
        <f t="shared" si="7"/>
        <v>88090.370000000112</v>
      </c>
      <c r="O20" s="44">
        <f>SUMIFS(Movimientos!$J$1:$J$1325,Movimientos!$C$1:$C$1325,$B20,Movimientos!$D$1:$D$1325,$C20,Movimientos!$L$1:$L$1325,A$4,Movimientos!$F$1:$F$1325,"Ingreso")</f>
        <v>0</v>
      </c>
      <c r="P20" s="44">
        <f>SUMIFS(Movimientos!$J$1:$J$1325,Movimientos!$C$1:$C$1325,$B20,Movimientos!$D$1:$D$1325,$C20,Movimientos!$L$1:$L$1325,A$4,Movimientos!$F$1:$F$1325,"Egreso")</f>
        <v>0</v>
      </c>
      <c r="Q20" s="7">
        <f t="shared" si="1"/>
        <v>0</v>
      </c>
      <c r="R20" s="12">
        <f t="shared" si="8"/>
        <v>88090.370000000112</v>
      </c>
      <c r="S20" s="5">
        <f t="shared" si="9"/>
        <v>88090.370000000112</v>
      </c>
      <c r="T20" s="44">
        <f>SUMIFS(Movimientos!$J$1:$J$1325,Movimientos!$C$1:$C$1325,$B20,Movimientos!$D$1:$D$1325,$C20,Movimientos!$L$1:$L$1325,A$5,Movimientos!$F$1:$F$1325,"Ingreso")</f>
        <v>70003.87</v>
      </c>
      <c r="U20" s="44">
        <f>SUMIFS(Movimientos!$J$1:$J$1325,Movimientos!$C$1:$C$1325,$B20,Movimientos!$D$1:$D$1325,$C20,Movimientos!$L$1:$L$1325,A$5,Movimientos!$F$1:$F$1325,"Egreso")</f>
        <v>59924.979999999996</v>
      </c>
      <c r="V20" s="7">
        <f t="shared" si="2"/>
        <v>10078.89</v>
      </c>
      <c r="W20" s="12">
        <f t="shared" si="10"/>
        <v>98169.260000000111</v>
      </c>
      <c r="X20" s="5">
        <f t="shared" si="11"/>
        <v>98169.260000000111</v>
      </c>
      <c r="Y20" s="44">
        <f>SUMIFS(Movimientos!$J$1:$J$1325,Movimientos!$C$1:$C$1325,$B20,Movimientos!$D$1:$D$1325,$C20,Movimientos!$L$1:$L$1325,A$6,Movimientos!$F$1:$F$1325,"Ingreso")</f>
        <v>4.24</v>
      </c>
      <c r="Z20" s="44">
        <f>SUMIFS(Movimientos!$J$1:$J$1325,Movimientos!$C$1:$C$1325,$B20,Movimientos!$D$1:$D$1325,$C20,Movimientos!$L$1:$L$1325,F$5,Movimientos!$F$1:$F$1325,"Egreso")</f>
        <v>0</v>
      </c>
      <c r="AA20" s="7">
        <f t="shared" si="3"/>
        <v>4.24</v>
      </c>
      <c r="AB20" s="12">
        <f t="shared" si="12"/>
        <v>98173.500000000116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SUMIFS(Movimientos!$J$1:$J$1325,Movimientos!$C$1:$C$1325,$B21,Movimientos!$D$1:$D$1325,$C21,Movimientos!$L$1:$L$1325,A$3,Movimientos!$F$1:$F$1325,"Ingreso")</f>
        <v>0</v>
      </c>
      <c r="K21" s="44">
        <f>SUMIFS(Movimientos!$J$1:$J$1325,Movimientos!$C$1:$C$1325,$B21,Movimientos!$D$1:$D$1325,$C21,Movimientos!$L$1:$L$1325,A$3,Movimientos!$F$1:$F$1325,"Egreso")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SUMIFS(Movimientos!$J$1:$J$1325,Movimientos!$C$1:$C$1325,$B21,Movimientos!$D$1:$D$1325,$C21,Movimientos!$L$1:$L$1325,A$4,Movimientos!$F$1:$F$1325,"Ingreso")</f>
        <v>14659.29</v>
      </c>
      <c r="P21" s="44">
        <f>SUMIFS(Movimientos!$J$1:$J$1325,Movimientos!$C$1:$C$1325,$B21,Movimientos!$D$1:$D$1325,$C21,Movimientos!$L$1:$L$1325,A$4,Movimientos!$F$1:$F$1325,"Egreso")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SUMIFS(Movimientos!$J$1:$J$1325,Movimientos!$C$1:$C$1325,$B21,Movimientos!$D$1:$D$1325,$C21,Movimientos!$L$1:$L$1325,A$5,Movimientos!$F$1:$F$1325,"Ingreso")</f>
        <v>0</v>
      </c>
      <c r="U21" s="44">
        <f>SUMIFS(Movimientos!$J$1:$J$1325,Movimientos!$C$1:$C$1325,$B21,Movimientos!$D$1:$D$1325,$C21,Movimientos!$L$1:$L$1325,A$5,Movimientos!$F$1:$F$1325,"Egreso")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SUMIFS(Movimientos!$J$1:$J$1325,Movimientos!$C$1:$C$1325,$B21,Movimientos!$D$1:$D$1325,$C21,Movimientos!$L$1:$L$1325,A$6,Movimientos!$F$1:$F$1325,"Ingreso")</f>
        <v>0</v>
      </c>
      <c r="Z21" s="44">
        <f>SUMIFS(Movimientos!$J$1:$J$1325,Movimientos!$C$1:$C$1325,$B21,Movimientos!$D$1:$D$1325,$C21,Movimientos!$L$1:$L$1325,F$5,Movimientos!$F$1:$F$1325,"Egreso")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SUMIFS(Movimientos!$J$1:$J$1325,Movimientos!$C$1:$C$1325,$B22,Movimientos!$D$1:$D$1325,$C22,Movimientos!$L$1:$L$1325,A$3,Movimientos!$F$1:$F$1325,"Ingreso")</f>
        <v>0</v>
      </c>
      <c r="K22" s="44">
        <f>SUMIFS(Movimientos!$J$1:$J$1325,Movimientos!$C$1:$C$1325,$B22,Movimientos!$D$1:$D$1325,$C22,Movimientos!$L$1:$L$1325,A$3,Movimientos!$F$1:$F$1325,"Egreso")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SUMIFS(Movimientos!$J$1:$J$1325,Movimientos!$C$1:$C$1325,$B22,Movimientos!$D$1:$D$1325,$C22,Movimientos!$L$1:$L$1325,A$4,Movimientos!$F$1:$F$1325,"Ingreso")</f>
        <v>0</v>
      </c>
      <c r="P22" s="44">
        <f>SUMIFS(Movimientos!$J$1:$J$1325,Movimientos!$C$1:$C$1325,$B22,Movimientos!$D$1:$D$1325,$C22,Movimientos!$L$1:$L$1325,A$4,Movimientos!$F$1:$F$1325,"Egreso")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SUMIFS(Movimientos!$J$1:$J$1325,Movimientos!$C$1:$C$1325,$B22,Movimientos!$D$1:$D$1325,$C22,Movimientos!$L$1:$L$1325,A$5,Movimientos!$F$1:$F$1325,"Ingreso")</f>
        <v>100</v>
      </c>
      <c r="U22" s="44">
        <f>SUMIFS(Movimientos!$J$1:$J$1325,Movimientos!$C$1:$C$1325,$B22,Movimientos!$D$1:$D$1325,$C22,Movimientos!$L$1:$L$1325,A$5,Movimientos!$F$1:$F$1325,"Egreso")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SUMIFS(Movimientos!$J$1:$J$1325,Movimientos!$C$1:$C$1325,$B22,Movimientos!$D$1:$D$1325,$C22,Movimientos!$L$1:$L$1325,A$6,Movimientos!$F$1:$F$1325,"Ingreso")</f>
        <v>0</v>
      </c>
      <c r="Z22" s="44">
        <f>SUMIFS(Movimientos!$J$1:$J$1325,Movimientos!$C$1:$C$1325,$B22,Movimientos!$D$1:$D$1325,$C22,Movimientos!$L$1:$L$1325,F$5,Movimientos!$F$1:$F$1325,"Egreso")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SUMIFS(Movimientos!$J$1:$J$1325,Movimientos!$C$1:$C$1325,$B23,Movimientos!$D$1:$D$1325,$C23,Movimientos!$L$1:$L$1325,A$3,Movimientos!$F$1:$F$1325,"Ingreso")</f>
        <v>0</v>
      </c>
      <c r="K23" s="44">
        <f>SUMIFS(Movimientos!$J$1:$J$1325,Movimientos!$C$1:$C$1325,$B23,Movimientos!$D$1:$D$1325,$C23,Movimientos!$L$1:$L$1325,A$3,Movimientos!$F$1:$F$1325,"Egreso")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SUMIFS(Movimientos!$J$1:$J$1325,Movimientos!$C$1:$C$1325,$B23,Movimientos!$D$1:$D$1325,$C23,Movimientos!$L$1:$L$1325,A$4,Movimientos!$F$1:$F$1325,"Ingreso")</f>
        <v>0</v>
      </c>
      <c r="P23" s="44">
        <f>SUMIFS(Movimientos!$J$1:$J$1325,Movimientos!$C$1:$C$1325,$B23,Movimientos!$D$1:$D$1325,$C23,Movimientos!$L$1:$L$1325,A$4,Movimientos!$F$1:$F$1325,"Egreso")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SUMIFS(Movimientos!$J$1:$J$1325,Movimientos!$C$1:$C$1325,$B23,Movimientos!$D$1:$D$1325,$C23,Movimientos!$L$1:$L$1325,A$5,Movimientos!$F$1:$F$1325,"Ingreso")</f>
        <v>0</v>
      </c>
      <c r="U23" s="44">
        <f>SUMIFS(Movimientos!$J$1:$J$1325,Movimientos!$C$1:$C$1325,$B23,Movimientos!$D$1:$D$1325,$C23,Movimientos!$L$1:$L$1325,A$5,Movimientos!$F$1:$F$1325,"Egreso")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SUMIFS(Movimientos!$J$1:$J$1325,Movimientos!$C$1:$C$1325,$B23,Movimientos!$D$1:$D$1325,$C23,Movimientos!$L$1:$L$1325,A$6,Movimientos!$F$1:$F$1325,"Ingreso")</f>
        <v>0</v>
      </c>
      <c r="Z23" s="44">
        <f>SUMIFS(Movimientos!$J$1:$J$1325,Movimientos!$C$1:$C$1325,$B23,Movimientos!$D$1:$D$1325,$C23,Movimientos!$L$1:$L$1325,F$5,Movimientos!$F$1:$F$1325,"Egreso")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SUMIFS(Movimientos!$J$1:$J$1325,Movimientos!$C$1:$C$1325,$B24,Movimientos!$D$1:$D$1325,$C24,Movimientos!$L$1:$L$1325,A$3,Movimientos!$F$1:$F$1325,"Ingreso")</f>
        <v>0</v>
      </c>
      <c r="K24" s="44">
        <f>SUMIFS(Movimientos!$J$1:$J$1325,Movimientos!$C$1:$C$1325,$B24,Movimientos!$D$1:$D$1325,$C24,Movimientos!$L$1:$L$1325,A$3,Movimientos!$F$1:$F$1325,"Egreso")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SUMIFS(Movimientos!$J$1:$J$1325,Movimientos!$C$1:$C$1325,$B24,Movimientos!$D$1:$D$1325,$C24,Movimientos!$L$1:$L$1325,A$4,Movimientos!$F$1:$F$1325,"Ingreso")</f>
        <v>1451269.78</v>
      </c>
      <c r="P24" s="44">
        <f>SUMIFS(Movimientos!$J$1:$J$1325,Movimientos!$C$1:$C$1325,$B24,Movimientos!$D$1:$D$1325,$C24,Movimientos!$L$1:$L$1325,A$4,Movimientos!$F$1:$F$1325,"Egreso")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SUMIFS(Movimientos!$J$1:$J$1325,Movimientos!$C$1:$C$1325,$B24,Movimientos!$D$1:$D$1325,$C24,Movimientos!$L$1:$L$1325,A$5,Movimientos!$F$1:$F$1325,"Ingreso")</f>
        <v>0</v>
      </c>
      <c r="U24" s="44">
        <f>SUMIFS(Movimientos!$J$1:$J$1325,Movimientos!$C$1:$C$1325,$B24,Movimientos!$D$1:$D$1325,$C24,Movimientos!$L$1:$L$1325,A$5,Movimientos!$F$1:$F$1325,"Egreso")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SUMIFS(Movimientos!$J$1:$J$1325,Movimientos!$C$1:$C$1325,$B24,Movimientos!$D$1:$D$1325,$C24,Movimientos!$L$1:$L$1325,A$6,Movimientos!$F$1:$F$1325,"Ingreso")</f>
        <v>0</v>
      </c>
      <c r="Z24" s="44">
        <f>SUMIFS(Movimientos!$J$1:$J$1325,Movimientos!$C$1:$C$1325,$B24,Movimientos!$D$1:$D$1325,$C24,Movimientos!$L$1:$L$1325,F$5,Movimientos!$F$1:$F$1325,"Egreso")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SUMIFS(Movimientos!$J$1:$J$1325,Movimientos!$C$1:$C$1325,$B25,Movimientos!$D$1:$D$1325,$C25,Movimientos!$L$1:$L$1325,A$3,Movimientos!$F$1:$F$1325,"Ingreso")</f>
        <v>0</v>
      </c>
      <c r="K25" s="44">
        <f>SUMIFS(Movimientos!$J$1:$J$1325,Movimientos!$C$1:$C$1325,$B25,Movimientos!$D$1:$D$1325,$C25,Movimientos!$L$1:$L$1325,A$3,Movimientos!$F$1:$F$1325,"Egreso")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SUMIFS(Movimientos!$J$1:$J$1325,Movimientos!$C$1:$C$1325,$B25,Movimientos!$D$1:$D$1325,$C25,Movimientos!$L$1:$L$1325,A$4,Movimientos!$F$1:$F$1325,"Ingreso")</f>
        <v>0</v>
      </c>
      <c r="P25" s="44">
        <f>SUMIFS(Movimientos!$J$1:$J$1325,Movimientos!$C$1:$C$1325,$B25,Movimientos!$D$1:$D$1325,$C25,Movimientos!$L$1:$L$1325,A$4,Movimientos!$F$1:$F$1325,"Egreso")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SUMIFS(Movimientos!$J$1:$J$1325,Movimientos!$C$1:$C$1325,$B25,Movimientos!$D$1:$D$1325,$C25,Movimientos!$L$1:$L$1325,A$5,Movimientos!$F$1:$F$1325,"Ingreso")</f>
        <v>0</v>
      </c>
      <c r="U25" s="44">
        <f>SUMIFS(Movimientos!$J$1:$J$1325,Movimientos!$C$1:$C$1325,$B25,Movimientos!$D$1:$D$1325,$C25,Movimientos!$L$1:$L$1325,A$5,Movimientos!$F$1:$F$1325,"Egreso")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SUMIFS(Movimientos!$J$1:$J$1325,Movimientos!$C$1:$C$1325,$B25,Movimientos!$D$1:$D$1325,$C25,Movimientos!$L$1:$L$1325,A$6,Movimientos!$F$1:$F$1325,"Ingreso")</f>
        <v>0</v>
      </c>
      <c r="Z25" s="44">
        <f>SUMIFS(Movimientos!$J$1:$J$1325,Movimientos!$C$1:$C$1325,$B25,Movimientos!$D$1:$D$1325,$C25,Movimientos!$L$1:$L$1325,F$5,Movimientos!$F$1:$F$1325,"Egreso")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SUMIFS(Movimientos!$J$1:$J$1325,Movimientos!$C$1:$C$1325,$B26,Movimientos!$D$1:$D$1325,$C26,Movimientos!$L$1:$L$1325,A$3,Movimientos!$F$1:$F$1325,"Ingreso")</f>
        <v>0</v>
      </c>
      <c r="K26" s="44">
        <f>SUMIFS(Movimientos!$J$1:$J$1325,Movimientos!$C$1:$C$1325,$B26,Movimientos!$D$1:$D$1325,$C26,Movimientos!$L$1:$L$1325,A$3,Movimientos!$F$1:$F$1325,"Egreso")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SUMIFS(Movimientos!$J$1:$J$1325,Movimientos!$C$1:$C$1325,$B26,Movimientos!$D$1:$D$1325,$C26,Movimientos!$L$1:$L$1325,A$4,Movimientos!$F$1:$F$1325,"Ingreso")</f>
        <v>0</v>
      </c>
      <c r="P26" s="44">
        <f>SUMIFS(Movimientos!$J$1:$J$1325,Movimientos!$C$1:$C$1325,$B26,Movimientos!$D$1:$D$1325,$C26,Movimientos!$L$1:$L$1325,A$4,Movimientos!$F$1:$F$1325,"Egreso")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SUMIFS(Movimientos!$J$1:$J$1325,Movimientos!$C$1:$C$1325,$B26,Movimientos!$D$1:$D$1325,$C26,Movimientos!$L$1:$L$1325,A$5,Movimientos!$F$1:$F$1325,"Ingreso")</f>
        <v>0</v>
      </c>
      <c r="U26" s="44">
        <f>SUMIFS(Movimientos!$J$1:$J$1325,Movimientos!$C$1:$C$1325,$B26,Movimientos!$D$1:$D$1325,$C26,Movimientos!$L$1:$L$1325,A$5,Movimientos!$F$1:$F$1325,"Egreso")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SUMIFS(Movimientos!$J$1:$J$1325,Movimientos!$C$1:$C$1325,$B26,Movimientos!$D$1:$D$1325,$C26,Movimientos!$L$1:$L$1325,A$6,Movimientos!$F$1:$F$1325,"Ingreso")</f>
        <v>0</v>
      </c>
      <c r="Z26" s="44">
        <f>SUMIFS(Movimientos!$J$1:$J$1325,Movimientos!$C$1:$C$1325,$B26,Movimientos!$D$1:$D$1325,$C26,Movimientos!$L$1:$L$1325,F$5,Movimientos!$F$1:$F$1325,"Egreso")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SUMIFS(Movimientos!$J$1:$J$1325,Movimientos!$C$1:$C$1325,$B27,Movimientos!$D$1:$D$1325,$C27,Movimientos!$L$1:$L$1325,A$3,Movimientos!$F$1:$F$1325,"Ingreso")</f>
        <v>0</v>
      </c>
      <c r="K27" s="44">
        <f>SUMIFS(Movimientos!$J$1:$J$1325,Movimientos!$C$1:$C$1325,$B27,Movimientos!$D$1:$D$1325,$C27,Movimientos!$L$1:$L$1325,A$3,Movimientos!$F$1:$F$1325,"Egreso")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SUMIFS(Movimientos!$J$1:$J$1325,Movimientos!$C$1:$C$1325,$B27,Movimientos!$D$1:$D$1325,$C27,Movimientos!$L$1:$L$1325,A$4,Movimientos!$F$1:$F$1325,"Ingreso")</f>
        <v>518.65</v>
      </c>
      <c r="P27" s="44">
        <f>SUMIFS(Movimientos!$J$1:$J$1325,Movimientos!$C$1:$C$1325,$B27,Movimientos!$D$1:$D$1325,$C27,Movimientos!$L$1:$L$1325,A$4,Movimientos!$F$1:$F$1325,"Egreso")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SUMIFS(Movimientos!$J$1:$J$1325,Movimientos!$C$1:$C$1325,$B27,Movimientos!$D$1:$D$1325,$C27,Movimientos!$L$1:$L$1325,A$5,Movimientos!$F$1:$F$1325,"Ingreso")</f>
        <v>0</v>
      </c>
      <c r="U27" s="44">
        <f>SUMIFS(Movimientos!$J$1:$J$1325,Movimientos!$C$1:$C$1325,$B27,Movimientos!$D$1:$D$1325,$C27,Movimientos!$L$1:$L$1325,A$5,Movimientos!$F$1:$F$1325,"Egreso")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SUMIFS(Movimientos!$J$1:$J$1325,Movimientos!$C$1:$C$1325,$B27,Movimientos!$D$1:$D$1325,$C27,Movimientos!$L$1:$L$1325,A$6,Movimientos!$F$1:$F$1325,"Ingreso")</f>
        <v>0</v>
      </c>
      <c r="Z27" s="44">
        <f>SUMIFS(Movimientos!$J$1:$J$1325,Movimientos!$C$1:$C$1325,$B27,Movimientos!$D$1:$D$1325,$C27,Movimientos!$L$1:$L$1325,F$5,Movimientos!$F$1:$F$1325,"Egreso")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SUMIFS(Movimientos!$J$1:$J$1325,Movimientos!$C$1:$C$1325,$B28,Movimientos!$D$1:$D$1325,$C28,Movimientos!$L$1:$L$1325,A$3,Movimientos!$F$1:$F$1325,"Ingreso")</f>
        <v>0</v>
      </c>
      <c r="K28" s="44">
        <f>SUMIFS(Movimientos!$J$1:$J$1325,Movimientos!$C$1:$C$1325,$B28,Movimientos!$D$1:$D$1325,$C28,Movimientos!$L$1:$L$1325,A$3,Movimientos!$F$1:$F$1325,"Egreso")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SUMIFS(Movimientos!$J$1:$J$1325,Movimientos!$C$1:$C$1325,$B28,Movimientos!$D$1:$D$1325,$C28,Movimientos!$L$1:$L$1325,A$4,Movimientos!$F$1:$F$1325,"Ingreso")</f>
        <v>0</v>
      </c>
      <c r="P28" s="44">
        <f>SUMIFS(Movimientos!$J$1:$J$1325,Movimientos!$C$1:$C$1325,$B28,Movimientos!$D$1:$D$1325,$C28,Movimientos!$L$1:$L$1325,A$4,Movimientos!$F$1:$F$1325,"Egreso")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SUMIFS(Movimientos!$J$1:$J$1325,Movimientos!$C$1:$C$1325,$B28,Movimientos!$D$1:$D$1325,$C28,Movimientos!$L$1:$L$1325,A$5,Movimientos!$F$1:$F$1325,"Ingreso")</f>
        <v>0</v>
      </c>
      <c r="U28" s="44">
        <f>SUMIFS(Movimientos!$J$1:$J$1325,Movimientos!$C$1:$C$1325,$B28,Movimientos!$D$1:$D$1325,$C28,Movimientos!$L$1:$L$1325,A$5,Movimientos!$F$1:$F$1325,"Egreso")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SUMIFS(Movimientos!$J$1:$J$1325,Movimientos!$C$1:$C$1325,$B28,Movimientos!$D$1:$D$1325,$C28,Movimientos!$L$1:$L$1325,A$6,Movimientos!$F$1:$F$1325,"Ingreso")</f>
        <v>0</v>
      </c>
      <c r="Z28" s="44">
        <f>SUMIFS(Movimientos!$J$1:$J$1325,Movimientos!$C$1:$C$1325,$B28,Movimientos!$D$1:$D$1325,$C28,Movimientos!$L$1:$L$1325,F$5,Movimientos!$F$1:$F$1325,"Egreso")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SUMIFS(Movimientos!$J$1:$J$1325,Movimientos!$C$1:$C$1325,$B29,Movimientos!$D$1:$D$1325,$C29,Movimientos!$L$1:$L$1325,A$3,Movimientos!$F$1:$F$1325,"Ingreso")</f>
        <v>5250</v>
      </c>
      <c r="K29" s="44">
        <f>SUMIFS(Movimientos!$J$1:$J$1325,Movimientos!$C$1:$C$1325,$B29,Movimientos!$D$1:$D$1325,$C29,Movimientos!$L$1:$L$1325,A$3,Movimientos!$F$1:$F$1325,"Egreso")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SUMIFS(Movimientos!$J$1:$J$1325,Movimientos!$C$1:$C$1325,$B29,Movimientos!$D$1:$D$1325,$C29,Movimientos!$L$1:$L$1325,A$4,Movimientos!$F$1:$F$1325,"Ingreso")</f>
        <v>0</v>
      </c>
      <c r="P29" s="44">
        <f>SUMIFS(Movimientos!$J$1:$J$1325,Movimientos!$C$1:$C$1325,$B29,Movimientos!$D$1:$D$1325,$C29,Movimientos!$L$1:$L$1325,A$4,Movimientos!$F$1:$F$1325,"Egreso")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SUMIFS(Movimientos!$J$1:$J$1325,Movimientos!$C$1:$C$1325,$B29,Movimientos!$D$1:$D$1325,$C29,Movimientos!$L$1:$L$1325,A$5,Movimientos!$F$1:$F$1325,"Ingreso")</f>
        <v>30105.4</v>
      </c>
      <c r="U29" s="44">
        <f>SUMIFS(Movimientos!$J$1:$J$1325,Movimientos!$C$1:$C$1325,$B29,Movimientos!$D$1:$D$1325,$C29,Movimientos!$L$1:$L$1325,A$5,Movimientos!$F$1:$F$1325,"Egreso")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SUMIFS(Movimientos!$J$1:$J$1325,Movimientos!$C$1:$C$1325,$B29,Movimientos!$D$1:$D$1325,$C29,Movimientos!$L$1:$L$1325,A$6,Movimientos!$F$1:$F$1325,"Ingreso")</f>
        <v>5250</v>
      </c>
      <c r="Z29" s="44">
        <f>SUMIFS(Movimientos!$J$1:$J$1325,Movimientos!$C$1:$C$1325,$B29,Movimientos!$D$1:$D$1325,$C29,Movimientos!$L$1:$L$1325,F$5,Movimientos!$F$1:$F$1325,"Egreso")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SUMIFS(Movimientos!$J$1:$J$1325,Movimientos!$C$1:$C$1325,$B30,Movimientos!$D$1:$D$1325,$C30,Movimientos!$L$1:$L$1325,A$3,Movimientos!$F$1:$F$1325,"Ingreso")</f>
        <v>0</v>
      </c>
      <c r="K30" s="44">
        <f>SUMIFS(Movimientos!$J$1:$J$1325,Movimientos!$C$1:$C$1325,$B30,Movimientos!$D$1:$D$1325,$C30,Movimientos!$L$1:$L$1325,A$3,Movimientos!$F$1:$F$1325,"Egreso")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SUMIFS(Movimientos!$J$1:$J$1325,Movimientos!$C$1:$C$1325,$B30,Movimientos!$D$1:$D$1325,$C30,Movimientos!$L$1:$L$1325,A$4,Movimientos!$F$1:$F$1325,"Ingreso")</f>
        <v>0</v>
      </c>
      <c r="P30" s="44">
        <f>SUMIFS(Movimientos!$J$1:$J$1325,Movimientos!$C$1:$C$1325,$B30,Movimientos!$D$1:$D$1325,$C30,Movimientos!$L$1:$L$1325,A$4,Movimientos!$F$1:$F$1325,"Egreso")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SUMIFS(Movimientos!$J$1:$J$1325,Movimientos!$C$1:$C$1325,$B30,Movimientos!$D$1:$D$1325,$C30,Movimientos!$L$1:$L$1325,A$5,Movimientos!$F$1:$F$1325,"Ingreso")</f>
        <v>0</v>
      </c>
      <c r="U30" s="44">
        <f>SUMIFS(Movimientos!$J$1:$J$1325,Movimientos!$C$1:$C$1325,$B30,Movimientos!$D$1:$D$1325,$C30,Movimientos!$L$1:$L$1325,A$5,Movimientos!$F$1:$F$1325,"Egreso")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SUMIFS(Movimientos!$J$1:$J$1325,Movimientos!$C$1:$C$1325,$B30,Movimientos!$D$1:$D$1325,$C30,Movimientos!$L$1:$L$1325,A$6,Movimientos!$F$1:$F$1325,"Ingreso")</f>
        <v>0</v>
      </c>
      <c r="Z30" s="44">
        <f>SUMIFS(Movimientos!$J$1:$J$1325,Movimientos!$C$1:$C$1325,$B30,Movimientos!$D$1:$D$1325,$C30,Movimientos!$L$1:$L$1325,F$5,Movimientos!$F$1:$F$1325,"Egreso")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SUMIFS(Movimientos!$J$1:$J$1325,Movimientos!$C$1:$C$1325,$B31,Movimientos!$D$1:$D$1325,$C31,Movimientos!$L$1:$L$1325,A$3,Movimientos!$F$1:$F$1325,"Ingreso")</f>
        <v>15000</v>
      </c>
      <c r="K31" s="44">
        <f>SUMIFS(Movimientos!$J$1:$J$1325,Movimientos!$C$1:$C$1325,$B31,Movimientos!$D$1:$D$1325,$C31,Movimientos!$L$1:$L$1325,A$3,Movimientos!$F$1:$F$1325,"Egreso")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SUMIFS(Movimientos!$J$1:$J$1325,Movimientos!$C$1:$C$1325,$B31,Movimientos!$D$1:$D$1325,$C31,Movimientos!$L$1:$L$1325,A$4,Movimientos!$F$1:$F$1325,"Ingreso")</f>
        <v>15000</v>
      </c>
      <c r="P31" s="44">
        <f>SUMIFS(Movimientos!$J$1:$J$1325,Movimientos!$C$1:$C$1325,$B31,Movimientos!$D$1:$D$1325,$C31,Movimientos!$L$1:$L$1325,A$4,Movimientos!$F$1:$F$1325,"Egreso")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SUMIFS(Movimientos!$J$1:$J$1325,Movimientos!$C$1:$C$1325,$B31,Movimientos!$D$1:$D$1325,$C31,Movimientos!$L$1:$L$1325,A$5,Movimientos!$F$1:$F$1325,"Ingreso")</f>
        <v>21000</v>
      </c>
      <c r="U31" s="44">
        <f>SUMIFS(Movimientos!$J$1:$J$1325,Movimientos!$C$1:$C$1325,$B31,Movimientos!$D$1:$D$1325,$C31,Movimientos!$L$1:$L$1325,A$5,Movimientos!$F$1:$F$1325,"Egreso")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SUMIFS(Movimientos!$J$1:$J$1325,Movimientos!$C$1:$C$1325,$B31,Movimientos!$D$1:$D$1325,$C31,Movimientos!$L$1:$L$1325,A$6,Movimientos!$F$1:$F$1325,"Ingreso")</f>
        <v>8227.09</v>
      </c>
      <c r="Z31" s="44">
        <f>SUMIFS(Movimientos!$J$1:$J$1325,Movimientos!$C$1:$C$1325,$B31,Movimientos!$D$1:$D$1325,$C31,Movimientos!$L$1:$L$1325,F$5,Movimientos!$F$1:$F$1325,"Egreso")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SUMIFS(Movimientos!$J$1:$J$1325,Movimientos!$C$1:$C$1325,$B32,Movimientos!$D$1:$D$1325,$C32,Movimientos!$L$1:$L$1325,A$3,Movimientos!$F$1:$F$1325,"Ingreso")</f>
        <v>12000</v>
      </c>
      <c r="K32" s="44">
        <f>SUMIFS(Movimientos!$J$1:$J$1325,Movimientos!$C$1:$C$1325,$B32,Movimientos!$D$1:$D$1325,$C32,Movimientos!$L$1:$L$1325,A$3,Movimientos!$F$1:$F$1325,"Egreso")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SUMIFS(Movimientos!$J$1:$J$1325,Movimientos!$C$1:$C$1325,$B32,Movimientos!$D$1:$D$1325,$C32,Movimientos!$L$1:$L$1325,A$4,Movimientos!$F$1:$F$1325,"Ingreso")</f>
        <v>8800</v>
      </c>
      <c r="P32" s="44">
        <f>SUMIFS(Movimientos!$J$1:$J$1325,Movimientos!$C$1:$C$1325,$B32,Movimientos!$D$1:$D$1325,$C32,Movimientos!$L$1:$L$1325,A$4,Movimientos!$F$1:$F$1325,"Egreso")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SUMIFS(Movimientos!$J$1:$J$1325,Movimientos!$C$1:$C$1325,$B32,Movimientos!$D$1:$D$1325,$C32,Movimientos!$L$1:$L$1325,A$5,Movimientos!$F$1:$F$1325,"Ingreso")</f>
        <v>9400</v>
      </c>
      <c r="U32" s="44">
        <f>SUMIFS(Movimientos!$J$1:$J$1325,Movimientos!$C$1:$C$1325,$B32,Movimientos!$D$1:$D$1325,$C32,Movimientos!$L$1:$L$1325,A$5,Movimientos!$F$1:$F$1325,"Egreso")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SUMIFS(Movimientos!$J$1:$J$1325,Movimientos!$C$1:$C$1325,$B32,Movimientos!$D$1:$D$1325,$C32,Movimientos!$L$1:$L$1325,A$6,Movimientos!$F$1:$F$1325,"Ingreso")</f>
        <v>7304.8099999999995</v>
      </c>
      <c r="Z32" s="44">
        <f>SUMIFS(Movimientos!$J$1:$J$1325,Movimientos!$C$1:$C$1325,$B32,Movimientos!$D$1:$D$1325,$C32,Movimientos!$L$1:$L$1325,F$5,Movimientos!$F$1:$F$1325,"Egreso")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SUMIFS(Movimientos!$J$1:$J$1325,Movimientos!$C$1:$C$1325,$B33,Movimientos!$D$1:$D$1325,$C33,Movimientos!$L$1:$L$1325,A$3,Movimientos!$F$1:$F$1325,"Ingreso")</f>
        <v>59000</v>
      </c>
      <c r="K33" s="44">
        <f>SUMIFS(Movimientos!$J$1:$J$1325,Movimientos!$C$1:$C$1325,$B33,Movimientos!$D$1:$D$1325,$C33,Movimientos!$L$1:$L$1325,A$3,Movimientos!$F$1:$F$1325,"Egreso")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SUMIFS(Movimientos!$J$1:$J$1325,Movimientos!$C$1:$C$1325,$B33,Movimientos!$D$1:$D$1325,$C33,Movimientos!$L$1:$L$1325,A$4,Movimientos!$F$1:$F$1325,"Ingreso")</f>
        <v>50000</v>
      </c>
      <c r="P33" s="44">
        <f>SUMIFS(Movimientos!$J$1:$J$1325,Movimientos!$C$1:$C$1325,$B33,Movimientos!$D$1:$D$1325,$C33,Movimientos!$L$1:$L$1325,A$4,Movimientos!$F$1:$F$1325,"Egreso")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SUMIFS(Movimientos!$J$1:$J$1325,Movimientos!$C$1:$C$1325,$B33,Movimientos!$D$1:$D$1325,$C33,Movimientos!$L$1:$L$1325,A$5,Movimientos!$F$1:$F$1325,"Ingreso")</f>
        <v>23000</v>
      </c>
      <c r="U33" s="44">
        <f>SUMIFS(Movimientos!$J$1:$J$1325,Movimientos!$C$1:$C$1325,$B33,Movimientos!$D$1:$D$1325,$C33,Movimientos!$L$1:$L$1325,A$5,Movimientos!$F$1:$F$1325,"Egreso")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SUMIFS(Movimientos!$J$1:$J$1325,Movimientos!$C$1:$C$1325,$B33,Movimientos!$D$1:$D$1325,$C33,Movimientos!$L$1:$L$1325,A$6,Movimientos!$F$1:$F$1325,"Ingreso")</f>
        <v>20000</v>
      </c>
      <c r="Z33" s="44">
        <f>SUMIFS(Movimientos!$J$1:$J$1325,Movimientos!$C$1:$C$1325,$B33,Movimientos!$D$1:$D$1325,$C33,Movimientos!$L$1:$L$1325,F$5,Movimientos!$F$1:$F$1325,"Egreso")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SUMIFS(Movimientos!$J$1:$J$1325,Movimientos!$C$1:$C$1325,$B34,Movimientos!$D$1:$D$1325,$C34,Movimientos!$L$1:$L$1325,A$3,Movimientos!$F$1:$F$1325,"Ingreso")</f>
        <v>59000</v>
      </c>
      <c r="K34" s="44">
        <f>SUMIFS(Movimientos!$J$1:$J$1325,Movimientos!$C$1:$C$1325,$B34,Movimientos!$D$1:$D$1325,$C34,Movimientos!$L$1:$L$1325,A$3,Movimientos!$F$1:$F$1325,"Egreso")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SUMIFS(Movimientos!$J$1:$J$1325,Movimientos!$C$1:$C$1325,$B34,Movimientos!$D$1:$D$1325,$C34,Movimientos!$L$1:$L$1325,A$4,Movimientos!$F$1:$F$1325,"Ingreso")</f>
        <v>50000</v>
      </c>
      <c r="P34" s="44">
        <f>SUMIFS(Movimientos!$J$1:$J$1325,Movimientos!$C$1:$C$1325,$B34,Movimientos!$D$1:$D$1325,$C34,Movimientos!$L$1:$L$1325,A$4,Movimientos!$F$1:$F$1325,"Egreso")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SUMIFS(Movimientos!$J$1:$J$1325,Movimientos!$C$1:$C$1325,$B34,Movimientos!$D$1:$D$1325,$C34,Movimientos!$L$1:$L$1325,A$5,Movimientos!$F$1:$F$1325,"Ingreso")</f>
        <v>23000</v>
      </c>
      <c r="U34" s="44">
        <f>SUMIFS(Movimientos!$J$1:$J$1325,Movimientos!$C$1:$C$1325,$B34,Movimientos!$D$1:$D$1325,$C34,Movimientos!$L$1:$L$1325,A$5,Movimientos!$F$1:$F$1325,"Egreso")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SUMIFS(Movimientos!$J$1:$J$1325,Movimientos!$C$1:$C$1325,$B34,Movimientos!$D$1:$D$1325,$C34,Movimientos!$L$1:$L$1325,A$6,Movimientos!$F$1:$F$1325,"Ingreso")</f>
        <v>20000</v>
      </c>
      <c r="Z34" s="44">
        <f>SUMIFS(Movimientos!$J$1:$J$1325,Movimientos!$C$1:$C$1325,$B34,Movimientos!$D$1:$D$1325,$C34,Movimientos!$L$1:$L$1325,F$5,Movimientos!$F$1:$F$1325,"Egreso")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SUMIFS(Movimientos!$J$1:$J$1325,Movimientos!$C$1:$C$1325,$B35,Movimientos!$D$1:$D$1325,$C35,Movimientos!$L$1:$L$1325,A$3,Movimientos!$F$1:$F$1325,"Ingreso")</f>
        <v>0</v>
      </c>
      <c r="K35" s="44">
        <f>SUMIFS(Movimientos!$J$1:$J$1325,Movimientos!$C$1:$C$1325,$B35,Movimientos!$D$1:$D$1325,$C35,Movimientos!$L$1:$L$1325,A$3,Movimientos!$F$1:$F$1325,"Egreso")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SUMIFS(Movimientos!$J$1:$J$1325,Movimientos!$C$1:$C$1325,$B35,Movimientos!$D$1:$D$1325,$C35,Movimientos!$L$1:$L$1325,A$4,Movimientos!$F$1:$F$1325,"Ingreso")</f>
        <v>15000</v>
      </c>
      <c r="P35" s="44">
        <f>SUMIFS(Movimientos!$J$1:$J$1325,Movimientos!$C$1:$C$1325,$B35,Movimientos!$D$1:$D$1325,$C35,Movimientos!$L$1:$L$1325,A$4,Movimientos!$F$1:$F$1325,"Egreso")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SUMIFS(Movimientos!$J$1:$J$1325,Movimientos!$C$1:$C$1325,$B35,Movimientos!$D$1:$D$1325,$C35,Movimientos!$L$1:$L$1325,A$5,Movimientos!$F$1:$F$1325,"Ingreso")</f>
        <v>0</v>
      </c>
      <c r="U35" s="44">
        <f>SUMIFS(Movimientos!$J$1:$J$1325,Movimientos!$C$1:$C$1325,$B35,Movimientos!$D$1:$D$1325,$C35,Movimientos!$L$1:$L$1325,A$5,Movimientos!$F$1:$F$1325,"Egreso")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SUMIFS(Movimientos!$J$1:$J$1325,Movimientos!$C$1:$C$1325,$B35,Movimientos!$D$1:$D$1325,$C35,Movimientos!$L$1:$L$1325,A$6,Movimientos!$F$1:$F$1325,"Ingreso")</f>
        <v>6500</v>
      </c>
      <c r="Z35" s="44">
        <f>SUMIFS(Movimientos!$J$1:$J$1325,Movimientos!$C$1:$C$1325,$B35,Movimientos!$D$1:$D$1325,$C35,Movimientos!$L$1:$L$1325,F$5,Movimientos!$F$1:$F$1325,"Egreso")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E158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158" sqref="F158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30" width="10.88671875" customWidth="1"/>
    <col min="31" max="31" width="15.88671875" customWidth="1"/>
  </cols>
  <sheetData>
    <row r="1" spans="1:31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194</v>
      </c>
      <c r="X1" s="20" t="s">
        <v>195</v>
      </c>
      <c r="Y1" s="20" t="s">
        <v>196</v>
      </c>
      <c r="Z1" s="20" t="s">
        <v>197</v>
      </c>
      <c r="AA1" s="20" t="s">
        <v>198</v>
      </c>
      <c r="AB1" s="20" t="s">
        <v>216</v>
      </c>
      <c r="AC1" s="20" t="s">
        <v>200</v>
      </c>
      <c r="AD1" s="20" t="s">
        <v>201</v>
      </c>
      <c r="AE1" s="21" t="s">
        <v>145</v>
      </c>
    </row>
    <row r="2" spans="1:31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LLC",Movimientos!$B$1:$B$1325,"&lt;="&amp;$B2))</f>
        <v>0</v>
      </c>
      <c r="W2" s="24">
        <f>IF(YEAR($B2)*100+MONTH($B2)&lt;--SUBSTITUTE(_xlfn.XLOOKUP("CFT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",Movimientos!$B$1:$B$1325,"&lt;="&amp;$B2))</f>
        <v>0</v>
      </c>
      <c r="AC2" s="24" t="e">
        <f>IF(YEAR($B2)*100+MONTH($B2)&lt;--SUBSTITUTE(_xlfn.XLOOKUP("SYIP",'Saldos Iniciales'!$A:$A,'Saldos Iniciales'!$C:$C),"-",""),0,SUMIFS('Saldos Iniciales'!$D:$D,'Saldos Iniciales'!$A:$A,"SYIP")+SUMIFS(Movimientos!$K$1:$K$1325,Movimientos!$C$1:$C$1325,"SYIP",Movimientos!$B$1:$B$1325,"&lt;="&amp;$B2))</f>
        <v>#N/A</v>
      </c>
      <c r="AD2" s="24">
        <f>IF(YEAR($B2)*100+MONTH($B2)&lt;--SUBSTITUTE(_xlfn.XLOOKUP("Nobe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Aparments",Movimientos!$B$1:$B$1325,"&lt;="&amp;$B2))</f>
        <v>0</v>
      </c>
      <c r="AE2" s="25">
        <v>2065860.3599999996</v>
      </c>
    </row>
    <row r="3" spans="1:31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LLC",Movimientos!$B$1:$B$1325,"&lt;="&amp;$B3))</f>
        <v>0</v>
      </c>
      <c r="W3" s="24">
        <f>IF(YEAR($B3)*100+MONTH($B3)&lt;--SUBSTITUTE(_xlfn.XLOOKUP("CFT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",Movimientos!$B$1:$B$1325,"&lt;="&amp;$B3))</f>
        <v>0</v>
      </c>
      <c r="AC3" s="24" t="e">
        <f>IF(YEAR($B3)*100+MONTH($B3)&lt;--SUBSTITUTE(_xlfn.XLOOKUP("SYIP",'Saldos Iniciales'!$A:$A,'Saldos Iniciales'!$C:$C),"-",""),0,SUMIFS('Saldos Iniciales'!$D:$D,'Saldos Iniciales'!$A:$A,"SYIP")+SUMIFS(Movimientos!$K$1:$K$1325,Movimientos!$C$1:$C$1325,"SYIP",Movimientos!$B$1:$B$1325,"&lt;="&amp;$B3))</f>
        <v>#N/A</v>
      </c>
      <c r="AD3" s="24">
        <f>IF(YEAR($B3)*100+MONTH($B3)&lt;--SUBSTITUTE(_xlfn.XLOOKUP("Nobe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Aparments",Movimientos!$B$1:$B$1325,"&lt;="&amp;$B3))</f>
        <v>0</v>
      </c>
      <c r="AE3" s="25">
        <v>2065860.3599999996</v>
      </c>
    </row>
    <row r="4" spans="1:31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LLC",Movimientos!$B$1:$B$1325,"&lt;="&amp;$B4))</f>
        <v>0</v>
      </c>
      <c r="W4" s="24">
        <f>IF(YEAR($B4)*100+MONTH($B4)&lt;--SUBSTITUTE(_xlfn.XLOOKUP("CFT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",Movimientos!$B$1:$B$1325,"&lt;="&amp;$B4))</f>
        <v>0</v>
      </c>
      <c r="AC4" s="24" t="e">
        <f>IF(YEAR($B4)*100+MONTH($B4)&lt;--SUBSTITUTE(_xlfn.XLOOKUP("SYIP",'Saldos Iniciales'!$A:$A,'Saldos Iniciales'!$C:$C),"-",""),0,SUMIFS('Saldos Iniciales'!$D:$D,'Saldos Iniciales'!$A:$A,"SYIP")+SUMIFS(Movimientos!$K$1:$K$1325,Movimientos!$C$1:$C$1325,"SYIP",Movimientos!$B$1:$B$1325,"&lt;="&amp;$B4))</f>
        <v>#N/A</v>
      </c>
      <c r="AD4" s="24">
        <f>IF(YEAR($B4)*100+MONTH($B4)&lt;--SUBSTITUTE(_xlfn.XLOOKUP("Nobe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Aparments",Movimientos!$B$1:$B$1325,"&lt;="&amp;$B4))</f>
        <v>0</v>
      </c>
      <c r="AE4" s="25">
        <v>2065860.3599999996</v>
      </c>
    </row>
    <row r="5" spans="1:31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LLC",Movimientos!$B$1:$B$1325,"&lt;="&amp;$B5))</f>
        <v>0</v>
      </c>
      <c r="W5" s="24">
        <f>IF(YEAR($B5)*100+MONTH($B5)&lt;--SUBSTITUTE(_xlfn.XLOOKUP("CFT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",Movimientos!$B$1:$B$1325,"&lt;="&amp;$B5))</f>
        <v>0</v>
      </c>
      <c r="AC5" s="24" t="e">
        <f>IF(YEAR($B5)*100+MONTH($B5)&lt;--SUBSTITUTE(_xlfn.XLOOKUP("SYIP",'Saldos Iniciales'!$A:$A,'Saldos Iniciales'!$C:$C),"-",""),0,SUMIFS('Saldos Iniciales'!$D:$D,'Saldos Iniciales'!$A:$A,"SYIP")+SUMIFS(Movimientos!$K$1:$K$1325,Movimientos!$C$1:$C$1325,"SYIP",Movimientos!$B$1:$B$1325,"&lt;="&amp;$B5))</f>
        <v>#N/A</v>
      </c>
      <c r="AD5" s="24">
        <f>IF(YEAR($B5)*100+MONTH($B5)&lt;--SUBSTITUTE(_xlfn.XLOOKUP("Nobe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Aparments",Movimientos!$B$1:$B$1325,"&lt;="&amp;$B5))</f>
        <v>0</v>
      </c>
      <c r="AE5" s="25">
        <v>2855136.35</v>
      </c>
    </row>
    <row r="6" spans="1:31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LLC",Movimientos!$B$1:$B$1325,"&lt;="&amp;$B6))</f>
        <v>0</v>
      </c>
      <c r="W6" s="24">
        <f>IF(YEAR($B6)*100+MONTH($B6)&lt;--SUBSTITUTE(_xlfn.XLOOKUP("CFT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",Movimientos!$B$1:$B$1325,"&lt;="&amp;$B6))</f>
        <v>0</v>
      </c>
      <c r="AC6" s="24" t="e">
        <f>IF(YEAR($B6)*100+MONTH($B6)&lt;--SUBSTITUTE(_xlfn.XLOOKUP("SYIP",'Saldos Iniciales'!$A:$A,'Saldos Iniciales'!$C:$C),"-",""),0,SUMIFS('Saldos Iniciales'!$D:$D,'Saldos Iniciales'!$A:$A,"SYIP")+SUMIFS(Movimientos!$K$1:$K$1325,Movimientos!$C$1:$C$1325,"SYIP",Movimientos!$B$1:$B$1325,"&lt;="&amp;$B6))</f>
        <v>#N/A</v>
      </c>
      <c r="AD6" s="24">
        <f>IF(YEAR($B6)*100+MONTH($B6)&lt;--SUBSTITUTE(_xlfn.XLOOKUP("Nobe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Aparments",Movimientos!$B$1:$B$1325,"&lt;="&amp;$B6))</f>
        <v>0</v>
      </c>
      <c r="AE6" s="25">
        <v>3338601.0599999996</v>
      </c>
    </row>
    <row r="7" spans="1:31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LLC",Movimientos!$B$1:$B$1325,"&lt;="&amp;$B7))</f>
        <v>0</v>
      </c>
      <c r="W7" s="24">
        <f>IF(YEAR($B7)*100+MONTH($B7)&lt;--SUBSTITUTE(_xlfn.XLOOKUP("CFT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",Movimientos!$B$1:$B$1325,"&lt;="&amp;$B7))</f>
        <v>0</v>
      </c>
      <c r="AC7" s="24" t="e">
        <f>IF(YEAR($B7)*100+MONTH($B7)&lt;--SUBSTITUTE(_xlfn.XLOOKUP("SYIP",'Saldos Iniciales'!$A:$A,'Saldos Iniciales'!$C:$C),"-",""),0,SUMIFS('Saldos Iniciales'!$D:$D,'Saldos Iniciales'!$A:$A,"SYIP")+SUMIFS(Movimientos!$K$1:$K$1325,Movimientos!$C$1:$C$1325,"SYIP",Movimientos!$B$1:$B$1325,"&lt;="&amp;$B7))</f>
        <v>#N/A</v>
      </c>
      <c r="AD7" s="24">
        <f>IF(YEAR($B7)*100+MONTH($B7)&lt;--SUBSTITUTE(_xlfn.XLOOKUP("Nobe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Aparments",Movimientos!$B$1:$B$1325,"&lt;="&amp;$B7))</f>
        <v>0</v>
      </c>
      <c r="AE7" s="25">
        <v>3784202.4299999997</v>
      </c>
    </row>
    <row r="8" spans="1:31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LLC",Movimientos!$B$1:$B$1325,"&lt;="&amp;$B8))</f>
        <v>0</v>
      </c>
      <c r="W8" s="24">
        <f>IF(YEAR($B8)*100+MONTH($B8)&lt;--SUBSTITUTE(_xlfn.XLOOKUP("CFT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",Movimientos!$B$1:$B$1325,"&lt;="&amp;$B8))</f>
        <v>0</v>
      </c>
      <c r="AC8" s="24" t="e">
        <f>IF(YEAR($B8)*100+MONTH($B8)&lt;--SUBSTITUTE(_xlfn.XLOOKUP("SYIP",'Saldos Iniciales'!$A:$A,'Saldos Iniciales'!$C:$C),"-",""),0,SUMIFS('Saldos Iniciales'!$D:$D,'Saldos Iniciales'!$A:$A,"SYIP")+SUMIFS(Movimientos!$K$1:$K$1325,Movimientos!$C$1:$C$1325,"SYIP",Movimientos!$B$1:$B$1325,"&lt;="&amp;$B8))</f>
        <v>#N/A</v>
      </c>
      <c r="AD8" s="24">
        <f>IF(YEAR($B8)*100+MONTH($B8)&lt;--SUBSTITUTE(_xlfn.XLOOKUP("Nobe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Aparments",Movimientos!$B$1:$B$1325,"&lt;="&amp;$B8))</f>
        <v>0</v>
      </c>
      <c r="AE8" s="25">
        <v>3433881.52</v>
      </c>
    </row>
    <row r="9" spans="1:31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LLC",Movimientos!$B$1:$B$1325,"&lt;="&amp;$B9))</f>
        <v>0</v>
      </c>
      <c r="W9" s="24">
        <f>IF(YEAR($B9)*100+MONTH($B9)&lt;--SUBSTITUTE(_xlfn.XLOOKUP("CFT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",Movimientos!$B$1:$B$1325,"&lt;="&amp;$B9))</f>
        <v>0</v>
      </c>
      <c r="AC9" s="24" t="e">
        <f>IF(YEAR($B9)*100+MONTH($B9)&lt;--SUBSTITUTE(_xlfn.XLOOKUP("SYIP",'Saldos Iniciales'!$A:$A,'Saldos Iniciales'!$C:$C),"-",""),0,SUMIFS('Saldos Iniciales'!$D:$D,'Saldos Iniciales'!$A:$A,"SYIP")+SUMIFS(Movimientos!$K$1:$K$1325,Movimientos!$C$1:$C$1325,"SYIP",Movimientos!$B$1:$B$1325,"&lt;="&amp;$B9))</f>
        <v>#N/A</v>
      </c>
      <c r="AD9" s="24">
        <f>IF(YEAR($B9)*100+MONTH($B9)&lt;--SUBSTITUTE(_xlfn.XLOOKUP("Nobe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Aparments",Movimientos!$B$1:$B$1325,"&lt;="&amp;$B9))</f>
        <v>0</v>
      </c>
      <c r="AE9" s="25">
        <v>2529213.1199999996</v>
      </c>
    </row>
    <row r="10" spans="1:31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LLC",Movimientos!$B$1:$B$1325,"&lt;="&amp;$B10))</f>
        <v>0</v>
      </c>
      <c r="W10" s="24">
        <f>IF(YEAR($B10)*100+MONTH($B10)&lt;--SUBSTITUTE(_xlfn.XLOOKUP("CFT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",Movimientos!$B$1:$B$1325,"&lt;="&amp;$B10))</f>
        <v>0</v>
      </c>
      <c r="AC10" s="24" t="e">
        <f>IF(YEAR($B10)*100+MONTH($B10)&lt;--SUBSTITUTE(_xlfn.XLOOKUP("SYIP",'Saldos Iniciales'!$A:$A,'Saldos Iniciales'!$C:$C),"-",""),0,SUMIFS('Saldos Iniciales'!$D:$D,'Saldos Iniciales'!$A:$A,"SYIP")+SUMIFS(Movimientos!$K$1:$K$1325,Movimientos!$C$1:$C$1325,"SYIP",Movimientos!$B$1:$B$1325,"&lt;="&amp;$B10))</f>
        <v>#N/A</v>
      </c>
      <c r="AD10" s="24">
        <f>IF(YEAR($B10)*100+MONTH($B10)&lt;--SUBSTITUTE(_xlfn.XLOOKUP("Nobe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Aparments",Movimientos!$B$1:$B$1325,"&lt;="&amp;$B10))</f>
        <v>0</v>
      </c>
      <c r="AE10" s="25">
        <v>2529213.1199999996</v>
      </c>
    </row>
    <row r="11" spans="1:31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LLC",Movimientos!$B$1:$B$1325,"&lt;="&amp;$B11))</f>
        <v>0</v>
      </c>
      <c r="W11" s="24">
        <f>IF(YEAR($B11)*100+MONTH($B11)&lt;--SUBSTITUTE(_xlfn.XLOOKUP("CFT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",Movimientos!$B$1:$B$1325,"&lt;="&amp;$B11))</f>
        <v>0</v>
      </c>
      <c r="AC11" s="24" t="e">
        <f>IF(YEAR($B11)*100+MONTH($B11)&lt;--SUBSTITUTE(_xlfn.XLOOKUP("SYIP",'Saldos Iniciales'!$A:$A,'Saldos Iniciales'!$C:$C),"-",""),0,SUMIFS('Saldos Iniciales'!$D:$D,'Saldos Iniciales'!$A:$A,"SYIP")+SUMIFS(Movimientos!$K$1:$K$1325,Movimientos!$C$1:$C$1325,"SYIP",Movimientos!$B$1:$B$1325,"&lt;="&amp;$B11))</f>
        <v>#N/A</v>
      </c>
      <c r="AD11" s="24">
        <f>IF(YEAR($B11)*100+MONTH($B11)&lt;--SUBSTITUTE(_xlfn.XLOOKUP("Nobe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Aparments",Movimientos!$B$1:$B$1325,"&lt;="&amp;$B11))</f>
        <v>0</v>
      </c>
      <c r="AE11" s="25">
        <v>2529213.1199999996</v>
      </c>
    </row>
    <row r="12" spans="1:31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LLC",Movimientos!$B$1:$B$1325,"&lt;="&amp;$B12))</f>
        <v>0</v>
      </c>
      <c r="W12" s="24">
        <f>IF(YEAR($B12)*100+MONTH($B12)&lt;--SUBSTITUTE(_xlfn.XLOOKUP("CFT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",Movimientos!$B$1:$B$1325,"&lt;="&amp;$B12))</f>
        <v>0</v>
      </c>
      <c r="AC12" s="24" t="e">
        <f>IF(YEAR($B12)*100+MONTH($B12)&lt;--SUBSTITUTE(_xlfn.XLOOKUP("SYIP",'Saldos Iniciales'!$A:$A,'Saldos Iniciales'!$C:$C),"-",""),0,SUMIFS('Saldos Iniciales'!$D:$D,'Saldos Iniciales'!$A:$A,"SYIP")+SUMIFS(Movimientos!$K$1:$K$1325,Movimientos!$C$1:$C$1325,"SYIP",Movimientos!$B$1:$B$1325,"&lt;="&amp;$B12))</f>
        <v>#N/A</v>
      </c>
      <c r="AD12" s="24">
        <f>IF(YEAR($B12)*100+MONTH($B12)&lt;--SUBSTITUTE(_xlfn.XLOOKUP("Nobe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Aparments",Movimientos!$B$1:$B$1325,"&lt;="&amp;$B12))</f>
        <v>0</v>
      </c>
      <c r="AE12" s="25">
        <v>3335570.8099999996</v>
      </c>
    </row>
    <row r="13" spans="1:31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LLC",Movimientos!$B$1:$B$1325,"&lt;="&amp;$B13))</f>
        <v>0</v>
      </c>
      <c r="W13" s="24">
        <f>IF(YEAR($B13)*100+MONTH($B13)&lt;--SUBSTITUTE(_xlfn.XLOOKUP("CFT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",Movimientos!$B$1:$B$1325,"&lt;="&amp;$B13))</f>
        <v>0</v>
      </c>
      <c r="AC13" s="24" t="e">
        <f>IF(YEAR($B13)*100+MONTH($B13)&lt;--SUBSTITUTE(_xlfn.XLOOKUP("SYIP",'Saldos Iniciales'!$A:$A,'Saldos Iniciales'!$C:$C),"-",""),0,SUMIFS('Saldos Iniciales'!$D:$D,'Saldos Iniciales'!$A:$A,"SYIP")+SUMIFS(Movimientos!$K$1:$K$1325,Movimientos!$C$1:$C$1325,"SYIP",Movimientos!$B$1:$B$1325,"&lt;="&amp;$B13))</f>
        <v>#N/A</v>
      </c>
      <c r="AD13" s="24">
        <f>IF(YEAR($B13)*100+MONTH($B13)&lt;--SUBSTITUTE(_xlfn.XLOOKUP("Nobe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Aparments",Movimientos!$B$1:$B$1325,"&lt;="&amp;$B13))</f>
        <v>0</v>
      </c>
      <c r="AE13" s="25">
        <v>3286853.0199999991</v>
      </c>
    </row>
    <row r="14" spans="1:31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LLC",Movimientos!$B$1:$B$1325,"&lt;="&amp;$B14))</f>
        <v>0</v>
      </c>
      <c r="W14" s="24">
        <f>IF(YEAR($B14)*100+MONTH($B14)&lt;--SUBSTITUTE(_xlfn.XLOOKUP("CFT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",Movimientos!$B$1:$B$1325,"&lt;="&amp;$B14))</f>
        <v>0</v>
      </c>
      <c r="AC14" s="24" t="e">
        <f>IF(YEAR($B14)*100+MONTH($B14)&lt;--SUBSTITUTE(_xlfn.XLOOKUP("SYIP",'Saldos Iniciales'!$A:$A,'Saldos Iniciales'!$C:$C),"-",""),0,SUMIFS('Saldos Iniciales'!$D:$D,'Saldos Iniciales'!$A:$A,"SYIP")+SUMIFS(Movimientos!$K$1:$K$1325,Movimientos!$C$1:$C$1325,"SYIP",Movimientos!$B$1:$B$1325,"&lt;="&amp;$B14))</f>
        <v>#N/A</v>
      </c>
      <c r="AD14" s="24">
        <f>IF(YEAR($B14)*100+MONTH($B14)&lt;--SUBSTITUTE(_xlfn.XLOOKUP("Nobe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Aparments",Movimientos!$B$1:$B$1325,"&lt;="&amp;$B14))</f>
        <v>0</v>
      </c>
      <c r="AE14" s="25">
        <v>3301228.1399999997</v>
      </c>
    </row>
    <row r="15" spans="1:31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LLC",Movimientos!$B$1:$B$1325,"&lt;="&amp;$B15))</f>
        <v>0</v>
      </c>
      <c r="W15" s="24">
        <f>IF(YEAR($B15)*100+MONTH($B15)&lt;--SUBSTITUTE(_xlfn.XLOOKUP("CFT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",Movimientos!$B$1:$B$1325,"&lt;="&amp;$B15))</f>
        <v>0</v>
      </c>
      <c r="AC15" s="24" t="e">
        <f>IF(YEAR($B15)*100+MONTH($B15)&lt;--SUBSTITUTE(_xlfn.XLOOKUP("SYIP",'Saldos Iniciales'!$A:$A,'Saldos Iniciales'!$C:$C),"-",""),0,SUMIFS('Saldos Iniciales'!$D:$D,'Saldos Iniciales'!$A:$A,"SYIP")+SUMIFS(Movimientos!$K$1:$K$1325,Movimientos!$C$1:$C$1325,"SYIP",Movimientos!$B$1:$B$1325,"&lt;="&amp;$B15))</f>
        <v>#N/A</v>
      </c>
      <c r="AD15" s="24">
        <f>IF(YEAR($B15)*100+MONTH($B15)&lt;--SUBSTITUTE(_xlfn.XLOOKUP("Nobe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Aparments",Movimientos!$B$1:$B$1325,"&lt;="&amp;$B15))</f>
        <v>0</v>
      </c>
      <c r="AE15" s="25">
        <v>2238459.8799999994</v>
      </c>
    </row>
    <row r="16" spans="1:31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LLC",Movimientos!$B$1:$B$1325,"&lt;="&amp;$B16))</f>
        <v>0</v>
      </c>
      <c r="W16" s="24">
        <f>IF(YEAR($B16)*100+MONTH($B16)&lt;--SUBSTITUTE(_xlfn.XLOOKUP("CFT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",Movimientos!$B$1:$B$1325,"&lt;="&amp;$B16))</f>
        <v>0</v>
      </c>
      <c r="AC16" s="24" t="e">
        <f>IF(YEAR($B16)*100+MONTH($B16)&lt;--SUBSTITUTE(_xlfn.XLOOKUP("SYIP",'Saldos Iniciales'!$A:$A,'Saldos Iniciales'!$C:$C),"-",""),0,SUMIFS('Saldos Iniciales'!$D:$D,'Saldos Iniciales'!$A:$A,"SYIP")+SUMIFS(Movimientos!$K$1:$K$1325,Movimientos!$C$1:$C$1325,"SYIP",Movimientos!$B$1:$B$1325,"&lt;="&amp;$B16))</f>
        <v>#N/A</v>
      </c>
      <c r="AD16" s="24">
        <f>IF(YEAR($B16)*100+MONTH($B16)&lt;--SUBSTITUTE(_xlfn.XLOOKUP("Nobe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Aparments",Movimientos!$B$1:$B$1325,"&lt;="&amp;$B16))</f>
        <v>0</v>
      </c>
      <c r="AE16" s="25">
        <v>2233464.8899999997</v>
      </c>
    </row>
    <row r="17" spans="1:31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LLC",Movimientos!$B$1:$B$1325,"&lt;="&amp;$B17))</f>
        <v>0</v>
      </c>
      <c r="W17" s="24">
        <f>IF(YEAR($B17)*100+MONTH($B17)&lt;--SUBSTITUTE(_xlfn.XLOOKUP("CFT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",Movimientos!$B$1:$B$1325,"&lt;="&amp;$B17))</f>
        <v>0</v>
      </c>
      <c r="AC17" s="24" t="e">
        <f>IF(YEAR($B17)*100+MONTH($B17)&lt;--SUBSTITUTE(_xlfn.XLOOKUP("SYIP",'Saldos Iniciales'!$A:$A,'Saldos Iniciales'!$C:$C),"-",""),0,SUMIFS('Saldos Iniciales'!$D:$D,'Saldos Iniciales'!$A:$A,"SYIP")+SUMIFS(Movimientos!$K$1:$K$1325,Movimientos!$C$1:$C$1325,"SYIP",Movimientos!$B$1:$B$1325,"&lt;="&amp;$B17))</f>
        <v>#N/A</v>
      </c>
      <c r="AD17" s="24">
        <f>IF(YEAR($B17)*100+MONTH($B17)&lt;--SUBSTITUTE(_xlfn.XLOOKUP("Nobe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Aparments",Movimientos!$B$1:$B$1325,"&lt;="&amp;$B17))</f>
        <v>0</v>
      </c>
      <c r="AE17" s="25">
        <v>2233464.8899999997</v>
      </c>
    </row>
    <row r="18" spans="1:31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LLC",Movimientos!$B$1:$B$1325,"&lt;="&amp;$B18))</f>
        <v>0</v>
      </c>
      <c r="W18" s="24">
        <f>IF(YEAR($B18)*100+MONTH($B18)&lt;--SUBSTITUTE(_xlfn.XLOOKUP("CFT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",Movimientos!$B$1:$B$1325,"&lt;="&amp;$B18))</f>
        <v>0</v>
      </c>
      <c r="AC18" s="24" t="e">
        <f>IF(YEAR($B18)*100+MONTH($B18)&lt;--SUBSTITUTE(_xlfn.XLOOKUP("SYIP",'Saldos Iniciales'!$A:$A,'Saldos Iniciales'!$C:$C),"-",""),0,SUMIFS('Saldos Iniciales'!$D:$D,'Saldos Iniciales'!$A:$A,"SYIP")+SUMIFS(Movimientos!$K$1:$K$1325,Movimientos!$C$1:$C$1325,"SYIP",Movimientos!$B$1:$B$1325,"&lt;="&amp;$B18))</f>
        <v>#N/A</v>
      </c>
      <c r="AD18" s="24">
        <f>IF(YEAR($B18)*100+MONTH($B18)&lt;--SUBSTITUTE(_xlfn.XLOOKUP("Nobe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Aparments",Movimientos!$B$1:$B$1325,"&lt;="&amp;$B18))</f>
        <v>0</v>
      </c>
      <c r="AE18" s="25">
        <v>2233464.8899999997</v>
      </c>
    </row>
    <row r="19" spans="1:31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LLC",Movimientos!$B$1:$B$1325,"&lt;="&amp;$B19))</f>
        <v>0</v>
      </c>
      <c r="W19" s="24">
        <f>IF(YEAR($B19)*100+MONTH($B19)&lt;--SUBSTITUTE(_xlfn.XLOOKUP("CFT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",Movimientos!$B$1:$B$1325,"&lt;="&amp;$B19))</f>
        <v>0</v>
      </c>
      <c r="AC19" s="24" t="e">
        <f>IF(YEAR($B19)*100+MONTH($B19)&lt;--SUBSTITUTE(_xlfn.XLOOKUP("SYIP",'Saldos Iniciales'!$A:$A,'Saldos Iniciales'!$C:$C),"-",""),0,SUMIFS('Saldos Iniciales'!$D:$D,'Saldos Iniciales'!$A:$A,"SYIP")+SUMIFS(Movimientos!$K$1:$K$1325,Movimientos!$C$1:$C$1325,"SYIP",Movimientos!$B$1:$B$1325,"&lt;="&amp;$B19))</f>
        <v>#N/A</v>
      </c>
      <c r="AD19" s="24">
        <f>IF(YEAR($B19)*100+MONTH($B19)&lt;--SUBSTITUTE(_xlfn.XLOOKUP("Nobe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Aparments",Movimientos!$B$1:$B$1325,"&lt;="&amp;$B19))</f>
        <v>0</v>
      </c>
      <c r="AE19" s="25">
        <v>2206995.0399999996</v>
      </c>
    </row>
    <row r="20" spans="1:31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LLC",Movimientos!$B$1:$B$1325,"&lt;="&amp;$B20))</f>
        <v>0</v>
      </c>
      <c r="W20" s="24">
        <f>IF(YEAR($B20)*100+MONTH($B20)&lt;--SUBSTITUTE(_xlfn.XLOOKUP("CFT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",Movimientos!$B$1:$B$1325,"&lt;="&amp;$B20))</f>
        <v>0</v>
      </c>
      <c r="AC20" s="24" t="e">
        <f>IF(YEAR($B20)*100+MONTH($B20)&lt;--SUBSTITUTE(_xlfn.XLOOKUP("SYIP",'Saldos Iniciales'!$A:$A,'Saldos Iniciales'!$C:$C),"-",""),0,SUMIFS('Saldos Iniciales'!$D:$D,'Saldos Iniciales'!$A:$A,"SYIP")+SUMIFS(Movimientos!$K$1:$K$1325,Movimientos!$C$1:$C$1325,"SYIP",Movimientos!$B$1:$B$1325,"&lt;="&amp;$B20))</f>
        <v>#N/A</v>
      </c>
      <c r="AD20" s="24">
        <f>IF(YEAR($B20)*100+MONTH($B20)&lt;--SUBSTITUTE(_xlfn.XLOOKUP("Nobe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Aparments",Movimientos!$B$1:$B$1325,"&lt;="&amp;$B20))</f>
        <v>0</v>
      </c>
      <c r="AE20" s="25">
        <v>2828874.51</v>
      </c>
    </row>
    <row r="21" spans="1:31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LLC",Movimientos!$B$1:$B$1325,"&lt;="&amp;$B21))</f>
        <v>0</v>
      </c>
      <c r="W21" s="24">
        <f>IF(YEAR($B21)*100+MONTH($B21)&lt;--SUBSTITUTE(_xlfn.XLOOKUP("CFT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",Movimientos!$B$1:$B$1325,"&lt;="&amp;$B21))</f>
        <v>0</v>
      </c>
      <c r="AC21" s="24" t="e">
        <f>IF(YEAR($B21)*100+MONTH($B21)&lt;--SUBSTITUTE(_xlfn.XLOOKUP("SYIP",'Saldos Iniciales'!$A:$A,'Saldos Iniciales'!$C:$C),"-",""),0,SUMIFS('Saldos Iniciales'!$D:$D,'Saldos Iniciales'!$A:$A,"SYIP")+SUMIFS(Movimientos!$K$1:$K$1325,Movimientos!$C$1:$C$1325,"SYIP",Movimientos!$B$1:$B$1325,"&lt;="&amp;$B21))</f>
        <v>#N/A</v>
      </c>
      <c r="AD21" s="24">
        <f>IF(YEAR($B21)*100+MONTH($B21)&lt;--SUBSTITUTE(_xlfn.XLOOKUP("Nobe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Aparments",Movimientos!$B$1:$B$1325,"&lt;="&amp;$B21))</f>
        <v>0</v>
      </c>
      <c r="AE21" s="25">
        <v>2252452.4599999995</v>
      </c>
    </row>
    <row r="22" spans="1:31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LLC",Movimientos!$B$1:$B$1325,"&lt;="&amp;$B22))</f>
        <v>0</v>
      </c>
      <c r="W22" s="24">
        <f>IF(YEAR($B22)*100+MONTH($B22)&lt;--SUBSTITUTE(_xlfn.XLOOKUP("CFT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",Movimientos!$B$1:$B$1325,"&lt;="&amp;$B22))</f>
        <v>0</v>
      </c>
      <c r="AC22" s="24" t="e">
        <f>IF(YEAR($B22)*100+MONTH($B22)&lt;--SUBSTITUTE(_xlfn.XLOOKUP("SYIP",'Saldos Iniciales'!$A:$A,'Saldos Iniciales'!$C:$C),"-",""),0,SUMIFS('Saldos Iniciales'!$D:$D,'Saldos Iniciales'!$A:$A,"SYIP")+SUMIFS(Movimientos!$K$1:$K$1325,Movimientos!$C$1:$C$1325,"SYIP",Movimientos!$B$1:$B$1325,"&lt;="&amp;$B22))</f>
        <v>#N/A</v>
      </c>
      <c r="AD22" s="24">
        <f>IF(YEAR($B22)*100+MONTH($B22)&lt;--SUBSTITUTE(_xlfn.XLOOKUP("Nobe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Aparments",Movimientos!$B$1:$B$1325,"&lt;="&amp;$B22))</f>
        <v>0</v>
      </c>
      <c r="AE22" s="25">
        <v>2592452.4599999995</v>
      </c>
    </row>
    <row r="23" spans="1:31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LLC",Movimientos!$B$1:$B$1325,"&lt;="&amp;$B23))</f>
        <v>0</v>
      </c>
      <c r="W23" s="24">
        <f>IF(YEAR($B23)*100+MONTH($B23)&lt;--SUBSTITUTE(_xlfn.XLOOKUP("CFT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",Movimientos!$B$1:$B$1325,"&lt;="&amp;$B23))</f>
        <v>0</v>
      </c>
      <c r="AC23" s="24" t="e">
        <f>IF(YEAR($B23)*100+MONTH($B23)&lt;--SUBSTITUTE(_xlfn.XLOOKUP("SYIP",'Saldos Iniciales'!$A:$A,'Saldos Iniciales'!$C:$C),"-",""),0,SUMIFS('Saldos Iniciales'!$D:$D,'Saldos Iniciales'!$A:$A,"SYIP")+SUMIFS(Movimientos!$K$1:$K$1325,Movimientos!$C$1:$C$1325,"SYIP",Movimientos!$B$1:$B$1325,"&lt;="&amp;$B23))</f>
        <v>#N/A</v>
      </c>
      <c r="AD23" s="24">
        <f>IF(YEAR($B23)*100+MONTH($B23)&lt;--SUBSTITUTE(_xlfn.XLOOKUP("Nobe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Aparments",Movimientos!$B$1:$B$1325,"&lt;="&amp;$B23))</f>
        <v>0</v>
      </c>
      <c r="AE23" s="25">
        <v>2591689.4699999993</v>
      </c>
    </row>
    <row r="24" spans="1:31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LLC",Movimientos!$B$1:$B$1325,"&lt;="&amp;$B24))</f>
        <v>0</v>
      </c>
      <c r="W24" s="24">
        <f>IF(YEAR($B24)*100+MONTH($B24)&lt;--SUBSTITUTE(_xlfn.XLOOKUP("CFT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",Movimientos!$B$1:$B$1325,"&lt;="&amp;$B24))</f>
        <v>0</v>
      </c>
      <c r="AC24" s="24" t="e">
        <f>IF(YEAR($B24)*100+MONTH($B24)&lt;--SUBSTITUTE(_xlfn.XLOOKUP("SYIP",'Saldos Iniciales'!$A:$A,'Saldos Iniciales'!$C:$C),"-",""),0,SUMIFS('Saldos Iniciales'!$D:$D,'Saldos Iniciales'!$A:$A,"SYIP")+SUMIFS(Movimientos!$K$1:$K$1325,Movimientos!$C$1:$C$1325,"SYIP",Movimientos!$B$1:$B$1325,"&lt;="&amp;$B24))</f>
        <v>#N/A</v>
      </c>
      <c r="AD24" s="24">
        <f>IF(YEAR($B24)*100+MONTH($B24)&lt;--SUBSTITUTE(_xlfn.XLOOKUP("Nobe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Aparments",Movimientos!$B$1:$B$1325,"&lt;="&amp;$B24))</f>
        <v>0</v>
      </c>
      <c r="AE24" s="25">
        <v>2591689.4699999993</v>
      </c>
    </row>
    <row r="25" spans="1:31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LLC",Movimientos!$B$1:$B$1325,"&lt;="&amp;$B25))</f>
        <v>0</v>
      </c>
      <c r="W25" s="24">
        <f>IF(YEAR($B25)*100+MONTH($B25)&lt;--SUBSTITUTE(_xlfn.XLOOKUP("CFT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",Movimientos!$B$1:$B$1325,"&lt;="&amp;$B25))</f>
        <v>0</v>
      </c>
      <c r="AC25" s="24" t="e">
        <f>IF(YEAR($B25)*100+MONTH($B25)&lt;--SUBSTITUTE(_xlfn.XLOOKUP("SYIP",'Saldos Iniciales'!$A:$A,'Saldos Iniciales'!$C:$C),"-",""),0,SUMIFS('Saldos Iniciales'!$D:$D,'Saldos Iniciales'!$A:$A,"SYIP")+SUMIFS(Movimientos!$K$1:$K$1325,Movimientos!$C$1:$C$1325,"SYIP",Movimientos!$B$1:$B$1325,"&lt;="&amp;$B25))</f>
        <v>#N/A</v>
      </c>
      <c r="AD25" s="24">
        <f>IF(YEAR($B25)*100+MONTH($B25)&lt;--SUBSTITUTE(_xlfn.XLOOKUP("Nobe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Aparments",Movimientos!$B$1:$B$1325,"&lt;="&amp;$B25))</f>
        <v>0</v>
      </c>
      <c r="AE25" s="25">
        <v>2591689.4699999993</v>
      </c>
    </row>
    <row r="26" spans="1:31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LLC",Movimientos!$B$1:$B$1325,"&lt;="&amp;$B26))</f>
        <v>0</v>
      </c>
      <c r="W26" s="24">
        <f>IF(YEAR($B26)*100+MONTH($B26)&lt;--SUBSTITUTE(_xlfn.XLOOKUP("CFT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",Movimientos!$B$1:$B$1325,"&lt;="&amp;$B26))</f>
        <v>0</v>
      </c>
      <c r="AC26" s="24" t="e">
        <f>IF(YEAR($B26)*100+MONTH($B26)&lt;--SUBSTITUTE(_xlfn.XLOOKUP("SYIP",'Saldos Iniciales'!$A:$A,'Saldos Iniciales'!$C:$C),"-",""),0,SUMIFS('Saldos Iniciales'!$D:$D,'Saldos Iniciales'!$A:$A,"SYIP")+SUMIFS(Movimientos!$K$1:$K$1325,Movimientos!$C$1:$C$1325,"SYIP",Movimientos!$B$1:$B$1325,"&lt;="&amp;$B26))</f>
        <v>#N/A</v>
      </c>
      <c r="AD26" s="24">
        <f>IF(YEAR($B26)*100+MONTH($B26)&lt;--SUBSTITUTE(_xlfn.XLOOKUP("Nobe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Aparments",Movimientos!$B$1:$B$1325,"&lt;="&amp;$B26))</f>
        <v>0</v>
      </c>
      <c r="AE26" s="25">
        <v>2591689.4699999993</v>
      </c>
    </row>
    <row r="27" spans="1:31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LLC",Movimientos!$B$1:$B$1325,"&lt;="&amp;$B27))</f>
        <v>0</v>
      </c>
      <c r="W27" s="24">
        <f>IF(YEAR($B27)*100+MONTH($B27)&lt;--SUBSTITUTE(_xlfn.XLOOKUP("CFT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",Movimientos!$B$1:$B$1325,"&lt;="&amp;$B27))</f>
        <v>0</v>
      </c>
      <c r="AC27" s="24" t="e">
        <f>IF(YEAR($B27)*100+MONTH($B27)&lt;--SUBSTITUTE(_xlfn.XLOOKUP("SYIP",'Saldos Iniciales'!$A:$A,'Saldos Iniciales'!$C:$C),"-",""),0,SUMIFS('Saldos Iniciales'!$D:$D,'Saldos Iniciales'!$A:$A,"SYIP")+SUMIFS(Movimientos!$K$1:$K$1325,Movimientos!$C$1:$C$1325,"SYIP",Movimientos!$B$1:$B$1325,"&lt;="&amp;$B27))</f>
        <v>#N/A</v>
      </c>
      <c r="AD27" s="24">
        <f>IF(YEAR($B27)*100+MONTH($B27)&lt;--SUBSTITUTE(_xlfn.XLOOKUP("Nobe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Aparments",Movimientos!$B$1:$B$1325,"&lt;="&amp;$B27))</f>
        <v>0</v>
      </c>
      <c r="AE27" s="25">
        <v>3302521.9999999991</v>
      </c>
    </row>
    <row r="28" spans="1:31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LLC",Movimientos!$B$1:$B$1325,"&lt;="&amp;$B28))</f>
        <v>0</v>
      </c>
      <c r="W28" s="24">
        <f>IF(YEAR($B28)*100+MONTH($B28)&lt;--SUBSTITUTE(_xlfn.XLOOKUP("CFT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",Movimientos!$B$1:$B$1325,"&lt;="&amp;$B28))</f>
        <v>0</v>
      </c>
      <c r="AC28" s="24" t="e">
        <f>IF(YEAR($B28)*100+MONTH($B28)&lt;--SUBSTITUTE(_xlfn.XLOOKUP("SYIP",'Saldos Iniciales'!$A:$A,'Saldos Iniciales'!$C:$C),"-",""),0,SUMIFS('Saldos Iniciales'!$D:$D,'Saldos Iniciales'!$A:$A,"SYIP")+SUMIFS(Movimientos!$K$1:$K$1325,Movimientos!$C$1:$C$1325,"SYIP",Movimientos!$B$1:$B$1325,"&lt;="&amp;$B28))</f>
        <v>#N/A</v>
      </c>
      <c r="AD28" s="24">
        <f>IF(YEAR($B28)*100+MONTH($B28)&lt;--SUBSTITUTE(_xlfn.XLOOKUP("Nobe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Aparments",Movimientos!$B$1:$B$1325,"&lt;="&amp;$B28))</f>
        <v>0</v>
      </c>
      <c r="AE28" s="25">
        <v>3330099.8599999994</v>
      </c>
    </row>
    <row r="29" spans="1:31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LLC",Movimientos!$B$1:$B$1325,"&lt;="&amp;$B29))</f>
        <v>0</v>
      </c>
      <c r="W29" s="24">
        <f>IF(YEAR($B29)*100+MONTH($B29)&lt;--SUBSTITUTE(_xlfn.XLOOKUP("CFT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",Movimientos!$B$1:$B$1325,"&lt;="&amp;$B29))</f>
        <v>0</v>
      </c>
      <c r="AC29" s="24" t="e">
        <f>IF(YEAR($B29)*100+MONTH($B29)&lt;--SUBSTITUTE(_xlfn.XLOOKUP("SYIP",'Saldos Iniciales'!$A:$A,'Saldos Iniciales'!$C:$C),"-",""),0,SUMIFS('Saldos Iniciales'!$D:$D,'Saldos Iniciales'!$A:$A,"SYIP")+SUMIFS(Movimientos!$K$1:$K$1325,Movimientos!$C$1:$C$1325,"SYIP",Movimientos!$B$1:$B$1325,"&lt;="&amp;$B29))</f>
        <v>#N/A</v>
      </c>
      <c r="AD29" s="24">
        <f>IF(YEAR($B29)*100+MONTH($B29)&lt;--SUBSTITUTE(_xlfn.XLOOKUP("Nobe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Aparments",Movimientos!$B$1:$B$1325,"&lt;="&amp;$B29))</f>
        <v>0</v>
      </c>
      <c r="AE29" s="25">
        <v>2843785.38</v>
      </c>
    </row>
    <row r="30" spans="1:31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LLC",Movimientos!$B$1:$B$1325,"&lt;="&amp;$B30))</f>
        <v>0</v>
      </c>
      <c r="W30" s="24">
        <f>IF(YEAR($B30)*100+MONTH($B30)&lt;--SUBSTITUTE(_xlfn.XLOOKUP("CFT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",Movimientos!$B$1:$B$1325,"&lt;="&amp;$B30))</f>
        <v>0</v>
      </c>
      <c r="AC30" s="24" t="e">
        <f>IF(YEAR($B30)*100+MONTH($B30)&lt;--SUBSTITUTE(_xlfn.XLOOKUP("SYIP",'Saldos Iniciales'!$A:$A,'Saldos Iniciales'!$C:$C),"-",""),0,SUMIFS('Saldos Iniciales'!$D:$D,'Saldos Iniciales'!$A:$A,"SYIP")+SUMIFS(Movimientos!$K$1:$K$1325,Movimientos!$C$1:$C$1325,"SYIP",Movimientos!$B$1:$B$1325,"&lt;="&amp;$B30))</f>
        <v>#N/A</v>
      </c>
      <c r="AD30" s="24">
        <f>IF(YEAR($B30)*100+MONTH($B30)&lt;--SUBSTITUTE(_xlfn.XLOOKUP("Nobe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Aparments",Movimientos!$B$1:$B$1325,"&lt;="&amp;$B30))</f>
        <v>0</v>
      </c>
      <c r="AE30" s="25">
        <v>2812673.3600000003</v>
      </c>
    </row>
    <row r="31" spans="1:31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LLC",Movimientos!$B$1:$B$1325,"&lt;="&amp;$B31))</f>
        <v>0</v>
      </c>
      <c r="W31" s="24">
        <f>IF(YEAR($B31)*100+MONTH($B31)&lt;--SUBSTITUTE(_xlfn.XLOOKUP("CFT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",Movimientos!$B$1:$B$1325,"&lt;="&amp;$B31))</f>
        <v>0</v>
      </c>
      <c r="AC31" s="24" t="e">
        <f>IF(YEAR($B31)*100+MONTH($B31)&lt;--SUBSTITUTE(_xlfn.XLOOKUP("SYIP",'Saldos Iniciales'!$A:$A,'Saldos Iniciales'!$C:$C),"-",""),0,SUMIFS('Saldos Iniciales'!$D:$D,'Saldos Iniciales'!$A:$A,"SYIP")+SUMIFS(Movimientos!$K$1:$K$1325,Movimientos!$C$1:$C$1325,"SYIP",Movimientos!$B$1:$B$1325,"&lt;="&amp;$B31))</f>
        <v>#N/A</v>
      </c>
      <c r="AD31" s="24">
        <f>IF(YEAR($B31)*100+MONTH($B31)&lt;--SUBSTITUTE(_xlfn.XLOOKUP("Nobe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Aparments",Movimientos!$B$1:$B$1325,"&lt;="&amp;$B31))</f>
        <v>0</v>
      </c>
      <c r="AE31" s="25">
        <v>2812673.3600000003</v>
      </c>
    </row>
    <row r="32" spans="1:31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LLC",Movimientos!$B$1:$B$1325,"&lt;="&amp;$B32))</f>
        <v>0</v>
      </c>
      <c r="W32" s="24">
        <f>IF(YEAR($B32)*100+MONTH($B32)&lt;--SUBSTITUTE(_xlfn.XLOOKUP("CFT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",Movimientos!$B$1:$B$1325,"&lt;="&amp;$B32))</f>
        <v>0</v>
      </c>
      <c r="AC32" s="24" t="e">
        <f>IF(YEAR($B32)*100+MONTH($B32)&lt;--SUBSTITUTE(_xlfn.XLOOKUP("SYIP",'Saldos Iniciales'!$A:$A,'Saldos Iniciales'!$C:$C),"-",""),0,SUMIFS('Saldos Iniciales'!$D:$D,'Saldos Iniciales'!$A:$A,"SYIP")+SUMIFS(Movimientos!$K$1:$K$1325,Movimientos!$C$1:$C$1325,"SYIP",Movimientos!$B$1:$B$1325,"&lt;="&amp;$B32))</f>
        <v>#N/A</v>
      </c>
      <c r="AD32" s="24">
        <f>IF(YEAR($B32)*100+MONTH($B32)&lt;--SUBSTITUTE(_xlfn.XLOOKUP("Nobe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Aparments",Movimientos!$B$1:$B$1325,"&lt;="&amp;$B32))</f>
        <v>0</v>
      </c>
      <c r="AE32" s="25">
        <v>2812673.3600000003</v>
      </c>
    </row>
    <row r="33" spans="1:31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Group")+SUMIFS(Movimientos!$K$1:$K$1325,Movimientos!$C$1:$C$1325,"CFT Group",Movimientos!$B$1:$B$1325,"&lt;="&amp;$B33)</f>
        <v>983394.14000000013</v>
      </c>
      <c r="D33" s="24">
        <f>SUMIFS('Saldos Iniciales'!$D:$D,'Saldos Iniciales'!$A:$A,"M1B")+SUMIFS(Movimientos!$K$1:$K$1325,Movimientos!$C$1:$C$1325,"M1B",Movimientos!$B$1:$B$1325,"&lt;="&amp;$B33)</f>
        <v>69376.390000000174</v>
      </c>
      <c r="E33" s="24">
        <f>SUMIFS('Saldos Iniciales'!$D:$D,'Saldos Iniciales'!$A:$A,"Durand")+SUMIFS(Movimientos!$K$1:$K$1325,Movimientos!$C$1:$C$1325,"Durand",Movimientos!$B$1:$B$1325,"&lt;="&amp;$B33)</f>
        <v>1669.89</v>
      </c>
      <c r="F33" s="24">
        <f>SUMIFS('Saldos Iniciales'!$D:$D,'Saldos Iniciales'!$A:$A,"A&amp;M Imports")+SUMIFS(Movimientos!$K$1:$K$1325,Movimientos!$C$1:$C$1325,"A&amp;M Imports",Movimientos!$B$1:$B$1325,"&lt;="&amp;$B33)</f>
        <v>804853.11999999988</v>
      </c>
      <c r="G33" s="24">
        <f>SUMIFS('Saldos Iniciales'!$D:$D,'Saldos Iniciales'!$A:$A,"SSP Capital")+SUMIFS(Movimientos!$K$1:$K$1325,Movimientos!$C$1:$C$1325,"SSP Capital",Movimientos!$B$1:$B$1325,"&lt;="&amp;$B33)</f>
        <v>1015901.6699999992</v>
      </c>
      <c r="H33" s="24">
        <f>SUMIFS('Saldos Iniciales'!$D:$D,'Saldos Iniciales'!$A:$A,"Cross Family Trust")+SUMIFS(Movimientos!$K$1:$K$1325,Movimientos!$C$1:$C$1325,"Cross Family Trust",Movimientos!$B$1:$B$1325,"&lt;="&amp;$B33)</f>
        <v>131496.38</v>
      </c>
      <c r="I33" s="24">
        <f>SUMIFS('Saldos Iniciales'!$D:$D,'Saldos Iniciales'!$A:$A,"Cross Security Trust")+SUMIFS(Movimientos!$K$1:$K$1325,Movimientos!$C$1:$C$1325,"Cross Security Trust",Movimientos!$B$1:$B$1325,"&lt;="&amp;$B33)</f>
        <v>88090.37</v>
      </c>
      <c r="J33" s="24">
        <f>SUMIFS('Saldos Iniciales'!$D:$D,'Saldos Iniciales'!$A:$A,"Electrama")+SUMIFS(Movimientos!$K$1:$K$1325,Movimientos!$C$1:$C$1325,"Electrama",Movimientos!$B$1:$B$1325,"&lt;="&amp;$B33)</f>
        <v>511.15999999999985</v>
      </c>
      <c r="K33" s="24">
        <f>SUMIFS('Saldos Iniciales'!$D:$D,'Saldos Iniciales'!$A:$A,"Sacred Valley Capital")+SUMIFS(Movimientos!$K$1:$K$1325,Movimientos!$C$1:$C$1325,"Sacred Valley Capital",Movimientos!$B$1:$B$1325,"&lt;="&amp;$B33)</f>
        <v>84.35</v>
      </c>
      <c r="L33" s="24">
        <f>SUMIFS('Saldos Iniciales'!$D:$D,'Saldos Iniciales'!$A:$A,"YWC Capital")+SUMIFS(Movimientos!$K$1:$K$1325,Movimientos!$C$1:$C$1325,"YWC Capital",Movimientos!$B$1:$B$1325,"&lt;="&amp;$B33)</f>
        <v>2237.77</v>
      </c>
      <c r="M33" s="24">
        <f>SUMIFS('Saldos Iniciales'!$D:$D,'Saldos Iniciales'!$A:$A,"Soweto")+SUMIFS(Movimientos!$K$1:$K$1325,Movimientos!$C$1:$C$1325,"Soweto",Movimientos!$B$1:$B$1325,"&lt;="&amp;$B33)</f>
        <v>3349.94</v>
      </c>
      <c r="N33" s="24">
        <f>SUMIFS('Saldos Iniciales'!$D:$D,'Saldos Iniciales'!$A:$A,"Green Stone Trust")+SUMIFS(Movimientos!$K$1:$K$1325,Movimientos!$C$1:$C$1325,"Green Stone Trust",Movimientos!$B$1:$B$1325,"&lt;="&amp;$B33)</f>
        <v>1968.99</v>
      </c>
      <c r="O33" s="24">
        <f>SUMIFS('Saldos Iniciales'!$D:$D,'Saldos Iniciales'!$A:$A,"EC Auto")+SUMIFS(Movimientos!$K$1:$K$1325,Movimientos!$C$1:$C$1325,"EC Auto",Movimientos!$B$1:$B$1325,"&lt;="&amp;$B33)</f>
        <v>901.34</v>
      </c>
      <c r="P33" s="24">
        <f>SUMIFS('Saldos Iniciales'!$D:$D,'Saldos Iniciales'!$A:$A,"Arbor Capital Properties")+SUMIFS(Movimientos!$K$1:$K$1325,Movimientos!$C$1:$C$1325,"Arbor Capital Properties",Movimientos!$B$1:$B$1325,"&lt;="&amp;$B33)</f>
        <v>1428.08</v>
      </c>
      <c r="Q33" s="24">
        <f>SUMIFS('Saldos Iniciales'!$D:$D,'Saldos Iniciales'!$A:$A,"2515 Overbrook")+SUMIFS(Movimientos!$K$1:$K$1325,Movimientos!$C$1:$C$1325,"2515 Overbrook",Movimientos!$B$1:$B$1325,"&lt;="&amp;$B33)</f>
        <v>26416.26999999996</v>
      </c>
      <c r="R33" s="24">
        <f>SUMIFS('Saldos Iniciales'!$D:$D,'Saldos Iniciales'!$A:$A,"112 Florida Ave")+SUMIFS(Movimientos!$K$1:$K$1325,Movimientos!$C$1:$C$1325,"112 Florida Ave",Movimientos!$B$1:$B$1325,"&lt;="&amp;$B33)</f>
        <v>5321.4300000000021</v>
      </c>
      <c r="S33" s="24">
        <f>SUMIFS('Saldos Iniciales'!$D:$D,'Saldos Iniciales'!$A:$A,"3628 Thomas Ave")+SUMIFS(Movimientos!$K$1:$K$1325,Movimientos!$C$1:$C$1325,"3628 Thomas Ave",Movimientos!$B$1:$B$1325,"&lt;="&amp;$B33)</f>
        <v>24833.23</v>
      </c>
      <c r="T33" s="24">
        <f>SUMIFS('Saldos Iniciales'!$D:$D,'Saldos Iniciales'!$A:$A,"Green Harbor Trust")+SUMIFS(Movimientos!$K$1:$K$1325,Movimientos!$C$1:$C$1325,"Green Harbor Trust",Movimientos!$B$1:$B$1325,"&lt;="&amp;$B33)</f>
        <v>345</v>
      </c>
      <c r="U33" s="24">
        <f>SUMIFS('Saldos Iniciales'!$D:$D,'Saldos Iniciales'!$A:$A,"Go Blue")+SUMIFS(Movimientos!$K$1:$K$1325,Movimientos!$C$1:$C$1325,"Go Blue",Movimientos!$B$1:$B$1325,"&lt;="&amp;$B33)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LLC",Movimientos!$B$1:$B$1325,"&lt;="&amp;$B33))</f>
        <v>0</v>
      </c>
      <c r="W33" s="24">
        <f>IF(YEAR($B33)*100+MONTH($B33)&lt;--SUBSTITUTE(_xlfn.XLOOKUP("CFT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",Movimientos!$B$1:$B$1325,"&lt;="&amp;$B33))</f>
        <v>0</v>
      </c>
      <c r="AC33" s="24" t="e">
        <f>IF(YEAR($B33)*100+MONTH($B33)&lt;--SUBSTITUTE(_xlfn.XLOOKUP("SYIP",'Saldos Iniciales'!$A:$A,'Saldos Iniciales'!$C:$C),"-",""),0,SUMIFS('Saldos Iniciales'!$D:$D,'Saldos Iniciales'!$A:$A,"SYIP")+SUMIFS(Movimientos!$K$1:$K$1325,Movimientos!$C$1:$C$1325,"SYIP",Movimientos!$B$1:$B$1325,"&lt;="&amp;$B33))</f>
        <v>#N/A</v>
      </c>
      <c r="AD33" s="24">
        <f>IF(YEAR($B33)*100+MONTH($B33)&lt;--SUBSTITUTE(_xlfn.XLOOKUP("Nobe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Aparments",Movimientos!$B$1:$B$1325,"&lt;="&amp;$B33))</f>
        <v>0</v>
      </c>
      <c r="AE33" s="25" t="e">
        <f t="shared" ref="AE33:AE64" si="1">SUM(C33:AD33)</f>
        <v>#N/A</v>
      </c>
    </row>
    <row r="34" spans="1:31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Group")+SUMIFS(Movimientos!$K$1:$K$1325,Movimientos!$C$1:$C$1325,"CFT Group",Movimientos!$B$1:$B$1325,"&lt;="&amp;$B34)</f>
        <v>983394.14000000013</v>
      </c>
      <c r="D34" s="24">
        <f>SUMIFS('Saldos Iniciales'!$D:$D,'Saldos Iniciales'!$A:$A,"M1B")+SUMIFS(Movimientos!$K$1:$K$1325,Movimientos!$C$1:$C$1325,"M1B",Movimientos!$B$1:$B$1325,"&lt;="&amp;$B34)</f>
        <v>69376.390000000174</v>
      </c>
      <c r="E34" s="24">
        <f>SUMIFS('Saldos Iniciales'!$D:$D,'Saldos Iniciales'!$A:$A,"Durand")+SUMIFS(Movimientos!$K$1:$K$1325,Movimientos!$C$1:$C$1325,"Durand",Movimientos!$B$1:$B$1325,"&lt;="&amp;$B34)</f>
        <v>1669.89</v>
      </c>
      <c r="F34" s="24">
        <f>SUMIFS('Saldos Iniciales'!$D:$D,'Saldos Iniciales'!$A:$A,"A&amp;M Imports")+SUMIFS(Movimientos!$K$1:$K$1325,Movimientos!$C$1:$C$1325,"A&amp;M Imports",Movimientos!$B$1:$B$1325,"&lt;="&amp;$B34)</f>
        <v>804853.11999999988</v>
      </c>
      <c r="G34" s="24">
        <f>SUMIFS('Saldos Iniciales'!$D:$D,'Saldos Iniciales'!$A:$A,"SSP Capital")+SUMIFS(Movimientos!$K$1:$K$1325,Movimientos!$C$1:$C$1325,"SSP Capital",Movimientos!$B$1:$B$1325,"&lt;="&amp;$B34)</f>
        <v>1015901.6699999992</v>
      </c>
      <c r="H34" s="24">
        <f>SUMIFS('Saldos Iniciales'!$D:$D,'Saldos Iniciales'!$A:$A,"Cross Family Trust")+SUMIFS(Movimientos!$K$1:$K$1325,Movimientos!$C$1:$C$1325,"Cross Family Trust",Movimientos!$B$1:$B$1325,"&lt;="&amp;$B34)</f>
        <v>131496.38</v>
      </c>
      <c r="I34" s="24">
        <f>SUMIFS('Saldos Iniciales'!$D:$D,'Saldos Iniciales'!$A:$A,"Cross Security Trust")+SUMIFS(Movimientos!$K$1:$K$1325,Movimientos!$C$1:$C$1325,"Cross Security Trust",Movimientos!$B$1:$B$1325,"&lt;="&amp;$B34)</f>
        <v>88090.37</v>
      </c>
      <c r="J34" s="24">
        <f>SUMIFS('Saldos Iniciales'!$D:$D,'Saldos Iniciales'!$A:$A,"Electrama")+SUMIFS(Movimientos!$K$1:$K$1325,Movimientos!$C$1:$C$1325,"Electrama",Movimientos!$B$1:$B$1325,"&lt;="&amp;$B34)</f>
        <v>511.15999999999985</v>
      </c>
      <c r="K34" s="24">
        <f>SUMIFS('Saldos Iniciales'!$D:$D,'Saldos Iniciales'!$A:$A,"Sacred Valley Capital")+SUMIFS(Movimientos!$K$1:$K$1325,Movimientos!$C$1:$C$1325,"Sacred Valley Capital",Movimientos!$B$1:$B$1325,"&lt;="&amp;$B34)</f>
        <v>84.35</v>
      </c>
      <c r="L34" s="24">
        <f>SUMIFS('Saldos Iniciales'!$D:$D,'Saldos Iniciales'!$A:$A,"YWC Capital")+SUMIFS(Movimientos!$K$1:$K$1325,Movimientos!$C$1:$C$1325,"YWC Capital",Movimientos!$B$1:$B$1325,"&lt;="&amp;$B34)</f>
        <v>2237.77</v>
      </c>
      <c r="M34" s="24">
        <f>SUMIFS('Saldos Iniciales'!$D:$D,'Saldos Iniciales'!$A:$A,"Soweto")+SUMIFS(Movimientos!$K$1:$K$1325,Movimientos!$C$1:$C$1325,"Soweto",Movimientos!$B$1:$B$1325,"&lt;="&amp;$B34)</f>
        <v>3349.94</v>
      </c>
      <c r="N34" s="24">
        <f>SUMIFS('Saldos Iniciales'!$D:$D,'Saldos Iniciales'!$A:$A,"Green Stone Trust")+SUMIFS(Movimientos!$K$1:$K$1325,Movimientos!$C$1:$C$1325,"Green Stone Trust",Movimientos!$B$1:$B$1325,"&lt;="&amp;$B34)</f>
        <v>1968.99</v>
      </c>
      <c r="O34" s="24">
        <f>SUMIFS('Saldos Iniciales'!$D:$D,'Saldos Iniciales'!$A:$A,"EC Auto")+SUMIFS(Movimientos!$K$1:$K$1325,Movimientos!$C$1:$C$1325,"EC Auto",Movimientos!$B$1:$B$1325,"&lt;="&amp;$B34)</f>
        <v>901.34</v>
      </c>
      <c r="P34" s="24">
        <f>SUMIFS('Saldos Iniciales'!$D:$D,'Saldos Iniciales'!$A:$A,"Arbor Capital Properties")+SUMIFS(Movimientos!$K$1:$K$1325,Movimientos!$C$1:$C$1325,"Arbor Capital Properties",Movimientos!$B$1:$B$1325,"&lt;="&amp;$B34)</f>
        <v>1428.08</v>
      </c>
      <c r="Q34" s="24">
        <f>SUMIFS('Saldos Iniciales'!$D:$D,'Saldos Iniciales'!$A:$A,"2515 Overbrook")+SUMIFS(Movimientos!$K$1:$K$1325,Movimientos!$C$1:$C$1325,"2515 Overbrook",Movimientos!$B$1:$B$1325,"&lt;="&amp;$B34)</f>
        <v>25789.969999999961</v>
      </c>
      <c r="R34" s="24">
        <f>SUMIFS('Saldos Iniciales'!$D:$D,'Saldos Iniciales'!$A:$A,"112 Florida Ave")+SUMIFS(Movimientos!$K$1:$K$1325,Movimientos!$C$1:$C$1325,"112 Florida Ave",Movimientos!$B$1:$B$1325,"&lt;="&amp;$B34)</f>
        <v>5321.4300000000021</v>
      </c>
      <c r="S34" s="24">
        <f>SUMIFS('Saldos Iniciales'!$D:$D,'Saldos Iniciales'!$A:$A,"3628 Thomas Ave")+SUMIFS(Movimientos!$K$1:$K$1325,Movimientos!$C$1:$C$1325,"3628 Thomas Ave",Movimientos!$B$1:$B$1325,"&lt;="&amp;$B34)</f>
        <v>24833.23</v>
      </c>
      <c r="T34" s="24">
        <f>SUMIFS('Saldos Iniciales'!$D:$D,'Saldos Iniciales'!$A:$A,"Green Harbor Trust")+SUMIFS(Movimientos!$K$1:$K$1325,Movimientos!$C$1:$C$1325,"Green Harbor Trust",Movimientos!$B$1:$B$1325,"&lt;="&amp;$B34)</f>
        <v>345</v>
      </c>
      <c r="U34" s="24">
        <f>SUMIFS('Saldos Iniciales'!$D:$D,'Saldos Iniciales'!$A:$A,"Go Blue")+SUMIFS(Movimientos!$K$1:$K$1325,Movimientos!$C$1:$C$1325,"Go Blue",Movimientos!$B$1:$B$1325,"&lt;="&amp;$B34)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LLC",Movimientos!$B$1:$B$1325,"&lt;="&amp;$B34))</f>
        <v>0</v>
      </c>
      <c r="W34" s="24">
        <f>IF(YEAR($B34)*100+MONTH($B34)&lt;--SUBSTITUTE(_xlfn.XLOOKUP("CFT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",Movimientos!$B$1:$B$1325,"&lt;="&amp;$B34))</f>
        <v>0</v>
      </c>
      <c r="AC34" s="24" t="e">
        <f>IF(YEAR($B34)*100+MONTH($B34)&lt;--SUBSTITUTE(_xlfn.XLOOKUP("SYIP",'Saldos Iniciales'!$A:$A,'Saldos Iniciales'!$C:$C),"-",""),0,SUMIFS('Saldos Iniciales'!$D:$D,'Saldos Iniciales'!$A:$A,"SYIP")+SUMIFS(Movimientos!$K$1:$K$1325,Movimientos!$C$1:$C$1325,"SYIP",Movimientos!$B$1:$B$1325,"&lt;="&amp;$B34))</f>
        <v>#N/A</v>
      </c>
      <c r="AD34" s="24">
        <f>IF(YEAR($B34)*100+MONTH($B34)&lt;--SUBSTITUTE(_xlfn.XLOOKUP("Nobe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Aparments",Movimientos!$B$1:$B$1325,"&lt;="&amp;$B34))</f>
        <v>0</v>
      </c>
      <c r="AE34" s="25" t="e">
        <f t="shared" si="1"/>
        <v>#N/A</v>
      </c>
    </row>
    <row r="35" spans="1:31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Group")+SUMIFS(Movimientos!$K$1:$K$1325,Movimientos!$C$1:$C$1325,"CFT Group",Movimientos!$B$1:$B$1325,"&lt;="&amp;$B35)</f>
        <v>983394.14000000013</v>
      </c>
      <c r="D35" s="24">
        <f>SUMIFS('Saldos Iniciales'!$D:$D,'Saldos Iniciales'!$A:$A,"M1B")+SUMIFS(Movimientos!$K$1:$K$1325,Movimientos!$C$1:$C$1325,"M1B",Movimientos!$B$1:$B$1325,"&lt;="&amp;$B35)</f>
        <v>69376.390000000174</v>
      </c>
      <c r="E35" s="24">
        <f>SUMIFS('Saldos Iniciales'!$D:$D,'Saldos Iniciales'!$A:$A,"Durand")+SUMIFS(Movimientos!$K$1:$K$1325,Movimientos!$C$1:$C$1325,"Durand",Movimientos!$B$1:$B$1325,"&lt;="&amp;$B35)</f>
        <v>1669.89</v>
      </c>
      <c r="F35" s="24">
        <f>SUMIFS('Saldos Iniciales'!$D:$D,'Saldos Iniciales'!$A:$A,"A&amp;M Imports")+SUMIFS(Movimientos!$K$1:$K$1325,Movimientos!$C$1:$C$1325,"A&amp;M Imports",Movimientos!$B$1:$B$1325,"&lt;="&amp;$B35)</f>
        <v>804853.11999999988</v>
      </c>
      <c r="G35" s="24">
        <f>SUMIFS('Saldos Iniciales'!$D:$D,'Saldos Iniciales'!$A:$A,"SSP Capital")+SUMIFS(Movimientos!$K$1:$K$1325,Movimientos!$C$1:$C$1325,"SSP Capital",Movimientos!$B$1:$B$1325,"&lt;="&amp;$B35)</f>
        <v>1015611.6599999993</v>
      </c>
      <c r="H35" s="24">
        <f>SUMIFS('Saldos Iniciales'!$D:$D,'Saldos Iniciales'!$A:$A,"Cross Family Trust")+SUMIFS(Movimientos!$K$1:$K$1325,Movimientos!$C$1:$C$1325,"Cross Family Trust",Movimientos!$B$1:$B$1325,"&lt;="&amp;$B35)</f>
        <v>125496.38</v>
      </c>
      <c r="I35" s="24">
        <f>SUMIFS('Saldos Iniciales'!$D:$D,'Saldos Iniciales'!$A:$A,"Cross Security Trust")+SUMIFS(Movimientos!$K$1:$K$1325,Movimientos!$C$1:$C$1325,"Cross Security Trust",Movimientos!$B$1:$B$1325,"&lt;="&amp;$B35)</f>
        <v>88090.37</v>
      </c>
      <c r="J35" s="24">
        <f>SUMIFS('Saldos Iniciales'!$D:$D,'Saldos Iniciales'!$A:$A,"Electrama")+SUMIFS(Movimientos!$K$1:$K$1325,Movimientos!$C$1:$C$1325,"Electrama",Movimientos!$B$1:$B$1325,"&lt;="&amp;$B35)</f>
        <v>511.15999999999985</v>
      </c>
      <c r="K35" s="24">
        <f>SUMIFS('Saldos Iniciales'!$D:$D,'Saldos Iniciales'!$A:$A,"Sacred Valley Capital")+SUMIFS(Movimientos!$K$1:$K$1325,Movimientos!$C$1:$C$1325,"Sacred Valley Capital",Movimientos!$B$1:$B$1325,"&lt;="&amp;$B35)</f>
        <v>84.35</v>
      </c>
      <c r="L35" s="24">
        <f>SUMIFS('Saldos Iniciales'!$D:$D,'Saldos Iniciales'!$A:$A,"YWC Capital")+SUMIFS(Movimientos!$K$1:$K$1325,Movimientos!$C$1:$C$1325,"YWC Capital",Movimientos!$B$1:$B$1325,"&lt;="&amp;$B35)</f>
        <v>2237.77</v>
      </c>
      <c r="M35" s="24">
        <f>SUMIFS('Saldos Iniciales'!$D:$D,'Saldos Iniciales'!$A:$A,"Soweto")+SUMIFS(Movimientos!$K$1:$K$1325,Movimientos!$C$1:$C$1325,"Soweto",Movimientos!$B$1:$B$1325,"&lt;="&amp;$B35)</f>
        <v>3349.94</v>
      </c>
      <c r="N35" s="24">
        <f>SUMIFS('Saldos Iniciales'!$D:$D,'Saldos Iniciales'!$A:$A,"Green Stone Trust")+SUMIFS(Movimientos!$K$1:$K$1325,Movimientos!$C$1:$C$1325,"Green Stone Trust",Movimientos!$B$1:$B$1325,"&lt;="&amp;$B35)</f>
        <v>1968.99</v>
      </c>
      <c r="O35" s="24">
        <f>SUMIFS('Saldos Iniciales'!$D:$D,'Saldos Iniciales'!$A:$A,"EC Auto")+SUMIFS(Movimientos!$K$1:$K$1325,Movimientos!$C$1:$C$1325,"EC Auto",Movimientos!$B$1:$B$1325,"&lt;="&amp;$B35)</f>
        <v>901.34</v>
      </c>
      <c r="P35" s="24">
        <f>SUMIFS('Saldos Iniciales'!$D:$D,'Saldos Iniciales'!$A:$A,"Arbor Capital Properties")+SUMIFS(Movimientos!$K$1:$K$1325,Movimientos!$C$1:$C$1325,"Arbor Capital Properties",Movimientos!$B$1:$B$1325,"&lt;="&amp;$B35)</f>
        <v>1428.08</v>
      </c>
      <c r="Q35" s="24">
        <f>SUMIFS('Saldos Iniciales'!$D:$D,'Saldos Iniciales'!$A:$A,"2515 Overbrook")+SUMIFS(Movimientos!$K$1:$K$1325,Movimientos!$C$1:$C$1325,"2515 Overbrook",Movimientos!$B$1:$B$1325,"&lt;="&amp;$B35)</f>
        <v>25789.969999999961</v>
      </c>
      <c r="R35" s="24">
        <f>SUMIFS('Saldos Iniciales'!$D:$D,'Saldos Iniciales'!$A:$A,"112 Florida Ave")+SUMIFS(Movimientos!$K$1:$K$1325,Movimientos!$C$1:$C$1325,"112 Florida Ave",Movimientos!$B$1:$B$1325,"&lt;="&amp;$B35)</f>
        <v>5321.4300000000021</v>
      </c>
      <c r="S35" s="24">
        <f>SUMIFS('Saldos Iniciales'!$D:$D,'Saldos Iniciales'!$A:$A,"3628 Thomas Ave")+SUMIFS(Movimientos!$K$1:$K$1325,Movimientos!$C$1:$C$1325,"3628 Thomas Ave",Movimientos!$B$1:$B$1325,"&lt;="&amp;$B35)</f>
        <v>24833.23</v>
      </c>
      <c r="T35" s="24">
        <f>SUMIFS('Saldos Iniciales'!$D:$D,'Saldos Iniciales'!$A:$A,"Green Harbor Trust")+SUMIFS(Movimientos!$K$1:$K$1325,Movimientos!$C$1:$C$1325,"Green Harbor Trust",Movimientos!$B$1:$B$1325,"&lt;="&amp;$B35)</f>
        <v>345</v>
      </c>
      <c r="U35" s="24">
        <f>SUMIFS('Saldos Iniciales'!$D:$D,'Saldos Iniciales'!$A:$A,"Go Blue")+SUMIFS(Movimientos!$K$1:$K$1325,Movimientos!$C$1:$C$1325,"Go Blue",Movimientos!$B$1:$B$1325,"&lt;="&amp;$B35)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LLC",Movimientos!$B$1:$B$1325,"&lt;="&amp;$B35))</f>
        <v>0</v>
      </c>
      <c r="W35" s="24">
        <f>IF(YEAR($B35)*100+MONTH($B35)&lt;--SUBSTITUTE(_xlfn.XLOOKUP("CFT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",Movimientos!$B$1:$B$1325,"&lt;="&amp;$B35))</f>
        <v>0</v>
      </c>
      <c r="AC35" s="24" t="e">
        <f>IF(YEAR($B35)*100+MONTH($B35)&lt;--SUBSTITUTE(_xlfn.XLOOKUP("SYIP",'Saldos Iniciales'!$A:$A,'Saldos Iniciales'!$C:$C),"-",""),0,SUMIFS('Saldos Iniciales'!$D:$D,'Saldos Iniciales'!$A:$A,"SYIP")+SUMIFS(Movimientos!$K$1:$K$1325,Movimientos!$C$1:$C$1325,"SYIP",Movimientos!$B$1:$B$1325,"&lt;="&amp;$B35))</f>
        <v>#N/A</v>
      </c>
      <c r="AD35" s="24">
        <f>IF(YEAR($B35)*100+MONTH($B35)&lt;--SUBSTITUTE(_xlfn.XLOOKUP("Nobe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Aparments",Movimientos!$B$1:$B$1325,"&lt;="&amp;$B35))</f>
        <v>0</v>
      </c>
      <c r="AE35" s="25" t="e">
        <f t="shared" si="1"/>
        <v>#N/A</v>
      </c>
    </row>
    <row r="36" spans="1:31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Group")+SUMIFS(Movimientos!$K$1:$K$1325,Movimientos!$C$1:$C$1325,"CFT Group",Movimientos!$B$1:$B$1325,"&lt;="&amp;$B36)</f>
        <v>733394.14000000013</v>
      </c>
      <c r="D36" s="24">
        <f>SUMIFS('Saldos Iniciales'!$D:$D,'Saldos Iniciales'!$A:$A,"M1B")+SUMIFS(Movimientos!$K$1:$K$1325,Movimientos!$C$1:$C$1325,"M1B",Movimientos!$B$1:$B$1325,"&lt;="&amp;$B36)</f>
        <v>69376.390000000174</v>
      </c>
      <c r="E36" s="24">
        <f>SUMIFS('Saldos Iniciales'!$D:$D,'Saldos Iniciales'!$A:$A,"Durand")+SUMIFS(Movimientos!$K$1:$K$1325,Movimientos!$C$1:$C$1325,"Durand",Movimientos!$B$1:$B$1325,"&lt;="&amp;$B36)</f>
        <v>1669.89</v>
      </c>
      <c r="F36" s="24">
        <f>SUMIFS('Saldos Iniciales'!$D:$D,'Saldos Iniciales'!$A:$A,"A&amp;M Imports")+SUMIFS(Movimientos!$K$1:$K$1325,Movimientos!$C$1:$C$1325,"A&amp;M Imports",Movimientos!$B$1:$B$1325,"&lt;="&amp;$B36)</f>
        <v>729545.23999999987</v>
      </c>
      <c r="G36" s="24">
        <f>SUMIFS('Saldos Iniciales'!$D:$D,'Saldos Iniciales'!$A:$A,"SSP Capital")+SUMIFS(Movimientos!$K$1:$K$1325,Movimientos!$C$1:$C$1325,"SSP Capital",Movimientos!$B$1:$B$1325,"&lt;="&amp;$B36)</f>
        <v>1171714.4499999993</v>
      </c>
      <c r="H36" s="24">
        <f>SUMIFS('Saldos Iniciales'!$D:$D,'Saldos Iniciales'!$A:$A,"Cross Family Trust")+SUMIFS(Movimientos!$K$1:$K$1325,Movimientos!$C$1:$C$1325,"Cross Family Trust",Movimientos!$B$1:$B$1325,"&lt;="&amp;$B36)</f>
        <v>116496.38</v>
      </c>
      <c r="I36" s="24">
        <f>SUMIFS('Saldos Iniciales'!$D:$D,'Saldos Iniciales'!$A:$A,"Cross Security Trust")+SUMIFS(Movimientos!$K$1:$K$1325,Movimientos!$C$1:$C$1325,"Cross Security Trust",Movimientos!$B$1:$B$1325,"&lt;="&amp;$B36)</f>
        <v>88090.37</v>
      </c>
      <c r="J36" s="24">
        <f>SUMIFS('Saldos Iniciales'!$D:$D,'Saldos Iniciales'!$A:$A,"Electrama")+SUMIFS(Movimientos!$K$1:$K$1325,Movimientos!$C$1:$C$1325,"Electrama",Movimientos!$B$1:$B$1325,"&lt;="&amp;$B36)</f>
        <v>511.15999999999985</v>
      </c>
      <c r="K36" s="24">
        <f>SUMIFS('Saldos Iniciales'!$D:$D,'Saldos Iniciales'!$A:$A,"Sacred Valley Capital")+SUMIFS(Movimientos!$K$1:$K$1325,Movimientos!$C$1:$C$1325,"Sacred Valley Capital",Movimientos!$B$1:$B$1325,"&lt;="&amp;$B36)</f>
        <v>84.35</v>
      </c>
      <c r="L36" s="24">
        <f>SUMIFS('Saldos Iniciales'!$D:$D,'Saldos Iniciales'!$A:$A,"YWC Capital")+SUMIFS(Movimientos!$K$1:$K$1325,Movimientos!$C$1:$C$1325,"YWC Capital",Movimientos!$B$1:$B$1325,"&lt;="&amp;$B36)</f>
        <v>2237.77</v>
      </c>
      <c r="M36" s="24">
        <f>SUMIFS('Saldos Iniciales'!$D:$D,'Saldos Iniciales'!$A:$A,"Soweto")+SUMIFS(Movimientos!$K$1:$K$1325,Movimientos!$C$1:$C$1325,"Soweto",Movimientos!$B$1:$B$1325,"&lt;="&amp;$B36)</f>
        <v>3349.94</v>
      </c>
      <c r="N36" s="24">
        <f>SUMIFS('Saldos Iniciales'!$D:$D,'Saldos Iniciales'!$A:$A,"Green Stone Trust")+SUMIFS(Movimientos!$K$1:$K$1325,Movimientos!$C$1:$C$1325,"Green Stone Trust",Movimientos!$B$1:$B$1325,"&lt;="&amp;$B36)</f>
        <v>1968.99</v>
      </c>
      <c r="O36" s="24">
        <f>SUMIFS('Saldos Iniciales'!$D:$D,'Saldos Iniciales'!$A:$A,"EC Auto")+SUMIFS(Movimientos!$K$1:$K$1325,Movimientos!$C$1:$C$1325,"EC Auto",Movimientos!$B$1:$B$1325,"&lt;="&amp;$B36)</f>
        <v>382.69000000000005</v>
      </c>
      <c r="P36" s="24">
        <f>SUMIFS('Saldos Iniciales'!$D:$D,'Saldos Iniciales'!$A:$A,"Arbor Capital Properties")+SUMIFS(Movimientos!$K$1:$K$1325,Movimientos!$C$1:$C$1325,"Arbor Capital Properties",Movimientos!$B$1:$B$1325,"&lt;="&amp;$B36)</f>
        <v>1428.08</v>
      </c>
      <c r="Q36" s="24">
        <f>SUMIFS('Saldos Iniciales'!$D:$D,'Saldos Iniciales'!$A:$A,"2515 Overbrook")+SUMIFS(Movimientos!$K$1:$K$1325,Movimientos!$C$1:$C$1325,"2515 Overbrook",Movimientos!$B$1:$B$1325,"&lt;="&amp;$B36)</f>
        <v>25789.969999999961</v>
      </c>
      <c r="R36" s="24">
        <f>SUMIFS('Saldos Iniciales'!$D:$D,'Saldos Iniciales'!$A:$A,"112 Florida Ave")+SUMIFS(Movimientos!$K$1:$K$1325,Movimientos!$C$1:$C$1325,"112 Florida Ave",Movimientos!$B$1:$B$1325,"&lt;="&amp;$B36)</f>
        <v>5321.4300000000021</v>
      </c>
      <c r="S36" s="24">
        <f>SUMIFS('Saldos Iniciales'!$D:$D,'Saldos Iniciales'!$A:$A,"3628 Thomas Ave")+SUMIFS(Movimientos!$K$1:$K$1325,Movimientos!$C$1:$C$1325,"3628 Thomas Ave",Movimientos!$B$1:$B$1325,"&lt;="&amp;$B36)</f>
        <v>24833.23</v>
      </c>
      <c r="T36" s="24">
        <f>SUMIFS('Saldos Iniciales'!$D:$D,'Saldos Iniciales'!$A:$A,"Green Harbor Trust")+SUMIFS(Movimientos!$K$1:$K$1325,Movimientos!$C$1:$C$1325,"Green Harbor Trust",Movimientos!$B$1:$B$1325,"&lt;="&amp;$B36)</f>
        <v>345</v>
      </c>
      <c r="U36" s="24">
        <f>SUMIFS('Saldos Iniciales'!$D:$D,'Saldos Iniciales'!$A:$A,"Go Blue")+SUMIFS(Movimientos!$K$1:$K$1325,Movimientos!$C$1:$C$1325,"Go Blue",Movimientos!$B$1:$B$1325,"&lt;="&amp;$B36)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LLC",Movimientos!$B$1:$B$1325,"&lt;="&amp;$B36))</f>
        <v>0</v>
      </c>
      <c r="W36" s="24">
        <f>IF(YEAR($B36)*100+MONTH($B36)&lt;--SUBSTITUTE(_xlfn.XLOOKUP("CFT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",Movimientos!$B$1:$B$1325,"&lt;="&amp;$B36))</f>
        <v>0</v>
      </c>
      <c r="AC36" s="24" t="e">
        <f>IF(YEAR($B36)*100+MONTH($B36)&lt;--SUBSTITUTE(_xlfn.XLOOKUP("SYIP",'Saldos Iniciales'!$A:$A,'Saldos Iniciales'!$C:$C),"-",""),0,SUMIFS('Saldos Iniciales'!$D:$D,'Saldos Iniciales'!$A:$A,"SYIP")+SUMIFS(Movimientos!$K$1:$K$1325,Movimientos!$C$1:$C$1325,"SYIP",Movimientos!$B$1:$B$1325,"&lt;="&amp;$B36))</f>
        <v>#N/A</v>
      </c>
      <c r="AD36" s="24">
        <f>IF(YEAR($B36)*100+MONTH($B36)&lt;--SUBSTITUTE(_xlfn.XLOOKUP("Nobe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Aparments",Movimientos!$B$1:$B$1325,"&lt;="&amp;$B36))</f>
        <v>0</v>
      </c>
      <c r="AE36" s="25" t="e">
        <f t="shared" si="1"/>
        <v>#N/A</v>
      </c>
    </row>
    <row r="37" spans="1:31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Group")+SUMIFS(Movimientos!$K$1:$K$1325,Movimientos!$C$1:$C$1325,"CFT Group",Movimientos!$B$1:$B$1325,"&lt;="&amp;$B37)</f>
        <v>733394.14000000013</v>
      </c>
      <c r="D37" s="24">
        <f>SUMIFS('Saldos Iniciales'!$D:$D,'Saldos Iniciales'!$A:$A,"M1B")+SUMIFS(Movimientos!$K$1:$K$1325,Movimientos!$C$1:$C$1325,"M1B",Movimientos!$B$1:$B$1325,"&lt;="&amp;$B37)</f>
        <v>69376.390000000174</v>
      </c>
      <c r="E37" s="24">
        <f>SUMIFS('Saldos Iniciales'!$D:$D,'Saldos Iniciales'!$A:$A,"Durand")+SUMIFS(Movimientos!$K$1:$K$1325,Movimientos!$C$1:$C$1325,"Durand",Movimientos!$B$1:$B$1325,"&lt;="&amp;$B37)</f>
        <v>1669.89</v>
      </c>
      <c r="F37" s="24">
        <f>SUMIFS('Saldos Iniciales'!$D:$D,'Saldos Iniciales'!$A:$A,"A&amp;M Imports")+SUMIFS(Movimientos!$K$1:$K$1325,Movimientos!$C$1:$C$1325,"A&amp;M Imports",Movimientos!$B$1:$B$1325,"&lt;="&amp;$B37)</f>
        <v>729545.23999999987</v>
      </c>
      <c r="G37" s="24">
        <f>SUMIFS('Saldos Iniciales'!$D:$D,'Saldos Iniciales'!$A:$A,"SSP Capital")+SUMIFS(Movimientos!$K$1:$K$1325,Movimientos!$C$1:$C$1325,"SSP Capital",Movimientos!$B$1:$B$1325,"&lt;="&amp;$B37)</f>
        <v>1164028.3199999994</v>
      </c>
      <c r="H37" s="24">
        <f>SUMIFS('Saldos Iniciales'!$D:$D,'Saldos Iniciales'!$A:$A,"Cross Family Trust")+SUMIFS(Movimientos!$K$1:$K$1325,Movimientos!$C$1:$C$1325,"Cross Family Trust",Movimientos!$B$1:$B$1325,"&lt;="&amp;$B37)</f>
        <v>116496.38</v>
      </c>
      <c r="I37" s="24">
        <f>SUMIFS('Saldos Iniciales'!$D:$D,'Saldos Iniciales'!$A:$A,"Cross Security Trust")+SUMIFS(Movimientos!$K$1:$K$1325,Movimientos!$C$1:$C$1325,"Cross Security Trust",Movimientos!$B$1:$B$1325,"&lt;="&amp;$B37)</f>
        <v>88090.37</v>
      </c>
      <c r="J37" s="24">
        <f>SUMIFS('Saldos Iniciales'!$D:$D,'Saldos Iniciales'!$A:$A,"Electrama")+SUMIFS(Movimientos!$K$1:$K$1325,Movimientos!$C$1:$C$1325,"Electrama",Movimientos!$B$1:$B$1325,"&lt;="&amp;$B37)</f>
        <v>511.15999999999985</v>
      </c>
      <c r="K37" s="24">
        <f>SUMIFS('Saldos Iniciales'!$D:$D,'Saldos Iniciales'!$A:$A,"Sacred Valley Capital")+SUMIFS(Movimientos!$K$1:$K$1325,Movimientos!$C$1:$C$1325,"Sacred Valley Capital",Movimientos!$B$1:$B$1325,"&lt;="&amp;$B37)</f>
        <v>84.35</v>
      </c>
      <c r="L37" s="24">
        <f>SUMIFS('Saldos Iniciales'!$D:$D,'Saldos Iniciales'!$A:$A,"YWC Capital")+SUMIFS(Movimientos!$K$1:$K$1325,Movimientos!$C$1:$C$1325,"YWC Capital",Movimientos!$B$1:$B$1325,"&lt;="&amp;$B37)</f>
        <v>2237.77</v>
      </c>
      <c r="M37" s="24">
        <f>SUMIFS('Saldos Iniciales'!$D:$D,'Saldos Iniciales'!$A:$A,"Soweto")+SUMIFS(Movimientos!$K$1:$K$1325,Movimientos!$C$1:$C$1325,"Soweto",Movimientos!$B$1:$B$1325,"&lt;="&amp;$B37)</f>
        <v>3349.94</v>
      </c>
      <c r="N37" s="24">
        <f>SUMIFS('Saldos Iniciales'!$D:$D,'Saldos Iniciales'!$A:$A,"Green Stone Trust")+SUMIFS(Movimientos!$K$1:$K$1325,Movimientos!$C$1:$C$1325,"Green Stone Trust",Movimientos!$B$1:$B$1325,"&lt;="&amp;$B37)</f>
        <v>1968.99</v>
      </c>
      <c r="O37" s="24">
        <f>SUMIFS('Saldos Iniciales'!$D:$D,'Saldos Iniciales'!$A:$A,"EC Auto")+SUMIFS(Movimientos!$K$1:$K$1325,Movimientos!$C$1:$C$1325,"EC Auto",Movimientos!$B$1:$B$1325,"&lt;="&amp;$B37)</f>
        <v>382.69000000000005</v>
      </c>
      <c r="P37" s="24">
        <f>SUMIFS('Saldos Iniciales'!$D:$D,'Saldos Iniciales'!$A:$A,"Arbor Capital Properties")+SUMIFS(Movimientos!$K$1:$K$1325,Movimientos!$C$1:$C$1325,"Arbor Capital Properties",Movimientos!$B$1:$B$1325,"&lt;="&amp;$B37)</f>
        <v>1428.08</v>
      </c>
      <c r="Q37" s="24">
        <f>SUMIFS('Saldos Iniciales'!$D:$D,'Saldos Iniciales'!$A:$A,"2515 Overbrook")+SUMIFS(Movimientos!$K$1:$K$1325,Movimientos!$C$1:$C$1325,"2515 Overbrook",Movimientos!$B$1:$B$1325,"&lt;="&amp;$B37)</f>
        <v>25789.969999999961</v>
      </c>
      <c r="R37" s="24">
        <f>SUMIFS('Saldos Iniciales'!$D:$D,'Saldos Iniciales'!$A:$A,"112 Florida Ave")+SUMIFS(Movimientos!$K$1:$K$1325,Movimientos!$C$1:$C$1325,"112 Florida Ave",Movimientos!$B$1:$B$1325,"&lt;="&amp;$B37)</f>
        <v>5321.4300000000021</v>
      </c>
      <c r="S37" s="24">
        <f>SUMIFS('Saldos Iniciales'!$D:$D,'Saldos Iniciales'!$A:$A,"3628 Thomas Ave")+SUMIFS(Movimientos!$K$1:$K$1325,Movimientos!$C$1:$C$1325,"3628 Thomas Ave",Movimientos!$B$1:$B$1325,"&lt;="&amp;$B37)</f>
        <v>24833.23</v>
      </c>
      <c r="T37" s="24">
        <f>SUMIFS('Saldos Iniciales'!$D:$D,'Saldos Iniciales'!$A:$A,"Green Harbor Trust")+SUMIFS(Movimientos!$K$1:$K$1325,Movimientos!$C$1:$C$1325,"Green Harbor Trust",Movimientos!$B$1:$B$1325,"&lt;="&amp;$B37)</f>
        <v>345</v>
      </c>
      <c r="U37" s="24">
        <f>SUMIFS('Saldos Iniciales'!$D:$D,'Saldos Iniciales'!$A:$A,"Go Blue")+SUMIFS(Movimientos!$K$1:$K$1325,Movimientos!$C$1:$C$1325,"Go Blue",Movimientos!$B$1:$B$1325,"&lt;="&amp;$B37)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LLC",Movimientos!$B$1:$B$1325,"&lt;="&amp;$B37))</f>
        <v>0</v>
      </c>
      <c r="W37" s="24">
        <f>IF(YEAR($B37)*100+MONTH($B37)&lt;--SUBSTITUTE(_xlfn.XLOOKUP("CFT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",Movimientos!$B$1:$B$1325,"&lt;="&amp;$B37))</f>
        <v>0</v>
      </c>
      <c r="AC37" s="24" t="e">
        <f>IF(YEAR($B37)*100+MONTH($B37)&lt;--SUBSTITUTE(_xlfn.XLOOKUP("SYIP",'Saldos Iniciales'!$A:$A,'Saldos Iniciales'!$C:$C),"-",""),0,SUMIFS('Saldos Iniciales'!$D:$D,'Saldos Iniciales'!$A:$A,"SYIP")+SUMIFS(Movimientos!$K$1:$K$1325,Movimientos!$C$1:$C$1325,"SYIP",Movimientos!$B$1:$B$1325,"&lt;="&amp;$B37))</f>
        <v>#N/A</v>
      </c>
      <c r="AD37" s="24">
        <f>IF(YEAR($B37)*100+MONTH($B37)&lt;--SUBSTITUTE(_xlfn.XLOOKUP("Nobe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Aparments",Movimientos!$B$1:$B$1325,"&lt;="&amp;$B37))</f>
        <v>0</v>
      </c>
      <c r="AE37" s="25" t="e">
        <f t="shared" si="1"/>
        <v>#N/A</v>
      </c>
    </row>
    <row r="38" spans="1:31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Group")+SUMIFS(Movimientos!$K$1:$K$1325,Movimientos!$C$1:$C$1325,"CFT Group",Movimientos!$B$1:$B$1325,"&lt;="&amp;$B38)</f>
        <v>733394.14000000013</v>
      </c>
      <c r="D38" s="24">
        <f>SUMIFS('Saldos Iniciales'!$D:$D,'Saldos Iniciales'!$A:$A,"M1B")+SUMIFS(Movimientos!$K$1:$K$1325,Movimientos!$C$1:$C$1325,"M1B",Movimientos!$B$1:$B$1325,"&lt;="&amp;$B38)</f>
        <v>69376.390000000174</v>
      </c>
      <c r="E38" s="24">
        <f>SUMIFS('Saldos Iniciales'!$D:$D,'Saldos Iniciales'!$A:$A,"Durand")+SUMIFS(Movimientos!$K$1:$K$1325,Movimientos!$C$1:$C$1325,"Durand",Movimientos!$B$1:$B$1325,"&lt;="&amp;$B38)</f>
        <v>1669.89</v>
      </c>
      <c r="F38" s="24">
        <f>SUMIFS('Saldos Iniciales'!$D:$D,'Saldos Iniciales'!$A:$A,"A&amp;M Imports")+SUMIFS(Movimientos!$K$1:$K$1325,Movimientos!$C$1:$C$1325,"A&amp;M Imports",Movimientos!$B$1:$B$1325,"&lt;="&amp;$B38)</f>
        <v>729545.23999999987</v>
      </c>
      <c r="G38" s="24">
        <f>SUMIFS('Saldos Iniciales'!$D:$D,'Saldos Iniciales'!$A:$A,"SSP Capital")+SUMIFS(Movimientos!$K$1:$K$1325,Movimientos!$C$1:$C$1325,"SSP Capital",Movimientos!$B$1:$B$1325,"&lt;="&amp;$B38)</f>
        <v>1164028.3199999994</v>
      </c>
      <c r="H38" s="24">
        <f>SUMIFS('Saldos Iniciales'!$D:$D,'Saldos Iniciales'!$A:$A,"Cross Family Trust")+SUMIFS(Movimientos!$K$1:$K$1325,Movimientos!$C$1:$C$1325,"Cross Family Trust",Movimientos!$B$1:$B$1325,"&lt;="&amp;$B38)</f>
        <v>116496.38</v>
      </c>
      <c r="I38" s="24">
        <f>SUMIFS('Saldos Iniciales'!$D:$D,'Saldos Iniciales'!$A:$A,"Cross Security Trust")+SUMIFS(Movimientos!$K$1:$K$1325,Movimientos!$C$1:$C$1325,"Cross Security Trust",Movimientos!$B$1:$B$1325,"&lt;="&amp;$B38)</f>
        <v>88090.37</v>
      </c>
      <c r="J38" s="24">
        <f>SUMIFS('Saldos Iniciales'!$D:$D,'Saldos Iniciales'!$A:$A,"Electrama")+SUMIFS(Movimientos!$K$1:$K$1325,Movimientos!$C$1:$C$1325,"Electrama",Movimientos!$B$1:$B$1325,"&lt;="&amp;$B38)</f>
        <v>511.15999999999985</v>
      </c>
      <c r="K38" s="24">
        <f>SUMIFS('Saldos Iniciales'!$D:$D,'Saldos Iniciales'!$A:$A,"Sacred Valley Capital")+SUMIFS(Movimientos!$K$1:$K$1325,Movimientos!$C$1:$C$1325,"Sacred Valley Capital",Movimientos!$B$1:$B$1325,"&lt;="&amp;$B38)</f>
        <v>84.35</v>
      </c>
      <c r="L38" s="24">
        <f>SUMIFS('Saldos Iniciales'!$D:$D,'Saldos Iniciales'!$A:$A,"YWC Capital")+SUMIFS(Movimientos!$K$1:$K$1325,Movimientos!$C$1:$C$1325,"YWC Capital",Movimientos!$B$1:$B$1325,"&lt;="&amp;$B38)</f>
        <v>2237.77</v>
      </c>
      <c r="M38" s="24">
        <f>SUMIFS('Saldos Iniciales'!$D:$D,'Saldos Iniciales'!$A:$A,"Soweto")+SUMIFS(Movimientos!$K$1:$K$1325,Movimientos!$C$1:$C$1325,"Soweto",Movimientos!$B$1:$B$1325,"&lt;="&amp;$B38)</f>
        <v>3349.94</v>
      </c>
      <c r="N38" s="24">
        <f>SUMIFS('Saldos Iniciales'!$D:$D,'Saldos Iniciales'!$A:$A,"Green Stone Trust")+SUMIFS(Movimientos!$K$1:$K$1325,Movimientos!$C$1:$C$1325,"Green Stone Trust",Movimientos!$B$1:$B$1325,"&lt;="&amp;$B38)</f>
        <v>1968.99</v>
      </c>
      <c r="O38" s="24">
        <f>SUMIFS('Saldos Iniciales'!$D:$D,'Saldos Iniciales'!$A:$A,"EC Auto")+SUMIFS(Movimientos!$K$1:$K$1325,Movimientos!$C$1:$C$1325,"EC Auto",Movimientos!$B$1:$B$1325,"&lt;="&amp;$B38)</f>
        <v>382.69000000000005</v>
      </c>
      <c r="P38" s="24">
        <f>SUMIFS('Saldos Iniciales'!$D:$D,'Saldos Iniciales'!$A:$A,"Arbor Capital Properties")+SUMIFS(Movimientos!$K$1:$K$1325,Movimientos!$C$1:$C$1325,"Arbor Capital Properties",Movimientos!$B$1:$B$1325,"&lt;="&amp;$B38)</f>
        <v>1428.08</v>
      </c>
      <c r="Q38" s="24">
        <f>SUMIFS('Saldos Iniciales'!$D:$D,'Saldos Iniciales'!$A:$A,"2515 Overbrook")+SUMIFS(Movimientos!$K$1:$K$1325,Movimientos!$C$1:$C$1325,"2515 Overbrook",Movimientos!$B$1:$B$1325,"&lt;="&amp;$B38)</f>
        <v>25789.969999999961</v>
      </c>
      <c r="R38" s="24">
        <f>SUMIFS('Saldos Iniciales'!$D:$D,'Saldos Iniciales'!$A:$A,"112 Florida Ave")+SUMIFS(Movimientos!$K$1:$K$1325,Movimientos!$C$1:$C$1325,"112 Florida Ave",Movimientos!$B$1:$B$1325,"&lt;="&amp;$B38)</f>
        <v>5321.4300000000021</v>
      </c>
      <c r="S38" s="24">
        <f>SUMIFS('Saldos Iniciales'!$D:$D,'Saldos Iniciales'!$A:$A,"3628 Thomas Ave")+SUMIFS(Movimientos!$K$1:$K$1325,Movimientos!$C$1:$C$1325,"3628 Thomas Ave",Movimientos!$B$1:$B$1325,"&lt;="&amp;$B38)</f>
        <v>24833.23</v>
      </c>
      <c r="T38" s="24">
        <f>SUMIFS('Saldos Iniciales'!$D:$D,'Saldos Iniciales'!$A:$A,"Green Harbor Trust")+SUMIFS(Movimientos!$K$1:$K$1325,Movimientos!$C$1:$C$1325,"Green Harbor Trust",Movimientos!$B$1:$B$1325,"&lt;="&amp;$B38)</f>
        <v>345</v>
      </c>
      <c r="U38" s="24">
        <f>SUMIFS('Saldos Iniciales'!$D:$D,'Saldos Iniciales'!$A:$A,"Go Blue")+SUMIFS(Movimientos!$K$1:$K$1325,Movimientos!$C$1:$C$1325,"Go Blue",Movimientos!$B$1:$B$1325,"&lt;="&amp;$B38)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LLC",Movimientos!$B$1:$B$1325,"&lt;="&amp;$B38))</f>
        <v>0</v>
      </c>
      <c r="W38" s="24">
        <f>IF(YEAR($B38)*100+MONTH($B38)&lt;--SUBSTITUTE(_xlfn.XLOOKUP("CFT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",Movimientos!$B$1:$B$1325,"&lt;="&amp;$B38))</f>
        <v>0</v>
      </c>
      <c r="AC38" s="24" t="e">
        <f>IF(YEAR($B38)*100+MONTH($B38)&lt;--SUBSTITUTE(_xlfn.XLOOKUP("SYIP",'Saldos Iniciales'!$A:$A,'Saldos Iniciales'!$C:$C),"-",""),0,SUMIFS('Saldos Iniciales'!$D:$D,'Saldos Iniciales'!$A:$A,"SYIP")+SUMIFS(Movimientos!$K$1:$K$1325,Movimientos!$C$1:$C$1325,"SYIP",Movimientos!$B$1:$B$1325,"&lt;="&amp;$B38))</f>
        <v>#N/A</v>
      </c>
      <c r="AD38" s="24">
        <f>IF(YEAR($B38)*100+MONTH($B38)&lt;--SUBSTITUTE(_xlfn.XLOOKUP("Nobe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Aparments",Movimientos!$B$1:$B$1325,"&lt;="&amp;$B38))</f>
        <v>0</v>
      </c>
      <c r="AE38" s="25" t="e">
        <f t="shared" si="1"/>
        <v>#N/A</v>
      </c>
    </row>
    <row r="39" spans="1:31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Group")+SUMIFS(Movimientos!$K$1:$K$1325,Movimientos!$C$1:$C$1325,"CFT Group",Movimientos!$B$1:$B$1325,"&lt;="&amp;$B39)</f>
        <v>733394.14000000013</v>
      </c>
      <c r="D39" s="24">
        <f>SUMIFS('Saldos Iniciales'!$D:$D,'Saldos Iniciales'!$A:$A,"M1B")+SUMIFS(Movimientos!$K$1:$K$1325,Movimientos!$C$1:$C$1325,"M1B",Movimientos!$B$1:$B$1325,"&lt;="&amp;$B39)</f>
        <v>69376.390000000174</v>
      </c>
      <c r="E39" s="24">
        <f>SUMIFS('Saldos Iniciales'!$D:$D,'Saldos Iniciales'!$A:$A,"Durand")+SUMIFS(Movimientos!$K$1:$K$1325,Movimientos!$C$1:$C$1325,"Durand",Movimientos!$B$1:$B$1325,"&lt;="&amp;$B39)</f>
        <v>1669.89</v>
      </c>
      <c r="F39" s="24">
        <f>SUMIFS('Saldos Iniciales'!$D:$D,'Saldos Iniciales'!$A:$A,"A&amp;M Imports")+SUMIFS(Movimientos!$K$1:$K$1325,Movimientos!$C$1:$C$1325,"A&amp;M Imports",Movimientos!$B$1:$B$1325,"&lt;="&amp;$B39)</f>
        <v>729545.23999999987</v>
      </c>
      <c r="G39" s="24">
        <f>SUMIFS('Saldos Iniciales'!$D:$D,'Saldos Iniciales'!$A:$A,"SSP Capital")+SUMIFS(Movimientos!$K$1:$K$1325,Movimientos!$C$1:$C$1325,"SSP Capital",Movimientos!$B$1:$B$1325,"&lt;="&amp;$B39)</f>
        <v>1164028.3199999994</v>
      </c>
      <c r="H39" s="24">
        <f>SUMIFS('Saldos Iniciales'!$D:$D,'Saldos Iniciales'!$A:$A,"Cross Family Trust")+SUMIFS(Movimientos!$K$1:$K$1325,Movimientos!$C$1:$C$1325,"Cross Family Trust",Movimientos!$B$1:$B$1325,"&lt;="&amp;$B39)</f>
        <v>116496.38</v>
      </c>
      <c r="I39" s="24">
        <f>SUMIFS('Saldos Iniciales'!$D:$D,'Saldos Iniciales'!$A:$A,"Cross Security Trust")+SUMIFS(Movimientos!$K$1:$K$1325,Movimientos!$C$1:$C$1325,"Cross Security Trust",Movimientos!$B$1:$B$1325,"&lt;="&amp;$B39)</f>
        <v>88090.37</v>
      </c>
      <c r="J39" s="24">
        <f>SUMIFS('Saldos Iniciales'!$D:$D,'Saldos Iniciales'!$A:$A,"Electrama")+SUMIFS(Movimientos!$K$1:$K$1325,Movimientos!$C$1:$C$1325,"Electrama",Movimientos!$B$1:$B$1325,"&lt;="&amp;$B39)</f>
        <v>511.15999999999985</v>
      </c>
      <c r="K39" s="24">
        <f>SUMIFS('Saldos Iniciales'!$D:$D,'Saldos Iniciales'!$A:$A,"Sacred Valley Capital")+SUMIFS(Movimientos!$K$1:$K$1325,Movimientos!$C$1:$C$1325,"Sacred Valley Capital",Movimientos!$B$1:$B$1325,"&lt;="&amp;$B39)</f>
        <v>84.35</v>
      </c>
      <c r="L39" s="24">
        <f>SUMIFS('Saldos Iniciales'!$D:$D,'Saldos Iniciales'!$A:$A,"YWC Capital")+SUMIFS(Movimientos!$K$1:$K$1325,Movimientos!$C$1:$C$1325,"YWC Capital",Movimientos!$B$1:$B$1325,"&lt;="&amp;$B39)</f>
        <v>2237.77</v>
      </c>
      <c r="M39" s="24">
        <f>SUMIFS('Saldos Iniciales'!$D:$D,'Saldos Iniciales'!$A:$A,"Soweto")+SUMIFS(Movimientos!$K$1:$K$1325,Movimientos!$C$1:$C$1325,"Soweto",Movimientos!$B$1:$B$1325,"&lt;="&amp;$B39)</f>
        <v>3349.94</v>
      </c>
      <c r="N39" s="24">
        <f>SUMIFS('Saldos Iniciales'!$D:$D,'Saldos Iniciales'!$A:$A,"Green Stone Trust")+SUMIFS(Movimientos!$K$1:$K$1325,Movimientos!$C$1:$C$1325,"Green Stone Trust",Movimientos!$B$1:$B$1325,"&lt;="&amp;$B39)</f>
        <v>1968.99</v>
      </c>
      <c r="O39" s="24">
        <f>SUMIFS('Saldos Iniciales'!$D:$D,'Saldos Iniciales'!$A:$A,"EC Auto")+SUMIFS(Movimientos!$K$1:$K$1325,Movimientos!$C$1:$C$1325,"EC Auto",Movimientos!$B$1:$B$1325,"&lt;="&amp;$B39)</f>
        <v>382.69000000000005</v>
      </c>
      <c r="P39" s="24">
        <f>SUMIFS('Saldos Iniciales'!$D:$D,'Saldos Iniciales'!$A:$A,"Arbor Capital Properties")+SUMIFS(Movimientos!$K$1:$K$1325,Movimientos!$C$1:$C$1325,"Arbor Capital Properties",Movimientos!$B$1:$B$1325,"&lt;="&amp;$B39)</f>
        <v>1428.08</v>
      </c>
      <c r="Q39" s="24">
        <f>SUMIFS('Saldos Iniciales'!$D:$D,'Saldos Iniciales'!$A:$A,"2515 Overbrook")+SUMIFS(Movimientos!$K$1:$K$1325,Movimientos!$C$1:$C$1325,"2515 Overbrook",Movimientos!$B$1:$B$1325,"&lt;="&amp;$B39)</f>
        <v>25789.969999999961</v>
      </c>
      <c r="R39" s="24">
        <f>SUMIFS('Saldos Iniciales'!$D:$D,'Saldos Iniciales'!$A:$A,"112 Florida Ave")+SUMIFS(Movimientos!$K$1:$K$1325,Movimientos!$C$1:$C$1325,"112 Florida Ave",Movimientos!$B$1:$B$1325,"&lt;="&amp;$B39)</f>
        <v>5321.4300000000021</v>
      </c>
      <c r="S39" s="24">
        <f>SUMIFS('Saldos Iniciales'!$D:$D,'Saldos Iniciales'!$A:$A,"3628 Thomas Ave")+SUMIFS(Movimientos!$K$1:$K$1325,Movimientos!$C$1:$C$1325,"3628 Thomas Ave",Movimientos!$B$1:$B$1325,"&lt;="&amp;$B39)</f>
        <v>24833.23</v>
      </c>
      <c r="T39" s="24">
        <f>SUMIFS('Saldos Iniciales'!$D:$D,'Saldos Iniciales'!$A:$A,"Green Harbor Trust")+SUMIFS(Movimientos!$K$1:$K$1325,Movimientos!$C$1:$C$1325,"Green Harbor Trust",Movimientos!$B$1:$B$1325,"&lt;="&amp;$B39)</f>
        <v>345</v>
      </c>
      <c r="U39" s="24">
        <f>SUMIFS('Saldos Iniciales'!$D:$D,'Saldos Iniciales'!$A:$A,"Go Blue")+SUMIFS(Movimientos!$K$1:$K$1325,Movimientos!$C$1:$C$1325,"Go Blue",Movimientos!$B$1:$B$1325,"&lt;="&amp;$B39)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LLC",Movimientos!$B$1:$B$1325,"&lt;="&amp;$B39))</f>
        <v>0</v>
      </c>
      <c r="W39" s="24">
        <f>IF(YEAR($B39)*100+MONTH($B39)&lt;--SUBSTITUTE(_xlfn.XLOOKUP("CFT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",Movimientos!$B$1:$B$1325,"&lt;="&amp;$B39))</f>
        <v>0</v>
      </c>
      <c r="AC39" s="24" t="e">
        <f>IF(YEAR($B39)*100+MONTH($B39)&lt;--SUBSTITUTE(_xlfn.XLOOKUP("SYIP",'Saldos Iniciales'!$A:$A,'Saldos Iniciales'!$C:$C),"-",""),0,SUMIFS('Saldos Iniciales'!$D:$D,'Saldos Iniciales'!$A:$A,"SYIP")+SUMIFS(Movimientos!$K$1:$K$1325,Movimientos!$C$1:$C$1325,"SYIP",Movimientos!$B$1:$B$1325,"&lt;="&amp;$B39))</f>
        <v>#N/A</v>
      </c>
      <c r="AD39" s="24">
        <f>IF(YEAR($B39)*100+MONTH($B39)&lt;--SUBSTITUTE(_xlfn.XLOOKUP("Nobe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Aparments",Movimientos!$B$1:$B$1325,"&lt;="&amp;$B39))</f>
        <v>0</v>
      </c>
      <c r="AE39" s="25" t="e">
        <f t="shared" si="1"/>
        <v>#N/A</v>
      </c>
    </row>
    <row r="40" spans="1:31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Group")+SUMIFS(Movimientos!$K$1:$K$1325,Movimientos!$C$1:$C$1325,"CFT Group",Movimientos!$B$1:$B$1325,"&lt;="&amp;$B40)</f>
        <v>733394.14000000013</v>
      </c>
      <c r="D40" s="24">
        <f>SUMIFS('Saldos Iniciales'!$D:$D,'Saldos Iniciales'!$A:$A,"M1B")+SUMIFS(Movimientos!$K$1:$K$1325,Movimientos!$C$1:$C$1325,"M1B",Movimientos!$B$1:$B$1325,"&lt;="&amp;$B40)</f>
        <v>69376.390000000174</v>
      </c>
      <c r="E40" s="24">
        <f>SUMIFS('Saldos Iniciales'!$D:$D,'Saldos Iniciales'!$A:$A,"Durand")+SUMIFS(Movimientos!$K$1:$K$1325,Movimientos!$C$1:$C$1325,"Durand",Movimientos!$B$1:$B$1325,"&lt;="&amp;$B40)</f>
        <v>1669.89</v>
      </c>
      <c r="F40" s="24">
        <f>SUMIFS('Saldos Iniciales'!$D:$D,'Saldos Iniciales'!$A:$A,"A&amp;M Imports")+SUMIFS(Movimientos!$K$1:$K$1325,Movimientos!$C$1:$C$1325,"A&amp;M Imports",Movimientos!$B$1:$B$1325,"&lt;="&amp;$B40)</f>
        <v>729545.23999999987</v>
      </c>
      <c r="G40" s="24">
        <f>SUMIFS('Saldos Iniciales'!$D:$D,'Saldos Iniciales'!$A:$A,"SSP Capital")+SUMIFS(Movimientos!$K$1:$K$1325,Movimientos!$C$1:$C$1325,"SSP Capital",Movimientos!$B$1:$B$1325,"&lt;="&amp;$B40)</f>
        <v>1164028.3199999994</v>
      </c>
      <c r="H40" s="24">
        <f>SUMIFS('Saldos Iniciales'!$D:$D,'Saldos Iniciales'!$A:$A,"Cross Family Trust")+SUMIFS(Movimientos!$K$1:$K$1325,Movimientos!$C$1:$C$1325,"Cross Family Trust",Movimientos!$B$1:$B$1325,"&lt;="&amp;$B40)</f>
        <v>116496.38</v>
      </c>
      <c r="I40" s="24">
        <f>SUMIFS('Saldos Iniciales'!$D:$D,'Saldos Iniciales'!$A:$A,"Cross Security Trust")+SUMIFS(Movimientos!$K$1:$K$1325,Movimientos!$C$1:$C$1325,"Cross Security Trust",Movimientos!$B$1:$B$1325,"&lt;="&amp;$B40)</f>
        <v>88090.37</v>
      </c>
      <c r="J40" s="24">
        <f>SUMIFS('Saldos Iniciales'!$D:$D,'Saldos Iniciales'!$A:$A,"Electrama")+SUMIFS(Movimientos!$K$1:$K$1325,Movimientos!$C$1:$C$1325,"Electrama",Movimientos!$B$1:$B$1325,"&lt;="&amp;$B40)</f>
        <v>511.15999999999985</v>
      </c>
      <c r="K40" s="24">
        <f>SUMIFS('Saldos Iniciales'!$D:$D,'Saldos Iniciales'!$A:$A,"Sacred Valley Capital")+SUMIFS(Movimientos!$K$1:$K$1325,Movimientos!$C$1:$C$1325,"Sacred Valley Capital",Movimientos!$B$1:$B$1325,"&lt;="&amp;$B40)</f>
        <v>84.35</v>
      </c>
      <c r="L40" s="24">
        <f>SUMIFS('Saldos Iniciales'!$D:$D,'Saldos Iniciales'!$A:$A,"YWC Capital")+SUMIFS(Movimientos!$K$1:$K$1325,Movimientos!$C$1:$C$1325,"YWC Capital",Movimientos!$B$1:$B$1325,"&lt;="&amp;$B40)</f>
        <v>2237.77</v>
      </c>
      <c r="M40" s="24">
        <f>SUMIFS('Saldos Iniciales'!$D:$D,'Saldos Iniciales'!$A:$A,"Soweto")+SUMIFS(Movimientos!$K$1:$K$1325,Movimientos!$C$1:$C$1325,"Soweto",Movimientos!$B$1:$B$1325,"&lt;="&amp;$B40)</f>
        <v>3349.94</v>
      </c>
      <c r="N40" s="24">
        <f>SUMIFS('Saldos Iniciales'!$D:$D,'Saldos Iniciales'!$A:$A,"Green Stone Trust")+SUMIFS(Movimientos!$K$1:$K$1325,Movimientos!$C$1:$C$1325,"Green Stone Trust",Movimientos!$B$1:$B$1325,"&lt;="&amp;$B40)</f>
        <v>1968.99</v>
      </c>
      <c r="O40" s="24">
        <f>SUMIFS('Saldos Iniciales'!$D:$D,'Saldos Iniciales'!$A:$A,"EC Auto")+SUMIFS(Movimientos!$K$1:$K$1325,Movimientos!$C$1:$C$1325,"EC Auto",Movimientos!$B$1:$B$1325,"&lt;="&amp;$B40)</f>
        <v>382.69000000000005</v>
      </c>
      <c r="P40" s="24">
        <f>SUMIFS('Saldos Iniciales'!$D:$D,'Saldos Iniciales'!$A:$A,"Arbor Capital Properties")+SUMIFS(Movimientos!$K$1:$K$1325,Movimientos!$C$1:$C$1325,"Arbor Capital Properties",Movimientos!$B$1:$B$1325,"&lt;="&amp;$B40)</f>
        <v>1428.08</v>
      </c>
      <c r="Q40" s="24">
        <f>SUMIFS('Saldos Iniciales'!$D:$D,'Saldos Iniciales'!$A:$A,"2515 Overbrook")+SUMIFS(Movimientos!$K$1:$K$1325,Movimientos!$C$1:$C$1325,"2515 Overbrook",Movimientos!$B$1:$B$1325,"&lt;="&amp;$B40)</f>
        <v>25789.969999999961</v>
      </c>
      <c r="R40" s="24">
        <f>SUMIFS('Saldos Iniciales'!$D:$D,'Saldos Iniciales'!$A:$A,"112 Florida Ave")+SUMIFS(Movimientos!$K$1:$K$1325,Movimientos!$C$1:$C$1325,"112 Florida Ave",Movimientos!$B$1:$B$1325,"&lt;="&amp;$B40)</f>
        <v>5321.4300000000021</v>
      </c>
      <c r="S40" s="24">
        <f>SUMIFS('Saldos Iniciales'!$D:$D,'Saldos Iniciales'!$A:$A,"3628 Thomas Ave")+SUMIFS(Movimientos!$K$1:$K$1325,Movimientos!$C$1:$C$1325,"3628 Thomas Ave",Movimientos!$B$1:$B$1325,"&lt;="&amp;$B40)</f>
        <v>24833.23</v>
      </c>
      <c r="T40" s="24">
        <f>SUMIFS('Saldos Iniciales'!$D:$D,'Saldos Iniciales'!$A:$A,"Green Harbor Trust")+SUMIFS(Movimientos!$K$1:$K$1325,Movimientos!$C$1:$C$1325,"Green Harbor Trust",Movimientos!$B$1:$B$1325,"&lt;="&amp;$B40)</f>
        <v>345</v>
      </c>
      <c r="U40" s="24">
        <f>SUMIFS('Saldos Iniciales'!$D:$D,'Saldos Iniciales'!$A:$A,"Go Blue")+SUMIFS(Movimientos!$K$1:$K$1325,Movimientos!$C$1:$C$1325,"Go Blue",Movimientos!$B$1:$B$1325,"&lt;="&amp;$B40)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LLC",Movimientos!$B$1:$B$1325,"&lt;="&amp;$B40))</f>
        <v>0</v>
      </c>
      <c r="W40" s="24">
        <f>IF(YEAR($B40)*100+MONTH($B40)&lt;--SUBSTITUTE(_xlfn.XLOOKUP("CFT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",Movimientos!$B$1:$B$1325,"&lt;="&amp;$B40))</f>
        <v>0</v>
      </c>
      <c r="AC40" s="24" t="e">
        <f>IF(YEAR($B40)*100+MONTH($B40)&lt;--SUBSTITUTE(_xlfn.XLOOKUP("SYIP",'Saldos Iniciales'!$A:$A,'Saldos Iniciales'!$C:$C),"-",""),0,SUMIFS('Saldos Iniciales'!$D:$D,'Saldos Iniciales'!$A:$A,"SYIP")+SUMIFS(Movimientos!$K$1:$K$1325,Movimientos!$C$1:$C$1325,"SYIP",Movimientos!$B$1:$B$1325,"&lt;="&amp;$B40))</f>
        <v>#N/A</v>
      </c>
      <c r="AD40" s="24">
        <f>IF(YEAR($B40)*100+MONTH($B40)&lt;--SUBSTITUTE(_xlfn.XLOOKUP("Nobe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Aparments",Movimientos!$B$1:$B$1325,"&lt;="&amp;$B40))</f>
        <v>0</v>
      </c>
      <c r="AE40" s="25" t="e">
        <f t="shared" si="1"/>
        <v>#N/A</v>
      </c>
    </row>
    <row r="41" spans="1:31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Group")+SUMIFS(Movimientos!$K$1:$K$1325,Movimientos!$C$1:$C$1325,"CFT Group",Movimientos!$B$1:$B$1325,"&lt;="&amp;$B41)</f>
        <v>847381.29000000015</v>
      </c>
      <c r="D41" s="24">
        <f>SUMIFS('Saldos Iniciales'!$D:$D,'Saldos Iniciales'!$A:$A,"M1B")+SUMIFS(Movimientos!$K$1:$K$1325,Movimientos!$C$1:$C$1325,"M1B",Movimientos!$B$1:$B$1325,"&lt;="&amp;$B41)</f>
        <v>69376.390000000174</v>
      </c>
      <c r="E41" s="24">
        <f>SUMIFS('Saldos Iniciales'!$D:$D,'Saldos Iniciales'!$A:$A,"Durand")+SUMIFS(Movimientos!$K$1:$K$1325,Movimientos!$C$1:$C$1325,"Durand",Movimientos!$B$1:$B$1325,"&lt;="&amp;$B41)</f>
        <v>1669.89</v>
      </c>
      <c r="F41" s="24">
        <f>SUMIFS('Saldos Iniciales'!$D:$D,'Saldos Iniciales'!$A:$A,"A&amp;M Imports")+SUMIFS(Movimientos!$K$1:$K$1325,Movimientos!$C$1:$C$1325,"A&amp;M Imports",Movimientos!$B$1:$B$1325,"&lt;="&amp;$B41)</f>
        <v>729545.23999999987</v>
      </c>
      <c r="G41" s="24">
        <f>SUMIFS('Saldos Iniciales'!$D:$D,'Saldos Iniciales'!$A:$A,"SSP Capital")+SUMIFS(Movimientos!$K$1:$K$1325,Movimientos!$C$1:$C$1325,"SSP Capital",Movimientos!$B$1:$B$1325,"&lt;="&amp;$B41)</f>
        <v>1160274.0499999993</v>
      </c>
      <c r="H41" s="24">
        <f>SUMIFS('Saldos Iniciales'!$D:$D,'Saldos Iniciales'!$A:$A,"Cross Family Trust")+SUMIFS(Movimientos!$K$1:$K$1325,Movimientos!$C$1:$C$1325,"Cross Family Trust",Movimientos!$B$1:$B$1325,"&lt;="&amp;$B41)</f>
        <v>116496.38</v>
      </c>
      <c r="I41" s="24">
        <f>SUMIFS('Saldos Iniciales'!$D:$D,'Saldos Iniciales'!$A:$A,"Cross Security Trust")+SUMIFS(Movimientos!$K$1:$K$1325,Movimientos!$C$1:$C$1325,"Cross Security Trust",Movimientos!$B$1:$B$1325,"&lt;="&amp;$B41)</f>
        <v>88090.37</v>
      </c>
      <c r="J41" s="24">
        <f>SUMIFS('Saldos Iniciales'!$D:$D,'Saldos Iniciales'!$A:$A,"Electrama")+SUMIFS(Movimientos!$K$1:$K$1325,Movimientos!$C$1:$C$1325,"Electrama",Movimientos!$B$1:$B$1325,"&lt;="&amp;$B41)</f>
        <v>511.15999999999985</v>
      </c>
      <c r="K41" s="24">
        <f>SUMIFS('Saldos Iniciales'!$D:$D,'Saldos Iniciales'!$A:$A,"Sacred Valley Capital")+SUMIFS(Movimientos!$K$1:$K$1325,Movimientos!$C$1:$C$1325,"Sacred Valley Capital",Movimientos!$B$1:$B$1325,"&lt;="&amp;$B41)</f>
        <v>84.35</v>
      </c>
      <c r="L41" s="24">
        <f>SUMIFS('Saldos Iniciales'!$D:$D,'Saldos Iniciales'!$A:$A,"YWC Capital")+SUMIFS(Movimientos!$K$1:$K$1325,Movimientos!$C$1:$C$1325,"YWC Capital",Movimientos!$B$1:$B$1325,"&lt;="&amp;$B41)</f>
        <v>2237.77</v>
      </c>
      <c r="M41" s="24">
        <f>SUMIFS('Saldos Iniciales'!$D:$D,'Saldos Iniciales'!$A:$A,"Soweto")+SUMIFS(Movimientos!$K$1:$K$1325,Movimientos!$C$1:$C$1325,"Soweto",Movimientos!$B$1:$B$1325,"&lt;="&amp;$B41)</f>
        <v>3349.94</v>
      </c>
      <c r="N41" s="24">
        <f>SUMIFS('Saldos Iniciales'!$D:$D,'Saldos Iniciales'!$A:$A,"Green Stone Trust")+SUMIFS(Movimientos!$K$1:$K$1325,Movimientos!$C$1:$C$1325,"Green Stone Trust",Movimientos!$B$1:$B$1325,"&lt;="&amp;$B41)</f>
        <v>1968.99</v>
      </c>
      <c r="O41" s="24">
        <f>SUMIFS('Saldos Iniciales'!$D:$D,'Saldos Iniciales'!$A:$A,"EC Auto")+SUMIFS(Movimientos!$K$1:$K$1325,Movimientos!$C$1:$C$1325,"EC Auto",Movimientos!$B$1:$B$1325,"&lt;="&amp;$B41)</f>
        <v>382.69000000000005</v>
      </c>
      <c r="P41" s="24">
        <f>SUMIFS('Saldos Iniciales'!$D:$D,'Saldos Iniciales'!$A:$A,"Arbor Capital Properties")+SUMIFS(Movimientos!$K$1:$K$1325,Movimientos!$C$1:$C$1325,"Arbor Capital Properties",Movimientos!$B$1:$B$1325,"&lt;="&amp;$B41)</f>
        <v>1428.08</v>
      </c>
      <c r="Q41" s="24">
        <f>SUMIFS('Saldos Iniciales'!$D:$D,'Saldos Iniciales'!$A:$A,"2515 Overbrook")+SUMIFS(Movimientos!$K$1:$K$1325,Movimientos!$C$1:$C$1325,"2515 Overbrook",Movimientos!$B$1:$B$1325,"&lt;="&amp;$B41)</f>
        <v>25789.969999999961</v>
      </c>
      <c r="R41" s="24">
        <f>SUMIFS('Saldos Iniciales'!$D:$D,'Saldos Iniciales'!$A:$A,"112 Florida Ave")+SUMIFS(Movimientos!$K$1:$K$1325,Movimientos!$C$1:$C$1325,"112 Florida Ave",Movimientos!$B$1:$B$1325,"&lt;="&amp;$B41)</f>
        <v>5321.4300000000021</v>
      </c>
      <c r="S41" s="24">
        <f>SUMIFS('Saldos Iniciales'!$D:$D,'Saldos Iniciales'!$A:$A,"3628 Thomas Ave")+SUMIFS(Movimientos!$K$1:$K$1325,Movimientos!$C$1:$C$1325,"3628 Thomas Ave",Movimientos!$B$1:$B$1325,"&lt;="&amp;$B41)</f>
        <v>24833.23</v>
      </c>
      <c r="T41" s="24">
        <f>SUMIFS('Saldos Iniciales'!$D:$D,'Saldos Iniciales'!$A:$A,"Green Harbor Trust")+SUMIFS(Movimientos!$K$1:$K$1325,Movimientos!$C$1:$C$1325,"Green Harbor Trust",Movimientos!$B$1:$B$1325,"&lt;="&amp;$B41)</f>
        <v>345</v>
      </c>
      <c r="U41" s="24">
        <f>SUMIFS('Saldos Iniciales'!$D:$D,'Saldos Iniciales'!$A:$A,"Go Blue")+SUMIFS(Movimientos!$K$1:$K$1325,Movimientos!$C$1:$C$1325,"Go Blue",Movimientos!$B$1:$B$1325,"&lt;="&amp;$B41)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LLC",Movimientos!$B$1:$B$1325,"&lt;="&amp;$B41))</f>
        <v>0</v>
      </c>
      <c r="W41" s="24">
        <f>IF(YEAR($B41)*100+MONTH($B41)&lt;--SUBSTITUTE(_xlfn.XLOOKUP("CFT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",Movimientos!$B$1:$B$1325,"&lt;="&amp;$B41))</f>
        <v>0</v>
      </c>
      <c r="AC41" s="24" t="e">
        <f>IF(YEAR($B41)*100+MONTH($B41)&lt;--SUBSTITUTE(_xlfn.XLOOKUP("SYIP",'Saldos Iniciales'!$A:$A,'Saldos Iniciales'!$C:$C),"-",""),0,SUMIFS('Saldos Iniciales'!$D:$D,'Saldos Iniciales'!$A:$A,"SYIP")+SUMIFS(Movimientos!$K$1:$K$1325,Movimientos!$C$1:$C$1325,"SYIP",Movimientos!$B$1:$B$1325,"&lt;="&amp;$B41))</f>
        <v>#N/A</v>
      </c>
      <c r="AD41" s="24">
        <f>IF(YEAR($B41)*100+MONTH($B41)&lt;--SUBSTITUTE(_xlfn.XLOOKUP("Nobe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Aparments",Movimientos!$B$1:$B$1325,"&lt;="&amp;$B41))</f>
        <v>0</v>
      </c>
      <c r="AE41" s="25" t="e">
        <f t="shared" si="1"/>
        <v>#N/A</v>
      </c>
    </row>
    <row r="42" spans="1:31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Group")+SUMIFS(Movimientos!$K$1:$K$1325,Movimientos!$C$1:$C$1325,"CFT Group",Movimientos!$B$1:$B$1325,"&lt;="&amp;$B42)</f>
        <v>2288745.9500000002</v>
      </c>
      <c r="D42" s="24">
        <f>SUMIFS('Saldos Iniciales'!$D:$D,'Saldos Iniciales'!$A:$A,"M1B")+SUMIFS(Movimientos!$K$1:$K$1325,Movimientos!$C$1:$C$1325,"M1B",Movimientos!$B$1:$B$1325,"&lt;="&amp;$B42)</f>
        <v>69376.390000000174</v>
      </c>
      <c r="E42" s="24">
        <f>SUMIFS('Saldos Iniciales'!$D:$D,'Saldos Iniciales'!$A:$A,"Durand")+SUMIFS(Movimientos!$K$1:$K$1325,Movimientos!$C$1:$C$1325,"Durand",Movimientos!$B$1:$B$1325,"&lt;="&amp;$B42)</f>
        <v>1669.89</v>
      </c>
      <c r="F42" s="24">
        <f>SUMIFS('Saldos Iniciales'!$D:$D,'Saldos Iniciales'!$A:$A,"A&amp;M Imports")+SUMIFS(Movimientos!$K$1:$K$1325,Movimientos!$C$1:$C$1325,"A&amp;M Imports",Movimientos!$B$1:$B$1325,"&lt;="&amp;$B42)</f>
        <v>744306.80999999982</v>
      </c>
      <c r="G42" s="24">
        <f>SUMIFS('Saldos Iniciales'!$D:$D,'Saldos Iniciales'!$A:$A,"SSP Capital")+SUMIFS(Movimientos!$K$1:$K$1325,Movimientos!$C$1:$C$1325,"SSP Capital",Movimientos!$B$1:$B$1325,"&lt;="&amp;$B42)</f>
        <v>1160274.0499999993</v>
      </c>
      <c r="H42" s="24">
        <f>SUMIFS('Saldos Iniciales'!$D:$D,'Saldos Iniciales'!$A:$A,"Cross Family Trust")+SUMIFS(Movimientos!$K$1:$K$1325,Movimientos!$C$1:$C$1325,"Cross Family Trust",Movimientos!$B$1:$B$1325,"&lt;="&amp;$B42)</f>
        <v>116496.38</v>
      </c>
      <c r="I42" s="24">
        <f>SUMIFS('Saldos Iniciales'!$D:$D,'Saldos Iniciales'!$A:$A,"Cross Security Trust")+SUMIFS(Movimientos!$K$1:$K$1325,Movimientos!$C$1:$C$1325,"Cross Security Trust",Movimientos!$B$1:$B$1325,"&lt;="&amp;$B42)</f>
        <v>88090.37</v>
      </c>
      <c r="J42" s="24">
        <f>SUMIFS('Saldos Iniciales'!$D:$D,'Saldos Iniciales'!$A:$A,"Electrama")+SUMIFS(Movimientos!$K$1:$K$1325,Movimientos!$C$1:$C$1325,"Electrama",Movimientos!$B$1:$B$1325,"&lt;="&amp;$B42)</f>
        <v>511.15999999999985</v>
      </c>
      <c r="K42" s="24">
        <f>SUMIFS('Saldos Iniciales'!$D:$D,'Saldos Iniciales'!$A:$A,"Sacred Valley Capital")+SUMIFS(Movimientos!$K$1:$K$1325,Movimientos!$C$1:$C$1325,"Sacred Valley Capital",Movimientos!$B$1:$B$1325,"&lt;="&amp;$B42)</f>
        <v>84.35</v>
      </c>
      <c r="L42" s="24">
        <f>SUMIFS('Saldos Iniciales'!$D:$D,'Saldos Iniciales'!$A:$A,"YWC Capital")+SUMIFS(Movimientos!$K$1:$K$1325,Movimientos!$C$1:$C$1325,"YWC Capital",Movimientos!$B$1:$B$1325,"&lt;="&amp;$B42)</f>
        <v>2237.77</v>
      </c>
      <c r="M42" s="24">
        <f>SUMIFS('Saldos Iniciales'!$D:$D,'Saldos Iniciales'!$A:$A,"Soweto")+SUMIFS(Movimientos!$K$1:$K$1325,Movimientos!$C$1:$C$1325,"Soweto",Movimientos!$B$1:$B$1325,"&lt;="&amp;$B42)</f>
        <v>3349.94</v>
      </c>
      <c r="N42" s="24">
        <f>SUMIFS('Saldos Iniciales'!$D:$D,'Saldos Iniciales'!$A:$A,"Green Stone Trust")+SUMIFS(Movimientos!$K$1:$K$1325,Movimientos!$C$1:$C$1325,"Green Stone Trust",Movimientos!$B$1:$B$1325,"&lt;="&amp;$B42)</f>
        <v>1968.99</v>
      </c>
      <c r="O42" s="24">
        <f>SUMIFS('Saldos Iniciales'!$D:$D,'Saldos Iniciales'!$A:$A,"EC Auto")+SUMIFS(Movimientos!$K$1:$K$1325,Movimientos!$C$1:$C$1325,"EC Auto",Movimientos!$B$1:$B$1325,"&lt;="&amp;$B42)</f>
        <v>382.69000000000005</v>
      </c>
      <c r="P42" s="24">
        <f>SUMIFS('Saldos Iniciales'!$D:$D,'Saldos Iniciales'!$A:$A,"Arbor Capital Properties")+SUMIFS(Movimientos!$K$1:$K$1325,Movimientos!$C$1:$C$1325,"Arbor Capital Properties",Movimientos!$B$1:$B$1325,"&lt;="&amp;$B42)</f>
        <v>1428.08</v>
      </c>
      <c r="Q42" s="24">
        <f>SUMIFS('Saldos Iniciales'!$D:$D,'Saldos Iniciales'!$A:$A,"2515 Overbrook")+SUMIFS(Movimientos!$K$1:$K$1325,Movimientos!$C$1:$C$1325,"2515 Overbrook",Movimientos!$B$1:$B$1325,"&lt;="&amp;$B42)</f>
        <v>25789.969999999961</v>
      </c>
      <c r="R42" s="24">
        <f>SUMIFS('Saldos Iniciales'!$D:$D,'Saldos Iniciales'!$A:$A,"112 Florida Ave")+SUMIFS(Movimientos!$K$1:$K$1325,Movimientos!$C$1:$C$1325,"112 Florida Ave",Movimientos!$B$1:$B$1325,"&lt;="&amp;$B42)</f>
        <v>5321.4300000000021</v>
      </c>
      <c r="S42" s="24">
        <f>SUMIFS('Saldos Iniciales'!$D:$D,'Saldos Iniciales'!$A:$A,"3628 Thomas Ave")+SUMIFS(Movimientos!$K$1:$K$1325,Movimientos!$C$1:$C$1325,"3628 Thomas Ave",Movimientos!$B$1:$B$1325,"&lt;="&amp;$B42)</f>
        <v>24743.98</v>
      </c>
      <c r="T42" s="24">
        <f>SUMIFS('Saldos Iniciales'!$D:$D,'Saldos Iniciales'!$A:$A,"Green Harbor Trust")+SUMIFS(Movimientos!$K$1:$K$1325,Movimientos!$C$1:$C$1325,"Green Harbor Trust",Movimientos!$B$1:$B$1325,"&lt;="&amp;$B42)</f>
        <v>345</v>
      </c>
      <c r="U42" s="24">
        <f>SUMIFS('Saldos Iniciales'!$D:$D,'Saldos Iniciales'!$A:$A,"Go Blue")+SUMIFS(Movimientos!$K$1:$K$1325,Movimientos!$C$1:$C$1325,"Go Blue",Movimientos!$B$1:$B$1325,"&lt;="&amp;$B42)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LLC",Movimientos!$B$1:$B$1325,"&lt;="&amp;$B42))</f>
        <v>0</v>
      </c>
      <c r="W42" s="24">
        <f>IF(YEAR($B42)*100+MONTH($B42)&lt;--SUBSTITUTE(_xlfn.XLOOKUP("CFT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",Movimientos!$B$1:$B$1325,"&lt;="&amp;$B42))</f>
        <v>0</v>
      </c>
      <c r="AC42" s="24" t="e">
        <f>IF(YEAR($B42)*100+MONTH($B42)&lt;--SUBSTITUTE(_xlfn.XLOOKUP("SYIP",'Saldos Iniciales'!$A:$A,'Saldos Iniciales'!$C:$C),"-",""),0,SUMIFS('Saldos Iniciales'!$D:$D,'Saldos Iniciales'!$A:$A,"SYIP")+SUMIFS(Movimientos!$K$1:$K$1325,Movimientos!$C$1:$C$1325,"SYIP",Movimientos!$B$1:$B$1325,"&lt;="&amp;$B42))</f>
        <v>#N/A</v>
      </c>
      <c r="AD42" s="24">
        <f>IF(YEAR($B42)*100+MONTH($B42)&lt;--SUBSTITUTE(_xlfn.XLOOKUP("Nobe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Aparments",Movimientos!$B$1:$B$1325,"&lt;="&amp;$B42))</f>
        <v>0</v>
      </c>
      <c r="AE42" s="25" t="e">
        <f t="shared" si="1"/>
        <v>#N/A</v>
      </c>
    </row>
    <row r="43" spans="1:31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Group")+SUMIFS(Movimientos!$K$1:$K$1325,Movimientos!$C$1:$C$1325,"CFT Group",Movimientos!$B$1:$B$1325,"&lt;="&amp;$B43)</f>
        <v>1837784.84</v>
      </c>
      <c r="D43" s="24">
        <f>SUMIFS('Saldos Iniciales'!$D:$D,'Saldos Iniciales'!$A:$A,"M1B")+SUMIFS(Movimientos!$K$1:$K$1325,Movimientos!$C$1:$C$1325,"M1B",Movimientos!$B$1:$B$1325,"&lt;="&amp;$B43)</f>
        <v>69376.390000000174</v>
      </c>
      <c r="E43" s="24">
        <f>SUMIFS('Saldos Iniciales'!$D:$D,'Saldos Iniciales'!$A:$A,"Durand")+SUMIFS(Movimientos!$K$1:$K$1325,Movimientos!$C$1:$C$1325,"Durand",Movimientos!$B$1:$B$1325,"&lt;="&amp;$B43)</f>
        <v>1669.89</v>
      </c>
      <c r="F43" s="24">
        <f>SUMIFS('Saldos Iniciales'!$D:$D,'Saldos Iniciales'!$A:$A,"A&amp;M Imports")+SUMIFS(Movimientos!$K$1:$K$1325,Movimientos!$C$1:$C$1325,"A&amp;M Imports",Movimientos!$B$1:$B$1325,"&lt;="&amp;$B43)</f>
        <v>564626.20999999985</v>
      </c>
      <c r="G43" s="24">
        <f>SUMIFS('Saldos Iniciales'!$D:$D,'Saldos Iniciales'!$A:$A,"SSP Capital")+SUMIFS(Movimientos!$K$1:$K$1325,Movimientos!$C$1:$C$1325,"SSP Capital",Movimientos!$B$1:$B$1325,"&lt;="&amp;$B43)</f>
        <v>794731.82999999926</v>
      </c>
      <c r="H43" s="24">
        <f>SUMIFS('Saldos Iniciales'!$D:$D,'Saldos Iniciales'!$A:$A,"Cross Family Trust")+SUMIFS(Movimientos!$K$1:$K$1325,Movimientos!$C$1:$C$1325,"Cross Family Trust",Movimientos!$B$1:$B$1325,"&lt;="&amp;$B43)</f>
        <v>116496.38</v>
      </c>
      <c r="I43" s="24">
        <f>SUMIFS('Saldos Iniciales'!$D:$D,'Saldos Iniciales'!$A:$A,"Cross Security Trust")+SUMIFS(Movimientos!$K$1:$K$1325,Movimientos!$C$1:$C$1325,"Cross Security Trust",Movimientos!$B$1:$B$1325,"&lt;="&amp;$B43)</f>
        <v>88090.37</v>
      </c>
      <c r="J43" s="24">
        <f>SUMIFS('Saldos Iniciales'!$D:$D,'Saldos Iniciales'!$A:$A,"Electrama")+SUMIFS(Movimientos!$K$1:$K$1325,Movimientos!$C$1:$C$1325,"Electrama",Movimientos!$B$1:$B$1325,"&lt;="&amp;$B43)</f>
        <v>511.15999999999985</v>
      </c>
      <c r="K43" s="24">
        <f>SUMIFS('Saldos Iniciales'!$D:$D,'Saldos Iniciales'!$A:$A,"Sacred Valley Capital")+SUMIFS(Movimientos!$K$1:$K$1325,Movimientos!$C$1:$C$1325,"Sacred Valley Capital",Movimientos!$B$1:$B$1325,"&lt;="&amp;$B43)</f>
        <v>84.35</v>
      </c>
      <c r="L43" s="24">
        <f>SUMIFS('Saldos Iniciales'!$D:$D,'Saldos Iniciales'!$A:$A,"YWC Capital")+SUMIFS(Movimientos!$K$1:$K$1325,Movimientos!$C$1:$C$1325,"YWC Capital",Movimientos!$B$1:$B$1325,"&lt;="&amp;$B43)</f>
        <v>2237.77</v>
      </c>
      <c r="M43" s="24">
        <f>SUMIFS('Saldos Iniciales'!$D:$D,'Saldos Iniciales'!$A:$A,"Soweto")+SUMIFS(Movimientos!$K$1:$K$1325,Movimientos!$C$1:$C$1325,"Soweto",Movimientos!$B$1:$B$1325,"&lt;="&amp;$B43)</f>
        <v>3349.94</v>
      </c>
      <c r="N43" s="24">
        <f>SUMIFS('Saldos Iniciales'!$D:$D,'Saldos Iniciales'!$A:$A,"Green Stone Trust")+SUMIFS(Movimientos!$K$1:$K$1325,Movimientos!$C$1:$C$1325,"Green Stone Trust",Movimientos!$B$1:$B$1325,"&lt;="&amp;$B43)</f>
        <v>1968.99</v>
      </c>
      <c r="O43" s="24">
        <f>SUMIFS('Saldos Iniciales'!$D:$D,'Saldos Iniciales'!$A:$A,"EC Auto")+SUMIFS(Movimientos!$K$1:$K$1325,Movimientos!$C$1:$C$1325,"EC Auto",Movimientos!$B$1:$B$1325,"&lt;="&amp;$B43)</f>
        <v>382.69000000000005</v>
      </c>
      <c r="P43" s="24">
        <f>SUMIFS('Saldos Iniciales'!$D:$D,'Saldos Iniciales'!$A:$A,"Arbor Capital Properties")+SUMIFS(Movimientos!$K$1:$K$1325,Movimientos!$C$1:$C$1325,"Arbor Capital Properties",Movimientos!$B$1:$B$1325,"&lt;="&amp;$B43)</f>
        <v>1428.08</v>
      </c>
      <c r="Q43" s="24">
        <f>SUMIFS('Saldos Iniciales'!$D:$D,'Saldos Iniciales'!$A:$A,"2515 Overbrook")+SUMIFS(Movimientos!$K$1:$K$1325,Movimientos!$C$1:$C$1325,"2515 Overbrook",Movimientos!$B$1:$B$1325,"&lt;="&amp;$B43)</f>
        <v>25789.969999999961</v>
      </c>
      <c r="R43" s="24">
        <f>SUMIFS('Saldos Iniciales'!$D:$D,'Saldos Iniciales'!$A:$A,"112 Florida Ave")+SUMIFS(Movimientos!$K$1:$K$1325,Movimientos!$C$1:$C$1325,"112 Florida Ave",Movimientos!$B$1:$B$1325,"&lt;="&amp;$B43)</f>
        <v>5321.4300000000021</v>
      </c>
      <c r="S43" s="24">
        <f>SUMIFS('Saldos Iniciales'!$D:$D,'Saldos Iniciales'!$A:$A,"3628 Thomas Ave")+SUMIFS(Movimientos!$K$1:$K$1325,Movimientos!$C$1:$C$1325,"3628 Thomas Ave",Movimientos!$B$1:$B$1325,"&lt;="&amp;$B43)</f>
        <v>24743.98</v>
      </c>
      <c r="T43" s="24">
        <f>SUMIFS('Saldos Iniciales'!$D:$D,'Saldos Iniciales'!$A:$A,"Green Harbor Trust")+SUMIFS(Movimientos!$K$1:$K$1325,Movimientos!$C$1:$C$1325,"Green Harbor Trust",Movimientos!$B$1:$B$1325,"&lt;="&amp;$B43)</f>
        <v>345</v>
      </c>
      <c r="U43" s="24">
        <f>SUMIFS('Saldos Iniciales'!$D:$D,'Saldos Iniciales'!$A:$A,"Go Blue")+SUMIFS(Movimientos!$K$1:$K$1325,Movimientos!$C$1:$C$1325,"Go Blue",Movimientos!$B$1:$B$1325,"&lt;="&amp;$B43)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LLC",Movimientos!$B$1:$B$1325,"&lt;="&amp;$B43))</f>
        <v>0</v>
      </c>
      <c r="W43" s="24">
        <f>IF(YEAR($B43)*100+MONTH($B43)&lt;--SUBSTITUTE(_xlfn.XLOOKUP("CFT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",Movimientos!$B$1:$B$1325,"&lt;="&amp;$B43))</f>
        <v>0</v>
      </c>
      <c r="AC43" s="24" t="e">
        <f>IF(YEAR($B43)*100+MONTH($B43)&lt;--SUBSTITUTE(_xlfn.XLOOKUP("SYIP",'Saldos Iniciales'!$A:$A,'Saldos Iniciales'!$C:$C),"-",""),0,SUMIFS('Saldos Iniciales'!$D:$D,'Saldos Iniciales'!$A:$A,"SYIP")+SUMIFS(Movimientos!$K$1:$K$1325,Movimientos!$C$1:$C$1325,"SYIP",Movimientos!$B$1:$B$1325,"&lt;="&amp;$B43))</f>
        <v>#N/A</v>
      </c>
      <c r="AD43" s="24">
        <f>IF(YEAR($B43)*100+MONTH($B43)&lt;--SUBSTITUTE(_xlfn.XLOOKUP("Nobe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Aparments",Movimientos!$B$1:$B$1325,"&lt;="&amp;$B43))</f>
        <v>0</v>
      </c>
      <c r="AE43" s="25" t="e">
        <f t="shared" si="1"/>
        <v>#N/A</v>
      </c>
    </row>
    <row r="44" spans="1:31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Group")+SUMIFS(Movimientos!$K$1:$K$1325,Movimientos!$C$1:$C$1325,"CFT Group",Movimientos!$B$1:$B$1325,"&lt;="&amp;$B44)</f>
        <v>1837784.84</v>
      </c>
      <c r="D44" s="24">
        <f>SUMIFS('Saldos Iniciales'!$D:$D,'Saldos Iniciales'!$A:$A,"M1B")+SUMIFS(Movimientos!$K$1:$K$1325,Movimientos!$C$1:$C$1325,"M1B",Movimientos!$B$1:$B$1325,"&lt;="&amp;$B44)</f>
        <v>69376.390000000174</v>
      </c>
      <c r="E44" s="24">
        <f>SUMIFS('Saldos Iniciales'!$D:$D,'Saldos Iniciales'!$A:$A,"Durand")+SUMIFS(Movimientos!$K$1:$K$1325,Movimientos!$C$1:$C$1325,"Durand",Movimientos!$B$1:$B$1325,"&lt;="&amp;$B44)</f>
        <v>1669.89</v>
      </c>
      <c r="F44" s="24">
        <f>SUMIFS('Saldos Iniciales'!$D:$D,'Saldos Iniciales'!$A:$A,"A&amp;M Imports")+SUMIFS(Movimientos!$K$1:$K$1325,Movimientos!$C$1:$C$1325,"A&amp;M Imports",Movimientos!$B$1:$B$1325,"&lt;="&amp;$B44)</f>
        <v>564626.20999999985</v>
      </c>
      <c r="G44" s="24">
        <f>SUMIFS('Saldos Iniciales'!$D:$D,'Saldos Iniciales'!$A:$A,"SSP Capital")+SUMIFS(Movimientos!$K$1:$K$1325,Movimientos!$C$1:$C$1325,"SSP Capital",Movimientos!$B$1:$B$1325,"&lt;="&amp;$B44)</f>
        <v>3763348.8299999996</v>
      </c>
      <c r="H44" s="24">
        <f>SUMIFS('Saldos Iniciales'!$D:$D,'Saldos Iniciales'!$A:$A,"Cross Family Trust")+SUMIFS(Movimientos!$K$1:$K$1325,Movimientos!$C$1:$C$1325,"Cross Family Trust",Movimientos!$B$1:$B$1325,"&lt;="&amp;$B44)</f>
        <v>116496.38</v>
      </c>
      <c r="I44" s="24">
        <f>SUMIFS('Saldos Iniciales'!$D:$D,'Saldos Iniciales'!$A:$A,"Cross Security Trust")+SUMIFS(Movimientos!$K$1:$K$1325,Movimientos!$C$1:$C$1325,"Cross Security Trust",Movimientos!$B$1:$B$1325,"&lt;="&amp;$B44)</f>
        <v>88090.37</v>
      </c>
      <c r="J44" s="24">
        <f>SUMIFS('Saldos Iniciales'!$D:$D,'Saldos Iniciales'!$A:$A,"Electrama")+SUMIFS(Movimientos!$K$1:$K$1325,Movimientos!$C$1:$C$1325,"Electrama",Movimientos!$B$1:$B$1325,"&lt;="&amp;$B44)</f>
        <v>511.15999999999985</v>
      </c>
      <c r="K44" s="24">
        <f>SUMIFS('Saldos Iniciales'!$D:$D,'Saldos Iniciales'!$A:$A,"Sacred Valley Capital")+SUMIFS(Movimientos!$K$1:$K$1325,Movimientos!$C$1:$C$1325,"Sacred Valley Capital",Movimientos!$B$1:$B$1325,"&lt;="&amp;$B44)</f>
        <v>84.35</v>
      </c>
      <c r="L44" s="24">
        <f>SUMIFS('Saldos Iniciales'!$D:$D,'Saldos Iniciales'!$A:$A,"YWC Capital")+SUMIFS(Movimientos!$K$1:$K$1325,Movimientos!$C$1:$C$1325,"YWC Capital",Movimientos!$B$1:$B$1325,"&lt;="&amp;$B44)</f>
        <v>2237.77</v>
      </c>
      <c r="M44" s="24">
        <f>SUMIFS('Saldos Iniciales'!$D:$D,'Saldos Iniciales'!$A:$A,"Soweto")+SUMIFS(Movimientos!$K$1:$K$1325,Movimientos!$C$1:$C$1325,"Soweto",Movimientos!$B$1:$B$1325,"&lt;="&amp;$B44)</f>
        <v>3349.94</v>
      </c>
      <c r="N44" s="24">
        <f>SUMIFS('Saldos Iniciales'!$D:$D,'Saldos Iniciales'!$A:$A,"Green Stone Trust")+SUMIFS(Movimientos!$K$1:$K$1325,Movimientos!$C$1:$C$1325,"Green Stone Trust",Movimientos!$B$1:$B$1325,"&lt;="&amp;$B44)</f>
        <v>1968.99</v>
      </c>
      <c r="O44" s="24">
        <f>SUMIFS('Saldos Iniciales'!$D:$D,'Saldos Iniciales'!$A:$A,"EC Auto")+SUMIFS(Movimientos!$K$1:$K$1325,Movimientos!$C$1:$C$1325,"EC Auto",Movimientos!$B$1:$B$1325,"&lt;="&amp;$B44)</f>
        <v>382.69000000000005</v>
      </c>
      <c r="P44" s="24">
        <f>SUMIFS('Saldos Iniciales'!$D:$D,'Saldos Iniciales'!$A:$A,"Arbor Capital Properties")+SUMIFS(Movimientos!$K$1:$K$1325,Movimientos!$C$1:$C$1325,"Arbor Capital Properties",Movimientos!$B$1:$B$1325,"&lt;="&amp;$B44)</f>
        <v>1428.08</v>
      </c>
      <c r="Q44" s="24">
        <f>SUMIFS('Saldos Iniciales'!$D:$D,'Saldos Iniciales'!$A:$A,"2515 Overbrook")+SUMIFS(Movimientos!$K$1:$K$1325,Movimientos!$C$1:$C$1325,"2515 Overbrook",Movimientos!$B$1:$B$1325,"&lt;="&amp;$B44)</f>
        <v>27789.969999999961</v>
      </c>
      <c r="R44" s="24">
        <f>SUMIFS('Saldos Iniciales'!$D:$D,'Saldos Iniciales'!$A:$A,"112 Florida Ave")+SUMIFS(Movimientos!$K$1:$K$1325,Movimientos!$C$1:$C$1325,"112 Florida Ave",Movimientos!$B$1:$B$1325,"&lt;="&amp;$B44)</f>
        <v>5321.4300000000021</v>
      </c>
      <c r="S44" s="24">
        <f>SUMIFS('Saldos Iniciales'!$D:$D,'Saldos Iniciales'!$A:$A,"3628 Thomas Ave")+SUMIFS(Movimientos!$K$1:$K$1325,Movimientos!$C$1:$C$1325,"3628 Thomas Ave",Movimientos!$B$1:$B$1325,"&lt;="&amp;$B44)</f>
        <v>24484.85</v>
      </c>
      <c r="T44" s="24">
        <f>SUMIFS('Saldos Iniciales'!$D:$D,'Saldos Iniciales'!$A:$A,"Green Harbor Trust")+SUMIFS(Movimientos!$K$1:$K$1325,Movimientos!$C$1:$C$1325,"Green Harbor Trust",Movimientos!$B$1:$B$1325,"&lt;="&amp;$B44)</f>
        <v>345</v>
      </c>
      <c r="U44" s="24">
        <f>SUMIFS('Saldos Iniciales'!$D:$D,'Saldos Iniciales'!$A:$A,"Go Blue")+SUMIFS(Movimientos!$K$1:$K$1325,Movimientos!$C$1:$C$1325,"Go Blue",Movimientos!$B$1:$B$1325,"&lt;="&amp;$B44)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LLC",Movimientos!$B$1:$B$1325,"&lt;="&amp;$B44))</f>
        <v>0</v>
      </c>
      <c r="W44" s="24">
        <f>IF(YEAR($B44)*100+MONTH($B44)&lt;--SUBSTITUTE(_xlfn.XLOOKUP("CFT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",Movimientos!$B$1:$B$1325,"&lt;="&amp;$B44))</f>
        <v>0</v>
      </c>
      <c r="AC44" s="24" t="e">
        <f>IF(YEAR($B44)*100+MONTH($B44)&lt;--SUBSTITUTE(_xlfn.XLOOKUP("SYIP",'Saldos Iniciales'!$A:$A,'Saldos Iniciales'!$C:$C),"-",""),0,SUMIFS('Saldos Iniciales'!$D:$D,'Saldos Iniciales'!$A:$A,"SYIP")+SUMIFS(Movimientos!$K$1:$K$1325,Movimientos!$C$1:$C$1325,"SYIP",Movimientos!$B$1:$B$1325,"&lt;="&amp;$B44))</f>
        <v>#N/A</v>
      </c>
      <c r="AD44" s="24">
        <f>IF(YEAR($B44)*100+MONTH($B44)&lt;--SUBSTITUTE(_xlfn.XLOOKUP("Nobe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Aparments",Movimientos!$B$1:$B$1325,"&lt;="&amp;$B44))</f>
        <v>0</v>
      </c>
      <c r="AE44" s="25" t="e">
        <f t="shared" si="1"/>
        <v>#N/A</v>
      </c>
    </row>
    <row r="45" spans="1:31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Group")+SUMIFS(Movimientos!$K$1:$K$1325,Movimientos!$C$1:$C$1325,"CFT Group",Movimientos!$B$1:$B$1325,"&lt;="&amp;$B45)</f>
        <v>1837784.84</v>
      </c>
      <c r="D45" s="24">
        <f>SUMIFS('Saldos Iniciales'!$D:$D,'Saldos Iniciales'!$A:$A,"M1B")+SUMIFS(Movimientos!$K$1:$K$1325,Movimientos!$C$1:$C$1325,"M1B",Movimientos!$B$1:$B$1325,"&lt;="&amp;$B45)</f>
        <v>69376.390000000174</v>
      </c>
      <c r="E45" s="24">
        <f>SUMIFS('Saldos Iniciales'!$D:$D,'Saldos Iniciales'!$A:$A,"Durand")+SUMIFS(Movimientos!$K$1:$K$1325,Movimientos!$C$1:$C$1325,"Durand",Movimientos!$B$1:$B$1325,"&lt;="&amp;$B45)</f>
        <v>1669.89</v>
      </c>
      <c r="F45" s="24">
        <f>SUMIFS('Saldos Iniciales'!$D:$D,'Saldos Iniciales'!$A:$A,"A&amp;M Imports")+SUMIFS(Movimientos!$K$1:$K$1325,Movimientos!$C$1:$C$1325,"A&amp;M Imports",Movimientos!$B$1:$B$1325,"&lt;="&amp;$B45)</f>
        <v>564626.20999999985</v>
      </c>
      <c r="G45" s="24">
        <f>SUMIFS('Saldos Iniciales'!$D:$D,'Saldos Iniciales'!$A:$A,"SSP Capital")+SUMIFS(Movimientos!$K$1:$K$1325,Movimientos!$C$1:$C$1325,"SSP Capital",Movimientos!$B$1:$B$1325,"&lt;="&amp;$B45)</f>
        <v>3763348.8299999996</v>
      </c>
      <c r="H45" s="24">
        <f>SUMIFS('Saldos Iniciales'!$D:$D,'Saldos Iniciales'!$A:$A,"Cross Family Trust")+SUMIFS(Movimientos!$K$1:$K$1325,Movimientos!$C$1:$C$1325,"Cross Family Trust",Movimientos!$B$1:$B$1325,"&lt;="&amp;$B45)</f>
        <v>116496.38</v>
      </c>
      <c r="I45" s="24">
        <f>SUMIFS('Saldos Iniciales'!$D:$D,'Saldos Iniciales'!$A:$A,"Cross Security Trust")+SUMIFS(Movimientos!$K$1:$K$1325,Movimientos!$C$1:$C$1325,"Cross Security Trust",Movimientos!$B$1:$B$1325,"&lt;="&amp;$B45)</f>
        <v>88090.37</v>
      </c>
      <c r="J45" s="24">
        <f>SUMIFS('Saldos Iniciales'!$D:$D,'Saldos Iniciales'!$A:$A,"Electrama")+SUMIFS(Movimientos!$K$1:$K$1325,Movimientos!$C$1:$C$1325,"Electrama",Movimientos!$B$1:$B$1325,"&lt;="&amp;$B45)</f>
        <v>511.15999999999985</v>
      </c>
      <c r="K45" s="24">
        <f>SUMIFS('Saldos Iniciales'!$D:$D,'Saldos Iniciales'!$A:$A,"Sacred Valley Capital")+SUMIFS(Movimientos!$K$1:$K$1325,Movimientos!$C$1:$C$1325,"Sacred Valley Capital",Movimientos!$B$1:$B$1325,"&lt;="&amp;$B45)</f>
        <v>84.35</v>
      </c>
      <c r="L45" s="24">
        <f>SUMIFS('Saldos Iniciales'!$D:$D,'Saldos Iniciales'!$A:$A,"YWC Capital")+SUMIFS(Movimientos!$K$1:$K$1325,Movimientos!$C$1:$C$1325,"YWC Capital",Movimientos!$B$1:$B$1325,"&lt;="&amp;$B45)</f>
        <v>2237.77</v>
      </c>
      <c r="M45" s="24">
        <f>SUMIFS('Saldos Iniciales'!$D:$D,'Saldos Iniciales'!$A:$A,"Soweto")+SUMIFS(Movimientos!$K$1:$K$1325,Movimientos!$C$1:$C$1325,"Soweto",Movimientos!$B$1:$B$1325,"&lt;="&amp;$B45)</f>
        <v>3349.94</v>
      </c>
      <c r="N45" s="24">
        <f>SUMIFS('Saldos Iniciales'!$D:$D,'Saldos Iniciales'!$A:$A,"Green Stone Trust")+SUMIFS(Movimientos!$K$1:$K$1325,Movimientos!$C$1:$C$1325,"Green Stone Trust",Movimientos!$B$1:$B$1325,"&lt;="&amp;$B45)</f>
        <v>1968.99</v>
      </c>
      <c r="O45" s="24">
        <f>SUMIFS('Saldos Iniciales'!$D:$D,'Saldos Iniciales'!$A:$A,"EC Auto")+SUMIFS(Movimientos!$K$1:$K$1325,Movimientos!$C$1:$C$1325,"EC Auto",Movimientos!$B$1:$B$1325,"&lt;="&amp;$B45)</f>
        <v>382.69000000000005</v>
      </c>
      <c r="P45" s="24">
        <f>SUMIFS('Saldos Iniciales'!$D:$D,'Saldos Iniciales'!$A:$A,"Arbor Capital Properties")+SUMIFS(Movimientos!$K$1:$K$1325,Movimientos!$C$1:$C$1325,"Arbor Capital Properties",Movimientos!$B$1:$B$1325,"&lt;="&amp;$B45)</f>
        <v>1428.08</v>
      </c>
      <c r="Q45" s="24">
        <f>SUMIFS('Saldos Iniciales'!$D:$D,'Saldos Iniciales'!$A:$A,"2515 Overbrook")+SUMIFS(Movimientos!$K$1:$K$1325,Movimientos!$C$1:$C$1325,"2515 Overbrook",Movimientos!$B$1:$B$1325,"&lt;="&amp;$B45)</f>
        <v>27789.969999999961</v>
      </c>
      <c r="R45" s="24">
        <f>SUMIFS('Saldos Iniciales'!$D:$D,'Saldos Iniciales'!$A:$A,"112 Florida Ave")+SUMIFS(Movimientos!$K$1:$K$1325,Movimientos!$C$1:$C$1325,"112 Florida Ave",Movimientos!$B$1:$B$1325,"&lt;="&amp;$B45)</f>
        <v>5321.4300000000021</v>
      </c>
      <c r="S45" s="24">
        <f>SUMIFS('Saldos Iniciales'!$D:$D,'Saldos Iniciales'!$A:$A,"3628 Thomas Ave")+SUMIFS(Movimientos!$K$1:$K$1325,Movimientos!$C$1:$C$1325,"3628 Thomas Ave",Movimientos!$B$1:$B$1325,"&lt;="&amp;$B45)</f>
        <v>24484.85</v>
      </c>
      <c r="T45" s="24">
        <f>SUMIFS('Saldos Iniciales'!$D:$D,'Saldos Iniciales'!$A:$A,"Green Harbor Trust")+SUMIFS(Movimientos!$K$1:$K$1325,Movimientos!$C$1:$C$1325,"Green Harbor Trust",Movimientos!$B$1:$B$1325,"&lt;="&amp;$B45)</f>
        <v>345</v>
      </c>
      <c r="U45" s="24">
        <f>SUMIFS('Saldos Iniciales'!$D:$D,'Saldos Iniciales'!$A:$A,"Go Blue")+SUMIFS(Movimientos!$K$1:$K$1325,Movimientos!$C$1:$C$1325,"Go Blue",Movimientos!$B$1:$B$1325,"&lt;="&amp;$B45)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LLC",Movimientos!$B$1:$B$1325,"&lt;="&amp;$B45))</f>
        <v>0</v>
      </c>
      <c r="W45" s="24">
        <f>IF(YEAR($B45)*100+MONTH($B45)&lt;--SUBSTITUTE(_xlfn.XLOOKUP("CFT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",Movimientos!$B$1:$B$1325,"&lt;="&amp;$B45))</f>
        <v>0</v>
      </c>
      <c r="AC45" s="24" t="e">
        <f>IF(YEAR($B45)*100+MONTH($B45)&lt;--SUBSTITUTE(_xlfn.XLOOKUP("SYIP",'Saldos Iniciales'!$A:$A,'Saldos Iniciales'!$C:$C),"-",""),0,SUMIFS('Saldos Iniciales'!$D:$D,'Saldos Iniciales'!$A:$A,"SYIP")+SUMIFS(Movimientos!$K$1:$K$1325,Movimientos!$C$1:$C$1325,"SYIP",Movimientos!$B$1:$B$1325,"&lt;="&amp;$B45))</f>
        <v>#N/A</v>
      </c>
      <c r="AD45" s="24">
        <f>IF(YEAR($B45)*100+MONTH($B45)&lt;--SUBSTITUTE(_xlfn.XLOOKUP("Nobe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Aparments",Movimientos!$B$1:$B$1325,"&lt;="&amp;$B45))</f>
        <v>0</v>
      </c>
      <c r="AE45" s="25" t="e">
        <f t="shared" si="1"/>
        <v>#N/A</v>
      </c>
    </row>
    <row r="46" spans="1:31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Group")+SUMIFS(Movimientos!$K$1:$K$1325,Movimientos!$C$1:$C$1325,"CFT Group",Movimientos!$B$1:$B$1325,"&lt;="&amp;$B46)</f>
        <v>1837784.84</v>
      </c>
      <c r="D46" s="24">
        <f>SUMIFS('Saldos Iniciales'!$D:$D,'Saldos Iniciales'!$A:$A,"M1B")+SUMIFS(Movimientos!$K$1:$K$1325,Movimientos!$C$1:$C$1325,"M1B",Movimientos!$B$1:$B$1325,"&lt;="&amp;$B46)</f>
        <v>69376.390000000174</v>
      </c>
      <c r="E46" s="24">
        <f>SUMIFS('Saldos Iniciales'!$D:$D,'Saldos Iniciales'!$A:$A,"Durand")+SUMIFS(Movimientos!$K$1:$K$1325,Movimientos!$C$1:$C$1325,"Durand",Movimientos!$B$1:$B$1325,"&lt;="&amp;$B46)</f>
        <v>1669.89</v>
      </c>
      <c r="F46" s="24">
        <f>SUMIFS('Saldos Iniciales'!$D:$D,'Saldos Iniciales'!$A:$A,"A&amp;M Imports")+SUMIFS(Movimientos!$K$1:$K$1325,Movimientos!$C$1:$C$1325,"A&amp;M Imports",Movimientos!$B$1:$B$1325,"&lt;="&amp;$B46)</f>
        <v>564626.20999999985</v>
      </c>
      <c r="G46" s="24">
        <f>SUMIFS('Saldos Iniciales'!$D:$D,'Saldos Iniciales'!$A:$A,"SSP Capital")+SUMIFS(Movimientos!$K$1:$K$1325,Movimientos!$C$1:$C$1325,"SSP Capital",Movimientos!$B$1:$B$1325,"&lt;="&amp;$B46)</f>
        <v>3763348.8299999996</v>
      </c>
      <c r="H46" s="24">
        <f>SUMIFS('Saldos Iniciales'!$D:$D,'Saldos Iniciales'!$A:$A,"Cross Family Trust")+SUMIFS(Movimientos!$K$1:$K$1325,Movimientos!$C$1:$C$1325,"Cross Family Trust",Movimientos!$B$1:$B$1325,"&lt;="&amp;$B46)</f>
        <v>116496.38</v>
      </c>
      <c r="I46" s="24">
        <f>SUMIFS('Saldos Iniciales'!$D:$D,'Saldos Iniciales'!$A:$A,"Cross Security Trust")+SUMIFS(Movimientos!$K$1:$K$1325,Movimientos!$C$1:$C$1325,"Cross Security Trust",Movimientos!$B$1:$B$1325,"&lt;="&amp;$B46)</f>
        <v>88090.37</v>
      </c>
      <c r="J46" s="24">
        <f>SUMIFS('Saldos Iniciales'!$D:$D,'Saldos Iniciales'!$A:$A,"Electrama")+SUMIFS(Movimientos!$K$1:$K$1325,Movimientos!$C$1:$C$1325,"Electrama",Movimientos!$B$1:$B$1325,"&lt;="&amp;$B46)</f>
        <v>511.15999999999985</v>
      </c>
      <c r="K46" s="24">
        <f>SUMIFS('Saldos Iniciales'!$D:$D,'Saldos Iniciales'!$A:$A,"Sacred Valley Capital")+SUMIFS(Movimientos!$K$1:$K$1325,Movimientos!$C$1:$C$1325,"Sacred Valley Capital",Movimientos!$B$1:$B$1325,"&lt;="&amp;$B46)</f>
        <v>84.35</v>
      </c>
      <c r="L46" s="24">
        <f>SUMIFS('Saldos Iniciales'!$D:$D,'Saldos Iniciales'!$A:$A,"YWC Capital")+SUMIFS(Movimientos!$K$1:$K$1325,Movimientos!$C$1:$C$1325,"YWC Capital",Movimientos!$B$1:$B$1325,"&lt;="&amp;$B46)</f>
        <v>2237.77</v>
      </c>
      <c r="M46" s="24">
        <f>SUMIFS('Saldos Iniciales'!$D:$D,'Saldos Iniciales'!$A:$A,"Soweto")+SUMIFS(Movimientos!$K$1:$K$1325,Movimientos!$C$1:$C$1325,"Soweto",Movimientos!$B$1:$B$1325,"&lt;="&amp;$B46)</f>
        <v>3349.94</v>
      </c>
      <c r="N46" s="24">
        <f>SUMIFS('Saldos Iniciales'!$D:$D,'Saldos Iniciales'!$A:$A,"Green Stone Trust")+SUMIFS(Movimientos!$K$1:$K$1325,Movimientos!$C$1:$C$1325,"Green Stone Trust",Movimientos!$B$1:$B$1325,"&lt;="&amp;$B46)</f>
        <v>1968.99</v>
      </c>
      <c r="O46" s="24">
        <f>SUMIFS('Saldos Iniciales'!$D:$D,'Saldos Iniciales'!$A:$A,"EC Auto")+SUMIFS(Movimientos!$K$1:$K$1325,Movimientos!$C$1:$C$1325,"EC Auto",Movimientos!$B$1:$B$1325,"&lt;="&amp;$B46)</f>
        <v>382.69000000000005</v>
      </c>
      <c r="P46" s="24">
        <f>SUMIFS('Saldos Iniciales'!$D:$D,'Saldos Iniciales'!$A:$A,"Arbor Capital Properties")+SUMIFS(Movimientos!$K$1:$K$1325,Movimientos!$C$1:$C$1325,"Arbor Capital Properties",Movimientos!$B$1:$B$1325,"&lt;="&amp;$B46)</f>
        <v>1428.08</v>
      </c>
      <c r="Q46" s="24">
        <f>SUMIFS('Saldos Iniciales'!$D:$D,'Saldos Iniciales'!$A:$A,"2515 Overbrook")+SUMIFS(Movimientos!$K$1:$K$1325,Movimientos!$C$1:$C$1325,"2515 Overbrook",Movimientos!$B$1:$B$1325,"&lt;="&amp;$B46)</f>
        <v>27789.969999999961</v>
      </c>
      <c r="R46" s="24">
        <f>SUMIFS('Saldos Iniciales'!$D:$D,'Saldos Iniciales'!$A:$A,"112 Florida Ave")+SUMIFS(Movimientos!$K$1:$K$1325,Movimientos!$C$1:$C$1325,"112 Florida Ave",Movimientos!$B$1:$B$1325,"&lt;="&amp;$B46)</f>
        <v>5321.4300000000021</v>
      </c>
      <c r="S46" s="24">
        <f>SUMIFS('Saldos Iniciales'!$D:$D,'Saldos Iniciales'!$A:$A,"3628 Thomas Ave")+SUMIFS(Movimientos!$K$1:$K$1325,Movimientos!$C$1:$C$1325,"3628 Thomas Ave",Movimientos!$B$1:$B$1325,"&lt;="&amp;$B46)</f>
        <v>24484.85</v>
      </c>
      <c r="T46" s="24">
        <f>SUMIFS('Saldos Iniciales'!$D:$D,'Saldos Iniciales'!$A:$A,"Green Harbor Trust")+SUMIFS(Movimientos!$K$1:$K$1325,Movimientos!$C$1:$C$1325,"Green Harbor Trust",Movimientos!$B$1:$B$1325,"&lt;="&amp;$B46)</f>
        <v>345</v>
      </c>
      <c r="U46" s="24">
        <f>SUMIFS('Saldos Iniciales'!$D:$D,'Saldos Iniciales'!$A:$A,"Go Blue")+SUMIFS(Movimientos!$K$1:$K$1325,Movimientos!$C$1:$C$1325,"Go Blue",Movimientos!$B$1:$B$1325,"&lt;="&amp;$B46)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LLC",Movimientos!$B$1:$B$1325,"&lt;="&amp;$B46))</f>
        <v>0</v>
      </c>
      <c r="W46" s="24">
        <f>IF(YEAR($B46)*100+MONTH($B46)&lt;--SUBSTITUTE(_xlfn.XLOOKUP("CFT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",Movimientos!$B$1:$B$1325,"&lt;="&amp;$B46))</f>
        <v>0</v>
      </c>
      <c r="AC46" s="24" t="e">
        <f>IF(YEAR($B46)*100+MONTH($B46)&lt;--SUBSTITUTE(_xlfn.XLOOKUP("SYIP",'Saldos Iniciales'!$A:$A,'Saldos Iniciales'!$C:$C),"-",""),0,SUMIFS('Saldos Iniciales'!$D:$D,'Saldos Iniciales'!$A:$A,"SYIP")+SUMIFS(Movimientos!$K$1:$K$1325,Movimientos!$C$1:$C$1325,"SYIP",Movimientos!$B$1:$B$1325,"&lt;="&amp;$B46))</f>
        <v>#N/A</v>
      </c>
      <c r="AD46" s="24">
        <f>IF(YEAR($B46)*100+MONTH($B46)&lt;--SUBSTITUTE(_xlfn.XLOOKUP("Nobe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Aparments",Movimientos!$B$1:$B$1325,"&lt;="&amp;$B46))</f>
        <v>0</v>
      </c>
      <c r="AE46" s="25" t="e">
        <f t="shared" si="1"/>
        <v>#N/A</v>
      </c>
    </row>
    <row r="47" spans="1:31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Group")+SUMIFS(Movimientos!$K$1:$K$1325,Movimientos!$C$1:$C$1325,"CFT Group",Movimientos!$B$1:$B$1325,"&lt;="&amp;$B47)</f>
        <v>985975.94000000029</v>
      </c>
      <c r="D47" s="24">
        <f>SUMIFS('Saldos Iniciales'!$D:$D,'Saldos Iniciales'!$A:$A,"M1B")+SUMIFS(Movimientos!$K$1:$K$1325,Movimientos!$C$1:$C$1325,"M1B",Movimientos!$B$1:$B$1325,"&lt;="&amp;$B47)</f>
        <v>69376.390000000174</v>
      </c>
      <c r="E47" s="24">
        <f>SUMIFS('Saldos Iniciales'!$D:$D,'Saldos Iniciales'!$A:$A,"Durand")+SUMIFS(Movimientos!$K$1:$K$1325,Movimientos!$C$1:$C$1325,"Durand",Movimientos!$B$1:$B$1325,"&lt;="&amp;$B47)</f>
        <v>1669.89</v>
      </c>
      <c r="F47" s="24">
        <f>SUMIFS('Saldos Iniciales'!$D:$D,'Saldos Iniciales'!$A:$A,"A&amp;M Imports")+SUMIFS(Movimientos!$K$1:$K$1325,Movimientos!$C$1:$C$1325,"A&amp;M Imports",Movimientos!$B$1:$B$1325,"&lt;="&amp;$B47)</f>
        <v>503904.80999999982</v>
      </c>
      <c r="G47" s="24">
        <f>SUMIFS('Saldos Iniciales'!$D:$D,'Saldos Iniciales'!$A:$A,"SSP Capital")+SUMIFS(Movimientos!$K$1:$K$1325,Movimientos!$C$1:$C$1325,"SSP Capital",Movimientos!$B$1:$B$1325,"&lt;="&amp;$B47)</f>
        <v>3331737.2399999998</v>
      </c>
      <c r="H47" s="24">
        <f>SUMIFS('Saldos Iniciales'!$D:$D,'Saldos Iniciales'!$A:$A,"Cross Family Trust")+SUMIFS(Movimientos!$K$1:$K$1325,Movimientos!$C$1:$C$1325,"Cross Family Trust",Movimientos!$B$1:$B$1325,"&lt;="&amp;$B47)</f>
        <v>116496.38</v>
      </c>
      <c r="I47" s="24">
        <f>SUMIFS('Saldos Iniciales'!$D:$D,'Saldos Iniciales'!$A:$A,"Cross Security Trust")+SUMIFS(Movimientos!$K$1:$K$1325,Movimientos!$C$1:$C$1325,"Cross Security Trust",Movimientos!$B$1:$B$1325,"&lt;="&amp;$B47)</f>
        <v>88090.37</v>
      </c>
      <c r="J47" s="24">
        <f>SUMIFS('Saldos Iniciales'!$D:$D,'Saldos Iniciales'!$A:$A,"Electrama")+SUMIFS(Movimientos!$K$1:$K$1325,Movimientos!$C$1:$C$1325,"Electrama",Movimientos!$B$1:$B$1325,"&lt;="&amp;$B47)</f>
        <v>511.15999999999985</v>
      </c>
      <c r="K47" s="24">
        <f>SUMIFS('Saldos Iniciales'!$D:$D,'Saldos Iniciales'!$A:$A,"Sacred Valley Capital")+SUMIFS(Movimientos!$K$1:$K$1325,Movimientos!$C$1:$C$1325,"Sacred Valley Capital",Movimientos!$B$1:$B$1325,"&lt;="&amp;$B47)</f>
        <v>84.35</v>
      </c>
      <c r="L47" s="24">
        <f>SUMIFS('Saldos Iniciales'!$D:$D,'Saldos Iniciales'!$A:$A,"YWC Capital")+SUMIFS(Movimientos!$K$1:$K$1325,Movimientos!$C$1:$C$1325,"YWC Capital",Movimientos!$B$1:$B$1325,"&lt;="&amp;$B47)</f>
        <v>2237.77</v>
      </c>
      <c r="M47" s="24">
        <f>SUMIFS('Saldos Iniciales'!$D:$D,'Saldos Iniciales'!$A:$A,"Soweto")+SUMIFS(Movimientos!$K$1:$K$1325,Movimientos!$C$1:$C$1325,"Soweto",Movimientos!$B$1:$B$1325,"&lt;="&amp;$B47)</f>
        <v>3349.94</v>
      </c>
      <c r="N47" s="24">
        <f>SUMIFS('Saldos Iniciales'!$D:$D,'Saldos Iniciales'!$A:$A,"Green Stone Trust")+SUMIFS(Movimientos!$K$1:$K$1325,Movimientos!$C$1:$C$1325,"Green Stone Trust",Movimientos!$B$1:$B$1325,"&lt;="&amp;$B47)</f>
        <v>1968.99</v>
      </c>
      <c r="O47" s="24">
        <f>SUMIFS('Saldos Iniciales'!$D:$D,'Saldos Iniciales'!$A:$A,"EC Auto")+SUMIFS(Movimientos!$K$1:$K$1325,Movimientos!$C$1:$C$1325,"EC Auto",Movimientos!$B$1:$B$1325,"&lt;="&amp;$B47)</f>
        <v>382.69000000000005</v>
      </c>
      <c r="P47" s="24">
        <f>SUMIFS('Saldos Iniciales'!$D:$D,'Saldos Iniciales'!$A:$A,"Arbor Capital Properties")+SUMIFS(Movimientos!$K$1:$K$1325,Movimientos!$C$1:$C$1325,"Arbor Capital Properties",Movimientos!$B$1:$B$1325,"&lt;="&amp;$B47)</f>
        <v>1428.08</v>
      </c>
      <c r="Q47" s="24">
        <f>SUMIFS('Saldos Iniciales'!$D:$D,'Saldos Iniciales'!$A:$A,"2515 Overbrook")+SUMIFS(Movimientos!$K$1:$K$1325,Movimientos!$C$1:$C$1325,"2515 Overbrook",Movimientos!$B$1:$B$1325,"&lt;="&amp;$B47)</f>
        <v>29789.969999999961</v>
      </c>
      <c r="R47" s="24">
        <f>SUMIFS('Saldos Iniciales'!$D:$D,'Saldos Iniciales'!$A:$A,"112 Florida Ave")+SUMIFS(Movimientos!$K$1:$K$1325,Movimientos!$C$1:$C$1325,"112 Florida Ave",Movimientos!$B$1:$B$1325,"&lt;="&amp;$B47)</f>
        <v>5321.4300000000021</v>
      </c>
      <c r="S47" s="24">
        <f>SUMIFS('Saldos Iniciales'!$D:$D,'Saldos Iniciales'!$A:$A,"3628 Thomas Ave")+SUMIFS(Movimientos!$K$1:$K$1325,Movimientos!$C$1:$C$1325,"3628 Thomas Ave",Movimientos!$B$1:$B$1325,"&lt;="&amp;$B47)</f>
        <v>20484.849999999999</v>
      </c>
      <c r="T47" s="24">
        <f>SUMIFS('Saldos Iniciales'!$D:$D,'Saldos Iniciales'!$A:$A,"Green Harbor Trust")+SUMIFS(Movimientos!$K$1:$K$1325,Movimientos!$C$1:$C$1325,"Green Harbor Trust",Movimientos!$B$1:$B$1325,"&lt;="&amp;$B47)</f>
        <v>345</v>
      </c>
      <c r="U47" s="24">
        <f>SUMIFS('Saldos Iniciales'!$D:$D,'Saldos Iniciales'!$A:$A,"Go Blue")+SUMIFS(Movimientos!$K$1:$K$1325,Movimientos!$C$1:$C$1325,"Go Blue",Movimientos!$B$1:$B$1325,"&lt;="&amp;$B47)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LLC",Movimientos!$B$1:$B$1325,"&lt;="&amp;$B47))</f>
        <v>0</v>
      </c>
      <c r="W47" s="24">
        <f>IF(YEAR($B47)*100+MONTH($B47)&lt;--SUBSTITUTE(_xlfn.XLOOKUP("CFT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",Movimientos!$B$1:$B$1325,"&lt;="&amp;$B47))</f>
        <v>0</v>
      </c>
      <c r="AC47" s="24" t="e">
        <f>IF(YEAR($B47)*100+MONTH($B47)&lt;--SUBSTITUTE(_xlfn.XLOOKUP("SYIP",'Saldos Iniciales'!$A:$A,'Saldos Iniciales'!$C:$C),"-",""),0,SUMIFS('Saldos Iniciales'!$D:$D,'Saldos Iniciales'!$A:$A,"SYIP")+SUMIFS(Movimientos!$K$1:$K$1325,Movimientos!$C$1:$C$1325,"SYIP",Movimientos!$B$1:$B$1325,"&lt;="&amp;$B47))</f>
        <v>#N/A</v>
      </c>
      <c r="AD47" s="24">
        <f>IF(YEAR($B47)*100+MONTH($B47)&lt;--SUBSTITUTE(_xlfn.XLOOKUP("Nobe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Aparments",Movimientos!$B$1:$B$1325,"&lt;="&amp;$B47))</f>
        <v>0</v>
      </c>
      <c r="AE47" s="25" t="e">
        <f t="shared" si="1"/>
        <v>#N/A</v>
      </c>
    </row>
    <row r="48" spans="1:31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Group")+SUMIFS(Movimientos!$K$1:$K$1325,Movimientos!$C$1:$C$1325,"CFT Group",Movimientos!$B$1:$B$1325,"&lt;="&amp;$B48)</f>
        <v>1086358.7500000002</v>
      </c>
      <c r="D48" s="24">
        <f>SUMIFS('Saldos Iniciales'!$D:$D,'Saldos Iniciales'!$A:$A,"M1B")+SUMIFS(Movimientos!$K$1:$K$1325,Movimientos!$C$1:$C$1325,"M1B",Movimientos!$B$1:$B$1325,"&lt;="&amp;$B48)</f>
        <v>69376.390000000174</v>
      </c>
      <c r="E48" s="24">
        <f>SUMIFS('Saldos Iniciales'!$D:$D,'Saldos Iniciales'!$A:$A,"Durand")+SUMIFS(Movimientos!$K$1:$K$1325,Movimientos!$C$1:$C$1325,"Durand",Movimientos!$B$1:$B$1325,"&lt;="&amp;$B48)</f>
        <v>1669.89</v>
      </c>
      <c r="F48" s="24">
        <f>SUMIFS('Saldos Iniciales'!$D:$D,'Saldos Iniciales'!$A:$A,"A&amp;M Imports")+SUMIFS(Movimientos!$K$1:$K$1325,Movimientos!$C$1:$C$1325,"A&amp;M Imports",Movimientos!$B$1:$B$1325,"&lt;="&amp;$B48)</f>
        <v>503904.80999999982</v>
      </c>
      <c r="G48" s="24">
        <f>SUMIFS('Saldos Iniciales'!$D:$D,'Saldos Iniciales'!$A:$A,"SSP Capital")+SUMIFS(Movimientos!$K$1:$K$1325,Movimientos!$C$1:$C$1325,"SSP Capital",Movimientos!$B$1:$B$1325,"&lt;="&amp;$B48)</f>
        <v>3329246.88</v>
      </c>
      <c r="H48" s="24">
        <f>SUMIFS('Saldos Iniciales'!$D:$D,'Saldos Iniciales'!$A:$A,"Cross Family Trust")+SUMIFS(Movimientos!$K$1:$K$1325,Movimientos!$C$1:$C$1325,"Cross Family Trust",Movimientos!$B$1:$B$1325,"&lt;="&amp;$B48)</f>
        <v>116496.38</v>
      </c>
      <c r="I48" s="24">
        <f>SUMIFS('Saldos Iniciales'!$D:$D,'Saldos Iniciales'!$A:$A,"Cross Security Trust")+SUMIFS(Movimientos!$K$1:$K$1325,Movimientos!$C$1:$C$1325,"Cross Security Trust",Movimientos!$B$1:$B$1325,"&lt;="&amp;$B48)</f>
        <v>88090.37</v>
      </c>
      <c r="J48" s="24">
        <f>SUMIFS('Saldos Iniciales'!$D:$D,'Saldos Iniciales'!$A:$A,"Electrama")+SUMIFS(Movimientos!$K$1:$K$1325,Movimientos!$C$1:$C$1325,"Electrama",Movimientos!$B$1:$B$1325,"&lt;="&amp;$B48)</f>
        <v>511.15999999999985</v>
      </c>
      <c r="K48" s="24">
        <f>SUMIFS('Saldos Iniciales'!$D:$D,'Saldos Iniciales'!$A:$A,"Sacred Valley Capital")+SUMIFS(Movimientos!$K$1:$K$1325,Movimientos!$C$1:$C$1325,"Sacred Valley Capital",Movimientos!$B$1:$B$1325,"&lt;="&amp;$B48)</f>
        <v>84.35</v>
      </c>
      <c r="L48" s="24">
        <f>SUMIFS('Saldos Iniciales'!$D:$D,'Saldos Iniciales'!$A:$A,"YWC Capital")+SUMIFS(Movimientos!$K$1:$K$1325,Movimientos!$C$1:$C$1325,"YWC Capital",Movimientos!$B$1:$B$1325,"&lt;="&amp;$B48)</f>
        <v>2237.77</v>
      </c>
      <c r="M48" s="24">
        <f>SUMIFS('Saldos Iniciales'!$D:$D,'Saldos Iniciales'!$A:$A,"Soweto")+SUMIFS(Movimientos!$K$1:$K$1325,Movimientos!$C$1:$C$1325,"Soweto",Movimientos!$B$1:$B$1325,"&lt;="&amp;$B48)</f>
        <v>3349.94</v>
      </c>
      <c r="N48" s="24">
        <f>SUMIFS('Saldos Iniciales'!$D:$D,'Saldos Iniciales'!$A:$A,"Green Stone Trust")+SUMIFS(Movimientos!$K$1:$K$1325,Movimientos!$C$1:$C$1325,"Green Stone Trust",Movimientos!$B$1:$B$1325,"&lt;="&amp;$B48)</f>
        <v>1968.99</v>
      </c>
      <c r="O48" s="24">
        <f>SUMIFS('Saldos Iniciales'!$D:$D,'Saldos Iniciales'!$A:$A,"EC Auto")+SUMIFS(Movimientos!$K$1:$K$1325,Movimientos!$C$1:$C$1325,"EC Auto",Movimientos!$B$1:$B$1325,"&lt;="&amp;$B48)</f>
        <v>382.69000000000005</v>
      </c>
      <c r="P48" s="24">
        <f>SUMIFS('Saldos Iniciales'!$D:$D,'Saldos Iniciales'!$A:$A,"Arbor Capital Properties")+SUMIFS(Movimientos!$K$1:$K$1325,Movimientos!$C$1:$C$1325,"Arbor Capital Properties",Movimientos!$B$1:$B$1325,"&lt;="&amp;$B48)</f>
        <v>1428.08</v>
      </c>
      <c r="Q48" s="24">
        <f>SUMIFS('Saldos Iniciales'!$D:$D,'Saldos Iniciales'!$A:$A,"2515 Overbrook")+SUMIFS(Movimientos!$K$1:$K$1325,Movimientos!$C$1:$C$1325,"2515 Overbrook",Movimientos!$B$1:$B$1325,"&lt;="&amp;$B48)</f>
        <v>29789.969999999961</v>
      </c>
      <c r="R48" s="24">
        <f>SUMIFS('Saldos Iniciales'!$D:$D,'Saldos Iniciales'!$A:$A,"112 Florida Ave")+SUMIFS(Movimientos!$K$1:$K$1325,Movimientos!$C$1:$C$1325,"112 Florida Ave",Movimientos!$B$1:$B$1325,"&lt;="&amp;$B48)</f>
        <v>20321.43</v>
      </c>
      <c r="S48" s="24">
        <f>SUMIFS('Saldos Iniciales'!$D:$D,'Saldos Iniciales'!$A:$A,"3628 Thomas Ave")+SUMIFS(Movimientos!$K$1:$K$1325,Movimientos!$C$1:$C$1325,"3628 Thomas Ave",Movimientos!$B$1:$B$1325,"&lt;="&amp;$B48)</f>
        <v>19811.349999999999</v>
      </c>
      <c r="T48" s="24">
        <f>SUMIFS('Saldos Iniciales'!$D:$D,'Saldos Iniciales'!$A:$A,"Green Harbor Trust")+SUMIFS(Movimientos!$K$1:$K$1325,Movimientos!$C$1:$C$1325,"Green Harbor Trust",Movimientos!$B$1:$B$1325,"&lt;="&amp;$B48)</f>
        <v>345</v>
      </c>
      <c r="U48" s="24">
        <f>SUMIFS('Saldos Iniciales'!$D:$D,'Saldos Iniciales'!$A:$A,"Go Blue")+SUMIFS(Movimientos!$K$1:$K$1325,Movimientos!$C$1:$C$1325,"Go Blue",Movimientos!$B$1:$B$1325,"&lt;="&amp;$B48)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LLC",Movimientos!$B$1:$B$1325,"&lt;="&amp;$B48))</f>
        <v>0</v>
      </c>
      <c r="W48" s="24">
        <f>IF(YEAR($B48)*100+MONTH($B48)&lt;--SUBSTITUTE(_xlfn.XLOOKUP("CFT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",Movimientos!$B$1:$B$1325,"&lt;="&amp;$B48))</f>
        <v>0</v>
      </c>
      <c r="AC48" s="24" t="e">
        <f>IF(YEAR($B48)*100+MONTH($B48)&lt;--SUBSTITUTE(_xlfn.XLOOKUP("SYIP",'Saldos Iniciales'!$A:$A,'Saldos Iniciales'!$C:$C),"-",""),0,SUMIFS('Saldos Iniciales'!$D:$D,'Saldos Iniciales'!$A:$A,"SYIP")+SUMIFS(Movimientos!$K$1:$K$1325,Movimientos!$C$1:$C$1325,"SYIP",Movimientos!$B$1:$B$1325,"&lt;="&amp;$B48))</f>
        <v>#N/A</v>
      </c>
      <c r="AD48" s="24">
        <f>IF(YEAR($B48)*100+MONTH($B48)&lt;--SUBSTITUTE(_xlfn.XLOOKUP("Nobe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Aparments",Movimientos!$B$1:$B$1325,"&lt;="&amp;$B48))</f>
        <v>0</v>
      </c>
      <c r="AE48" s="25" t="e">
        <f t="shared" si="1"/>
        <v>#N/A</v>
      </c>
    </row>
    <row r="49" spans="1:31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Group")+SUMIFS(Movimientos!$K$1:$K$1325,Movimientos!$C$1:$C$1325,"CFT Group",Movimientos!$B$1:$B$1325,"&lt;="&amp;$B49)</f>
        <v>1098358.7500000002</v>
      </c>
      <c r="D49" s="24">
        <f>SUMIFS('Saldos Iniciales'!$D:$D,'Saldos Iniciales'!$A:$A,"M1B")+SUMIFS(Movimientos!$K$1:$K$1325,Movimientos!$C$1:$C$1325,"M1B",Movimientos!$B$1:$B$1325,"&lt;="&amp;$B49)</f>
        <v>69376.390000000174</v>
      </c>
      <c r="E49" s="24">
        <f>SUMIFS('Saldos Iniciales'!$D:$D,'Saldos Iniciales'!$A:$A,"Durand")+SUMIFS(Movimientos!$K$1:$K$1325,Movimientos!$C$1:$C$1325,"Durand",Movimientos!$B$1:$B$1325,"&lt;="&amp;$B49)</f>
        <v>1669.89</v>
      </c>
      <c r="F49" s="24">
        <f>SUMIFS('Saldos Iniciales'!$D:$D,'Saldos Iniciales'!$A:$A,"A&amp;M Imports")+SUMIFS(Movimientos!$K$1:$K$1325,Movimientos!$C$1:$C$1325,"A&amp;M Imports",Movimientos!$B$1:$B$1325,"&lt;="&amp;$B49)</f>
        <v>503904.80999999982</v>
      </c>
      <c r="G49" s="24">
        <f>SUMIFS('Saldos Iniciales'!$D:$D,'Saldos Iniciales'!$A:$A,"SSP Capital")+SUMIFS(Movimientos!$K$1:$K$1325,Movimientos!$C$1:$C$1325,"SSP Capital",Movimientos!$B$1:$B$1325,"&lt;="&amp;$B49)</f>
        <v>3326863.3899999997</v>
      </c>
      <c r="H49" s="24">
        <f>SUMIFS('Saldos Iniciales'!$D:$D,'Saldos Iniciales'!$A:$A,"Cross Family Trust")+SUMIFS(Movimientos!$K$1:$K$1325,Movimientos!$C$1:$C$1325,"Cross Family Trust",Movimientos!$B$1:$B$1325,"&lt;="&amp;$B49)</f>
        <v>116496.38</v>
      </c>
      <c r="I49" s="24">
        <f>SUMIFS('Saldos Iniciales'!$D:$D,'Saldos Iniciales'!$A:$A,"Cross Security Trust")+SUMIFS(Movimientos!$K$1:$K$1325,Movimientos!$C$1:$C$1325,"Cross Security Trust",Movimientos!$B$1:$B$1325,"&lt;="&amp;$B49)</f>
        <v>88090.37</v>
      </c>
      <c r="J49" s="24">
        <f>SUMIFS('Saldos Iniciales'!$D:$D,'Saldos Iniciales'!$A:$A,"Electrama")+SUMIFS(Movimientos!$K$1:$K$1325,Movimientos!$C$1:$C$1325,"Electrama",Movimientos!$B$1:$B$1325,"&lt;="&amp;$B49)</f>
        <v>511.15999999999985</v>
      </c>
      <c r="K49" s="24">
        <f>SUMIFS('Saldos Iniciales'!$D:$D,'Saldos Iniciales'!$A:$A,"Sacred Valley Capital")+SUMIFS(Movimientos!$K$1:$K$1325,Movimientos!$C$1:$C$1325,"Sacred Valley Capital",Movimientos!$B$1:$B$1325,"&lt;="&amp;$B49)</f>
        <v>84.35</v>
      </c>
      <c r="L49" s="24">
        <f>SUMIFS('Saldos Iniciales'!$D:$D,'Saldos Iniciales'!$A:$A,"YWC Capital")+SUMIFS(Movimientos!$K$1:$K$1325,Movimientos!$C$1:$C$1325,"YWC Capital",Movimientos!$B$1:$B$1325,"&lt;="&amp;$B49)</f>
        <v>2237.77</v>
      </c>
      <c r="M49" s="24">
        <f>SUMIFS('Saldos Iniciales'!$D:$D,'Saldos Iniciales'!$A:$A,"Soweto")+SUMIFS(Movimientos!$K$1:$K$1325,Movimientos!$C$1:$C$1325,"Soweto",Movimientos!$B$1:$B$1325,"&lt;="&amp;$B49)</f>
        <v>3349.94</v>
      </c>
      <c r="N49" s="24">
        <f>SUMIFS('Saldos Iniciales'!$D:$D,'Saldos Iniciales'!$A:$A,"Green Stone Trust")+SUMIFS(Movimientos!$K$1:$K$1325,Movimientos!$C$1:$C$1325,"Green Stone Trust",Movimientos!$B$1:$B$1325,"&lt;="&amp;$B49)</f>
        <v>1968.99</v>
      </c>
      <c r="O49" s="24">
        <f>SUMIFS('Saldos Iniciales'!$D:$D,'Saldos Iniciales'!$A:$A,"EC Auto")+SUMIFS(Movimientos!$K$1:$K$1325,Movimientos!$C$1:$C$1325,"EC Auto",Movimientos!$B$1:$B$1325,"&lt;="&amp;$B49)</f>
        <v>382.69000000000005</v>
      </c>
      <c r="P49" s="24">
        <f>SUMIFS('Saldos Iniciales'!$D:$D,'Saldos Iniciales'!$A:$A,"Arbor Capital Properties")+SUMIFS(Movimientos!$K$1:$K$1325,Movimientos!$C$1:$C$1325,"Arbor Capital Properties",Movimientos!$B$1:$B$1325,"&lt;="&amp;$B49)</f>
        <v>1428.08</v>
      </c>
      <c r="Q49" s="24">
        <f>SUMIFS('Saldos Iniciales'!$D:$D,'Saldos Iniciales'!$A:$A,"2515 Overbrook")+SUMIFS(Movimientos!$K$1:$K$1325,Movimientos!$C$1:$C$1325,"2515 Overbrook",Movimientos!$B$1:$B$1325,"&lt;="&amp;$B49)</f>
        <v>29789.969999999961</v>
      </c>
      <c r="R49" s="24">
        <f>SUMIFS('Saldos Iniciales'!$D:$D,'Saldos Iniciales'!$A:$A,"112 Florida Ave")+SUMIFS(Movimientos!$K$1:$K$1325,Movimientos!$C$1:$C$1325,"112 Florida Ave",Movimientos!$B$1:$B$1325,"&lt;="&amp;$B49)</f>
        <v>20321.43</v>
      </c>
      <c r="S49" s="24">
        <f>SUMIFS('Saldos Iniciales'!$D:$D,'Saldos Iniciales'!$A:$A,"3628 Thomas Ave")+SUMIFS(Movimientos!$K$1:$K$1325,Movimientos!$C$1:$C$1325,"3628 Thomas Ave",Movimientos!$B$1:$B$1325,"&lt;="&amp;$B49)</f>
        <v>16681.349999999999</v>
      </c>
      <c r="T49" s="24">
        <f>SUMIFS('Saldos Iniciales'!$D:$D,'Saldos Iniciales'!$A:$A,"Green Harbor Trust")+SUMIFS(Movimientos!$K$1:$K$1325,Movimientos!$C$1:$C$1325,"Green Harbor Trust",Movimientos!$B$1:$B$1325,"&lt;="&amp;$B49)</f>
        <v>345</v>
      </c>
      <c r="U49" s="24">
        <f>SUMIFS('Saldos Iniciales'!$D:$D,'Saldos Iniciales'!$A:$A,"Go Blue")+SUMIFS(Movimientos!$K$1:$K$1325,Movimientos!$C$1:$C$1325,"Go Blue",Movimientos!$B$1:$B$1325,"&lt;="&amp;$B49)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LLC",Movimientos!$B$1:$B$1325,"&lt;="&amp;$B49))</f>
        <v>0</v>
      </c>
      <c r="W49" s="24">
        <f>IF(YEAR($B49)*100+MONTH($B49)&lt;--SUBSTITUTE(_xlfn.XLOOKUP("CFT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",Movimientos!$B$1:$B$1325,"&lt;="&amp;$B49))</f>
        <v>0</v>
      </c>
      <c r="AC49" s="24" t="e">
        <f>IF(YEAR($B49)*100+MONTH($B49)&lt;--SUBSTITUTE(_xlfn.XLOOKUP("SYIP",'Saldos Iniciales'!$A:$A,'Saldos Iniciales'!$C:$C),"-",""),0,SUMIFS('Saldos Iniciales'!$D:$D,'Saldos Iniciales'!$A:$A,"SYIP")+SUMIFS(Movimientos!$K$1:$K$1325,Movimientos!$C$1:$C$1325,"SYIP",Movimientos!$B$1:$B$1325,"&lt;="&amp;$B49))</f>
        <v>#N/A</v>
      </c>
      <c r="AD49" s="24">
        <f>IF(YEAR($B49)*100+MONTH($B49)&lt;--SUBSTITUTE(_xlfn.XLOOKUP("Nobe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Aparments",Movimientos!$B$1:$B$1325,"&lt;="&amp;$B49))</f>
        <v>0</v>
      </c>
      <c r="AE49" s="25" t="e">
        <f t="shared" si="1"/>
        <v>#N/A</v>
      </c>
    </row>
    <row r="50" spans="1:31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Group")+SUMIFS(Movimientos!$K$1:$K$1325,Movimientos!$C$1:$C$1325,"CFT Group",Movimientos!$B$1:$B$1325,"&lt;="&amp;$B50)</f>
        <v>1098358.7500000002</v>
      </c>
      <c r="D50" s="24">
        <f>SUMIFS('Saldos Iniciales'!$D:$D,'Saldos Iniciales'!$A:$A,"M1B")+SUMIFS(Movimientos!$K$1:$K$1325,Movimientos!$C$1:$C$1325,"M1B",Movimientos!$B$1:$B$1325,"&lt;="&amp;$B50)</f>
        <v>69376.390000000174</v>
      </c>
      <c r="E50" s="24">
        <f>SUMIFS('Saldos Iniciales'!$D:$D,'Saldos Iniciales'!$A:$A,"Durand")+SUMIFS(Movimientos!$K$1:$K$1325,Movimientos!$C$1:$C$1325,"Durand",Movimientos!$B$1:$B$1325,"&lt;="&amp;$B50)</f>
        <v>1669.89</v>
      </c>
      <c r="F50" s="24">
        <f>SUMIFS('Saldos Iniciales'!$D:$D,'Saldos Iniciales'!$A:$A,"A&amp;M Imports")+SUMIFS(Movimientos!$K$1:$K$1325,Movimientos!$C$1:$C$1325,"A&amp;M Imports",Movimientos!$B$1:$B$1325,"&lt;="&amp;$B50)</f>
        <v>503904.80999999982</v>
      </c>
      <c r="G50" s="24">
        <f>SUMIFS('Saldos Iniciales'!$D:$D,'Saldos Iniciales'!$A:$A,"SSP Capital")+SUMIFS(Movimientos!$K$1:$K$1325,Movimientos!$C$1:$C$1325,"SSP Capital",Movimientos!$B$1:$B$1325,"&lt;="&amp;$B50)</f>
        <v>3326696.7299999995</v>
      </c>
      <c r="H50" s="24">
        <f>SUMIFS('Saldos Iniciales'!$D:$D,'Saldos Iniciales'!$A:$A,"Cross Family Trust")+SUMIFS(Movimientos!$K$1:$K$1325,Movimientos!$C$1:$C$1325,"Cross Family Trust",Movimientos!$B$1:$B$1325,"&lt;="&amp;$B50)</f>
        <v>116496.38</v>
      </c>
      <c r="I50" s="24">
        <f>SUMIFS('Saldos Iniciales'!$D:$D,'Saldos Iniciales'!$A:$A,"Cross Security Trust")+SUMIFS(Movimientos!$K$1:$K$1325,Movimientos!$C$1:$C$1325,"Cross Security Trust",Movimientos!$B$1:$B$1325,"&lt;="&amp;$B50)</f>
        <v>88090.37</v>
      </c>
      <c r="J50" s="24">
        <f>SUMIFS('Saldos Iniciales'!$D:$D,'Saldos Iniciales'!$A:$A,"Electrama")+SUMIFS(Movimientos!$K$1:$K$1325,Movimientos!$C$1:$C$1325,"Electrama",Movimientos!$B$1:$B$1325,"&lt;="&amp;$B50)</f>
        <v>511.15999999999985</v>
      </c>
      <c r="K50" s="24">
        <f>SUMIFS('Saldos Iniciales'!$D:$D,'Saldos Iniciales'!$A:$A,"Sacred Valley Capital")+SUMIFS(Movimientos!$K$1:$K$1325,Movimientos!$C$1:$C$1325,"Sacred Valley Capital",Movimientos!$B$1:$B$1325,"&lt;="&amp;$B50)</f>
        <v>84.35</v>
      </c>
      <c r="L50" s="24">
        <f>SUMIFS('Saldos Iniciales'!$D:$D,'Saldos Iniciales'!$A:$A,"YWC Capital")+SUMIFS(Movimientos!$K$1:$K$1325,Movimientos!$C$1:$C$1325,"YWC Capital",Movimientos!$B$1:$B$1325,"&lt;="&amp;$B50)</f>
        <v>2237.77</v>
      </c>
      <c r="M50" s="24">
        <f>SUMIFS('Saldos Iniciales'!$D:$D,'Saldos Iniciales'!$A:$A,"Soweto")+SUMIFS(Movimientos!$K$1:$K$1325,Movimientos!$C$1:$C$1325,"Soweto",Movimientos!$B$1:$B$1325,"&lt;="&amp;$B50)</f>
        <v>3349.94</v>
      </c>
      <c r="N50" s="24">
        <f>SUMIFS('Saldos Iniciales'!$D:$D,'Saldos Iniciales'!$A:$A,"Green Stone Trust")+SUMIFS(Movimientos!$K$1:$K$1325,Movimientos!$C$1:$C$1325,"Green Stone Trust",Movimientos!$B$1:$B$1325,"&lt;="&amp;$B50)</f>
        <v>1968.99</v>
      </c>
      <c r="O50" s="24">
        <f>SUMIFS('Saldos Iniciales'!$D:$D,'Saldos Iniciales'!$A:$A,"EC Auto")+SUMIFS(Movimientos!$K$1:$K$1325,Movimientos!$C$1:$C$1325,"EC Auto",Movimientos!$B$1:$B$1325,"&lt;="&amp;$B50)</f>
        <v>382.69000000000005</v>
      </c>
      <c r="P50" s="24">
        <f>SUMIFS('Saldos Iniciales'!$D:$D,'Saldos Iniciales'!$A:$A,"Arbor Capital Properties")+SUMIFS(Movimientos!$K$1:$K$1325,Movimientos!$C$1:$C$1325,"Arbor Capital Properties",Movimientos!$B$1:$B$1325,"&lt;="&amp;$B50)</f>
        <v>1428.08</v>
      </c>
      <c r="Q50" s="24">
        <f>SUMIFS('Saldos Iniciales'!$D:$D,'Saldos Iniciales'!$A:$A,"2515 Overbrook")+SUMIFS(Movimientos!$K$1:$K$1325,Movimientos!$C$1:$C$1325,"2515 Overbrook",Movimientos!$B$1:$B$1325,"&lt;="&amp;$B50)</f>
        <v>29789.969999999961</v>
      </c>
      <c r="R50" s="24">
        <f>SUMIFS('Saldos Iniciales'!$D:$D,'Saldos Iniciales'!$A:$A,"112 Florida Ave")+SUMIFS(Movimientos!$K$1:$K$1325,Movimientos!$C$1:$C$1325,"112 Florida Ave",Movimientos!$B$1:$B$1325,"&lt;="&amp;$B50)</f>
        <v>20321.43</v>
      </c>
      <c r="S50" s="24">
        <f>SUMIFS('Saldos Iniciales'!$D:$D,'Saldos Iniciales'!$A:$A,"3628 Thomas Ave")+SUMIFS(Movimientos!$K$1:$K$1325,Movimientos!$C$1:$C$1325,"3628 Thomas Ave",Movimientos!$B$1:$B$1325,"&lt;="&amp;$B50)</f>
        <v>16681.349999999999</v>
      </c>
      <c r="T50" s="24">
        <f>SUMIFS('Saldos Iniciales'!$D:$D,'Saldos Iniciales'!$A:$A,"Green Harbor Trust")+SUMIFS(Movimientos!$K$1:$K$1325,Movimientos!$C$1:$C$1325,"Green Harbor Trust",Movimientos!$B$1:$B$1325,"&lt;="&amp;$B50)</f>
        <v>345</v>
      </c>
      <c r="U50" s="24">
        <f>SUMIFS('Saldos Iniciales'!$D:$D,'Saldos Iniciales'!$A:$A,"Go Blue")+SUMIFS(Movimientos!$K$1:$K$1325,Movimientos!$C$1:$C$1325,"Go Blue",Movimientos!$B$1:$B$1325,"&lt;="&amp;$B50)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LLC",Movimientos!$B$1:$B$1325,"&lt;="&amp;$B50))</f>
        <v>0</v>
      </c>
      <c r="W50" s="24">
        <f>IF(YEAR($B50)*100+MONTH($B50)&lt;--SUBSTITUTE(_xlfn.XLOOKUP("CFT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",Movimientos!$B$1:$B$1325,"&lt;="&amp;$B50))</f>
        <v>0</v>
      </c>
      <c r="AC50" s="24" t="e">
        <f>IF(YEAR($B50)*100+MONTH($B50)&lt;--SUBSTITUTE(_xlfn.XLOOKUP("SYIP",'Saldos Iniciales'!$A:$A,'Saldos Iniciales'!$C:$C),"-",""),0,SUMIFS('Saldos Iniciales'!$D:$D,'Saldos Iniciales'!$A:$A,"SYIP")+SUMIFS(Movimientos!$K$1:$K$1325,Movimientos!$C$1:$C$1325,"SYIP",Movimientos!$B$1:$B$1325,"&lt;="&amp;$B50))</f>
        <v>#N/A</v>
      </c>
      <c r="AD50" s="24">
        <f>IF(YEAR($B50)*100+MONTH($B50)&lt;--SUBSTITUTE(_xlfn.XLOOKUP("Nobe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Aparments",Movimientos!$B$1:$B$1325,"&lt;="&amp;$B50))</f>
        <v>0</v>
      </c>
      <c r="AE50" s="25" t="e">
        <f t="shared" si="1"/>
        <v>#N/A</v>
      </c>
    </row>
    <row r="51" spans="1:31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Group")+SUMIFS(Movimientos!$K$1:$K$1325,Movimientos!$C$1:$C$1325,"CFT Group",Movimientos!$B$1:$B$1325,"&lt;="&amp;$B51)</f>
        <v>1098358.7500000002</v>
      </c>
      <c r="D51" s="24">
        <f>SUMIFS('Saldos Iniciales'!$D:$D,'Saldos Iniciales'!$A:$A,"M1B")+SUMIFS(Movimientos!$K$1:$K$1325,Movimientos!$C$1:$C$1325,"M1B",Movimientos!$B$1:$B$1325,"&lt;="&amp;$B51)</f>
        <v>69376.390000000174</v>
      </c>
      <c r="E51" s="24">
        <f>SUMIFS('Saldos Iniciales'!$D:$D,'Saldos Iniciales'!$A:$A,"Durand")+SUMIFS(Movimientos!$K$1:$K$1325,Movimientos!$C$1:$C$1325,"Durand",Movimientos!$B$1:$B$1325,"&lt;="&amp;$B51)</f>
        <v>1669.89</v>
      </c>
      <c r="F51" s="24">
        <f>SUMIFS('Saldos Iniciales'!$D:$D,'Saldos Iniciales'!$A:$A,"A&amp;M Imports")+SUMIFS(Movimientos!$K$1:$K$1325,Movimientos!$C$1:$C$1325,"A&amp;M Imports",Movimientos!$B$1:$B$1325,"&lt;="&amp;$B51)</f>
        <v>503904.80999999982</v>
      </c>
      <c r="G51" s="24">
        <f>SUMIFS('Saldos Iniciales'!$D:$D,'Saldos Iniciales'!$A:$A,"SSP Capital")+SUMIFS(Movimientos!$K$1:$K$1325,Movimientos!$C$1:$C$1325,"SSP Capital",Movimientos!$B$1:$B$1325,"&lt;="&amp;$B51)</f>
        <v>3326696.7299999995</v>
      </c>
      <c r="H51" s="24">
        <f>SUMIFS('Saldos Iniciales'!$D:$D,'Saldos Iniciales'!$A:$A,"Cross Family Trust")+SUMIFS(Movimientos!$K$1:$K$1325,Movimientos!$C$1:$C$1325,"Cross Family Trust",Movimientos!$B$1:$B$1325,"&lt;="&amp;$B51)</f>
        <v>116496.38</v>
      </c>
      <c r="I51" s="24">
        <f>SUMIFS('Saldos Iniciales'!$D:$D,'Saldos Iniciales'!$A:$A,"Cross Security Trust")+SUMIFS(Movimientos!$K$1:$K$1325,Movimientos!$C$1:$C$1325,"Cross Security Trust",Movimientos!$B$1:$B$1325,"&lt;="&amp;$B51)</f>
        <v>88090.37</v>
      </c>
      <c r="J51" s="24">
        <f>SUMIFS('Saldos Iniciales'!$D:$D,'Saldos Iniciales'!$A:$A,"Electrama")+SUMIFS(Movimientos!$K$1:$K$1325,Movimientos!$C$1:$C$1325,"Electrama",Movimientos!$B$1:$B$1325,"&lt;="&amp;$B51)</f>
        <v>511.15999999999985</v>
      </c>
      <c r="K51" s="24">
        <f>SUMIFS('Saldos Iniciales'!$D:$D,'Saldos Iniciales'!$A:$A,"Sacred Valley Capital")+SUMIFS(Movimientos!$K$1:$K$1325,Movimientos!$C$1:$C$1325,"Sacred Valley Capital",Movimientos!$B$1:$B$1325,"&lt;="&amp;$B51)</f>
        <v>84.35</v>
      </c>
      <c r="L51" s="24">
        <f>SUMIFS('Saldos Iniciales'!$D:$D,'Saldos Iniciales'!$A:$A,"YWC Capital")+SUMIFS(Movimientos!$K$1:$K$1325,Movimientos!$C$1:$C$1325,"YWC Capital",Movimientos!$B$1:$B$1325,"&lt;="&amp;$B51)</f>
        <v>2237.77</v>
      </c>
      <c r="M51" s="24">
        <f>SUMIFS('Saldos Iniciales'!$D:$D,'Saldos Iniciales'!$A:$A,"Soweto")+SUMIFS(Movimientos!$K$1:$K$1325,Movimientos!$C$1:$C$1325,"Soweto",Movimientos!$B$1:$B$1325,"&lt;="&amp;$B51)</f>
        <v>3349.94</v>
      </c>
      <c r="N51" s="24">
        <f>SUMIFS('Saldos Iniciales'!$D:$D,'Saldos Iniciales'!$A:$A,"Green Stone Trust")+SUMIFS(Movimientos!$K$1:$K$1325,Movimientos!$C$1:$C$1325,"Green Stone Trust",Movimientos!$B$1:$B$1325,"&lt;="&amp;$B51)</f>
        <v>1968.99</v>
      </c>
      <c r="O51" s="24">
        <f>SUMIFS('Saldos Iniciales'!$D:$D,'Saldos Iniciales'!$A:$A,"EC Auto")+SUMIFS(Movimientos!$K$1:$K$1325,Movimientos!$C$1:$C$1325,"EC Auto",Movimientos!$B$1:$B$1325,"&lt;="&amp;$B51)</f>
        <v>382.69000000000005</v>
      </c>
      <c r="P51" s="24">
        <f>SUMIFS('Saldos Iniciales'!$D:$D,'Saldos Iniciales'!$A:$A,"Arbor Capital Properties")+SUMIFS(Movimientos!$K$1:$K$1325,Movimientos!$C$1:$C$1325,"Arbor Capital Properties",Movimientos!$B$1:$B$1325,"&lt;="&amp;$B51)</f>
        <v>1428.08</v>
      </c>
      <c r="Q51" s="24">
        <f>SUMIFS('Saldos Iniciales'!$D:$D,'Saldos Iniciales'!$A:$A,"2515 Overbrook")+SUMIFS(Movimientos!$K$1:$K$1325,Movimientos!$C$1:$C$1325,"2515 Overbrook",Movimientos!$B$1:$B$1325,"&lt;="&amp;$B51)</f>
        <v>29789.969999999961</v>
      </c>
      <c r="R51" s="24">
        <f>SUMIFS('Saldos Iniciales'!$D:$D,'Saldos Iniciales'!$A:$A,"112 Florida Ave")+SUMIFS(Movimientos!$K$1:$K$1325,Movimientos!$C$1:$C$1325,"112 Florida Ave",Movimientos!$B$1:$B$1325,"&lt;="&amp;$B51)</f>
        <v>20321.43</v>
      </c>
      <c r="S51" s="24">
        <f>SUMIFS('Saldos Iniciales'!$D:$D,'Saldos Iniciales'!$A:$A,"3628 Thomas Ave")+SUMIFS(Movimientos!$K$1:$K$1325,Movimientos!$C$1:$C$1325,"3628 Thomas Ave",Movimientos!$B$1:$B$1325,"&lt;="&amp;$B51)</f>
        <v>16681.349999999999</v>
      </c>
      <c r="T51" s="24">
        <f>SUMIFS('Saldos Iniciales'!$D:$D,'Saldos Iniciales'!$A:$A,"Green Harbor Trust")+SUMIFS(Movimientos!$K$1:$K$1325,Movimientos!$C$1:$C$1325,"Green Harbor Trust",Movimientos!$B$1:$B$1325,"&lt;="&amp;$B51)</f>
        <v>345</v>
      </c>
      <c r="U51" s="24">
        <f>SUMIFS('Saldos Iniciales'!$D:$D,'Saldos Iniciales'!$A:$A,"Go Blue")+SUMIFS(Movimientos!$K$1:$K$1325,Movimientos!$C$1:$C$1325,"Go Blue",Movimientos!$B$1:$B$1325,"&lt;="&amp;$B51)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LLC",Movimientos!$B$1:$B$1325,"&lt;="&amp;$B51))</f>
        <v>0</v>
      </c>
      <c r="W51" s="24">
        <f>IF(YEAR($B51)*100+MONTH($B51)&lt;--SUBSTITUTE(_xlfn.XLOOKUP("CFT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",Movimientos!$B$1:$B$1325,"&lt;="&amp;$B51))</f>
        <v>0</v>
      </c>
      <c r="AC51" s="24" t="e">
        <f>IF(YEAR($B51)*100+MONTH($B51)&lt;--SUBSTITUTE(_xlfn.XLOOKUP("SYIP",'Saldos Iniciales'!$A:$A,'Saldos Iniciales'!$C:$C),"-",""),0,SUMIFS('Saldos Iniciales'!$D:$D,'Saldos Iniciales'!$A:$A,"SYIP")+SUMIFS(Movimientos!$K$1:$K$1325,Movimientos!$C$1:$C$1325,"SYIP",Movimientos!$B$1:$B$1325,"&lt;="&amp;$B51))</f>
        <v>#N/A</v>
      </c>
      <c r="AD51" s="24">
        <f>IF(YEAR($B51)*100+MONTH($B51)&lt;--SUBSTITUTE(_xlfn.XLOOKUP("Nobe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Aparments",Movimientos!$B$1:$B$1325,"&lt;="&amp;$B51))</f>
        <v>0</v>
      </c>
      <c r="AE51" s="25" t="e">
        <f t="shared" si="1"/>
        <v>#N/A</v>
      </c>
    </row>
    <row r="52" spans="1:31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Group")+SUMIFS(Movimientos!$K$1:$K$1325,Movimientos!$C$1:$C$1325,"CFT Group",Movimientos!$B$1:$B$1325,"&lt;="&amp;$B52)</f>
        <v>1098358.7500000002</v>
      </c>
      <c r="D52" s="24">
        <f>SUMIFS('Saldos Iniciales'!$D:$D,'Saldos Iniciales'!$A:$A,"M1B")+SUMIFS(Movimientos!$K$1:$K$1325,Movimientos!$C$1:$C$1325,"M1B",Movimientos!$B$1:$B$1325,"&lt;="&amp;$B52)</f>
        <v>69376.390000000174</v>
      </c>
      <c r="E52" s="24">
        <f>SUMIFS('Saldos Iniciales'!$D:$D,'Saldos Iniciales'!$A:$A,"Durand")+SUMIFS(Movimientos!$K$1:$K$1325,Movimientos!$C$1:$C$1325,"Durand",Movimientos!$B$1:$B$1325,"&lt;="&amp;$B52)</f>
        <v>1669.89</v>
      </c>
      <c r="F52" s="24">
        <f>SUMIFS('Saldos Iniciales'!$D:$D,'Saldos Iniciales'!$A:$A,"A&amp;M Imports")+SUMIFS(Movimientos!$K$1:$K$1325,Movimientos!$C$1:$C$1325,"A&amp;M Imports",Movimientos!$B$1:$B$1325,"&lt;="&amp;$B52)</f>
        <v>503904.80999999982</v>
      </c>
      <c r="G52" s="24">
        <f>SUMIFS('Saldos Iniciales'!$D:$D,'Saldos Iniciales'!$A:$A,"SSP Capital")+SUMIFS(Movimientos!$K$1:$K$1325,Movimientos!$C$1:$C$1325,"SSP Capital",Movimientos!$B$1:$B$1325,"&lt;="&amp;$B52)</f>
        <v>3326696.7299999995</v>
      </c>
      <c r="H52" s="24">
        <f>SUMIFS('Saldos Iniciales'!$D:$D,'Saldos Iniciales'!$A:$A,"Cross Family Trust")+SUMIFS(Movimientos!$K$1:$K$1325,Movimientos!$C$1:$C$1325,"Cross Family Trust",Movimientos!$B$1:$B$1325,"&lt;="&amp;$B52)</f>
        <v>116496.38</v>
      </c>
      <c r="I52" s="24">
        <f>SUMIFS('Saldos Iniciales'!$D:$D,'Saldos Iniciales'!$A:$A,"Cross Security Trust")+SUMIFS(Movimientos!$K$1:$K$1325,Movimientos!$C$1:$C$1325,"Cross Security Trust",Movimientos!$B$1:$B$1325,"&lt;="&amp;$B52)</f>
        <v>88090.37</v>
      </c>
      <c r="J52" s="24">
        <f>SUMIFS('Saldos Iniciales'!$D:$D,'Saldos Iniciales'!$A:$A,"Electrama")+SUMIFS(Movimientos!$K$1:$K$1325,Movimientos!$C$1:$C$1325,"Electrama",Movimientos!$B$1:$B$1325,"&lt;="&amp;$B52)</f>
        <v>511.15999999999985</v>
      </c>
      <c r="K52" s="24">
        <f>SUMIFS('Saldos Iniciales'!$D:$D,'Saldos Iniciales'!$A:$A,"Sacred Valley Capital")+SUMIFS(Movimientos!$K$1:$K$1325,Movimientos!$C$1:$C$1325,"Sacred Valley Capital",Movimientos!$B$1:$B$1325,"&lt;="&amp;$B52)</f>
        <v>84.35</v>
      </c>
      <c r="L52" s="24">
        <f>SUMIFS('Saldos Iniciales'!$D:$D,'Saldos Iniciales'!$A:$A,"YWC Capital")+SUMIFS(Movimientos!$K$1:$K$1325,Movimientos!$C$1:$C$1325,"YWC Capital",Movimientos!$B$1:$B$1325,"&lt;="&amp;$B52)</f>
        <v>2237.77</v>
      </c>
      <c r="M52" s="24">
        <f>SUMIFS('Saldos Iniciales'!$D:$D,'Saldos Iniciales'!$A:$A,"Soweto")+SUMIFS(Movimientos!$K$1:$K$1325,Movimientos!$C$1:$C$1325,"Soweto",Movimientos!$B$1:$B$1325,"&lt;="&amp;$B52)</f>
        <v>3349.94</v>
      </c>
      <c r="N52" s="24">
        <f>SUMIFS('Saldos Iniciales'!$D:$D,'Saldos Iniciales'!$A:$A,"Green Stone Trust")+SUMIFS(Movimientos!$K$1:$K$1325,Movimientos!$C$1:$C$1325,"Green Stone Trust",Movimientos!$B$1:$B$1325,"&lt;="&amp;$B52)</f>
        <v>1968.99</v>
      </c>
      <c r="O52" s="24">
        <f>SUMIFS('Saldos Iniciales'!$D:$D,'Saldos Iniciales'!$A:$A,"EC Auto")+SUMIFS(Movimientos!$K$1:$K$1325,Movimientos!$C$1:$C$1325,"EC Auto",Movimientos!$B$1:$B$1325,"&lt;="&amp;$B52)</f>
        <v>382.69000000000005</v>
      </c>
      <c r="P52" s="24">
        <f>SUMIFS('Saldos Iniciales'!$D:$D,'Saldos Iniciales'!$A:$A,"Arbor Capital Properties")+SUMIFS(Movimientos!$K$1:$K$1325,Movimientos!$C$1:$C$1325,"Arbor Capital Properties",Movimientos!$B$1:$B$1325,"&lt;="&amp;$B52)</f>
        <v>1428.08</v>
      </c>
      <c r="Q52" s="24">
        <f>SUMIFS('Saldos Iniciales'!$D:$D,'Saldos Iniciales'!$A:$A,"2515 Overbrook")+SUMIFS(Movimientos!$K$1:$K$1325,Movimientos!$C$1:$C$1325,"2515 Overbrook",Movimientos!$B$1:$B$1325,"&lt;="&amp;$B52)</f>
        <v>29789.969999999961</v>
      </c>
      <c r="R52" s="24">
        <f>SUMIFS('Saldos Iniciales'!$D:$D,'Saldos Iniciales'!$A:$A,"112 Florida Ave")+SUMIFS(Movimientos!$K$1:$K$1325,Movimientos!$C$1:$C$1325,"112 Florida Ave",Movimientos!$B$1:$B$1325,"&lt;="&amp;$B52)</f>
        <v>20321.43</v>
      </c>
      <c r="S52" s="24">
        <f>SUMIFS('Saldos Iniciales'!$D:$D,'Saldos Iniciales'!$A:$A,"3628 Thomas Ave")+SUMIFS(Movimientos!$K$1:$K$1325,Movimientos!$C$1:$C$1325,"3628 Thomas Ave",Movimientos!$B$1:$B$1325,"&lt;="&amp;$B52)</f>
        <v>16681.349999999999</v>
      </c>
      <c r="T52" s="24">
        <f>SUMIFS('Saldos Iniciales'!$D:$D,'Saldos Iniciales'!$A:$A,"Green Harbor Trust")+SUMIFS(Movimientos!$K$1:$K$1325,Movimientos!$C$1:$C$1325,"Green Harbor Trust",Movimientos!$B$1:$B$1325,"&lt;="&amp;$B52)</f>
        <v>345</v>
      </c>
      <c r="U52" s="24">
        <f>SUMIFS('Saldos Iniciales'!$D:$D,'Saldos Iniciales'!$A:$A,"Go Blue")+SUMIFS(Movimientos!$K$1:$K$1325,Movimientos!$C$1:$C$1325,"Go Blue",Movimientos!$B$1:$B$1325,"&lt;="&amp;$B52)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LLC",Movimientos!$B$1:$B$1325,"&lt;="&amp;$B52))</f>
        <v>0</v>
      </c>
      <c r="W52" s="24">
        <f>IF(YEAR($B52)*100+MONTH($B52)&lt;--SUBSTITUTE(_xlfn.XLOOKUP("CFT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",Movimientos!$B$1:$B$1325,"&lt;="&amp;$B52))</f>
        <v>0</v>
      </c>
      <c r="AC52" s="24" t="e">
        <f>IF(YEAR($B52)*100+MONTH($B52)&lt;--SUBSTITUTE(_xlfn.XLOOKUP("SYIP",'Saldos Iniciales'!$A:$A,'Saldos Iniciales'!$C:$C),"-",""),0,SUMIFS('Saldos Iniciales'!$D:$D,'Saldos Iniciales'!$A:$A,"SYIP")+SUMIFS(Movimientos!$K$1:$K$1325,Movimientos!$C$1:$C$1325,"SYIP",Movimientos!$B$1:$B$1325,"&lt;="&amp;$B52))</f>
        <v>#N/A</v>
      </c>
      <c r="AD52" s="24">
        <f>IF(YEAR($B52)*100+MONTH($B52)&lt;--SUBSTITUTE(_xlfn.XLOOKUP("Nobe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Aparments",Movimientos!$B$1:$B$1325,"&lt;="&amp;$B52))</f>
        <v>0</v>
      </c>
      <c r="AE52" s="25" t="e">
        <f t="shared" si="1"/>
        <v>#N/A</v>
      </c>
    </row>
    <row r="53" spans="1:31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Group")+SUMIFS(Movimientos!$K$1:$K$1325,Movimientos!$C$1:$C$1325,"CFT Group",Movimientos!$B$1:$B$1325,"&lt;="&amp;$B53)</f>
        <v>1098358.7500000002</v>
      </c>
      <c r="D53" s="24">
        <f>SUMIFS('Saldos Iniciales'!$D:$D,'Saldos Iniciales'!$A:$A,"M1B")+SUMIFS(Movimientos!$K$1:$K$1325,Movimientos!$C$1:$C$1325,"M1B",Movimientos!$B$1:$B$1325,"&lt;="&amp;$B53)</f>
        <v>69376.390000000174</v>
      </c>
      <c r="E53" s="24">
        <f>SUMIFS('Saldos Iniciales'!$D:$D,'Saldos Iniciales'!$A:$A,"Durand")+SUMIFS(Movimientos!$K$1:$K$1325,Movimientos!$C$1:$C$1325,"Durand",Movimientos!$B$1:$B$1325,"&lt;="&amp;$B53)</f>
        <v>1669.89</v>
      </c>
      <c r="F53" s="24">
        <f>SUMIFS('Saldos Iniciales'!$D:$D,'Saldos Iniciales'!$A:$A,"A&amp;M Imports")+SUMIFS(Movimientos!$K$1:$K$1325,Movimientos!$C$1:$C$1325,"A&amp;M Imports",Movimientos!$B$1:$B$1325,"&lt;="&amp;$B53)</f>
        <v>503904.80999999982</v>
      </c>
      <c r="G53" s="24">
        <f>SUMIFS('Saldos Iniciales'!$D:$D,'Saldos Iniciales'!$A:$A,"SSP Capital")+SUMIFS(Movimientos!$K$1:$K$1325,Movimientos!$C$1:$C$1325,"SSP Capital",Movimientos!$B$1:$B$1325,"&lt;="&amp;$B53)</f>
        <v>3326696.7299999995</v>
      </c>
      <c r="H53" s="24">
        <f>SUMIFS('Saldos Iniciales'!$D:$D,'Saldos Iniciales'!$A:$A,"Cross Family Trust")+SUMIFS(Movimientos!$K$1:$K$1325,Movimientos!$C$1:$C$1325,"Cross Family Trust",Movimientos!$B$1:$B$1325,"&lt;="&amp;$B53)</f>
        <v>116496.38</v>
      </c>
      <c r="I53" s="24">
        <f>SUMIFS('Saldos Iniciales'!$D:$D,'Saldos Iniciales'!$A:$A,"Cross Security Trust")+SUMIFS(Movimientos!$K$1:$K$1325,Movimientos!$C$1:$C$1325,"Cross Security Trust",Movimientos!$B$1:$B$1325,"&lt;="&amp;$B53)</f>
        <v>88090.37</v>
      </c>
      <c r="J53" s="24">
        <f>SUMIFS('Saldos Iniciales'!$D:$D,'Saldos Iniciales'!$A:$A,"Electrama")+SUMIFS(Movimientos!$K$1:$K$1325,Movimientos!$C$1:$C$1325,"Electrama",Movimientos!$B$1:$B$1325,"&lt;="&amp;$B53)</f>
        <v>511.15999999999985</v>
      </c>
      <c r="K53" s="24">
        <f>SUMIFS('Saldos Iniciales'!$D:$D,'Saldos Iniciales'!$A:$A,"Sacred Valley Capital")+SUMIFS(Movimientos!$K$1:$K$1325,Movimientos!$C$1:$C$1325,"Sacred Valley Capital",Movimientos!$B$1:$B$1325,"&lt;="&amp;$B53)</f>
        <v>84.35</v>
      </c>
      <c r="L53" s="24">
        <f>SUMIFS('Saldos Iniciales'!$D:$D,'Saldos Iniciales'!$A:$A,"YWC Capital")+SUMIFS(Movimientos!$K$1:$K$1325,Movimientos!$C$1:$C$1325,"YWC Capital",Movimientos!$B$1:$B$1325,"&lt;="&amp;$B53)</f>
        <v>2237.77</v>
      </c>
      <c r="M53" s="24">
        <f>SUMIFS('Saldos Iniciales'!$D:$D,'Saldos Iniciales'!$A:$A,"Soweto")+SUMIFS(Movimientos!$K$1:$K$1325,Movimientos!$C$1:$C$1325,"Soweto",Movimientos!$B$1:$B$1325,"&lt;="&amp;$B53)</f>
        <v>3349.94</v>
      </c>
      <c r="N53" s="24">
        <f>SUMIFS('Saldos Iniciales'!$D:$D,'Saldos Iniciales'!$A:$A,"Green Stone Trust")+SUMIFS(Movimientos!$K$1:$K$1325,Movimientos!$C$1:$C$1325,"Green Stone Trust",Movimientos!$B$1:$B$1325,"&lt;="&amp;$B53)</f>
        <v>1968.99</v>
      </c>
      <c r="O53" s="24">
        <f>SUMIFS('Saldos Iniciales'!$D:$D,'Saldos Iniciales'!$A:$A,"EC Auto")+SUMIFS(Movimientos!$K$1:$K$1325,Movimientos!$C$1:$C$1325,"EC Auto",Movimientos!$B$1:$B$1325,"&lt;="&amp;$B53)</f>
        <v>382.69000000000005</v>
      </c>
      <c r="P53" s="24">
        <f>SUMIFS('Saldos Iniciales'!$D:$D,'Saldos Iniciales'!$A:$A,"Arbor Capital Properties")+SUMIFS(Movimientos!$K$1:$K$1325,Movimientos!$C$1:$C$1325,"Arbor Capital Properties",Movimientos!$B$1:$B$1325,"&lt;="&amp;$B53)</f>
        <v>1428.08</v>
      </c>
      <c r="Q53" s="24">
        <f>SUMIFS('Saldos Iniciales'!$D:$D,'Saldos Iniciales'!$A:$A,"2515 Overbrook")+SUMIFS(Movimientos!$K$1:$K$1325,Movimientos!$C$1:$C$1325,"2515 Overbrook",Movimientos!$B$1:$B$1325,"&lt;="&amp;$B53)</f>
        <v>29789.969999999961</v>
      </c>
      <c r="R53" s="24">
        <f>SUMIFS('Saldos Iniciales'!$D:$D,'Saldos Iniciales'!$A:$A,"112 Florida Ave")+SUMIFS(Movimientos!$K$1:$K$1325,Movimientos!$C$1:$C$1325,"112 Florida Ave",Movimientos!$B$1:$B$1325,"&lt;="&amp;$B53)</f>
        <v>20321.43</v>
      </c>
      <c r="S53" s="24">
        <f>SUMIFS('Saldos Iniciales'!$D:$D,'Saldos Iniciales'!$A:$A,"3628 Thomas Ave")+SUMIFS(Movimientos!$K$1:$K$1325,Movimientos!$C$1:$C$1325,"3628 Thomas Ave",Movimientos!$B$1:$B$1325,"&lt;="&amp;$B53)</f>
        <v>16681.349999999999</v>
      </c>
      <c r="T53" s="24">
        <f>SUMIFS('Saldos Iniciales'!$D:$D,'Saldos Iniciales'!$A:$A,"Green Harbor Trust")+SUMIFS(Movimientos!$K$1:$K$1325,Movimientos!$C$1:$C$1325,"Green Harbor Trust",Movimientos!$B$1:$B$1325,"&lt;="&amp;$B53)</f>
        <v>345</v>
      </c>
      <c r="U53" s="24">
        <f>SUMIFS('Saldos Iniciales'!$D:$D,'Saldos Iniciales'!$A:$A,"Go Blue")+SUMIFS(Movimientos!$K$1:$K$1325,Movimientos!$C$1:$C$1325,"Go Blue",Movimientos!$B$1:$B$1325,"&lt;="&amp;$B53)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LLC",Movimientos!$B$1:$B$1325,"&lt;="&amp;$B53))</f>
        <v>0</v>
      </c>
      <c r="W53" s="24">
        <f>IF(YEAR($B53)*100+MONTH($B53)&lt;--SUBSTITUTE(_xlfn.XLOOKUP("CFT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",Movimientos!$B$1:$B$1325,"&lt;="&amp;$B53))</f>
        <v>0</v>
      </c>
      <c r="AC53" s="24" t="e">
        <f>IF(YEAR($B53)*100+MONTH($B53)&lt;--SUBSTITUTE(_xlfn.XLOOKUP("SYIP",'Saldos Iniciales'!$A:$A,'Saldos Iniciales'!$C:$C),"-",""),0,SUMIFS('Saldos Iniciales'!$D:$D,'Saldos Iniciales'!$A:$A,"SYIP")+SUMIFS(Movimientos!$K$1:$K$1325,Movimientos!$C$1:$C$1325,"SYIP",Movimientos!$B$1:$B$1325,"&lt;="&amp;$B53))</f>
        <v>#N/A</v>
      </c>
      <c r="AD53" s="24">
        <f>IF(YEAR($B53)*100+MONTH($B53)&lt;--SUBSTITUTE(_xlfn.XLOOKUP("Nobe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Aparments",Movimientos!$B$1:$B$1325,"&lt;="&amp;$B53))</f>
        <v>0</v>
      </c>
      <c r="AE53" s="25" t="e">
        <f t="shared" si="1"/>
        <v>#N/A</v>
      </c>
    </row>
    <row r="54" spans="1:31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Group")+SUMIFS(Movimientos!$K$1:$K$1325,Movimientos!$C$1:$C$1325,"CFT Group",Movimientos!$B$1:$B$1325,"&lt;="&amp;$B54)</f>
        <v>7613332.1400000006</v>
      </c>
      <c r="D54" s="24">
        <f>SUMIFS('Saldos Iniciales'!$D:$D,'Saldos Iniciales'!$A:$A,"M1B")+SUMIFS(Movimientos!$K$1:$K$1325,Movimientos!$C$1:$C$1325,"M1B",Movimientos!$B$1:$B$1325,"&lt;="&amp;$B54)</f>
        <v>69376.390000000174</v>
      </c>
      <c r="E54" s="24">
        <f>SUMIFS('Saldos Iniciales'!$D:$D,'Saldos Iniciales'!$A:$A,"Durand")+SUMIFS(Movimientos!$K$1:$K$1325,Movimientos!$C$1:$C$1325,"Durand",Movimientos!$B$1:$B$1325,"&lt;="&amp;$B54)</f>
        <v>1669.89</v>
      </c>
      <c r="F54" s="24">
        <f>SUMIFS('Saldos Iniciales'!$D:$D,'Saldos Iniciales'!$A:$A,"A&amp;M Imports")+SUMIFS(Movimientos!$K$1:$K$1325,Movimientos!$C$1:$C$1325,"A&amp;M Imports",Movimientos!$B$1:$B$1325,"&lt;="&amp;$B54)</f>
        <v>503904.80999999982</v>
      </c>
      <c r="G54" s="24">
        <f>SUMIFS('Saldos Iniciales'!$D:$D,'Saldos Iniciales'!$A:$A,"SSP Capital")+SUMIFS(Movimientos!$K$1:$K$1325,Movimientos!$C$1:$C$1325,"SSP Capital",Movimientos!$B$1:$B$1325,"&lt;="&amp;$B54)</f>
        <v>3325868.6899999995</v>
      </c>
      <c r="H54" s="24">
        <f>SUMIFS('Saldos Iniciales'!$D:$D,'Saldos Iniciales'!$A:$A,"Cross Family Trust")+SUMIFS(Movimientos!$K$1:$K$1325,Movimientos!$C$1:$C$1325,"Cross Family Trust",Movimientos!$B$1:$B$1325,"&lt;="&amp;$B54)</f>
        <v>116496.38</v>
      </c>
      <c r="I54" s="24">
        <f>SUMIFS('Saldos Iniciales'!$D:$D,'Saldos Iniciales'!$A:$A,"Cross Security Trust")+SUMIFS(Movimientos!$K$1:$K$1325,Movimientos!$C$1:$C$1325,"Cross Security Trust",Movimientos!$B$1:$B$1325,"&lt;="&amp;$B54)</f>
        <v>88090.37</v>
      </c>
      <c r="J54" s="24">
        <f>SUMIFS('Saldos Iniciales'!$D:$D,'Saldos Iniciales'!$A:$A,"Electrama")+SUMIFS(Movimientos!$K$1:$K$1325,Movimientos!$C$1:$C$1325,"Electrama",Movimientos!$B$1:$B$1325,"&lt;="&amp;$B54)</f>
        <v>511.15999999999985</v>
      </c>
      <c r="K54" s="24">
        <f>SUMIFS('Saldos Iniciales'!$D:$D,'Saldos Iniciales'!$A:$A,"Sacred Valley Capital")+SUMIFS(Movimientos!$K$1:$K$1325,Movimientos!$C$1:$C$1325,"Sacred Valley Capital",Movimientos!$B$1:$B$1325,"&lt;="&amp;$B54)</f>
        <v>84.35</v>
      </c>
      <c r="L54" s="24">
        <f>SUMIFS('Saldos Iniciales'!$D:$D,'Saldos Iniciales'!$A:$A,"YWC Capital")+SUMIFS(Movimientos!$K$1:$K$1325,Movimientos!$C$1:$C$1325,"YWC Capital",Movimientos!$B$1:$B$1325,"&lt;="&amp;$B54)</f>
        <v>2237.77</v>
      </c>
      <c r="M54" s="24">
        <f>SUMIFS('Saldos Iniciales'!$D:$D,'Saldos Iniciales'!$A:$A,"Soweto")+SUMIFS(Movimientos!$K$1:$K$1325,Movimientos!$C$1:$C$1325,"Soweto",Movimientos!$B$1:$B$1325,"&lt;="&amp;$B54)</f>
        <v>3349.94</v>
      </c>
      <c r="N54" s="24">
        <f>SUMIFS('Saldos Iniciales'!$D:$D,'Saldos Iniciales'!$A:$A,"Green Stone Trust")+SUMIFS(Movimientos!$K$1:$K$1325,Movimientos!$C$1:$C$1325,"Green Stone Trust",Movimientos!$B$1:$B$1325,"&lt;="&amp;$B54)</f>
        <v>1968.99</v>
      </c>
      <c r="O54" s="24">
        <f>SUMIFS('Saldos Iniciales'!$D:$D,'Saldos Iniciales'!$A:$A,"EC Auto")+SUMIFS(Movimientos!$K$1:$K$1325,Movimientos!$C$1:$C$1325,"EC Auto",Movimientos!$B$1:$B$1325,"&lt;="&amp;$B54)</f>
        <v>382.69000000000005</v>
      </c>
      <c r="P54" s="24">
        <f>SUMIFS('Saldos Iniciales'!$D:$D,'Saldos Iniciales'!$A:$A,"Arbor Capital Properties")+SUMIFS(Movimientos!$K$1:$K$1325,Movimientos!$C$1:$C$1325,"Arbor Capital Properties",Movimientos!$B$1:$B$1325,"&lt;="&amp;$B54)</f>
        <v>1428.08</v>
      </c>
      <c r="Q54" s="24">
        <f>SUMIFS('Saldos Iniciales'!$D:$D,'Saldos Iniciales'!$A:$A,"2515 Overbrook")+SUMIFS(Movimientos!$K$1:$K$1325,Movimientos!$C$1:$C$1325,"2515 Overbrook",Movimientos!$B$1:$B$1325,"&lt;="&amp;$B54)</f>
        <v>31039.969999999961</v>
      </c>
      <c r="R54" s="24">
        <f>SUMIFS('Saldos Iniciales'!$D:$D,'Saldos Iniciales'!$A:$A,"112 Florida Ave")+SUMIFS(Movimientos!$K$1:$K$1325,Movimientos!$C$1:$C$1325,"112 Florida Ave",Movimientos!$B$1:$B$1325,"&lt;="&amp;$B54)</f>
        <v>20321.43</v>
      </c>
      <c r="S54" s="24">
        <f>SUMIFS('Saldos Iniciales'!$D:$D,'Saldos Iniciales'!$A:$A,"3628 Thomas Ave")+SUMIFS(Movimientos!$K$1:$K$1325,Movimientos!$C$1:$C$1325,"3628 Thomas Ave",Movimientos!$B$1:$B$1325,"&lt;="&amp;$B54)</f>
        <v>16681.349999999999</v>
      </c>
      <c r="T54" s="24">
        <f>SUMIFS('Saldos Iniciales'!$D:$D,'Saldos Iniciales'!$A:$A,"Green Harbor Trust")+SUMIFS(Movimientos!$K$1:$K$1325,Movimientos!$C$1:$C$1325,"Green Harbor Trust",Movimientos!$B$1:$B$1325,"&lt;="&amp;$B54)</f>
        <v>345</v>
      </c>
      <c r="U54" s="24">
        <f>SUMIFS('Saldos Iniciales'!$D:$D,'Saldos Iniciales'!$A:$A,"Go Blue")+SUMIFS(Movimientos!$K$1:$K$1325,Movimientos!$C$1:$C$1325,"Go Blue",Movimientos!$B$1:$B$1325,"&lt;="&amp;$B54)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LLC",Movimientos!$B$1:$B$1325,"&lt;="&amp;$B54))</f>
        <v>0</v>
      </c>
      <c r="W54" s="24">
        <f>IF(YEAR($B54)*100+MONTH($B54)&lt;--SUBSTITUTE(_xlfn.XLOOKUP("CFT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",Movimientos!$B$1:$B$1325,"&lt;="&amp;$B54))</f>
        <v>0</v>
      </c>
      <c r="AC54" s="24" t="e">
        <f>IF(YEAR($B54)*100+MONTH($B54)&lt;--SUBSTITUTE(_xlfn.XLOOKUP("SYIP",'Saldos Iniciales'!$A:$A,'Saldos Iniciales'!$C:$C),"-",""),0,SUMIFS('Saldos Iniciales'!$D:$D,'Saldos Iniciales'!$A:$A,"SYIP")+SUMIFS(Movimientos!$K$1:$K$1325,Movimientos!$C$1:$C$1325,"SYIP",Movimientos!$B$1:$B$1325,"&lt;="&amp;$B54))</f>
        <v>#N/A</v>
      </c>
      <c r="AD54" s="24">
        <f>IF(YEAR($B54)*100+MONTH($B54)&lt;--SUBSTITUTE(_xlfn.XLOOKUP("Nobe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Aparments",Movimientos!$B$1:$B$1325,"&lt;="&amp;$B54))</f>
        <v>0</v>
      </c>
      <c r="AE54" s="25" t="e">
        <f t="shared" si="1"/>
        <v>#N/A</v>
      </c>
    </row>
    <row r="55" spans="1:31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Group")+SUMIFS(Movimientos!$K$1:$K$1325,Movimientos!$C$1:$C$1325,"CFT Group",Movimientos!$B$1:$B$1325,"&lt;="&amp;$B55)</f>
        <v>7675741.5900000008</v>
      </c>
      <c r="D55" s="24">
        <f>SUMIFS('Saldos Iniciales'!$D:$D,'Saldos Iniciales'!$A:$A,"M1B")+SUMIFS(Movimientos!$K$1:$K$1325,Movimientos!$C$1:$C$1325,"M1B",Movimientos!$B$1:$B$1325,"&lt;="&amp;$B55)</f>
        <v>69376.390000000174</v>
      </c>
      <c r="E55" s="24">
        <f>SUMIFS('Saldos Iniciales'!$D:$D,'Saldos Iniciales'!$A:$A,"Durand")+SUMIFS(Movimientos!$K$1:$K$1325,Movimientos!$C$1:$C$1325,"Durand",Movimientos!$B$1:$B$1325,"&lt;="&amp;$B55)</f>
        <v>1669.89</v>
      </c>
      <c r="F55" s="24">
        <f>SUMIFS('Saldos Iniciales'!$D:$D,'Saldos Iniciales'!$A:$A,"A&amp;M Imports")+SUMIFS(Movimientos!$K$1:$K$1325,Movimientos!$C$1:$C$1325,"A&amp;M Imports",Movimientos!$B$1:$B$1325,"&lt;="&amp;$B55)</f>
        <v>503904.80999999982</v>
      </c>
      <c r="G55" s="24">
        <f>SUMIFS('Saldos Iniciales'!$D:$D,'Saldos Iniciales'!$A:$A,"SSP Capital")+SUMIFS(Movimientos!$K$1:$K$1325,Movimientos!$C$1:$C$1325,"SSP Capital",Movimientos!$B$1:$B$1325,"&lt;="&amp;$B55)</f>
        <v>3325868.6899999995</v>
      </c>
      <c r="H55" s="24">
        <f>SUMIFS('Saldos Iniciales'!$D:$D,'Saldos Iniciales'!$A:$A,"Cross Family Trust")+SUMIFS(Movimientos!$K$1:$K$1325,Movimientos!$C$1:$C$1325,"Cross Family Trust",Movimientos!$B$1:$B$1325,"&lt;="&amp;$B55)</f>
        <v>116496.38</v>
      </c>
      <c r="I55" s="24">
        <f>SUMIFS('Saldos Iniciales'!$D:$D,'Saldos Iniciales'!$A:$A,"Cross Security Trust")+SUMIFS(Movimientos!$K$1:$K$1325,Movimientos!$C$1:$C$1325,"Cross Security Trust",Movimientos!$B$1:$B$1325,"&lt;="&amp;$B55)</f>
        <v>88090.37</v>
      </c>
      <c r="J55" s="24">
        <f>SUMIFS('Saldos Iniciales'!$D:$D,'Saldos Iniciales'!$A:$A,"Electrama")+SUMIFS(Movimientos!$K$1:$K$1325,Movimientos!$C$1:$C$1325,"Electrama",Movimientos!$B$1:$B$1325,"&lt;="&amp;$B55)</f>
        <v>511.15999999999985</v>
      </c>
      <c r="K55" s="24">
        <f>SUMIFS('Saldos Iniciales'!$D:$D,'Saldos Iniciales'!$A:$A,"Sacred Valley Capital")+SUMIFS(Movimientos!$K$1:$K$1325,Movimientos!$C$1:$C$1325,"Sacred Valley Capital",Movimientos!$B$1:$B$1325,"&lt;="&amp;$B55)</f>
        <v>84.35</v>
      </c>
      <c r="L55" s="24">
        <f>SUMIFS('Saldos Iniciales'!$D:$D,'Saldos Iniciales'!$A:$A,"YWC Capital")+SUMIFS(Movimientos!$K$1:$K$1325,Movimientos!$C$1:$C$1325,"YWC Capital",Movimientos!$B$1:$B$1325,"&lt;="&amp;$B55)</f>
        <v>2237.77</v>
      </c>
      <c r="M55" s="24">
        <f>SUMIFS('Saldos Iniciales'!$D:$D,'Saldos Iniciales'!$A:$A,"Soweto")+SUMIFS(Movimientos!$K$1:$K$1325,Movimientos!$C$1:$C$1325,"Soweto",Movimientos!$B$1:$B$1325,"&lt;="&amp;$B55)</f>
        <v>3349.94</v>
      </c>
      <c r="N55" s="24">
        <f>SUMIFS('Saldos Iniciales'!$D:$D,'Saldos Iniciales'!$A:$A,"Green Stone Trust")+SUMIFS(Movimientos!$K$1:$K$1325,Movimientos!$C$1:$C$1325,"Green Stone Trust",Movimientos!$B$1:$B$1325,"&lt;="&amp;$B55)</f>
        <v>1968.99</v>
      </c>
      <c r="O55" s="24">
        <f>SUMIFS('Saldos Iniciales'!$D:$D,'Saldos Iniciales'!$A:$A,"EC Auto")+SUMIFS(Movimientos!$K$1:$K$1325,Movimientos!$C$1:$C$1325,"EC Auto",Movimientos!$B$1:$B$1325,"&lt;="&amp;$B55)</f>
        <v>382.69000000000005</v>
      </c>
      <c r="P55" s="24">
        <f>SUMIFS('Saldos Iniciales'!$D:$D,'Saldos Iniciales'!$A:$A,"Arbor Capital Properties")+SUMIFS(Movimientos!$K$1:$K$1325,Movimientos!$C$1:$C$1325,"Arbor Capital Properties",Movimientos!$B$1:$B$1325,"&lt;="&amp;$B55)</f>
        <v>1428.08</v>
      </c>
      <c r="Q55" s="24">
        <f>SUMIFS('Saldos Iniciales'!$D:$D,'Saldos Iniciales'!$A:$A,"2515 Overbrook")+SUMIFS(Movimientos!$K$1:$K$1325,Movimientos!$C$1:$C$1325,"2515 Overbrook",Movimientos!$B$1:$B$1325,"&lt;="&amp;$B55)</f>
        <v>31039.969999999961</v>
      </c>
      <c r="R55" s="24">
        <f>SUMIFS('Saldos Iniciales'!$D:$D,'Saldos Iniciales'!$A:$A,"112 Florida Ave")+SUMIFS(Movimientos!$K$1:$K$1325,Movimientos!$C$1:$C$1325,"112 Florida Ave",Movimientos!$B$1:$B$1325,"&lt;="&amp;$B55)</f>
        <v>20321.43</v>
      </c>
      <c r="S55" s="24">
        <f>SUMIFS('Saldos Iniciales'!$D:$D,'Saldos Iniciales'!$A:$A,"3628 Thomas Ave")+SUMIFS(Movimientos!$K$1:$K$1325,Movimientos!$C$1:$C$1325,"3628 Thomas Ave",Movimientos!$B$1:$B$1325,"&lt;="&amp;$B55)</f>
        <v>16681.349999999999</v>
      </c>
      <c r="T55" s="24">
        <f>SUMIFS('Saldos Iniciales'!$D:$D,'Saldos Iniciales'!$A:$A,"Green Harbor Trust")+SUMIFS(Movimientos!$K$1:$K$1325,Movimientos!$C$1:$C$1325,"Green Harbor Trust",Movimientos!$B$1:$B$1325,"&lt;="&amp;$B55)</f>
        <v>345</v>
      </c>
      <c r="U55" s="24">
        <f>SUMIFS('Saldos Iniciales'!$D:$D,'Saldos Iniciales'!$A:$A,"Go Blue")+SUMIFS(Movimientos!$K$1:$K$1325,Movimientos!$C$1:$C$1325,"Go Blue",Movimientos!$B$1:$B$1325,"&lt;="&amp;$B55)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LLC",Movimientos!$B$1:$B$1325,"&lt;="&amp;$B55))</f>
        <v>0</v>
      </c>
      <c r="W55" s="24">
        <f>IF(YEAR($B55)*100+MONTH($B55)&lt;--SUBSTITUTE(_xlfn.XLOOKUP("CFT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",Movimientos!$B$1:$B$1325,"&lt;="&amp;$B55))</f>
        <v>0</v>
      </c>
      <c r="AC55" s="24" t="e">
        <f>IF(YEAR($B55)*100+MONTH($B55)&lt;--SUBSTITUTE(_xlfn.XLOOKUP("SYIP",'Saldos Iniciales'!$A:$A,'Saldos Iniciales'!$C:$C),"-",""),0,SUMIFS('Saldos Iniciales'!$D:$D,'Saldos Iniciales'!$A:$A,"SYIP")+SUMIFS(Movimientos!$K$1:$K$1325,Movimientos!$C$1:$C$1325,"SYIP",Movimientos!$B$1:$B$1325,"&lt;="&amp;$B55))</f>
        <v>#N/A</v>
      </c>
      <c r="AD55" s="24">
        <f>IF(YEAR($B55)*100+MONTH($B55)&lt;--SUBSTITUTE(_xlfn.XLOOKUP("Nobe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Aparments",Movimientos!$B$1:$B$1325,"&lt;="&amp;$B55))</f>
        <v>0</v>
      </c>
      <c r="AE55" s="25" t="e">
        <f t="shared" si="1"/>
        <v>#N/A</v>
      </c>
    </row>
    <row r="56" spans="1:31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Group")+SUMIFS(Movimientos!$K$1:$K$1325,Movimientos!$C$1:$C$1325,"CFT Group",Movimientos!$B$1:$B$1325,"&lt;="&amp;$B56)</f>
        <v>7742810.7100000009</v>
      </c>
      <c r="D56" s="24">
        <f>SUMIFS('Saldos Iniciales'!$D:$D,'Saldos Iniciales'!$A:$A,"M1B")+SUMIFS(Movimientos!$K$1:$K$1325,Movimientos!$C$1:$C$1325,"M1B",Movimientos!$B$1:$B$1325,"&lt;="&amp;$B56)</f>
        <v>72386.190000000177</v>
      </c>
      <c r="E56" s="24">
        <f>SUMIFS('Saldos Iniciales'!$D:$D,'Saldos Iniciales'!$A:$A,"Durand")+SUMIFS(Movimientos!$K$1:$K$1325,Movimientos!$C$1:$C$1325,"Durand",Movimientos!$B$1:$B$1325,"&lt;="&amp;$B56)</f>
        <v>1669.89</v>
      </c>
      <c r="F56" s="24">
        <f>SUMIFS('Saldos Iniciales'!$D:$D,'Saldos Iniciales'!$A:$A,"A&amp;M Imports")+SUMIFS(Movimientos!$K$1:$K$1325,Movimientos!$C$1:$C$1325,"A&amp;M Imports",Movimientos!$B$1:$B$1325,"&lt;="&amp;$B56)</f>
        <v>532766.72999999986</v>
      </c>
      <c r="G56" s="24">
        <f>SUMIFS('Saldos Iniciales'!$D:$D,'Saldos Iniciales'!$A:$A,"SSP Capital")+SUMIFS(Movimientos!$K$1:$K$1325,Movimientos!$C$1:$C$1325,"SSP Capital",Movimientos!$B$1:$B$1325,"&lt;="&amp;$B56)</f>
        <v>3325868.6899999995</v>
      </c>
      <c r="H56" s="24">
        <f>SUMIFS('Saldos Iniciales'!$D:$D,'Saldos Iniciales'!$A:$A,"Cross Family Trust")+SUMIFS(Movimientos!$K$1:$K$1325,Movimientos!$C$1:$C$1325,"Cross Family Trust",Movimientos!$B$1:$B$1325,"&lt;="&amp;$B56)</f>
        <v>116496.38</v>
      </c>
      <c r="I56" s="24">
        <f>SUMIFS('Saldos Iniciales'!$D:$D,'Saldos Iniciales'!$A:$A,"Cross Security Trust")+SUMIFS(Movimientos!$K$1:$K$1325,Movimientos!$C$1:$C$1325,"Cross Security Trust",Movimientos!$B$1:$B$1325,"&lt;="&amp;$B56)</f>
        <v>88090.37</v>
      </c>
      <c r="J56" s="24">
        <f>SUMIFS('Saldos Iniciales'!$D:$D,'Saldos Iniciales'!$A:$A,"Electrama")+SUMIFS(Movimientos!$K$1:$K$1325,Movimientos!$C$1:$C$1325,"Electrama",Movimientos!$B$1:$B$1325,"&lt;="&amp;$B56)</f>
        <v>511.15999999999985</v>
      </c>
      <c r="K56" s="24">
        <f>SUMIFS('Saldos Iniciales'!$D:$D,'Saldos Iniciales'!$A:$A,"Sacred Valley Capital")+SUMIFS(Movimientos!$K$1:$K$1325,Movimientos!$C$1:$C$1325,"Sacred Valley Capital",Movimientos!$B$1:$B$1325,"&lt;="&amp;$B56)</f>
        <v>84.35</v>
      </c>
      <c r="L56" s="24">
        <f>SUMIFS('Saldos Iniciales'!$D:$D,'Saldos Iniciales'!$A:$A,"YWC Capital")+SUMIFS(Movimientos!$K$1:$K$1325,Movimientos!$C$1:$C$1325,"YWC Capital",Movimientos!$B$1:$B$1325,"&lt;="&amp;$B56)</f>
        <v>2237.77</v>
      </c>
      <c r="M56" s="24">
        <f>SUMIFS('Saldos Iniciales'!$D:$D,'Saldos Iniciales'!$A:$A,"Soweto")+SUMIFS(Movimientos!$K$1:$K$1325,Movimientos!$C$1:$C$1325,"Soweto",Movimientos!$B$1:$B$1325,"&lt;="&amp;$B56)</f>
        <v>3349.94</v>
      </c>
      <c r="N56" s="24">
        <f>SUMIFS('Saldos Iniciales'!$D:$D,'Saldos Iniciales'!$A:$A,"Green Stone Trust")+SUMIFS(Movimientos!$K$1:$K$1325,Movimientos!$C$1:$C$1325,"Green Stone Trust",Movimientos!$B$1:$B$1325,"&lt;="&amp;$B56)</f>
        <v>1968.99</v>
      </c>
      <c r="O56" s="24">
        <f>SUMIFS('Saldos Iniciales'!$D:$D,'Saldos Iniciales'!$A:$A,"EC Auto")+SUMIFS(Movimientos!$K$1:$K$1325,Movimientos!$C$1:$C$1325,"EC Auto",Movimientos!$B$1:$B$1325,"&lt;="&amp;$B56)</f>
        <v>382.69000000000005</v>
      </c>
      <c r="P56" s="24">
        <f>SUMIFS('Saldos Iniciales'!$D:$D,'Saldos Iniciales'!$A:$A,"Arbor Capital Properties")+SUMIFS(Movimientos!$K$1:$K$1325,Movimientos!$C$1:$C$1325,"Arbor Capital Properties",Movimientos!$B$1:$B$1325,"&lt;="&amp;$B56)</f>
        <v>1428.08</v>
      </c>
      <c r="Q56" s="24">
        <f>SUMIFS('Saldos Iniciales'!$D:$D,'Saldos Iniciales'!$A:$A,"2515 Overbrook")+SUMIFS(Movimientos!$K$1:$K$1325,Movimientos!$C$1:$C$1325,"2515 Overbrook",Movimientos!$B$1:$B$1325,"&lt;="&amp;$B56)</f>
        <v>31039.969999999961</v>
      </c>
      <c r="R56" s="24">
        <f>SUMIFS('Saldos Iniciales'!$D:$D,'Saldos Iniciales'!$A:$A,"112 Florida Ave")+SUMIFS(Movimientos!$K$1:$K$1325,Movimientos!$C$1:$C$1325,"112 Florida Ave",Movimientos!$B$1:$B$1325,"&lt;="&amp;$B56)</f>
        <v>20321.43</v>
      </c>
      <c r="S56" s="24">
        <f>SUMIFS('Saldos Iniciales'!$D:$D,'Saldos Iniciales'!$A:$A,"3628 Thomas Ave")+SUMIFS(Movimientos!$K$1:$K$1325,Movimientos!$C$1:$C$1325,"3628 Thomas Ave",Movimientos!$B$1:$B$1325,"&lt;="&amp;$B56)</f>
        <v>16681.349999999999</v>
      </c>
      <c r="T56" s="24">
        <f>SUMIFS('Saldos Iniciales'!$D:$D,'Saldos Iniciales'!$A:$A,"Green Harbor Trust")+SUMIFS(Movimientos!$K$1:$K$1325,Movimientos!$C$1:$C$1325,"Green Harbor Trust",Movimientos!$B$1:$B$1325,"&lt;="&amp;$B56)</f>
        <v>345</v>
      </c>
      <c r="U56" s="24">
        <f>SUMIFS('Saldos Iniciales'!$D:$D,'Saldos Iniciales'!$A:$A,"Go Blue")+SUMIFS(Movimientos!$K$1:$K$1325,Movimientos!$C$1:$C$1325,"Go Blue",Movimientos!$B$1:$B$1325,"&lt;="&amp;$B56)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LLC",Movimientos!$B$1:$B$1325,"&lt;="&amp;$B56))</f>
        <v>0</v>
      </c>
      <c r="W56" s="24">
        <f>IF(YEAR($B56)*100+MONTH($B56)&lt;--SUBSTITUTE(_xlfn.XLOOKUP("CFT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",Movimientos!$B$1:$B$1325,"&lt;="&amp;$B56))</f>
        <v>0</v>
      </c>
      <c r="AC56" s="24" t="e">
        <f>IF(YEAR($B56)*100+MONTH($B56)&lt;--SUBSTITUTE(_xlfn.XLOOKUP("SYIP",'Saldos Iniciales'!$A:$A,'Saldos Iniciales'!$C:$C),"-",""),0,SUMIFS('Saldos Iniciales'!$D:$D,'Saldos Iniciales'!$A:$A,"SYIP")+SUMIFS(Movimientos!$K$1:$K$1325,Movimientos!$C$1:$C$1325,"SYIP",Movimientos!$B$1:$B$1325,"&lt;="&amp;$B56))</f>
        <v>#N/A</v>
      </c>
      <c r="AD56" s="24">
        <f>IF(YEAR($B56)*100+MONTH($B56)&lt;--SUBSTITUTE(_xlfn.XLOOKUP("Nobe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Aparments",Movimientos!$B$1:$B$1325,"&lt;="&amp;$B56))</f>
        <v>0</v>
      </c>
      <c r="AE56" s="25" t="e">
        <f t="shared" si="1"/>
        <v>#N/A</v>
      </c>
    </row>
    <row r="57" spans="1:31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Group")+SUMIFS(Movimientos!$K$1:$K$1325,Movimientos!$C$1:$C$1325,"CFT Group",Movimientos!$B$1:$B$1325,"&lt;="&amp;$B57)</f>
        <v>6298935.7100000009</v>
      </c>
      <c r="D57" s="24">
        <f>SUMIFS('Saldos Iniciales'!$D:$D,'Saldos Iniciales'!$A:$A,"M1B")+SUMIFS(Movimientos!$K$1:$K$1325,Movimientos!$C$1:$C$1325,"M1B",Movimientos!$B$1:$B$1325,"&lt;="&amp;$B57)</f>
        <v>72386.190000000177</v>
      </c>
      <c r="E57" s="24">
        <f>SUMIFS('Saldos Iniciales'!$D:$D,'Saldos Iniciales'!$A:$A,"Durand")+SUMIFS(Movimientos!$K$1:$K$1325,Movimientos!$C$1:$C$1325,"Durand",Movimientos!$B$1:$B$1325,"&lt;="&amp;$B57)</f>
        <v>1669.89</v>
      </c>
      <c r="F57" s="24">
        <f>SUMIFS('Saldos Iniciales'!$D:$D,'Saldos Iniciales'!$A:$A,"A&amp;M Imports")+SUMIFS(Movimientos!$K$1:$K$1325,Movimientos!$C$1:$C$1325,"A&amp;M Imports",Movimientos!$B$1:$B$1325,"&lt;="&amp;$B57)</f>
        <v>472766.72999999986</v>
      </c>
      <c r="G57" s="24">
        <f>SUMIFS('Saldos Iniciales'!$D:$D,'Saldos Iniciales'!$A:$A,"SSP Capital")+SUMIFS(Movimientos!$K$1:$K$1325,Movimientos!$C$1:$C$1325,"SSP Capital",Movimientos!$B$1:$B$1325,"&lt;="&amp;$B57)</f>
        <v>1933152.7099999995</v>
      </c>
      <c r="H57" s="24">
        <f>SUMIFS('Saldos Iniciales'!$D:$D,'Saldos Iniciales'!$A:$A,"Cross Family Trust")+SUMIFS(Movimientos!$K$1:$K$1325,Movimientos!$C$1:$C$1325,"Cross Family Trust",Movimientos!$B$1:$B$1325,"&lt;="&amp;$B57)</f>
        <v>1996496.38</v>
      </c>
      <c r="I57" s="24">
        <f>SUMIFS('Saldos Iniciales'!$D:$D,'Saldos Iniciales'!$A:$A,"Cross Security Trust")+SUMIFS(Movimientos!$K$1:$K$1325,Movimientos!$C$1:$C$1325,"Cross Security Trust",Movimientos!$B$1:$B$1325,"&lt;="&amp;$B57)</f>
        <v>88090.37</v>
      </c>
      <c r="J57" s="24">
        <f>SUMIFS('Saldos Iniciales'!$D:$D,'Saldos Iniciales'!$A:$A,"Electrama")+SUMIFS(Movimientos!$K$1:$K$1325,Movimientos!$C$1:$C$1325,"Electrama",Movimientos!$B$1:$B$1325,"&lt;="&amp;$B57)</f>
        <v>511.15999999999985</v>
      </c>
      <c r="K57" s="24">
        <f>SUMIFS('Saldos Iniciales'!$D:$D,'Saldos Iniciales'!$A:$A,"Sacred Valley Capital")+SUMIFS(Movimientos!$K$1:$K$1325,Movimientos!$C$1:$C$1325,"Sacred Valley Capital",Movimientos!$B$1:$B$1325,"&lt;="&amp;$B57)</f>
        <v>84.35</v>
      </c>
      <c r="L57" s="24">
        <f>SUMIFS('Saldos Iniciales'!$D:$D,'Saldos Iniciales'!$A:$A,"YWC Capital")+SUMIFS(Movimientos!$K$1:$K$1325,Movimientos!$C$1:$C$1325,"YWC Capital",Movimientos!$B$1:$B$1325,"&lt;="&amp;$B57)</f>
        <v>2237.77</v>
      </c>
      <c r="M57" s="24">
        <f>SUMIFS('Saldos Iniciales'!$D:$D,'Saldos Iniciales'!$A:$A,"Soweto")+SUMIFS(Movimientos!$K$1:$K$1325,Movimientos!$C$1:$C$1325,"Soweto",Movimientos!$B$1:$B$1325,"&lt;="&amp;$B57)</f>
        <v>3349.94</v>
      </c>
      <c r="N57" s="24">
        <f>SUMIFS('Saldos Iniciales'!$D:$D,'Saldos Iniciales'!$A:$A,"Green Stone Trust")+SUMIFS(Movimientos!$K$1:$K$1325,Movimientos!$C$1:$C$1325,"Green Stone Trust",Movimientos!$B$1:$B$1325,"&lt;="&amp;$B57)</f>
        <v>1968.99</v>
      </c>
      <c r="O57" s="24">
        <f>SUMIFS('Saldos Iniciales'!$D:$D,'Saldos Iniciales'!$A:$A,"EC Auto")+SUMIFS(Movimientos!$K$1:$K$1325,Movimientos!$C$1:$C$1325,"EC Auto",Movimientos!$B$1:$B$1325,"&lt;="&amp;$B57)</f>
        <v>382.69000000000005</v>
      </c>
      <c r="P57" s="24">
        <f>SUMIFS('Saldos Iniciales'!$D:$D,'Saldos Iniciales'!$A:$A,"Arbor Capital Properties")+SUMIFS(Movimientos!$K$1:$K$1325,Movimientos!$C$1:$C$1325,"Arbor Capital Properties",Movimientos!$B$1:$B$1325,"&lt;="&amp;$B57)</f>
        <v>1428.08</v>
      </c>
      <c r="Q57" s="24">
        <f>SUMIFS('Saldos Iniciales'!$D:$D,'Saldos Iniciales'!$A:$A,"2515 Overbrook")+SUMIFS(Movimientos!$K$1:$K$1325,Movimientos!$C$1:$C$1325,"2515 Overbrook",Movimientos!$B$1:$B$1325,"&lt;="&amp;$B57)</f>
        <v>31039.969999999961</v>
      </c>
      <c r="R57" s="24">
        <f>SUMIFS('Saldos Iniciales'!$D:$D,'Saldos Iniciales'!$A:$A,"112 Florida Ave")+SUMIFS(Movimientos!$K$1:$K$1325,Movimientos!$C$1:$C$1325,"112 Florida Ave",Movimientos!$B$1:$B$1325,"&lt;="&amp;$B57)</f>
        <v>20321.43</v>
      </c>
      <c r="S57" s="24">
        <f>SUMIFS('Saldos Iniciales'!$D:$D,'Saldos Iniciales'!$A:$A,"3628 Thomas Ave")+SUMIFS(Movimientos!$K$1:$K$1325,Movimientos!$C$1:$C$1325,"3628 Thomas Ave",Movimientos!$B$1:$B$1325,"&lt;="&amp;$B57)</f>
        <v>28473.599999999999</v>
      </c>
      <c r="T57" s="24">
        <f>SUMIFS('Saldos Iniciales'!$D:$D,'Saldos Iniciales'!$A:$A,"Green Harbor Trust")+SUMIFS(Movimientos!$K$1:$K$1325,Movimientos!$C$1:$C$1325,"Green Harbor Trust",Movimientos!$B$1:$B$1325,"&lt;="&amp;$B57)</f>
        <v>345</v>
      </c>
      <c r="U57" s="24">
        <f>SUMIFS('Saldos Iniciales'!$D:$D,'Saldos Iniciales'!$A:$A,"Go Blue")+SUMIFS(Movimientos!$K$1:$K$1325,Movimientos!$C$1:$C$1325,"Go Blue",Movimientos!$B$1:$B$1325,"&lt;="&amp;$B57)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LLC",Movimientos!$B$1:$B$1325,"&lt;="&amp;$B57))</f>
        <v>0</v>
      </c>
      <c r="W57" s="24">
        <f>IF(YEAR($B57)*100+MONTH($B57)&lt;--SUBSTITUTE(_xlfn.XLOOKUP("CFT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",Movimientos!$B$1:$B$1325,"&lt;="&amp;$B57))</f>
        <v>0</v>
      </c>
      <c r="AC57" s="24" t="e">
        <f>IF(YEAR($B57)*100+MONTH($B57)&lt;--SUBSTITUTE(_xlfn.XLOOKUP("SYIP",'Saldos Iniciales'!$A:$A,'Saldos Iniciales'!$C:$C),"-",""),0,SUMIFS('Saldos Iniciales'!$D:$D,'Saldos Iniciales'!$A:$A,"SYIP")+SUMIFS(Movimientos!$K$1:$K$1325,Movimientos!$C$1:$C$1325,"SYIP",Movimientos!$B$1:$B$1325,"&lt;="&amp;$B57))</f>
        <v>#N/A</v>
      </c>
      <c r="AD57" s="24">
        <f>IF(YEAR($B57)*100+MONTH($B57)&lt;--SUBSTITUTE(_xlfn.XLOOKUP("Nobe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Aparments",Movimientos!$B$1:$B$1325,"&lt;="&amp;$B57))</f>
        <v>0</v>
      </c>
      <c r="AE57" s="25" t="e">
        <f t="shared" si="1"/>
        <v>#N/A</v>
      </c>
    </row>
    <row r="58" spans="1:31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Group")+SUMIFS(Movimientos!$K$1:$K$1325,Movimientos!$C$1:$C$1325,"CFT Group",Movimientos!$B$1:$B$1325,"&lt;="&amp;$B58)</f>
        <v>6288055.7100000009</v>
      </c>
      <c r="D58" s="24">
        <f>SUMIFS('Saldos Iniciales'!$D:$D,'Saldos Iniciales'!$A:$A,"M1B")+SUMIFS(Movimientos!$K$1:$K$1325,Movimientos!$C$1:$C$1325,"M1B",Movimientos!$B$1:$B$1325,"&lt;="&amp;$B58)</f>
        <v>72386.190000000177</v>
      </c>
      <c r="E58" s="24">
        <f>SUMIFS('Saldos Iniciales'!$D:$D,'Saldos Iniciales'!$A:$A,"Durand")+SUMIFS(Movimientos!$K$1:$K$1325,Movimientos!$C$1:$C$1325,"Durand",Movimientos!$B$1:$B$1325,"&lt;="&amp;$B58)</f>
        <v>1669.89</v>
      </c>
      <c r="F58" s="24">
        <f>SUMIFS('Saldos Iniciales'!$D:$D,'Saldos Iniciales'!$A:$A,"A&amp;M Imports")+SUMIFS(Movimientos!$K$1:$K$1325,Movimientos!$C$1:$C$1325,"A&amp;M Imports",Movimientos!$B$1:$B$1325,"&lt;="&amp;$B58)</f>
        <v>472766.72999999986</v>
      </c>
      <c r="G58" s="24">
        <f>SUMIFS('Saldos Iniciales'!$D:$D,'Saldos Iniciales'!$A:$A,"SSP Capital")+SUMIFS(Movimientos!$K$1:$K$1325,Movimientos!$C$1:$C$1325,"SSP Capital",Movimientos!$B$1:$B$1325,"&lt;="&amp;$B58)</f>
        <v>1932389.7199999993</v>
      </c>
      <c r="H58" s="24">
        <f>SUMIFS('Saldos Iniciales'!$D:$D,'Saldos Iniciales'!$A:$A,"Cross Family Trust")+SUMIFS(Movimientos!$K$1:$K$1325,Movimientos!$C$1:$C$1325,"Cross Family Trust",Movimientos!$B$1:$B$1325,"&lt;="&amp;$B58)</f>
        <v>1396496.38</v>
      </c>
      <c r="I58" s="24">
        <f>SUMIFS('Saldos Iniciales'!$D:$D,'Saldos Iniciales'!$A:$A,"Cross Security Trust")+SUMIFS(Movimientos!$K$1:$K$1325,Movimientos!$C$1:$C$1325,"Cross Security Trust",Movimientos!$B$1:$B$1325,"&lt;="&amp;$B58)</f>
        <v>88090.37</v>
      </c>
      <c r="J58" s="24">
        <f>SUMIFS('Saldos Iniciales'!$D:$D,'Saldos Iniciales'!$A:$A,"Electrama")+SUMIFS(Movimientos!$K$1:$K$1325,Movimientos!$C$1:$C$1325,"Electrama",Movimientos!$B$1:$B$1325,"&lt;="&amp;$B58)</f>
        <v>511.15999999999985</v>
      </c>
      <c r="K58" s="24">
        <f>SUMIFS('Saldos Iniciales'!$D:$D,'Saldos Iniciales'!$A:$A,"Sacred Valley Capital")+SUMIFS(Movimientos!$K$1:$K$1325,Movimientos!$C$1:$C$1325,"Sacred Valley Capital",Movimientos!$B$1:$B$1325,"&lt;="&amp;$B58)</f>
        <v>84.35</v>
      </c>
      <c r="L58" s="24">
        <f>SUMIFS('Saldos Iniciales'!$D:$D,'Saldos Iniciales'!$A:$A,"YWC Capital")+SUMIFS(Movimientos!$K$1:$K$1325,Movimientos!$C$1:$C$1325,"YWC Capital",Movimientos!$B$1:$B$1325,"&lt;="&amp;$B58)</f>
        <v>2237.77</v>
      </c>
      <c r="M58" s="24">
        <f>SUMIFS('Saldos Iniciales'!$D:$D,'Saldos Iniciales'!$A:$A,"Soweto")+SUMIFS(Movimientos!$K$1:$K$1325,Movimientos!$C$1:$C$1325,"Soweto",Movimientos!$B$1:$B$1325,"&lt;="&amp;$B58)</f>
        <v>3349.94</v>
      </c>
      <c r="N58" s="24">
        <f>SUMIFS('Saldos Iniciales'!$D:$D,'Saldos Iniciales'!$A:$A,"Green Stone Trust")+SUMIFS(Movimientos!$K$1:$K$1325,Movimientos!$C$1:$C$1325,"Green Stone Trust",Movimientos!$B$1:$B$1325,"&lt;="&amp;$B58)</f>
        <v>1968.99</v>
      </c>
      <c r="O58" s="24">
        <f>SUMIFS('Saldos Iniciales'!$D:$D,'Saldos Iniciales'!$A:$A,"EC Auto")+SUMIFS(Movimientos!$K$1:$K$1325,Movimientos!$C$1:$C$1325,"EC Auto",Movimientos!$B$1:$B$1325,"&lt;="&amp;$B58)</f>
        <v>382.69000000000005</v>
      </c>
      <c r="P58" s="24">
        <f>SUMIFS('Saldos Iniciales'!$D:$D,'Saldos Iniciales'!$A:$A,"Arbor Capital Properties")+SUMIFS(Movimientos!$K$1:$K$1325,Movimientos!$C$1:$C$1325,"Arbor Capital Properties",Movimientos!$B$1:$B$1325,"&lt;="&amp;$B58)</f>
        <v>1428.08</v>
      </c>
      <c r="Q58" s="24">
        <f>SUMIFS('Saldos Iniciales'!$D:$D,'Saldos Iniciales'!$A:$A,"2515 Overbrook")+SUMIFS(Movimientos!$K$1:$K$1325,Movimientos!$C$1:$C$1325,"2515 Overbrook",Movimientos!$B$1:$B$1325,"&lt;="&amp;$B58)</f>
        <v>31039.969999999961</v>
      </c>
      <c r="R58" s="24">
        <f>SUMIFS('Saldos Iniciales'!$D:$D,'Saldos Iniciales'!$A:$A,"112 Florida Ave")+SUMIFS(Movimientos!$K$1:$K$1325,Movimientos!$C$1:$C$1325,"112 Florida Ave",Movimientos!$B$1:$B$1325,"&lt;="&amp;$B58)</f>
        <v>20321.43</v>
      </c>
      <c r="S58" s="24">
        <f>SUMIFS('Saldos Iniciales'!$D:$D,'Saldos Iniciales'!$A:$A,"3628 Thomas Ave")+SUMIFS(Movimientos!$K$1:$K$1325,Movimientos!$C$1:$C$1325,"3628 Thomas Ave",Movimientos!$B$1:$B$1325,"&lt;="&amp;$B58)</f>
        <v>28458.6</v>
      </c>
      <c r="T58" s="24">
        <f>SUMIFS('Saldos Iniciales'!$D:$D,'Saldos Iniciales'!$A:$A,"Green Harbor Trust")+SUMIFS(Movimientos!$K$1:$K$1325,Movimientos!$C$1:$C$1325,"Green Harbor Trust",Movimientos!$B$1:$B$1325,"&lt;="&amp;$B58)</f>
        <v>345</v>
      </c>
      <c r="U58" s="24">
        <f>SUMIFS('Saldos Iniciales'!$D:$D,'Saldos Iniciales'!$A:$A,"Go Blue")+SUMIFS(Movimientos!$K$1:$K$1325,Movimientos!$C$1:$C$1325,"Go Blue",Movimientos!$B$1:$B$1325,"&lt;="&amp;$B58)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LLC",Movimientos!$B$1:$B$1325,"&lt;="&amp;$B58))</f>
        <v>0</v>
      </c>
      <c r="W58" s="24">
        <f>IF(YEAR($B58)*100+MONTH($B58)&lt;--SUBSTITUTE(_xlfn.XLOOKUP("CFT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",Movimientos!$B$1:$B$1325,"&lt;="&amp;$B58))</f>
        <v>0</v>
      </c>
      <c r="AC58" s="24" t="e">
        <f>IF(YEAR($B58)*100+MONTH($B58)&lt;--SUBSTITUTE(_xlfn.XLOOKUP("SYIP",'Saldos Iniciales'!$A:$A,'Saldos Iniciales'!$C:$C),"-",""),0,SUMIFS('Saldos Iniciales'!$D:$D,'Saldos Iniciales'!$A:$A,"SYIP")+SUMIFS(Movimientos!$K$1:$K$1325,Movimientos!$C$1:$C$1325,"SYIP",Movimientos!$B$1:$B$1325,"&lt;="&amp;$B58))</f>
        <v>#N/A</v>
      </c>
      <c r="AD58" s="24">
        <f>IF(YEAR($B58)*100+MONTH($B58)&lt;--SUBSTITUTE(_xlfn.XLOOKUP("Nobe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Aparments",Movimientos!$B$1:$B$1325,"&lt;="&amp;$B58))</f>
        <v>0</v>
      </c>
      <c r="AE58" s="25" t="e">
        <f t="shared" si="1"/>
        <v>#N/A</v>
      </c>
    </row>
    <row r="59" spans="1:31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Group")+SUMIFS(Movimientos!$K$1:$K$1325,Movimientos!$C$1:$C$1325,"CFT Group",Movimientos!$B$1:$B$1325,"&lt;="&amp;$B59)</f>
        <v>6288055.7100000009</v>
      </c>
      <c r="D59" s="24">
        <f>SUMIFS('Saldos Iniciales'!$D:$D,'Saldos Iniciales'!$A:$A,"M1B")+SUMIFS(Movimientos!$K$1:$K$1325,Movimientos!$C$1:$C$1325,"M1B",Movimientos!$B$1:$B$1325,"&lt;="&amp;$B59)</f>
        <v>72386.190000000177</v>
      </c>
      <c r="E59" s="24">
        <f>SUMIFS('Saldos Iniciales'!$D:$D,'Saldos Iniciales'!$A:$A,"Durand")+SUMIFS(Movimientos!$K$1:$K$1325,Movimientos!$C$1:$C$1325,"Durand",Movimientos!$B$1:$B$1325,"&lt;="&amp;$B59)</f>
        <v>1669.89</v>
      </c>
      <c r="F59" s="24">
        <f>SUMIFS('Saldos Iniciales'!$D:$D,'Saldos Iniciales'!$A:$A,"A&amp;M Imports")+SUMIFS(Movimientos!$K$1:$K$1325,Movimientos!$C$1:$C$1325,"A&amp;M Imports",Movimientos!$B$1:$B$1325,"&lt;="&amp;$B59)</f>
        <v>472766.72999999986</v>
      </c>
      <c r="G59" s="24">
        <f>SUMIFS('Saldos Iniciales'!$D:$D,'Saldos Iniciales'!$A:$A,"SSP Capital")+SUMIFS(Movimientos!$K$1:$K$1325,Movimientos!$C$1:$C$1325,"SSP Capital",Movimientos!$B$1:$B$1325,"&lt;="&amp;$B59)</f>
        <v>1932389.7199999993</v>
      </c>
      <c r="H59" s="24">
        <f>SUMIFS('Saldos Iniciales'!$D:$D,'Saldos Iniciales'!$A:$A,"Cross Family Trust")+SUMIFS(Movimientos!$K$1:$K$1325,Movimientos!$C$1:$C$1325,"Cross Family Trust",Movimientos!$B$1:$B$1325,"&lt;="&amp;$B59)</f>
        <v>1396496.38</v>
      </c>
      <c r="I59" s="24">
        <f>SUMIFS('Saldos Iniciales'!$D:$D,'Saldos Iniciales'!$A:$A,"Cross Security Trust")+SUMIFS(Movimientos!$K$1:$K$1325,Movimientos!$C$1:$C$1325,"Cross Security Trust",Movimientos!$B$1:$B$1325,"&lt;="&amp;$B59)</f>
        <v>88090.37</v>
      </c>
      <c r="J59" s="24">
        <f>SUMIFS('Saldos Iniciales'!$D:$D,'Saldos Iniciales'!$A:$A,"Electrama")+SUMIFS(Movimientos!$K$1:$K$1325,Movimientos!$C$1:$C$1325,"Electrama",Movimientos!$B$1:$B$1325,"&lt;="&amp;$B59)</f>
        <v>511.15999999999985</v>
      </c>
      <c r="K59" s="24">
        <f>SUMIFS('Saldos Iniciales'!$D:$D,'Saldos Iniciales'!$A:$A,"Sacred Valley Capital")+SUMIFS(Movimientos!$K$1:$K$1325,Movimientos!$C$1:$C$1325,"Sacred Valley Capital",Movimientos!$B$1:$B$1325,"&lt;="&amp;$B59)</f>
        <v>84.35</v>
      </c>
      <c r="L59" s="24">
        <f>SUMIFS('Saldos Iniciales'!$D:$D,'Saldos Iniciales'!$A:$A,"YWC Capital")+SUMIFS(Movimientos!$K$1:$K$1325,Movimientos!$C$1:$C$1325,"YWC Capital",Movimientos!$B$1:$B$1325,"&lt;="&amp;$B59)</f>
        <v>2237.77</v>
      </c>
      <c r="M59" s="24">
        <f>SUMIFS('Saldos Iniciales'!$D:$D,'Saldos Iniciales'!$A:$A,"Soweto")+SUMIFS(Movimientos!$K$1:$K$1325,Movimientos!$C$1:$C$1325,"Soweto",Movimientos!$B$1:$B$1325,"&lt;="&amp;$B59)</f>
        <v>3349.94</v>
      </c>
      <c r="N59" s="24">
        <f>SUMIFS('Saldos Iniciales'!$D:$D,'Saldos Iniciales'!$A:$A,"Green Stone Trust")+SUMIFS(Movimientos!$K$1:$K$1325,Movimientos!$C$1:$C$1325,"Green Stone Trust",Movimientos!$B$1:$B$1325,"&lt;="&amp;$B59)</f>
        <v>1968.99</v>
      </c>
      <c r="O59" s="24">
        <f>SUMIFS('Saldos Iniciales'!$D:$D,'Saldos Iniciales'!$A:$A,"EC Auto")+SUMIFS(Movimientos!$K$1:$K$1325,Movimientos!$C$1:$C$1325,"EC Auto",Movimientos!$B$1:$B$1325,"&lt;="&amp;$B59)</f>
        <v>382.69000000000005</v>
      </c>
      <c r="P59" s="24">
        <f>SUMIFS('Saldos Iniciales'!$D:$D,'Saldos Iniciales'!$A:$A,"Arbor Capital Properties")+SUMIFS(Movimientos!$K$1:$K$1325,Movimientos!$C$1:$C$1325,"Arbor Capital Properties",Movimientos!$B$1:$B$1325,"&lt;="&amp;$B59)</f>
        <v>1428.08</v>
      </c>
      <c r="Q59" s="24">
        <f>SUMIFS('Saldos Iniciales'!$D:$D,'Saldos Iniciales'!$A:$A,"2515 Overbrook")+SUMIFS(Movimientos!$K$1:$K$1325,Movimientos!$C$1:$C$1325,"2515 Overbrook",Movimientos!$B$1:$B$1325,"&lt;="&amp;$B59)</f>
        <v>31039.969999999961</v>
      </c>
      <c r="R59" s="24">
        <f>SUMIFS('Saldos Iniciales'!$D:$D,'Saldos Iniciales'!$A:$A,"112 Florida Ave")+SUMIFS(Movimientos!$K$1:$K$1325,Movimientos!$C$1:$C$1325,"112 Florida Ave",Movimientos!$B$1:$B$1325,"&lt;="&amp;$B59)</f>
        <v>20321.43</v>
      </c>
      <c r="S59" s="24">
        <f>SUMIFS('Saldos Iniciales'!$D:$D,'Saldos Iniciales'!$A:$A,"3628 Thomas Ave")+SUMIFS(Movimientos!$K$1:$K$1325,Movimientos!$C$1:$C$1325,"3628 Thomas Ave",Movimientos!$B$1:$B$1325,"&lt;="&amp;$B59)</f>
        <v>28458.6</v>
      </c>
      <c r="T59" s="24">
        <f>SUMIFS('Saldos Iniciales'!$D:$D,'Saldos Iniciales'!$A:$A,"Green Harbor Trust")+SUMIFS(Movimientos!$K$1:$K$1325,Movimientos!$C$1:$C$1325,"Green Harbor Trust",Movimientos!$B$1:$B$1325,"&lt;="&amp;$B59)</f>
        <v>345</v>
      </c>
      <c r="U59" s="24">
        <f>SUMIFS('Saldos Iniciales'!$D:$D,'Saldos Iniciales'!$A:$A,"Go Blue")+SUMIFS(Movimientos!$K$1:$K$1325,Movimientos!$C$1:$C$1325,"Go Blue",Movimientos!$B$1:$B$1325,"&lt;="&amp;$B59)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LLC",Movimientos!$B$1:$B$1325,"&lt;="&amp;$B59))</f>
        <v>0</v>
      </c>
      <c r="W59" s="24">
        <f>IF(YEAR($B59)*100+MONTH($B59)&lt;--SUBSTITUTE(_xlfn.XLOOKUP("CFT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",Movimientos!$B$1:$B$1325,"&lt;="&amp;$B59))</f>
        <v>0</v>
      </c>
      <c r="AC59" s="24" t="e">
        <f>IF(YEAR($B59)*100+MONTH($B59)&lt;--SUBSTITUTE(_xlfn.XLOOKUP("SYIP",'Saldos Iniciales'!$A:$A,'Saldos Iniciales'!$C:$C),"-",""),0,SUMIFS('Saldos Iniciales'!$D:$D,'Saldos Iniciales'!$A:$A,"SYIP")+SUMIFS(Movimientos!$K$1:$K$1325,Movimientos!$C$1:$C$1325,"SYIP",Movimientos!$B$1:$B$1325,"&lt;="&amp;$B59))</f>
        <v>#N/A</v>
      </c>
      <c r="AD59" s="24">
        <f>IF(YEAR($B59)*100+MONTH($B59)&lt;--SUBSTITUTE(_xlfn.XLOOKUP("Nobe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Aparments",Movimientos!$B$1:$B$1325,"&lt;="&amp;$B59))</f>
        <v>0</v>
      </c>
      <c r="AE59" s="25" t="e">
        <f t="shared" si="1"/>
        <v>#N/A</v>
      </c>
    </row>
    <row r="60" spans="1:31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Group")+SUMIFS(Movimientos!$K$1:$K$1325,Movimientos!$C$1:$C$1325,"CFT Group",Movimientos!$B$1:$B$1325,"&lt;="&amp;$B60)</f>
        <v>6288055.7100000009</v>
      </c>
      <c r="D60" s="24">
        <f>SUMIFS('Saldos Iniciales'!$D:$D,'Saldos Iniciales'!$A:$A,"M1B")+SUMIFS(Movimientos!$K$1:$K$1325,Movimientos!$C$1:$C$1325,"M1B",Movimientos!$B$1:$B$1325,"&lt;="&amp;$B60)</f>
        <v>72386.190000000177</v>
      </c>
      <c r="E60" s="24">
        <f>SUMIFS('Saldos Iniciales'!$D:$D,'Saldos Iniciales'!$A:$A,"Durand")+SUMIFS(Movimientos!$K$1:$K$1325,Movimientos!$C$1:$C$1325,"Durand",Movimientos!$B$1:$B$1325,"&lt;="&amp;$B60)</f>
        <v>1669.89</v>
      </c>
      <c r="F60" s="24">
        <f>SUMIFS('Saldos Iniciales'!$D:$D,'Saldos Iniciales'!$A:$A,"A&amp;M Imports")+SUMIFS(Movimientos!$K$1:$K$1325,Movimientos!$C$1:$C$1325,"A&amp;M Imports",Movimientos!$B$1:$B$1325,"&lt;="&amp;$B60)</f>
        <v>472766.72999999986</v>
      </c>
      <c r="G60" s="24">
        <f>SUMIFS('Saldos Iniciales'!$D:$D,'Saldos Iniciales'!$A:$A,"SSP Capital")+SUMIFS(Movimientos!$K$1:$K$1325,Movimientos!$C$1:$C$1325,"SSP Capital",Movimientos!$B$1:$B$1325,"&lt;="&amp;$B60)</f>
        <v>1932389.7199999993</v>
      </c>
      <c r="H60" s="24">
        <f>SUMIFS('Saldos Iniciales'!$D:$D,'Saldos Iniciales'!$A:$A,"Cross Family Trust")+SUMIFS(Movimientos!$K$1:$K$1325,Movimientos!$C$1:$C$1325,"Cross Family Trust",Movimientos!$B$1:$B$1325,"&lt;="&amp;$B60)</f>
        <v>1396496.38</v>
      </c>
      <c r="I60" s="24">
        <f>SUMIFS('Saldos Iniciales'!$D:$D,'Saldos Iniciales'!$A:$A,"Cross Security Trust")+SUMIFS(Movimientos!$K$1:$K$1325,Movimientos!$C$1:$C$1325,"Cross Security Trust",Movimientos!$B$1:$B$1325,"&lt;="&amp;$B60)</f>
        <v>88090.37</v>
      </c>
      <c r="J60" s="24">
        <f>SUMIFS('Saldos Iniciales'!$D:$D,'Saldos Iniciales'!$A:$A,"Electrama")+SUMIFS(Movimientos!$K$1:$K$1325,Movimientos!$C$1:$C$1325,"Electrama",Movimientos!$B$1:$B$1325,"&lt;="&amp;$B60)</f>
        <v>511.15999999999985</v>
      </c>
      <c r="K60" s="24">
        <f>SUMIFS('Saldos Iniciales'!$D:$D,'Saldos Iniciales'!$A:$A,"Sacred Valley Capital")+SUMIFS(Movimientos!$K$1:$K$1325,Movimientos!$C$1:$C$1325,"Sacred Valley Capital",Movimientos!$B$1:$B$1325,"&lt;="&amp;$B60)</f>
        <v>84.35</v>
      </c>
      <c r="L60" s="24">
        <f>SUMIFS('Saldos Iniciales'!$D:$D,'Saldos Iniciales'!$A:$A,"YWC Capital")+SUMIFS(Movimientos!$K$1:$K$1325,Movimientos!$C$1:$C$1325,"YWC Capital",Movimientos!$B$1:$B$1325,"&lt;="&amp;$B60)</f>
        <v>2237.77</v>
      </c>
      <c r="M60" s="24">
        <f>SUMIFS('Saldos Iniciales'!$D:$D,'Saldos Iniciales'!$A:$A,"Soweto")+SUMIFS(Movimientos!$K$1:$K$1325,Movimientos!$C$1:$C$1325,"Soweto",Movimientos!$B$1:$B$1325,"&lt;="&amp;$B60)</f>
        <v>3349.94</v>
      </c>
      <c r="N60" s="24">
        <f>SUMIFS('Saldos Iniciales'!$D:$D,'Saldos Iniciales'!$A:$A,"Green Stone Trust")+SUMIFS(Movimientos!$K$1:$K$1325,Movimientos!$C$1:$C$1325,"Green Stone Trust",Movimientos!$B$1:$B$1325,"&lt;="&amp;$B60)</f>
        <v>1968.99</v>
      </c>
      <c r="O60" s="24">
        <f>SUMIFS('Saldos Iniciales'!$D:$D,'Saldos Iniciales'!$A:$A,"EC Auto")+SUMIFS(Movimientos!$K$1:$K$1325,Movimientos!$C$1:$C$1325,"EC Auto",Movimientos!$B$1:$B$1325,"&lt;="&amp;$B60)</f>
        <v>382.69000000000005</v>
      </c>
      <c r="P60" s="24">
        <f>SUMIFS('Saldos Iniciales'!$D:$D,'Saldos Iniciales'!$A:$A,"Arbor Capital Properties")+SUMIFS(Movimientos!$K$1:$K$1325,Movimientos!$C$1:$C$1325,"Arbor Capital Properties",Movimientos!$B$1:$B$1325,"&lt;="&amp;$B60)</f>
        <v>1428.08</v>
      </c>
      <c r="Q60" s="24">
        <f>SUMIFS('Saldos Iniciales'!$D:$D,'Saldos Iniciales'!$A:$A,"2515 Overbrook")+SUMIFS(Movimientos!$K$1:$K$1325,Movimientos!$C$1:$C$1325,"2515 Overbrook",Movimientos!$B$1:$B$1325,"&lt;="&amp;$B60)</f>
        <v>31039.969999999961</v>
      </c>
      <c r="R60" s="24">
        <f>SUMIFS('Saldos Iniciales'!$D:$D,'Saldos Iniciales'!$A:$A,"112 Florida Ave")+SUMIFS(Movimientos!$K$1:$K$1325,Movimientos!$C$1:$C$1325,"112 Florida Ave",Movimientos!$B$1:$B$1325,"&lt;="&amp;$B60)</f>
        <v>20321.43</v>
      </c>
      <c r="S60" s="24">
        <f>SUMIFS('Saldos Iniciales'!$D:$D,'Saldos Iniciales'!$A:$A,"3628 Thomas Ave")+SUMIFS(Movimientos!$K$1:$K$1325,Movimientos!$C$1:$C$1325,"3628 Thomas Ave",Movimientos!$B$1:$B$1325,"&lt;="&amp;$B60)</f>
        <v>28458.6</v>
      </c>
      <c r="T60" s="24">
        <f>SUMIFS('Saldos Iniciales'!$D:$D,'Saldos Iniciales'!$A:$A,"Green Harbor Trust")+SUMIFS(Movimientos!$K$1:$K$1325,Movimientos!$C$1:$C$1325,"Green Harbor Trust",Movimientos!$B$1:$B$1325,"&lt;="&amp;$B60)</f>
        <v>345</v>
      </c>
      <c r="U60" s="24">
        <f>SUMIFS('Saldos Iniciales'!$D:$D,'Saldos Iniciales'!$A:$A,"Go Blue")+SUMIFS(Movimientos!$K$1:$K$1325,Movimientos!$C$1:$C$1325,"Go Blue",Movimientos!$B$1:$B$1325,"&lt;="&amp;$B60)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LLC",Movimientos!$B$1:$B$1325,"&lt;="&amp;$B60))</f>
        <v>0</v>
      </c>
      <c r="W60" s="24">
        <f>IF(YEAR($B60)*100+MONTH($B60)&lt;--SUBSTITUTE(_xlfn.XLOOKUP("CFT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",Movimientos!$B$1:$B$1325,"&lt;="&amp;$B60))</f>
        <v>0</v>
      </c>
      <c r="AC60" s="24" t="e">
        <f>IF(YEAR($B60)*100+MONTH($B60)&lt;--SUBSTITUTE(_xlfn.XLOOKUP("SYIP",'Saldos Iniciales'!$A:$A,'Saldos Iniciales'!$C:$C),"-",""),0,SUMIFS('Saldos Iniciales'!$D:$D,'Saldos Iniciales'!$A:$A,"SYIP")+SUMIFS(Movimientos!$K$1:$K$1325,Movimientos!$C$1:$C$1325,"SYIP",Movimientos!$B$1:$B$1325,"&lt;="&amp;$B60))</f>
        <v>#N/A</v>
      </c>
      <c r="AD60" s="24">
        <f>IF(YEAR($B60)*100+MONTH($B60)&lt;--SUBSTITUTE(_xlfn.XLOOKUP("Nobe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Aparments",Movimientos!$B$1:$B$1325,"&lt;="&amp;$B60))</f>
        <v>0</v>
      </c>
      <c r="AE60" s="25" t="e">
        <f t="shared" si="1"/>
        <v>#N/A</v>
      </c>
    </row>
    <row r="61" spans="1:31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Group")+SUMIFS(Movimientos!$K$1:$K$1325,Movimientos!$C$1:$C$1325,"CFT Group",Movimientos!$B$1:$B$1325,"&lt;="&amp;$B61)</f>
        <v>6299174.8100000015</v>
      </c>
      <c r="D61" s="24">
        <f>SUMIFS('Saldos Iniciales'!$D:$D,'Saldos Iniciales'!$A:$A,"M1B")+SUMIFS(Movimientos!$K$1:$K$1325,Movimientos!$C$1:$C$1325,"M1B",Movimientos!$B$1:$B$1325,"&lt;="&amp;$B61)</f>
        <v>72386.190000000177</v>
      </c>
      <c r="E61" s="24">
        <f>SUMIFS('Saldos Iniciales'!$D:$D,'Saldos Iniciales'!$A:$A,"Durand")+SUMIFS(Movimientos!$K$1:$K$1325,Movimientos!$C$1:$C$1325,"Durand",Movimientos!$B$1:$B$1325,"&lt;="&amp;$B61)</f>
        <v>1669.89</v>
      </c>
      <c r="F61" s="24">
        <f>SUMIFS('Saldos Iniciales'!$D:$D,'Saldos Iniciales'!$A:$A,"A&amp;M Imports")+SUMIFS(Movimientos!$K$1:$K$1325,Movimientos!$C$1:$C$1325,"A&amp;M Imports",Movimientos!$B$1:$B$1325,"&lt;="&amp;$B61)</f>
        <v>489745.62999999989</v>
      </c>
      <c r="G61" s="24">
        <f>SUMIFS('Saldos Iniciales'!$D:$D,'Saldos Iniciales'!$A:$A,"SSP Capital")+SUMIFS(Movimientos!$K$1:$K$1325,Movimientos!$C$1:$C$1325,"SSP Capital",Movimientos!$B$1:$B$1325,"&lt;="&amp;$B61)</f>
        <v>1768167.9199999995</v>
      </c>
      <c r="H61" s="24">
        <f>SUMIFS('Saldos Iniciales'!$D:$D,'Saldos Iniciales'!$A:$A,"Cross Family Trust")+SUMIFS(Movimientos!$K$1:$K$1325,Movimientos!$C$1:$C$1325,"Cross Family Trust",Movimientos!$B$1:$B$1325,"&lt;="&amp;$B61)</f>
        <v>396496.38</v>
      </c>
      <c r="I61" s="24">
        <f>SUMIFS('Saldos Iniciales'!$D:$D,'Saldos Iniciales'!$A:$A,"Cross Security Trust")+SUMIFS(Movimientos!$K$1:$K$1325,Movimientos!$C$1:$C$1325,"Cross Security Trust",Movimientos!$B$1:$B$1325,"&lt;="&amp;$B61)</f>
        <v>88090.37</v>
      </c>
      <c r="J61" s="24">
        <f>SUMIFS('Saldos Iniciales'!$D:$D,'Saldos Iniciales'!$A:$A,"Electrama")+SUMIFS(Movimientos!$K$1:$K$1325,Movimientos!$C$1:$C$1325,"Electrama",Movimientos!$B$1:$B$1325,"&lt;="&amp;$B61)</f>
        <v>511.15999999999985</v>
      </c>
      <c r="K61" s="24">
        <f>SUMIFS('Saldos Iniciales'!$D:$D,'Saldos Iniciales'!$A:$A,"Sacred Valley Capital")+SUMIFS(Movimientos!$K$1:$K$1325,Movimientos!$C$1:$C$1325,"Sacred Valley Capital",Movimientos!$B$1:$B$1325,"&lt;="&amp;$B61)</f>
        <v>84.35</v>
      </c>
      <c r="L61" s="24">
        <f>SUMIFS('Saldos Iniciales'!$D:$D,'Saldos Iniciales'!$A:$A,"YWC Capital")+SUMIFS(Movimientos!$K$1:$K$1325,Movimientos!$C$1:$C$1325,"YWC Capital",Movimientos!$B$1:$B$1325,"&lt;="&amp;$B61)</f>
        <v>2237.77</v>
      </c>
      <c r="M61" s="24">
        <f>SUMIFS('Saldos Iniciales'!$D:$D,'Saldos Iniciales'!$A:$A,"Soweto")+SUMIFS(Movimientos!$K$1:$K$1325,Movimientos!$C$1:$C$1325,"Soweto",Movimientos!$B$1:$B$1325,"&lt;="&amp;$B61)</f>
        <v>3349.94</v>
      </c>
      <c r="N61" s="24">
        <f>SUMIFS('Saldos Iniciales'!$D:$D,'Saldos Iniciales'!$A:$A,"Green Stone Trust")+SUMIFS(Movimientos!$K$1:$K$1325,Movimientos!$C$1:$C$1325,"Green Stone Trust",Movimientos!$B$1:$B$1325,"&lt;="&amp;$B61)</f>
        <v>1968.99</v>
      </c>
      <c r="O61" s="24">
        <f>SUMIFS('Saldos Iniciales'!$D:$D,'Saldos Iniciales'!$A:$A,"EC Auto")+SUMIFS(Movimientos!$K$1:$K$1325,Movimientos!$C$1:$C$1325,"EC Auto",Movimientos!$B$1:$B$1325,"&lt;="&amp;$B61)</f>
        <v>382.69000000000005</v>
      </c>
      <c r="P61" s="24">
        <f>SUMIFS('Saldos Iniciales'!$D:$D,'Saldos Iniciales'!$A:$A,"Arbor Capital Properties")+SUMIFS(Movimientos!$K$1:$K$1325,Movimientos!$C$1:$C$1325,"Arbor Capital Properties",Movimientos!$B$1:$B$1325,"&lt;="&amp;$B61)</f>
        <v>1428.08</v>
      </c>
      <c r="Q61" s="24">
        <f>SUMIFS('Saldos Iniciales'!$D:$D,'Saldos Iniciales'!$A:$A,"2515 Overbrook")+SUMIFS(Movimientos!$K$1:$K$1325,Movimientos!$C$1:$C$1325,"2515 Overbrook",Movimientos!$B$1:$B$1325,"&lt;="&amp;$B61)</f>
        <v>31039.969999999961</v>
      </c>
      <c r="R61" s="24">
        <f>SUMIFS('Saldos Iniciales'!$D:$D,'Saldos Iniciales'!$A:$A,"112 Florida Ave")+SUMIFS(Movimientos!$K$1:$K$1325,Movimientos!$C$1:$C$1325,"112 Florida Ave",Movimientos!$B$1:$B$1325,"&lt;="&amp;$B61)</f>
        <v>20321.43</v>
      </c>
      <c r="S61" s="24">
        <f>SUMIFS('Saldos Iniciales'!$D:$D,'Saldos Iniciales'!$A:$A,"3628 Thomas Ave")+SUMIFS(Movimientos!$K$1:$K$1325,Movimientos!$C$1:$C$1325,"3628 Thomas Ave",Movimientos!$B$1:$B$1325,"&lt;="&amp;$B61)</f>
        <v>28458.6</v>
      </c>
      <c r="T61" s="24">
        <f>SUMIFS('Saldos Iniciales'!$D:$D,'Saldos Iniciales'!$A:$A,"Green Harbor Trust")+SUMIFS(Movimientos!$K$1:$K$1325,Movimientos!$C$1:$C$1325,"Green Harbor Trust",Movimientos!$B$1:$B$1325,"&lt;="&amp;$B61)</f>
        <v>345</v>
      </c>
      <c r="U61" s="24">
        <f>SUMIFS('Saldos Iniciales'!$D:$D,'Saldos Iniciales'!$A:$A,"Go Blue")+SUMIFS(Movimientos!$K$1:$K$1325,Movimientos!$C$1:$C$1325,"Go Blue",Movimientos!$B$1:$B$1325,"&lt;="&amp;$B61)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LLC",Movimientos!$B$1:$B$1325,"&lt;="&amp;$B61))</f>
        <v>0</v>
      </c>
      <c r="W61" s="24">
        <f>IF(YEAR($B61)*100+MONTH($B61)&lt;--SUBSTITUTE(_xlfn.XLOOKUP("CFT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",Movimientos!$B$1:$B$1325,"&lt;="&amp;$B61))</f>
        <v>0</v>
      </c>
      <c r="AC61" s="24" t="e">
        <f>IF(YEAR($B61)*100+MONTH($B61)&lt;--SUBSTITUTE(_xlfn.XLOOKUP("SYIP",'Saldos Iniciales'!$A:$A,'Saldos Iniciales'!$C:$C),"-",""),0,SUMIFS('Saldos Iniciales'!$D:$D,'Saldos Iniciales'!$A:$A,"SYIP")+SUMIFS(Movimientos!$K$1:$K$1325,Movimientos!$C$1:$C$1325,"SYIP",Movimientos!$B$1:$B$1325,"&lt;="&amp;$B61))</f>
        <v>#N/A</v>
      </c>
      <c r="AD61" s="24">
        <f>IF(YEAR($B61)*100+MONTH($B61)&lt;--SUBSTITUTE(_xlfn.XLOOKUP("Nobe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Aparments",Movimientos!$B$1:$B$1325,"&lt;="&amp;$B61))</f>
        <v>0</v>
      </c>
      <c r="AE61" s="25" t="e">
        <f t="shared" si="1"/>
        <v>#N/A</v>
      </c>
    </row>
    <row r="62" spans="1:31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Group")+SUMIFS(Movimientos!$K$1:$K$1325,Movimientos!$C$1:$C$1325,"CFT Group",Movimientos!$B$1:$B$1325,"&lt;="&amp;$B62)</f>
        <v>6295585.7500000009</v>
      </c>
      <c r="D62" s="24">
        <f>SUMIFS('Saldos Iniciales'!$D:$D,'Saldos Iniciales'!$A:$A,"M1B")+SUMIFS(Movimientos!$K$1:$K$1325,Movimientos!$C$1:$C$1325,"M1B",Movimientos!$B$1:$B$1325,"&lt;="&amp;$B62)</f>
        <v>79139.680000000168</v>
      </c>
      <c r="E62" s="24">
        <f>SUMIFS('Saldos Iniciales'!$D:$D,'Saldos Iniciales'!$A:$A,"Durand")+SUMIFS(Movimientos!$K$1:$K$1325,Movimientos!$C$1:$C$1325,"Durand",Movimientos!$B$1:$B$1325,"&lt;="&amp;$B62)</f>
        <v>1669.89</v>
      </c>
      <c r="F62" s="24">
        <f>SUMIFS('Saldos Iniciales'!$D:$D,'Saldos Iniciales'!$A:$A,"A&amp;M Imports")+SUMIFS(Movimientos!$K$1:$K$1325,Movimientos!$C$1:$C$1325,"A&amp;M Imports",Movimientos!$B$1:$B$1325,"&lt;="&amp;$B62)</f>
        <v>489745.62999999989</v>
      </c>
      <c r="G62" s="24">
        <f>SUMIFS('Saldos Iniciales'!$D:$D,'Saldos Iniciales'!$A:$A,"SSP Capital")+SUMIFS(Movimientos!$K$1:$K$1325,Movimientos!$C$1:$C$1325,"SSP Capital",Movimientos!$B$1:$B$1325,"&lt;="&amp;$B62)</f>
        <v>1696284.7299999995</v>
      </c>
      <c r="H62" s="24">
        <f>SUMIFS('Saldos Iniciales'!$D:$D,'Saldos Iniciales'!$A:$A,"Cross Family Trust")+SUMIFS(Movimientos!$K$1:$K$1325,Movimientos!$C$1:$C$1325,"Cross Family Trust",Movimientos!$B$1:$B$1325,"&lt;="&amp;$B62)</f>
        <v>390496.38</v>
      </c>
      <c r="I62" s="24">
        <f>SUMIFS('Saldos Iniciales'!$D:$D,'Saldos Iniciales'!$A:$A,"Cross Security Trust")+SUMIFS(Movimientos!$K$1:$K$1325,Movimientos!$C$1:$C$1325,"Cross Security Trust",Movimientos!$B$1:$B$1325,"&lt;="&amp;$B62)</f>
        <v>88090.37</v>
      </c>
      <c r="J62" s="24">
        <f>SUMIFS('Saldos Iniciales'!$D:$D,'Saldos Iniciales'!$A:$A,"Electrama")+SUMIFS(Movimientos!$K$1:$K$1325,Movimientos!$C$1:$C$1325,"Electrama",Movimientos!$B$1:$B$1325,"&lt;="&amp;$B62)</f>
        <v>511.15999999999985</v>
      </c>
      <c r="K62" s="24">
        <f>SUMIFS('Saldos Iniciales'!$D:$D,'Saldos Iniciales'!$A:$A,"Sacred Valley Capital")+SUMIFS(Movimientos!$K$1:$K$1325,Movimientos!$C$1:$C$1325,"Sacred Valley Capital",Movimientos!$B$1:$B$1325,"&lt;="&amp;$B62)</f>
        <v>84.35</v>
      </c>
      <c r="L62" s="24">
        <f>SUMIFS('Saldos Iniciales'!$D:$D,'Saldos Iniciales'!$A:$A,"YWC Capital")+SUMIFS(Movimientos!$K$1:$K$1325,Movimientos!$C$1:$C$1325,"YWC Capital",Movimientos!$B$1:$B$1325,"&lt;="&amp;$B62)</f>
        <v>2237.77</v>
      </c>
      <c r="M62" s="24">
        <f>SUMIFS('Saldos Iniciales'!$D:$D,'Saldos Iniciales'!$A:$A,"Soweto")+SUMIFS(Movimientos!$K$1:$K$1325,Movimientos!$C$1:$C$1325,"Soweto",Movimientos!$B$1:$B$1325,"&lt;="&amp;$B62)</f>
        <v>3349.94</v>
      </c>
      <c r="N62" s="24">
        <f>SUMIFS('Saldos Iniciales'!$D:$D,'Saldos Iniciales'!$A:$A,"Green Stone Trust")+SUMIFS(Movimientos!$K$1:$K$1325,Movimientos!$C$1:$C$1325,"Green Stone Trust",Movimientos!$B$1:$B$1325,"&lt;="&amp;$B62)</f>
        <v>1968.99</v>
      </c>
      <c r="O62" s="24">
        <f>SUMIFS('Saldos Iniciales'!$D:$D,'Saldos Iniciales'!$A:$A,"EC Auto")+SUMIFS(Movimientos!$K$1:$K$1325,Movimientos!$C$1:$C$1325,"EC Auto",Movimientos!$B$1:$B$1325,"&lt;="&amp;$B62)</f>
        <v>382.69000000000005</v>
      </c>
      <c r="P62" s="24">
        <f>SUMIFS('Saldos Iniciales'!$D:$D,'Saldos Iniciales'!$A:$A,"Arbor Capital Properties")+SUMIFS(Movimientos!$K$1:$K$1325,Movimientos!$C$1:$C$1325,"Arbor Capital Properties",Movimientos!$B$1:$B$1325,"&lt;="&amp;$B62)</f>
        <v>1428.08</v>
      </c>
      <c r="Q62" s="24">
        <f>SUMIFS('Saldos Iniciales'!$D:$D,'Saldos Iniciales'!$A:$A,"2515 Overbrook")+SUMIFS(Movimientos!$K$1:$K$1325,Movimientos!$C$1:$C$1325,"2515 Overbrook",Movimientos!$B$1:$B$1325,"&lt;="&amp;$B62)</f>
        <v>31039.969999999961</v>
      </c>
      <c r="R62" s="24">
        <f>SUMIFS('Saldos Iniciales'!$D:$D,'Saldos Iniciales'!$A:$A,"112 Florida Ave")+SUMIFS(Movimientos!$K$1:$K$1325,Movimientos!$C$1:$C$1325,"112 Florida Ave",Movimientos!$B$1:$B$1325,"&lt;="&amp;$B62)</f>
        <v>20321.43</v>
      </c>
      <c r="S62" s="24">
        <f>SUMIFS('Saldos Iniciales'!$D:$D,'Saldos Iniciales'!$A:$A,"3628 Thomas Ave")+SUMIFS(Movimientos!$K$1:$K$1325,Movimientos!$C$1:$C$1325,"3628 Thomas Ave",Movimientos!$B$1:$B$1325,"&lt;="&amp;$B62)</f>
        <v>28458.6</v>
      </c>
      <c r="T62" s="24">
        <f>SUMIFS('Saldos Iniciales'!$D:$D,'Saldos Iniciales'!$A:$A,"Green Harbor Trust")+SUMIFS(Movimientos!$K$1:$K$1325,Movimientos!$C$1:$C$1325,"Green Harbor Trust",Movimientos!$B$1:$B$1325,"&lt;="&amp;$B62)</f>
        <v>345</v>
      </c>
      <c r="U62" s="24">
        <f>SUMIFS('Saldos Iniciales'!$D:$D,'Saldos Iniciales'!$A:$A,"Go Blue")+SUMIFS(Movimientos!$K$1:$K$1325,Movimientos!$C$1:$C$1325,"Go Blue",Movimientos!$B$1:$B$1325,"&lt;="&amp;$B62)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LLC",Movimientos!$B$1:$B$1325,"&lt;="&amp;$B62))</f>
        <v>0</v>
      </c>
      <c r="W62" s="24">
        <f>IF(YEAR($B62)*100+MONTH($B62)&lt;--SUBSTITUTE(_xlfn.XLOOKUP("CFT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",Movimientos!$B$1:$B$1325,"&lt;="&amp;$B62))</f>
        <v>0</v>
      </c>
      <c r="AC62" s="24" t="e">
        <f>IF(YEAR($B62)*100+MONTH($B62)&lt;--SUBSTITUTE(_xlfn.XLOOKUP("SYIP",'Saldos Iniciales'!$A:$A,'Saldos Iniciales'!$C:$C),"-",""),0,SUMIFS('Saldos Iniciales'!$D:$D,'Saldos Iniciales'!$A:$A,"SYIP")+SUMIFS(Movimientos!$K$1:$K$1325,Movimientos!$C$1:$C$1325,"SYIP",Movimientos!$B$1:$B$1325,"&lt;="&amp;$B62))</f>
        <v>#N/A</v>
      </c>
      <c r="AD62" s="24">
        <f>IF(YEAR($B62)*100+MONTH($B62)&lt;--SUBSTITUTE(_xlfn.XLOOKUP("Nobe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Aparments",Movimientos!$B$1:$B$1325,"&lt;="&amp;$B62))</f>
        <v>0</v>
      </c>
      <c r="AE62" s="25" t="e">
        <f t="shared" si="1"/>
        <v>#N/A</v>
      </c>
    </row>
    <row r="63" spans="1:31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Group")+SUMIFS(Movimientos!$K$1:$K$1325,Movimientos!$C$1:$C$1325,"CFT Group",Movimientos!$B$1:$B$1325,"&lt;="&amp;$B63)</f>
        <v>6295585.7500000009</v>
      </c>
      <c r="D63" s="24">
        <f>SUMIFS('Saldos Iniciales'!$D:$D,'Saldos Iniciales'!$A:$A,"M1B")+SUMIFS(Movimientos!$K$1:$K$1325,Movimientos!$C$1:$C$1325,"M1B",Movimientos!$B$1:$B$1325,"&lt;="&amp;$B63)</f>
        <v>79139.680000000168</v>
      </c>
      <c r="E63" s="24">
        <f>SUMIFS('Saldos Iniciales'!$D:$D,'Saldos Iniciales'!$A:$A,"Durand")+SUMIFS(Movimientos!$K$1:$K$1325,Movimientos!$C$1:$C$1325,"Durand",Movimientos!$B$1:$B$1325,"&lt;="&amp;$B63)</f>
        <v>1669.89</v>
      </c>
      <c r="F63" s="24">
        <f>SUMIFS('Saldos Iniciales'!$D:$D,'Saldos Iniciales'!$A:$A,"A&amp;M Imports")+SUMIFS(Movimientos!$K$1:$K$1325,Movimientos!$C$1:$C$1325,"A&amp;M Imports",Movimientos!$B$1:$B$1325,"&lt;="&amp;$B63)</f>
        <v>507936.37999999989</v>
      </c>
      <c r="G63" s="24">
        <f>SUMIFS('Saldos Iniciales'!$D:$D,'Saldos Iniciales'!$A:$A,"SSP Capital")+SUMIFS(Movimientos!$K$1:$K$1325,Movimientos!$C$1:$C$1325,"SSP Capital",Movimientos!$B$1:$B$1325,"&lt;="&amp;$B63)</f>
        <v>1696284.7299999995</v>
      </c>
      <c r="H63" s="24">
        <f>SUMIFS('Saldos Iniciales'!$D:$D,'Saldos Iniciales'!$A:$A,"Cross Family Trust")+SUMIFS(Movimientos!$K$1:$K$1325,Movimientos!$C$1:$C$1325,"Cross Family Trust",Movimientos!$B$1:$B$1325,"&lt;="&amp;$B63)</f>
        <v>390496.38</v>
      </c>
      <c r="I63" s="24">
        <f>SUMIFS('Saldos Iniciales'!$D:$D,'Saldos Iniciales'!$A:$A,"Cross Security Trust")+SUMIFS(Movimientos!$K$1:$K$1325,Movimientos!$C$1:$C$1325,"Cross Security Trust",Movimientos!$B$1:$B$1325,"&lt;="&amp;$B63)</f>
        <v>88090.37</v>
      </c>
      <c r="J63" s="24">
        <f>SUMIFS('Saldos Iniciales'!$D:$D,'Saldos Iniciales'!$A:$A,"Electrama")+SUMIFS(Movimientos!$K$1:$K$1325,Movimientos!$C$1:$C$1325,"Electrama",Movimientos!$B$1:$B$1325,"&lt;="&amp;$B63)</f>
        <v>511.15999999999985</v>
      </c>
      <c r="K63" s="24">
        <f>SUMIFS('Saldos Iniciales'!$D:$D,'Saldos Iniciales'!$A:$A,"Sacred Valley Capital")+SUMIFS(Movimientos!$K$1:$K$1325,Movimientos!$C$1:$C$1325,"Sacred Valley Capital",Movimientos!$B$1:$B$1325,"&lt;="&amp;$B63)</f>
        <v>54.400000000000006</v>
      </c>
      <c r="L63" s="24">
        <f>SUMIFS('Saldos Iniciales'!$D:$D,'Saldos Iniciales'!$A:$A,"YWC Capital")+SUMIFS(Movimientos!$K$1:$K$1325,Movimientos!$C$1:$C$1325,"YWC Capital",Movimientos!$B$1:$B$1325,"&lt;="&amp;$B63)</f>
        <v>2207.8200000000002</v>
      </c>
      <c r="M63" s="24">
        <f>SUMIFS('Saldos Iniciales'!$D:$D,'Saldos Iniciales'!$A:$A,"Soweto")+SUMIFS(Movimientos!$K$1:$K$1325,Movimientos!$C$1:$C$1325,"Soweto",Movimientos!$B$1:$B$1325,"&lt;="&amp;$B63)</f>
        <v>3349.94</v>
      </c>
      <c r="N63" s="24">
        <f>SUMIFS('Saldos Iniciales'!$D:$D,'Saldos Iniciales'!$A:$A,"Green Stone Trust")+SUMIFS(Movimientos!$K$1:$K$1325,Movimientos!$C$1:$C$1325,"Green Stone Trust",Movimientos!$B$1:$B$1325,"&lt;="&amp;$B63)</f>
        <v>1968.99</v>
      </c>
      <c r="O63" s="24">
        <f>SUMIFS('Saldos Iniciales'!$D:$D,'Saldos Iniciales'!$A:$A,"EC Auto")+SUMIFS(Movimientos!$K$1:$K$1325,Movimientos!$C$1:$C$1325,"EC Auto",Movimientos!$B$1:$B$1325,"&lt;="&amp;$B63)</f>
        <v>382.69000000000005</v>
      </c>
      <c r="P63" s="24">
        <f>SUMIFS('Saldos Iniciales'!$D:$D,'Saldos Iniciales'!$A:$A,"Arbor Capital Properties")+SUMIFS(Movimientos!$K$1:$K$1325,Movimientos!$C$1:$C$1325,"Arbor Capital Properties",Movimientos!$B$1:$B$1325,"&lt;="&amp;$B63)</f>
        <v>1412.08</v>
      </c>
      <c r="Q63" s="24">
        <f>SUMIFS('Saldos Iniciales'!$D:$D,'Saldos Iniciales'!$A:$A,"2515 Overbrook")+SUMIFS(Movimientos!$K$1:$K$1325,Movimientos!$C$1:$C$1325,"2515 Overbrook",Movimientos!$B$1:$B$1325,"&lt;="&amp;$B63)</f>
        <v>22496.639999999959</v>
      </c>
      <c r="R63" s="24">
        <f>SUMIFS('Saldos Iniciales'!$D:$D,'Saldos Iniciales'!$A:$A,"112 Florida Ave")+SUMIFS(Movimientos!$K$1:$K$1325,Movimientos!$C$1:$C$1325,"112 Florida Ave",Movimientos!$B$1:$B$1325,"&lt;="&amp;$B63)</f>
        <v>10522.800000000003</v>
      </c>
      <c r="S63" s="24">
        <f>SUMIFS('Saldos Iniciales'!$D:$D,'Saldos Iniciales'!$A:$A,"3628 Thomas Ave")+SUMIFS(Movimientos!$K$1:$K$1325,Movimientos!$C$1:$C$1325,"3628 Thomas Ave",Movimientos!$B$1:$B$1325,"&lt;="&amp;$B63)</f>
        <v>19685.559999999998</v>
      </c>
      <c r="T63" s="24">
        <f>SUMIFS('Saldos Iniciales'!$D:$D,'Saldos Iniciales'!$A:$A,"Green Harbor Trust")+SUMIFS(Movimientos!$K$1:$K$1325,Movimientos!$C$1:$C$1325,"Green Harbor Trust",Movimientos!$B$1:$B$1325,"&lt;="&amp;$B63)</f>
        <v>345</v>
      </c>
      <c r="U63" s="24">
        <f>SUMIFS('Saldos Iniciales'!$D:$D,'Saldos Iniciales'!$A:$A,"Go Blue")+SUMIFS(Movimientos!$K$1:$K$1325,Movimientos!$C$1:$C$1325,"Go Blue",Movimientos!$B$1:$B$1325,"&lt;="&amp;$B63)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LLC",Movimientos!$B$1:$B$1325,"&lt;="&amp;$B63))</f>
        <v>0</v>
      </c>
      <c r="W63" s="24">
        <f>IF(YEAR($B63)*100+MONTH($B63)&lt;--SUBSTITUTE(_xlfn.XLOOKUP("CFT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",Movimientos!$B$1:$B$1325,"&lt;="&amp;$B63))</f>
        <v>0</v>
      </c>
      <c r="AC63" s="24" t="e">
        <f>IF(YEAR($B63)*100+MONTH($B63)&lt;--SUBSTITUTE(_xlfn.XLOOKUP("SYIP",'Saldos Iniciales'!$A:$A,'Saldos Iniciales'!$C:$C),"-",""),0,SUMIFS('Saldos Iniciales'!$D:$D,'Saldos Iniciales'!$A:$A,"SYIP")+SUMIFS(Movimientos!$K$1:$K$1325,Movimientos!$C$1:$C$1325,"SYIP",Movimientos!$B$1:$B$1325,"&lt;="&amp;$B63))</f>
        <v>#N/A</v>
      </c>
      <c r="AD63" s="24">
        <f>IF(YEAR($B63)*100+MONTH($B63)&lt;--SUBSTITUTE(_xlfn.XLOOKUP("Nobe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Aparments",Movimientos!$B$1:$B$1325,"&lt;="&amp;$B63))</f>
        <v>0</v>
      </c>
      <c r="AE63" s="25" t="e">
        <f t="shared" si="1"/>
        <v>#N/A</v>
      </c>
    </row>
    <row r="64" spans="1:31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Group")+SUMIFS(Movimientos!$K$1:$K$1325,Movimientos!$C$1:$C$1325,"CFT Group",Movimientos!$B$1:$B$1325,"&lt;="&amp;$B64)</f>
        <v>5592585.7500000009</v>
      </c>
      <c r="D64" s="24">
        <f>SUMIFS('Saldos Iniciales'!$D:$D,'Saldos Iniciales'!$A:$A,"M1B")+SUMIFS(Movimientos!$K$1:$K$1325,Movimientos!$C$1:$C$1325,"M1B",Movimientos!$B$1:$B$1325,"&lt;="&amp;$B64)</f>
        <v>79139.680000000168</v>
      </c>
      <c r="E64" s="24">
        <f>SUMIFS('Saldos Iniciales'!$D:$D,'Saldos Iniciales'!$A:$A,"Durand")+SUMIFS(Movimientos!$K$1:$K$1325,Movimientos!$C$1:$C$1325,"Durand",Movimientos!$B$1:$B$1325,"&lt;="&amp;$B64)</f>
        <v>1669.89</v>
      </c>
      <c r="F64" s="24">
        <f>SUMIFS('Saldos Iniciales'!$D:$D,'Saldos Iniciales'!$A:$A,"A&amp;M Imports")+SUMIFS(Movimientos!$K$1:$K$1325,Movimientos!$C$1:$C$1325,"A&amp;M Imports",Movimientos!$B$1:$B$1325,"&lt;="&amp;$B64)</f>
        <v>350475.62999999989</v>
      </c>
      <c r="G64" s="24">
        <f>SUMIFS('Saldos Iniciales'!$D:$D,'Saldos Iniciales'!$A:$A,"SSP Capital")+SUMIFS(Movimientos!$K$1:$K$1325,Movimientos!$C$1:$C$1325,"SSP Capital",Movimientos!$B$1:$B$1325,"&lt;="&amp;$B64)</f>
        <v>1761564.8799999994</v>
      </c>
      <c r="H64" s="24">
        <f>SUMIFS('Saldos Iniciales'!$D:$D,'Saldos Iniciales'!$A:$A,"Cross Family Trust")+SUMIFS(Movimientos!$K$1:$K$1325,Movimientos!$C$1:$C$1325,"Cross Family Trust",Movimientos!$B$1:$B$1325,"&lt;="&amp;$B64)</f>
        <v>220496.38</v>
      </c>
      <c r="I64" s="24">
        <f>SUMIFS('Saldos Iniciales'!$D:$D,'Saldos Iniciales'!$A:$A,"Cross Security Trust")+SUMIFS(Movimientos!$K$1:$K$1325,Movimientos!$C$1:$C$1325,"Cross Security Trust",Movimientos!$B$1:$B$1325,"&lt;="&amp;$B64)</f>
        <v>88090.37</v>
      </c>
      <c r="J64" s="24">
        <f>SUMIFS('Saldos Iniciales'!$D:$D,'Saldos Iniciales'!$A:$A,"Electrama")+SUMIFS(Movimientos!$K$1:$K$1325,Movimientos!$C$1:$C$1325,"Electrama",Movimientos!$B$1:$B$1325,"&lt;="&amp;$B64)</f>
        <v>511.15999999999985</v>
      </c>
      <c r="K64" s="24">
        <f>SUMIFS('Saldos Iniciales'!$D:$D,'Saldos Iniciales'!$A:$A,"Sacred Valley Capital")+SUMIFS(Movimientos!$K$1:$K$1325,Movimientos!$C$1:$C$1325,"Sacred Valley Capital",Movimientos!$B$1:$B$1325,"&lt;="&amp;$B64)</f>
        <v>54.400000000000006</v>
      </c>
      <c r="L64" s="24">
        <f>SUMIFS('Saldos Iniciales'!$D:$D,'Saldos Iniciales'!$A:$A,"YWC Capital")+SUMIFS(Movimientos!$K$1:$K$1325,Movimientos!$C$1:$C$1325,"YWC Capital",Movimientos!$B$1:$B$1325,"&lt;="&amp;$B64)</f>
        <v>2207.8200000000002</v>
      </c>
      <c r="M64" s="24">
        <f>SUMIFS('Saldos Iniciales'!$D:$D,'Saldos Iniciales'!$A:$A,"Soweto")+SUMIFS(Movimientos!$K$1:$K$1325,Movimientos!$C$1:$C$1325,"Soweto",Movimientos!$B$1:$B$1325,"&lt;="&amp;$B64)</f>
        <v>3349.94</v>
      </c>
      <c r="N64" s="24">
        <f>SUMIFS('Saldos Iniciales'!$D:$D,'Saldos Iniciales'!$A:$A,"Green Stone Trust")+SUMIFS(Movimientos!$K$1:$K$1325,Movimientos!$C$1:$C$1325,"Green Stone Trust",Movimientos!$B$1:$B$1325,"&lt;="&amp;$B64)</f>
        <v>1968.99</v>
      </c>
      <c r="O64" s="24">
        <f>SUMIFS('Saldos Iniciales'!$D:$D,'Saldos Iniciales'!$A:$A,"EC Auto")+SUMIFS(Movimientos!$K$1:$K$1325,Movimientos!$C$1:$C$1325,"EC Auto",Movimientos!$B$1:$B$1325,"&lt;="&amp;$B64)</f>
        <v>382.69000000000005</v>
      </c>
      <c r="P64" s="24">
        <f>SUMIFS('Saldos Iniciales'!$D:$D,'Saldos Iniciales'!$A:$A,"Arbor Capital Properties")+SUMIFS(Movimientos!$K$1:$K$1325,Movimientos!$C$1:$C$1325,"Arbor Capital Properties",Movimientos!$B$1:$B$1325,"&lt;="&amp;$B64)</f>
        <v>1412.08</v>
      </c>
      <c r="Q64" s="24">
        <f>SUMIFS('Saldos Iniciales'!$D:$D,'Saldos Iniciales'!$A:$A,"2515 Overbrook")+SUMIFS(Movimientos!$K$1:$K$1325,Movimientos!$C$1:$C$1325,"2515 Overbrook",Movimientos!$B$1:$B$1325,"&lt;="&amp;$B64)</f>
        <v>22496.639999999959</v>
      </c>
      <c r="R64" s="24">
        <f>SUMIFS('Saldos Iniciales'!$D:$D,'Saldos Iniciales'!$A:$A,"112 Florida Ave")+SUMIFS(Movimientos!$K$1:$K$1325,Movimientos!$C$1:$C$1325,"112 Florida Ave",Movimientos!$B$1:$B$1325,"&lt;="&amp;$B64)</f>
        <v>10522.800000000003</v>
      </c>
      <c r="S64" s="24">
        <f>SUMIFS('Saldos Iniciales'!$D:$D,'Saldos Iniciales'!$A:$A,"3628 Thomas Ave")+SUMIFS(Movimientos!$K$1:$K$1325,Movimientos!$C$1:$C$1325,"3628 Thomas Ave",Movimientos!$B$1:$B$1325,"&lt;="&amp;$B64)</f>
        <v>28485.559999999998</v>
      </c>
      <c r="T64" s="24">
        <f>SUMIFS('Saldos Iniciales'!$D:$D,'Saldos Iniciales'!$A:$A,"Green Harbor Trust")+SUMIFS(Movimientos!$K$1:$K$1325,Movimientos!$C$1:$C$1325,"Green Harbor Trust",Movimientos!$B$1:$B$1325,"&lt;="&amp;$B64)</f>
        <v>345</v>
      </c>
      <c r="U64" s="24">
        <f>SUMIFS('Saldos Iniciales'!$D:$D,'Saldos Iniciales'!$A:$A,"Go Blue")+SUMIFS(Movimientos!$K$1:$K$1325,Movimientos!$C$1:$C$1325,"Go Blue",Movimientos!$B$1:$B$1325,"&lt;="&amp;$B64)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LLC",Movimientos!$B$1:$B$1325,"&lt;="&amp;$B64))</f>
        <v>0</v>
      </c>
      <c r="W64" s="24">
        <f>IF(YEAR($B64)*100+MONTH($B64)&lt;--SUBSTITUTE(_xlfn.XLOOKUP("CFT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",Movimientos!$B$1:$B$1325,"&lt;="&amp;$B64))</f>
        <v>0</v>
      </c>
      <c r="AC64" s="24" t="e">
        <f>IF(YEAR($B64)*100+MONTH($B64)&lt;--SUBSTITUTE(_xlfn.XLOOKUP("SYIP",'Saldos Iniciales'!$A:$A,'Saldos Iniciales'!$C:$C),"-",""),0,SUMIFS('Saldos Iniciales'!$D:$D,'Saldos Iniciales'!$A:$A,"SYIP")+SUMIFS(Movimientos!$K$1:$K$1325,Movimientos!$C$1:$C$1325,"SYIP",Movimientos!$B$1:$B$1325,"&lt;="&amp;$B64))</f>
        <v>#N/A</v>
      </c>
      <c r="AD64" s="24">
        <f>IF(YEAR($B64)*100+MONTH($B64)&lt;--SUBSTITUTE(_xlfn.XLOOKUP("Nobe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Aparments",Movimientos!$B$1:$B$1325,"&lt;="&amp;$B64))</f>
        <v>0</v>
      </c>
      <c r="AE64" s="25" t="e">
        <f t="shared" si="1"/>
        <v>#N/A</v>
      </c>
    </row>
    <row r="65" spans="1:31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Group")+SUMIFS(Movimientos!$K$1:$K$1325,Movimientos!$C$1:$C$1325,"CFT Group",Movimientos!$B$1:$B$1325,"&lt;="&amp;$B65)</f>
        <v>5592585.7500000009</v>
      </c>
      <c r="D65" s="24">
        <f>SUMIFS('Saldos Iniciales'!$D:$D,'Saldos Iniciales'!$A:$A,"M1B")+SUMIFS(Movimientos!$K$1:$K$1325,Movimientos!$C$1:$C$1325,"M1B",Movimientos!$B$1:$B$1325,"&lt;="&amp;$B65)</f>
        <v>79139.680000000168</v>
      </c>
      <c r="E65" s="24">
        <f>SUMIFS('Saldos Iniciales'!$D:$D,'Saldos Iniciales'!$A:$A,"Durand")+SUMIFS(Movimientos!$K$1:$K$1325,Movimientos!$C$1:$C$1325,"Durand",Movimientos!$B$1:$B$1325,"&lt;="&amp;$B65)</f>
        <v>1669.89</v>
      </c>
      <c r="F65" s="24">
        <f>SUMIFS('Saldos Iniciales'!$D:$D,'Saldos Iniciales'!$A:$A,"A&amp;M Imports")+SUMIFS(Movimientos!$K$1:$K$1325,Movimientos!$C$1:$C$1325,"A&amp;M Imports",Movimientos!$B$1:$B$1325,"&lt;="&amp;$B65)</f>
        <v>350475.62999999989</v>
      </c>
      <c r="G65" s="24">
        <f>SUMIFS('Saldos Iniciales'!$D:$D,'Saldos Iniciales'!$A:$A,"SSP Capital")+SUMIFS(Movimientos!$K$1:$K$1325,Movimientos!$C$1:$C$1325,"SSP Capital",Movimientos!$B$1:$B$1325,"&lt;="&amp;$B65)</f>
        <v>1761564.8799999994</v>
      </c>
      <c r="H65" s="24">
        <f>SUMIFS('Saldos Iniciales'!$D:$D,'Saldos Iniciales'!$A:$A,"Cross Family Trust")+SUMIFS(Movimientos!$K$1:$K$1325,Movimientos!$C$1:$C$1325,"Cross Family Trust",Movimientos!$B$1:$B$1325,"&lt;="&amp;$B65)</f>
        <v>220496.38</v>
      </c>
      <c r="I65" s="24">
        <f>SUMIFS('Saldos Iniciales'!$D:$D,'Saldos Iniciales'!$A:$A,"Cross Security Trust")+SUMIFS(Movimientos!$K$1:$K$1325,Movimientos!$C$1:$C$1325,"Cross Security Trust",Movimientos!$B$1:$B$1325,"&lt;="&amp;$B65)</f>
        <v>88090.37</v>
      </c>
      <c r="J65" s="24">
        <f>SUMIFS('Saldos Iniciales'!$D:$D,'Saldos Iniciales'!$A:$A,"Electrama")+SUMIFS(Movimientos!$K$1:$K$1325,Movimientos!$C$1:$C$1325,"Electrama",Movimientos!$B$1:$B$1325,"&lt;="&amp;$B65)</f>
        <v>471.15999999999985</v>
      </c>
      <c r="K65" s="24">
        <f>SUMIFS('Saldos Iniciales'!$D:$D,'Saldos Iniciales'!$A:$A,"Sacred Valley Capital")+SUMIFS(Movimientos!$K$1:$K$1325,Movimientos!$C$1:$C$1325,"Sacred Valley Capital",Movimientos!$B$1:$B$1325,"&lt;="&amp;$B65)</f>
        <v>54.400000000000006</v>
      </c>
      <c r="L65" s="24">
        <f>SUMIFS('Saldos Iniciales'!$D:$D,'Saldos Iniciales'!$A:$A,"YWC Capital")+SUMIFS(Movimientos!$K$1:$K$1325,Movimientos!$C$1:$C$1325,"YWC Capital",Movimientos!$B$1:$B$1325,"&lt;="&amp;$B65)</f>
        <v>2207.8200000000002</v>
      </c>
      <c r="M65" s="24">
        <f>SUMIFS('Saldos Iniciales'!$D:$D,'Saldos Iniciales'!$A:$A,"Soweto")+SUMIFS(Movimientos!$K$1:$K$1325,Movimientos!$C$1:$C$1325,"Soweto",Movimientos!$B$1:$B$1325,"&lt;="&amp;$B65)</f>
        <v>3349.94</v>
      </c>
      <c r="N65" s="24">
        <f>SUMIFS('Saldos Iniciales'!$D:$D,'Saldos Iniciales'!$A:$A,"Green Stone Trust")+SUMIFS(Movimientos!$K$1:$K$1325,Movimientos!$C$1:$C$1325,"Green Stone Trust",Movimientos!$B$1:$B$1325,"&lt;="&amp;$B65)</f>
        <v>1968.99</v>
      </c>
      <c r="O65" s="24">
        <f>SUMIFS('Saldos Iniciales'!$D:$D,'Saldos Iniciales'!$A:$A,"EC Auto")+SUMIFS(Movimientos!$K$1:$K$1325,Movimientos!$C$1:$C$1325,"EC Auto",Movimientos!$B$1:$B$1325,"&lt;="&amp;$B65)</f>
        <v>382.69000000000005</v>
      </c>
      <c r="P65" s="24">
        <f>SUMIFS('Saldos Iniciales'!$D:$D,'Saldos Iniciales'!$A:$A,"Arbor Capital Properties")+SUMIFS(Movimientos!$K$1:$K$1325,Movimientos!$C$1:$C$1325,"Arbor Capital Properties",Movimientos!$B$1:$B$1325,"&lt;="&amp;$B65)</f>
        <v>1412.08</v>
      </c>
      <c r="Q65" s="24">
        <f>SUMIFS('Saldos Iniciales'!$D:$D,'Saldos Iniciales'!$A:$A,"2515 Overbrook")+SUMIFS(Movimientos!$K$1:$K$1325,Movimientos!$C$1:$C$1325,"2515 Overbrook",Movimientos!$B$1:$B$1325,"&lt;="&amp;$B65)</f>
        <v>22496.639999999959</v>
      </c>
      <c r="R65" s="24">
        <f>SUMIFS('Saldos Iniciales'!$D:$D,'Saldos Iniciales'!$A:$A,"112 Florida Ave")+SUMIFS(Movimientos!$K$1:$K$1325,Movimientos!$C$1:$C$1325,"112 Florida Ave",Movimientos!$B$1:$B$1325,"&lt;="&amp;$B65)</f>
        <v>10522.800000000003</v>
      </c>
      <c r="S65" s="24">
        <f>SUMIFS('Saldos Iniciales'!$D:$D,'Saldos Iniciales'!$A:$A,"3628 Thomas Ave")+SUMIFS(Movimientos!$K$1:$K$1325,Movimientos!$C$1:$C$1325,"3628 Thomas Ave",Movimientos!$B$1:$B$1325,"&lt;="&amp;$B65)</f>
        <v>28485.559999999998</v>
      </c>
      <c r="T65" s="24">
        <f>SUMIFS('Saldos Iniciales'!$D:$D,'Saldos Iniciales'!$A:$A,"Green Harbor Trust")+SUMIFS(Movimientos!$K$1:$K$1325,Movimientos!$C$1:$C$1325,"Green Harbor Trust",Movimientos!$B$1:$B$1325,"&lt;="&amp;$B65)</f>
        <v>345</v>
      </c>
      <c r="U65" s="24">
        <f>SUMIFS('Saldos Iniciales'!$D:$D,'Saldos Iniciales'!$A:$A,"Go Blue")+SUMIFS(Movimientos!$K$1:$K$1325,Movimientos!$C$1:$C$1325,"Go Blue",Movimientos!$B$1:$B$1325,"&lt;="&amp;$B65)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LLC",Movimientos!$B$1:$B$1325,"&lt;="&amp;$B65))</f>
        <v>0</v>
      </c>
      <c r="W65" s="24">
        <f>IF(YEAR($B65)*100+MONTH($B65)&lt;--SUBSTITUTE(_xlfn.XLOOKUP("CFT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",Movimientos!$B$1:$B$1325,"&lt;="&amp;$B65))</f>
        <v>0</v>
      </c>
      <c r="AC65" s="24" t="e">
        <f>IF(YEAR($B65)*100+MONTH($B65)&lt;--SUBSTITUTE(_xlfn.XLOOKUP("SYIP",'Saldos Iniciales'!$A:$A,'Saldos Iniciales'!$C:$C),"-",""),0,SUMIFS('Saldos Iniciales'!$D:$D,'Saldos Iniciales'!$A:$A,"SYIP")+SUMIFS(Movimientos!$K$1:$K$1325,Movimientos!$C$1:$C$1325,"SYIP",Movimientos!$B$1:$B$1325,"&lt;="&amp;$B65))</f>
        <v>#N/A</v>
      </c>
      <c r="AD65" s="24">
        <f>IF(YEAR($B65)*100+MONTH($B65)&lt;--SUBSTITUTE(_xlfn.XLOOKUP("Nobe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Aparments",Movimientos!$B$1:$B$1325,"&lt;="&amp;$B65))</f>
        <v>0</v>
      </c>
      <c r="AE65" s="25" t="e">
        <f t="shared" ref="AE65:AE96" si="3">SUM(C65:AD65)</f>
        <v>#N/A</v>
      </c>
    </row>
    <row r="66" spans="1:31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Group")+SUMIFS(Movimientos!$K$1:$K$1325,Movimientos!$C$1:$C$1325,"CFT Group",Movimientos!$B$1:$B$1325,"&lt;="&amp;$B66)</f>
        <v>5592585.7500000009</v>
      </c>
      <c r="D66" s="24">
        <f>SUMIFS('Saldos Iniciales'!$D:$D,'Saldos Iniciales'!$A:$A,"M1B")+SUMIFS(Movimientos!$K$1:$K$1325,Movimientos!$C$1:$C$1325,"M1B",Movimientos!$B$1:$B$1325,"&lt;="&amp;$B66)</f>
        <v>79139.680000000168</v>
      </c>
      <c r="E66" s="24">
        <f>SUMIFS('Saldos Iniciales'!$D:$D,'Saldos Iniciales'!$A:$A,"Durand")+SUMIFS(Movimientos!$K$1:$K$1325,Movimientos!$C$1:$C$1325,"Durand",Movimientos!$B$1:$B$1325,"&lt;="&amp;$B66)</f>
        <v>1669.89</v>
      </c>
      <c r="F66" s="24">
        <f>SUMIFS('Saldos Iniciales'!$D:$D,'Saldos Iniciales'!$A:$A,"A&amp;M Imports")+SUMIFS(Movimientos!$K$1:$K$1325,Movimientos!$C$1:$C$1325,"A&amp;M Imports",Movimientos!$B$1:$B$1325,"&lt;="&amp;$B66)</f>
        <v>350475.62999999989</v>
      </c>
      <c r="G66" s="24">
        <f>SUMIFS('Saldos Iniciales'!$D:$D,'Saldos Iniciales'!$A:$A,"SSP Capital")+SUMIFS(Movimientos!$K$1:$K$1325,Movimientos!$C$1:$C$1325,"SSP Capital",Movimientos!$B$1:$B$1325,"&lt;="&amp;$B66)</f>
        <v>1761564.8799999994</v>
      </c>
      <c r="H66" s="24">
        <f>SUMIFS('Saldos Iniciales'!$D:$D,'Saldos Iniciales'!$A:$A,"Cross Family Trust")+SUMIFS(Movimientos!$K$1:$K$1325,Movimientos!$C$1:$C$1325,"Cross Family Trust",Movimientos!$B$1:$B$1325,"&lt;="&amp;$B66)</f>
        <v>220496.38</v>
      </c>
      <c r="I66" s="24">
        <f>SUMIFS('Saldos Iniciales'!$D:$D,'Saldos Iniciales'!$A:$A,"Cross Security Trust")+SUMIFS(Movimientos!$K$1:$K$1325,Movimientos!$C$1:$C$1325,"Cross Security Trust",Movimientos!$B$1:$B$1325,"&lt;="&amp;$B66)</f>
        <v>88090.37</v>
      </c>
      <c r="J66" s="24">
        <f>SUMIFS('Saldos Iniciales'!$D:$D,'Saldos Iniciales'!$A:$A,"Electrama")+SUMIFS(Movimientos!$K$1:$K$1325,Movimientos!$C$1:$C$1325,"Electrama",Movimientos!$B$1:$B$1325,"&lt;="&amp;$B66)</f>
        <v>471.15999999999985</v>
      </c>
      <c r="K66" s="24">
        <f>SUMIFS('Saldos Iniciales'!$D:$D,'Saldos Iniciales'!$A:$A,"Sacred Valley Capital")+SUMIFS(Movimientos!$K$1:$K$1325,Movimientos!$C$1:$C$1325,"Sacred Valley Capital",Movimientos!$B$1:$B$1325,"&lt;="&amp;$B66)</f>
        <v>54.400000000000006</v>
      </c>
      <c r="L66" s="24">
        <f>SUMIFS('Saldos Iniciales'!$D:$D,'Saldos Iniciales'!$A:$A,"YWC Capital")+SUMIFS(Movimientos!$K$1:$K$1325,Movimientos!$C$1:$C$1325,"YWC Capital",Movimientos!$B$1:$B$1325,"&lt;="&amp;$B66)</f>
        <v>2207.8200000000002</v>
      </c>
      <c r="M66" s="24">
        <f>SUMIFS('Saldos Iniciales'!$D:$D,'Saldos Iniciales'!$A:$A,"Soweto")+SUMIFS(Movimientos!$K$1:$K$1325,Movimientos!$C$1:$C$1325,"Soweto",Movimientos!$B$1:$B$1325,"&lt;="&amp;$B66)</f>
        <v>3349.94</v>
      </c>
      <c r="N66" s="24">
        <f>SUMIFS('Saldos Iniciales'!$D:$D,'Saldos Iniciales'!$A:$A,"Green Stone Trust")+SUMIFS(Movimientos!$K$1:$K$1325,Movimientos!$C$1:$C$1325,"Green Stone Trust",Movimientos!$B$1:$B$1325,"&lt;="&amp;$B66)</f>
        <v>1968.99</v>
      </c>
      <c r="O66" s="24">
        <f>SUMIFS('Saldos Iniciales'!$D:$D,'Saldos Iniciales'!$A:$A,"EC Auto")+SUMIFS(Movimientos!$K$1:$K$1325,Movimientos!$C$1:$C$1325,"EC Auto",Movimientos!$B$1:$B$1325,"&lt;="&amp;$B66)</f>
        <v>382.69000000000005</v>
      </c>
      <c r="P66" s="24">
        <f>SUMIFS('Saldos Iniciales'!$D:$D,'Saldos Iniciales'!$A:$A,"Arbor Capital Properties")+SUMIFS(Movimientos!$K$1:$K$1325,Movimientos!$C$1:$C$1325,"Arbor Capital Properties",Movimientos!$B$1:$B$1325,"&lt;="&amp;$B66)</f>
        <v>1412.08</v>
      </c>
      <c r="Q66" s="24">
        <f>SUMIFS('Saldos Iniciales'!$D:$D,'Saldos Iniciales'!$A:$A,"2515 Overbrook")+SUMIFS(Movimientos!$K$1:$K$1325,Movimientos!$C$1:$C$1325,"2515 Overbrook",Movimientos!$B$1:$B$1325,"&lt;="&amp;$B66)</f>
        <v>22496.639999999959</v>
      </c>
      <c r="R66" s="24">
        <f>SUMIFS('Saldos Iniciales'!$D:$D,'Saldos Iniciales'!$A:$A,"112 Florida Ave")+SUMIFS(Movimientos!$K$1:$K$1325,Movimientos!$C$1:$C$1325,"112 Florida Ave",Movimientos!$B$1:$B$1325,"&lt;="&amp;$B66)</f>
        <v>10522.800000000003</v>
      </c>
      <c r="S66" s="24">
        <f>SUMIFS('Saldos Iniciales'!$D:$D,'Saldos Iniciales'!$A:$A,"3628 Thomas Ave")+SUMIFS(Movimientos!$K$1:$K$1325,Movimientos!$C$1:$C$1325,"3628 Thomas Ave",Movimientos!$B$1:$B$1325,"&lt;="&amp;$B66)</f>
        <v>28485.559999999998</v>
      </c>
      <c r="T66" s="24">
        <f>SUMIFS('Saldos Iniciales'!$D:$D,'Saldos Iniciales'!$A:$A,"Green Harbor Trust")+SUMIFS(Movimientos!$K$1:$K$1325,Movimientos!$C$1:$C$1325,"Green Harbor Trust",Movimientos!$B$1:$B$1325,"&lt;="&amp;$B66)</f>
        <v>345</v>
      </c>
      <c r="U66" s="24">
        <f>SUMIFS('Saldos Iniciales'!$D:$D,'Saldos Iniciales'!$A:$A,"Go Blue")+SUMIFS(Movimientos!$K$1:$K$1325,Movimientos!$C$1:$C$1325,"Go Blue",Movimientos!$B$1:$B$1325,"&lt;="&amp;$B66)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LLC",Movimientos!$B$1:$B$1325,"&lt;="&amp;$B66))</f>
        <v>0</v>
      </c>
      <c r="W66" s="24">
        <f>IF(YEAR($B66)*100+MONTH($B66)&lt;--SUBSTITUTE(_xlfn.XLOOKUP("CFT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",Movimientos!$B$1:$B$1325,"&lt;="&amp;$B66))</f>
        <v>0</v>
      </c>
      <c r="AC66" s="24" t="e">
        <f>IF(YEAR($B66)*100+MONTH($B66)&lt;--SUBSTITUTE(_xlfn.XLOOKUP("SYIP",'Saldos Iniciales'!$A:$A,'Saldos Iniciales'!$C:$C),"-",""),0,SUMIFS('Saldos Iniciales'!$D:$D,'Saldos Iniciales'!$A:$A,"SYIP")+SUMIFS(Movimientos!$K$1:$K$1325,Movimientos!$C$1:$C$1325,"SYIP",Movimientos!$B$1:$B$1325,"&lt;="&amp;$B66))</f>
        <v>#N/A</v>
      </c>
      <c r="AD66" s="24">
        <f>IF(YEAR($B66)*100+MONTH($B66)&lt;--SUBSTITUTE(_xlfn.XLOOKUP("Nobe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Aparments",Movimientos!$B$1:$B$1325,"&lt;="&amp;$B66))</f>
        <v>0</v>
      </c>
      <c r="AE66" s="25" t="e">
        <f t="shared" si="3"/>
        <v>#N/A</v>
      </c>
    </row>
    <row r="67" spans="1:31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Group")+SUMIFS(Movimientos!$K$1:$K$1325,Movimientos!$C$1:$C$1325,"CFT Group",Movimientos!$B$1:$B$1325,"&lt;="&amp;$B67)</f>
        <v>5592585.7500000009</v>
      </c>
      <c r="D67" s="24">
        <f>SUMIFS('Saldos Iniciales'!$D:$D,'Saldos Iniciales'!$A:$A,"M1B")+SUMIFS(Movimientos!$K$1:$K$1325,Movimientos!$C$1:$C$1325,"M1B",Movimientos!$B$1:$B$1325,"&lt;="&amp;$B67)</f>
        <v>79139.680000000168</v>
      </c>
      <c r="E67" s="24">
        <f>SUMIFS('Saldos Iniciales'!$D:$D,'Saldos Iniciales'!$A:$A,"Durand")+SUMIFS(Movimientos!$K$1:$K$1325,Movimientos!$C$1:$C$1325,"Durand",Movimientos!$B$1:$B$1325,"&lt;="&amp;$B67)</f>
        <v>1669.89</v>
      </c>
      <c r="F67" s="24">
        <f>SUMIFS('Saldos Iniciales'!$D:$D,'Saldos Iniciales'!$A:$A,"A&amp;M Imports")+SUMIFS(Movimientos!$K$1:$K$1325,Movimientos!$C$1:$C$1325,"A&amp;M Imports",Movimientos!$B$1:$B$1325,"&lt;="&amp;$B67)</f>
        <v>350475.62999999989</v>
      </c>
      <c r="G67" s="24">
        <f>SUMIFS('Saldos Iniciales'!$D:$D,'Saldos Iniciales'!$A:$A,"SSP Capital")+SUMIFS(Movimientos!$K$1:$K$1325,Movimientos!$C$1:$C$1325,"SSP Capital",Movimientos!$B$1:$B$1325,"&lt;="&amp;$B67)</f>
        <v>1761564.8799999994</v>
      </c>
      <c r="H67" s="24">
        <f>SUMIFS('Saldos Iniciales'!$D:$D,'Saldos Iniciales'!$A:$A,"Cross Family Trust")+SUMIFS(Movimientos!$K$1:$K$1325,Movimientos!$C$1:$C$1325,"Cross Family Trust",Movimientos!$B$1:$B$1325,"&lt;="&amp;$B67)</f>
        <v>220496.38</v>
      </c>
      <c r="I67" s="24">
        <f>SUMIFS('Saldos Iniciales'!$D:$D,'Saldos Iniciales'!$A:$A,"Cross Security Trust")+SUMIFS(Movimientos!$K$1:$K$1325,Movimientos!$C$1:$C$1325,"Cross Security Trust",Movimientos!$B$1:$B$1325,"&lt;="&amp;$B67)</f>
        <v>88090.37</v>
      </c>
      <c r="J67" s="24">
        <f>SUMIFS('Saldos Iniciales'!$D:$D,'Saldos Iniciales'!$A:$A,"Electrama")+SUMIFS(Movimientos!$K$1:$K$1325,Movimientos!$C$1:$C$1325,"Electrama",Movimientos!$B$1:$B$1325,"&lt;="&amp;$B67)</f>
        <v>471.15999999999985</v>
      </c>
      <c r="K67" s="24">
        <f>SUMIFS('Saldos Iniciales'!$D:$D,'Saldos Iniciales'!$A:$A,"Sacred Valley Capital")+SUMIFS(Movimientos!$K$1:$K$1325,Movimientos!$C$1:$C$1325,"Sacred Valley Capital",Movimientos!$B$1:$B$1325,"&lt;="&amp;$B67)</f>
        <v>54.400000000000006</v>
      </c>
      <c r="L67" s="24">
        <f>SUMIFS('Saldos Iniciales'!$D:$D,'Saldos Iniciales'!$A:$A,"YWC Capital")+SUMIFS(Movimientos!$K$1:$K$1325,Movimientos!$C$1:$C$1325,"YWC Capital",Movimientos!$B$1:$B$1325,"&lt;="&amp;$B67)</f>
        <v>2207.8200000000002</v>
      </c>
      <c r="M67" s="24">
        <f>SUMIFS('Saldos Iniciales'!$D:$D,'Saldos Iniciales'!$A:$A,"Soweto")+SUMIFS(Movimientos!$K$1:$K$1325,Movimientos!$C$1:$C$1325,"Soweto",Movimientos!$B$1:$B$1325,"&lt;="&amp;$B67)</f>
        <v>3349.94</v>
      </c>
      <c r="N67" s="24">
        <f>SUMIFS('Saldos Iniciales'!$D:$D,'Saldos Iniciales'!$A:$A,"Green Stone Trust")+SUMIFS(Movimientos!$K$1:$K$1325,Movimientos!$C$1:$C$1325,"Green Stone Trust",Movimientos!$B$1:$B$1325,"&lt;="&amp;$B67)</f>
        <v>1968.99</v>
      </c>
      <c r="O67" s="24">
        <f>SUMIFS('Saldos Iniciales'!$D:$D,'Saldos Iniciales'!$A:$A,"EC Auto")+SUMIFS(Movimientos!$K$1:$K$1325,Movimientos!$C$1:$C$1325,"EC Auto",Movimientos!$B$1:$B$1325,"&lt;="&amp;$B67)</f>
        <v>382.69000000000005</v>
      </c>
      <c r="P67" s="24">
        <f>SUMIFS('Saldos Iniciales'!$D:$D,'Saldos Iniciales'!$A:$A,"Arbor Capital Properties")+SUMIFS(Movimientos!$K$1:$K$1325,Movimientos!$C$1:$C$1325,"Arbor Capital Properties",Movimientos!$B$1:$B$1325,"&lt;="&amp;$B67)</f>
        <v>1412.08</v>
      </c>
      <c r="Q67" s="24">
        <f>SUMIFS('Saldos Iniciales'!$D:$D,'Saldos Iniciales'!$A:$A,"2515 Overbrook")+SUMIFS(Movimientos!$K$1:$K$1325,Movimientos!$C$1:$C$1325,"2515 Overbrook",Movimientos!$B$1:$B$1325,"&lt;="&amp;$B67)</f>
        <v>22496.639999999959</v>
      </c>
      <c r="R67" s="24">
        <f>SUMIFS('Saldos Iniciales'!$D:$D,'Saldos Iniciales'!$A:$A,"112 Florida Ave")+SUMIFS(Movimientos!$K$1:$K$1325,Movimientos!$C$1:$C$1325,"112 Florida Ave",Movimientos!$B$1:$B$1325,"&lt;="&amp;$B67)</f>
        <v>10522.800000000003</v>
      </c>
      <c r="S67" s="24">
        <f>SUMIFS('Saldos Iniciales'!$D:$D,'Saldos Iniciales'!$A:$A,"3628 Thomas Ave")+SUMIFS(Movimientos!$K$1:$K$1325,Movimientos!$C$1:$C$1325,"3628 Thomas Ave",Movimientos!$B$1:$B$1325,"&lt;="&amp;$B67)</f>
        <v>28485.559999999998</v>
      </c>
      <c r="T67" s="24">
        <f>SUMIFS('Saldos Iniciales'!$D:$D,'Saldos Iniciales'!$A:$A,"Green Harbor Trust")+SUMIFS(Movimientos!$K$1:$K$1325,Movimientos!$C$1:$C$1325,"Green Harbor Trust",Movimientos!$B$1:$B$1325,"&lt;="&amp;$B67)</f>
        <v>345</v>
      </c>
      <c r="U67" s="24">
        <f>SUMIFS('Saldos Iniciales'!$D:$D,'Saldos Iniciales'!$A:$A,"Go Blue")+SUMIFS(Movimientos!$K$1:$K$1325,Movimientos!$C$1:$C$1325,"Go Blue",Movimientos!$B$1:$B$1325,"&lt;="&amp;$B67)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LLC",Movimientos!$B$1:$B$1325,"&lt;="&amp;$B67))</f>
        <v>0</v>
      </c>
      <c r="W67" s="24">
        <f>IF(YEAR($B67)*100+MONTH($B67)&lt;--SUBSTITUTE(_xlfn.XLOOKUP("CFT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",Movimientos!$B$1:$B$1325,"&lt;="&amp;$B67))</f>
        <v>0</v>
      </c>
      <c r="AC67" s="24" t="e">
        <f>IF(YEAR($B67)*100+MONTH($B67)&lt;--SUBSTITUTE(_xlfn.XLOOKUP("SYIP",'Saldos Iniciales'!$A:$A,'Saldos Iniciales'!$C:$C),"-",""),0,SUMIFS('Saldos Iniciales'!$D:$D,'Saldos Iniciales'!$A:$A,"SYIP")+SUMIFS(Movimientos!$K$1:$K$1325,Movimientos!$C$1:$C$1325,"SYIP",Movimientos!$B$1:$B$1325,"&lt;="&amp;$B67))</f>
        <v>#N/A</v>
      </c>
      <c r="AD67" s="24">
        <f>IF(YEAR($B67)*100+MONTH($B67)&lt;--SUBSTITUTE(_xlfn.XLOOKUP("Nobe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Aparments",Movimientos!$B$1:$B$1325,"&lt;="&amp;$B67))</f>
        <v>0</v>
      </c>
      <c r="AE67" s="25" t="e">
        <f t="shared" si="3"/>
        <v>#N/A</v>
      </c>
    </row>
    <row r="68" spans="1:31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Group")+SUMIFS(Movimientos!$K$1:$K$1325,Movimientos!$C$1:$C$1325,"CFT Group",Movimientos!$B$1:$B$1325,"&lt;="&amp;$B68)</f>
        <v>5592585.7500000009</v>
      </c>
      <c r="D68" s="24">
        <f>SUMIFS('Saldos Iniciales'!$D:$D,'Saldos Iniciales'!$A:$A,"M1B")+SUMIFS(Movimientos!$K$1:$K$1325,Movimientos!$C$1:$C$1325,"M1B",Movimientos!$B$1:$B$1325,"&lt;="&amp;$B68)</f>
        <v>79139.680000000168</v>
      </c>
      <c r="E68" s="24">
        <f>SUMIFS('Saldos Iniciales'!$D:$D,'Saldos Iniciales'!$A:$A,"Durand")+SUMIFS(Movimientos!$K$1:$K$1325,Movimientos!$C$1:$C$1325,"Durand",Movimientos!$B$1:$B$1325,"&lt;="&amp;$B68)</f>
        <v>1669.89</v>
      </c>
      <c r="F68" s="24">
        <f>SUMIFS('Saldos Iniciales'!$D:$D,'Saldos Iniciales'!$A:$A,"A&amp;M Imports")+SUMIFS(Movimientos!$K$1:$K$1325,Movimientos!$C$1:$C$1325,"A&amp;M Imports",Movimientos!$B$1:$B$1325,"&lt;="&amp;$B68)</f>
        <v>350475.62999999989</v>
      </c>
      <c r="G68" s="24">
        <f>SUMIFS('Saldos Iniciales'!$D:$D,'Saldos Iniciales'!$A:$A,"SSP Capital")+SUMIFS(Movimientos!$K$1:$K$1325,Movimientos!$C$1:$C$1325,"SSP Capital",Movimientos!$B$1:$B$1325,"&lt;="&amp;$B68)</f>
        <v>1761026.4599999995</v>
      </c>
      <c r="H68" s="24">
        <f>SUMIFS('Saldos Iniciales'!$D:$D,'Saldos Iniciales'!$A:$A,"Cross Family Trust")+SUMIFS(Movimientos!$K$1:$K$1325,Movimientos!$C$1:$C$1325,"Cross Family Trust",Movimientos!$B$1:$B$1325,"&lt;="&amp;$B68)</f>
        <v>220496.38</v>
      </c>
      <c r="I68" s="24">
        <f>SUMIFS('Saldos Iniciales'!$D:$D,'Saldos Iniciales'!$A:$A,"Cross Security Trust")+SUMIFS(Movimientos!$K$1:$K$1325,Movimientos!$C$1:$C$1325,"Cross Security Trust",Movimientos!$B$1:$B$1325,"&lt;="&amp;$B68)</f>
        <v>88090.37</v>
      </c>
      <c r="J68" s="24">
        <f>SUMIFS('Saldos Iniciales'!$D:$D,'Saldos Iniciales'!$A:$A,"Electrama")+SUMIFS(Movimientos!$K$1:$K$1325,Movimientos!$C$1:$C$1325,"Electrama",Movimientos!$B$1:$B$1325,"&lt;="&amp;$B68)</f>
        <v>471.15999999999985</v>
      </c>
      <c r="K68" s="24">
        <f>SUMIFS('Saldos Iniciales'!$D:$D,'Saldos Iniciales'!$A:$A,"Sacred Valley Capital")+SUMIFS(Movimientos!$K$1:$K$1325,Movimientos!$C$1:$C$1325,"Sacred Valley Capital",Movimientos!$B$1:$B$1325,"&lt;="&amp;$B68)</f>
        <v>54.400000000000006</v>
      </c>
      <c r="L68" s="24">
        <f>SUMIFS('Saldos Iniciales'!$D:$D,'Saldos Iniciales'!$A:$A,"YWC Capital")+SUMIFS(Movimientos!$K$1:$K$1325,Movimientos!$C$1:$C$1325,"YWC Capital",Movimientos!$B$1:$B$1325,"&lt;="&amp;$B68)</f>
        <v>2207.8200000000002</v>
      </c>
      <c r="M68" s="24">
        <f>SUMIFS('Saldos Iniciales'!$D:$D,'Saldos Iniciales'!$A:$A,"Soweto")+SUMIFS(Movimientos!$K$1:$K$1325,Movimientos!$C$1:$C$1325,"Soweto",Movimientos!$B$1:$B$1325,"&lt;="&amp;$B68)</f>
        <v>3349.94</v>
      </c>
      <c r="N68" s="24">
        <f>SUMIFS('Saldos Iniciales'!$D:$D,'Saldos Iniciales'!$A:$A,"Green Stone Trust")+SUMIFS(Movimientos!$K$1:$K$1325,Movimientos!$C$1:$C$1325,"Green Stone Trust",Movimientos!$B$1:$B$1325,"&lt;="&amp;$B68)</f>
        <v>1968.99</v>
      </c>
      <c r="O68" s="24">
        <f>SUMIFS('Saldos Iniciales'!$D:$D,'Saldos Iniciales'!$A:$A,"EC Auto")+SUMIFS(Movimientos!$K$1:$K$1325,Movimientos!$C$1:$C$1325,"EC Auto",Movimientos!$B$1:$B$1325,"&lt;="&amp;$B68)</f>
        <v>382.69000000000005</v>
      </c>
      <c r="P68" s="24">
        <f>SUMIFS('Saldos Iniciales'!$D:$D,'Saldos Iniciales'!$A:$A,"Arbor Capital Properties")+SUMIFS(Movimientos!$K$1:$K$1325,Movimientos!$C$1:$C$1325,"Arbor Capital Properties",Movimientos!$B$1:$B$1325,"&lt;="&amp;$B68)</f>
        <v>1412.08</v>
      </c>
      <c r="Q68" s="24">
        <f>SUMIFS('Saldos Iniciales'!$D:$D,'Saldos Iniciales'!$A:$A,"2515 Overbrook")+SUMIFS(Movimientos!$K$1:$K$1325,Movimientos!$C$1:$C$1325,"2515 Overbrook",Movimientos!$B$1:$B$1325,"&lt;="&amp;$B68)</f>
        <v>22496.639999999959</v>
      </c>
      <c r="R68" s="24">
        <f>SUMIFS('Saldos Iniciales'!$D:$D,'Saldos Iniciales'!$A:$A,"112 Florida Ave")+SUMIFS(Movimientos!$K$1:$K$1325,Movimientos!$C$1:$C$1325,"112 Florida Ave",Movimientos!$B$1:$B$1325,"&lt;="&amp;$B68)</f>
        <v>10522.800000000003</v>
      </c>
      <c r="S68" s="24">
        <f>SUMIFS('Saldos Iniciales'!$D:$D,'Saldos Iniciales'!$A:$A,"3628 Thomas Ave")+SUMIFS(Movimientos!$K$1:$K$1325,Movimientos!$C$1:$C$1325,"3628 Thomas Ave",Movimientos!$B$1:$B$1325,"&lt;="&amp;$B68)</f>
        <v>28485.559999999998</v>
      </c>
      <c r="T68" s="24">
        <f>SUMIFS('Saldos Iniciales'!$D:$D,'Saldos Iniciales'!$A:$A,"Green Harbor Trust")+SUMIFS(Movimientos!$K$1:$K$1325,Movimientos!$C$1:$C$1325,"Green Harbor Trust",Movimientos!$B$1:$B$1325,"&lt;="&amp;$B68)</f>
        <v>345</v>
      </c>
      <c r="U68" s="24">
        <f>SUMIFS('Saldos Iniciales'!$D:$D,'Saldos Iniciales'!$A:$A,"Go Blue")+SUMIFS(Movimientos!$K$1:$K$1325,Movimientos!$C$1:$C$1325,"Go Blue",Movimientos!$B$1:$B$1325,"&lt;="&amp;$B68)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LLC",Movimientos!$B$1:$B$1325,"&lt;="&amp;$B68))</f>
        <v>0</v>
      </c>
      <c r="W68" s="24">
        <f>IF(YEAR($B68)*100+MONTH($B68)&lt;--SUBSTITUTE(_xlfn.XLOOKUP("CFT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",Movimientos!$B$1:$B$1325,"&lt;="&amp;$B68))</f>
        <v>0</v>
      </c>
      <c r="AC68" s="24" t="e">
        <f>IF(YEAR($B68)*100+MONTH($B68)&lt;--SUBSTITUTE(_xlfn.XLOOKUP("SYIP",'Saldos Iniciales'!$A:$A,'Saldos Iniciales'!$C:$C),"-",""),0,SUMIFS('Saldos Iniciales'!$D:$D,'Saldos Iniciales'!$A:$A,"SYIP")+SUMIFS(Movimientos!$K$1:$K$1325,Movimientos!$C$1:$C$1325,"SYIP",Movimientos!$B$1:$B$1325,"&lt;="&amp;$B68))</f>
        <v>#N/A</v>
      </c>
      <c r="AD68" s="24">
        <f>IF(YEAR($B68)*100+MONTH($B68)&lt;--SUBSTITUTE(_xlfn.XLOOKUP("Nobe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Aparments",Movimientos!$B$1:$B$1325,"&lt;="&amp;$B68))</f>
        <v>0</v>
      </c>
      <c r="AE68" s="25" t="e">
        <f t="shared" si="3"/>
        <v>#N/A</v>
      </c>
    </row>
    <row r="69" spans="1:31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Group")+SUMIFS(Movimientos!$K$1:$K$1325,Movimientos!$C$1:$C$1325,"CFT Group",Movimientos!$B$1:$B$1325,"&lt;="&amp;$B69)</f>
        <v>5592585.7500000009</v>
      </c>
      <c r="D69" s="24">
        <f>SUMIFS('Saldos Iniciales'!$D:$D,'Saldos Iniciales'!$A:$A,"M1B")+SUMIFS(Movimientos!$K$1:$K$1325,Movimientos!$C$1:$C$1325,"M1B",Movimientos!$B$1:$B$1325,"&lt;="&amp;$B69)</f>
        <v>79139.680000000168</v>
      </c>
      <c r="E69" s="24">
        <f>SUMIFS('Saldos Iniciales'!$D:$D,'Saldos Iniciales'!$A:$A,"Durand")+SUMIFS(Movimientos!$K$1:$K$1325,Movimientos!$C$1:$C$1325,"Durand",Movimientos!$B$1:$B$1325,"&lt;="&amp;$B69)</f>
        <v>1669.89</v>
      </c>
      <c r="F69" s="24">
        <f>SUMIFS('Saldos Iniciales'!$D:$D,'Saldos Iniciales'!$A:$A,"A&amp;M Imports")+SUMIFS(Movimientos!$K$1:$K$1325,Movimientos!$C$1:$C$1325,"A&amp;M Imports",Movimientos!$B$1:$B$1325,"&lt;="&amp;$B69)</f>
        <v>350475.62999999989</v>
      </c>
      <c r="G69" s="24">
        <f>SUMIFS('Saldos Iniciales'!$D:$D,'Saldos Iniciales'!$A:$A,"SSP Capital")+SUMIFS(Movimientos!$K$1:$K$1325,Movimientos!$C$1:$C$1325,"SSP Capital",Movimientos!$B$1:$B$1325,"&lt;="&amp;$B69)</f>
        <v>1761026.4599999995</v>
      </c>
      <c r="H69" s="24">
        <f>SUMIFS('Saldos Iniciales'!$D:$D,'Saldos Iniciales'!$A:$A,"Cross Family Trust")+SUMIFS(Movimientos!$K$1:$K$1325,Movimientos!$C$1:$C$1325,"Cross Family Trust",Movimientos!$B$1:$B$1325,"&lt;="&amp;$B69)</f>
        <v>220496.38</v>
      </c>
      <c r="I69" s="24">
        <f>SUMIFS('Saldos Iniciales'!$D:$D,'Saldos Iniciales'!$A:$A,"Cross Security Trust")+SUMIFS(Movimientos!$K$1:$K$1325,Movimientos!$C$1:$C$1325,"Cross Security Trust",Movimientos!$B$1:$B$1325,"&lt;="&amp;$B69)</f>
        <v>88090.37</v>
      </c>
      <c r="J69" s="24">
        <f>SUMIFS('Saldos Iniciales'!$D:$D,'Saldos Iniciales'!$A:$A,"Electrama")+SUMIFS(Movimientos!$K$1:$K$1325,Movimientos!$C$1:$C$1325,"Electrama",Movimientos!$B$1:$B$1325,"&lt;="&amp;$B69)</f>
        <v>471.15999999999985</v>
      </c>
      <c r="K69" s="24">
        <f>SUMIFS('Saldos Iniciales'!$D:$D,'Saldos Iniciales'!$A:$A,"Sacred Valley Capital")+SUMIFS(Movimientos!$K$1:$K$1325,Movimientos!$C$1:$C$1325,"Sacred Valley Capital",Movimientos!$B$1:$B$1325,"&lt;="&amp;$B69)</f>
        <v>54.400000000000006</v>
      </c>
      <c r="L69" s="24">
        <f>SUMIFS('Saldos Iniciales'!$D:$D,'Saldos Iniciales'!$A:$A,"YWC Capital")+SUMIFS(Movimientos!$K$1:$K$1325,Movimientos!$C$1:$C$1325,"YWC Capital",Movimientos!$B$1:$B$1325,"&lt;="&amp;$B69)</f>
        <v>2207.8200000000002</v>
      </c>
      <c r="M69" s="24">
        <f>SUMIFS('Saldos Iniciales'!$D:$D,'Saldos Iniciales'!$A:$A,"Soweto")+SUMIFS(Movimientos!$K$1:$K$1325,Movimientos!$C$1:$C$1325,"Soweto",Movimientos!$B$1:$B$1325,"&lt;="&amp;$B69)</f>
        <v>3349.94</v>
      </c>
      <c r="N69" s="24">
        <f>SUMIFS('Saldos Iniciales'!$D:$D,'Saldos Iniciales'!$A:$A,"Green Stone Trust")+SUMIFS(Movimientos!$K$1:$K$1325,Movimientos!$C$1:$C$1325,"Green Stone Trust",Movimientos!$B$1:$B$1325,"&lt;="&amp;$B69)</f>
        <v>1968.99</v>
      </c>
      <c r="O69" s="24">
        <f>SUMIFS('Saldos Iniciales'!$D:$D,'Saldos Iniciales'!$A:$A,"EC Auto")+SUMIFS(Movimientos!$K$1:$K$1325,Movimientos!$C$1:$C$1325,"EC Auto",Movimientos!$B$1:$B$1325,"&lt;="&amp;$B69)</f>
        <v>382.69000000000005</v>
      </c>
      <c r="P69" s="24">
        <f>SUMIFS('Saldos Iniciales'!$D:$D,'Saldos Iniciales'!$A:$A,"Arbor Capital Properties")+SUMIFS(Movimientos!$K$1:$K$1325,Movimientos!$C$1:$C$1325,"Arbor Capital Properties",Movimientos!$B$1:$B$1325,"&lt;="&amp;$B69)</f>
        <v>1412.08</v>
      </c>
      <c r="Q69" s="24">
        <f>SUMIFS('Saldos Iniciales'!$D:$D,'Saldos Iniciales'!$A:$A,"2515 Overbrook")+SUMIFS(Movimientos!$K$1:$K$1325,Movimientos!$C$1:$C$1325,"2515 Overbrook",Movimientos!$B$1:$B$1325,"&lt;="&amp;$B69)</f>
        <v>22496.639999999959</v>
      </c>
      <c r="R69" s="24">
        <f>SUMIFS('Saldos Iniciales'!$D:$D,'Saldos Iniciales'!$A:$A,"112 Florida Ave")+SUMIFS(Movimientos!$K$1:$K$1325,Movimientos!$C$1:$C$1325,"112 Florida Ave",Movimientos!$B$1:$B$1325,"&lt;="&amp;$B69)</f>
        <v>10522.800000000003</v>
      </c>
      <c r="S69" s="24">
        <f>SUMIFS('Saldos Iniciales'!$D:$D,'Saldos Iniciales'!$A:$A,"3628 Thomas Ave")+SUMIFS(Movimientos!$K$1:$K$1325,Movimientos!$C$1:$C$1325,"3628 Thomas Ave",Movimientos!$B$1:$B$1325,"&lt;="&amp;$B69)</f>
        <v>28485.559999999998</v>
      </c>
      <c r="T69" s="24">
        <f>SUMIFS('Saldos Iniciales'!$D:$D,'Saldos Iniciales'!$A:$A,"Green Harbor Trust")+SUMIFS(Movimientos!$K$1:$K$1325,Movimientos!$C$1:$C$1325,"Green Harbor Trust",Movimientos!$B$1:$B$1325,"&lt;="&amp;$B69)</f>
        <v>345</v>
      </c>
      <c r="U69" s="24">
        <f>SUMIFS('Saldos Iniciales'!$D:$D,'Saldos Iniciales'!$A:$A,"Go Blue")+SUMIFS(Movimientos!$K$1:$K$1325,Movimientos!$C$1:$C$1325,"Go Blue",Movimientos!$B$1:$B$1325,"&lt;="&amp;$B69)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LLC",Movimientos!$B$1:$B$1325,"&lt;="&amp;$B69))</f>
        <v>0</v>
      </c>
      <c r="W69" s="24">
        <f>IF(YEAR($B69)*100+MONTH($B69)&lt;--SUBSTITUTE(_xlfn.XLOOKUP("CFT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",Movimientos!$B$1:$B$1325,"&lt;="&amp;$B69))</f>
        <v>0</v>
      </c>
      <c r="AC69" s="24" t="e">
        <f>IF(YEAR($B69)*100+MONTH($B69)&lt;--SUBSTITUTE(_xlfn.XLOOKUP("SYIP",'Saldos Iniciales'!$A:$A,'Saldos Iniciales'!$C:$C),"-",""),0,SUMIFS('Saldos Iniciales'!$D:$D,'Saldos Iniciales'!$A:$A,"SYIP")+SUMIFS(Movimientos!$K$1:$K$1325,Movimientos!$C$1:$C$1325,"SYIP",Movimientos!$B$1:$B$1325,"&lt;="&amp;$B69))</f>
        <v>#N/A</v>
      </c>
      <c r="AD69" s="24">
        <f>IF(YEAR($B69)*100+MONTH($B69)&lt;--SUBSTITUTE(_xlfn.XLOOKUP("Nobe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Aparments",Movimientos!$B$1:$B$1325,"&lt;="&amp;$B69))</f>
        <v>0</v>
      </c>
      <c r="AE69" s="25" t="e">
        <f t="shared" si="3"/>
        <v>#N/A</v>
      </c>
    </row>
    <row r="70" spans="1:31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Group")+SUMIFS(Movimientos!$K$1:$K$1325,Movimientos!$C$1:$C$1325,"CFT Group",Movimientos!$B$1:$B$1325,"&lt;="&amp;$B70)</f>
        <v>5592585.7500000009</v>
      </c>
      <c r="D70" s="24">
        <f>SUMIFS('Saldos Iniciales'!$D:$D,'Saldos Iniciales'!$A:$A,"M1B")+SUMIFS(Movimientos!$K$1:$K$1325,Movimientos!$C$1:$C$1325,"M1B",Movimientos!$B$1:$B$1325,"&lt;="&amp;$B70)</f>
        <v>79139.680000000168</v>
      </c>
      <c r="E70" s="24">
        <f>SUMIFS('Saldos Iniciales'!$D:$D,'Saldos Iniciales'!$A:$A,"Durand")+SUMIFS(Movimientos!$K$1:$K$1325,Movimientos!$C$1:$C$1325,"Durand",Movimientos!$B$1:$B$1325,"&lt;="&amp;$B70)</f>
        <v>1669.89</v>
      </c>
      <c r="F70" s="24">
        <f>SUMIFS('Saldos Iniciales'!$D:$D,'Saldos Iniciales'!$A:$A,"A&amp;M Imports")+SUMIFS(Movimientos!$K$1:$K$1325,Movimientos!$C$1:$C$1325,"A&amp;M Imports",Movimientos!$B$1:$B$1325,"&lt;="&amp;$B70)</f>
        <v>350475.62999999989</v>
      </c>
      <c r="G70" s="24">
        <f>SUMIFS('Saldos Iniciales'!$D:$D,'Saldos Iniciales'!$A:$A,"SSP Capital")+SUMIFS(Movimientos!$K$1:$K$1325,Movimientos!$C$1:$C$1325,"SSP Capital",Movimientos!$B$1:$B$1325,"&lt;="&amp;$B70)</f>
        <v>1751695.8399999994</v>
      </c>
      <c r="H70" s="24">
        <f>SUMIFS('Saldos Iniciales'!$D:$D,'Saldos Iniciales'!$A:$A,"Cross Family Trust")+SUMIFS(Movimientos!$K$1:$K$1325,Movimientos!$C$1:$C$1325,"Cross Family Trust",Movimientos!$B$1:$B$1325,"&lt;="&amp;$B70)</f>
        <v>220496.38</v>
      </c>
      <c r="I70" s="24">
        <f>SUMIFS('Saldos Iniciales'!$D:$D,'Saldos Iniciales'!$A:$A,"Cross Security Trust")+SUMIFS(Movimientos!$K$1:$K$1325,Movimientos!$C$1:$C$1325,"Cross Security Trust",Movimientos!$B$1:$B$1325,"&lt;="&amp;$B70)</f>
        <v>88090.37</v>
      </c>
      <c r="J70" s="24">
        <f>SUMIFS('Saldos Iniciales'!$D:$D,'Saldos Iniciales'!$A:$A,"Electrama")+SUMIFS(Movimientos!$K$1:$K$1325,Movimientos!$C$1:$C$1325,"Electrama",Movimientos!$B$1:$B$1325,"&lt;="&amp;$B70)</f>
        <v>471.15999999999985</v>
      </c>
      <c r="K70" s="24">
        <f>SUMIFS('Saldos Iniciales'!$D:$D,'Saldos Iniciales'!$A:$A,"Sacred Valley Capital")+SUMIFS(Movimientos!$K$1:$K$1325,Movimientos!$C$1:$C$1325,"Sacred Valley Capital",Movimientos!$B$1:$B$1325,"&lt;="&amp;$B70)</f>
        <v>54.400000000000006</v>
      </c>
      <c r="L70" s="24">
        <f>SUMIFS('Saldos Iniciales'!$D:$D,'Saldos Iniciales'!$A:$A,"YWC Capital")+SUMIFS(Movimientos!$K$1:$K$1325,Movimientos!$C$1:$C$1325,"YWC Capital",Movimientos!$B$1:$B$1325,"&lt;="&amp;$B70)</f>
        <v>2207.8200000000002</v>
      </c>
      <c r="M70" s="24">
        <f>SUMIFS('Saldos Iniciales'!$D:$D,'Saldos Iniciales'!$A:$A,"Soweto")+SUMIFS(Movimientos!$K$1:$K$1325,Movimientos!$C$1:$C$1325,"Soweto",Movimientos!$B$1:$B$1325,"&lt;="&amp;$B70)</f>
        <v>3334.94</v>
      </c>
      <c r="N70" s="24">
        <f>SUMIFS('Saldos Iniciales'!$D:$D,'Saldos Iniciales'!$A:$A,"Green Stone Trust")+SUMIFS(Movimientos!$K$1:$K$1325,Movimientos!$C$1:$C$1325,"Green Stone Trust",Movimientos!$B$1:$B$1325,"&lt;="&amp;$B70)</f>
        <v>1968.99</v>
      </c>
      <c r="O70" s="24">
        <f>SUMIFS('Saldos Iniciales'!$D:$D,'Saldos Iniciales'!$A:$A,"EC Auto")+SUMIFS(Movimientos!$K$1:$K$1325,Movimientos!$C$1:$C$1325,"EC Auto",Movimientos!$B$1:$B$1325,"&lt;="&amp;$B70)</f>
        <v>382.69000000000005</v>
      </c>
      <c r="P70" s="24">
        <f>SUMIFS('Saldos Iniciales'!$D:$D,'Saldos Iniciales'!$A:$A,"Arbor Capital Properties")+SUMIFS(Movimientos!$K$1:$K$1325,Movimientos!$C$1:$C$1325,"Arbor Capital Properties",Movimientos!$B$1:$B$1325,"&lt;="&amp;$B70)</f>
        <v>1412.08</v>
      </c>
      <c r="Q70" s="24">
        <f>SUMIFS('Saldos Iniciales'!$D:$D,'Saldos Iniciales'!$A:$A,"2515 Overbrook")+SUMIFS(Movimientos!$K$1:$K$1325,Movimientos!$C$1:$C$1325,"2515 Overbrook",Movimientos!$B$1:$B$1325,"&lt;="&amp;$B70)</f>
        <v>22496.639999999959</v>
      </c>
      <c r="R70" s="24">
        <f>SUMIFS('Saldos Iniciales'!$D:$D,'Saldos Iniciales'!$A:$A,"112 Florida Ave")+SUMIFS(Movimientos!$K$1:$K$1325,Movimientos!$C$1:$C$1325,"112 Florida Ave",Movimientos!$B$1:$B$1325,"&lt;="&amp;$B70)</f>
        <v>6522.8000000000029</v>
      </c>
      <c r="S70" s="24">
        <f>SUMIFS('Saldos Iniciales'!$D:$D,'Saldos Iniciales'!$A:$A,"3628 Thomas Ave")+SUMIFS(Movimientos!$K$1:$K$1325,Movimientos!$C$1:$C$1325,"3628 Thomas Ave",Movimientos!$B$1:$B$1325,"&lt;="&amp;$B70)</f>
        <v>28485.559999999998</v>
      </c>
      <c r="T70" s="24">
        <f>SUMIFS('Saldos Iniciales'!$D:$D,'Saldos Iniciales'!$A:$A,"Green Harbor Trust")+SUMIFS(Movimientos!$K$1:$K$1325,Movimientos!$C$1:$C$1325,"Green Harbor Trust",Movimientos!$B$1:$B$1325,"&lt;="&amp;$B70)</f>
        <v>345</v>
      </c>
      <c r="U70" s="24">
        <f>SUMIFS('Saldos Iniciales'!$D:$D,'Saldos Iniciales'!$A:$A,"Go Blue")+SUMIFS(Movimientos!$K$1:$K$1325,Movimientos!$C$1:$C$1325,"Go Blue",Movimientos!$B$1:$B$1325,"&lt;="&amp;$B70)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LLC",Movimientos!$B$1:$B$1325,"&lt;="&amp;$B70))</f>
        <v>0</v>
      </c>
      <c r="W70" s="24">
        <f>IF(YEAR($B70)*100+MONTH($B70)&lt;--SUBSTITUTE(_xlfn.XLOOKUP("CFT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",Movimientos!$B$1:$B$1325,"&lt;="&amp;$B70))</f>
        <v>0</v>
      </c>
      <c r="AC70" s="24" t="e">
        <f>IF(YEAR($B70)*100+MONTH($B70)&lt;--SUBSTITUTE(_xlfn.XLOOKUP("SYIP",'Saldos Iniciales'!$A:$A,'Saldos Iniciales'!$C:$C),"-",""),0,SUMIFS('Saldos Iniciales'!$D:$D,'Saldos Iniciales'!$A:$A,"SYIP")+SUMIFS(Movimientos!$K$1:$K$1325,Movimientos!$C$1:$C$1325,"SYIP",Movimientos!$B$1:$B$1325,"&lt;="&amp;$B70))</f>
        <v>#N/A</v>
      </c>
      <c r="AD70" s="24">
        <f>IF(YEAR($B70)*100+MONTH($B70)&lt;--SUBSTITUTE(_xlfn.XLOOKUP("Nobe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Aparments",Movimientos!$B$1:$B$1325,"&lt;="&amp;$B70))</f>
        <v>0</v>
      </c>
      <c r="AE70" s="25" t="e">
        <f t="shared" si="3"/>
        <v>#N/A</v>
      </c>
    </row>
    <row r="71" spans="1:31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Group")+SUMIFS(Movimientos!$K$1:$K$1325,Movimientos!$C$1:$C$1325,"CFT Group",Movimientos!$B$1:$B$1325,"&lt;="&amp;$B71)</f>
        <v>4377944.080000001</v>
      </c>
      <c r="D71" s="24">
        <f>SUMIFS('Saldos Iniciales'!$D:$D,'Saldos Iniciales'!$A:$A,"M1B")+SUMIFS(Movimientos!$K$1:$K$1325,Movimientos!$C$1:$C$1325,"M1B",Movimientos!$B$1:$B$1325,"&lt;="&amp;$B71)</f>
        <v>73157.680000000168</v>
      </c>
      <c r="E71" s="24">
        <f>SUMIFS('Saldos Iniciales'!$D:$D,'Saldos Iniciales'!$A:$A,"Durand")+SUMIFS(Movimientos!$K$1:$K$1325,Movimientos!$C$1:$C$1325,"Durand",Movimientos!$B$1:$B$1325,"&lt;="&amp;$B71)</f>
        <v>1669.89</v>
      </c>
      <c r="F71" s="24">
        <f>SUMIFS('Saldos Iniciales'!$D:$D,'Saldos Iniciales'!$A:$A,"A&amp;M Imports")+SUMIFS(Movimientos!$K$1:$K$1325,Movimientos!$C$1:$C$1325,"A&amp;M Imports",Movimientos!$B$1:$B$1325,"&lt;="&amp;$B71)</f>
        <v>290475.62999999989</v>
      </c>
      <c r="G71" s="24">
        <f>SUMIFS('Saldos Iniciales'!$D:$D,'Saldos Iniciales'!$A:$A,"SSP Capital")+SUMIFS(Movimientos!$K$1:$K$1325,Movimientos!$C$1:$C$1325,"SSP Capital",Movimientos!$B$1:$B$1325,"&lt;="&amp;$B71)</f>
        <v>2119592.9399999995</v>
      </c>
      <c r="H71" s="24">
        <f>SUMIFS('Saldos Iniciales'!$D:$D,'Saldos Iniciales'!$A:$A,"Cross Family Trust")+SUMIFS(Movimientos!$K$1:$K$1325,Movimientos!$C$1:$C$1325,"Cross Family Trust",Movimientos!$B$1:$B$1325,"&lt;="&amp;$B71)</f>
        <v>200496.38</v>
      </c>
      <c r="I71" s="24">
        <f>SUMIFS('Saldos Iniciales'!$D:$D,'Saldos Iniciales'!$A:$A,"Cross Security Trust")+SUMIFS(Movimientos!$K$1:$K$1325,Movimientos!$C$1:$C$1325,"Cross Security Trust",Movimientos!$B$1:$B$1325,"&lt;="&amp;$B71)</f>
        <v>88090.37</v>
      </c>
      <c r="J71" s="24">
        <f>SUMIFS('Saldos Iniciales'!$D:$D,'Saldos Iniciales'!$A:$A,"Electrama")+SUMIFS(Movimientos!$K$1:$K$1325,Movimientos!$C$1:$C$1325,"Electrama",Movimientos!$B$1:$B$1325,"&lt;="&amp;$B71)</f>
        <v>15130.45</v>
      </c>
      <c r="K71" s="24">
        <f>SUMIFS('Saldos Iniciales'!$D:$D,'Saldos Iniciales'!$A:$A,"Sacred Valley Capital")+SUMIFS(Movimientos!$K$1:$K$1325,Movimientos!$C$1:$C$1325,"Sacred Valley Capital",Movimientos!$B$1:$B$1325,"&lt;="&amp;$B71)</f>
        <v>54.400000000000006</v>
      </c>
      <c r="L71" s="24">
        <f>SUMIFS('Saldos Iniciales'!$D:$D,'Saldos Iniciales'!$A:$A,"YWC Capital")+SUMIFS(Movimientos!$K$1:$K$1325,Movimientos!$C$1:$C$1325,"YWC Capital",Movimientos!$B$1:$B$1325,"&lt;="&amp;$B71)</f>
        <v>2207.8200000000002</v>
      </c>
      <c r="M71" s="24">
        <f>SUMIFS('Saldos Iniciales'!$D:$D,'Saldos Iniciales'!$A:$A,"Soweto")+SUMIFS(Movimientos!$K$1:$K$1325,Movimientos!$C$1:$C$1325,"Soweto",Movimientos!$B$1:$B$1325,"&lt;="&amp;$B71)</f>
        <v>1454604.72</v>
      </c>
      <c r="N71" s="24">
        <f>SUMIFS('Saldos Iniciales'!$D:$D,'Saldos Iniciales'!$A:$A,"Green Stone Trust")+SUMIFS(Movimientos!$K$1:$K$1325,Movimientos!$C$1:$C$1325,"Green Stone Trust",Movimientos!$B$1:$B$1325,"&lt;="&amp;$B71)</f>
        <v>1968.99</v>
      </c>
      <c r="O71" s="24">
        <f>SUMIFS('Saldos Iniciales'!$D:$D,'Saldos Iniciales'!$A:$A,"EC Auto")+SUMIFS(Movimientos!$K$1:$K$1325,Movimientos!$C$1:$C$1325,"EC Auto",Movimientos!$B$1:$B$1325,"&lt;="&amp;$B71)</f>
        <v>382.69000000000005</v>
      </c>
      <c r="P71" s="24">
        <f>SUMIFS('Saldos Iniciales'!$D:$D,'Saldos Iniciales'!$A:$A,"Arbor Capital Properties")+SUMIFS(Movimientos!$K$1:$K$1325,Movimientos!$C$1:$C$1325,"Arbor Capital Properties",Movimientos!$B$1:$B$1325,"&lt;="&amp;$B71)</f>
        <v>1412.08</v>
      </c>
      <c r="Q71" s="24">
        <f>SUMIFS('Saldos Iniciales'!$D:$D,'Saldos Iniciales'!$A:$A,"2515 Overbrook")+SUMIFS(Movimientos!$K$1:$K$1325,Movimientos!$C$1:$C$1325,"2515 Overbrook",Movimientos!$B$1:$B$1325,"&lt;="&amp;$B71)</f>
        <v>22496.639999999959</v>
      </c>
      <c r="R71" s="24">
        <f>SUMIFS('Saldos Iniciales'!$D:$D,'Saldos Iniciales'!$A:$A,"112 Florida Ave")+SUMIFS(Movimientos!$K$1:$K$1325,Movimientos!$C$1:$C$1325,"112 Florida Ave",Movimientos!$B$1:$B$1325,"&lt;="&amp;$B71)</f>
        <v>6522.8000000000029</v>
      </c>
      <c r="S71" s="24">
        <f>SUMIFS('Saldos Iniciales'!$D:$D,'Saldos Iniciales'!$A:$A,"3628 Thomas Ave")+SUMIFS(Movimientos!$K$1:$K$1325,Movimientos!$C$1:$C$1325,"3628 Thomas Ave",Movimientos!$B$1:$B$1325,"&lt;="&amp;$B71)</f>
        <v>28485.559999999998</v>
      </c>
      <c r="T71" s="24">
        <f>SUMIFS('Saldos Iniciales'!$D:$D,'Saldos Iniciales'!$A:$A,"Green Harbor Trust")+SUMIFS(Movimientos!$K$1:$K$1325,Movimientos!$C$1:$C$1325,"Green Harbor Trust",Movimientos!$B$1:$B$1325,"&lt;="&amp;$B71)</f>
        <v>345</v>
      </c>
      <c r="U71" s="24">
        <f>SUMIFS('Saldos Iniciales'!$D:$D,'Saldos Iniciales'!$A:$A,"Go Blue")+SUMIFS(Movimientos!$K$1:$K$1325,Movimientos!$C$1:$C$1325,"Go Blue",Movimientos!$B$1:$B$1325,"&lt;="&amp;$B71)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LLC",Movimientos!$B$1:$B$1325,"&lt;="&amp;$B71))</f>
        <v>0</v>
      </c>
      <c r="W71" s="24">
        <f>IF(YEAR($B71)*100+MONTH($B71)&lt;--SUBSTITUTE(_xlfn.XLOOKUP("CFT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",Movimientos!$B$1:$B$1325,"&lt;="&amp;$B71))</f>
        <v>0</v>
      </c>
      <c r="AC71" s="24" t="e">
        <f>IF(YEAR($B71)*100+MONTH($B71)&lt;--SUBSTITUTE(_xlfn.XLOOKUP("SYIP",'Saldos Iniciales'!$A:$A,'Saldos Iniciales'!$C:$C),"-",""),0,SUMIFS('Saldos Iniciales'!$D:$D,'Saldos Iniciales'!$A:$A,"SYIP")+SUMIFS(Movimientos!$K$1:$K$1325,Movimientos!$C$1:$C$1325,"SYIP",Movimientos!$B$1:$B$1325,"&lt;="&amp;$B71))</f>
        <v>#N/A</v>
      </c>
      <c r="AD71" s="24">
        <f>IF(YEAR($B71)*100+MONTH($B71)&lt;--SUBSTITUTE(_xlfn.XLOOKUP("Nobe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Aparments",Movimientos!$B$1:$B$1325,"&lt;="&amp;$B71))</f>
        <v>0</v>
      </c>
      <c r="AE71" s="25" t="e">
        <f t="shared" si="3"/>
        <v>#N/A</v>
      </c>
    </row>
    <row r="72" spans="1:31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Group")+SUMIFS(Movimientos!$K$1:$K$1325,Movimientos!$C$1:$C$1325,"CFT Group",Movimientos!$B$1:$B$1325,"&lt;="&amp;$B72)</f>
        <v>4163755.7500000005</v>
      </c>
      <c r="D72" s="24">
        <f>SUMIFS('Saldos Iniciales'!$D:$D,'Saldos Iniciales'!$A:$A,"M1B")+SUMIFS(Movimientos!$K$1:$K$1325,Movimientos!$C$1:$C$1325,"M1B",Movimientos!$B$1:$B$1325,"&lt;="&amp;$B72)</f>
        <v>73157.680000000168</v>
      </c>
      <c r="E72" s="24">
        <f>SUMIFS('Saldos Iniciales'!$D:$D,'Saldos Iniciales'!$A:$A,"Durand")+SUMIFS(Movimientos!$K$1:$K$1325,Movimientos!$C$1:$C$1325,"Durand",Movimientos!$B$1:$B$1325,"&lt;="&amp;$B72)</f>
        <v>1669.89</v>
      </c>
      <c r="F72" s="24">
        <f>SUMIFS('Saldos Iniciales'!$D:$D,'Saldos Iniciales'!$A:$A,"A&amp;M Imports")+SUMIFS(Movimientos!$K$1:$K$1325,Movimientos!$C$1:$C$1325,"A&amp;M Imports",Movimientos!$B$1:$B$1325,"&lt;="&amp;$B72)</f>
        <v>290141.62999999989</v>
      </c>
      <c r="G72" s="24">
        <f>SUMIFS('Saldos Iniciales'!$D:$D,'Saldos Iniciales'!$A:$A,"SSP Capital")+SUMIFS(Movimientos!$K$1:$K$1325,Movimientos!$C$1:$C$1325,"SSP Capital",Movimientos!$B$1:$B$1325,"&lt;="&amp;$B72)</f>
        <v>1921752.2699999993</v>
      </c>
      <c r="H72" s="24">
        <f>SUMIFS('Saldos Iniciales'!$D:$D,'Saldos Iniciales'!$A:$A,"Cross Family Trust")+SUMIFS(Movimientos!$K$1:$K$1325,Movimientos!$C$1:$C$1325,"Cross Family Trust",Movimientos!$B$1:$B$1325,"&lt;="&amp;$B72)</f>
        <v>200496.38</v>
      </c>
      <c r="I72" s="24">
        <f>SUMIFS('Saldos Iniciales'!$D:$D,'Saldos Iniciales'!$A:$A,"Cross Security Trust")+SUMIFS(Movimientos!$K$1:$K$1325,Movimientos!$C$1:$C$1325,"Cross Security Trust",Movimientos!$B$1:$B$1325,"&lt;="&amp;$B72)</f>
        <v>88090.37</v>
      </c>
      <c r="J72" s="24">
        <f>SUMIFS('Saldos Iniciales'!$D:$D,'Saldos Iniciales'!$A:$A,"Electrama")+SUMIFS(Movimientos!$K$1:$K$1325,Movimientos!$C$1:$C$1325,"Electrama",Movimientos!$B$1:$B$1325,"&lt;="&amp;$B72)</f>
        <v>14580.45</v>
      </c>
      <c r="K72" s="24">
        <f>SUMIFS('Saldos Iniciales'!$D:$D,'Saldos Iniciales'!$A:$A,"Sacred Valley Capital")+SUMIFS(Movimientos!$K$1:$K$1325,Movimientos!$C$1:$C$1325,"Sacred Valley Capital",Movimientos!$B$1:$B$1325,"&lt;="&amp;$B72)</f>
        <v>54.400000000000006</v>
      </c>
      <c r="L72" s="24">
        <f>SUMIFS('Saldos Iniciales'!$D:$D,'Saldos Iniciales'!$A:$A,"YWC Capital")+SUMIFS(Movimientos!$K$1:$K$1325,Movimientos!$C$1:$C$1325,"YWC Capital",Movimientos!$B$1:$B$1325,"&lt;="&amp;$B72)</f>
        <v>2207.8200000000002</v>
      </c>
      <c r="M72" s="24">
        <f>SUMIFS('Saldos Iniciales'!$D:$D,'Saldos Iniciales'!$A:$A,"Soweto")+SUMIFS(Movimientos!$K$1:$K$1325,Movimientos!$C$1:$C$1325,"Soweto",Movimientos!$B$1:$B$1325,"&lt;="&amp;$B72)</f>
        <v>1454589.72</v>
      </c>
      <c r="N72" s="24">
        <f>SUMIFS('Saldos Iniciales'!$D:$D,'Saldos Iniciales'!$A:$A,"Green Stone Trust")+SUMIFS(Movimientos!$K$1:$K$1325,Movimientos!$C$1:$C$1325,"Green Stone Trust",Movimientos!$B$1:$B$1325,"&lt;="&amp;$B72)</f>
        <v>1968.99</v>
      </c>
      <c r="O72" s="24">
        <f>SUMIFS('Saldos Iniciales'!$D:$D,'Saldos Iniciales'!$A:$A,"EC Auto")+SUMIFS(Movimientos!$K$1:$K$1325,Movimientos!$C$1:$C$1325,"EC Auto",Movimientos!$B$1:$B$1325,"&lt;="&amp;$B72)</f>
        <v>382.69000000000005</v>
      </c>
      <c r="P72" s="24">
        <f>SUMIFS('Saldos Iniciales'!$D:$D,'Saldos Iniciales'!$A:$A,"Arbor Capital Properties")+SUMIFS(Movimientos!$K$1:$K$1325,Movimientos!$C$1:$C$1325,"Arbor Capital Properties",Movimientos!$B$1:$B$1325,"&lt;="&amp;$B72)</f>
        <v>1412.08</v>
      </c>
      <c r="Q72" s="24">
        <f>SUMIFS('Saldos Iniciales'!$D:$D,'Saldos Iniciales'!$A:$A,"2515 Overbrook")+SUMIFS(Movimientos!$K$1:$K$1325,Movimientos!$C$1:$C$1325,"2515 Overbrook",Movimientos!$B$1:$B$1325,"&lt;="&amp;$B72)</f>
        <v>22496.639999999959</v>
      </c>
      <c r="R72" s="24">
        <f>SUMIFS('Saldos Iniciales'!$D:$D,'Saldos Iniciales'!$A:$A,"112 Florida Ave")+SUMIFS(Movimientos!$K$1:$K$1325,Movimientos!$C$1:$C$1325,"112 Florida Ave",Movimientos!$B$1:$B$1325,"&lt;="&amp;$B72)</f>
        <v>6522.8000000000029</v>
      </c>
      <c r="S72" s="24">
        <f>SUMIFS('Saldos Iniciales'!$D:$D,'Saldos Iniciales'!$A:$A,"3628 Thomas Ave")+SUMIFS(Movimientos!$K$1:$K$1325,Movimientos!$C$1:$C$1325,"3628 Thomas Ave",Movimientos!$B$1:$B$1325,"&lt;="&amp;$B72)</f>
        <v>28485.559999999998</v>
      </c>
      <c r="T72" s="24">
        <f>SUMIFS('Saldos Iniciales'!$D:$D,'Saldos Iniciales'!$A:$A,"Green Harbor Trust")+SUMIFS(Movimientos!$K$1:$K$1325,Movimientos!$C$1:$C$1325,"Green Harbor Trust",Movimientos!$B$1:$B$1325,"&lt;="&amp;$B72)</f>
        <v>345</v>
      </c>
      <c r="U72" s="24">
        <f>SUMIFS('Saldos Iniciales'!$D:$D,'Saldos Iniciales'!$A:$A,"Go Blue")+SUMIFS(Movimientos!$K$1:$K$1325,Movimientos!$C$1:$C$1325,"Go Blue",Movimientos!$B$1:$B$1325,"&lt;="&amp;$B72)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LLC",Movimientos!$B$1:$B$1325,"&lt;="&amp;$B72))</f>
        <v>0</v>
      </c>
      <c r="W72" s="24">
        <f>IF(YEAR($B72)*100+MONTH($B72)&lt;--SUBSTITUTE(_xlfn.XLOOKUP("CFT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",Movimientos!$B$1:$B$1325,"&lt;="&amp;$B72))</f>
        <v>0</v>
      </c>
      <c r="AC72" s="24" t="e">
        <f>IF(YEAR($B72)*100+MONTH($B72)&lt;--SUBSTITUTE(_xlfn.XLOOKUP("SYIP",'Saldos Iniciales'!$A:$A,'Saldos Iniciales'!$C:$C),"-",""),0,SUMIFS('Saldos Iniciales'!$D:$D,'Saldos Iniciales'!$A:$A,"SYIP")+SUMIFS(Movimientos!$K$1:$K$1325,Movimientos!$C$1:$C$1325,"SYIP",Movimientos!$B$1:$B$1325,"&lt;="&amp;$B72))</f>
        <v>#N/A</v>
      </c>
      <c r="AD72" s="24">
        <f>IF(YEAR($B72)*100+MONTH($B72)&lt;--SUBSTITUTE(_xlfn.XLOOKUP("Nobe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Aparments",Movimientos!$B$1:$B$1325,"&lt;="&amp;$B72))</f>
        <v>0</v>
      </c>
      <c r="AE72" s="25" t="e">
        <f t="shared" si="3"/>
        <v>#N/A</v>
      </c>
    </row>
    <row r="73" spans="1:31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Group")+SUMIFS(Movimientos!$K$1:$K$1325,Movimientos!$C$1:$C$1325,"CFT Group",Movimientos!$B$1:$B$1325,"&lt;="&amp;$B73)</f>
        <v>4163755.7500000005</v>
      </c>
      <c r="D73" s="24">
        <f>SUMIFS('Saldos Iniciales'!$D:$D,'Saldos Iniciales'!$A:$A,"M1B")+SUMIFS(Movimientos!$K$1:$K$1325,Movimientos!$C$1:$C$1325,"M1B",Movimientos!$B$1:$B$1325,"&lt;="&amp;$B73)</f>
        <v>73157.680000000168</v>
      </c>
      <c r="E73" s="24">
        <f>SUMIFS('Saldos Iniciales'!$D:$D,'Saldos Iniciales'!$A:$A,"Durand")+SUMIFS(Movimientos!$K$1:$K$1325,Movimientos!$C$1:$C$1325,"Durand",Movimientos!$B$1:$B$1325,"&lt;="&amp;$B73)</f>
        <v>1669.89</v>
      </c>
      <c r="F73" s="24">
        <f>SUMIFS('Saldos Iniciales'!$D:$D,'Saldos Iniciales'!$A:$A,"A&amp;M Imports")+SUMIFS(Movimientos!$K$1:$K$1325,Movimientos!$C$1:$C$1325,"A&amp;M Imports",Movimientos!$B$1:$B$1325,"&lt;="&amp;$B73)</f>
        <v>290141.62999999989</v>
      </c>
      <c r="G73" s="24">
        <f>SUMIFS('Saldos Iniciales'!$D:$D,'Saldos Iniciales'!$A:$A,"SSP Capital")+SUMIFS(Movimientos!$K$1:$K$1325,Movimientos!$C$1:$C$1325,"SSP Capital",Movimientos!$B$1:$B$1325,"&lt;="&amp;$B73)</f>
        <v>1921752.2699999993</v>
      </c>
      <c r="H73" s="24">
        <f>SUMIFS('Saldos Iniciales'!$D:$D,'Saldos Iniciales'!$A:$A,"Cross Family Trust")+SUMIFS(Movimientos!$K$1:$K$1325,Movimientos!$C$1:$C$1325,"Cross Family Trust",Movimientos!$B$1:$B$1325,"&lt;="&amp;$B73)</f>
        <v>200496.38</v>
      </c>
      <c r="I73" s="24">
        <f>SUMIFS('Saldos Iniciales'!$D:$D,'Saldos Iniciales'!$A:$A,"Cross Security Trust")+SUMIFS(Movimientos!$K$1:$K$1325,Movimientos!$C$1:$C$1325,"Cross Security Trust",Movimientos!$B$1:$B$1325,"&lt;="&amp;$B73)</f>
        <v>88090.37</v>
      </c>
      <c r="J73" s="24">
        <f>SUMIFS('Saldos Iniciales'!$D:$D,'Saldos Iniciales'!$A:$A,"Electrama")+SUMIFS(Movimientos!$K$1:$K$1325,Movimientos!$C$1:$C$1325,"Electrama",Movimientos!$B$1:$B$1325,"&lt;="&amp;$B73)</f>
        <v>14580.45</v>
      </c>
      <c r="K73" s="24">
        <f>SUMIFS('Saldos Iniciales'!$D:$D,'Saldos Iniciales'!$A:$A,"Sacred Valley Capital")+SUMIFS(Movimientos!$K$1:$K$1325,Movimientos!$C$1:$C$1325,"Sacred Valley Capital",Movimientos!$B$1:$B$1325,"&lt;="&amp;$B73)</f>
        <v>54.400000000000006</v>
      </c>
      <c r="L73" s="24">
        <f>SUMIFS('Saldos Iniciales'!$D:$D,'Saldos Iniciales'!$A:$A,"YWC Capital")+SUMIFS(Movimientos!$K$1:$K$1325,Movimientos!$C$1:$C$1325,"YWC Capital",Movimientos!$B$1:$B$1325,"&lt;="&amp;$B73)</f>
        <v>2207.8200000000002</v>
      </c>
      <c r="M73" s="24">
        <f>SUMIFS('Saldos Iniciales'!$D:$D,'Saldos Iniciales'!$A:$A,"Soweto")+SUMIFS(Movimientos!$K$1:$K$1325,Movimientos!$C$1:$C$1325,"Soweto",Movimientos!$B$1:$B$1325,"&lt;="&amp;$B73)</f>
        <v>1454589.72</v>
      </c>
      <c r="N73" s="24">
        <f>SUMIFS('Saldos Iniciales'!$D:$D,'Saldos Iniciales'!$A:$A,"Green Stone Trust")+SUMIFS(Movimientos!$K$1:$K$1325,Movimientos!$C$1:$C$1325,"Green Stone Trust",Movimientos!$B$1:$B$1325,"&lt;="&amp;$B73)</f>
        <v>1968.99</v>
      </c>
      <c r="O73" s="24">
        <f>SUMIFS('Saldos Iniciales'!$D:$D,'Saldos Iniciales'!$A:$A,"EC Auto")+SUMIFS(Movimientos!$K$1:$K$1325,Movimientos!$C$1:$C$1325,"EC Auto",Movimientos!$B$1:$B$1325,"&lt;="&amp;$B73)</f>
        <v>382.69000000000005</v>
      </c>
      <c r="P73" s="24">
        <f>SUMIFS('Saldos Iniciales'!$D:$D,'Saldos Iniciales'!$A:$A,"Arbor Capital Properties")+SUMIFS(Movimientos!$K$1:$K$1325,Movimientos!$C$1:$C$1325,"Arbor Capital Properties",Movimientos!$B$1:$B$1325,"&lt;="&amp;$B73)</f>
        <v>1412.08</v>
      </c>
      <c r="Q73" s="24">
        <f>SUMIFS('Saldos Iniciales'!$D:$D,'Saldos Iniciales'!$A:$A,"2515 Overbrook")+SUMIFS(Movimientos!$K$1:$K$1325,Movimientos!$C$1:$C$1325,"2515 Overbrook",Movimientos!$B$1:$B$1325,"&lt;="&amp;$B73)</f>
        <v>22496.639999999959</v>
      </c>
      <c r="R73" s="24">
        <f>SUMIFS('Saldos Iniciales'!$D:$D,'Saldos Iniciales'!$A:$A,"112 Florida Ave")+SUMIFS(Movimientos!$K$1:$K$1325,Movimientos!$C$1:$C$1325,"112 Florida Ave",Movimientos!$B$1:$B$1325,"&lt;="&amp;$B73)</f>
        <v>6522.8000000000029</v>
      </c>
      <c r="S73" s="24">
        <f>SUMIFS('Saldos Iniciales'!$D:$D,'Saldos Iniciales'!$A:$A,"3628 Thomas Ave")+SUMIFS(Movimientos!$K$1:$K$1325,Movimientos!$C$1:$C$1325,"3628 Thomas Ave",Movimientos!$B$1:$B$1325,"&lt;="&amp;$B73)</f>
        <v>28485.559999999998</v>
      </c>
      <c r="T73" s="24">
        <f>SUMIFS('Saldos Iniciales'!$D:$D,'Saldos Iniciales'!$A:$A,"Green Harbor Trust")+SUMIFS(Movimientos!$K$1:$K$1325,Movimientos!$C$1:$C$1325,"Green Harbor Trust",Movimientos!$B$1:$B$1325,"&lt;="&amp;$B73)</f>
        <v>345</v>
      </c>
      <c r="U73" s="24">
        <f>SUMIFS('Saldos Iniciales'!$D:$D,'Saldos Iniciales'!$A:$A,"Go Blue")+SUMIFS(Movimientos!$K$1:$K$1325,Movimientos!$C$1:$C$1325,"Go Blue",Movimientos!$B$1:$B$1325,"&lt;="&amp;$B73)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LLC",Movimientos!$B$1:$B$1325,"&lt;="&amp;$B73))</f>
        <v>0</v>
      </c>
      <c r="W73" s="24">
        <f>IF(YEAR($B73)*100+MONTH($B73)&lt;--SUBSTITUTE(_xlfn.XLOOKUP("CFT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",Movimientos!$B$1:$B$1325,"&lt;="&amp;$B73))</f>
        <v>0</v>
      </c>
      <c r="AC73" s="24" t="e">
        <f>IF(YEAR($B73)*100+MONTH($B73)&lt;--SUBSTITUTE(_xlfn.XLOOKUP("SYIP",'Saldos Iniciales'!$A:$A,'Saldos Iniciales'!$C:$C),"-",""),0,SUMIFS('Saldos Iniciales'!$D:$D,'Saldos Iniciales'!$A:$A,"SYIP")+SUMIFS(Movimientos!$K$1:$K$1325,Movimientos!$C$1:$C$1325,"SYIP",Movimientos!$B$1:$B$1325,"&lt;="&amp;$B73))</f>
        <v>#N/A</v>
      </c>
      <c r="AD73" s="24">
        <f>IF(YEAR($B73)*100+MONTH($B73)&lt;--SUBSTITUTE(_xlfn.XLOOKUP("Nobe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Aparments",Movimientos!$B$1:$B$1325,"&lt;="&amp;$B73))</f>
        <v>0</v>
      </c>
      <c r="AE73" s="25" t="e">
        <f t="shared" si="3"/>
        <v>#N/A</v>
      </c>
    </row>
    <row r="74" spans="1:31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Group")+SUMIFS(Movimientos!$K$1:$K$1325,Movimientos!$C$1:$C$1325,"CFT Group",Movimientos!$B$1:$B$1325,"&lt;="&amp;$B74)</f>
        <v>4163755.7500000005</v>
      </c>
      <c r="D74" s="24">
        <f>SUMIFS('Saldos Iniciales'!$D:$D,'Saldos Iniciales'!$A:$A,"M1B")+SUMIFS(Movimientos!$K$1:$K$1325,Movimientos!$C$1:$C$1325,"M1B",Movimientos!$B$1:$B$1325,"&lt;="&amp;$B74)</f>
        <v>73157.680000000168</v>
      </c>
      <c r="E74" s="24">
        <f>SUMIFS('Saldos Iniciales'!$D:$D,'Saldos Iniciales'!$A:$A,"Durand")+SUMIFS(Movimientos!$K$1:$K$1325,Movimientos!$C$1:$C$1325,"Durand",Movimientos!$B$1:$B$1325,"&lt;="&amp;$B74)</f>
        <v>1669.89</v>
      </c>
      <c r="F74" s="24">
        <f>SUMIFS('Saldos Iniciales'!$D:$D,'Saldos Iniciales'!$A:$A,"A&amp;M Imports")+SUMIFS(Movimientos!$K$1:$K$1325,Movimientos!$C$1:$C$1325,"A&amp;M Imports",Movimientos!$B$1:$B$1325,"&lt;="&amp;$B74)</f>
        <v>290141.62999999989</v>
      </c>
      <c r="G74" s="24">
        <f>SUMIFS('Saldos Iniciales'!$D:$D,'Saldos Iniciales'!$A:$A,"SSP Capital")+SUMIFS(Movimientos!$K$1:$K$1325,Movimientos!$C$1:$C$1325,"SSP Capital",Movimientos!$B$1:$B$1325,"&lt;="&amp;$B74)</f>
        <v>1921752.2699999993</v>
      </c>
      <c r="H74" s="24">
        <f>SUMIFS('Saldos Iniciales'!$D:$D,'Saldos Iniciales'!$A:$A,"Cross Family Trust")+SUMIFS(Movimientos!$K$1:$K$1325,Movimientos!$C$1:$C$1325,"Cross Family Trust",Movimientos!$B$1:$B$1325,"&lt;="&amp;$B74)</f>
        <v>200496.38</v>
      </c>
      <c r="I74" s="24">
        <f>SUMIFS('Saldos Iniciales'!$D:$D,'Saldos Iniciales'!$A:$A,"Cross Security Trust")+SUMIFS(Movimientos!$K$1:$K$1325,Movimientos!$C$1:$C$1325,"Cross Security Trust",Movimientos!$B$1:$B$1325,"&lt;="&amp;$B74)</f>
        <v>88090.37</v>
      </c>
      <c r="J74" s="24">
        <f>SUMIFS('Saldos Iniciales'!$D:$D,'Saldos Iniciales'!$A:$A,"Electrama")+SUMIFS(Movimientos!$K$1:$K$1325,Movimientos!$C$1:$C$1325,"Electrama",Movimientos!$B$1:$B$1325,"&lt;="&amp;$B74)</f>
        <v>14580.45</v>
      </c>
      <c r="K74" s="24">
        <f>SUMIFS('Saldos Iniciales'!$D:$D,'Saldos Iniciales'!$A:$A,"Sacred Valley Capital")+SUMIFS(Movimientos!$K$1:$K$1325,Movimientos!$C$1:$C$1325,"Sacred Valley Capital",Movimientos!$B$1:$B$1325,"&lt;="&amp;$B74)</f>
        <v>54.400000000000006</v>
      </c>
      <c r="L74" s="24">
        <f>SUMIFS('Saldos Iniciales'!$D:$D,'Saldos Iniciales'!$A:$A,"YWC Capital")+SUMIFS(Movimientos!$K$1:$K$1325,Movimientos!$C$1:$C$1325,"YWC Capital",Movimientos!$B$1:$B$1325,"&lt;="&amp;$B74)</f>
        <v>2207.8200000000002</v>
      </c>
      <c r="M74" s="24">
        <f>SUMIFS('Saldos Iniciales'!$D:$D,'Saldos Iniciales'!$A:$A,"Soweto")+SUMIFS(Movimientos!$K$1:$K$1325,Movimientos!$C$1:$C$1325,"Soweto",Movimientos!$B$1:$B$1325,"&lt;="&amp;$B74)</f>
        <v>1454589.72</v>
      </c>
      <c r="N74" s="24">
        <f>SUMIFS('Saldos Iniciales'!$D:$D,'Saldos Iniciales'!$A:$A,"Green Stone Trust")+SUMIFS(Movimientos!$K$1:$K$1325,Movimientos!$C$1:$C$1325,"Green Stone Trust",Movimientos!$B$1:$B$1325,"&lt;="&amp;$B74)</f>
        <v>1968.99</v>
      </c>
      <c r="O74" s="24">
        <f>SUMIFS('Saldos Iniciales'!$D:$D,'Saldos Iniciales'!$A:$A,"EC Auto")+SUMIFS(Movimientos!$K$1:$K$1325,Movimientos!$C$1:$C$1325,"EC Auto",Movimientos!$B$1:$B$1325,"&lt;="&amp;$B74)</f>
        <v>382.69000000000005</v>
      </c>
      <c r="P74" s="24">
        <f>SUMIFS('Saldos Iniciales'!$D:$D,'Saldos Iniciales'!$A:$A,"Arbor Capital Properties")+SUMIFS(Movimientos!$K$1:$K$1325,Movimientos!$C$1:$C$1325,"Arbor Capital Properties",Movimientos!$B$1:$B$1325,"&lt;="&amp;$B74)</f>
        <v>1412.08</v>
      </c>
      <c r="Q74" s="24">
        <f>SUMIFS('Saldos Iniciales'!$D:$D,'Saldos Iniciales'!$A:$A,"2515 Overbrook")+SUMIFS(Movimientos!$K$1:$K$1325,Movimientos!$C$1:$C$1325,"2515 Overbrook",Movimientos!$B$1:$B$1325,"&lt;="&amp;$B74)</f>
        <v>22496.639999999959</v>
      </c>
      <c r="R74" s="24">
        <f>SUMIFS('Saldos Iniciales'!$D:$D,'Saldos Iniciales'!$A:$A,"112 Florida Ave")+SUMIFS(Movimientos!$K$1:$K$1325,Movimientos!$C$1:$C$1325,"112 Florida Ave",Movimientos!$B$1:$B$1325,"&lt;="&amp;$B74)</f>
        <v>6522.8000000000029</v>
      </c>
      <c r="S74" s="24">
        <f>SUMIFS('Saldos Iniciales'!$D:$D,'Saldos Iniciales'!$A:$A,"3628 Thomas Ave")+SUMIFS(Movimientos!$K$1:$K$1325,Movimientos!$C$1:$C$1325,"3628 Thomas Ave",Movimientos!$B$1:$B$1325,"&lt;="&amp;$B74)</f>
        <v>28485.559999999998</v>
      </c>
      <c r="T74" s="24">
        <f>SUMIFS('Saldos Iniciales'!$D:$D,'Saldos Iniciales'!$A:$A,"Green Harbor Trust")+SUMIFS(Movimientos!$K$1:$K$1325,Movimientos!$C$1:$C$1325,"Green Harbor Trust",Movimientos!$B$1:$B$1325,"&lt;="&amp;$B74)</f>
        <v>345</v>
      </c>
      <c r="U74" s="24">
        <f>SUMIFS('Saldos Iniciales'!$D:$D,'Saldos Iniciales'!$A:$A,"Go Blue")+SUMIFS(Movimientos!$K$1:$K$1325,Movimientos!$C$1:$C$1325,"Go Blue",Movimientos!$B$1:$B$1325,"&lt;="&amp;$B74)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LLC",Movimientos!$B$1:$B$1325,"&lt;="&amp;$B74))</f>
        <v>0</v>
      </c>
      <c r="W74" s="24">
        <f>IF(YEAR($B74)*100+MONTH($B74)&lt;--SUBSTITUTE(_xlfn.XLOOKUP("CFT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",Movimientos!$B$1:$B$1325,"&lt;="&amp;$B74))</f>
        <v>0</v>
      </c>
      <c r="AC74" s="24" t="e">
        <f>IF(YEAR($B74)*100+MONTH($B74)&lt;--SUBSTITUTE(_xlfn.XLOOKUP("SYIP",'Saldos Iniciales'!$A:$A,'Saldos Iniciales'!$C:$C),"-",""),0,SUMIFS('Saldos Iniciales'!$D:$D,'Saldos Iniciales'!$A:$A,"SYIP")+SUMIFS(Movimientos!$K$1:$K$1325,Movimientos!$C$1:$C$1325,"SYIP",Movimientos!$B$1:$B$1325,"&lt;="&amp;$B74))</f>
        <v>#N/A</v>
      </c>
      <c r="AD74" s="24">
        <f>IF(YEAR($B74)*100+MONTH($B74)&lt;--SUBSTITUTE(_xlfn.XLOOKUP("Nobe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Aparments",Movimientos!$B$1:$B$1325,"&lt;="&amp;$B74))</f>
        <v>0</v>
      </c>
      <c r="AE74" s="25" t="e">
        <f t="shared" si="3"/>
        <v>#N/A</v>
      </c>
    </row>
    <row r="75" spans="1:31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Group")+SUMIFS(Movimientos!$K$1:$K$1325,Movimientos!$C$1:$C$1325,"CFT Group",Movimientos!$B$1:$B$1325,"&lt;="&amp;$B75)</f>
        <v>4163755.7500000005</v>
      </c>
      <c r="D75" s="24">
        <f>SUMIFS('Saldos Iniciales'!$D:$D,'Saldos Iniciales'!$A:$A,"M1B")+SUMIFS(Movimientos!$K$1:$K$1325,Movimientos!$C$1:$C$1325,"M1B",Movimientos!$B$1:$B$1325,"&lt;="&amp;$B75)</f>
        <v>73157.680000000168</v>
      </c>
      <c r="E75" s="24">
        <f>SUMIFS('Saldos Iniciales'!$D:$D,'Saldos Iniciales'!$A:$A,"Durand")+SUMIFS(Movimientos!$K$1:$K$1325,Movimientos!$C$1:$C$1325,"Durand",Movimientos!$B$1:$B$1325,"&lt;="&amp;$B75)</f>
        <v>1669.89</v>
      </c>
      <c r="F75" s="24">
        <f>SUMIFS('Saldos Iniciales'!$D:$D,'Saldos Iniciales'!$A:$A,"A&amp;M Imports")+SUMIFS(Movimientos!$K$1:$K$1325,Movimientos!$C$1:$C$1325,"A&amp;M Imports",Movimientos!$B$1:$B$1325,"&lt;="&amp;$B75)</f>
        <v>290141.62999999989</v>
      </c>
      <c r="G75" s="24">
        <f>SUMIFS('Saldos Iniciales'!$D:$D,'Saldos Iniciales'!$A:$A,"SSP Capital")+SUMIFS(Movimientos!$K$1:$K$1325,Movimientos!$C$1:$C$1325,"SSP Capital",Movimientos!$B$1:$B$1325,"&lt;="&amp;$B75)</f>
        <v>1921752.2699999993</v>
      </c>
      <c r="H75" s="24">
        <f>SUMIFS('Saldos Iniciales'!$D:$D,'Saldos Iniciales'!$A:$A,"Cross Family Trust")+SUMIFS(Movimientos!$K$1:$K$1325,Movimientos!$C$1:$C$1325,"Cross Family Trust",Movimientos!$B$1:$B$1325,"&lt;="&amp;$B75)</f>
        <v>200496.38</v>
      </c>
      <c r="I75" s="24">
        <f>SUMIFS('Saldos Iniciales'!$D:$D,'Saldos Iniciales'!$A:$A,"Cross Security Trust")+SUMIFS(Movimientos!$K$1:$K$1325,Movimientos!$C$1:$C$1325,"Cross Security Trust",Movimientos!$B$1:$B$1325,"&lt;="&amp;$B75)</f>
        <v>88090.37</v>
      </c>
      <c r="J75" s="24">
        <f>SUMIFS('Saldos Iniciales'!$D:$D,'Saldos Iniciales'!$A:$A,"Electrama")+SUMIFS(Movimientos!$K$1:$K$1325,Movimientos!$C$1:$C$1325,"Electrama",Movimientos!$B$1:$B$1325,"&lt;="&amp;$B75)</f>
        <v>14580.45</v>
      </c>
      <c r="K75" s="24">
        <f>SUMIFS('Saldos Iniciales'!$D:$D,'Saldos Iniciales'!$A:$A,"Sacred Valley Capital")+SUMIFS(Movimientos!$K$1:$K$1325,Movimientos!$C$1:$C$1325,"Sacred Valley Capital",Movimientos!$B$1:$B$1325,"&lt;="&amp;$B75)</f>
        <v>54.400000000000006</v>
      </c>
      <c r="L75" s="24">
        <f>SUMIFS('Saldos Iniciales'!$D:$D,'Saldos Iniciales'!$A:$A,"YWC Capital")+SUMIFS(Movimientos!$K$1:$K$1325,Movimientos!$C$1:$C$1325,"YWC Capital",Movimientos!$B$1:$B$1325,"&lt;="&amp;$B75)</f>
        <v>2207.8200000000002</v>
      </c>
      <c r="M75" s="24">
        <f>SUMIFS('Saldos Iniciales'!$D:$D,'Saldos Iniciales'!$A:$A,"Soweto")+SUMIFS(Movimientos!$K$1:$K$1325,Movimientos!$C$1:$C$1325,"Soweto",Movimientos!$B$1:$B$1325,"&lt;="&amp;$B75)</f>
        <v>1454589.72</v>
      </c>
      <c r="N75" s="24">
        <f>SUMIFS('Saldos Iniciales'!$D:$D,'Saldos Iniciales'!$A:$A,"Green Stone Trust")+SUMIFS(Movimientos!$K$1:$K$1325,Movimientos!$C$1:$C$1325,"Green Stone Trust",Movimientos!$B$1:$B$1325,"&lt;="&amp;$B75)</f>
        <v>1968.99</v>
      </c>
      <c r="O75" s="24">
        <f>SUMIFS('Saldos Iniciales'!$D:$D,'Saldos Iniciales'!$A:$A,"EC Auto")+SUMIFS(Movimientos!$K$1:$K$1325,Movimientos!$C$1:$C$1325,"EC Auto",Movimientos!$B$1:$B$1325,"&lt;="&amp;$B75)</f>
        <v>901.34</v>
      </c>
      <c r="P75" s="24">
        <f>SUMIFS('Saldos Iniciales'!$D:$D,'Saldos Iniciales'!$A:$A,"Arbor Capital Properties")+SUMIFS(Movimientos!$K$1:$K$1325,Movimientos!$C$1:$C$1325,"Arbor Capital Properties",Movimientos!$B$1:$B$1325,"&lt;="&amp;$B75)</f>
        <v>1412.08</v>
      </c>
      <c r="Q75" s="24">
        <f>SUMIFS('Saldos Iniciales'!$D:$D,'Saldos Iniciales'!$A:$A,"2515 Overbrook")+SUMIFS(Movimientos!$K$1:$K$1325,Movimientos!$C$1:$C$1325,"2515 Overbrook",Movimientos!$B$1:$B$1325,"&lt;="&amp;$B75)</f>
        <v>22496.639999999959</v>
      </c>
      <c r="R75" s="24">
        <f>SUMIFS('Saldos Iniciales'!$D:$D,'Saldos Iniciales'!$A:$A,"112 Florida Ave")+SUMIFS(Movimientos!$K$1:$K$1325,Movimientos!$C$1:$C$1325,"112 Florida Ave",Movimientos!$B$1:$B$1325,"&lt;="&amp;$B75)</f>
        <v>6522.8000000000029</v>
      </c>
      <c r="S75" s="24">
        <f>SUMIFS('Saldos Iniciales'!$D:$D,'Saldos Iniciales'!$A:$A,"3628 Thomas Ave")+SUMIFS(Movimientos!$K$1:$K$1325,Movimientos!$C$1:$C$1325,"3628 Thomas Ave",Movimientos!$B$1:$B$1325,"&lt;="&amp;$B75)</f>
        <v>28485.559999999998</v>
      </c>
      <c r="T75" s="24">
        <f>SUMIFS('Saldos Iniciales'!$D:$D,'Saldos Iniciales'!$A:$A,"Green Harbor Trust")+SUMIFS(Movimientos!$K$1:$K$1325,Movimientos!$C$1:$C$1325,"Green Harbor Trust",Movimientos!$B$1:$B$1325,"&lt;="&amp;$B75)</f>
        <v>345</v>
      </c>
      <c r="U75" s="24">
        <f>SUMIFS('Saldos Iniciales'!$D:$D,'Saldos Iniciales'!$A:$A,"Go Blue")+SUMIFS(Movimientos!$K$1:$K$1325,Movimientos!$C$1:$C$1325,"Go Blue",Movimientos!$B$1:$B$1325,"&lt;="&amp;$B75)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LLC",Movimientos!$B$1:$B$1325,"&lt;="&amp;$B75))</f>
        <v>0</v>
      </c>
      <c r="W75" s="24">
        <f>IF(YEAR($B75)*100+MONTH($B75)&lt;--SUBSTITUTE(_xlfn.XLOOKUP("CFT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",Movimientos!$B$1:$B$1325,"&lt;="&amp;$B75))</f>
        <v>0</v>
      </c>
      <c r="AC75" s="24" t="e">
        <f>IF(YEAR($B75)*100+MONTH($B75)&lt;--SUBSTITUTE(_xlfn.XLOOKUP("SYIP",'Saldos Iniciales'!$A:$A,'Saldos Iniciales'!$C:$C),"-",""),0,SUMIFS('Saldos Iniciales'!$D:$D,'Saldos Iniciales'!$A:$A,"SYIP")+SUMIFS(Movimientos!$K$1:$K$1325,Movimientos!$C$1:$C$1325,"SYIP",Movimientos!$B$1:$B$1325,"&lt;="&amp;$B75))</f>
        <v>#N/A</v>
      </c>
      <c r="AD75" s="24">
        <f>IF(YEAR($B75)*100+MONTH($B75)&lt;--SUBSTITUTE(_xlfn.XLOOKUP("Nobe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Aparments",Movimientos!$B$1:$B$1325,"&lt;="&amp;$B75))</f>
        <v>0</v>
      </c>
      <c r="AE75" s="25" t="e">
        <f t="shared" si="3"/>
        <v>#N/A</v>
      </c>
    </row>
    <row r="76" spans="1:31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Group")+SUMIFS(Movimientos!$K$1:$K$1325,Movimientos!$C$1:$C$1325,"CFT Group",Movimientos!$B$1:$B$1325,"&lt;="&amp;$B76)</f>
        <v>3363755.7500000005</v>
      </c>
      <c r="D76" s="24">
        <f>SUMIFS('Saldos Iniciales'!$D:$D,'Saldos Iniciales'!$A:$A,"M1B")+SUMIFS(Movimientos!$K$1:$K$1325,Movimientos!$C$1:$C$1325,"M1B",Movimientos!$B$1:$B$1325,"&lt;="&amp;$B76)</f>
        <v>73157.680000000168</v>
      </c>
      <c r="E76" s="24">
        <f>SUMIFS('Saldos Iniciales'!$D:$D,'Saldos Iniciales'!$A:$A,"Durand")+SUMIFS(Movimientos!$K$1:$K$1325,Movimientos!$C$1:$C$1325,"Durand",Movimientos!$B$1:$B$1325,"&lt;="&amp;$B76)</f>
        <v>1669.89</v>
      </c>
      <c r="F76" s="24">
        <f>SUMIFS('Saldos Iniciales'!$D:$D,'Saldos Iniciales'!$A:$A,"A&amp;M Imports")+SUMIFS(Movimientos!$K$1:$K$1325,Movimientos!$C$1:$C$1325,"A&amp;M Imports",Movimientos!$B$1:$B$1325,"&lt;="&amp;$B76)</f>
        <v>1090141.6299999999</v>
      </c>
      <c r="G76" s="24">
        <f>SUMIFS('Saldos Iniciales'!$D:$D,'Saldos Iniciales'!$A:$A,"SSP Capital")+SUMIFS(Movimientos!$K$1:$K$1325,Movimientos!$C$1:$C$1325,"SSP Capital",Movimientos!$B$1:$B$1325,"&lt;="&amp;$B76)</f>
        <v>1856542.8899999992</v>
      </c>
      <c r="H76" s="24">
        <f>SUMIFS('Saldos Iniciales'!$D:$D,'Saldos Iniciales'!$A:$A,"Cross Family Trust")+SUMIFS(Movimientos!$K$1:$K$1325,Movimientos!$C$1:$C$1325,"Cross Family Trust",Movimientos!$B$1:$B$1325,"&lt;="&amp;$B76)</f>
        <v>200496.38</v>
      </c>
      <c r="I76" s="24">
        <f>SUMIFS('Saldos Iniciales'!$D:$D,'Saldos Iniciales'!$A:$A,"Cross Security Trust")+SUMIFS(Movimientos!$K$1:$K$1325,Movimientos!$C$1:$C$1325,"Cross Security Trust",Movimientos!$B$1:$B$1325,"&lt;="&amp;$B76)</f>
        <v>88090.37</v>
      </c>
      <c r="J76" s="24">
        <f>SUMIFS('Saldos Iniciales'!$D:$D,'Saldos Iniciales'!$A:$A,"Electrama")+SUMIFS(Movimientos!$K$1:$K$1325,Movimientos!$C$1:$C$1325,"Electrama",Movimientos!$B$1:$B$1325,"&lt;="&amp;$B76)</f>
        <v>14580.45</v>
      </c>
      <c r="K76" s="24">
        <f>SUMIFS('Saldos Iniciales'!$D:$D,'Saldos Iniciales'!$A:$A,"Sacred Valley Capital")+SUMIFS(Movimientos!$K$1:$K$1325,Movimientos!$C$1:$C$1325,"Sacred Valley Capital",Movimientos!$B$1:$B$1325,"&lt;="&amp;$B76)</f>
        <v>54.400000000000006</v>
      </c>
      <c r="L76" s="24">
        <f>SUMIFS('Saldos Iniciales'!$D:$D,'Saldos Iniciales'!$A:$A,"YWC Capital")+SUMIFS(Movimientos!$K$1:$K$1325,Movimientos!$C$1:$C$1325,"YWC Capital",Movimientos!$B$1:$B$1325,"&lt;="&amp;$B76)</f>
        <v>2207.8200000000002</v>
      </c>
      <c r="M76" s="24">
        <f>SUMIFS('Saldos Iniciales'!$D:$D,'Saldos Iniciales'!$A:$A,"Soweto")+SUMIFS(Movimientos!$K$1:$K$1325,Movimientos!$C$1:$C$1325,"Soweto",Movimientos!$B$1:$B$1325,"&lt;="&amp;$B76)</f>
        <v>1454589.72</v>
      </c>
      <c r="N76" s="24">
        <f>SUMIFS('Saldos Iniciales'!$D:$D,'Saldos Iniciales'!$A:$A,"Green Stone Trust")+SUMIFS(Movimientos!$K$1:$K$1325,Movimientos!$C$1:$C$1325,"Green Stone Trust",Movimientos!$B$1:$B$1325,"&lt;="&amp;$B76)</f>
        <v>1968.99</v>
      </c>
      <c r="O76" s="24">
        <f>SUMIFS('Saldos Iniciales'!$D:$D,'Saldos Iniciales'!$A:$A,"EC Auto")+SUMIFS(Movimientos!$K$1:$K$1325,Movimientos!$C$1:$C$1325,"EC Auto",Movimientos!$B$1:$B$1325,"&lt;="&amp;$B76)</f>
        <v>901.34</v>
      </c>
      <c r="P76" s="24">
        <f>SUMIFS('Saldos Iniciales'!$D:$D,'Saldos Iniciales'!$A:$A,"Arbor Capital Properties")+SUMIFS(Movimientos!$K$1:$K$1325,Movimientos!$C$1:$C$1325,"Arbor Capital Properties",Movimientos!$B$1:$B$1325,"&lt;="&amp;$B76)</f>
        <v>1412.08</v>
      </c>
      <c r="Q76" s="24">
        <f>SUMIFS('Saldos Iniciales'!$D:$D,'Saldos Iniciales'!$A:$A,"2515 Overbrook")+SUMIFS(Movimientos!$K$1:$K$1325,Movimientos!$C$1:$C$1325,"2515 Overbrook",Movimientos!$B$1:$B$1325,"&lt;="&amp;$B76)</f>
        <v>22347.56999999996</v>
      </c>
      <c r="R76" s="24">
        <f>SUMIFS('Saldos Iniciales'!$D:$D,'Saldos Iniciales'!$A:$A,"112 Florida Ave")+SUMIFS(Movimientos!$K$1:$K$1325,Movimientos!$C$1:$C$1325,"112 Florida Ave",Movimientos!$B$1:$B$1325,"&lt;="&amp;$B76)</f>
        <v>6522.8000000000029</v>
      </c>
      <c r="S76" s="24">
        <f>SUMIFS('Saldos Iniciales'!$D:$D,'Saldos Iniciales'!$A:$A,"3628 Thomas Ave")+SUMIFS(Movimientos!$K$1:$K$1325,Movimientos!$C$1:$C$1325,"3628 Thomas Ave",Movimientos!$B$1:$B$1325,"&lt;="&amp;$B76)</f>
        <v>28485.559999999998</v>
      </c>
      <c r="T76" s="24">
        <f>SUMIFS('Saldos Iniciales'!$D:$D,'Saldos Iniciales'!$A:$A,"Green Harbor Trust")+SUMIFS(Movimientos!$K$1:$K$1325,Movimientos!$C$1:$C$1325,"Green Harbor Trust",Movimientos!$B$1:$B$1325,"&lt;="&amp;$B76)</f>
        <v>345</v>
      </c>
      <c r="U76" s="24">
        <f>SUMIFS('Saldos Iniciales'!$D:$D,'Saldos Iniciales'!$A:$A,"Go Blue")+SUMIFS(Movimientos!$K$1:$K$1325,Movimientos!$C$1:$C$1325,"Go Blue",Movimientos!$B$1:$B$1325,"&lt;="&amp;$B76)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LLC",Movimientos!$B$1:$B$1325,"&lt;="&amp;$B76))</f>
        <v>0</v>
      </c>
      <c r="W76" s="24">
        <f>IF(YEAR($B76)*100+MONTH($B76)&lt;--SUBSTITUTE(_xlfn.XLOOKUP("CFT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",Movimientos!$B$1:$B$1325,"&lt;="&amp;$B76))</f>
        <v>0</v>
      </c>
      <c r="AC76" s="24" t="e">
        <f>IF(YEAR($B76)*100+MONTH($B76)&lt;--SUBSTITUTE(_xlfn.XLOOKUP("SYIP",'Saldos Iniciales'!$A:$A,'Saldos Iniciales'!$C:$C),"-",""),0,SUMIFS('Saldos Iniciales'!$D:$D,'Saldos Iniciales'!$A:$A,"SYIP")+SUMIFS(Movimientos!$K$1:$K$1325,Movimientos!$C$1:$C$1325,"SYIP",Movimientos!$B$1:$B$1325,"&lt;="&amp;$B76))</f>
        <v>#N/A</v>
      </c>
      <c r="AD76" s="24">
        <f>IF(YEAR($B76)*100+MONTH($B76)&lt;--SUBSTITUTE(_xlfn.XLOOKUP("Nobe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Aparments",Movimientos!$B$1:$B$1325,"&lt;="&amp;$B76))</f>
        <v>0</v>
      </c>
      <c r="AE76" s="25" t="e">
        <f t="shared" si="3"/>
        <v>#N/A</v>
      </c>
    </row>
    <row r="77" spans="1:31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Group")+SUMIFS(Movimientos!$K$1:$K$1325,Movimientos!$C$1:$C$1325,"CFT Group",Movimientos!$B$1:$B$1325,"&lt;="&amp;$B77)</f>
        <v>3363755.7500000005</v>
      </c>
      <c r="D77" s="24">
        <f>SUMIFS('Saldos Iniciales'!$D:$D,'Saldos Iniciales'!$A:$A,"M1B")+SUMIFS(Movimientos!$K$1:$K$1325,Movimientos!$C$1:$C$1325,"M1B",Movimientos!$B$1:$B$1325,"&lt;="&amp;$B77)</f>
        <v>73157.680000000168</v>
      </c>
      <c r="E77" s="24">
        <f>SUMIFS('Saldos Iniciales'!$D:$D,'Saldos Iniciales'!$A:$A,"Durand")+SUMIFS(Movimientos!$K$1:$K$1325,Movimientos!$C$1:$C$1325,"Durand",Movimientos!$B$1:$B$1325,"&lt;="&amp;$B77)</f>
        <v>1669.89</v>
      </c>
      <c r="F77" s="24">
        <f>SUMIFS('Saldos Iniciales'!$D:$D,'Saldos Iniciales'!$A:$A,"A&amp;M Imports")+SUMIFS(Movimientos!$K$1:$K$1325,Movimientos!$C$1:$C$1325,"A&amp;M Imports",Movimientos!$B$1:$B$1325,"&lt;="&amp;$B77)</f>
        <v>1089804.7499999998</v>
      </c>
      <c r="G77" s="24">
        <f>SUMIFS('Saldos Iniciales'!$D:$D,'Saldos Iniciales'!$A:$A,"SSP Capital")+SUMIFS(Movimientos!$K$1:$K$1325,Movimientos!$C$1:$C$1325,"SSP Capital",Movimientos!$B$1:$B$1325,"&lt;="&amp;$B77)</f>
        <v>1856513.4499999993</v>
      </c>
      <c r="H77" s="24">
        <f>SUMIFS('Saldos Iniciales'!$D:$D,'Saldos Iniciales'!$A:$A,"Cross Family Trust")+SUMIFS(Movimientos!$K$1:$K$1325,Movimientos!$C$1:$C$1325,"Cross Family Trust",Movimientos!$B$1:$B$1325,"&lt;="&amp;$B77)</f>
        <v>200496.38</v>
      </c>
      <c r="I77" s="24">
        <f>SUMIFS('Saldos Iniciales'!$D:$D,'Saldos Iniciales'!$A:$A,"Cross Security Trust")+SUMIFS(Movimientos!$K$1:$K$1325,Movimientos!$C$1:$C$1325,"Cross Security Trust",Movimientos!$B$1:$B$1325,"&lt;="&amp;$B77)</f>
        <v>88090.37</v>
      </c>
      <c r="J77" s="24">
        <f>SUMIFS('Saldos Iniciales'!$D:$D,'Saldos Iniciales'!$A:$A,"Electrama")+SUMIFS(Movimientos!$K$1:$K$1325,Movimientos!$C$1:$C$1325,"Electrama",Movimientos!$B$1:$B$1325,"&lt;="&amp;$B77)</f>
        <v>14580.45</v>
      </c>
      <c r="K77" s="24">
        <f>SUMIFS('Saldos Iniciales'!$D:$D,'Saldos Iniciales'!$A:$A,"Sacred Valley Capital")+SUMIFS(Movimientos!$K$1:$K$1325,Movimientos!$C$1:$C$1325,"Sacred Valley Capital",Movimientos!$B$1:$B$1325,"&lt;="&amp;$B77)</f>
        <v>54.400000000000006</v>
      </c>
      <c r="L77" s="24">
        <f>SUMIFS('Saldos Iniciales'!$D:$D,'Saldos Iniciales'!$A:$A,"YWC Capital")+SUMIFS(Movimientos!$K$1:$K$1325,Movimientos!$C$1:$C$1325,"YWC Capital",Movimientos!$B$1:$B$1325,"&lt;="&amp;$B77)</f>
        <v>2207.8200000000002</v>
      </c>
      <c r="M77" s="24">
        <f>SUMIFS('Saldos Iniciales'!$D:$D,'Saldos Iniciales'!$A:$A,"Soweto")+SUMIFS(Movimientos!$K$1:$K$1325,Movimientos!$C$1:$C$1325,"Soweto",Movimientos!$B$1:$B$1325,"&lt;="&amp;$B77)</f>
        <v>1454589.72</v>
      </c>
      <c r="N77" s="24">
        <f>SUMIFS('Saldos Iniciales'!$D:$D,'Saldos Iniciales'!$A:$A,"Green Stone Trust")+SUMIFS(Movimientos!$K$1:$K$1325,Movimientos!$C$1:$C$1325,"Green Stone Trust",Movimientos!$B$1:$B$1325,"&lt;="&amp;$B77)</f>
        <v>1968.99</v>
      </c>
      <c r="O77" s="24">
        <f>SUMIFS('Saldos Iniciales'!$D:$D,'Saldos Iniciales'!$A:$A,"EC Auto")+SUMIFS(Movimientos!$K$1:$K$1325,Movimientos!$C$1:$C$1325,"EC Auto",Movimientos!$B$1:$B$1325,"&lt;="&amp;$B77)</f>
        <v>901.34</v>
      </c>
      <c r="P77" s="24">
        <f>SUMIFS('Saldos Iniciales'!$D:$D,'Saldos Iniciales'!$A:$A,"Arbor Capital Properties")+SUMIFS(Movimientos!$K$1:$K$1325,Movimientos!$C$1:$C$1325,"Arbor Capital Properties",Movimientos!$B$1:$B$1325,"&lt;="&amp;$B77)</f>
        <v>1412.08</v>
      </c>
      <c r="Q77" s="24">
        <f>SUMIFS('Saldos Iniciales'!$D:$D,'Saldos Iniciales'!$A:$A,"2515 Overbrook")+SUMIFS(Movimientos!$K$1:$K$1325,Movimientos!$C$1:$C$1325,"2515 Overbrook",Movimientos!$B$1:$B$1325,"&lt;="&amp;$B77)</f>
        <v>22347.56999999996</v>
      </c>
      <c r="R77" s="24">
        <f>SUMIFS('Saldos Iniciales'!$D:$D,'Saldos Iniciales'!$A:$A,"112 Florida Ave")+SUMIFS(Movimientos!$K$1:$K$1325,Movimientos!$C$1:$C$1325,"112 Florida Ave",Movimientos!$B$1:$B$1325,"&lt;="&amp;$B77)</f>
        <v>6522.8000000000029</v>
      </c>
      <c r="S77" s="24">
        <f>SUMIFS('Saldos Iniciales'!$D:$D,'Saldos Iniciales'!$A:$A,"3628 Thomas Ave")+SUMIFS(Movimientos!$K$1:$K$1325,Movimientos!$C$1:$C$1325,"3628 Thomas Ave",Movimientos!$B$1:$B$1325,"&lt;="&amp;$B77)</f>
        <v>28485.559999999998</v>
      </c>
      <c r="T77" s="24">
        <f>SUMIFS('Saldos Iniciales'!$D:$D,'Saldos Iniciales'!$A:$A,"Green Harbor Trust")+SUMIFS(Movimientos!$K$1:$K$1325,Movimientos!$C$1:$C$1325,"Green Harbor Trust",Movimientos!$B$1:$B$1325,"&lt;="&amp;$B77)</f>
        <v>345</v>
      </c>
      <c r="U77" s="24">
        <f>SUMIFS('Saldos Iniciales'!$D:$D,'Saldos Iniciales'!$A:$A,"Go Blue")+SUMIFS(Movimientos!$K$1:$K$1325,Movimientos!$C$1:$C$1325,"Go Blue",Movimientos!$B$1:$B$1325,"&lt;="&amp;$B77)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LLC",Movimientos!$B$1:$B$1325,"&lt;="&amp;$B77))</f>
        <v>0</v>
      </c>
      <c r="W77" s="24">
        <f>IF(YEAR($B77)*100+MONTH($B77)&lt;--SUBSTITUTE(_xlfn.XLOOKUP("CFT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",Movimientos!$B$1:$B$1325,"&lt;="&amp;$B77))</f>
        <v>0</v>
      </c>
      <c r="AC77" s="24" t="e">
        <f>IF(YEAR($B77)*100+MONTH($B77)&lt;--SUBSTITUTE(_xlfn.XLOOKUP("SYIP",'Saldos Iniciales'!$A:$A,'Saldos Iniciales'!$C:$C),"-",""),0,SUMIFS('Saldos Iniciales'!$D:$D,'Saldos Iniciales'!$A:$A,"SYIP")+SUMIFS(Movimientos!$K$1:$K$1325,Movimientos!$C$1:$C$1325,"SYIP",Movimientos!$B$1:$B$1325,"&lt;="&amp;$B77))</f>
        <v>#N/A</v>
      </c>
      <c r="AD77" s="24">
        <f>IF(YEAR($B77)*100+MONTH($B77)&lt;--SUBSTITUTE(_xlfn.XLOOKUP("Nobe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Aparments",Movimientos!$B$1:$B$1325,"&lt;="&amp;$B77))</f>
        <v>0</v>
      </c>
      <c r="AE77" s="25" t="e">
        <f t="shared" si="3"/>
        <v>#N/A</v>
      </c>
    </row>
    <row r="78" spans="1:31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Group")+SUMIFS(Movimientos!$K$1:$K$1325,Movimientos!$C$1:$C$1325,"CFT Group",Movimientos!$B$1:$B$1325,"&lt;="&amp;$B78)</f>
        <v>3110339.0700000008</v>
      </c>
      <c r="D78" s="24">
        <f>SUMIFS('Saldos Iniciales'!$D:$D,'Saldos Iniciales'!$A:$A,"M1B")+SUMIFS(Movimientos!$K$1:$K$1325,Movimientos!$C$1:$C$1325,"M1B",Movimientos!$B$1:$B$1325,"&lt;="&amp;$B78)</f>
        <v>73157.680000000168</v>
      </c>
      <c r="E78" s="24">
        <f>SUMIFS('Saldos Iniciales'!$D:$D,'Saldos Iniciales'!$A:$A,"Durand")+SUMIFS(Movimientos!$K$1:$K$1325,Movimientos!$C$1:$C$1325,"Durand",Movimientos!$B$1:$B$1325,"&lt;="&amp;$B78)</f>
        <v>1669.89</v>
      </c>
      <c r="F78" s="24">
        <f>SUMIFS('Saldos Iniciales'!$D:$D,'Saldos Iniciales'!$A:$A,"A&amp;M Imports")+SUMIFS(Movimientos!$K$1:$K$1325,Movimientos!$C$1:$C$1325,"A&amp;M Imports",Movimientos!$B$1:$B$1325,"&lt;="&amp;$B78)</f>
        <v>1029804.7499999998</v>
      </c>
      <c r="G78" s="24">
        <f>SUMIFS('Saldos Iniciales'!$D:$D,'Saldos Iniciales'!$A:$A,"SSP Capital")+SUMIFS(Movimientos!$K$1:$K$1325,Movimientos!$C$1:$C$1325,"SSP Capital",Movimientos!$B$1:$B$1325,"&lt;="&amp;$B78)</f>
        <v>1678189.7499999995</v>
      </c>
      <c r="H78" s="24">
        <f>SUMIFS('Saldos Iniciales'!$D:$D,'Saldos Iniciales'!$A:$A,"Cross Family Trust")+SUMIFS(Movimientos!$K$1:$K$1325,Movimientos!$C$1:$C$1325,"Cross Family Trust",Movimientos!$B$1:$B$1325,"&lt;="&amp;$B78)</f>
        <v>200496.38</v>
      </c>
      <c r="I78" s="24">
        <f>SUMIFS('Saldos Iniciales'!$D:$D,'Saldos Iniciales'!$A:$A,"Cross Security Trust")+SUMIFS(Movimientos!$K$1:$K$1325,Movimientos!$C$1:$C$1325,"Cross Security Trust",Movimientos!$B$1:$B$1325,"&lt;="&amp;$B78)</f>
        <v>88090.37</v>
      </c>
      <c r="J78" s="24">
        <f>SUMIFS('Saldos Iniciales'!$D:$D,'Saldos Iniciales'!$A:$A,"Electrama")+SUMIFS(Movimientos!$K$1:$K$1325,Movimientos!$C$1:$C$1325,"Electrama",Movimientos!$B$1:$B$1325,"&lt;="&amp;$B78)</f>
        <v>14580.45</v>
      </c>
      <c r="K78" s="24">
        <f>SUMIFS('Saldos Iniciales'!$D:$D,'Saldos Iniciales'!$A:$A,"Sacred Valley Capital")+SUMIFS(Movimientos!$K$1:$K$1325,Movimientos!$C$1:$C$1325,"Sacred Valley Capital",Movimientos!$B$1:$B$1325,"&lt;="&amp;$B78)</f>
        <v>54.400000000000006</v>
      </c>
      <c r="L78" s="24">
        <f>SUMIFS('Saldos Iniciales'!$D:$D,'Saldos Iniciales'!$A:$A,"YWC Capital")+SUMIFS(Movimientos!$K$1:$K$1325,Movimientos!$C$1:$C$1325,"YWC Capital",Movimientos!$B$1:$B$1325,"&lt;="&amp;$B78)</f>
        <v>2207.8200000000002</v>
      </c>
      <c r="M78" s="24">
        <f>SUMIFS('Saldos Iniciales'!$D:$D,'Saldos Iniciales'!$A:$A,"Soweto")+SUMIFS(Movimientos!$K$1:$K$1325,Movimientos!$C$1:$C$1325,"Soweto",Movimientos!$B$1:$B$1325,"&lt;="&amp;$B78)</f>
        <v>1454589.72</v>
      </c>
      <c r="N78" s="24">
        <f>SUMIFS('Saldos Iniciales'!$D:$D,'Saldos Iniciales'!$A:$A,"Green Stone Trust")+SUMIFS(Movimientos!$K$1:$K$1325,Movimientos!$C$1:$C$1325,"Green Stone Trust",Movimientos!$B$1:$B$1325,"&lt;="&amp;$B78)</f>
        <v>1968.99</v>
      </c>
      <c r="O78" s="24">
        <f>SUMIFS('Saldos Iniciales'!$D:$D,'Saldos Iniciales'!$A:$A,"EC Auto")+SUMIFS(Movimientos!$K$1:$K$1325,Movimientos!$C$1:$C$1325,"EC Auto",Movimientos!$B$1:$B$1325,"&lt;="&amp;$B78)</f>
        <v>901.34</v>
      </c>
      <c r="P78" s="24">
        <f>SUMIFS('Saldos Iniciales'!$D:$D,'Saldos Iniciales'!$A:$A,"Arbor Capital Properties")+SUMIFS(Movimientos!$K$1:$K$1325,Movimientos!$C$1:$C$1325,"Arbor Capital Properties",Movimientos!$B$1:$B$1325,"&lt;="&amp;$B78)</f>
        <v>1412.08</v>
      </c>
      <c r="Q78" s="24">
        <f>SUMIFS('Saldos Iniciales'!$D:$D,'Saldos Iniciales'!$A:$A,"2515 Overbrook")+SUMIFS(Movimientos!$K$1:$K$1325,Movimientos!$C$1:$C$1325,"2515 Overbrook",Movimientos!$B$1:$B$1325,"&lt;="&amp;$B78)</f>
        <v>22347.56999999996</v>
      </c>
      <c r="R78" s="24">
        <f>SUMIFS('Saldos Iniciales'!$D:$D,'Saldos Iniciales'!$A:$A,"112 Florida Ave")+SUMIFS(Movimientos!$K$1:$K$1325,Movimientos!$C$1:$C$1325,"112 Florida Ave",Movimientos!$B$1:$B$1325,"&lt;="&amp;$B78)</f>
        <v>3522.8000000000029</v>
      </c>
      <c r="S78" s="24">
        <f>SUMIFS('Saldos Iniciales'!$D:$D,'Saldos Iniciales'!$A:$A,"3628 Thomas Ave")+SUMIFS(Movimientos!$K$1:$K$1325,Movimientos!$C$1:$C$1325,"3628 Thomas Ave",Movimientos!$B$1:$B$1325,"&lt;="&amp;$B78)</f>
        <v>28485.559999999998</v>
      </c>
      <c r="T78" s="24">
        <f>SUMIFS('Saldos Iniciales'!$D:$D,'Saldos Iniciales'!$A:$A,"Green Harbor Trust")+SUMIFS(Movimientos!$K$1:$K$1325,Movimientos!$C$1:$C$1325,"Green Harbor Trust",Movimientos!$B$1:$B$1325,"&lt;="&amp;$B78)</f>
        <v>345</v>
      </c>
      <c r="U78" s="24">
        <f>SUMIFS('Saldos Iniciales'!$D:$D,'Saldos Iniciales'!$A:$A,"Go Blue")+SUMIFS(Movimientos!$K$1:$K$1325,Movimientos!$C$1:$C$1325,"Go Blue",Movimientos!$B$1:$B$1325,"&lt;="&amp;$B78)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LLC",Movimientos!$B$1:$B$1325,"&lt;="&amp;$B78))</f>
        <v>0</v>
      </c>
      <c r="W78" s="24">
        <f>IF(YEAR($B78)*100+MONTH($B78)&lt;--SUBSTITUTE(_xlfn.XLOOKUP("CFT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",Movimientos!$B$1:$B$1325,"&lt;="&amp;$B78))</f>
        <v>0</v>
      </c>
      <c r="AC78" s="24" t="e">
        <f>IF(YEAR($B78)*100+MONTH($B78)&lt;--SUBSTITUTE(_xlfn.XLOOKUP("SYIP",'Saldos Iniciales'!$A:$A,'Saldos Iniciales'!$C:$C),"-",""),0,SUMIFS('Saldos Iniciales'!$D:$D,'Saldos Iniciales'!$A:$A,"SYIP")+SUMIFS(Movimientos!$K$1:$K$1325,Movimientos!$C$1:$C$1325,"SYIP",Movimientos!$B$1:$B$1325,"&lt;="&amp;$B78))</f>
        <v>#N/A</v>
      </c>
      <c r="AD78" s="24">
        <f>IF(YEAR($B78)*100+MONTH($B78)&lt;--SUBSTITUTE(_xlfn.XLOOKUP("Nobe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Aparments",Movimientos!$B$1:$B$1325,"&lt;="&amp;$B78))</f>
        <v>0</v>
      </c>
      <c r="AE78" s="25" t="e">
        <f t="shared" si="3"/>
        <v>#N/A</v>
      </c>
    </row>
    <row r="79" spans="1:31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Group")+SUMIFS(Movimientos!$K$1:$K$1325,Movimientos!$C$1:$C$1325,"CFT Group",Movimientos!$B$1:$B$1325,"&lt;="&amp;$B79)</f>
        <v>3110339.0700000008</v>
      </c>
      <c r="D79" s="24">
        <f>SUMIFS('Saldos Iniciales'!$D:$D,'Saldos Iniciales'!$A:$A,"M1B")+SUMIFS(Movimientos!$K$1:$K$1325,Movimientos!$C$1:$C$1325,"M1B",Movimientos!$B$1:$B$1325,"&lt;="&amp;$B79)</f>
        <v>73157.680000000168</v>
      </c>
      <c r="E79" s="24">
        <f>SUMIFS('Saldos Iniciales'!$D:$D,'Saldos Iniciales'!$A:$A,"Durand")+SUMIFS(Movimientos!$K$1:$K$1325,Movimientos!$C$1:$C$1325,"Durand",Movimientos!$B$1:$B$1325,"&lt;="&amp;$B79)</f>
        <v>1669.89</v>
      </c>
      <c r="F79" s="24">
        <f>SUMIFS('Saldos Iniciales'!$D:$D,'Saldos Iniciales'!$A:$A,"A&amp;M Imports")+SUMIFS(Movimientos!$K$1:$K$1325,Movimientos!$C$1:$C$1325,"A&amp;M Imports",Movimientos!$B$1:$B$1325,"&lt;="&amp;$B79)</f>
        <v>1029804.7499999998</v>
      </c>
      <c r="G79" s="24">
        <f>SUMIFS('Saldos Iniciales'!$D:$D,'Saldos Iniciales'!$A:$A,"SSP Capital")+SUMIFS(Movimientos!$K$1:$K$1325,Movimientos!$C$1:$C$1325,"SSP Capital",Movimientos!$B$1:$B$1325,"&lt;="&amp;$B79)</f>
        <v>1748189.7499999995</v>
      </c>
      <c r="H79" s="24">
        <f>SUMIFS('Saldos Iniciales'!$D:$D,'Saldos Iniciales'!$A:$A,"Cross Family Trust")+SUMIFS(Movimientos!$K$1:$K$1325,Movimientos!$C$1:$C$1325,"Cross Family Trust",Movimientos!$B$1:$B$1325,"&lt;="&amp;$B79)</f>
        <v>200496.38</v>
      </c>
      <c r="I79" s="24">
        <f>SUMIFS('Saldos Iniciales'!$D:$D,'Saldos Iniciales'!$A:$A,"Cross Security Trust")+SUMIFS(Movimientos!$K$1:$K$1325,Movimientos!$C$1:$C$1325,"Cross Security Trust",Movimientos!$B$1:$B$1325,"&lt;="&amp;$B79)</f>
        <v>88090.37</v>
      </c>
      <c r="J79" s="24">
        <f>SUMIFS('Saldos Iniciales'!$D:$D,'Saldos Iniciales'!$A:$A,"Electrama")+SUMIFS(Movimientos!$K$1:$K$1325,Movimientos!$C$1:$C$1325,"Electrama",Movimientos!$B$1:$B$1325,"&lt;="&amp;$B79)</f>
        <v>14580.45</v>
      </c>
      <c r="K79" s="24">
        <f>SUMIFS('Saldos Iniciales'!$D:$D,'Saldos Iniciales'!$A:$A,"Sacred Valley Capital")+SUMIFS(Movimientos!$K$1:$K$1325,Movimientos!$C$1:$C$1325,"Sacred Valley Capital",Movimientos!$B$1:$B$1325,"&lt;="&amp;$B79)</f>
        <v>54.400000000000006</v>
      </c>
      <c r="L79" s="24">
        <f>SUMIFS('Saldos Iniciales'!$D:$D,'Saldos Iniciales'!$A:$A,"YWC Capital")+SUMIFS(Movimientos!$K$1:$K$1325,Movimientos!$C$1:$C$1325,"YWC Capital",Movimientos!$B$1:$B$1325,"&lt;="&amp;$B79)</f>
        <v>2207.8200000000002</v>
      </c>
      <c r="M79" s="24">
        <f>SUMIFS('Saldos Iniciales'!$D:$D,'Saldos Iniciales'!$A:$A,"Soweto")+SUMIFS(Movimientos!$K$1:$K$1325,Movimientos!$C$1:$C$1325,"Soweto",Movimientos!$B$1:$B$1325,"&lt;="&amp;$B79)</f>
        <v>1454589.72</v>
      </c>
      <c r="N79" s="24">
        <f>SUMIFS('Saldos Iniciales'!$D:$D,'Saldos Iniciales'!$A:$A,"Green Stone Trust")+SUMIFS(Movimientos!$K$1:$K$1325,Movimientos!$C$1:$C$1325,"Green Stone Trust",Movimientos!$B$1:$B$1325,"&lt;="&amp;$B79)</f>
        <v>1968.99</v>
      </c>
      <c r="O79" s="24">
        <f>SUMIFS('Saldos Iniciales'!$D:$D,'Saldos Iniciales'!$A:$A,"EC Auto")+SUMIFS(Movimientos!$K$1:$K$1325,Movimientos!$C$1:$C$1325,"EC Auto",Movimientos!$B$1:$B$1325,"&lt;="&amp;$B79)</f>
        <v>901.34</v>
      </c>
      <c r="P79" s="24">
        <f>SUMIFS('Saldos Iniciales'!$D:$D,'Saldos Iniciales'!$A:$A,"Arbor Capital Properties")+SUMIFS(Movimientos!$K$1:$K$1325,Movimientos!$C$1:$C$1325,"Arbor Capital Properties",Movimientos!$B$1:$B$1325,"&lt;="&amp;$B79)</f>
        <v>1412.08</v>
      </c>
      <c r="Q79" s="24">
        <f>SUMIFS('Saldos Iniciales'!$D:$D,'Saldos Iniciales'!$A:$A,"2515 Overbrook")+SUMIFS(Movimientos!$K$1:$K$1325,Movimientos!$C$1:$C$1325,"2515 Overbrook",Movimientos!$B$1:$B$1325,"&lt;="&amp;$B79)</f>
        <v>22347.56999999996</v>
      </c>
      <c r="R79" s="24">
        <f>SUMIFS('Saldos Iniciales'!$D:$D,'Saldos Iniciales'!$A:$A,"112 Florida Ave")+SUMIFS(Movimientos!$K$1:$K$1325,Movimientos!$C$1:$C$1325,"112 Florida Ave",Movimientos!$B$1:$B$1325,"&lt;="&amp;$B79)</f>
        <v>3522.8000000000029</v>
      </c>
      <c r="S79" s="24">
        <f>SUMIFS('Saldos Iniciales'!$D:$D,'Saldos Iniciales'!$A:$A,"3628 Thomas Ave")+SUMIFS(Movimientos!$K$1:$K$1325,Movimientos!$C$1:$C$1325,"3628 Thomas Ave",Movimientos!$B$1:$B$1325,"&lt;="&amp;$B79)</f>
        <v>28485.559999999998</v>
      </c>
      <c r="T79" s="24">
        <f>SUMIFS('Saldos Iniciales'!$D:$D,'Saldos Iniciales'!$A:$A,"Green Harbor Trust")+SUMIFS(Movimientos!$K$1:$K$1325,Movimientos!$C$1:$C$1325,"Green Harbor Trust",Movimientos!$B$1:$B$1325,"&lt;="&amp;$B79)</f>
        <v>345</v>
      </c>
      <c r="U79" s="24">
        <f>SUMIFS('Saldos Iniciales'!$D:$D,'Saldos Iniciales'!$A:$A,"Go Blue")+SUMIFS(Movimientos!$K$1:$K$1325,Movimientos!$C$1:$C$1325,"Go Blue",Movimientos!$B$1:$B$1325,"&lt;="&amp;$B79)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LLC",Movimientos!$B$1:$B$1325,"&lt;="&amp;$B79))</f>
        <v>0</v>
      </c>
      <c r="W79" s="24">
        <f>IF(YEAR($B79)*100+MONTH($B79)&lt;--SUBSTITUTE(_xlfn.XLOOKUP("CFT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",Movimientos!$B$1:$B$1325,"&lt;="&amp;$B79))</f>
        <v>0</v>
      </c>
      <c r="AC79" s="24" t="e">
        <f>IF(YEAR($B79)*100+MONTH($B79)&lt;--SUBSTITUTE(_xlfn.XLOOKUP("SYIP",'Saldos Iniciales'!$A:$A,'Saldos Iniciales'!$C:$C),"-",""),0,SUMIFS('Saldos Iniciales'!$D:$D,'Saldos Iniciales'!$A:$A,"SYIP")+SUMIFS(Movimientos!$K$1:$K$1325,Movimientos!$C$1:$C$1325,"SYIP",Movimientos!$B$1:$B$1325,"&lt;="&amp;$B79))</f>
        <v>#N/A</v>
      </c>
      <c r="AD79" s="24">
        <f>IF(YEAR($B79)*100+MONTH($B79)&lt;--SUBSTITUTE(_xlfn.XLOOKUP("Nobe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Aparments",Movimientos!$B$1:$B$1325,"&lt;="&amp;$B79))</f>
        <v>0</v>
      </c>
      <c r="AE79" s="25" t="e">
        <f t="shared" si="3"/>
        <v>#N/A</v>
      </c>
    </row>
    <row r="80" spans="1:31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Group")+SUMIFS(Movimientos!$K$1:$K$1325,Movimientos!$C$1:$C$1325,"CFT Group",Movimientos!$B$1:$B$1325,"&lt;="&amp;$B80)</f>
        <v>3110339.0700000008</v>
      </c>
      <c r="D80" s="24">
        <f>SUMIFS('Saldos Iniciales'!$D:$D,'Saldos Iniciales'!$A:$A,"M1B")+SUMIFS(Movimientos!$K$1:$K$1325,Movimientos!$C$1:$C$1325,"M1B",Movimientos!$B$1:$B$1325,"&lt;="&amp;$B80)</f>
        <v>73157.680000000168</v>
      </c>
      <c r="E80" s="24">
        <f>SUMIFS('Saldos Iniciales'!$D:$D,'Saldos Iniciales'!$A:$A,"Durand")+SUMIFS(Movimientos!$K$1:$K$1325,Movimientos!$C$1:$C$1325,"Durand",Movimientos!$B$1:$B$1325,"&lt;="&amp;$B80)</f>
        <v>1669.89</v>
      </c>
      <c r="F80" s="24">
        <f>SUMIFS('Saldos Iniciales'!$D:$D,'Saldos Iniciales'!$A:$A,"A&amp;M Imports")+SUMIFS(Movimientos!$K$1:$K$1325,Movimientos!$C$1:$C$1325,"A&amp;M Imports",Movimientos!$B$1:$B$1325,"&lt;="&amp;$B80)</f>
        <v>1029804.7499999998</v>
      </c>
      <c r="G80" s="24">
        <f>SUMIFS('Saldos Iniciales'!$D:$D,'Saldos Iniciales'!$A:$A,"SSP Capital")+SUMIFS(Movimientos!$K$1:$K$1325,Movimientos!$C$1:$C$1325,"SSP Capital",Movimientos!$B$1:$B$1325,"&lt;="&amp;$B80)</f>
        <v>1748189.7499999995</v>
      </c>
      <c r="H80" s="24">
        <f>SUMIFS('Saldos Iniciales'!$D:$D,'Saldos Iniciales'!$A:$A,"Cross Family Trust")+SUMIFS(Movimientos!$K$1:$K$1325,Movimientos!$C$1:$C$1325,"Cross Family Trust",Movimientos!$B$1:$B$1325,"&lt;="&amp;$B80)</f>
        <v>200496.38</v>
      </c>
      <c r="I80" s="24">
        <f>SUMIFS('Saldos Iniciales'!$D:$D,'Saldos Iniciales'!$A:$A,"Cross Security Trust")+SUMIFS(Movimientos!$K$1:$K$1325,Movimientos!$C$1:$C$1325,"Cross Security Trust",Movimientos!$B$1:$B$1325,"&lt;="&amp;$B80)</f>
        <v>88090.37</v>
      </c>
      <c r="J80" s="24">
        <f>SUMIFS('Saldos Iniciales'!$D:$D,'Saldos Iniciales'!$A:$A,"Electrama")+SUMIFS(Movimientos!$K$1:$K$1325,Movimientos!$C$1:$C$1325,"Electrama",Movimientos!$B$1:$B$1325,"&lt;="&amp;$B80)</f>
        <v>14580.45</v>
      </c>
      <c r="K80" s="24">
        <f>SUMIFS('Saldos Iniciales'!$D:$D,'Saldos Iniciales'!$A:$A,"Sacred Valley Capital")+SUMIFS(Movimientos!$K$1:$K$1325,Movimientos!$C$1:$C$1325,"Sacred Valley Capital",Movimientos!$B$1:$B$1325,"&lt;="&amp;$B80)</f>
        <v>54.400000000000006</v>
      </c>
      <c r="L80" s="24">
        <f>SUMIFS('Saldos Iniciales'!$D:$D,'Saldos Iniciales'!$A:$A,"YWC Capital")+SUMIFS(Movimientos!$K$1:$K$1325,Movimientos!$C$1:$C$1325,"YWC Capital",Movimientos!$B$1:$B$1325,"&lt;="&amp;$B80)</f>
        <v>2207.8200000000002</v>
      </c>
      <c r="M80" s="24">
        <f>SUMIFS('Saldos Iniciales'!$D:$D,'Saldos Iniciales'!$A:$A,"Soweto")+SUMIFS(Movimientos!$K$1:$K$1325,Movimientos!$C$1:$C$1325,"Soweto",Movimientos!$B$1:$B$1325,"&lt;="&amp;$B80)</f>
        <v>1454589.72</v>
      </c>
      <c r="N80" s="24">
        <f>SUMIFS('Saldos Iniciales'!$D:$D,'Saldos Iniciales'!$A:$A,"Green Stone Trust")+SUMIFS(Movimientos!$K$1:$K$1325,Movimientos!$C$1:$C$1325,"Green Stone Trust",Movimientos!$B$1:$B$1325,"&lt;="&amp;$B80)</f>
        <v>1968.99</v>
      </c>
      <c r="O80" s="24">
        <f>SUMIFS('Saldos Iniciales'!$D:$D,'Saldos Iniciales'!$A:$A,"EC Auto")+SUMIFS(Movimientos!$K$1:$K$1325,Movimientos!$C$1:$C$1325,"EC Auto",Movimientos!$B$1:$B$1325,"&lt;="&amp;$B80)</f>
        <v>901.34</v>
      </c>
      <c r="P80" s="24">
        <f>SUMIFS('Saldos Iniciales'!$D:$D,'Saldos Iniciales'!$A:$A,"Arbor Capital Properties")+SUMIFS(Movimientos!$K$1:$K$1325,Movimientos!$C$1:$C$1325,"Arbor Capital Properties",Movimientos!$B$1:$B$1325,"&lt;="&amp;$B80)</f>
        <v>1412.08</v>
      </c>
      <c r="Q80" s="24">
        <f>SUMIFS('Saldos Iniciales'!$D:$D,'Saldos Iniciales'!$A:$A,"2515 Overbrook")+SUMIFS(Movimientos!$K$1:$K$1325,Movimientos!$C$1:$C$1325,"2515 Overbrook",Movimientos!$B$1:$B$1325,"&lt;="&amp;$B80)</f>
        <v>22347.56999999996</v>
      </c>
      <c r="R80" s="24">
        <f>SUMIFS('Saldos Iniciales'!$D:$D,'Saldos Iniciales'!$A:$A,"112 Florida Ave")+SUMIFS(Movimientos!$K$1:$K$1325,Movimientos!$C$1:$C$1325,"112 Florida Ave",Movimientos!$B$1:$B$1325,"&lt;="&amp;$B80)</f>
        <v>3522.8000000000029</v>
      </c>
      <c r="S80" s="24">
        <f>SUMIFS('Saldos Iniciales'!$D:$D,'Saldos Iniciales'!$A:$A,"3628 Thomas Ave")+SUMIFS(Movimientos!$K$1:$K$1325,Movimientos!$C$1:$C$1325,"3628 Thomas Ave",Movimientos!$B$1:$B$1325,"&lt;="&amp;$B80)</f>
        <v>28485.559999999998</v>
      </c>
      <c r="T80" s="24">
        <f>SUMIFS('Saldos Iniciales'!$D:$D,'Saldos Iniciales'!$A:$A,"Green Harbor Trust")+SUMIFS(Movimientos!$K$1:$K$1325,Movimientos!$C$1:$C$1325,"Green Harbor Trust",Movimientos!$B$1:$B$1325,"&lt;="&amp;$B80)</f>
        <v>345</v>
      </c>
      <c r="U80" s="24">
        <f>SUMIFS('Saldos Iniciales'!$D:$D,'Saldos Iniciales'!$A:$A,"Go Blue")+SUMIFS(Movimientos!$K$1:$K$1325,Movimientos!$C$1:$C$1325,"Go Blue",Movimientos!$B$1:$B$1325,"&lt;="&amp;$B80)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LLC",Movimientos!$B$1:$B$1325,"&lt;="&amp;$B80))</f>
        <v>0</v>
      </c>
      <c r="W80" s="24">
        <f>IF(YEAR($B80)*100+MONTH($B80)&lt;--SUBSTITUTE(_xlfn.XLOOKUP("CFT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",Movimientos!$B$1:$B$1325,"&lt;="&amp;$B80))</f>
        <v>0</v>
      </c>
      <c r="AC80" s="24" t="e">
        <f>IF(YEAR($B80)*100+MONTH($B80)&lt;--SUBSTITUTE(_xlfn.XLOOKUP("SYIP",'Saldos Iniciales'!$A:$A,'Saldos Iniciales'!$C:$C),"-",""),0,SUMIFS('Saldos Iniciales'!$D:$D,'Saldos Iniciales'!$A:$A,"SYIP")+SUMIFS(Movimientos!$K$1:$K$1325,Movimientos!$C$1:$C$1325,"SYIP",Movimientos!$B$1:$B$1325,"&lt;="&amp;$B80))</f>
        <v>#N/A</v>
      </c>
      <c r="AD80" s="24">
        <f>IF(YEAR($B80)*100+MONTH($B80)&lt;--SUBSTITUTE(_xlfn.XLOOKUP("Nobe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Aparments",Movimientos!$B$1:$B$1325,"&lt;="&amp;$B80))</f>
        <v>0</v>
      </c>
      <c r="AE80" s="25" t="e">
        <f t="shared" si="3"/>
        <v>#N/A</v>
      </c>
    </row>
    <row r="81" spans="1:31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Group")+SUMIFS(Movimientos!$K$1:$K$1325,Movimientos!$C$1:$C$1325,"CFT Group",Movimientos!$B$1:$B$1325,"&lt;="&amp;$B81)</f>
        <v>3110339.0700000008</v>
      </c>
      <c r="D81" s="24">
        <f>SUMIFS('Saldos Iniciales'!$D:$D,'Saldos Iniciales'!$A:$A,"M1B")+SUMIFS(Movimientos!$K$1:$K$1325,Movimientos!$C$1:$C$1325,"M1B",Movimientos!$B$1:$B$1325,"&lt;="&amp;$B81)</f>
        <v>73157.680000000168</v>
      </c>
      <c r="E81" s="24">
        <f>SUMIFS('Saldos Iniciales'!$D:$D,'Saldos Iniciales'!$A:$A,"Durand")+SUMIFS(Movimientos!$K$1:$K$1325,Movimientos!$C$1:$C$1325,"Durand",Movimientos!$B$1:$B$1325,"&lt;="&amp;$B81)</f>
        <v>1669.89</v>
      </c>
      <c r="F81" s="24">
        <f>SUMIFS('Saldos Iniciales'!$D:$D,'Saldos Iniciales'!$A:$A,"A&amp;M Imports")+SUMIFS(Movimientos!$K$1:$K$1325,Movimientos!$C$1:$C$1325,"A&amp;M Imports",Movimientos!$B$1:$B$1325,"&lt;="&amp;$B81)</f>
        <v>1029804.7499999998</v>
      </c>
      <c r="G81" s="24">
        <f>SUMIFS('Saldos Iniciales'!$D:$D,'Saldos Iniciales'!$A:$A,"SSP Capital")+SUMIFS(Movimientos!$K$1:$K$1325,Movimientos!$C$1:$C$1325,"SSP Capital",Movimientos!$B$1:$B$1325,"&lt;="&amp;$B81)</f>
        <v>1748189.7499999995</v>
      </c>
      <c r="H81" s="24">
        <f>SUMIFS('Saldos Iniciales'!$D:$D,'Saldos Iniciales'!$A:$A,"Cross Family Trust")+SUMIFS(Movimientos!$K$1:$K$1325,Movimientos!$C$1:$C$1325,"Cross Family Trust",Movimientos!$B$1:$B$1325,"&lt;="&amp;$B81)</f>
        <v>200496.38</v>
      </c>
      <c r="I81" s="24">
        <f>SUMIFS('Saldos Iniciales'!$D:$D,'Saldos Iniciales'!$A:$A,"Cross Security Trust")+SUMIFS(Movimientos!$K$1:$K$1325,Movimientos!$C$1:$C$1325,"Cross Security Trust",Movimientos!$B$1:$B$1325,"&lt;="&amp;$B81)</f>
        <v>88090.37</v>
      </c>
      <c r="J81" s="24">
        <f>SUMIFS('Saldos Iniciales'!$D:$D,'Saldos Iniciales'!$A:$A,"Electrama")+SUMIFS(Movimientos!$K$1:$K$1325,Movimientos!$C$1:$C$1325,"Electrama",Movimientos!$B$1:$B$1325,"&lt;="&amp;$B81)</f>
        <v>14580.45</v>
      </c>
      <c r="K81" s="24">
        <f>SUMIFS('Saldos Iniciales'!$D:$D,'Saldos Iniciales'!$A:$A,"Sacred Valley Capital")+SUMIFS(Movimientos!$K$1:$K$1325,Movimientos!$C$1:$C$1325,"Sacred Valley Capital",Movimientos!$B$1:$B$1325,"&lt;="&amp;$B81)</f>
        <v>54.400000000000006</v>
      </c>
      <c r="L81" s="24">
        <f>SUMIFS('Saldos Iniciales'!$D:$D,'Saldos Iniciales'!$A:$A,"YWC Capital")+SUMIFS(Movimientos!$K$1:$K$1325,Movimientos!$C$1:$C$1325,"YWC Capital",Movimientos!$B$1:$B$1325,"&lt;="&amp;$B81)</f>
        <v>2207.8200000000002</v>
      </c>
      <c r="M81" s="24">
        <f>SUMIFS('Saldos Iniciales'!$D:$D,'Saldos Iniciales'!$A:$A,"Soweto")+SUMIFS(Movimientos!$K$1:$K$1325,Movimientos!$C$1:$C$1325,"Soweto",Movimientos!$B$1:$B$1325,"&lt;="&amp;$B81)</f>
        <v>1454589.72</v>
      </c>
      <c r="N81" s="24">
        <f>SUMIFS('Saldos Iniciales'!$D:$D,'Saldos Iniciales'!$A:$A,"Green Stone Trust")+SUMIFS(Movimientos!$K$1:$K$1325,Movimientos!$C$1:$C$1325,"Green Stone Trust",Movimientos!$B$1:$B$1325,"&lt;="&amp;$B81)</f>
        <v>1968.99</v>
      </c>
      <c r="O81" s="24">
        <f>SUMIFS('Saldos Iniciales'!$D:$D,'Saldos Iniciales'!$A:$A,"EC Auto")+SUMIFS(Movimientos!$K$1:$K$1325,Movimientos!$C$1:$C$1325,"EC Auto",Movimientos!$B$1:$B$1325,"&lt;="&amp;$B81)</f>
        <v>901.34</v>
      </c>
      <c r="P81" s="24">
        <f>SUMIFS('Saldos Iniciales'!$D:$D,'Saldos Iniciales'!$A:$A,"Arbor Capital Properties")+SUMIFS(Movimientos!$K$1:$K$1325,Movimientos!$C$1:$C$1325,"Arbor Capital Properties",Movimientos!$B$1:$B$1325,"&lt;="&amp;$B81)</f>
        <v>1412.08</v>
      </c>
      <c r="Q81" s="24">
        <f>SUMIFS('Saldos Iniciales'!$D:$D,'Saldos Iniciales'!$A:$A,"2515 Overbrook")+SUMIFS(Movimientos!$K$1:$K$1325,Movimientos!$C$1:$C$1325,"2515 Overbrook",Movimientos!$B$1:$B$1325,"&lt;="&amp;$B81)</f>
        <v>22347.56999999996</v>
      </c>
      <c r="R81" s="24">
        <f>SUMIFS('Saldos Iniciales'!$D:$D,'Saldos Iniciales'!$A:$A,"112 Florida Ave")+SUMIFS(Movimientos!$K$1:$K$1325,Movimientos!$C$1:$C$1325,"112 Florida Ave",Movimientos!$B$1:$B$1325,"&lt;="&amp;$B81)</f>
        <v>3522.8000000000029</v>
      </c>
      <c r="S81" s="24">
        <f>SUMIFS('Saldos Iniciales'!$D:$D,'Saldos Iniciales'!$A:$A,"3628 Thomas Ave")+SUMIFS(Movimientos!$K$1:$K$1325,Movimientos!$C$1:$C$1325,"3628 Thomas Ave",Movimientos!$B$1:$B$1325,"&lt;="&amp;$B81)</f>
        <v>28485.559999999998</v>
      </c>
      <c r="T81" s="24">
        <f>SUMIFS('Saldos Iniciales'!$D:$D,'Saldos Iniciales'!$A:$A,"Green Harbor Trust")+SUMIFS(Movimientos!$K$1:$K$1325,Movimientos!$C$1:$C$1325,"Green Harbor Trust",Movimientos!$B$1:$B$1325,"&lt;="&amp;$B81)</f>
        <v>345</v>
      </c>
      <c r="U81" s="24">
        <f>SUMIFS('Saldos Iniciales'!$D:$D,'Saldos Iniciales'!$A:$A,"Go Blue")+SUMIFS(Movimientos!$K$1:$K$1325,Movimientos!$C$1:$C$1325,"Go Blue",Movimientos!$B$1:$B$1325,"&lt;="&amp;$B81)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LLC",Movimientos!$B$1:$B$1325,"&lt;="&amp;$B81))</f>
        <v>0</v>
      </c>
      <c r="W81" s="24">
        <f>IF(YEAR($B81)*100+MONTH($B81)&lt;--SUBSTITUTE(_xlfn.XLOOKUP("CFT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",Movimientos!$B$1:$B$1325,"&lt;="&amp;$B81))</f>
        <v>0</v>
      </c>
      <c r="AC81" s="24" t="e">
        <f>IF(YEAR($B81)*100+MONTH($B81)&lt;--SUBSTITUTE(_xlfn.XLOOKUP("SYIP",'Saldos Iniciales'!$A:$A,'Saldos Iniciales'!$C:$C),"-",""),0,SUMIFS('Saldos Iniciales'!$D:$D,'Saldos Iniciales'!$A:$A,"SYIP")+SUMIFS(Movimientos!$K$1:$K$1325,Movimientos!$C$1:$C$1325,"SYIP",Movimientos!$B$1:$B$1325,"&lt;="&amp;$B81))</f>
        <v>#N/A</v>
      </c>
      <c r="AD81" s="24">
        <f>IF(YEAR($B81)*100+MONTH($B81)&lt;--SUBSTITUTE(_xlfn.XLOOKUP("Nobe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Aparments",Movimientos!$B$1:$B$1325,"&lt;="&amp;$B81))</f>
        <v>0</v>
      </c>
      <c r="AE81" s="25" t="e">
        <f t="shared" si="3"/>
        <v>#N/A</v>
      </c>
    </row>
    <row r="82" spans="1:31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Group")+SUMIFS(Movimientos!$K$1:$K$1325,Movimientos!$C$1:$C$1325,"CFT Group",Movimientos!$B$1:$B$1325,"&lt;="&amp;$B82)</f>
        <v>3110339.0700000008</v>
      </c>
      <c r="D82" s="24">
        <f>SUMIFS('Saldos Iniciales'!$D:$D,'Saldos Iniciales'!$A:$A,"M1B")+SUMIFS(Movimientos!$K$1:$K$1325,Movimientos!$C$1:$C$1325,"M1B",Movimientos!$B$1:$B$1325,"&lt;="&amp;$B82)</f>
        <v>73157.680000000168</v>
      </c>
      <c r="E82" s="24">
        <f>SUMIFS('Saldos Iniciales'!$D:$D,'Saldos Iniciales'!$A:$A,"Durand")+SUMIFS(Movimientos!$K$1:$K$1325,Movimientos!$C$1:$C$1325,"Durand",Movimientos!$B$1:$B$1325,"&lt;="&amp;$B82)</f>
        <v>1669.89</v>
      </c>
      <c r="F82" s="24">
        <f>SUMIFS('Saldos Iniciales'!$D:$D,'Saldos Iniciales'!$A:$A,"A&amp;M Imports")+SUMIFS(Movimientos!$K$1:$K$1325,Movimientos!$C$1:$C$1325,"A&amp;M Imports",Movimientos!$B$1:$B$1325,"&lt;="&amp;$B82)</f>
        <v>1029804.7499999998</v>
      </c>
      <c r="G82" s="24">
        <f>SUMIFS('Saldos Iniciales'!$D:$D,'Saldos Iniciales'!$A:$A,"SSP Capital")+SUMIFS(Movimientos!$K$1:$K$1325,Movimientos!$C$1:$C$1325,"SSP Capital",Movimientos!$B$1:$B$1325,"&lt;="&amp;$B82)</f>
        <v>1744257.8699999994</v>
      </c>
      <c r="H82" s="24">
        <f>SUMIFS('Saldos Iniciales'!$D:$D,'Saldos Iniciales'!$A:$A,"Cross Family Trust")+SUMIFS(Movimientos!$K$1:$K$1325,Movimientos!$C$1:$C$1325,"Cross Family Trust",Movimientos!$B$1:$B$1325,"&lt;="&amp;$B82)</f>
        <v>200496.38</v>
      </c>
      <c r="I82" s="24">
        <f>SUMIFS('Saldos Iniciales'!$D:$D,'Saldos Iniciales'!$A:$A,"Cross Security Trust")+SUMIFS(Movimientos!$K$1:$K$1325,Movimientos!$C$1:$C$1325,"Cross Security Trust",Movimientos!$B$1:$B$1325,"&lt;="&amp;$B82)</f>
        <v>88090.37</v>
      </c>
      <c r="J82" s="24">
        <f>SUMIFS('Saldos Iniciales'!$D:$D,'Saldos Iniciales'!$A:$A,"Electrama")+SUMIFS(Movimientos!$K$1:$K$1325,Movimientos!$C$1:$C$1325,"Electrama",Movimientos!$B$1:$B$1325,"&lt;="&amp;$B82)</f>
        <v>14580.45</v>
      </c>
      <c r="K82" s="24">
        <f>SUMIFS('Saldos Iniciales'!$D:$D,'Saldos Iniciales'!$A:$A,"Sacred Valley Capital")+SUMIFS(Movimientos!$K$1:$K$1325,Movimientos!$C$1:$C$1325,"Sacred Valley Capital",Movimientos!$B$1:$B$1325,"&lt;="&amp;$B82)</f>
        <v>54.400000000000006</v>
      </c>
      <c r="L82" s="24">
        <f>SUMIFS('Saldos Iniciales'!$D:$D,'Saldos Iniciales'!$A:$A,"YWC Capital")+SUMIFS(Movimientos!$K$1:$K$1325,Movimientos!$C$1:$C$1325,"YWC Capital",Movimientos!$B$1:$B$1325,"&lt;="&amp;$B82)</f>
        <v>2207.8200000000002</v>
      </c>
      <c r="M82" s="24">
        <f>SUMIFS('Saldos Iniciales'!$D:$D,'Saldos Iniciales'!$A:$A,"Soweto")+SUMIFS(Movimientos!$K$1:$K$1325,Movimientos!$C$1:$C$1325,"Soweto",Movimientos!$B$1:$B$1325,"&lt;="&amp;$B82)</f>
        <v>1454589.72</v>
      </c>
      <c r="N82" s="24">
        <f>SUMIFS('Saldos Iniciales'!$D:$D,'Saldos Iniciales'!$A:$A,"Green Stone Trust")+SUMIFS(Movimientos!$K$1:$K$1325,Movimientos!$C$1:$C$1325,"Green Stone Trust",Movimientos!$B$1:$B$1325,"&lt;="&amp;$B82)</f>
        <v>1968.99</v>
      </c>
      <c r="O82" s="24">
        <f>SUMIFS('Saldos Iniciales'!$D:$D,'Saldos Iniciales'!$A:$A,"EC Auto")+SUMIFS(Movimientos!$K$1:$K$1325,Movimientos!$C$1:$C$1325,"EC Auto",Movimientos!$B$1:$B$1325,"&lt;="&amp;$B82)</f>
        <v>901.34</v>
      </c>
      <c r="P82" s="24">
        <f>SUMIFS('Saldos Iniciales'!$D:$D,'Saldos Iniciales'!$A:$A,"Arbor Capital Properties")+SUMIFS(Movimientos!$K$1:$K$1325,Movimientos!$C$1:$C$1325,"Arbor Capital Properties",Movimientos!$B$1:$B$1325,"&lt;="&amp;$B82)</f>
        <v>1412.08</v>
      </c>
      <c r="Q82" s="24">
        <f>SUMIFS('Saldos Iniciales'!$D:$D,'Saldos Iniciales'!$A:$A,"2515 Overbrook")+SUMIFS(Movimientos!$K$1:$K$1325,Movimientos!$C$1:$C$1325,"2515 Overbrook",Movimientos!$B$1:$B$1325,"&lt;="&amp;$B82)</f>
        <v>22347.56999999996</v>
      </c>
      <c r="R82" s="24">
        <f>SUMIFS('Saldos Iniciales'!$D:$D,'Saldos Iniciales'!$A:$A,"112 Florida Ave")+SUMIFS(Movimientos!$K$1:$K$1325,Movimientos!$C$1:$C$1325,"112 Florida Ave",Movimientos!$B$1:$B$1325,"&lt;="&amp;$B82)</f>
        <v>3522.8000000000029</v>
      </c>
      <c r="S82" s="24">
        <f>SUMIFS('Saldos Iniciales'!$D:$D,'Saldos Iniciales'!$A:$A,"3628 Thomas Ave")+SUMIFS(Movimientos!$K$1:$K$1325,Movimientos!$C$1:$C$1325,"3628 Thomas Ave",Movimientos!$B$1:$B$1325,"&lt;="&amp;$B82)</f>
        <v>28485.559999999998</v>
      </c>
      <c r="T82" s="24">
        <f>SUMIFS('Saldos Iniciales'!$D:$D,'Saldos Iniciales'!$A:$A,"Green Harbor Trust")+SUMIFS(Movimientos!$K$1:$K$1325,Movimientos!$C$1:$C$1325,"Green Harbor Trust",Movimientos!$B$1:$B$1325,"&lt;="&amp;$B82)</f>
        <v>345</v>
      </c>
      <c r="U82" s="24">
        <f>SUMIFS('Saldos Iniciales'!$D:$D,'Saldos Iniciales'!$A:$A,"Go Blue")+SUMIFS(Movimientos!$K$1:$K$1325,Movimientos!$C$1:$C$1325,"Go Blue",Movimientos!$B$1:$B$1325,"&lt;="&amp;$B82)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LLC",Movimientos!$B$1:$B$1325,"&lt;="&amp;$B82))</f>
        <v>0</v>
      </c>
      <c r="W82" s="24">
        <f>IF(YEAR($B82)*100+MONTH($B82)&lt;--SUBSTITUTE(_xlfn.XLOOKUP("CFT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",Movimientos!$B$1:$B$1325,"&lt;="&amp;$B82))</f>
        <v>0</v>
      </c>
      <c r="AC82" s="24" t="e">
        <f>IF(YEAR($B82)*100+MONTH($B82)&lt;--SUBSTITUTE(_xlfn.XLOOKUP("SYIP",'Saldos Iniciales'!$A:$A,'Saldos Iniciales'!$C:$C),"-",""),0,SUMIFS('Saldos Iniciales'!$D:$D,'Saldos Iniciales'!$A:$A,"SYIP")+SUMIFS(Movimientos!$K$1:$K$1325,Movimientos!$C$1:$C$1325,"SYIP",Movimientos!$B$1:$B$1325,"&lt;="&amp;$B82))</f>
        <v>#N/A</v>
      </c>
      <c r="AD82" s="24">
        <f>IF(YEAR($B82)*100+MONTH($B82)&lt;--SUBSTITUTE(_xlfn.XLOOKUP("Nobe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Aparments",Movimientos!$B$1:$B$1325,"&lt;="&amp;$B82))</f>
        <v>0</v>
      </c>
      <c r="AE82" s="25" t="e">
        <f t="shared" si="3"/>
        <v>#N/A</v>
      </c>
    </row>
    <row r="83" spans="1:31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Group")+SUMIFS(Movimientos!$K$1:$K$1325,Movimientos!$C$1:$C$1325,"CFT Group",Movimientos!$B$1:$B$1325,"&lt;="&amp;$B83)</f>
        <v>3110339.0700000008</v>
      </c>
      <c r="D83" s="24">
        <f>SUMIFS('Saldos Iniciales'!$D:$D,'Saldos Iniciales'!$A:$A,"M1B")+SUMIFS(Movimientos!$K$1:$K$1325,Movimientos!$C$1:$C$1325,"M1B",Movimientos!$B$1:$B$1325,"&lt;="&amp;$B83)</f>
        <v>73157.680000000168</v>
      </c>
      <c r="E83" s="24">
        <f>SUMIFS('Saldos Iniciales'!$D:$D,'Saldos Iniciales'!$A:$A,"Durand")+SUMIFS(Movimientos!$K$1:$K$1325,Movimientos!$C$1:$C$1325,"Durand",Movimientos!$B$1:$B$1325,"&lt;="&amp;$B83)</f>
        <v>1669.89</v>
      </c>
      <c r="F83" s="24">
        <f>SUMIFS('Saldos Iniciales'!$D:$D,'Saldos Iniciales'!$A:$A,"A&amp;M Imports")+SUMIFS(Movimientos!$K$1:$K$1325,Movimientos!$C$1:$C$1325,"A&amp;M Imports",Movimientos!$B$1:$B$1325,"&lt;="&amp;$B83)</f>
        <v>1029804.7499999998</v>
      </c>
      <c r="G83" s="24">
        <f>SUMIFS('Saldos Iniciales'!$D:$D,'Saldos Iniciales'!$A:$A,"SSP Capital")+SUMIFS(Movimientos!$K$1:$K$1325,Movimientos!$C$1:$C$1325,"SSP Capital",Movimientos!$B$1:$B$1325,"&lt;="&amp;$B83)</f>
        <v>1744257.8699999994</v>
      </c>
      <c r="H83" s="24">
        <f>SUMIFS('Saldos Iniciales'!$D:$D,'Saldos Iniciales'!$A:$A,"Cross Family Trust")+SUMIFS(Movimientos!$K$1:$K$1325,Movimientos!$C$1:$C$1325,"Cross Family Trust",Movimientos!$B$1:$B$1325,"&lt;="&amp;$B83)</f>
        <v>200496.38</v>
      </c>
      <c r="I83" s="24">
        <f>SUMIFS('Saldos Iniciales'!$D:$D,'Saldos Iniciales'!$A:$A,"Cross Security Trust")+SUMIFS(Movimientos!$K$1:$K$1325,Movimientos!$C$1:$C$1325,"Cross Security Trust",Movimientos!$B$1:$B$1325,"&lt;="&amp;$B83)</f>
        <v>88090.37</v>
      </c>
      <c r="J83" s="24">
        <f>SUMIFS('Saldos Iniciales'!$D:$D,'Saldos Iniciales'!$A:$A,"Electrama")+SUMIFS(Movimientos!$K$1:$K$1325,Movimientos!$C$1:$C$1325,"Electrama",Movimientos!$B$1:$B$1325,"&lt;="&amp;$B83)</f>
        <v>14580.45</v>
      </c>
      <c r="K83" s="24">
        <f>SUMIFS('Saldos Iniciales'!$D:$D,'Saldos Iniciales'!$A:$A,"Sacred Valley Capital")+SUMIFS(Movimientos!$K$1:$K$1325,Movimientos!$C$1:$C$1325,"Sacred Valley Capital",Movimientos!$B$1:$B$1325,"&lt;="&amp;$B83)</f>
        <v>54.400000000000006</v>
      </c>
      <c r="L83" s="24">
        <f>SUMIFS('Saldos Iniciales'!$D:$D,'Saldos Iniciales'!$A:$A,"YWC Capital")+SUMIFS(Movimientos!$K$1:$K$1325,Movimientos!$C$1:$C$1325,"YWC Capital",Movimientos!$B$1:$B$1325,"&lt;="&amp;$B83)</f>
        <v>2207.8200000000002</v>
      </c>
      <c r="M83" s="24">
        <f>SUMIFS('Saldos Iniciales'!$D:$D,'Saldos Iniciales'!$A:$A,"Soweto")+SUMIFS(Movimientos!$K$1:$K$1325,Movimientos!$C$1:$C$1325,"Soweto",Movimientos!$B$1:$B$1325,"&lt;="&amp;$B83)</f>
        <v>1454589.72</v>
      </c>
      <c r="N83" s="24">
        <f>SUMIFS('Saldos Iniciales'!$D:$D,'Saldos Iniciales'!$A:$A,"Green Stone Trust")+SUMIFS(Movimientos!$K$1:$K$1325,Movimientos!$C$1:$C$1325,"Green Stone Trust",Movimientos!$B$1:$B$1325,"&lt;="&amp;$B83)</f>
        <v>1968.99</v>
      </c>
      <c r="O83" s="24">
        <f>SUMIFS('Saldos Iniciales'!$D:$D,'Saldos Iniciales'!$A:$A,"EC Auto")+SUMIFS(Movimientos!$K$1:$K$1325,Movimientos!$C$1:$C$1325,"EC Auto",Movimientos!$B$1:$B$1325,"&lt;="&amp;$B83)</f>
        <v>901.34</v>
      </c>
      <c r="P83" s="24">
        <f>SUMIFS('Saldos Iniciales'!$D:$D,'Saldos Iniciales'!$A:$A,"Arbor Capital Properties")+SUMIFS(Movimientos!$K$1:$K$1325,Movimientos!$C$1:$C$1325,"Arbor Capital Properties",Movimientos!$B$1:$B$1325,"&lt;="&amp;$B83)</f>
        <v>1412.08</v>
      </c>
      <c r="Q83" s="24">
        <f>SUMIFS('Saldos Iniciales'!$D:$D,'Saldos Iniciales'!$A:$A,"2515 Overbrook")+SUMIFS(Movimientos!$K$1:$K$1325,Movimientos!$C$1:$C$1325,"2515 Overbrook",Movimientos!$B$1:$B$1325,"&lt;="&amp;$B83)</f>
        <v>22347.56999999996</v>
      </c>
      <c r="R83" s="24">
        <f>SUMIFS('Saldos Iniciales'!$D:$D,'Saldos Iniciales'!$A:$A,"112 Florida Ave")+SUMIFS(Movimientos!$K$1:$K$1325,Movimientos!$C$1:$C$1325,"112 Florida Ave",Movimientos!$B$1:$B$1325,"&lt;="&amp;$B83)</f>
        <v>3522.8000000000029</v>
      </c>
      <c r="S83" s="24">
        <f>SUMIFS('Saldos Iniciales'!$D:$D,'Saldos Iniciales'!$A:$A,"3628 Thomas Ave")+SUMIFS(Movimientos!$K$1:$K$1325,Movimientos!$C$1:$C$1325,"3628 Thomas Ave",Movimientos!$B$1:$B$1325,"&lt;="&amp;$B83)</f>
        <v>28485.559999999998</v>
      </c>
      <c r="T83" s="24">
        <f>SUMIFS('Saldos Iniciales'!$D:$D,'Saldos Iniciales'!$A:$A,"Green Harbor Trust")+SUMIFS(Movimientos!$K$1:$K$1325,Movimientos!$C$1:$C$1325,"Green Harbor Trust",Movimientos!$B$1:$B$1325,"&lt;="&amp;$B83)</f>
        <v>345</v>
      </c>
      <c r="U83" s="24">
        <f>SUMIFS('Saldos Iniciales'!$D:$D,'Saldos Iniciales'!$A:$A,"Go Blue")+SUMIFS(Movimientos!$K$1:$K$1325,Movimientos!$C$1:$C$1325,"Go Blue",Movimientos!$B$1:$B$1325,"&lt;="&amp;$B83)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LLC",Movimientos!$B$1:$B$1325,"&lt;="&amp;$B83))</f>
        <v>0</v>
      </c>
      <c r="W83" s="24">
        <f>IF(YEAR($B83)*100+MONTH($B83)&lt;--SUBSTITUTE(_xlfn.XLOOKUP("CFT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",Movimientos!$B$1:$B$1325,"&lt;="&amp;$B83))</f>
        <v>0</v>
      </c>
      <c r="AC83" s="24" t="e">
        <f>IF(YEAR($B83)*100+MONTH($B83)&lt;--SUBSTITUTE(_xlfn.XLOOKUP("SYIP",'Saldos Iniciales'!$A:$A,'Saldos Iniciales'!$C:$C),"-",""),0,SUMIFS('Saldos Iniciales'!$D:$D,'Saldos Iniciales'!$A:$A,"SYIP")+SUMIFS(Movimientos!$K$1:$K$1325,Movimientos!$C$1:$C$1325,"SYIP",Movimientos!$B$1:$B$1325,"&lt;="&amp;$B83))</f>
        <v>#N/A</v>
      </c>
      <c r="AD83" s="24">
        <f>IF(YEAR($B83)*100+MONTH($B83)&lt;--SUBSTITUTE(_xlfn.XLOOKUP("Nobe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Aparments",Movimientos!$B$1:$B$1325,"&lt;="&amp;$B83))</f>
        <v>0</v>
      </c>
      <c r="AE83" s="25" t="e">
        <f t="shared" si="3"/>
        <v>#N/A</v>
      </c>
    </row>
    <row r="84" spans="1:31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Group")+SUMIFS(Movimientos!$K$1:$K$1325,Movimientos!$C$1:$C$1325,"CFT Group",Movimientos!$B$1:$B$1325,"&lt;="&amp;$B84)</f>
        <v>2255755.7400000007</v>
      </c>
      <c r="D84" s="24">
        <f>SUMIFS('Saldos Iniciales'!$D:$D,'Saldos Iniciales'!$A:$A,"M1B")+SUMIFS(Movimientos!$K$1:$K$1325,Movimientos!$C$1:$C$1325,"M1B",Movimientos!$B$1:$B$1325,"&lt;="&amp;$B84)</f>
        <v>73157.680000000168</v>
      </c>
      <c r="E84" s="24">
        <f>SUMIFS('Saldos Iniciales'!$D:$D,'Saldos Iniciales'!$A:$A,"Durand")+SUMIFS(Movimientos!$K$1:$K$1325,Movimientos!$C$1:$C$1325,"Durand",Movimientos!$B$1:$B$1325,"&lt;="&amp;$B84)</f>
        <v>1669.89</v>
      </c>
      <c r="F84" s="24">
        <f>SUMIFS('Saldos Iniciales'!$D:$D,'Saldos Iniciales'!$A:$A,"A&amp;M Imports")+SUMIFS(Movimientos!$K$1:$K$1325,Movimientos!$C$1:$C$1325,"A&amp;M Imports",Movimientos!$B$1:$B$1325,"&lt;="&amp;$B84)</f>
        <v>1002754.9899999998</v>
      </c>
      <c r="G84" s="24">
        <f>SUMIFS('Saldos Iniciales'!$D:$D,'Saldos Iniciales'!$A:$A,"SSP Capital")+SUMIFS(Movimientos!$K$1:$K$1325,Movimientos!$C$1:$C$1325,"SSP Capital",Movimientos!$B$1:$B$1325,"&lt;="&amp;$B84)</f>
        <v>2022877.8699999996</v>
      </c>
      <c r="H84" s="24">
        <f>SUMIFS('Saldos Iniciales'!$D:$D,'Saldos Iniciales'!$A:$A,"Cross Family Trust")+SUMIFS(Movimientos!$K$1:$K$1325,Movimientos!$C$1:$C$1325,"Cross Family Trust",Movimientos!$B$1:$B$1325,"&lt;="&amp;$B84)</f>
        <v>200496.38</v>
      </c>
      <c r="I84" s="24">
        <f>SUMIFS('Saldos Iniciales'!$D:$D,'Saldos Iniciales'!$A:$A,"Cross Security Trust")+SUMIFS(Movimientos!$K$1:$K$1325,Movimientos!$C$1:$C$1325,"Cross Security Trust",Movimientos!$B$1:$B$1325,"&lt;="&amp;$B84)</f>
        <v>88090.37</v>
      </c>
      <c r="J84" s="24">
        <f>SUMIFS('Saldos Iniciales'!$D:$D,'Saldos Iniciales'!$A:$A,"Electrama")+SUMIFS(Movimientos!$K$1:$K$1325,Movimientos!$C$1:$C$1325,"Electrama",Movimientos!$B$1:$B$1325,"&lt;="&amp;$B84)</f>
        <v>14580.45</v>
      </c>
      <c r="K84" s="24">
        <f>SUMIFS('Saldos Iniciales'!$D:$D,'Saldos Iniciales'!$A:$A,"Sacred Valley Capital")+SUMIFS(Movimientos!$K$1:$K$1325,Movimientos!$C$1:$C$1325,"Sacred Valley Capital",Movimientos!$B$1:$B$1325,"&lt;="&amp;$B84)</f>
        <v>54.400000000000006</v>
      </c>
      <c r="L84" s="24">
        <f>SUMIFS('Saldos Iniciales'!$D:$D,'Saldos Iniciales'!$A:$A,"YWC Capital")+SUMIFS(Movimientos!$K$1:$K$1325,Movimientos!$C$1:$C$1325,"YWC Capital",Movimientos!$B$1:$B$1325,"&lt;="&amp;$B84)</f>
        <v>2207.8200000000002</v>
      </c>
      <c r="M84" s="24">
        <f>SUMIFS('Saldos Iniciales'!$D:$D,'Saldos Iniciales'!$A:$A,"Soweto")+SUMIFS(Movimientos!$K$1:$K$1325,Movimientos!$C$1:$C$1325,"Soweto",Movimientos!$B$1:$B$1325,"&lt;="&amp;$B84)</f>
        <v>1454589.72</v>
      </c>
      <c r="N84" s="24">
        <f>SUMIFS('Saldos Iniciales'!$D:$D,'Saldos Iniciales'!$A:$A,"Green Stone Trust")+SUMIFS(Movimientos!$K$1:$K$1325,Movimientos!$C$1:$C$1325,"Green Stone Trust",Movimientos!$B$1:$B$1325,"&lt;="&amp;$B84)</f>
        <v>1968.99</v>
      </c>
      <c r="O84" s="24">
        <f>SUMIFS('Saldos Iniciales'!$D:$D,'Saldos Iniciales'!$A:$A,"EC Auto")+SUMIFS(Movimientos!$K$1:$K$1325,Movimientos!$C$1:$C$1325,"EC Auto",Movimientos!$B$1:$B$1325,"&lt;="&amp;$B84)</f>
        <v>901.34</v>
      </c>
      <c r="P84" s="24">
        <f>SUMIFS('Saldos Iniciales'!$D:$D,'Saldos Iniciales'!$A:$A,"Arbor Capital Properties")+SUMIFS(Movimientos!$K$1:$K$1325,Movimientos!$C$1:$C$1325,"Arbor Capital Properties",Movimientos!$B$1:$B$1325,"&lt;="&amp;$B84)</f>
        <v>1412.08</v>
      </c>
      <c r="Q84" s="24">
        <f>SUMIFS('Saldos Iniciales'!$D:$D,'Saldos Iniciales'!$A:$A,"2515 Overbrook")+SUMIFS(Movimientos!$K$1:$K$1325,Movimientos!$C$1:$C$1325,"2515 Overbrook",Movimientos!$B$1:$B$1325,"&lt;="&amp;$B84)</f>
        <v>22347.56999999996</v>
      </c>
      <c r="R84" s="24">
        <f>SUMIFS('Saldos Iniciales'!$D:$D,'Saldos Iniciales'!$A:$A,"112 Florida Ave")+SUMIFS(Movimientos!$K$1:$K$1325,Movimientos!$C$1:$C$1325,"112 Florida Ave",Movimientos!$B$1:$B$1325,"&lt;="&amp;$B84)</f>
        <v>3522.8000000000029</v>
      </c>
      <c r="S84" s="24">
        <f>SUMIFS('Saldos Iniciales'!$D:$D,'Saldos Iniciales'!$A:$A,"3628 Thomas Ave")+SUMIFS(Movimientos!$K$1:$K$1325,Movimientos!$C$1:$C$1325,"3628 Thomas Ave",Movimientos!$B$1:$B$1325,"&lt;="&amp;$B84)</f>
        <v>28485.559999999998</v>
      </c>
      <c r="T84" s="24">
        <f>SUMIFS('Saldos Iniciales'!$D:$D,'Saldos Iniciales'!$A:$A,"Green Harbor Trust")+SUMIFS(Movimientos!$K$1:$K$1325,Movimientos!$C$1:$C$1325,"Green Harbor Trust",Movimientos!$B$1:$B$1325,"&lt;="&amp;$B84)</f>
        <v>345</v>
      </c>
      <c r="U84" s="24">
        <f>SUMIFS('Saldos Iniciales'!$D:$D,'Saldos Iniciales'!$A:$A,"Go Blue")+SUMIFS(Movimientos!$K$1:$K$1325,Movimientos!$C$1:$C$1325,"Go Blue",Movimientos!$B$1:$B$1325,"&lt;="&amp;$B84)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LLC",Movimientos!$B$1:$B$1325,"&lt;="&amp;$B84))</f>
        <v>0</v>
      </c>
      <c r="W84" s="24">
        <f>IF(YEAR($B84)*100+MONTH($B84)&lt;--SUBSTITUTE(_xlfn.XLOOKUP("CFT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",Movimientos!$B$1:$B$1325,"&lt;="&amp;$B84))</f>
        <v>0</v>
      </c>
      <c r="AC84" s="24" t="e">
        <f>IF(YEAR($B84)*100+MONTH($B84)&lt;--SUBSTITUTE(_xlfn.XLOOKUP("SYIP",'Saldos Iniciales'!$A:$A,'Saldos Iniciales'!$C:$C),"-",""),0,SUMIFS('Saldos Iniciales'!$D:$D,'Saldos Iniciales'!$A:$A,"SYIP")+SUMIFS(Movimientos!$K$1:$K$1325,Movimientos!$C$1:$C$1325,"SYIP",Movimientos!$B$1:$B$1325,"&lt;="&amp;$B84))</f>
        <v>#N/A</v>
      </c>
      <c r="AD84" s="24">
        <f>IF(YEAR($B84)*100+MONTH($B84)&lt;--SUBSTITUTE(_xlfn.XLOOKUP("Nobe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Aparments",Movimientos!$B$1:$B$1325,"&lt;="&amp;$B84))</f>
        <v>0</v>
      </c>
      <c r="AE84" s="25" t="e">
        <f t="shared" si="3"/>
        <v>#N/A</v>
      </c>
    </row>
    <row r="85" spans="1:31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Group")+SUMIFS(Movimientos!$K$1:$K$1325,Movimientos!$C$1:$C$1325,"CFT Group",Movimientos!$B$1:$B$1325,"&lt;="&amp;$B85)</f>
        <v>2255750.7400000007</v>
      </c>
      <c r="D85" s="24">
        <f>SUMIFS('Saldos Iniciales'!$D:$D,'Saldos Iniciales'!$A:$A,"M1B")+SUMIFS(Movimientos!$K$1:$K$1325,Movimientos!$C$1:$C$1325,"M1B",Movimientos!$B$1:$B$1325,"&lt;="&amp;$B85)</f>
        <v>73157.680000000168</v>
      </c>
      <c r="E85" s="24">
        <f>SUMIFS('Saldos Iniciales'!$D:$D,'Saldos Iniciales'!$A:$A,"Durand")+SUMIFS(Movimientos!$K$1:$K$1325,Movimientos!$C$1:$C$1325,"Durand",Movimientos!$B$1:$B$1325,"&lt;="&amp;$B85)</f>
        <v>1669.89</v>
      </c>
      <c r="F85" s="24">
        <f>SUMIFS('Saldos Iniciales'!$D:$D,'Saldos Iniciales'!$A:$A,"A&amp;M Imports")+SUMIFS(Movimientos!$K$1:$K$1325,Movimientos!$C$1:$C$1325,"A&amp;M Imports",Movimientos!$B$1:$B$1325,"&lt;="&amp;$B85)</f>
        <v>1042744.6899999997</v>
      </c>
      <c r="G85" s="24">
        <f>SUMIFS('Saldos Iniciales'!$D:$D,'Saldos Iniciales'!$A:$A,"SSP Capital")+SUMIFS(Movimientos!$K$1:$K$1325,Movimientos!$C$1:$C$1325,"SSP Capital",Movimientos!$B$1:$B$1325,"&lt;="&amp;$B85)</f>
        <v>2022877.8699999996</v>
      </c>
      <c r="H85" s="24">
        <f>SUMIFS('Saldos Iniciales'!$D:$D,'Saldos Iniciales'!$A:$A,"Cross Family Trust")+SUMIFS(Movimientos!$K$1:$K$1325,Movimientos!$C$1:$C$1325,"Cross Family Trust",Movimientos!$B$1:$B$1325,"&lt;="&amp;$B85)</f>
        <v>200496.38</v>
      </c>
      <c r="I85" s="24">
        <f>SUMIFS('Saldos Iniciales'!$D:$D,'Saldos Iniciales'!$A:$A,"Cross Security Trust")+SUMIFS(Movimientos!$K$1:$K$1325,Movimientos!$C$1:$C$1325,"Cross Security Trust",Movimientos!$B$1:$B$1325,"&lt;="&amp;$B85)</f>
        <v>88090.37</v>
      </c>
      <c r="J85" s="24">
        <f>SUMIFS('Saldos Iniciales'!$D:$D,'Saldos Iniciales'!$A:$A,"Electrama")+SUMIFS(Movimientos!$K$1:$K$1325,Movimientos!$C$1:$C$1325,"Electrama",Movimientos!$B$1:$B$1325,"&lt;="&amp;$B85)</f>
        <v>14580.45</v>
      </c>
      <c r="K85" s="24">
        <f>SUMIFS('Saldos Iniciales'!$D:$D,'Saldos Iniciales'!$A:$A,"Sacred Valley Capital")+SUMIFS(Movimientos!$K$1:$K$1325,Movimientos!$C$1:$C$1325,"Sacred Valley Capital",Movimientos!$B$1:$B$1325,"&lt;="&amp;$B85)</f>
        <v>54.400000000000006</v>
      </c>
      <c r="L85" s="24">
        <f>SUMIFS('Saldos Iniciales'!$D:$D,'Saldos Iniciales'!$A:$A,"YWC Capital")+SUMIFS(Movimientos!$K$1:$K$1325,Movimientos!$C$1:$C$1325,"YWC Capital",Movimientos!$B$1:$B$1325,"&lt;="&amp;$B85)</f>
        <v>2207.8200000000002</v>
      </c>
      <c r="M85" s="24">
        <f>SUMIFS('Saldos Iniciales'!$D:$D,'Saldos Iniciales'!$A:$A,"Soweto")+SUMIFS(Movimientos!$K$1:$K$1325,Movimientos!$C$1:$C$1325,"Soweto",Movimientos!$B$1:$B$1325,"&lt;="&amp;$B85)</f>
        <v>1454589.72</v>
      </c>
      <c r="N85" s="24">
        <f>SUMIFS('Saldos Iniciales'!$D:$D,'Saldos Iniciales'!$A:$A,"Green Stone Trust")+SUMIFS(Movimientos!$K$1:$K$1325,Movimientos!$C$1:$C$1325,"Green Stone Trust",Movimientos!$B$1:$B$1325,"&lt;="&amp;$B85)</f>
        <v>1968.99</v>
      </c>
      <c r="O85" s="24">
        <f>SUMIFS('Saldos Iniciales'!$D:$D,'Saldos Iniciales'!$A:$A,"EC Auto")+SUMIFS(Movimientos!$K$1:$K$1325,Movimientos!$C$1:$C$1325,"EC Auto",Movimientos!$B$1:$B$1325,"&lt;="&amp;$B85)</f>
        <v>901.34</v>
      </c>
      <c r="P85" s="24">
        <f>SUMIFS('Saldos Iniciales'!$D:$D,'Saldos Iniciales'!$A:$A,"Arbor Capital Properties")+SUMIFS(Movimientos!$K$1:$K$1325,Movimientos!$C$1:$C$1325,"Arbor Capital Properties",Movimientos!$B$1:$B$1325,"&lt;="&amp;$B85)</f>
        <v>1412.08</v>
      </c>
      <c r="Q85" s="24">
        <f>SUMIFS('Saldos Iniciales'!$D:$D,'Saldos Iniciales'!$A:$A,"2515 Overbrook")+SUMIFS(Movimientos!$K$1:$K$1325,Movimientos!$C$1:$C$1325,"2515 Overbrook",Movimientos!$B$1:$B$1325,"&lt;="&amp;$B85)</f>
        <v>22347.56999999996</v>
      </c>
      <c r="R85" s="24">
        <f>SUMIFS('Saldos Iniciales'!$D:$D,'Saldos Iniciales'!$A:$A,"112 Florida Ave")+SUMIFS(Movimientos!$K$1:$K$1325,Movimientos!$C$1:$C$1325,"112 Florida Ave",Movimientos!$B$1:$B$1325,"&lt;="&amp;$B85)</f>
        <v>18522.800000000003</v>
      </c>
      <c r="S85" s="24">
        <f>SUMIFS('Saldos Iniciales'!$D:$D,'Saldos Iniciales'!$A:$A,"3628 Thomas Ave")+SUMIFS(Movimientos!$K$1:$K$1325,Movimientos!$C$1:$C$1325,"3628 Thomas Ave",Movimientos!$B$1:$B$1325,"&lt;="&amp;$B85)</f>
        <v>28485.559999999998</v>
      </c>
      <c r="T85" s="24">
        <f>SUMIFS('Saldos Iniciales'!$D:$D,'Saldos Iniciales'!$A:$A,"Green Harbor Trust")+SUMIFS(Movimientos!$K$1:$K$1325,Movimientos!$C$1:$C$1325,"Green Harbor Trust",Movimientos!$B$1:$B$1325,"&lt;="&amp;$B85)</f>
        <v>345</v>
      </c>
      <c r="U85" s="24">
        <f>SUMIFS('Saldos Iniciales'!$D:$D,'Saldos Iniciales'!$A:$A,"Go Blue")+SUMIFS(Movimientos!$K$1:$K$1325,Movimientos!$C$1:$C$1325,"Go Blue",Movimientos!$B$1:$B$1325,"&lt;="&amp;$B85)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LLC",Movimientos!$B$1:$B$1325,"&lt;="&amp;$B85))</f>
        <v>0</v>
      </c>
      <c r="W85" s="24">
        <f>IF(YEAR($B85)*100+MONTH($B85)&lt;--SUBSTITUTE(_xlfn.XLOOKUP("CFT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",Movimientos!$B$1:$B$1325,"&lt;="&amp;$B85))</f>
        <v>0</v>
      </c>
      <c r="AC85" s="24" t="e">
        <f>IF(YEAR($B85)*100+MONTH($B85)&lt;--SUBSTITUTE(_xlfn.XLOOKUP("SYIP",'Saldos Iniciales'!$A:$A,'Saldos Iniciales'!$C:$C),"-",""),0,SUMIFS('Saldos Iniciales'!$D:$D,'Saldos Iniciales'!$A:$A,"SYIP")+SUMIFS(Movimientos!$K$1:$K$1325,Movimientos!$C$1:$C$1325,"SYIP",Movimientos!$B$1:$B$1325,"&lt;="&amp;$B85))</f>
        <v>#N/A</v>
      </c>
      <c r="AD85" s="24">
        <f>IF(YEAR($B85)*100+MONTH($B85)&lt;--SUBSTITUTE(_xlfn.XLOOKUP("Nobe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Aparments",Movimientos!$B$1:$B$1325,"&lt;="&amp;$B85))</f>
        <v>0</v>
      </c>
      <c r="AE85" s="25" t="e">
        <f t="shared" si="3"/>
        <v>#N/A</v>
      </c>
    </row>
    <row r="86" spans="1:31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Group")+SUMIFS(Movimientos!$K$1:$K$1325,Movimientos!$C$1:$C$1325,"CFT Group",Movimientos!$B$1:$B$1325,"&lt;="&amp;$B86)</f>
        <v>2255750.7400000007</v>
      </c>
      <c r="D86" s="24">
        <f>SUMIFS('Saldos Iniciales'!$D:$D,'Saldos Iniciales'!$A:$A,"M1B")+SUMIFS(Movimientos!$K$1:$K$1325,Movimientos!$C$1:$C$1325,"M1B",Movimientos!$B$1:$B$1325,"&lt;="&amp;$B86)</f>
        <v>73157.680000000168</v>
      </c>
      <c r="E86" s="24">
        <f>SUMIFS('Saldos Iniciales'!$D:$D,'Saldos Iniciales'!$A:$A,"Durand")+SUMIFS(Movimientos!$K$1:$K$1325,Movimientos!$C$1:$C$1325,"Durand",Movimientos!$B$1:$B$1325,"&lt;="&amp;$B86)</f>
        <v>1669.89</v>
      </c>
      <c r="F86" s="24">
        <f>SUMIFS('Saldos Iniciales'!$D:$D,'Saldos Iniciales'!$A:$A,"A&amp;M Imports")+SUMIFS(Movimientos!$K$1:$K$1325,Movimientos!$C$1:$C$1325,"A&amp;M Imports",Movimientos!$B$1:$B$1325,"&lt;="&amp;$B86)</f>
        <v>1042744.6899999997</v>
      </c>
      <c r="G86" s="24">
        <f>SUMIFS('Saldos Iniciales'!$D:$D,'Saldos Iniciales'!$A:$A,"SSP Capital")+SUMIFS(Movimientos!$K$1:$K$1325,Movimientos!$C$1:$C$1325,"SSP Capital",Movimientos!$B$1:$B$1325,"&lt;="&amp;$B86)</f>
        <v>2022877.8699999996</v>
      </c>
      <c r="H86" s="24">
        <f>SUMIFS('Saldos Iniciales'!$D:$D,'Saldos Iniciales'!$A:$A,"Cross Family Trust")+SUMIFS(Movimientos!$K$1:$K$1325,Movimientos!$C$1:$C$1325,"Cross Family Trust",Movimientos!$B$1:$B$1325,"&lt;="&amp;$B86)</f>
        <v>200496.38</v>
      </c>
      <c r="I86" s="24">
        <f>SUMIFS('Saldos Iniciales'!$D:$D,'Saldos Iniciales'!$A:$A,"Cross Security Trust")+SUMIFS(Movimientos!$K$1:$K$1325,Movimientos!$C$1:$C$1325,"Cross Security Trust",Movimientos!$B$1:$B$1325,"&lt;="&amp;$B86)</f>
        <v>88090.37</v>
      </c>
      <c r="J86" s="24">
        <f>SUMIFS('Saldos Iniciales'!$D:$D,'Saldos Iniciales'!$A:$A,"Electrama")+SUMIFS(Movimientos!$K$1:$K$1325,Movimientos!$C$1:$C$1325,"Electrama",Movimientos!$B$1:$B$1325,"&lt;="&amp;$B86)</f>
        <v>14580.45</v>
      </c>
      <c r="K86" s="24">
        <f>SUMIFS('Saldos Iniciales'!$D:$D,'Saldos Iniciales'!$A:$A,"Sacred Valley Capital")+SUMIFS(Movimientos!$K$1:$K$1325,Movimientos!$C$1:$C$1325,"Sacred Valley Capital",Movimientos!$B$1:$B$1325,"&lt;="&amp;$B86)</f>
        <v>54.400000000000006</v>
      </c>
      <c r="L86" s="24">
        <f>SUMIFS('Saldos Iniciales'!$D:$D,'Saldos Iniciales'!$A:$A,"YWC Capital")+SUMIFS(Movimientos!$K$1:$K$1325,Movimientos!$C$1:$C$1325,"YWC Capital",Movimientos!$B$1:$B$1325,"&lt;="&amp;$B86)</f>
        <v>2207.8200000000002</v>
      </c>
      <c r="M86" s="24">
        <f>SUMIFS('Saldos Iniciales'!$D:$D,'Saldos Iniciales'!$A:$A,"Soweto")+SUMIFS(Movimientos!$K$1:$K$1325,Movimientos!$C$1:$C$1325,"Soweto",Movimientos!$B$1:$B$1325,"&lt;="&amp;$B86)</f>
        <v>1454589.72</v>
      </c>
      <c r="N86" s="24">
        <f>SUMIFS('Saldos Iniciales'!$D:$D,'Saldos Iniciales'!$A:$A,"Green Stone Trust")+SUMIFS(Movimientos!$K$1:$K$1325,Movimientos!$C$1:$C$1325,"Green Stone Trust",Movimientos!$B$1:$B$1325,"&lt;="&amp;$B86)</f>
        <v>1968.99</v>
      </c>
      <c r="O86" s="24">
        <f>SUMIFS('Saldos Iniciales'!$D:$D,'Saldos Iniciales'!$A:$A,"EC Auto")+SUMIFS(Movimientos!$K$1:$K$1325,Movimientos!$C$1:$C$1325,"EC Auto",Movimientos!$B$1:$B$1325,"&lt;="&amp;$B86)</f>
        <v>901.34</v>
      </c>
      <c r="P86" s="24">
        <f>SUMIFS('Saldos Iniciales'!$D:$D,'Saldos Iniciales'!$A:$A,"Arbor Capital Properties")+SUMIFS(Movimientos!$K$1:$K$1325,Movimientos!$C$1:$C$1325,"Arbor Capital Properties",Movimientos!$B$1:$B$1325,"&lt;="&amp;$B86)</f>
        <v>1412.08</v>
      </c>
      <c r="Q86" s="24">
        <f>SUMIFS('Saldos Iniciales'!$D:$D,'Saldos Iniciales'!$A:$A,"2515 Overbrook")+SUMIFS(Movimientos!$K$1:$K$1325,Movimientos!$C$1:$C$1325,"2515 Overbrook",Movimientos!$B$1:$B$1325,"&lt;="&amp;$B86)</f>
        <v>22347.56999999996</v>
      </c>
      <c r="R86" s="24">
        <f>SUMIFS('Saldos Iniciales'!$D:$D,'Saldos Iniciales'!$A:$A,"112 Florida Ave")+SUMIFS(Movimientos!$K$1:$K$1325,Movimientos!$C$1:$C$1325,"112 Florida Ave",Movimientos!$B$1:$B$1325,"&lt;="&amp;$B86)</f>
        <v>18522.800000000003</v>
      </c>
      <c r="S86" s="24">
        <f>SUMIFS('Saldos Iniciales'!$D:$D,'Saldos Iniciales'!$A:$A,"3628 Thomas Ave")+SUMIFS(Movimientos!$K$1:$K$1325,Movimientos!$C$1:$C$1325,"3628 Thomas Ave",Movimientos!$B$1:$B$1325,"&lt;="&amp;$B86)</f>
        <v>28485.559999999998</v>
      </c>
      <c r="T86" s="24">
        <f>SUMIFS('Saldos Iniciales'!$D:$D,'Saldos Iniciales'!$A:$A,"Green Harbor Trust")+SUMIFS(Movimientos!$K$1:$K$1325,Movimientos!$C$1:$C$1325,"Green Harbor Trust",Movimientos!$B$1:$B$1325,"&lt;="&amp;$B86)</f>
        <v>345</v>
      </c>
      <c r="U86" s="24">
        <f>SUMIFS('Saldos Iniciales'!$D:$D,'Saldos Iniciales'!$A:$A,"Go Blue")+SUMIFS(Movimientos!$K$1:$K$1325,Movimientos!$C$1:$C$1325,"Go Blue",Movimientos!$B$1:$B$1325,"&lt;="&amp;$B86)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LLC",Movimientos!$B$1:$B$1325,"&lt;="&amp;$B86))</f>
        <v>0</v>
      </c>
      <c r="W86" s="24">
        <f>IF(YEAR($B86)*100+MONTH($B86)&lt;--SUBSTITUTE(_xlfn.XLOOKUP("CFT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",Movimientos!$B$1:$B$1325,"&lt;="&amp;$B86))</f>
        <v>0</v>
      </c>
      <c r="AC86" s="24" t="e">
        <f>IF(YEAR($B86)*100+MONTH($B86)&lt;--SUBSTITUTE(_xlfn.XLOOKUP("SYIP",'Saldos Iniciales'!$A:$A,'Saldos Iniciales'!$C:$C),"-",""),0,SUMIFS('Saldos Iniciales'!$D:$D,'Saldos Iniciales'!$A:$A,"SYIP")+SUMIFS(Movimientos!$K$1:$K$1325,Movimientos!$C$1:$C$1325,"SYIP",Movimientos!$B$1:$B$1325,"&lt;="&amp;$B86))</f>
        <v>#N/A</v>
      </c>
      <c r="AD86" s="24">
        <f>IF(YEAR($B86)*100+MONTH($B86)&lt;--SUBSTITUTE(_xlfn.XLOOKUP("Nobe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Aparments",Movimientos!$B$1:$B$1325,"&lt;="&amp;$B86))</f>
        <v>0</v>
      </c>
      <c r="AE86" s="25" t="e">
        <f t="shared" si="3"/>
        <v>#N/A</v>
      </c>
    </row>
    <row r="87" spans="1:31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Group")+SUMIFS(Movimientos!$K$1:$K$1325,Movimientos!$C$1:$C$1325,"CFT Group",Movimientos!$B$1:$B$1325,"&lt;="&amp;$B87)</f>
        <v>2255750.7400000007</v>
      </c>
      <c r="D87" s="24">
        <f>SUMIFS('Saldos Iniciales'!$D:$D,'Saldos Iniciales'!$A:$A,"M1B")+SUMIFS(Movimientos!$K$1:$K$1325,Movimientos!$C$1:$C$1325,"M1B",Movimientos!$B$1:$B$1325,"&lt;="&amp;$B87)</f>
        <v>73157.680000000168</v>
      </c>
      <c r="E87" s="24">
        <f>SUMIFS('Saldos Iniciales'!$D:$D,'Saldos Iniciales'!$A:$A,"Durand")+SUMIFS(Movimientos!$K$1:$K$1325,Movimientos!$C$1:$C$1325,"Durand",Movimientos!$B$1:$B$1325,"&lt;="&amp;$B87)</f>
        <v>1669.89</v>
      </c>
      <c r="F87" s="24">
        <f>SUMIFS('Saldos Iniciales'!$D:$D,'Saldos Iniciales'!$A:$A,"A&amp;M Imports")+SUMIFS(Movimientos!$K$1:$K$1325,Movimientos!$C$1:$C$1325,"A&amp;M Imports",Movimientos!$B$1:$B$1325,"&lt;="&amp;$B87)</f>
        <v>1042744.6899999997</v>
      </c>
      <c r="G87" s="24">
        <f>SUMIFS('Saldos Iniciales'!$D:$D,'Saldos Iniciales'!$A:$A,"SSP Capital")+SUMIFS(Movimientos!$K$1:$K$1325,Movimientos!$C$1:$C$1325,"SSP Capital",Movimientos!$B$1:$B$1325,"&lt;="&amp;$B87)</f>
        <v>2022877.8699999996</v>
      </c>
      <c r="H87" s="24">
        <f>SUMIFS('Saldos Iniciales'!$D:$D,'Saldos Iniciales'!$A:$A,"Cross Family Trust")+SUMIFS(Movimientos!$K$1:$K$1325,Movimientos!$C$1:$C$1325,"Cross Family Trust",Movimientos!$B$1:$B$1325,"&lt;="&amp;$B87)</f>
        <v>200496.38</v>
      </c>
      <c r="I87" s="24">
        <f>SUMIFS('Saldos Iniciales'!$D:$D,'Saldos Iniciales'!$A:$A,"Cross Security Trust")+SUMIFS(Movimientos!$K$1:$K$1325,Movimientos!$C$1:$C$1325,"Cross Security Trust",Movimientos!$B$1:$B$1325,"&lt;="&amp;$B87)</f>
        <v>88090.37</v>
      </c>
      <c r="J87" s="24">
        <f>SUMIFS('Saldos Iniciales'!$D:$D,'Saldos Iniciales'!$A:$A,"Electrama")+SUMIFS(Movimientos!$K$1:$K$1325,Movimientos!$C$1:$C$1325,"Electrama",Movimientos!$B$1:$B$1325,"&lt;="&amp;$B87)</f>
        <v>14580.45</v>
      </c>
      <c r="K87" s="24">
        <f>SUMIFS('Saldos Iniciales'!$D:$D,'Saldos Iniciales'!$A:$A,"Sacred Valley Capital")+SUMIFS(Movimientos!$K$1:$K$1325,Movimientos!$C$1:$C$1325,"Sacred Valley Capital",Movimientos!$B$1:$B$1325,"&lt;="&amp;$B87)</f>
        <v>54.400000000000006</v>
      </c>
      <c r="L87" s="24">
        <f>SUMIFS('Saldos Iniciales'!$D:$D,'Saldos Iniciales'!$A:$A,"YWC Capital")+SUMIFS(Movimientos!$K$1:$K$1325,Movimientos!$C$1:$C$1325,"YWC Capital",Movimientos!$B$1:$B$1325,"&lt;="&amp;$B87)</f>
        <v>2207.8200000000002</v>
      </c>
      <c r="M87" s="24">
        <f>SUMIFS('Saldos Iniciales'!$D:$D,'Saldos Iniciales'!$A:$A,"Soweto")+SUMIFS(Movimientos!$K$1:$K$1325,Movimientos!$C$1:$C$1325,"Soweto",Movimientos!$B$1:$B$1325,"&lt;="&amp;$B87)</f>
        <v>1454589.72</v>
      </c>
      <c r="N87" s="24">
        <f>SUMIFS('Saldos Iniciales'!$D:$D,'Saldos Iniciales'!$A:$A,"Green Stone Trust")+SUMIFS(Movimientos!$K$1:$K$1325,Movimientos!$C$1:$C$1325,"Green Stone Trust",Movimientos!$B$1:$B$1325,"&lt;="&amp;$B87)</f>
        <v>1968.99</v>
      </c>
      <c r="O87" s="24">
        <f>SUMIFS('Saldos Iniciales'!$D:$D,'Saldos Iniciales'!$A:$A,"EC Auto")+SUMIFS(Movimientos!$K$1:$K$1325,Movimientos!$C$1:$C$1325,"EC Auto",Movimientos!$B$1:$B$1325,"&lt;="&amp;$B87)</f>
        <v>901.34</v>
      </c>
      <c r="P87" s="24">
        <f>SUMIFS('Saldos Iniciales'!$D:$D,'Saldos Iniciales'!$A:$A,"Arbor Capital Properties")+SUMIFS(Movimientos!$K$1:$K$1325,Movimientos!$C$1:$C$1325,"Arbor Capital Properties",Movimientos!$B$1:$B$1325,"&lt;="&amp;$B87)</f>
        <v>1412.08</v>
      </c>
      <c r="Q87" s="24">
        <f>SUMIFS('Saldos Iniciales'!$D:$D,'Saldos Iniciales'!$A:$A,"2515 Overbrook")+SUMIFS(Movimientos!$K$1:$K$1325,Movimientos!$C$1:$C$1325,"2515 Overbrook",Movimientos!$B$1:$B$1325,"&lt;="&amp;$B87)</f>
        <v>22347.56999999996</v>
      </c>
      <c r="R87" s="24">
        <f>SUMIFS('Saldos Iniciales'!$D:$D,'Saldos Iniciales'!$A:$A,"112 Florida Ave")+SUMIFS(Movimientos!$K$1:$K$1325,Movimientos!$C$1:$C$1325,"112 Florida Ave",Movimientos!$B$1:$B$1325,"&lt;="&amp;$B87)</f>
        <v>18522.800000000003</v>
      </c>
      <c r="S87" s="24">
        <f>SUMIFS('Saldos Iniciales'!$D:$D,'Saldos Iniciales'!$A:$A,"3628 Thomas Ave")+SUMIFS(Movimientos!$K$1:$K$1325,Movimientos!$C$1:$C$1325,"3628 Thomas Ave",Movimientos!$B$1:$B$1325,"&lt;="&amp;$B87)</f>
        <v>28485.559999999998</v>
      </c>
      <c r="T87" s="24">
        <f>SUMIFS('Saldos Iniciales'!$D:$D,'Saldos Iniciales'!$A:$A,"Green Harbor Trust")+SUMIFS(Movimientos!$K$1:$K$1325,Movimientos!$C$1:$C$1325,"Green Harbor Trust",Movimientos!$B$1:$B$1325,"&lt;="&amp;$B87)</f>
        <v>345</v>
      </c>
      <c r="U87" s="24">
        <f>SUMIFS('Saldos Iniciales'!$D:$D,'Saldos Iniciales'!$A:$A,"Go Blue")+SUMIFS(Movimientos!$K$1:$K$1325,Movimientos!$C$1:$C$1325,"Go Blue",Movimientos!$B$1:$B$1325,"&lt;="&amp;$B87)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LLC",Movimientos!$B$1:$B$1325,"&lt;="&amp;$B87))</f>
        <v>0</v>
      </c>
      <c r="W87" s="24">
        <f>IF(YEAR($B87)*100+MONTH($B87)&lt;--SUBSTITUTE(_xlfn.XLOOKUP("CFT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",Movimientos!$B$1:$B$1325,"&lt;="&amp;$B87))</f>
        <v>0</v>
      </c>
      <c r="AC87" s="24" t="e">
        <f>IF(YEAR($B87)*100+MONTH($B87)&lt;--SUBSTITUTE(_xlfn.XLOOKUP("SYIP",'Saldos Iniciales'!$A:$A,'Saldos Iniciales'!$C:$C),"-",""),0,SUMIFS('Saldos Iniciales'!$D:$D,'Saldos Iniciales'!$A:$A,"SYIP")+SUMIFS(Movimientos!$K$1:$K$1325,Movimientos!$C$1:$C$1325,"SYIP",Movimientos!$B$1:$B$1325,"&lt;="&amp;$B87))</f>
        <v>#N/A</v>
      </c>
      <c r="AD87" s="24">
        <f>IF(YEAR($B87)*100+MONTH($B87)&lt;--SUBSTITUTE(_xlfn.XLOOKUP("Nobe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Aparments",Movimientos!$B$1:$B$1325,"&lt;="&amp;$B87))</f>
        <v>0</v>
      </c>
      <c r="AE87" s="25" t="e">
        <f t="shared" si="3"/>
        <v>#N/A</v>
      </c>
    </row>
    <row r="88" spans="1:31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Group")+SUMIFS(Movimientos!$K$1:$K$1325,Movimientos!$C$1:$C$1325,"CFT Group",Movimientos!$B$1:$B$1325,"&lt;="&amp;$B88)</f>
        <v>2255750.7400000007</v>
      </c>
      <c r="D88" s="24">
        <f>SUMIFS('Saldos Iniciales'!$D:$D,'Saldos Iniciales'!$A:$A,"M1B")+SUMIFS(Movimientos!$K$1:$K$1325,Movimientos!$C$1:$C$1325,"M1B",Movimientos!$B$1:$B$1325,"&lt;="&amp;$B88)</f>
        <v>73157.680000000168</v>
      </c>
      <c r="E88" s="24">
        <f>SUMIFS('Saldos Iniciales'!$D:$D,'Saldos Iniciales'!$A:$A,"Durand")+SUMIFS(Movimientos!$K$1:$K$1325,Movimientos!$C$1:$C$1325,"Durand",Movimientos!$B$1:$B$1325,"&lt;="&amp;$B88)</f>
        <v>1669.89</v>
      </c>
      <c r="F88" s="24">
        <f>SUMIFS('Saldos Iniciales'!$D:$D,'Saldos Iniciales'!$A:$A,"A&amp;M Imports")+SUMIFS(Movimientos!$K$1:$K$1325,Movimientos!$C$1:$C$1325,"A&amp;M Imports",Movimientos!$B$1:$B$1325,"&lt;="&amp;$B88)</f>
        <v>1042744.6899999997</v>
      </c>
      <c r="G88" s="24">
        <f>SUMIFS('Saldos Iniciales'!$D:$D,'Saldos Iniciales'!$A:$A,"SSP Capital")+SUMIFS(Movimientos!$K$1:$K$1325,Movimientos!$C$1:$C$1325,"SSP Capital",Movimientos!$B$1:$B$1325,"&lt;="&amp;$B88)</f>
        <v>2022877.8699999996</v>
      </c>
      <c r="H88" s="24">
        <f>SUMIFS('Saldos Iniciales'!$D:$D,'Saldos Iniciales'!$A:$A,"Cross Family Trust")+SUMIFS(Movimientos!$K$1:$K$1325,Movimientos!$C$1:$C$1325,"Cross Family Trust",Movimientos!$B$1:$B$1325,"&lt;="&amp;$B88)</f>
        <v>200496.38</v>
      </c>
      <c r="I88" s="24">
        <f>SUMIFS('Saldos Iniciales'!$D:$D,'Saldos Iniciales'!$A:$A,"Cross Security Trust")+SUMIFS(Movimientos!$K$1:$K$1325,Movimientos!$C$1:$C$1325,"Cross Security Trust",Movimientos!$B$1:$B$1325,"&lt;="&amp;$B88)</f>
        <v>88090.37</v>
      </c>
      <c r="J88" s="24">
        <f>SUMIFS('Saldos Iniciales'!$D:$D,'Saldos Iniciales'!$A:$A,"Electrama")+SUMIFS(Movimientos!$K$1:$K$1325,Movimientos!$C$1:$C$1325,"Electrama",Movimientos!$B$1:$B$1325,"&lt;="&amp;$B88)</f>
        <v>14580.45</v>
      </c>
      <c r="K88" s="24">
        <f>SUMIFS('Saldos Iniciales'!$D:$D,'Saldos Iniciales'!$A:$A,"Sacred Valley Capital")+SUMIFS(Movimientos!$K$1:$K$1325,Movimientos!$C$1:$C$1325,"Sacred Valley Capital",Movimientos!$B$1:$B$1325,"&lt;="&amp;$B88)</f>
        <v>54.400000000000006</v>
      </c>
      <c r="L88" s="24">
        <f>SUMIFS('Saldos Iniciales'!$D:$D,'Saldos Iniciales'!$A:$A,"YWC Capital")+SUMIFS(Movimientos!$K$1:$K$1325,Movimientos!$C$1:$C$1325,"YWC Capital",Movimientos!$B$1:$B$1325,"&lt;="&amp;$B88)</f>
        <v>2207.8200000000002</v>
      </c>
      <c r="M88" s="24">
        <f>SUMIFS('Saldos Iniciales'!$D:$D,'Saldos Iniciales'!$A:$A,"Soweto")+SUMIFS(Movimientos!$K$1:$K$1325,Movimientos!$C$1:$C$1325,"Soweto",Movimientos!$B$1:$B$1325,"&lt;="&amp;$B88)</f>
        <v>1454589.72</v>
      </c>
      <c r="N88" s="24">
        <f>SUMIFS('Saldos Iniciales'!$D:$D,'Saldos Iniciales'!$A:$A,"Green Stone Trust")+SUMIFS(Movimientos!$K$1:$K$1325,Movimientos!$C$1:$C$1325,"Green Stone Trust",Movimientos!$B$1:$B$1325,"&lt;="&amp;$B88)</f>
        <v>1968.99</v>
      </c>
      <c r="O88" s="24">
        <f>SUMIFS('Saldos Iniciales'!$D:$D,'Saldos Iniciales'!$A:$A,"EC Auto")+SUMIFS(Movimientos!$K$1:$K$1325,Movimientos!$C$1:$C$1325,"EC Auto",Movimientos!$B$1:$B$1325,"&lt;="&amp;$B88)</f>
        <v>901.34</v>
      </c>
      <c r="P88" s="24">
        <f>SUMIFS('Saldos Iniciales'!$D:$D,'Saldos Iniciales'!$A:$A,"Arbor Capital Properties")+SUMIFS(Movimientos!$K$1:$K$1325,Movimientos!$C$1:$C$1325,"Arbor Capital Properties",Movimientos!$B$1:$B$1325,"&lt;="&amp;$B88)</f>
        <v>1412.08</v>
      </c>
      <c r="Q88" s="24">
        <f>SUMIFS('Saldos Iniciales'!$D:$D,'Saldos Iniciales'!$A:$A,"2515 Overbrook")+SUMIFS(Movimientos!$K$1:$K$1325,Movimientos!$C$1:$C$1325,"2515 Overbrook",Movimientos!$B$1:$B$1325,"&lt;="&amp;$B88)</f>
        <v>22347.56999999996</v>
      </c>
      <c r="R88" s="24">
        <f>SUMIFS('Saldos Iniciales'!$D:$D,'Saldos Iniciales'!$A:$A,"112 Florida Ave")+SUMIFS(Movimientos!$K$1:$K$1325,Movimientos!$C$1:$C$1325,"112 Florida Ave",Movimientos!$B$1:$B$1325,"&lt;="&amp;$B88)</f>
        <v>18522.800000000003</v>
      </c>
      <c r="S88" s="24">
        <f>SUMIFS('Saldos Iniciales'!$D:$D,'Saldos Iniciales'!$A:$A,"3628 Thomas Ave")+SUMIFS(Movimientos!$K$1:$K$1325,Movimientos!$C$1:$C$1325,"3628 Thomas Ave",Movimientos!$B$1:$B$1325,"&lt;="&amp;$B88)</f>
        <v>28485.559999999998</v>
      </c>
      <c r="T88" s="24">
        <f>SUMIFS('Saldos Iniciales'!$D:$D,'Saldos Iniciales'!$A:$A,"Green Harbor Trust")+SUMIFS(Movimientos!$K$1:$K$1325,Movimientos!$C$1:$C$1325,"Green Harbor Trust",Movimientos!$B$1:$B$1325,"&lt;="&amp;$B88)</f>
        <v>345</v>
      </c>
      <c r="U88" s="24">
        <f>SUMIFS('Saldos Iniciales'!$D:$D,'Saldos Iniciales'!$A:$A,"Go Blue")+SUMIFS(Movimientos!$K$1:$K$1325,Movimientos!$C$1:$C$1325,"Go Blue",Movimientos!$B$1:$B$1325,"&lt;="&amp;$B88)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LLC",Movimientos!$B$1:$B$1325,"&lt;="&amp;$B88))</f>
        <v>0</v>
      </c>
      <c r="W88" s="24">
        <f>IF(YEAR($B88)*100+MONTH($B88)&lt;--SUBSTITUTE(_xlfn.XLOOKUP("CFT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",Movimientos!$B$1:$B$1325,"&lt;="&amp;$B88))</f>
        <v>0</v>
      </c>
      <c r="AC88" s="24" t="e">
        <f>IF(YEAR($B88)*100+MONTH($B88)&lt;--SUBSTITUTE(_xlfn.XLOOKUP("SYIP",'Saldos Iniciales'!$A:$A,'Saldos Iniciales'!$C:$C),"-",""),0,SUMIFS('Saldos Iniciales'!$D:$D,'Saldos Iniciales'!$A:$A,"SYIP")+SUMIFS(Movimientos!$K$1:$K$1325,Movimientos!$C$1:$C$1325,"SYIP",Movimientos!$B$1:$B$1325,"&lt;="&amp;$B88))</f>
        <v>#N/A</v>
      </c>
      <c r="AD88" s="24">
        <f>IF(YEAR($B88)*100+MONTH($B88)&lt;--SUBSTITUTE(_xlfn.XLOOKUP("Nobe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Aparments",Movimientos!$B$1:$B$1325,"&lt;="&amp;$B88))</f>
        <v>0</v>
      </c>
      <c r="AE88" s="25" t="e">
        <f t="shared" si="3"/>
        <v>#N/A</v>
      </c>
    </row>
    <row r="89" spans="1:31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Group")+SUMIFS(Movimientos!$K$1:$K$1325,Movimientos!$C$1:$C$1325,"CFT Group",Movimientos!$B$1:$B$1325,"&lt;="&amp;$B89)</f>
        <v>2255750.7400000007</v>
      </c>
      <c r="D89" s="24">
        <f>SUMIFS('Saldos Iniciales'!$D:$D,'Saldos Iniciales'!$A:$A,"M1B")+SUMIFS(Movimientos!$K$1:$K$1325,Movimientos!$C$1:$C$1325,"M1B",Movimientos!$B$1:$B$1325,"&lt;="&amp;$B89)</f>
        <v>73157.680000000168</v>
      </c>
      <c r="E89" s="24">
        <f>SUMIFS('Saldos Iniciales'!$D:$D,'Saldos Iniciales'!$A:$A,"Durand")+SUMIFS(Movimientos!$K$1:$K$1325,Movimientos!$C$1:$C$1325,"Durand",Movimientos!$B$1:$B$1325,"&lt;="&amp;$B89)</f>
        <v>1669.89</v>
      </c>
      <c r="F89" s="24">
        <f>SUMIFS('Saldos Iniciales'!$D:$D,'Saldos Iniciales'!$A:$A,"A&amp;M Imports")+SUMIFS(Movimientos!$K$1:$K$1325,Movimientos!$C$1:$C$1325,"A&amp;M Imports",Movimientos!$B$1:$B$1325,"&lt;="&amp;$B89)</f>
        <v>1392744.6899999997</v>
      </c>
      <c r="G89" s="24">
        <f>SUMIFS('Saldos Iniciales'!$D:$D,'Saldos Iniciales'!$A:$A,"SSP Capital")+SUMIFS(Movimientos!$K$1:$K$1325,Movimientos!$C$1:$C$1325,"SSP Capital",Movimientos!$B$1:$B$1325,"&lt;="&amp;$B89)</f>
        <v>2022877.8699999996</v>
      </c>
      <c r="H89" s="24">
        <f>SUMIFS('Saldos Iniciales'!$D:$D,'Saldos Iniciales'!$A:$A,"Cross Family Trust")+SUMIFS(Movimientos!$K$1:$K$1325,Movimientos!$C$1:$C$1325,"Cross Family Trust",Movimientos!$B$1:$B$1325,"&lt;="&amp;$B89)</f>
        <v>190496.38</v>
      </c>
      <c r="I89" s="24">
        <f>SUMIFS('Saldos Iniciales'!$D:$D,'Saldos Iniciales'!$A:$A,"Cross Security Trust")+SUMIFS(Movimientos!$K$1:$K$1325,Movimientos!$C$1:$C$1325,"Cross Security Trust",Movimientos!$B$1:$B$1325,"&lt;="&amp;$B89)</f>
        <v>88090.37</v>
      </c>
      <c r="J89" s="24">
        <f>SUMIFS('Saldos Iniciales'!$D:$D,'Saldos Iniciales'!$A:$A,"Electrama")+SUMIFS(Movimientos!$K$1:$K$1325,Movimientos!$C$1:$C$1325,"Electrama",Movimientos!$B$1:$B$1325,"&lt;="&amp;$B89)</f>
        <v>14580.45</v>
      </c>
      <c r="K89" s="24">
        <f>SUMIFS('Saldos Iniciales'!$D:$D,'Saldos Iniciales'!$A:$A,"Sacred Valley Capital")+SUMIFS(Movimientos!$K$1:$K$1325,Movimientos!$C$1:$C$1325,"Sacred Valley Capital",Movimientos!$B$1:$B$1325,"&lt;="&amp;$B89)</f>
        <v>54.400000000000006</v>
      </c>
      <c r="L89" s="24">
        <f>SUMIFS('Saldos Iniciales'!$D:$D,'Saldos Iniciales'!$A:$A,"YWC Capital")+SUMIFS(Movimientos!$K$1:$K$1325,Movimientos!$C$1:$C$1325,"YWC Capital",Movimientos!$B$1:$B$1325,"&lt;="&amp;$B89)</f>
        <v>2207.8200000000002</v>
      </c>
      <c r="M89" s="24">
        <f>SUMIFS('Saldos Iniciales'!$D:$D,'Saldos Iniciales'!$A:$A,"Soweto")+SUMIFS(Movimientos!$K$1:$K$1325,Movimientos!$C$1:$C$1325,"Soweto",Movimientos!$B$1:$B$1325,"&lt;="&amp;$B89)</f>
        <v>1454589.72</v>
      </c>
      <c r="N89" s="24">
        <f>SUMIFS('Saldos Iniciales'!$D:$D,'Saldos Iniciales'!$A:$A,"Green Stone Trust")+SUMIFS(Movimientos!$K$1:$K$1325,Movimientos!$C$1:$C$1325,"Green Stone Trust",Movimientos!$B$1:$B$1325,"&lt;="&amp;$B89)</f>
        <v>1968.99</v>
      </c>
      <c r="O89" s="24">
        <f>SUMIFS('Saldos Iniciales'!$D:$D,'Saldos Iniciales'!$A:$A,"EC Auto")+SUMIFS(Movimientos!$K$1:$K$1325,Movimientos!$C$1:$C$1325,"EC Auto",Movimientos!$B$1:$B$1325,"&lt;="&amp;$B89)</f>
        <v>901.34</v>
      </c>
      <c r="P89" s="24">
        <f>SUMIFS('Saldos Iniciales'!$D:$D,'Saldos Iniciales'!$A:$A,"Arbor Capital Properties")+SUMIFS(Movimientos!$K$1:$K$1325,Movimientos!$C$1:$C$1325,"Arbor Capital Properties",Movimientos!$B$1:$B$1325,"&lt;="&amp;$B89)</f>
        <v>1412.08</v>
      </c>
      <c r="Q89" s="24">
        <f>SUMIFS('Saldos Iniciales'!$D:$D,'Saldos Iniciales'!$A:$A,"2515 Overbrook")+SUMIFS(Movimientos!$K$1:$K$1325,Movimientos!$C$1:$C$1325,"2515 Overbrook",Movimientos!$B$1:$B$1325,"&lt;="&amp;$B89)</f>
        <v>22347.56999999996</v>
      </c>
      <c r="R89" s="24">
        <f>SUMIFS('Saldos Iniciales'!$D:$D,'Saldos Iniciales'!$A:$A,"112 Florida Ave")+SUMIFS(Movimientos!$K$1:$K$1325,Movimientos!$C$1:$C$1325,"112 Florida Ave",Movimientos!$B$1:$B$1325,"&lt;="&amp;$B89)</f>
        <v>18522.800000000003</v>
      </c>
      <c r="S89" s="24">
        <f>SUMIFS('Saldos Iniciales'!$D:$D,'Saldos Iniciales'!$A:$A,"3628 Thomas Ave")+SUMIFS(Movimientos!$K$1:$K$1325,Movimientos!$C$1:$C$1325,"3628 Thomas Ave",Movimientos!$B$1:$B$1325,"&lt;="&amp;$B89)</f>
        <v>28485.559999999998</v>
      </c>
      <c r="T89" s="24">
        <f>SUMIFS('Saldos Iniciales'!$D:$D,'Saldos Iniciales'!$A:$A,"Green Harbor Trust")+SUMIFS(Movimientos!$K$1:$K$1325,Movimientos!$C$1:$C$1325,"Green Harbor Trust",Movimientos!$B$1:$B$1325,"&lt;="&amp;$B89)</f>
        <v>345</v>
      </c>
      <c r="U89" s="24">
        <f>SUMIFS('Saldos Iniciales'!$D:$D,'Saldos Iniciales'!$A:$A,"Go Blue")+SUMIFS(Movimientos!$K$1:$K$1325,Movimientos!$C$1:$C$1325,"Go Blue",Movimientos!$B$1:$B$1325,"&lt;="&amp;$B89)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LLC",Movimientos!$B$1:$B$1325,"&lt;="&amp;$B89))</f>
        <v>0</v>
      </c>
      <c r="W89" s="24">
        <f>IF(YEAR($B89)*100+MONTH($B89)&lt;--SUBSTITUTE(_xlfn.XLOOKUP("CFT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",Movimientos!$B$1:$B$1325,"&lt;="&amp;$B89))</f>
        <v>0</v>
      </c>
      <c r="AC89" s="24" t="e">
        <f>IF(YEAR($B89)*100+MONTH($B89)&lt;--SUBSTITUTE(_xlfn.XLOOKUP("SYIP",'Saldos Iniciales'!$A:$A,'Saldos Iniciales'!$C:$C),"-",""),0,SUMIFS('Saldos Iniciales'!$D:$D,'Saldos Iniciales'!$A:$A,"SYIP")+SUMIFS(Movimientos!$K$1:$K$1325,Movimientos!$C$1:$C$1325,"SYIP",Movimientos!$B$1:$B$1325,"&lt;="&amp;$B89))</f>
        <v>#N/A</v>
      </c>
      <c r="AD89" s="24">
        <f>IF(YEAR($B89)*100+MONTH($B89)&lt;--SUBSTITUTE(_xlfn.XLOOKUP("Nobe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Aparments",Movimientos!$B$1:$B$1325,"&lt;="&amp;$B89))</f>
        <v>0</v>
      </c>
      <c r="AE89" s="25" t="e">
        <f t="shared" si="3"/>
        <v>#N/A</v>
      </c>
    </row>
    <row r="90" spans="1:31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Group")+SUMIFS(Movimientos!$K$1:$K$1325,Movimientos!$C$1:$C$1325,"CFT Group",Movimientos!$B$1:$B$1325,"&lt;="&amp;$B90)</f>
        <v>2255750.7400000007</v>
      </c>
      <c r="D90" s="24">
        <f>SUMIFS('Saldos Iniciales'!$D:$D,'Saldos Iniciales'!$A:$A,"M1B")+SUMIFS(Movimientos!$K$1:$K$1325,Movimientos!$C$1:$C$1325,"M1B",Movimientos!$B$1:$B$1325,"&lt;="&amp;$B90)</f>
        <v>80574.12000000017</v>
      </c>
      <c r="E90" s="24">
        <f>SUMIFS('Saldos Iniciales'!$D:$D,'Saldos Iniciales'!$A:$A,"Durand")+SUMIFS(Movimientos!$K$1:$K$1325,Movimientos!$C$1:$C$1325,"Durand",Movimientos!$B$1:$B$1325,"&lt;="&amp;$B90)</f>
        <v>1669.89</v>
      </c>
      <c r="F90" s="24">
        <f>SUMIFS('Saldos Iniciales'!$D:$D,'Saldos Iniciales'!$A:$A,"A&amp;M Imports")+SUMIFS(Movimientos!$K$1:$K$1325,Movimientos!$C$1:$C$1325,"A&amp;M Imports",Movimientos!$B$1:$B$1325,"&lt;="&amp;$B90)</f>
        <v>1415636.7399999998</v>
      </c>
      <c r="G90" s="24">
        <f>SUMIFS('Saldos Iniciales'!$D:$D,'Saldos Iniciales'!$A:$A,"SSP Capital")+SUMIFS(Movimientos!$K$1:$K$1325,Movimientos!$C$1:$C$1325,"SSP Capital",Movimientos!$B$1:$B$1325,"&lt;="&amp;$B90)</f>
        <v>1857997.0999999996</v>
      </c>
      <c r="H90" s="24">
        <f>SUMIFS('Saldos Iniciales'!$D:$D,'Saldos Iniciales'!$A:$A,"Cross Family Trust")+SUMIFS(Movimientos!$K$1:$K$1325,Movimientos!$C$1:$C$1325,"Cross Family Trust",Movimientos!$B$1:$B$1325,"&lt;="&amp;$B90)</f>
        <v>190496.38</v>
      </c>
      <c r="I90" s="24">
        <f>SUMIFS('Saldos Iniciales'!$D:$D,'Saldos Iniciales'!$A:$A,"Cross Security Trust")+SUMIFS(Movimientos!$K$1:$K$1325,Movimientos!$C$1:$C$1325,"Cross Security Trust",Movimientos!$B$1:$B$1325,"&lt;="&amp;$B90)</f>
        <v>88090.37</v>
      </c>
      <c r="J90" s="24">
        <f>SUMIFS('Saldos Iniciales'!$D:$D,'Saldos Iniciales'!$A:$A,"Electrama")+SUMIFS(Movimientos!$K$1:$K$1325,Movimientos!$C$1:$C$1325,"Electrama",Movimientos!$B$1:$B$1325,"&lt;="&amp;$B90)</f>
        <v>14580.45</v>
      </c>
      <c r="K90" s="24">
        <f>SUMIFS('Saldos Iniciales'!$D:$D,'Saldos Iniciales'!$A:$A,"Sacred Valley Capital")+SUMIFS(Movimientos!$K$1:$K$1325,Movimientos!$C$1:$C$1325,"Sacred Valley Capital",Movimientos!$B$1:$B$1325,"&lt;="&amp;$B90)</f>
        <v>54.400000000000006</v>
      </c>
      <c r="L90" s="24">
        <f>SUMIFS('Saldos Iniciales'!$D:$D,'Saldos Iniciales'!$A:$A,"YWC Capital")+SUMIFS(Movimientos!$K$1:$K$1325,Movimientos!$C$1:$C$1325,"YWC Capital",Movimientos!$B$1:$B$1325,"&lt;="&amp;$B90)</f>
        <v>2207.8200000000002</v>
      </c>
      <c r="M90" s="24">
        <f>SUMIFS('Saldos Iniciales'!$D:$D,'Saldos Iniciales'!$A:$A,"Soweto")+SUMIFS(Movimientos!$K$1:$K$1325,Movimientos!$C$1:$C$1325,"Soweto",Movimientos!$B$1:$B$1325,"&lt;="&amp;$B90)</f>
        <v>1454589.72</v>
      </c>
      <c r="N90" s="24">
        <f>SUMIFS('Saldos Iniciales'!$D:$D,'Saldos Iniciales'!$A:$A,"Green Stone Trust")+SUMIFS(Movimientos!$K$1:$K$1325,Movimientos!$C$1:$C$1325,"Green Stone Trust",Movimientos!$B$1:$B$1325,"&lt;="&amp;$B90)</f>
        <v>1968.99</v>
      </c>
      <c r="O90" s="24">
        <f>SUMIFS('Saldos Iniciales'!$D:$D,'Saldos Iniciales'!$A:$A,"EC Auto")+SUMIFS(Movimientos!$K$1:$K$1325,Movimientos!$C$1:$C$1325,"EC Auto",Movimientos!$B$1:$B$1325,"&lt;="&amp;$B90)</f>
        <v>901.34</v>
      </c>
      <c r="P90" s="24">
        <f>SUMIFS('Saldos Iniciales'!$D:$D,'Saldos Iniciales'!$A:$A,"Arbor Capital Properties")+SUMIFS(Movimientos!$K$1:$K$1325,Movimientos!$C$1:$C$1325,"Arbor Capital Properties",Movimientos!$B$1:$B$1325,"&lt;="&amp;$B90)</f>
        <v>1412.08</v>
      </c>
      <c r="Q90" s="24">
        <f>SUMIFS('Saldos Iniciales'!$D:$D,'Saldos Iniciales'!$A:$A,"2515 Overbrook")+SUMIFS(Movimientos!$K$1:$K$1325,Movimientos!$C$1:$C$1325,"2515 Overbrook",Movimientos!$B$1:$B$1325,"&lt;="&amp;$B90)</f>
        <v>22347.56999999996</v>
      </c>
      <c r="R90" s="24">
        <f>SUMIFS('Saldos Iniciales'!$D:$D,'Saldos Iniciales'!$A:$A,"112 Florida Ave")+SUMIFS(Movimientos!$K$1:$K$1325,Movimientos!$C$1:$C$1325,"112 Florida Ave",Movimientos!$B$1:$B$1325,"&lt;="&amp;$B90)</f>
        <v>18522.800000000003</v>
      </c>
      <c r="S90" s="24">
        <f>SUMIFS('Saldos Iniciales'!$D:$D,'Saldos Iniciales'!$A:$A,"3628 Thomas Ave")+SUMIFS(Movimientos!$K$1:$K$1325,Movimientos!$C$1:$C$1325,"3628 Thomas Ave",Movimientos!$B$1:$B$1325,"&lt;="&amp;$B90)</f>
        <v>28485.559999999998</v>
      </c>
      <c r="T90" s="24">
        <f>SUMIFS('Saldos Iniciales'!$D:$D,'Saldos Iniciales'!$A:$A,"Green Harbor Trust")+SUMIFS(Movimientos!$K$1:$K$1325,Movimientos!$C$1:$C$1325,"Green Harbor Trust",Movimientos!$B$1:$B$1325,"&lt;="&amp;$B90)</f>
        <v>345</v>
      </c>
      <c r="U90" s="24">
        <f>SUMIFS('Saldos Iniciales'!$D:$D,'Saldos Iniciales'!$A:$A,"Go Blue")+SUMIFS(Movimientos!$K$1:$K$1325,Movimientos!$C$1:$C$1325,"Go Blue",Movimientos!$B$1:$B$1325,"&lt;="&amp;$B90)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LLC",Movimientos!$B$1:$B$1325,"&lt;="&amp;$B90))</f>
        <v>0</v>
      </c>
      <c r="W90" s="24">
        <f>IF(YEAR($B90)*100+MONTH($B90)&lt;--SUBSTITUTE(_xlfn.XLOOKUP("CFT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",Movimientos!$B$1:$B$1325,"&lt;="&amp;$B90))</f>
        <v>0</v>
      </c>
      <c r="AC90" s="24" t="e">
        <f>IF(YEAR($B90)*100+MONTH($B90)&lt;--SUBSTITUTE(_xlfn.XLOOKUP("SYIP",'Saldos Iniciales'!$A:$A,'Saldos Iniciales'!$C:$C),"-",""),0,SUMIFS('Saldos Iniciales'!$D:$D,'Saldos Iniciales'!$A:$A,"SYIP")+SUMIFS(Movimientos!$K$1:$K$1325,Movimientos!$C$1:$C$1325,"SYIP",Movimientos!$B$1:$B$1325,"&lt;="&amp;$B90))</f>
        <v>#N/A</v>
      </c>
      <c r="AD90" s="24">
        <f>IF(YEAR($B90)*100+MONTH($B90)&lt;--SUBSTITUTE(_xlfn.XLOOKUP("Nobe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Aparments",Movimientos!$B$1:$B$1325,"&lt;="&amp;$B90))</f>
        <v>0</v>
      </c>
      <c r="AE90" s="25" t="e">
        <f t="shared" si="3"/>
        <v>#N/A</v>
      </c>
    </row>
    <row r="91" spans="1:31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Group")+SUMIFS(Movimientos!$K$1:$K$1325,Movimientos!$C$1:$C$1325,"CFT Group",Movimientos!$B$1:$B$1325,"&lt;="&amp;$B91)</f>
        <v>2270539.1300000008</v>
      </c>
      <c r="D91" s="24">
        <f>SUMIFS('Saldos Iniciales'!$D:$D,'Saldos Iniciales'!$A:$A,"M1B")+SUMIFS(Movimientos!$K$1:$K$1325,Movimientos!$C$1:$C$1325,"M1B",Movimientos!$B$1:$B$1325,"&lt;="&amp;$B91)</f>
        <v>83211.250000000175</v>
      </c>
      <c r="E91" s="24">
        <f>SUMIFS('Saldos Iniciales'!$D:$D,'Saldos Iniciales'!$A:$A,"Durand")+SUMIFS(Movimientos!$K$1:$K$1325,Movimientos!$C$1:$C$1325,"Durand",Movimientos!$B$1:$B$1325,"&lt;="&amp;$B91)</f>
        <v>1669.89</v>
      </c>
      <c r="F91" s="24">
        <f>SUMIFS('Saldos Iniciales'!$D:$D,'Saldos Iniciales'!$A:$A,"A&amp;M Imports")+SUMIFS(Movimientos!$K$1:$K$1325,Movimientos!$C$1:$C$1325,"A&amp;M Imports",Movimientos!$B$1:$B$1325,"&lt;="&amp;$B91)</f>
        <v>1434634.5999999999</v>
      </c>
      <c r="G91" s="24">
        <f>SUMIFS('Saldos Iniciales'!$D:$D,'Saldos Iniciales'!$A:$A,"SSP Capital")+SUMIFS(Movimientos!$K$1:$K$1325,Movimientos!$C$1:$C$1325,"SSP Capital",Movimientos!$B$1:$B$1325,"&lt;="&amp;$B91)</f>
        <v>1857997.0999999996</v>
      </c>
      <c r="H91" s="24">
        <f>SUMIFS('Saldos Iniciales'!$D:$D,'Saldos Iniciales'!$A:$A,"Cross Family Trust")+SUMIFS(Movimientos!$K$1:$K$1325,Movimientos!$C$1:$C$1325,"Cross Family Trust",Movimientos!$B$1:$B$1325,"&lt;="&amp;$B91)</f>
        <v>190496.38</v>
      </c>
      <c r="I91" s="24">
        <f>SUMIFS('Saldos Iniciales'!$D:$D,'Saldos Iniciales'!$A:$A,"Cross Security Trust")+SUMIFS(Movimientos!$K$1:$K$1325,Movimientos!$C$1:$C$1325,"Cross Security Trust",Movimientos!$B$1:$B$1325,"&lt;="&amp;$B91)</f>
        <v>88090.37</v>
      </c>
      <c r="J91" s="24">
        <f>SUMIFS('Saldos Iniciales'!$D:$D,'Saldos Iniciales'!$A:$A,"Electrama")+SUMIFS(Movimientos!$K$1:$K$1325,Movimientos!$C$1:$C$1325,"Electrama",Movimientos!$B$1:$B$1325,"&lt;="&amp;$B91)</f>
        <v>14580.45</v>
      </c>
      <c r="K91" s="24">
        <f>SUMIFS('Saldos Iniciales'!$D:$D,'Saldos Iniciales'!$A:$A,"Sacred Valley Capital")+SUMIFS(Movimientos!$K$1:$K$1325,Movimientos!$C$1:$C$1325,"Sacred Valley Capital",Movimientos!$B$1:$B$1325,"&lt;="&amp;$B91)</f>
        <v>54.400000000000006</v>
      </c>
      <c r="L91" s="24">
        <f>SUMIFS('Saldos Iniciales'!$D:$D,'Saldos Iniciales'!$A:$A,"YWC Capital")+SUMIFS(Movimientos!$K$1:$K$1325,Movimientos!$C$1:$C$1325,"YWC Capital",Movimientos!$B$1:$B$1325,"&lt;="&amp;$B91)</f>
        <v>2207.8200000000002</v>
      </c>
      <c r="M91" s="24">
        <f>SUMIFS('Saldos Iniciales'!$D:$D,'Saldos Iniciales'!$A:$A,"Soweto")+SUMIFS(Movimientos!$K$1:$K$1325,Movimientos!$C$1:$C$1325,"Soweto",Movimientos!$B$1:$B$1325,"&lt;="&amp;$B91)</f>
        <v>1454589.72</v>
      </c>
      <c r="N91" s="24">
        <f>SUMIFS('Saldos Iniciales'!$D:$D,'Saldos Iniciales'!$A:$A,"Green Stone Trust")+SUMIFS(Movimientos!$K$1:$K$1325,Movimientos!$C$1:$C$1325,"Green Stone Trust",Movimientos!$B$1:$B$1325,"&lt;="&amp;$B91)</f>
        <v>1968.99</v>
      </c>
      <c r="O91" s="24">
        <f>SUMIFS('Saldos Iniciales'!$D:$D,'Saldos Iniciales'!$A:$A,"EC Auto")+SUMIFS(Movimientos!$K$1:$K$1325,Movimientos!$C$1:$C$1325,"EC Auto",Movimientos!$B$1:$B$1325,"&lt;="&amp;$B91)</f>
        <v>901.34</v>
      </c>
      <c r="P91" s="24">
        <f>SUMIFS('Saldos Iniciales'!$D:$D,'Saldos Iniciales'!$A:$A,"Arbor Capital Properties")+SUMIFS(Movimientos!$K$1:$K$1325,Movimientos!$C$1:$C$1325,"Arbor Capital Properties",Movimientos!$B$1:$B$1325,"&lt;="&amp;$B91)</f>
        <v>1412.08</v>
      </c>
      <c r="Q91" s="24">
        <f>SUMIFS('Saldos Iniciales'!$D:$D,'Saldos Iniciales'!$A:$A,"2515 Overbrook")+SUMIFS(Movimientos!$K$1:$K$1325,Movimientos!$C$1:$C$1325,"2515 Overbrook",Movimientos!$B$1:$B$1325,"&lt;="&amp;$B91)</f>
        <v>22347.56999999996</v>
      </c>
      <c r="R91" s="24">
        <f>SUMIFS('Saldos Iniciales'!$D:$D,'Saldos Iniciales'!$A:$A,"112 Florida Ave")+SUMIFS(Movimientos!$K$1:$K$1325,Movimientos!$C$1:$C$1325,"112 Florida Ave",Movimientos!$B$1:$B$1325,"&lt;="&amp;$B91)</f>
        <v>18522.800000000003</v>
      </c>
      <c r="S91" s="24">
        <f>SUMIFS('Saldos Iniciales'!$D:$D,'Saldos Iniciales'!$A:$A,"3628 Thomas Ave")+SUMIFS(Movimientos!$K$1:$K$1325,Movimientos!$C$1:$C$1325,"3628 Thomas Ave",Movimientos!$B$1:$B$1325,"&lt;="&amp;$B91)</f>
        <v>28485.559999999998</v>
      </c>
      <c r="T91" s="24">
        <f>SUMIFS('Saldos Iniciales'!$D:$D,'Saldos Iniciales'!$A:$A,"Green Harbor Trust")+SUMIFS(Movimientos!$K$1:$K$1325,Movimientos!$C$1:$C$1325,"Green Harbor Trust",Movimientos!$B$1:$B$1325,"&lt;="&amp;$B91)</f>
        <v>345</v>
      </c>
      <c r="U91" s="24">
        <f>SUMIFS('Saldos Iniciales'!$D:$D,'Saldos Iniciales'!$A:$A,"Go Blue")+SUMIFS(Movimientos!$K$1:$K$1325,Movimientos!$C$1:$C$1325,"Go Blue",Movimientos!$B$1:$B$1325,"&lt;="&amp;$B91)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LLC",Movimientos!$B$1:$B$1325,"&lt;="&amp;$B91))</f>
        <v>0</v>
      </c>
      <c r="W91" s="24">
        <f>IF(YEAR($B91)*100+MONTH($B91)&lt;--SUBSTITUTE(_xlfn.XLOOKUP("CFT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",Movimientos!$B$1:$B$1325,"&lt;="&amp;$B91))</f>
        <v>0</v>
      </c>
      <c r="AC91" s="24" t="e">
        <f>IF(YEAR($B91)*100+MONTH($B91)&lt;--SUBSTITUTE(_xlfn.XLOOKUP("SYIP",'Saldos Iniciales'!$A:$A,'Saldos Iniciales'!$C:$C),"-",""),0,SUMIFS('Saldos Iniciales'!$D:$D,'Saldos Iniciales'!$A:$A,"SYIP")+SUMIFS(Movimientos!$K$1:$K$1325,Movimientos!$C$1:$C$1325,"SYIP",Movimientos!$B$1:$B$1325,"&lt;="&amp;$B91))</f>
        <v>#N/A</v>
      </c>
      <c r="AD91" s="24">
        <f>IF(YEAR($B91)*100+MONTH($B91)&lt;--SUBSTITUTE(_xlfn.XLOOKUP("Nobe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Aparments",Movimientos!$B$1:$B$1325,"&lt;="&amp;$B91))</f>
        <v>0</v>
      </c>
      <c r="AE91" s="25" t="e">
        <f t="shared" si="3"/>
        <v>#N/A</v>
      </c>
    </row>
    <row r="92" spans="1:31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Group")+SUMIFS(Movimientos!$K$1:$K$1325,Movimientos!$C$1:$C$1325,"CFT Group",Movimientos!$B$1:$B$1325,"&lt;="&amp;$B92)</f>
        <v>2470350.7000000002</v>
      </c>
      <c r="D92" s="24">
        <f>SUMIFS('Saldos Iniciales'!$D:$D,'Saldos Iniciales'!$A:$A,"M1B")+SUMIFS(Movimientos!$K$1:$K$1325,Movimientos!$C$1:$C$1325,"M1B",Movimientos!$B$1:$B$1325,"&lt;="&amp;$B92)</f>
        <v>83211.250000000175</v>
      </c>
      <c r="E92" s="24">
        <f>SUMIFS('Saldos Iniciales'!$D:$D,'Saldos Iniciales'!$A:$A,"Durand")+SUMIFS(Movimientos!$K$1:$K$1325,Movimientos!$C$1:$C$1325,"Durand",Movimientos!$B$1:$B$1325,"&lt;="&amp;$B92)</f>
        <v>1669.89</v>
      </c>
      <c r="F92" s="24">
        <f>SUMIFS('Saldos Iniciales'!$D:$D,'Saldos Iniciales'!$A:$A,"A&amp;M Imports")+SUMIFS(Movimientos!$K$1:$K$1325,Movimientos!$C$1:$C$1325,"A&amp;M Imports",Movimientos!$B$1:$B$1325,"&lt;="&amp;$B92)</f>
        <v>1458426.0399999998</v>
      </c>
      <c r="G92" s="24">
        <f>SUMIFS('Saldos Iniciales'!$D:$D,'Saldos Iniciales'!$A:$A,"SSP Capital")+SUMIFS(Movimientos!$K$1:$K$1325,Movimientos!$C$1:$C$1325,"SSP Capital",Movimientos!$B$1:$B$1325,"&lt;="&amp;$B92)</f>
        <v>1857993.8499999996</v>
      </c>
      <c r="H92" s="24">
        <f>SUMIFS('Saldos Iniciales'!$D:$D,'Saldos Iniciales'!$A:$A,"Cross Family Trust")+SUMIFS(Movimientos!$K$1:$K$1325,Movimientos!$C$1:$C$1325,"Cross Family Trust",Movimientos!$B$1:$B$1325,"&lt;="&amp;$B92)</f>
        <v>190496.38</v>
      </c>
      <c r="I92" s="24">
        <f>SUMIFS('Saldos Iniciales'!$D:$D,'Saldos Iniciales'!$A:$A,"Cross Security Trust")+SUMIFS(Movimientos!$K$1:$K$1325,Movimientos!$C$1:$C$1325,"Cross Security Trust",Movimientos!$B$1:$B$1325,"&lt;="&amp;$B92)</f>
        <v>88090.37</v>
      </c>
      <c r="J92" s="24">
        <f>SUMIFS('Saldos Iniciales'!$D:$D,'Saldos Iniciales'!$A:$A,"Electrama")+SUMIFS(Movimientos!$K$1:$K$1325,Movimientos!$C$1:$C$1325,"Electrama",Movimientos!$B$1:$B$1325,"&lt;="&amp;$B92)</f>
        <v>14580.45</v>
      </c>
      <c r="K92" s="24">
        <f>SUMIFS('Saldos Iniciales'!$D:$D,'Saldos Iniciales'!$A:$A,"Sacred Valley Capital")+SUMIFS(Movimientos!$K$1:$K$1325,Movimientos!$C$1:$C$1325,"Sacred Valley Capital",Movimientos!$B$1:$B$1325,"&lt;="&amp;$B92)</f>
        <v>54.400000000000006</v>
      </c>
      <c r="L92" s="24">
        <f>SUMIFS('Saldos Iniciales'!$D:$D,'Saldos Iniciales'!$A:$A,"YWC Capital")+SUMIFS(Movimientos!$K$1:$K$1325,Movimientos!$C$1:$C$1325,"YWC Capital",Movimientos!$B$1:$B$1325,"&lt;="&amp;$B92)</f>
        <v>2207.8200000000002</v>
      </c>
      <c r="M92" s="24">
        <f>SUMIFS('Saldos Iniciales'!$D:$D,'Saldos Iniciales'!$A:$A,"Soweto")+SUMIFS(Movimientos!$K$1:$K$1325,Movimientos!$C$1:$C$1325,"Soweto",Movimientos!$B$1:$B$1325,"&lt;="&amp;$B92)</f>
        <v>1454589.72</v>
      </c>
      <c r="N92" s="24">
        <f>SUMIFS('Saldos Iniciales'!$D:$D,'Saldos Iniciales'!$A:$A,"Green Stone Trust")+SUMIFS(Movimientos!$K$1:$K$1325,Movimientos!$C$1:$C$1325,"Green Stone Trust",Movimientos!$B$1:$B$1325,"&lt;="&amp;$B92)</f>
        <v>1968.99</v>
      </c>
      <c r="O92" s="24">
        <f>SUMIFS('Saldos Iniciales'!$D:$D,'Saldos Iniciales'!$A:$A,"EC Auto")+SUMIFS(Movimientos!$K$1:$K$1325,Movimientos!$C$1:$C$1325,"EC Auto",Movimientos!$B$1:$B$1325,"&lt;="&amp;$B92)</f>
        <v>901.34</v>
      </c>
      <c r="P92" s="24">
        <f>SUMIFS('Saldos Iniciales'!$D:$D,'Saldos Iniciales'!$A:$A,"Arbor Capital Properties")+SUMIFS(Movimientos!$K$1:$K$1325,Movimientos!$C$1:$C$1325,"Arbor Capital Properties",Movimientos!$B$1:$B$1325,"&lt;="&amp;$B92)</f>
        <v>1412.08</v>
      </c>
      <c r="Q92" s="24">
        <f>SUMIFS('Saldos Iniciales'!$D:$D,'Saldos Iniciales'!$A:$A,"2515 Overbrook")+SUMIFS(Movimientos!$K$1:$K$1325,Movimientos!$C$1:$C$1325,"2515 Overbrook",Movimientos!$B$1:$B$1325,"&lt;="&amp;$B92)</f>
        <v>22347.56999999996</v>
      </c>
      <c r="R92" s="24">
        <f>SUMIFS('Saldos Iniciales'!$D:$D,'Saldos Iniciales'!$A:$A,"112 Florida Ave")+SUMIFS(Movimientos!$K$1:$K$1325,Movimientos!$C$1:$C$1325,"112 Florida Ave",Movimientos!$B$1:$B$1325,"&lt;="&amp;$B92)</f>
        <v>18522.800000000003</v>
      </c>
      <c r="S92" s="24">
        <f>SUMIFS('Saldos Iniciales'!$D:$D,'Saldos Iniciales'!$A:$A,"3628 Thomas Ave")+SUMIFS(Movimientos!$K$1:$K$1325,Movimientos!$C$1:$C$1325,"3628 Thomas Ave",Movimientos!$B$1:$B$1325,"&lt;="&amp;$B92)</f>
        <v>28485.559999999998</v>
      </c>
      <c r="T92" s="24">
        <f>SUMIFS('Saldos Iniciales'!$D:$D,'Saldos Iniciales'!$A:$A,"Green Harbor Trust")+SUMIFS(Movimientos!$K$1:$K$1325,Movimientos!$C$1:$C$1325,"Green Harbor Trust",Movimientos!$B$1:$B$1325,"&lt;="&amp;$B92)</f>
        <v>345</v>
      </c>
      <c r="U92" s="24">
        <f>SUMIFS('Saldos Iniciales'!$D:$D,'Saldos Iniciales'!$A:$A,"Go Blue")+SUMIFS(Movimientos!$K$1:$K$1325,Movimientos!$C$1:$C$1325,"Go Blue",Movimientos!$B$1:$B$1325,"&lt;="&amp;$B92)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LLC",Movimientos!$B$1:$B$1325,"&lt;="&amp;$B92))</f>
        <v>0</v>
      </c>
      <c r="W92" s="24">
        <f>IF(YEAR($B92)*100+MONTH($B92)&lt;--SUBSTITUTE(_xlfn.XLOOKUP("CFT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",Movimientos!$B$1:$B$1325,"&lt;="&amp;$B92))</f>
        <v>0</v>
      </c>
      <c r="AC92" s="24" t="e">
        <f>IF(YEAR($B92)*100+MONTH($B92)&lt;--SUBSTITUTE(_xlfn.XLOOKUP("SYIP",'Saldos Iniciales'!$A:$A,'Saldos Iniciales'!$C:$C),"-",""),0,SUMIFS('Saldos Iniciales'!$D:$D,'Saldos Iniciales'!$A:$A,"SYIP")+SUMIFS(Movimientos!$K$1:$K$1325,Movimientos!$C$1:$C$1325,"SYIP",Movimientos!$B$1:$B$1325,"&lt;="&amp;$B92))</f>
        <v>#N/A</v>
      </c>
      <c r="AD92" s="24">
        <f>IF(YEAR($B92)*100+MONTH($B92)&lt;--SUBSTITUTE(_xlfn.XLOOKUP("Nobe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Aparments",Movimientos!$B$1:$B$1325,"&lt;="&amp;$B92))</f>
        <v>0</v>
      </c>
      <c r="AE92" s="25" t="e">
        <f t="shared" si="3"/>
        <v>#N/A</v>
      </c>
    </row>
    <row r="93" spans="1:31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Group")+SUMIFS(Movimientos!$K$1:$K$1325,Movimientos!$C$1:$C$1325,"CFT Group",Movimientos!$B$1:$B$1325,"&lt;="&amp;$B93)</f>
        <v>2468032.08</v>
      </c>
      <c r="D93" s="24">
        <f>SUMIFS('Saldos Iniciales'!$D:$D,'Saldos Iniciales'!$A:$A,"M1B")+SUMIFS(Movimientos!$K$1:$K$1325,Movimientos!$C$1:$C$1325,"M1B",Movimientos!$B$1:$B$1325,"&lt;="&amp;$B93)</f>
        <v>83211.250000000175</v>
      </c>
      <c r="E93" s="24">
        <f>SUMIFS('Saldos Iniciales'!$D:$D,'Saldos Iniciales'!$A:$A,"Durand")+SUMIFS(Movimientos!$K$1:$K$1325,Movimientos!$C$1:$C$1325,"Durand",Movimientos!$B$1:$B$1325,"&lt;="&amp;$B93)</f>
        <v>1669.89</v>
      </c>
      <c r="F93" s="24">
        <f>SUMIFS('Saldos Iniciales'!$D:$D,'Saldos Iniciales'!$A:$A,"A&amp;M Imports")+SUMIFS(Movimientos!$K$1:$K$1325,Movimientos!$C$1:$C$1325,"A&amp;M Imports",Movimientos!$B$1:$B$1325,"&lt;="&amp;$B93)</f>
        <v>1458426.0399999998</v>
      </c>
      <c r="G93" s="24">
        <f>SUMIFS('Saldos Iniciales'!$D:$D,'Saldos Iniciales'!$A:$A,"SSP Capital")+SUMIFS(Movimientos!$K$1:$K$1325,Movimientos!$C$1:$C$1325,"SSP Capital",Movimientos!$B$1:$B$1325,"&lt;="&amp;$B93)</f>
        <v>1514477.1199999996</v>
      </c>
      <c r="H93" s="24">
        <f>SUMIFS('Saldos Iniciales'!$D:$D,'Saldos Iniciales'!$A:$A,"Cross Family Trust")+SUMIFS(Movimientos!$K$1:$K$1325,Movimientos!$C$1:$C$1325,"Cross Family Trust",Movimientos!$B$1:$B$1325,"&lt;="&amp;$B93)</f>
        <v>190496.38</v>
      </c>
      <c r="I93" s="24">
        <f>SUMIFS('Saldos Iniciales'!$D:$D,'Saldos Iniciales'!$A:$A,"Cross Security Trust")+SUMIFS(Movimientos!$K$1:$K$1325,Movimientos!$C$1:$C$1325,"Cross Security Trust",Movimientos!$B$1:$B$1325,"&lt;="&amp;$B93)</f>
        <v>88090.37</v>
      </c>
      <c r="J93" s="24">
        <f>SUMIFS('Saldos Iniciales'!$D:$D,'Saldos Iniciales'!$A:$A,"Electrama")+SUMIFS(Movimientos!$K$1:$K$1325,Movimientos!$C$1:$C$1325,"Electrama",Movimientos!$B$1:$B$1325,"&lt;="&amp;$B93)</f>
        <v>14580.45</v>
      </c>
      <c r="K93" s="24">
        <f>SUMIFS('Saldos Iniciales'!$D:$D,'Saldos Iniciales'!$A:$A,"Sacred Valley Capital")+SUMIFS(Movimientos!$K$1:$K$1325,Movimientos!$C$1:$C$1325,"Sacred Valley Capital",Movimientos!$B$1:$B$1325,"&lt;="&amp;$B93)</f>
        <v>54.400000000000006</v>
      </c>
      <c r="L93" s="24">
        <f>SUMIFS('Saldos Iniciales'!$D:$D,'Saldos Iniciales'!$A:$A,"YWC Capital")+SUMIFS(Movimientos!$K$1:$K$1325,Movimientos!$C$1:$C$1325,"YWC Capital",Movimientos!$B$1:$B$1325,"&lt;="&amp;$B93)</f>
        <v>2207.8200000000002</v>
      </c>
      <c r="M93" s="24">
        <f>SUMIFS('Saldos Iniciales'!$D:$D,'Saldos Iniciales'!$A:$A,"Soweto")+SUMIFS(Movimientos!$K$1:$K$1325,Movimientos!$C$1:$C$1325,"Soweto",Movimientos!$B$1:$B$1325,"&lt;="&amp;$B93)</f>
        <v>1454589.72</v>
      </c>
      <c r="N93" s="24">
        <f>SUMIFS('Saldos Iniciales'!$D:$D,'Saldos Iniciales'!$A:$A,"Green Stone Trust")+SUMIFS(Movimientos!$K$1:$K$1325,Movimientos!$C$1:$C$1325,"Green Stone Trust",Movimientos!$B$1:$B$1325,"&lt;="&amp;$B93)</f>
        <v>1968.99</v>
      </c>
      <c r="O93" s="24">
        <f>SUMIFS('Saldos Iniciales'!$D:$D,'Saldos Iniciales'!$A:$A,"EC Auto")+SUMIFS(Movimientos!$K$1:$K$1325,Movimientos!$C$1:$C$1325,"EC Auto",Movimientos!$B$1:$B$1325,"&lt;="&amp;$B93)</f>
        <v>901.34</v>
      </c>
      <c r="P93" s="24">
        <f>SUMIFS('Saldos Iniciales'!$D:$D,'Saldos Iniciales'!$A:$A,"Arbor Capital Properties")+SUMIFS(Movimientos!$K$1:$K$1325,Movimientos!$C$1:$C$1325,"Arbor Capital Properties",Movimientos!$B$1:$B$1325,"&lt;="&amp;$B93)</f>
        <v>1412.08</v>
      </c>
      <c r="Q93" s="24">
        <f>SUMIFS('Saldos Iniciales'!$D:$D,'Saldos Iniciales'!$A:$A,"2515 Overbrook")+SUMIFS(Movimientos!$K$1:$K$1325,Movimientos!$C$1:$C$1325,"2515 Overbrook",Movimientos!$B$1:$B$1325,"&lt;="&amp;$B93)</f>
        <v>22347.56999999996</v>
      </c>
      <c r="R93" s="24">
        <f>SUMIFS('Saldos Iniciales'!$D:$D,'Saldos Iniciales'!$A:$A,"112 Florida Ave")+SUMIFS(Movimientos!$K$1:$K$1325,Movimientos!$C$1:$C$1325,"112 Florida Ave",Movimientos!$B$1:$B$1325,"&lt;="&amp;$B93)</f>
        <v>18522.800000000003</v>
      </c>
      <c r="S93" s="24">
        <f>SUMIFS('Saldos Iniciales'!$D:$D,'Saldos Iniciales'!$A:$A,"3628 Thomas Ave")+SUMIFS(Movimientos!$K$1:$K$1325,Movimientos!$C$1:$C$1325,"3628 Thomas Ave",Movimientos!$B$1:$B$1325,"&lt;="&amp;$B93)</f>
        <v>28485.559999999998</v>
      </c>
      <c r="T93" s="24">
        <f>SUMIFS('Saldos Iniciales'!$D:$D,'Saldos Iniciales'!$A:$A,"Green Harbor Trust")+SUMIFS(Movimientos!$K$1:$K$1325,Movimientos!$C$1:$C$1325,"Green Harbor Trust",Movimientos!$B$1:$B$1325,"&lt;="&amp;$B93)</f>
        <v>345</v>
      </c>
      <c r="U93" s="24">
        <f>SUMIFS('Saldos Iniciales'!$D:$D,'Saldos Iniciales'!$A:$A,"Go Blue")+SUMIFS(Movimientos!$K$1:$K$1325,Movimientos!$C$1:$C$1325,"Go Blue",Movimientos!$B$1:$B$1325,"&lt;="&amp;$B93)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LLC",Movimientos!$B$1:$B$1325,"&lt;="&amp;$B93))</f>
        <v>0</v>
      </c>
      <c r="W93" s="24">
        <f>IF(YEAR($B93)*100+MONTH($B93)&lt;--SUBSTITUTE(_xlfn.XLOOKUP("CFT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",Movimientos!$B$1:$B$1325,"&lt;="&amp;$B93))</f>
        <v>0</v>
      </c>
      <c r="AC93" s="24" t="e">
        <f>IF(YEAR($B93)*100+MONTH($B93)&lt;--SUBSTITUTE(_xlfn.XLOOKUP("SYIP",'Saldos Iniciales'!$A:$A,'Saldos Iniciales'!$C:$C),"-",""),0,SUMIFS('Saldos Iniciales'!$D:$D,'Saldos Iniciales'!$A:$A,"SYIP")+SUMIFS(Movimientos!$K$1:$K$1325,Movimientos!$C$1:$C$1325,"SYIP",Movimientos!$B$1:$B$1325,"&lt;="&amp;$B93))</f>
        <v>#N/A</v>
      </c>
      <c r="AD93" s="24">
        <f>IF(YEAR($B93)*100+MONTH($B93)&lt;--SUBSTITUTE(_xlfn.XLOOKUP("Nobe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Aparments",Movimientos!$B$1:$B$1325,"&lt;="&amp;$B93))</f>
        <v>0</v>
      </c>
      <c r="AE93" s="25" t="e">
        <f t="shared" si="3"/>
        <v>#N/A</v>
      </c>
    </row>
    <row r="94" spans="1:31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Group")+SUMIFS(Movimientos!$K$1:$K$1325,Movimientos!$C$1:$C$1325,"CFT Group",Movimientos!$B$1:$B$1325,"&lt;="&amp;$B94)</f>
        <v>2468032.08</v>
      </c>
      <c r="D94" s="24">
        <f>SUMIFS('Saldos Iniciales'!$D:$D,'Saldos Iniciales'!$A:$A,"M1B")+SUMIFS(Movimientos!$K$1:$K$1325,Movimientos!$C$1:$C$1325,"M1B",Movimientos!$B$1:$B$1325,"&lt;="&amp;$B94)</f>
        <v>83211.250000000175</v>
      </c>
      <c r="E94" s="24">
        <f>SUMIFS('Saldos Iniciales'!$D:$D,'Saldos Iniciales'!$A:$A,"Durand")+SUMIFS(Movimientos!$K$1:$K$1325,Movimientos!$C$1:$C$1325,"Durand",Movimientos!$B$1:$B$1325,"&lt;="&amp;$B94)</f>
        <v>1669.89</v>
      </c>
      <c r="F94" s="24">
        <f>SUMIFS('Saldos Iniciales'!$D:$D,'Saldos Iniciales'!$A:$A,"A&amp;M Imports")+SUMIFS(Movimientos!$K$1:$K$1325,Movimientos!$C$1:$C$1325,"A&amp;M Imports",Movimientos!$B$1:$B$1325,"&lt;="&amp;$B94)</f>
        <v>1458426.0399999998</v>
      </c>
      <c r="G94" s="24">
        <f>SUMIFS('Saldos Iniciales'!$D:$D,'Saldos Iniciales'!$A:$A,"SSP Capital")+SUMIFS(Movimientos!$K$1:$K$1325,Movimientos!$C$1:$C$1325,"SSP Capital",Movimientos!$B$1:$B$1325,"&lt;="&amp;$B94)</f>
        <v>1514477.1199999996</v>
      </c>
      <c r="H94" s="24">
        <f>SUMIFS('Saldos Iniciales'!$D:$D,'Saldos Iniciales'!$A:$A,"Cross Family Trust")+SUMIFS(Movimientos!$K$1:$K$1325,Movimientos!$C$1:$C$1325,"Cross Family Trust",Movimientos!$B$1:$B$1325,"&lt;="&amp;$B94)</f>
        <v>190496.38</v>
      </c>
      <c r="I94" s="24">
        <f>SUMIFS('Saldos Iniciales'!$D:$D,'Saldos Iniciales'!$A:$A,"Cross Security Trust")+SUMIFS(Movimientos!$K$1:$K$1325,Movimientos!$C$1:$C$1325,"Cross Security Trust",Movimientos!$B$1:$B$1325,"&lt;="&amp;$B94)</f>
        <v>88090.37</v>
      </c>
      <c r="J94" s="24">
        <f>SUMIFS('Saldos Iniciales'!$D:$D,'Saldos Iniciales'!$A:$A,"Electrama")+SUMIFS(Movimientos!$K$1:$K$1325,Movimientos!$C$1:$C$1325,"Electrama",Movimientos!$B$1:$B$1325,"&lt;="&amp;$B94)</f>
        <v>14580.45</v>
      </c>
      <c r="K94" s="24">
        <f>SUMIFS('Saldos Iniciales'!$D:$D,'Saldos Iniciales'!$A:$A,"Sacred Valley Capital")+SUMIFS(Movimientos!$K$1:$K$1325,Movimientos!$C$1:$C$1325,"Sacred Valley Capital",Movimientos!$B$1:$B$1325,"&lt;="&amp;$B94)</f>
        <v>54.400000000000006</v>
      </c>
      <c r="L94" s="24">
        <f>SUMIFS('Saldos Iniciales'!$D:$D,'Saldos Iniciales'!$A:$A,"YWC Capital")+SUMIFS(Movimientos!$K$1:$K$1325,Movimientos!$C$1:$C$1325,"YWC Capital",Movimientos!$B$1:$B$1325,"&lt;="&amp;$B94)</f>
        <v>2207.8200000000002</v>
      </c>
      <c r="M94" s="24">
        <f>SUMIFS('Saldos Iniciales'!$D:$D,'Saldos Iniciales'!$A:$A,"Soweto")+SUMIFS(Movimientos!$K$1:$K$1325,Movimientos!$C$1:$C$1325,"Soweto",Movimientos!$B$1:$B$1325,"&lt;="&amp;$B94)</f>
        <v>1454589.72</v>
      </c>
      <c r="N94" s="24">
        <f>SUMIFS('Saldos Iniciales'!$D:$D,'Saldos Iniciales'!$A:$A,"Green Stone Trust")+SUMIFS(Movimientos!$K$1:$K$1325,Movimientos!$C$1:$C$1325,"Green Stone Trust",Movimientos!$B$1:$B$1325,"&lt;="&amp;$B94)</f>
        <v>1968.99</v>
      </c>
      <c r="O94" s="24">
        <f>SUMIFS('Saldos Iniciales'!$D:$D,'Saldos Iniciales'!$A:$A,"EC Auto")+SUMIFS(Movimientos!$K$1:$K$1325,Movimientos!$C$1:$C$1325,"EC Auto",Movimientos!$B$1:$B$1325,"&lt;="&amp;$B94)</f>
        <v>901.34</v>
      </c>
      <c r="P94" s="24">
        <f>SUMIFS('Saldos Iniciales'!$D:$D,'Saldos Iniciales'!$A:$A,"Arbor Capital Properties")+SUMIFS(Movimientos!$K$1:$K$1325,Movimientos!$C$1:$C$1325,"Arbor Capital Properties",Movimientos!$B$1:$B$1325,"&lt;="&amp;$B94)</f>
        <v>1412.08</v>
      </c>
      <c r="Q94" s="24">
        <f>SUMIFS('Saldos Iniciales'!$D:$D,'Saldos Iniciales'!$A:$A,"2515 Overbrook")+SUMIFS(Movimientos!$K$1:$K$1325,Movimientos!$C$1:$C$1325,"2515 Overbrook",Movimientos!$B$1:$B$1325,"&lt;="&amp;$B94)</f>
        <v>22347.56999999996</v>
      </c>
      <c r="R94" s="24">
        <f>SUMIFS('Saldos Iniciales'!$D:$D,'Saldos Iniciales'!$A:$A,"112 Florida Ave")+SUMIFS(Movimientos!$K$1:$K$1325,Movimientos!$C$1:$C$1325,"112 Florida Ave",Movimientos!$B$1:$B$1325,"&lt;="&amp;$B94)</f>
        <v>18522.800000000003</v>
      </c>
      <c r="S94" s="24">
        <f>SUMIFS('Saldos Iniciales'!$D:$D,'Saldos Iniciales'!$A:$A,"3628 Thomas Ave")+SUMIFS(Movimientos!$K$1:$K$1325,Movimientos!$C$1:$C$1325,"3628 Thomas Ave",Movimientos!$B$1:$B$1325,"&lt;="&amp;$B94)</f>
        <v>28485.559999999998</v>
      </c>
      <c r="T94" s="24">
        <f>SUMIFS('Saldos Iniciales'!$D:$D,'Saldos Iniciales'!$A:$A,"Green Harbor Trust")+SUMIFS(Movimientos!$K$1:$K$1325,Movimientos!$C$1:$C$1325,"Green Harbor Trust",Movimientos!$B$1:$B$1325,"&lt;="&amp;$B94)</f>
        <v>345</v>
      </c>
      <c r="U94" s="24">
        <f>SUMIFS('Saldos Iniciales'!$D:$D,'Saldos Iniciales'!$A:$A,"Go Blue")+SUMIFS(Movimientos!$K$1:$K$1325,Movimientos!$C$1:$C$1325,"Go Blue",Movimientos!$B$1:$B$1325,"&lt;="&amp;$B94)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LLC",Movimientos!$B$1:$B$1325,"&lt;="&amp;$B94))</f>
        <v>0</v>
      </c>
      <c r="W94" s="24">
        <f>IF(YEAR($B94)*100+MONTH($B94)&lt;--SUBSTITUTE(_xlfn.XLOOKUP("CFT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",Movimientos!$B$1:$B$1325,"&lt;="&amp;$B94))</f>
        <v>0</v>
      </c>
      <c r="AC94" s="24" t="e">
        <f>IF(YEAR($B94)*100+MONTH($B94)&lt;--SUBSTITUTE(_xlfn.XLOOKUP("SYIP",'Saldos Iniciales'!$A:$A,'Saldos Iniciales'!$C:$C),"-",""),0,SUMIFS('Saldos Iniciales'!$D:$D,'Saldos Iniciales'!$A:$A,"SYIP")+SUMIFS(Movimientos!$K$1:$K$1325,Movimientos!$C$1:$C$1325,"SYIP",Movimientos!$B$1:$B$1325,"&lt;="&amp;$B94))</f>
        <v>#N/A</v>
      </c>
      <c r="AD94" s="24">
        <f>IF(YEAR($B94)*100+MONTH($B94)&lt;--SUBSTITUTE(_xlfn.XLOOKUP("Nobe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Aparments",Movimientos!$B$1:$B$1325,"&lt;="&amp;$B94))</f>
        <v>0</v>
      </c>
      <c r="AE94" s="25" t="e">
        <f t="shared" si="3"/>
        <v>#N/A</v>
      </c>
    </row>
    <row r="95" spans="1:31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Group")+SUMIFS(Movimientos!$K$1:$K$1325,Movimientos!$C$1:$C$1325,"CFT Group",Movimientos!$B$1:$B$1325,"&lt;="&amp;$B95)</f>
        <v>2468032.08</v>
      </c>
      <c r="D95" s="24">
        <f>SUMIFS('Saldos Iniciales'!$D:$D,'Saldos Iniciales'!$A:$A,"M1B")+SUMIFS(Movimientos!$K$1:$K$1325,Movimientos!$C$1:$C$1325,"M1B",Movimientos!$B$1:$B$1325,"&lt;="&amp;$B95)</f>
        <v>83211.250000000175</v>
      </c>
      <c r="E95" s="24">
        <f>SUMIFS('Saldos Iniciales'!$D:$D,'Saldos Iniciales'!$A:$A,"Durand")+SUMIFS(Movimientos!$K$1:$K$1325,Movimientos!$C$1:$C$1325,"Durand",Movimientos!$B$1:$B$1325,"&lt;="&amp;$B95)</f>
        <v>1669.89</v>
      </c>
      <c r="F95" s="24">
        <f>SUMIFS('Saldos Iniciales'!$D:$D,'Saldos Iniciales'!$A:$A,"A&amp;M Imports")+SUMIFS(Movimientos!$K$1:$K$1325,Movimientos!$C$1:$C$1325,"A&amp;M Imports",Movimientos!$B$1:$B$1325,"&lt;="&amp;$B95)</f>
        <v>1458426.0399999998</v>
      </c>
      <c r="G95" s="24">
        <f>SUMIFS('Saldos Iniciales'!$D:$D,'Saldos Iniciales'!$A:$A,"SSP Capital")+SUMIFS(Movimientos!$K$1:$K$1325,Movimientos!$C$1:$C$1325,"SSP Capital",Movimientos!$B$1:$B$1325,"&lt;="&amp;$B95)</f>
        <v>1514477.1199999996</v>
      </c>
      <c r="H95" s="24">
        <f>SUMIFS('Saldos Iniciales'!$D:$D,'Saldos Iniciales'!$A:$A,"Cross Family Trust")+SUMIFS(Movimientos!$K$1:$K$1325,Movimientos!$C$1:$C$1325,"Cross Family Trust",Movimientos!$B$1:$B$1325,"&lt;="&amp;$B95)</f>
        <v>190496.38</v>
      </c>
      <c r="I95" s="24">
        <f>SUMIFS('Saldos Iniciales'!$D:$D,'Saldos Iniciales'!$A:$A,"Cross Security Trust")+SUMIFS(Movimientos!$K$1:$K$1325,Movimientos!$C$1:$C$1325,"Cross Security Trust",Movimientos!$B$1:$B$1325,"&lt;="&amp;$B95)</f>
        <v>88090.37</v>
      </c>
      <c r="J95" s="24">
        <f>SUMIFS('Saldos Iniciales'!$D:$D,'Saldos Iniciales'!$A:$A,"Electrama")+SUMIFS(Movimientos!$K$1:$K$1325,Movimientos!$C$1:$C$1325,"Electrama",Movimientos!$B$1:$B$1325,"&lt;="&amp;$B95)</f>
        <v>14580.45</v>
      </c>
      <c r="K95" s="24">
        <f>SUMIFS('Saldos Iniciales'!$D:$D,'Saldos Iniciales'!$A:$A,"Sacred Valley Capital")+SUMIFS(Movimientos!$K$1:$K$1325,Movimientos!$C$1:$C$1325,"Sacred Valley Capital",Movimientos!$B$1:$B$1325,"&lt;="&amp;$B95)</f>
        <v>54.400000000000006</v>
      </c>
      <c r="L95" s="24">
        <f>SUMIFS('Saldos Iniciales'!$D:$D,'Saldos Iniciales'!$A:$A,"YWC Capital")+SUMIFS(Movimientos!$K$1:$K$1325,Movimientos!$C$1:$C$1325,"YWC Capital",Movimientos!$B$1:$B$1325,"&lt;="&amp;$B95)</f>
        <v>2207.8200000000002</v>
      </c>
      <c r="M95" s="24">
        <f>SUMIFS('Saldos Iniciales'!$D:$D,'Saldos Iniciales'!$A:$A,"Soweto")+SUMIFS(Movimientos!$K$1:$K$1325,Movimientos!$C$1:$C$1325,"Soweto",Movimientos!$B$1:$B$1325,"&lt;="&amp;$B95)</f>
        <v>1454589.72</v>
      </c>
      <c r="N95" s="24">
        <f>SUMIFS('Saldos Iniciales'!$D:$D,'Saldos Iniciales'!$A:$A,"Green Stone Trust")+SUMIFS(Movimientos!$K$1:$K$1325,Movimientos!$C$1:$C$1325,"Green Stone Trust",Movimientos!$B$1:$B$1325,"&lt;="&amp;$B95)</f>
        <v>1968.99</v>
      </c>
      <c r="O95" s="24">
        <f>SUMIFS('Saldos Iniciales'!$D:$D,'Saldos Iniciales'!$A:$A,"EC Auto")+SUMIFS(Movimientos!$K$1:$K$1325,Movimientos!$C$1:$C$1325,"EC Auto",Movimientos!$B$1:$B$1325,"&lt;="&amp;$B95)</f>
        <v>901.34</v>
      </c>
      <c r="P95" s="24">
        <f>SUMIFS('Saldos Iniciales'!$D:$D,'Saldos Iniciales'!$A:$A,"Arbor Capital Properties")+SUMIFS(Movimientos!$K$1:$K$1325,Movimientos!$C$1:$C$1325,"Arbor Capital Properties",Movimientos!$B$1:$B$1325,"&lt;="&amp;$B95)</f>
        <v>1412.08</v>
      </c>
      <c r="Q95" s="24">
        <f>SUMIFS('Saldos Iniciales'!$D:$D,'Saldos Iniciales'!$A:$A,"2515 Overbrook")+SUMIFS(Movimientos!$K$1:$K$1325,Movimientos!$C$1:$C$1325,"2515 Overbrook",Movimientos!$B$1:$B$1325,"&lt;="&amp;$B95)</f>
        <v>22347.56999999996</v>
      </c>
      <c r="R95" s="24">
        <f>SUMIFS('Saldos Iniciales'!$D:$D,'Saldos Iniciales'!$A:$A,"112 Florida Ave")+SUMIFS(Movimientos!$K$1:$K$1325,Movimientos!$C$1:$C$1325,"112 Florida Ave",Movimientos!$B$1:$B$1325,"&lt;="&amp;$B95)</f>
        <v>18522.800000000003</v>
      </c>
      <c r="S95" s="24">
        <f>SUMIFS('Saldos Iniciales'!$D:$D,'Saldos Iniciales'!$A:$A,"3628 Thomas Ave")+SUMIFS(Movimientos!$K$1:$K$1325,Movimientos!$C$1:$C$1325,"3628 Thomas Ave",Movimientos!$B$1:$B$1325,"&lt;="&amp;$B95)</f>
        <v>28485.559999999998</v>
      </c>
      <c r="T95" s="24">
        <f>SUMIFS('Saldos Iniciales'!$D:$D,'Saldos Iniciales'!$A:$A,"Green Harbor Trust")+SUMIFS(Movimientos!$K$1:$K$1325,Movimientos!$C$1:$C$1325,"Green Harbor Trust",Movimientos!$B$1:$B$1325,"&lt;="&amp;$B95)</f>
        <v>345</v>
      </c>
      <c r="U95" s="24">
        <f>SUMIFS('Saldos Iniciales'!$D:$D,'Saldos Iniciales'!$A:$A,"Go Blue")+SUMIFS(Movimientos!$K$1:$K$1325,Movimientos!$C$1:$C$1325,"Go Blue",Movimientos!$B$1:$B$1325,"&lt;="&amp;$B95)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LLC",Movimientos!$B$1:$B$1325,"&lt;="&amp;$B95))</f>
        <v>0</v>
      </c>
      <c r="W95" s="24">
        <f>IF(YEAR($B95)*100+MONTH($B95)&lt;--SUBSTITUTE(_xlfn.XLOOKUP("CFT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",Movimientos!$B$1:$B$1325,"&lt;="&amp;$B95))</f>
        <v>0</v>
      </c>
      <c r="AC95" s="24" t="e">
        <f>IF(YEAR($B95)*100+MONTH($B95)&lt;--SUBSTITUTE(_xlfn.XLOOKUP("SYIP",'Saldos Iniciales'!$A:$A,'Saldos Iniciales'!$C:$C),"-",""),0,SUMIFS('Saldos Iniciales'!$D:$D,'Saldos Iniciales'!$A:$A,"SYIP")+SUMIFS(Movimientos!$K$1:$K$1325,Movimientos!$C$1:$C$1325,"SYIP",Movimientos!$B$1:$B$1325,"&lt;="&amp;$B95))</f>
        <v>#N/A</v>
      </c>
      <c r="AD95" s="24">
        <f>IF(YEAR($B95)*100+MONTH($B95)&lt;--SUBSTITUTE(_xlfn.XLOOKUP("Nobe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Aparments",Movimientos!$B$1:$B$1325,"&lt;="&amp;$B95))</f>
        <v>0</v>
      </c>
      <c r="AE95" s="25" t="e">
        <f t="shared" si="3"/>
        <v>#N/A</v>
      </c>
    </row>
    <row r="96" spans="1:31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Group")+SUMIFS(Movimientos!$K$1:$K$1325,Movimientos!$C$1:$C$1325,"CFT Group",Movimientos!$B$1:$B$1325,"&lt;="&amp;$B96)</f>
        <v>2468032.08</v>
      </c>
      <c r="D96" s="24">
        <f>SUMIFS('Saldos Iniciales'!$D:$D,'Saldos Iniciales'!$A:$A,"M1B")+SUMIFS(Movimientos!$K$1:$K$1325,Movimientos!$C$1:$C$1325,"M1B",Movimientos!$B$1:$B$1325,"&lt;="&amp;$B96)</f>
        <v>83211.250000000175</v>
      </c>
      <c r="E96" s="24">
        <f>SUMIFS('Saldos Iniciales'!$D:$D,'Saldos Iniciales'!$A:$A,"Durand")+SUMIFS(Movimientos!$K$1:$K$1325,Movimientos!$C$1:$C$1325,"Durand",Movimientos!$B$1:$B$1325,"&lt;="&amp;$B96)</f>
        <v>1669.89</v>
      </c>
      <c r="F96" s="24">
        <f>SUMIFS('Saldos Iniciales'!$D:$D,'Saldos Iniciales'!$A:$A,"A&amp;M Imports")+SUMIFS(Movimientos!$K$1:$K$1325,Movimientos!$C$1:$C$1325,"A&amp;M Imports",Movimientos!$B$1:$B$1325,"&lt;="&amp;$B96)</f>
        <v>1458426.0399999998</v>
      </c>
      <c r="G96" s="24">
        <f>SUMIFS('Saldos Iniciales'!$D:$D,'Saldos Iniciales'!$A:$A,"SSP Capital")+SUMIFS(Movimientos!$K$1:$K$1325,Movimientos!$C$1:$C$1325,"SSP Capital",Movimientos!$B$1:$B$1325,"&lt;="&amp;$B96)</f>
        <v>1514477.1199999996</v>
      </c>
      <c r="H96" s="24">
        <f>SUMIFS('Saldos Iniciales'!$D:$D,'Saldos Iniciales'!$A:$A,"Cross Family Trust")+SUMIFS(Movimientos!$K$1:$K$1325,Movimientos!$C$1:$C$1325,"Cross Family Trust",Movimientos!$B$1:$B$1325,"&lt;="&amp;$B96)</f>
        <v>190496.38</v>
      </c>
      <c r="I96" s="24">
        <f>SUMIFS('Saldos Iniciales'!$D:$D,'Saldos Iniciales'!$A:$A,"Cross Security Trust")+SUMIFS(Movimientos!$K$1:$K$1325,Movimientos!$C$1:$C$1325,"Cross Security Trust",Movimientos!$B$1:$B$1325,"&lt;="&amp;$B96)</f>
        <v>88090.37</v>
      </c>
      <c r="J96" s="24">
        <f>SUMIFS('Saldos Iniciales'!$D:$D,'Saldos Iniciales'!$A:$A,"Electrama")+SUMIFS(Movimientos!$K$1:$K$1325,Movimientos!$C$1:$C$1325,"Electrama",Movimientos!$B$1:$B$1325,"&lt;="&amp;$B96)</f>
        <v>14580.45</v>
      </c>
      <c r="K96" s="24">
        <f>SUMIFS('Saldos Iniciales'!$D:$D,'Saldos Iniciales'!$A:$A,"Sacred Valley Capital")+SUMIFS(Movimientos!$K$1:$K$1325,Movimientos!$C$1:$C$1325,"Sacred Valley Capital",Movimientos!$B$1:$B$1325,"&lt;="&amp;$B96)</f>
        <v>24.450000000000003</v>
      </c>
      <c r="L96" s="24">
        <f>SUMIFS('Saldos Iniciales'!$D:$D,'Saldos Iniciales'!$A:$A,"YWC Capital")+SUMIFS(Movimientos!$K$1:$K$1325,Movimientos!$C$1:$C$1325,"YWC Capital",Movimientos!$B$1:$B$1325,"&lt;="&amp;$B96)</f>
        <v>2177.87</v>
      </c>
      <c r="M96" s="24">
        <f>SUMIFS('Saldos Iniciales'!$D:$D,'Saldos Iniciales'!$A:$A,"Soweto")+SUMIFS(Movimientos!$K$1:$K$1325,Movimientos!$C$1:$C$1325,"Soweto",Movimientos!$B$1:$B$1325,"&lt;="&amp;$B96)</f>
        <v>1454589.72</v>
      </c>
      <c r="N96" s="24">
        <f>SUMIFS('Saldos Iniciales'!$D:$D,'Saldos Iniciales'!$A:$A,"Green Stone Trust")+SUMIFS(Movimientos!$K$1:$K$1325,Movimientos!$C$1:$C$1325,"Green Stone Trust",Movimientos!$B$1:$B$1325,"&lt;="&amp;$B96)</f>
        <v>1968.99</v>
      </c>
      <c r="O96" s="24">
        <f>SUMIFS('Saldos Iniciales'!$D:$D,'Saldos Iniciales'!$A:$A,"EC Auto")+SUMIFS(Movimientos!$K$1:$K$1325,Movimientos!$C$1:$C$1325,"EC Auto",Movimientos!$B$1:$B$1325,"&lt;="&amp;$B96)</f>
        <v>901.34</v>
      </c>
      <c r="P96" s="24">
        <f>SUMIFS('Saldos Iniciales'!$D:$D,'Saldos Iniciales'!$A:$A,"Arbor Capital Properties")+SUMIFS(Movimientos!$K$1:$K$1325,Movimientos!$C$1:$C$1325,"Arbor Capital Properties",Movimientos!$B$1:$B$1325,"&lt;="&amp;$B96)</f>
        <v>1396.08</v>
      </c>
      <c r="Q96" s="24">
        <f>SUMIFS('Saldos Iniciales'!$D:$D,'Saldos Iniciales'!$A:$A,"2515 Overbrook")+SUMIFS(Movimientos!$K$1:$K$1325,Movimientos!$C$1:$C$1325,"2515 Overbrook",Movimientos!$B$1:$B$1325,"&lt;="&amp;$B96)</f>
        <v>13804.239999999962</v>
      </c>
      <c r="R96" s="24">
        <f>SUMIFS('Saldos Iniciales'!$D:$D,'Saldos Iniciales'!$A:$A,"112 Florida Ave")+SUMIFS(Movimientos!$K$1:$K$1325,Movimientos!$C$1:$C$1325,"112 Florida Ave",Movimientos!$B$1:$B$1325,"&lt;="&amp;$B96)</f>
        <v>8724.1700000000037</v>
      </c>
      <c r="S96" s="24">
        <f>SUMIFS('Saldos Iniciales'!$D:$D,'Saldos Iniciales'!$A:$A,"3628 Thomas Ave")+SUMIFS(Movimientos!$K$1:$K$1325,Movimientos!$C$1:$C$1325,"3628 Thomas Ave",Movimientos!$B$1:$B$1325,"&lt;="&amp;$B96)</f>
        <v>15106.099999999997</v>
      </c>
      <c r="T96" s="24">
        <f>SUMIFS('Saldos Iniciales'!$D:$D,'Saldos Iniciales'!$A:$A,"Green Harbor Trust")+SUMIFS(Movimientos!$K$1:$K$1325,Movimientos!$C$1:$C$1325,"Green Harbor Trust",Movimientos!$B$1:$B$1325,"&lt;="&amp;$B96)</f>
        <v>345</v>
      </c>
      <c r="U96" s="24">
        <f>SUMIFS('Saldos Iniciales'!$D:$D,'Saldos Iniciales'!$A:$A,"Go Blue")+SUMIFS(Movimientos!$K$1:$K$1325,Movimientos!$C$1:$C$1325,"Go Blue",Movimientos!$B$1:$B$1325,"&lt;="&amp;$B96)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LLC",Movimientos!$B$1:$B$1325,"&lt;="&amp;$B96))</f>
        <v>0</v>
      </c>
      <c r="W96" s="24">
        <f>IF(YEAR($B96)*100+MONTH($B96)&lt;--SUBSTITUTE(_xlfn.XLOOKUP("CFT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",Movimientos!$B$1:$B$1325,"&lt;="&amp;$B96))</f>
        <v>0</v>
      </c>
      <c r="AC96" s="24" t="e">
        <f>IF(YEAR($B96)*100+MONTH($B96)&lt;--SUBSTITUTE(_xlfn.XLOOKUP("SYIP",'Saldos Iniciales'!$A:$A,'Saldos Iniciales'!$C:$C),"-",""),0,SUMIFS('Saldos Iniciales'!$D:$D,'Saldos Iniciales'!$A:$A,"SYIP")+SUMIFS(Movimientos!$K$1:$K$1325,Movimientos!$C$1:$C$1325,"SYIP",Movimientos!$B$1:$B$1325,"&lt;="&amp;$B96))</f>
        <v>#N/A</v>
      </c>
      <c r="AD96" s="24">
        <f>IF(YEAR($B96)*100+MONTH($B96)&lt;--SUBSTITUTE(_xlfn.XLOOKUP("Nobe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Aparments",Movimientos!$B$1:$B$1325,"&lt;="&amp;$B96))</f>
        <v>0</v>
      </c>
      <c r="AE96" s="25" t="e">
        <f t="shared" si="3"/>
        <v>#N/A</v>
      </c>
    </row>
    <row r="97" spans="1:31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Group")+SUMIFS(Movimientos!$K$1:$K$1325,Movimientos!$C$1:$C$1325,"CFT Group",Movimientos!$B$1:$B$1325,"&lt;="&amp;$B97)</f>
        <v>2468032.08</v>
      </c>
      <c r="D97" s="24">
        <f>SUMIFS('Saldos Iniciales'!$D:$D,'Saldos Iniciales'!$A:$A,"M1B")+SUMIFS(Movimientos!$K$1:$K$1325,Movimientos!$C$1:$C$1325,"M1B",Movimientos!$B$1:$B$1325,"&lt;="&amp;$B97)</f>
        <v>83211.250000000175</v>
      </c>
      <c r="E97" s="24">
        <f>SUMIFS('Saldos Iniciales'!$D:$D,'Saldos Iniciales'!$A:$A,"Durand")+SUMIFS(Movimientos!$K$1:$K$1325,Movimientos!$C$1:$C$1325,"Durand",Movimientos!$B$1:$B$1325,"&lt;="&amp;$B97)</f>
        <v>1669.89</v>
      </c>
      <c r="F97" s="24">
        <f>SUMIFS('Saldos Iniciales'!$D:$D,'Saldos Iniciales'!$A:$A,"A&amp;M Imports")+SUMIFS(Movimientos!$K$1:$K$1325,Movimientos!$C$1:$C$1325,"A&amp;M Imports",Movimientos!$B$1:$B$1325,"&lt;="&amp;$B97)</f>
        <v>1458426.0399999998</v>
      </c>
      <c r="G97" s="24">
        <f>SUMIFS('Saldos Iniciales'!$D:$D,'Saldos Iniciales'!$A:$A,"SSP Capital")+SUMIFS(Movimientos!$K$1:$K$1325,Movimientos!$C$1:$C$1325,"SSP Capital",Movimientos!$B$1:$B$1325,"&lt;="&amp;$B97)</f>
        <v>1513867.4199999995</v>
      </c>
      <c r="H97" s="24">
        <f>SUMIFS('Saldos Iniciales'!$D:$D,'Saldos Iniciales'!$A:$A,"Cross Family Trust")+SUMIFS(Movimientos!$K$1:$K$1325,Movimientos!$C$1:$C$1325,"Cross Family Trust",Movimientos!$B$1:$B$1325,"&lt;="&amp;$B97)</f>
        <v>184496.38</v>
      </c>
      <c r="I97" s="24">
        <f>SUMIFS('Saldos Iniciales'!$D:$D,'Saldos Iniciales'!$A:$A,"Cross Security Trust")+SUMIFS(Movimientos!$K$1:$K$1325,Movimientos!$C$1:$C$1325,"Cross Security Trust",Movimientos!$B$1:$B$1325,"&lt;="&amp;$B97)</f>
        <v>88090.37</v>
      </c>
      <c r="J97" s="24">
        <f>SUMIFS('Saldos Iniciales'!$D:$D,'Saldos Iniciales'!$A:$A,"Electrama")+SUMIFS(Movimientos!$K$1:$K$1325,Movimientos!$C$1:$C$1325,"Electrama",Movimientos!$B$1:$B$1325,"&lt;="&amp;$B97)</f>
        <v>14580.45</v>
      </c>
      <c r="K97" s="24">
        <f>SUMIFS('Saldos Iniciales'!$D:$D,'Saldos Iniciales'!$A:$A,"Sacred Valley Capital")+SUMIFS(Movimientos!$K$1:$K$1325,Movimientos!$C$1:$C$1325,"Sacred Valley Capital",Movimientos!$B$1:$B$1325,"&lt;="&amp;$B97)</f>
        <v>24.450000000000003</v>
      </c>
      <c r="L97" s="24">
        <f>SUMIFS('Saldos Iniciales'!$D:$D,'Saldos Iniciales'!$A:$A,"YWC Capital")+SUMIFS(Movimientos!$K$1:$K$1325,Movimientos!$C$1:$C$1325,"YWC Capital",Movimientos!$B$1:$B$1325,"&lt;="&amp;$B97)</f>
        <v>2177.87</v>
      </c>
      <c r="M97" s="24">
        <f>SUMIFS('Saldos Iniciales'!$D:$D,'Saldos Iniciales'!$A:$A,"Soweto")+SUMIFS(Movimientos!$K$1:$K$1325,Movimientos!$C$1:$C$1325,"Soweto",Movimientos!$B$1:$B$1325,"&lt;="&amp;$B97)</f>
        <v>1454589.72</v>
      </c>
      <c r="N97" s="24">
        <f>SUMIFS('Saldos Iniciales'!$D:$D,'Saldos Iniciales'!$A:$A,"Green Stone Trust")+SUMIFS(Movimientos!$K$1:$K$1325,Movimientos!$C$1:$C$1325,"Green Stone Trust",Movimientos!$B$1:$B$1325,"&lt;="&amp;$B97)</f>
        <v>1968.99</v>
      </c>
      <c r="O97" s="24">
        <f>SUMIFS('Saldos Iniciales'!$D:$D,'Saldos Iniciales'!$A:$A,"EC Auto")+SUMIFS(Movimientos!$K$1:$K$1325,Movimientos!$C$1:$C$1325,"EC Auto",Movimientos!$B$1:$B$1325,"&lt;="&amp;$B97)</f>
        <v>901.34</v>
      </c>
      <c r="P97" s="24">
        <f>SUMIFS('Saldos Iniciales'!$D:$D,'Saldos Iniciales'!$A:$A,"Arbor Capital Properties")+SUMIFS(Movimientos!$K$1:$K$1325,Movimientos!$C$1:$C$1325,"Arbor Capital Properties",Movimientos!$B$1:$B$1325,"&lt;="&amp;$B97)</f>
        <v>1396.08</v>
      </c>
      <c r="Q97" s="24">
        <f>SUMIFS('Saldos Iniciales'!$D:$D,'Saldos Iniciales'!$A:$A,"2515 Overbrook")+SUMIFS(Movimientos!$K$1:$K$1325,Movimientos!$C$1:$C$1325,"2515 Overbrook",Movimientos!$B$1:$B$1325,"&lt;="&amp;$B97)</f>
        <v>13804.239999999962</v>
      </c>
      <c r="R97" s="24">
        <f>SUMIFS('Saldos Iniciales'!$D:$D,'Saldos Iniciales'!$A:$A,"112 Florida Ave")+SUMIFS(Movimientos!$K$1:$K$1325,Movimientos!$C$1:$C$1325,"112 Florida Ave",Movimientos!$B$1:$B$1325,"&lt;="&amp;$B97)</f>
        <v>8724.1700000000037</v>
      </c>
      <c r="S97" s="24">
        <f>SUMIFS('Saldos Iniciales'!$D:$D,'Saldos Iniciales'!$A:$A,"3628 Thomas Ave")+SUMIFS(Movimientos!$K$1:$K$1325,Movimientos!$C$1:$C$1325,"3628 Thomas Ave",Movimientos!$B$1:$B$1325,"&lt;="&amp;$B97)</f>
        <v>15106.099999999997</v>
      </c>
      <c r="T97" s="24">
        <f>SUMIFS('Saldos Iniciales'!$D:$D,'Saldos Iniciales'!$A:$A,"Green Harbor Trust")+SUMIFS(Movimientos!$K$1:$K$1325,Movimientos!$C$1:$C$1325,"Green Harbor Trust",Movimientos!$B$1:$B$1325,"&lt;="&amp;$B97)</f>
        <v>345</v>
      </c>
      <c r="U97" s="24">
        <f>SUMIFS('Saldos Iniciales'!$D:$D,'Saldos Iniciales'!$A:$A,"Go Blue")+SUMIFS(Movimientos!$K$1:$K$1325,Movimientos!$C$1:$C$1325,"Go Blue",Movimientos!$B$1:$B$1325,"&lt;="&amp;$B97)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LLC",Movimientos!$B$1:$B$1325,"&lt;="&amp;$B97))</f>
        <v>0</v>
      </c>
      <c r="W97" s="24">
        <f>IF(YEAR($B97)*100+MONTH($B97)&lt;--SUBSTITUTE(_xlfn.XLOOKUP("CFT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",Movimientos!$B$1:$B$1325,"&lt;="&amp;$B97))</f>
        <v>0</v>
      </c>
      <c r="AC97" s="24" t="e">
        <f>IF(YEAR($B97)*100+MONTH($B97)&lt;--SUBSTITUTE(_xlfn.XLOOKUP("SYIP",'Saldos Iniciales'!$A:$A,'Saldos Iniciales'!$C:$C),"-",""),0,SUMIFS('Saldos Iniciales'!$D:$D,'Saldos Iniciales'!$A:$A,"SYIP")+SUMIFS(Movimientos!$K$1:$K$1325,Movimientos!$C$1:$C$1325,"SYIP",Movimientos!$B$1:$B$1325,"&lt;="&amp;$B97))</f>
        <v>#N/A</v>
      </c>
      <c r="AD97" s="24">
        <f>IF(YEAR($B97)*100+MONTH($B97)&lt;--SUBSTITUTE(_xlfn.XLOOKUP("Nobe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Aparments",Movimientos!$B$1:$B$1325,"&lt;="&amp;$B97))</f>
        <v>0</v>
      </c>
      <c r="AE97" s="25" t="e">
        <f t="shared" ref="AE97:AE128" si="4">SUM(C97:AD97)</f>
        <v>#N/A</v>
      </c>
    </row>
    <row r="98" spans="1:31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Group")+SUMIFS(Movimientos!$K$1:$K$1325,Movimientos!$C$1:$C$1325,"CFT Group",Movimientos!$B$1:$B$1325,"&lt;="&amp;$B98)</f>
        <v>2468032.08</v>
      </c>
      <c r="D98" s="24">
        <f>SUMIFS('Saldos Iniciales'!$D:$D,'Saldos Iniciales'!$A:$A,"M1B")+SUMIFS(Movimientos!$K$1:$K$1325,Movimientos!$C$1:$C$1325,"M1B",Movimientos!$B$1:$B$1325,"&lt;="&amp;$B98)</f>
        <v>83211.250000000175</v>
      </c>
      <c r="E98" s="24">
        <f>SUMIFS('Saldos Iniciales'!$D:$D,'Saldos Iniciales'!$A:$A,"Durand")+SUMIFS(Movimientos!$K$1:$K$1325,Movimientos!$C$1:$C$1325,"Durand",Movimientos!$B$1:$B$1325,"&lt;="&amp;$B98)</f>
        <v>1669.89</v>
      </c>
      <c r="F98" s="24">
        <f>SUMIFS('Saldos Iniciales'!$D:$D,'Saldos Iniciales'!$A:$A,"A&amp;M Imports")+SUMIFS(Movimientos!$K$1:$K$1325,Movimientos!$C$1:$C$1325,"A&amp;M Imports",Movimientos!$B$1:$B$1325,"&lt;="&amp;$B98)</f>
        <v>1452426.0399999998</v>
      </c>
      <c r="G98" s="24">
        <f>SUMIFS('Saldos Iniciales'!$D:$D,'Saldos Iniciales'!$A:$A,"SSP Capital")+SUMIFS(Movimientos!$K$1:$K$1325,Movimientos!$C$1:$C$1325,"SSP Capital",Movimientos!$B$1:$B$1325,"&lt;="&amp;$B98)</f>
        <v>1512187.6399999997</v>
      </c>
      <c r="H98" s="24">
        <f>SUMIFS('Saldos Iniciales'!$D:$D,'Saldos Iniciales'!$A:$A,"Cross Family Trust")+SUMIFS(Movimientos!$K$1:$K$1325,Movimientos!$C$1:$C$1325,"Cross Family Trust",Movimientos!$B$1:$B$1325,"&lt;="&amp;$B98)</f>
        <v>184496.38</v>
      </c>
      <c r="I98" s="24">
        <f>SUMIFS('Saldos Iniciales'!$D:$D,'Saldos Iniciales'!$A:$A,"Cross Security Trust")+SUMIFS(Movimientos!$K$1:$K$1325,Movimientos!$C$1:$C$1325,"Cross Security Trust",Movimientos!$B$1:$B$1325,"&lt;="&amp;$B98)</f>
        <v>88090.37</v>
      </c>
      <c r="J98" s="24">
        <f>SUMIFS('Saldos Iniciales'!$D:$D,'Saldos Iniciales'!$A:$A,"Electrama")+SUMIFS(Movimientos!$K$1:$K$1325,Movimientos!$C$1:$C$1325,"Electrama",Movimientos!$B$1:$B$1325,"&lt;="&amp;$B98)</f>
        <v>14540.45</v>
      </c>
      <c r="K98" s="24">
        <f>SUMIFS('Saldos Iniciales'!$D:$D,'Saldos Iniciales'!$A:$A,"Sacred Valley Capital")+SUMIFS(Movimientos!$K$1:$K$1325,Movimientos!$C$1:$C$1325,"Sacred Valley Capital",Movimientos!$B$1:$B$1325,"&lt;="&amp;$B98)</f>
        <v>24.450000000000003</v>
      </c>
      <c r="L98" s="24">
        <f>SUMIFS('Saldos Iniciales'!$D:$D,'Saldos Iniciales'!$A:$A,"YWC Capital")+SUMIFS(Movimientos!$K$1:$K$1325,Movimientos!$C$1:$C$1325,"YWC Capital",Movimientos!$B$1:$B$1325,"&lt;="&amp;$B98)</f>
        <v>2177.87</v>
      </c>
      <c r="M98" s="24">
        <f>SUMIFS('Saldos Iniciales'!$D:$D,'Saldos Iniciales'!$A:$A,"Soweto")+SUMIFS(Movimientos!$K$1:$K$1325,Movimientos!$C$1:$C$1325,"Soweto",Movimientos!$B$1:$B$1325,"&lt;="&amp;$B98)</f>
        <v>1454589.72</v>
      </c>
      <c r="N98" s="24">
        <f>SUMIFS('Saldos Iniciales'!$D:$D,'Saldos Iniciales'!$A:$A,"Green Stone Trust")+SUMIFS(Movimientos!$K$1:$K$1325,Movimientos!$C$1:$C$1325,"Green Stone Trust",Movimientos!$B$1:$B$1325,"&lt;="&amp;$B98)</f>
        <v>1968.99</v>
      </c>
      <c r="O98" s="24">
        <f>SUMIFS('Saldos Iniciales'!$D:$D,'Saldos Iniciales'!$A:$A,"EC Auto")+SUMIFS(Movimientos!$K$1:$K$1325,Movimientos!$C$1:$C$1325,"EC Auto",Movimientos!$B$1:$B$1325,"&lt;="&amp;$B98)</f>
        <v>901.34</v>
      </c>
      <c r="P98" s="24">
        <f>SUMIFS('Saldos Iniciales'!$D:$D,'Saldos Iniciales'!$A:$A,"Arbor Capital Properties")+SUMIFS(Movimientos!$K$1:$K$1325,Movimientos!$C$1:$C$1325,"Arbor Capital Properties",Movimientos!$B$1:$B$1325,"&lt;="&amp;$B98)</f>
        <v>1396.08</v>
      </c>
      <c r="Q98" s="24">
        <f>SUMIFS('Saldos Iniciales'!$D:$D,'Saldos Iniciales'!$A:$A,"2515 Overbrook")+SUMIFS(Movimientos!$K$1:$K$1325,Movimientos!$C$1:$C$1325,"2515 Overbrook",Movimientos!$B$1:$B$1325,"&lt;="&amp;$B98)</f>
        <v>13804.239999999962</v>
      </c>
      <c r="R98" s="24">
        <f>SUMIFS('Saldos Iniciales'!$D:$D,'Saldos Iniciales'!$A:$A,"112 Florida Ave")+SUMIFS(Movimientos!$K$1:$K$1325,Movimientos!$C$1:$C$1325,"112 Florida Ave",Movimientos!$B$1:$B$1325,"&lt;="&amp;$B98)</f>
        <v>8724.1700000000037</v>
      </c>
      <c r="S98" s="24">
        <f>SUMIFS('Saldos Iniciales'!$D:$D,'Saldos Iniciales'!$A:$A,"3628 Thomas Ave")+SUMIFS(Movimientos!$K$1:$K$1325,Movimientos!$C$1:$C$1325,"3628 Thomas Ave",Movimientos!$B$1:$B$1325,"&lt;="&amp;$B98)</f>
        <v>15106.099999999997</v>
      </c>
      <c r="T98" s="24">
        <f>SUMIFS('Saldos Iniciales'!$D:$D,'Saldos Iniciales'!$A:$A,"Green Harbor Trust")+SUMIFS(Movimientos!$K$1:$K$1325,Movimientos!$C$1:$C$1325,"Green Harbor Trust",Movimientos!$B$1:$B$1325,"&lt;="&amp;$B98)</f>
        <v>345</v>
      </c>
      <c r="U98" s="24">
        <f>SUMIFS('Saldos Iniciales'!$D:$D,'Saldos Iniciales'!$A:$A,"Go Blue")+SUMIFS(Movimientos!$K$1:$K$1325,Movimientos!$C$1:$C$1325,"Go Blue",Movimientos!$B$1:$B$1325,"&lt;="&amp;$B98)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LLC",Movimientos!$B$1:$B$1325,"&lt;="&amp;$B98))</f>
        <v>0</v>
      </c>
      <c r="W98" s="24">
        <f>IF(YEAR($B98)*100+MONTH($B98)&lt;--SUBSTITUTE(_xlfn.XLOOKUP("CFT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",Movimientos!$B$1:$B$1325,"&lt;="&amp;$B98))</f>
        <v>0</v>
      </c>
      <c r="AC98" s="24" t="e">
        <f>IF(YEAR($B98)*100+MONTH($B98)&lt;--SUBSTITUTE(_xlfn.XLOOKUP("SYIP",'Saldos Iniciales'!$A:$A,'Saldos Iniciales'!$C:$C),"-",""),0,SUMIFS('Saldos Iniciales'!$D:$D,'Saldos Iniciales'!$A:$A,"SYIP")+SUMIFS(Movimientos!$K$1:$K$1325,Movimientos!$C$1:$C$1325,"SYIP",Movimientos!$B$1:$B$1325,"&lt;="&amp;$B98))</f>
        <v>#N/A</v>
      </c>
      <c r="AD98" s="24">
        <f>IF(YEAR($B98)*100+MONTH($B98)&lt;--SUBSTITUTE(_xlfn.XLOOKUP("Nobe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Aparments",Movimientos!$B$1:$B$1325,"&lt;="&amp;$B98))</f>
        <v>0</v>
      </c>
      <c r="AE98" s="25" t="e">
        <f t="shared" si="4"/>
        <v>#N/A</v>
      </c>
    </row>
    <row r="99" spans="1:31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Group")+SUMIFS(Movimientos!$K$1:$K$1325,Movimientos!$C$1:$C$1325,"CFT Group",Movimientos!$B$1:$B$1325,"&lt;="&amp;$B99)</f>
        <v>1153390.4100000001</v>
      </c>
      <c r="D99" s="24">
        <f>SUMIFS('Saldos Iniciales'!$D:$D,'Saldos Iniciales'!$A:$A,"M1B")+SUMIFS(Movimientos!$K$1:$K$1325,Movimientos!$C$1:$C$1325,"M1B",Movimientos!$B$1:$B$1325,"&lt;="&amp;$B99)</f>
        <v>83211.250000000175</v>
      </c>
      <c r="E99" s="24">
        <f>SUMIFS('Saldos Iniciales'!$D:$D,'Saldos Iniciales'!$A:$A,"Durand")+SUMIFS(Movimientos!$K$1:$K$1325,Movimientos!$C$1:$C$1325,"Durand",Movimientos!$B$1:$B$1325,"&lt;="&amp;$B99)</f>
        <v>1669.89</v>
      </c>
      <c r="F99" s="24">
        <f>SUMIFS('Saldos Iniciales'!$D:$D,'Saldos Iniciales'!$A:$A,"A&amp;M Imports")+SUMIFS(Movimientos!$K$1:$K$1325,Movimientos!$C$1:$C$1325,"A&amp;M Imports",Movimientos!$B$1:$B$1325,"&lt;="&amp;$B99)</f>
        <v>1349451.94</v>
      </c>
      <c r="G99" s="24">
        <f>SUMIFS('Saldos Iniciales'!$D:$D,'Saldos Iniciales'!$A:$A,"SSP Capital")+SUMIFS(Movimientos!$K$1:$K$1325,Movimientos!$C$1:$C$1325,"SSP Capital",Movimientos!$B$1:$B$1325,"&lt;="&amp;$B99)</f>
        <v>2102073.7899999996</v>
      </c>
      <c r="H99" s="24">
        <f>SUMIFS('Saldos Iniciales'!$D:$D,'Saldos Iniciales'!$A:$A,"Cross Family Trust")+SUMIFS(Movimientos!$K$1:$K$1325,Movimientos!$C$1:$C$1325,"Cross Family Trust",Movimientos!$B$1:$B$1325,"&lt;="&amp;$B99)</f>
        <v>171496.38</v>
      </c>
      <c r="I99" s="24">
        <f>SUMIFS('Saldos Iniciales'!$D:$D,'Saldos Iniciales'!$A:$A,"Cross Security Trust")+SUMIFS(Movimientos!$K$1:$K$1325,Movimientos!$C$1:$C$1325,"Cross Security Trust",Movimientos!$B$1:$B$1325,"&lt;="&amp;$B99)</f>
        <v>88067.39</v>
      </c>
      <c r="J99" s="24">
        <f>SUMIFS('Saldos Iniciales'!$D:$D,'Saldos Iniciales'!$A:$A,"Electrama")+SUMIFS(Movimientos!$K$1:$K$1325,Movimientos!$C$1:$C$1325,"Electrama",Movimientos!$B$1:$B$1325,"&lt;="&amp;$B99)</f>
        <v>13270.02</v>
      </c>
      <c r="K99" s="24">
        <f>SUMIFS('Saldos Iniciales'!$D:$D,'Saldos Iniciales'!$A:$A,"Sacred Valley Capital")+SUMIFS(Movimientos!$K$1:$K$1325,Movimientos!$C$1:$C$1325,"Sacred Valley Capital",Movimientos!$B$1:$B$1325,"&lt;="&amp;$B99)</f>
        <v>24.450000000000003</v>
      </c>
      <c r="L99" s="24">
        <f>SUMIFS('Saldos Iniciales'!$D:$D,'Saldos Iniciales'!$A:$A,"YWC Capital")+SUMIFS(Movimientos!$K$1:$K$1325,Movimientos!$C$1:$C$1325,"YWC Capital",Movimientos!$B$1:$B$1325,"&lt;="&amp;$B99)</f>
        <v>2177.87</v>
      </c>
      <c r="M99" s="24">
        <f>SUMIFS('Saldos Iniciales'!$D:$D,'Saldos Iniciales'!$A:$A,"Soweto")+SUMIFS(Movimientos!$K$1:$K$1325,Movimientos!$C$1:$C$1325,"Soweto",Movimientos!$B$1:$B$1325,"&lt;="&amp;$B99)</f>
        <v>1454589.72</v>
      </c>
      <c r="N99" s="24">
        <f>SUMIFS('Saldos Iniciales'!$D:$D,'Saldos Iniciales'!$A:$A,"Green Stone Trust")+SUMIFS(Movimientos!$K$1:$K$1325,Movimientos!$C$1:$C$1325,"Green Stone Trust",Movimientos!$B$1:$B$1325,"&lt;="&amp;$B99)</f>
        <v>1968.99</v>
      </c>
      <c r="O99" s="24">
        <f>SUMIFS('Saldos Iniciales'!$D:$D,'Saldos Iniciales'!$A:$A,"EC Auto")+SUMIFS(Movimientos!$K$1:$K$1325,Movimientos!$C$1:$C$1325,"EC Auto",Movimientos!$B$1:$B$1325,"&lt;="&amp;$B99)</f>
        <v>901.34</v>
      </c>
      <c r="P99" s="24">
        <f>SUMIFS('Saldos Iniciales'!$D:$D,'Saldos Iniciales'!$A:$A,"Arbor Capital Properties")+SUMIFS(Movimientos!$K$1:$K$1325,Movimientos!$C$1:$C$1325,"Arbor Capital Properties",Movimientos!$B$1:$B$1325,"&lt;="&amp;$B99)</f>
        <v>1396.08</v>
      </c>
      <c r="Q99" s="24">
        <f>SUMIFS('Saldos Iniciales'!$D:$D,'Saldos Iniciales'!$A:$A,"2515 Overbrook")+SUMIFS(Movimientos!$K$1:$K$1325,Movimientos!$C$1:$C$1325,"2515 Overbrook",Movimientos!$B$1:$B$1325,"&lt;="&amp;$B99)</f>
        <v>13804.239999999962</v>
      </c>
      <c r="R99" s="24">
        <f>SUMIFS('Saldos Iniciales'!$D:$D,'Saldos Iniciales'!$A:$A,"112 Florida Ave")+SUMIFS(Movimientos!$K$1:$K$1325,Movimientos!$C$1:$C$1325,"112 Florida Ave",Movimientos!$B$1:$B$1325,"&lt;="&amp;$B99)</f>
        <v>8724.1700000000037</v>
      </c>
      <c r="S99" s="24">
        <f>SUMIFS('Saldos Iniciales'!$D:$D,'Saldos Iniciales'!$A:$A,"3628 Thomas Ave")+SUMIFS(Movimientos!$K$1:$K$1325,Movimientos!$C$1:$C$1325,"3628 Thomas Ave",Movimientos!$B$1:$B$1325,"&lt;="&amp;$B99)</f>
        <v>15106.099999999997</v>
      </c>
      <c r="T99" s="24">
        <f>SUMIFS('Saldos Iniciales'!$D:$D,'Saldos Iniciales'!$A:$A,"Green Harbor Trust")+SUMIFS(Movimientos!$K$1:$K$1325,Movimientos!$C$1:$C$1325,"Green Harbor Trust",Movimientos!$B$1:$B$1325,"&lt;="&amp;$B99)</f>
        <v>345</v>
      </c>
      <c r="U99" s="24">
        <f>SUMIFS('Saldos Iniciales'!$D:$D,'Saldos Iniciales'!$A:$A,"Go Blue")+SUMIFS(Movimientos!$K$1:$K$1325,Movimientos!$C$1:$C$1325,"Go Blue",Movimientos!$B$1:$B$1325,"&lt;="&amp;$B99)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LLC",Movimientos!$B$1:$B$1325,"&lt;="&amp;$B99))</f>
        <v>0</v>
      </c>
      <c r="W99" s="24">
        <f>IF(YEAR($B99)*100+MONTH($B99)&lt;--SUBSTITUTE(_xlfn.XLOOKUP("CFT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",Movimientos!$B$1:$B$1325,"&lt;="&amp;$B99))</f>
        <v>0</v>
      </c>
      <c r="AC99" s="24" t="e">
        <f>IF(YEAR($B99)*100+MONTH($B99)&lt;--SUBSTITUTE(_xlfn.XLOOKUP("SYIP",'Saldos Iniciales'!$A:$A,'Saldos Iniciales'!$C:$C),"-",""),0,SUMIFS('Saldos Iniciales'!$D:$D,'Saldos Iniciales'!$A:$A,"SYIP")+SUMIFS(Movimientos!$K$1:$K$1325,Movimientos!$C$1:$C$1325,"SYIP",Movimientos!$B$1:$B$1325,"&lt;="&amp;$B99))</f>
        <v>#N/A</v>
      </c>
      <c r="AD99" s="24">
        <f>IF(YEAR($B99)*100+MONTH($B99)&lt;--SUBSTITUTE(_xlfn.XLOOKUP("Nobe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Aparments",Movimientos!$B$1:$B$1325,"&lt;="&amp;$B99))</f>
        <v>0</v>
      </c>
      <c r="AE99" s="25" t="e">
        <f t="shared" si="4"/>
        <v>#N/A</v>
      </c>
    </row>
    <row r="100" spans="1:31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Group")+SUMIFS(Movimientos!$K$1:$K$1325,Movimientos!$C$1:$C$1325,"CFT Group",Movimientos!$B$1:$B$1325,"&lt;="&amp;$B100)</f>
        <v>1153390.4100000001</v>
      </c>
      <c r="D100" s="24">
        <f>SUMIFS('Saldos Iniciales'!$D:$D,'Saldos Iniciales'!$A:$A,"M1B")+SUMIFS(Movimientos!$K$1:$K$1325,Movimientos!$C$1:$C$1325,"M1B",Movimientos!$B$1:$B$1325,"&lt;="&amp;$B100)</f>
        <v>83211.250000000175</v>
      </c>
      <c r="E100" s="24">
        <f>SUMIFS('Saldos Iniciales'!$D:$D,'Saldos Iniciales'!$A:$A,"Durand")+SUMIFS(Movimientos!$K$1:$K$1325,Movimientos!$C$1:$C$1325,"Durand",Movimientos!$B$1:$B$1325,"&lt;="&amp;$B100)</f>
        <v>1669.89</v>
      </c>
      <c r="F100" s="24">
        <f>SUMIFS('Saldos Iniciales'!$D:$D,'Saldos Iniciales'!$A:$A,"A&amp;M Imports")+SUMIFS(Movimientos!$K$1:$K$1325,Movimientos!$C$1:$C$1325,"A&amp;M Imports",Movimientos!$B$1:$B$1325,"&lt;="&amp;$B100)</f>
        <v>1349451.94</v>
      </c>
      <c r="G100" s="24">
        <f>SUMIFS('Saldos Iniciales'!$D:$D,'Saldos Iniciales'!$A:$A,"SSP Capital")+SUMIFS(Movimientos!$K$1:$K$1325,Movimientos!$C$1:$C$1325,"SSP Capital",Movimientos!$B$1:$B$1325,"&lt;="&amp;$B100)</f>
        <v>2102073.7899999996</v>
      </c>
      <c r="H100" s="24">
        <f>SUMIFS('Saldos Iniciales'!$D:$D,'Saldos Iniciales'!$A:$A,"Cross Family Trust")+SUMIFS(Movimientos!$K$1:$K$1325,Movimientos!$C$1:$C$1325,"Cross Family Trust",Movimientos!$B$1:$B$1325,"&lt;="&amp;$B100)</f>
        <v>171496.38</v>
      </c>
      <c r="I100" s="24">
        <f>SUMIFS('Saldos Iniciales'!$D:$D,'Saldos Iniciales'!$A:$A,"Cross Security Trust")+SUMIFS(Movimientos!$K$1:$K$1325,Movimientos!$C$1:$C$1325,"Cross Security Trust",Movimientos!$B$1:$B$1325,"&lt;="&amp;$B100)</f>
        <v>88067.39</v>
      </c>
      <c r="J100" s="24">
        <f>SUMIFS('Saldos Iniciales'!$D:$D,'Saldos Iniciales'!$A:$A,"Electrama")+SUMIFS(Movimientos!$K$1:$K$1325,Movimientos!$C$1:$C$1325,"Electrama",Movimientos!$B$1:$B$1325,"&lt;="&amp;$B100)</f>
        <v>13270.02</v>
      </c>
      <c r="K100" s="24">
        <f>SUMIFS('Saldos Iniciales'!$D:$D,'Saldos Iniciales'!$A:$A,"Sacred Valley Capital")+SUMIFS(Movimientos!$K$1:$K$1325,Movimientos!$C$1:$C$1325,"Sacred Valley Capital",Movimientos!$B$1:$B$1325,"&lt;="&amp;$B100)</f>
        <v>24.450000000000003</v>
      </c>
      <c r="L100" s="24">
        <f>SUMIFS('Saldos Iniciales'!$D:$D,'Saldos Iniciales'!$A:$A,"YWC Capital")+SUMIFS(Movimientos!$K$1:$K$1325,Movimientos!$C$1:$C$1325,"YWC Capital",Movimientos!$B$1:$B$1325,"&lt;="&amp;$B100)</f>
        <v>2177.87</v>
      </c>
      <c r="M100" s="24">
        <f>SUMIFS('Saldos Iniciales'!$D:$D,'Saldos Iniciales'!$A:$A,"Soweto")+SUMIFS(Movimientos!$K$1:$K$1325,Movimientos!$C$1:$C$1325,"Soweto",Movimientos!$B$1:$B$1325,"&lt;="&amp;$B100)</f>
        <v>1454589.72</v>
      </c>
      <c r="N100" s="24">
        <f>SUMIFS('Saldos Iniciales'!$D:$D,'Saldos Iniciales'!$A:$A,"Green Stone Trust")+SUMIFS(Movimientos!$K$1:$K$1325,Movimientos!$C$1:$C$1325,"Green Stone Trust",Movimientos!$B$1:$B$1325,"&lt;="&amp;$B100)</f>
        <v>1968.99</v>
      </c>
      <c r="O100" s="24">
        <f>SUMIFS('Saldos Iniciales'!$D:$D,'Saldos Iniciales'!$A:$A,"EC Auto")+SUMIFS(Movimientos!$K$1:$K$1325,Movimientos!$C$1:$C$1325,"EC Auto",Movimientos!$B$1:$B$1325,"&lt;="&amp;$B100)</f>
        <v>901.34</v>
      </c>
      <c r="P100" s="24">
        <f>SUMIFS('Saldos Iniciales'!$D:$D,'Saldos Iniciales'!$A:$A,"Arbor Capital Properties")+SUMIFS(Movimientos!$K$1:$K$1325,Movimientos!$C$1:$C$1325,"Arbor Capital Properties",Movimientos!$B$1:$B$1325,"&lt;="&amp;$B100)</f>
        <v>1396.08</v>
      </c>
      <c r="Q100" s="24">
        <f>SUMIFS('Saldos Iniciales'!$D:$D,'Saldos Iniciales'!$A:$A,"2515 Overbrook")+SUMIFS(Movimientos!$K$1:$K$1325,Movimientos!$C$1:$C$1325,"2515 Overbrook",Movimientos!$B$1:$B$1325,"&lt;="&amp;$B100)</f>
        <v>11259.639999999961</v>
      </c>
      <c r="R100" s="24">
        <f>SUMIFS('Saldos Iniciales'!$D:$D,'Saldos Iniciales'!$A:$A,"112 Florida Ave")+SUMIFS(Movimientos!$K$1:$K$1325,Movimientos!$C$1:$C$1325,"112 Florida Ave",Movimientos!$B$1:$B$1325,"&lt;="&amp;$B100)</f>
        <v>8724.1700000000037</v>
      </c>
      <c r="S100" s="24">
        <f>SUMIFS('Saldos Iniciales'!$D:$D,'Saldos Iniciales'!$A:$A,"3628 Thomas Ave")+SUMIFS(Movimientos!$K$1:$K$1325,Movimientos!$C$1:$C$1325,"3628 Thomas Ave",Movimientos!$B$1:$B$1325,"&lt;="&amp;$B100)</f>
        <v>20106.099999999999</v>
      </c>
      <c r="T100" s="24">
        <f>SUMIFS('Saldos Iniciales'!$D:$D,'Saldos Iniciales'!$A:$A,"Green Harbor Trust")+SUMIFS(Movimientos!$K$1:$K$1325,Movimientos!$C$1:$C$1325,"Green Harbor Trust",Movimientos!$B$1:$B$1325,"&lt;="&amp;$B100)</f>
        <v>345</v>
      </c>
      <c r="U100" s="24">
        <f>SUMIFS('Saldos Iniciales'!$D:$D,'Saldos Iniciales'!$A:$A,"Go Blue")+SUMIFS(Movimientos!$K$1:$K$1325,Movimientos!$C$1:$C$1325,"Go Blue",Movimientos!$B$1:$B$1325,"&lt;="&amp;$B100)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LLC",Movimientos!$B$1:$B$1325,"&lt;="&amp;$B100))</f>
        <v>0</v>
      </c>
      <c r="W100" s="24">
        <f>IF(YEAR($B100)*100+MONTH($B100)&lt;--SUBSTITUTE(_xlfn.XLOOKUP("CFT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",Movimientos!$B$1:$B$1325,"&lt;="&amp;$B100))</f>
        <v>0</v>
      </c>
      <c r="AC100" s="24" t="e">
        <f>IF(YEAR($B100)*100+MONTH($B100)&lt;--SUBSTITUTE(_xlfn.XLOOKUP("SYIP",'Saldos Iniciales'!$A:$A,'Saldos Iniciales'!$C:$C),"-",""),0,SUMIFS('Saldos Iniciales'!$D:$D,'Saldos Iniciales'!$A:$A,"SYIP")+SUMIFS(Movimientos!$K$1:$K$1325,Movimientos!$C$1:$C$1325,"SYIP",Movimientos!$B$1:$B$1325,"&lt;="&amp;$B100))</f>
        <v>#N/A</v>
      </c>
      <c r="AD100" s="24">
        <f>IF(YEAR($B100)*100+MONTH($B100)&lt;--SUBSTITUTE(_xlfn.XLOOKUP("Nobe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Aparments",Movimientos!$B$1:$B$1325,"&lt;="&amp;$B100))</f>
        <v>0</v>
      </c>
      <c r="AE100" s="25" t="e">
        <f t="shared" si="4"/>
        <v>#N/A</v>
      </c>
    </row>
    <row r="101" spans="1:31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Group")+SUMIFS(Movimientos!$K$1:$K$1325,Movimientos!$C$1:$C$1325,"CFT Group",Movimientos!$B$1:$B$1325,"&lt;="&amp;$B101)</f>
        <v>1153390.4100000001</v>
      </c>
      <c r="D101" s="24">
        <f>SUMIFS('Saldos Iniciales'!$D:$D,'Saldos Iniciales'!$A:$A,"M1B")+SUMIFS(Movimientos!$K$1:$K$1325,Movimientos!$C$1:$C$1325,"M1B",Movimientos!$B$1:$B$1325,"&lt;="&amp;$B101)</f>
        <v>83211.250000000175</v>
      </c>
      <c r="E101" s="24">
        <f>SUMIFS('Saldos Iniciales'!$D:$D,'Saldos Iniciales'!$A:$A,"Durand")+SUMIFS(Movimientos!$K$1:$K$1325,Movimientos!$C$1:$C$1325,"Durand",Movimientos!$B$1:$B$1325,"&lt;="&amp;$B101)</f>
        <v>1669.89</v>
      </c>
      <c r="F101" s="24">
        <f>SUMIFS('Saldos Iniciales'!$D:$D,'Saldos Iniciales'!$A:$A,"A&amp;M Imports")+SUMIFS(Movimientos!$K$1:$K$1325,Movimientos!$C$1:$C$1325,"A&amp;M Imports",Movimientos!$B$1:$B$1325,"&lt;="&amp;$B101)</f>
        <v>1349451.94</v>
      </c>
      <c r="G101" s="24">
        <f>SUMIFS('Saldos Iniciales'!$D:$D,'Saldos Iniciales'!$A:$A,"SSP Capital")+SUMIFS(Movimientos!$K$1:$K$1325,Movimientos!$C$1:$C$1325,"SSP Capital",Movimientos!$B$1:$B$1325,"&lt;="&amp;$B101)</f>
        <v>2102073.7899999996</v>
      </c>
      <c r="H101" s="24">
        <f>SUMIFS('Saldos Iniciales'!$D:$D,'Saldos Iniciales'!$A:$A,"Cross Family Trust")+SUMIFS(Movimientos!$K$1:$K$1325,Movimientos!$C$1:$C$1325,"Cross Family Trust",Movimientos!$B$1:$B$1325,"&lt;="&amp;$B101)</f>
        <v>171496.38</v>
      </c>
      <c r="I101" s="24">
        <f>SUMIFS('Saldos Iniciales'!$D:$D,'Saldos Iniciales'!$A:$A,"Cross Security Trust")+SUMIFS(Movimientos!$K$1:$K$1325,Movimientos!$C$1:$C$1325,"Cross Security Trust",Movimientos!$B$1:$B$1325,"&lt;="&amp;$B101)</f>
        <v>88067.39</v>
      </c>
      <c r="J101" s="24">
        <f>SUMIFS('Saldos Iniciales'!$D:$D,'Saldos Iniciales'!$A:$A,"Electrama")+SUMIFS(Movimientos!$K$1:$K$1325,Movimientos!$C$1:$C$1325,"Electrama",Movimientos!$B$1:$B$1325,"&lt;="&amp;$B101)</f>
        <v>13270.02</v>
      </c>
      <c r="K101" s="24">
        <f>SUMIFS('Saldos Iniciales'!$D:$D,'Saldos Iniciales'!$A:$A,"Sacred Valley Capital")+SUMIFS(Movimientos!$K$1:$K$1325,Movimientos!$C$1:$C$1325,"Sacred Valley Capital",Movimientos!$B$1:$B$1325,"&lt;="&amp;$B101)</f>
        <v>24.450000000000003</v>
      </c>
      <c r="L101" s="24">
        <f>SUMIFS('Saldos Iniciales'!$D:$D,'Saldos Iniciales'!$A:$A,"YWC Capital")+SUMIFS(Movimientos!$K$1:$K$1325,Movimientos!$C$1:$C$1325,"YWC Capital",Movimientos!$B$1:$B$1325,"&lt;="&amp;$B101)</f>
        <v>2177.87</v>
      </c>
      <c r="M101" s="24">
        <f>SUMIFS('Saldos Iniciales'!$D:$D,'Saldos Iniciales'!$A:$A,"Soweto")+SUMIFS(Movimientos!$K$1:$K$1325,Movimientos!$C$1:$C$1325,"Soweto",Movimientos!$B$1:$B$1325,"&lt;="&amp;$B101)</f>
        <v>1454589.72</v>
      </c>
      <c r="N101" s="24">
        <f>SUMIFS('Saldos Iniciales'!$D:$D,'Saldos Iniciales'!$A:$A,"Green Stone Trust")+SUMIFS(Movimientos!$K$1:$K$1325,Movimientos!$C$1:$C$1325,"Green Stone Trust",Movimientos!$B$1:$B$1325,"&lt;="&amp;$B101)</f>
        <v>1968.99</v>
      </c>
      <c r="O101" s="24">
        <f>SUMIFS('Saldos Iniciales'!$D:$D,'Saldos Iniciales'!$A:$A,"EC Auto")+SUMIFS(Movimientos!$K$1:$K$1325,Movimientos!$C$1:$C$1325,"EC Auto",Movimientos!$B$1:$B$1325,"&lt;="&amp;$B101)</f>
        <v>901.34</v>
      </c>
      <c r="P101" s="24">
        <f>SUMIFS('Saldos Iniciales'!$D:$D,'Saldos Iniciales'!$A:$A,"Arbor Capital Properties")+SUMIFS(Movimientos!$K$1:$K$1325,Movimientos!$C$1:$C$1325,"Arbor Capital Properties",Movimientos!$B$1:$B$1325,"&lt;="&amp;$B101)</f>
        <v>1396.08</v>
      </c>
      <c r="Q101" s="24">
        <f>SUMIFS('Saldos Iniciales'!$D:$D,'Saldos Iniciales'!$A:$A,"2515 Overbrook")+SUMIFS(Movimientos!$K$1:$K$1325,Movimientos!$C$1:$C$1325,"2515 Overbrook",Movimientos!$B$1:$B$1325,"&lt;="&amp;$B101)</f>
        <v>11259.639999999961</v>
      </c>
      <c r="R101" s="24">
        <f>SUMIFS('Saldos Iniciales'!$D:$D,'Saldos Iniciales'!$A:$A,"112 Florida Ave")+SUMIFS(Movimientos!$K$1:$K$1325,Movimientos!$C$1:$C$1325,"112 Florida Ave",Movimientos!$B$1:$B$1325,"&lt;="&amp;$B101)</f>
        <v>8724.1700000000037</v>
      </c>
      <c r="S101" s="24">
        <f>SUMIFS('Saldos Iniciales'!$D:$D,'Saldos Iniciales'!$A:$A,"3628 Thomas Ave")+SUMIFS(Movimientos!$K$1:$K$1325,Movimientos!$C$1:$C$1325,"3628 Thomas Ave",Movimientos!$B$1:$B$1325,"&lt;="&amp;$B101)</f>
        <v>20106.099999999999</v>
      </c>
      <c r="T101" s="24">
        <f>SUMIFS('Saldos Iniciales'!$D:$D,'Saldos Iniciales'!$A:$A,"Green Harbor Trust")+SUMIFS(Movimientos!$K$1:$K$1325,Movimientos!$C$1:$C$1325,"Green Harbor Trust",Movimientos!$B$1:$B$1325,"&lt;="&amp;$B101)</f>
        <v>345</v>
      </c>
      <c r="U101" s="24">
        <f>SUMIFS('Saldos Iniciales'!$D:$D,'Saldos Iniciales'!$A:$A,"Go Blue")+SUMIFS(Movimientos!$K$1:$K$1325,Movimientos!$C$1:$C$1325,"Go Blue",Movimientos!$B$1:$B$1325,"&lt;="&amp;$B101)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LLC",Movimientos!$B$1:$B$1325,"&lt;="&amp;$B101))</f>
        <v>0</v>
      </c>
      <c r="W101" s="24">
        <f>IF(YEAR($B101)*100+MONTH($B101)&lt;--SUBSTITUTE(_xlfn.XLOOKUP("CFT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",Movimientos!$B$1:$B$1325,"&lt;="&amp;$B101))</f>
        <v>0</v>
      </c>
      <c r="AC101" s="24" t="e">
        <f>IF(YEAR($B101)*100+MONTH($B101)&lt;--SUBSTITUTE(_xlfn.XLOOKUP("SYIP",'Saldos Iniciales'!$A:$A,'Saldos Iniciales'!$C:$C),"-",""),0,SUMIFS('Saldos Iniciales'!$D:$D,'Saldos Iniciales'!$A:$A,"SYIP")+SUMIFS(Movimientos!$K$1:$K$1325,Movimientos!$C$1:$C$1325,"SYIP",Movimientos!$B$1:$B$1325,"&lt;="&amp;$B101))</f>
        <v>#N/A</v>
      </c>
      <c r="AD101" s="24">
        <f>IF(YEAR($B101)*100+MONTH($B101)&lt;--SUBSTITUTE(_xlfn.XLOOKUP("Nobe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Aparments",Movimientos!$B$1:$B$1325,"&lt;="&amp;$B101))</f>
        <v>0</v>
      </c>
      <c r="AE101" s="25" t="e">
        <f t="shared" si="4"/>
        <v>#N/A</v>
      </c>
    </row>
    <row r="102" spans="1:31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Group")+SUMIFS(Movimientos!$K$1:$K$1325,Movimientos!$C$1:$C$1325,"CFT Group",Movimientos!$B$1:$B$1325,"&lt;="&amp;$B102)</f>
        <v>1153390.4100000001</v>
      </c>
      <c r="D102" s="24">
        <f>SUMIFS('Saldos Iniciales'!$D:$D,'Saldos Iniciales'!$A:$A,"M1B")+SUMIFS(Movimientos!$K$1:$K$1325,Movimientos!$C$1:$C$1325,"M1B",Movimientos!$B$1:$B$1325,"&lt;="&amp;$B102)</f>
        <v>83211.250000000175</v>
      </c>
      <c r="E102" s="24">
        <f>SUMIFS('Saldos Iniciales'!$D:$D,'Saldos Iniciales'!$A:$A,"Durand")+SUMIFS(Movimientos!$K$1:$K$1325,Movimientos!$C$1:$C$1325,"Durand",Movimientos!$B$1:$B$1325,"&lt;="&amp;$B102)</f>
        <v>1669.89</v>
      </c>
      <c r="F102" s="24">
        <f>SUMIFS('Saldos Iniciales'!$D:$D,'Saldos Iniciales'!$A:$A,"A&amp;M Imports")+SUMIFS(Movimientos!$K$1:$K$1325,Movimientos!$C$1:$C$1325,"A&amp;M Imports",Movimientos!$B$1:$B$1325,"&lt;="&amp;$B102)</f>
        <v>1349451.94</v>
      </c>
      <c r="G102" s="24">
        <f>SUMIFS('Saldos Iniciales'!$D:$D,'Saldos Iniciales'!$A:$A,"SSP Capital")+SUMIFS(Movimientos!$K$1:$K$1325,Movimientos!$C$1:$C$1325,"SSP Capital",Movimientos!$B$1:$B$1325,"&lt;="&amp;$B102)</f>
        <v>2102073.7899999996</v>
      </c>
      <c r="H102" s="24">
        <f>SUMIFS('Saldos Iniciales'!$D:$D,'Saldos Iniciales'!$A:$A,"Cross Family Trust")+SUMIFS(Movimientos!$K$1:$K$1325,Movimientos!$C$1:$C$1325,"Cross Family Trust",Movimientos!$B$1:$B$1325,"&lt;="&amp;$B102)</f>
        <v>171496.38</v>
      </c>
      <c r="I102" s="24">
        <f>SUMIFS('Saldos Iniciales'!$D:$D,'Saldos Iniciales'!$A:$A,"Cross Security Trust")+SUMIFS(Movimientos!$K$1:$K$1325,Movimientos!$C$1:$C$1325,"Cross Security Trust",Movimientos!$B$1:$B$1325,"&lt;="&amp;$B102)</f>
        <v>88067.39</v>
      </c>
      <c r="J102" s="24">
        <f>SUMIFS('Saldos Iniciales'!$D:$D,'Saldos Iniciales'!$A:$A,"Electrama")+SUMIFS(Movimientos!$K$1:$K$1325,Movimientos!$C$1:$C$1325,"Electrama",Movimientos!$B$1:$B$1325,"&lt;="&amp;$B102)</f>
        <v>13270.02</v>
      </c>
      <c r="K102" s="24">
        <f>SUMIFS('Saldos Iniciales'!$D:$D,'Saldos Iniciales'!$A:$A,"Sacred Valley Capital")+SUMIFS(Movimientos!$K$1:$K$1325,Movimientos!$C$1:$C$1325,"Sacred Valley Capital",Movimientos!$B$1:$B$1325,"&lt;="&amp;$B102)</f>
        <v>24.450000000000003</v>
      </c>
      <c r="L102" s="24">
        <f>SUMIFS('Saldos Iniciales'!$D:$D,'Saldos Iniciales'!$A:$A,"YWC Capital")+SUMIFS(Movimientos!$K$1:$K$1325,Movimientos!$C$1:$C$1325,"YWC Capital",Movimientos!$B$1:$B$1325,"&lt;="&amp;$B102)</f>
        <v>2177.87</v>
      </c>
      <c r="M102" s="24">
        <f>SUMIFS('Saldos Iniciales'!$D:$D,'Saldos Iniciales'!$A:$A,"Soweto")+SUMIFS(Movimientos!$K$1:$K$1325,Movimientos!$C$1:$C$1325,"Soweto",Movimientos!$B$1:$B$1325,"&lt;="&amp;$B102)</f>
        <v>1454589.72</v>
      </c>
      <c r="N102" s="24">
        <f>SUMIFS('Saldos Iniciales'!$D:$D,'Saldos Iniciales'!$A:$A,"Green Stone Trust")+SUMIFS(Movimientos!$K$1:$K$1325,Movimientos!$C$1:$C$1325,"Green Stone Trust",Movimientos!$B$1:$B$1325,"&lt;="&amp;$B102)</f>
        <v>1968.99</v>
      </c>
      <c r="O102" s="24">
        <f>SUMIFS('Saldos Iniciales'!$D:$D,'Saldos Iniciales'!$A:$A,"EC Auto")+SUMIFS(Movimientos!$K$1:$K$1325,Movimientos!$C$1:$C$1325,"EC Auto",Movimientos!$B$1:$B$1325,"&lt;="&amp;$B102)</f>
        <v>901.34</v>
      </c>
      <c r="P102" s="24">
        <f>SUMIFS('Saldos Iniciales'!$D:$D,'Saldos Iniciales'!$A:$A,"Arbor Capital Properties")+SUMIFS(Movimientos!$K$1:$K$1325,Movimientos!$C$1:$C$1325,"Arbor Capital Properties",Movimientos!$B$1:$B$1325,"&lt;="&amp;$B102)</f>
        <v>1396.08</v>
      </c>
      <c r="Q102" s="24">
        <f>SUMIFS('Saldos Iniciales'!$D:$D,'Saldos Iniciales'!$A:$A,"2515 Overbrook")+SUMIFS(Movimientos!$K$1:$K$1325,Movimientos!$C$1:$C$1325,"2515 Overbrook",Movimientos!$B$1:$B$1325,"&lt;="&amp;$B102)</f>
        <v>11259.639999999961</v>
      </c>
      <c r="R102" s="24">
        <f>SUMIFS('Saldos Iniciales'!$D:$D,'Saldos Iniciales'!$A:$A,"112 Florida Ave")+SUMIFS(Movimientos!$K$1:$K$1325,Movimientos!$C$1:$C$1325,"112 Florida Ave",Movimientos!$B$1:$B$1325,"&lt;="&amp;$B102)</f>
        <v>8724.1700000000037</v>
      </c>
      <c r="S102" s="24">
        <f>SUMIFS('Saldos Iniciales'!$D:$D,'Saldos Iniciales'!$A:$A,"3628 Thomas Ave")+SUMIFS(Movimientos!$K$1:$K$1325,Movimientos!$C$1:$C$1325,"3628 Thomas Ave",Movimientos!$B$1:$B$1325,"&lt;="&amp;$B102)</f>
        <v>20106.099999999999</v>
      </c>
      <c r="T102" s="24">
        <f>SUMIFS('Saldos Iniciales'!$D:$D,'Saldos Iniciales'!$A:$A,"Green Harbor Trust")+SUMIFS(Movimientos!$K$1:$K$1325,Movimientos!$C$1:$C$1325,"Green Harbor Trust",Movimientos!$B$1:$B$1325,"&lt;="&amp;$B102)</f>
        <v>345</v>
      </c>
      <c r="U102" s="24">
        <f>SUMIFS('Saldos Iniciales'!$D:$D,'Saldos Iniciales'!$A:$A,"Go Blue")+SUMIFS(Movimientos!$K$1:$K$1325,Movimientos!$C$1:$C$1325,"Go Blue",Movimientos!$B$1:$B$1325,"&lt;="&amp;$B102)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LLC",Movimientos!$B$1:$B$1325,"&lt;="&amp;$B102))</f>
        <v>0</v>
      </c>
      <c r="W102" s="24">
        <f>IF(YEAR($B102)*100+MONTH($B102)&lt;--SUBSTITUTE(_xlfn.XLOOKUP("CFT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",Movimientos!$B$1:$B$1325,"&lt;="&amp;$B102))</f>
        <v>0</v>
      </c>
      <c r="AC102" s="24" t="e">
        <f>IF(YEAR($B102)*100+MONTH($B102)&lt;--SUBSTITUTE(_xlfn.XLOOKUP("SYIP",'Saldos Iniciales'!$A:$A,'Saldos Iniciales'!$C:$C),"-",""),0,SUMIFS('Saldos Iniciales'!$D:$D,'Saldos Iniciales'!$A:$A,"SYIP")+SUMIFS(Movimientos!$K$1:$K$1325,Movimientos!$C$1:$C$1325,"SYIP",Movimientos!$B$1:$B$1325,"&lt;="&amp;$B102))</f>
        <v>#N/A</v>
      </c>
      <c r="AD102" s="24">
        <f>IF(YEAR($B102)*100+MONTH($B102)&lt;--SUBSTITUTE(_xlfn.XLOOKUP("Nobe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Aparments",Movimientos!$B$1:$B$1325,"&lt;="&amp;$B102))</f>
        <v>0</v>
      </c>
      <c r="AE102" s="25" t="e">
        <f t="shared" si="4"/>
        <v>#N/A</v>
      </c>
    </row>
    <row r="103" spans="1:31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Group")+SUMIFS(Movimientos!$K$1:$K$1325,Movimientos!$C$1:$C$1325,"CFT Group",Movimientos!$B$1:$B$1325,"&lt;="&amp;$B103)</f>
        <v>1260076.9800000002</v>
      </c>
      <c r="D103" s="24">
        <f>SUMIFS('Saldos Iniciales'!$D:$D,'Saldos Iniciales'!$A:$A,"M1B")+SUMIFS(Movimientos!$K$1:$K$1325,Movimientos!$C$1:$C$1325,"M1B",Movimientos!$B$1:$B$1325,"&lt;="&amp;$B103)</f>
        <v>83211.250000000175</v>
      </c>
      <c r="E103" s="24">
        <f>SUMIFS('Saldos Iniciales'!$D:$D,'Saldos Iniciales'!$A:$A,"Durand")+SUMIFS(Movimientos!$K$1:$K$1325,Movimientos!$C$1:$C$1325,"Durand",Movimientos!$B$1:$B$1325,"&lt;="&amp;$B103)</f>
        <v>1669.89</v>
      </c>
      <c r="F103" s="24">
        <f>SUMIFS('Saldos Iniciales'!$D:$D,'Saldos Iniciales'!$A:$A,"A&amp;M Imports")+SUMIFS(Movimientos!$K$1:$K$1325,Movimientos!$C$1:$C$1325,"A&amp;M Imports",Movimientos!$B$1:$B$1325,"&lt;="&amp;$B103)</f>
        <v>1349451.94</v>
      </c>
      <c r="G103" s="24">
        <f>SUMIFS('Saldos Iniciales'!$D:$D,'Saldos Iniciales'!$A:$A,"SSP Capital")+SUMIFS(Movimientos!$K$1:$K$1325,Movimientos!$C$1:$C$1325,"SSP Capital",Movimientos!$B$1:$B$1325,"&lt;="&amp;$B103)</f>
        <v>2098801.8999999994</v>
      </c>
      <c r="H103" s="24">
        <f>SUMIFS('Saldos Iniciales'!$D:$D,'Saldos Iniciales'!$A:$A,"Cross Family Trust")+SUMIFS(Movimientos!$K$1:$K$1325,Movimientos!$C$1:$C$1325,"Cross Family Trust",Movimientos!$B$1:$B$1325,"&lt;="&amp;$B103)</f>
        <v>171496.38</v>
      </c>
      <c r="I103" s="24">
        <f>SUMIFS('Saldos Iniciales'!$D:$D,'Saldos Iniciales'!$A:$A,"Cross Security Trust")+SUMIFS(Movimientos!$K$1:$K$1325,Movimientos!$C$1:$C$1325,"Cross Security Trust",Movimientos!$B$1:$B$1325,"&lt;="&amp;$B103)</f>
        <v>88067.39</v>
      </c>
      <c r="J103" s="24">
        <f>SUMIFS('Saldos Iniciales'!$D:$D,'Saldos Iniciales'!$A:$A,"Electrama")+SUMIFS(Movimientos!$K$1:$K$1325,Movimientos!$C$1:$C$1325,"Electrama",Movimientos!$B$1:$B$1325,"&lt;="&amp;$B103)</f>
        <v>13270.02</v>
      </c>
      <c r="K103" s="24">
        <f>SUMIFS('Saldos Iniciales'!$D:$D,'Saldos Iniciales'!$A:$A,"Sacred Valley Capital")+SUMIFS(Movimientos!$K$1:$K$1325,Movimientos!$C$1:$C$1325,"Sacred Valley Capital",Movimientos!$B$1:$B$1325,"&lt;="&amp;$B103)</f>
        <v>24.450000000000003</v>
      </c>
      <c r="L103" s="24">
        <f>SUMIFS('Saldos Iniciales'!$D:$D,'Saldos Iniciales'!$A:$A,"YWC Capital")+SUMIFS(Movimientos!$K$1:$K$1325,Movimientos!$C$1:$C$1325,"YWC Capital",Movimientos!$B$1:$B$1325,"&lt;="&amp;$B103)</f>
        <v>2177.87</v>
      </c>
      <c r="M103" s="24">
        <f>SUMIFS('Saldos Iniciales'!$D:$D,'Saldos Iniciales'!$A:$A,"Soweto")+SUMIFS(Movimientos!$K$1:$K$1325,Movimientos!$C$1:$C$1325,"Soweto",Movimientos!$B$1:$B$1325,"&lt;="&amp;$B103)</f>
        <v>1454589.72</v>
      </c>
      <c r="N103" s="24">
        <f>SUMIFS('Saldos Iniciales'!$D:$D,'Saldos Iniciales'!$A:$A,"Green Stone Trust")+SUMIFS(Movimientos!$K$1:$K$1325,Movimientos!$C$1:$C$1325,"Green Stone Trust",Movimientos!$B$1:$B$1325,"&lt;="&amp;$B103)</f>
        <v>1968.99</v>
      </c>
      <c r="O103" s="24">
        <f>SUMIFS('Saldos Iniciales'!$D:$D,'Saldos Iniciales'!$A:$A,"EC Auto")+SUMIFS(Movimientos!$K$1:$K$1325,Movimientos!$C$1:$C$1325,"EC Auto",Movimientos!$B$1:$B$1325,"&lt;="&amp;$B103)</f>
        <v>901.34</v>
      </c>
      <c r="P103" s="24">
        <f>SUMIFS('Saldos Iniciales'!$D:$D,'Saldos Iniciales'!$A:$A,"Arbor Capital Properties")+SUMIFS(Movimientos!$K$1:$K$1325,Movimientos!$C$1:$C$1325,"Arbor Capital Properties",Movimientos!$B$1:$B$1325,"&lt;="&amp;$B103)</f>
        <v>1396.08</v>
      </c>
      <c r="Q103" s="24">
        <f>SUMIFS('Saldos Iniciales'!$D:$D,'Saldos Iniciales'!$A:$A,"2515 Overbrook")+SUMIFS(Movimientos!$K$1:$K$1325,Movimientos!$C$1:$C$1325,"2515 Overbrook",Movimientos!$B$1:$B$1325,"&lt;="&amp;$B103)</f>
        <v>3700.7099999999591</v>
      </c>
      <c r="R103" s="24">
        <f>SUMIFS('Saldos Iniciales'!$D:$D,'Saldos Iniciales'!$A:$A,"112 Florida Ave")+SUMIFS(Movimientos!$K$1:$K$1325,Movimientos!$C$1:$C$1325,"112 Florida Ave",Movimientos!$B$1:$B$1325,"&lt;="&amp;$B103)</f>
        <v>8724.1700000000037</v>
      </c>
      <c r="S103" s="24">
        <f>SUMIFS('Saldos Iniciales'!$D:$D,'Saldos Iniciales'!$A:$A,"3628 Thomas Ave")+SUMIFS(Movimientos!$K$1:$K$1325,Movimientos!$C$1:$C$1325,"3628 Thomas Ave",Movimientos!$B$1:$B$1325,"&lt;="&amp;$B103)</f>
        <v>20106.099999999999</v>
      </c>
      <c r="T103" s="24">
        <f>SUMIFS('Saldos Iniciales'!$D:$D,'Saldos Iniciales'!$A:$A,"Green Harbor Trust")+SUMIFS(Movimientos!$K$1:$K$1325,Movimientos!$C$1:$C$1325,"Green Harbor Trust",Movimientos!$B$1:$B$1325,"&lt;="&amp;$B103)</f>
        <v>345</v>
      </c>
      <c r="U103" s="24">
        <f>SUMIFS('Saldos Iniciales'!$D:$D,'Saldos Iniciales'!$A:$A,"Go Blue")+SUMIFS(Movimientos!$K$1:$K$1325,Movimientos!$C$1:$C$1325,"Go Blue",Movimientos!$B$1:$B$1325,"&lt;="&amp;$B103)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LLC",Movimientos!$B$1:$B$1325,"&lt;="&amp;$B103))</f>
        <v>0</v>
      </c>
      <c r="W103" s="24">
        <f>IF(YEAR($B103)*100+MONTH($B103)&lt;--SUBSTITUTE(_xlfn.XLOOKUP("CFT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",Movimientos!$B$1:$B$1325,"&lt;="&amp;$B103))</f>
        <v>0</v>
      </c>
      <c r="AC103" s="24" t="e">
        <f>IF(YEAR($B103)*100+MONTH($B103)&lt;--SUBSTITUTE(_xlfn.XLOOKUP("SYIP",'Saldos Iniciales'!$A:$A,'Saldos Iniciales'!$C:$C),"-",""),0,SUMIFS('Saldos Iniciales'!$D:$D,'Saldos Iniciales'!$A:$A,"SYIP")+SUMIFS(Movimientos!$K$1:$K$1325,Movimientos!$C$1:$C$1325,"SYIP",Movimientos!$B$1:$B$1325,"&lt;="&amp;$B103))</f>
        <v>#N/A</v>
      </c>
      <c r="AD103" s="24">
        <f>IF(YEAR($B103)*100+MONTH($B103)&lt;--SUBSTITUTE(_xlfn.XLOOKUP("Nobe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Aparments",Movimientos!$B$1:$B$1325,"&lt;="&amp;$B103))</f>
        <v>0</v>
      </c>
      <c r="AE103" s="25" t="e">
        <f t="shared" si="4"/>
        <v>#N/A</v>
      </c>
    </row>
    <row r="104" spans="1:31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Group")+SUMIFS(Movimientos!$K$1:$K$1325,Movimientos!$C$1:$C$1325,"CFT Group",Movimientos!$B$1:$B$1325,"&lt;="&amp;$B104)</f>
        <v>1260076.9800000002</v>
      </c>
      <c r="D104" s="24">
        <f>SUMIFS('Saldos Iniciales'!$D:$D,'Saldos Iniciales'!$A:$A,"M1B")+SUMIFS(Movimientos!$K$1:$K$1325,Movimientos!$C$1:$C$1325,"M1B",Movimientos!$B$1:$B$1325,"&lt;="&amp;$B104)</f>
        <v>83211.250000000175</v>
      </c>
      <c r="E104" s="24">
        <f>SUMIFS('Saldos Iniciales'!$D:$D,'Saldos Iniciales'!$A:$A,"Durand")+SUMIFS(Movimientos!$K$1:$K$1325,Movimientos!$C$1:$C$1325,"Durand",Movimientos!$B$1:$B$1325,"&lt;="&amp;$B104)</f>
        <v>1669.89</v>
      </c>
      <c r="F104" s="24">
        <f>SUMIFS('Saldos Iniciales'!$D:$D,'Saldos Iniciales'!$A:$A,"A&amp;M Imports")+SUMIFS(Movimientos!$K$1:$K$1325,Movimientos!$C$1:$C$1325,"A&amp;M Imports",Movimientos!$B$1:$B$1325,"&lt;="&amp;$B104)</f>
        <v>1349451.94</v>
      </c>
      <c r="G104" s="24">
        <f>SUMIFS('Saldos Iniciales'!$D:$D,'Saldos Iniciales'!$A:$A,"SSP Capital")+SUMIFS(Movimientos!$K$1:$K$1325,Movimientos!$C$1:$C$1325,"SSP Capital",Movimientos!$B$1:$B$1325,"&lt;="&amp;$B104)</f>
        <v>1622920.8199999996</v>
      </c>
      <c r="H104" s="24">
        <f>SUMIFS('Saldos Iniciales'!$D:$D,'Saldos Iniciales'!$A:$A,"Cross Family Trust")+SUMIFS(Movimientos!$K$1:$K$1325,Movimientos!$C$1:$C$1325,"Cross Family Trust",Movimientos!$B$1:$B$1325,"&lt;="&amp;$B104)</f>
        <v>171496.38</v>
      </c>
      <c r="I104" s="24">
        <f>SUMIFS('Saldos Iniciales'!$D:$D,'Saldos Iniciales'!$A:$A,"Cross Security Trust")+SUMIFS(Movimientos!$K$1:$K$1325,Movimientos!$C$1:$C$1325,"Cross Security Trust",Movimientos!$B$1:$B$1325,"&lt;="&amp;$B104)</f>
        <v>88067.39</v>
      </c>
      <c r="J104" s="24">
        <f>SUMIFS('Saldos Iniciales'!$D:$D,'Saldos Iniciales'!$A:$A,"Electrama")+SUMIFS(Movimientos!$K$1:$K$1325,Movimientos!$C$1:$C$1325,"Electrama",Movimientos!$B$1:$B$1325,"&lt;="&amp;$B104)</f>
        <v>13270.02</v>
      </c>
      <c r="K104" s="24">
        <f>SUMIFS('Saldos Iniciales'!$D:$D,'Saldos Iniciales'!$A:$A,"Sacred Valley Capital")+SUMIFS(Movimientos!$K$1:$K$1325,Movimientos!$C$1:$C$1325,"Sacred Valley Capital",Movimientos!$B$1:$B$1325,"&lt;="&amp;$B104)</f>
        <v>24.450000000000003</v>
      </c>
      <c r="L104" s="24">
        <f>SUMIFS('Saldos Iniciales'!$D:$D,'Saldos Iniciales'!$A:$A,"YWC Capital")+SUMIFS(Movimientos!$K$1:$K$1325,Movimientos!$C$1:$C$1325,"YWC Capital",Movimientos!$B$1:$B$1325,"&lt;="&amp;$B104)</f>
        <v>2177.87</v>
      </c>
      <c r="M104" s="24">
        <f>SUMIFS('Saldos Iniciales'!$D:$D,'Saldos Iniciales'!$A:$A,"Soweto")+SUMIFS(Movimientos!$K$1:$K$1325,Movimientos!$C$1:$C$1325,"Soweto",Movimientos!$B$1:$B$1325,"&lt;="&amp;$B104)</f>
        <v>1454589.72</v>
      </c>
      <c r="N104" s="24">
        <f>SUMIFS('Saldos Iniciales'!$D:$D,'Saldos Iniciales'!$A:$A,"Green Stone Trust")+SUMIFS(Movimientos!$K$1:$K$1325,Movimientos!$C$1:$C$1325,"Green Stone Trust",Movimientos!$B$1:$B$1325,"&lt;="&amp;$B104)</f>
        <v>1968.99</v>
      </c>
      <c r="O104" s="24">
        <f>SUMIFS('Saldos Iniciales'!$D:$D,'Saldos Iniciales'!$A:$A,"EC Auto")+SUMIFS(Movimientos!$K$1:$K$1325,Movimientos!$C$1:$C$1325,"EC Auto",Movimientos!$B$1:$B$1325,"&lt;="&amp;$B104)</f>
        <v>901.34</v>
      </c>
      <c r="P104" s="24">
        <f>SUMIFS('Saldos Iniciales'!$D:$D,'Saldos Iniciales'!$A:$A,"Arbor Capital Properties")+SUMIFS(Movimientos!$K$1:$K$1325,Movimientos!$C$1:$C$1325,"Arbor Capital Properties",Movimientos!$B$1:$B$1325,"&lt;="&amp;$B104)</f>
        <v>1396.08</v>
      </c>
      <c r="Q104" s="24">
        <f>SUMIFS('Saldos Iniciales'!$D:$D,'Saldos Iniciales'!$A:$A,"2515 Overbrook")+SUMIFS(Movimientos!$K$1:$K$1325,Movimientos!$C$1:$C$1325,"2515 Overbrook",Movimientos!$B$1:$B$1325,"&lt;="&amp;$B104)</f>
        <v>3700.7099999999591</v>
      </c>
      <c r="R104" s="24">
        <f>SUMIFS('Saldos Iniciales'!$D:$D,'Saldos Iniciales'!$A:$A,"112 Florida Ave")+SUMIFS(Movimientos!$K$1:$K$1325,Movimientos!$C$1:$C$1325,"112 Florida Ave",Movimientos!$B$1:$B$1325,"&lt;="&amp;$B104)</f>
        <v>8724.1700000000037</v>
      </c>
      <c r="S104" s="24">
        <f>SUMIFS('Saldos Iniciales'!$D:$D,'Saldos Iniciales'!$A:$A,"3628 Thomas Ave")+SUMIFS(Movimientos!$K$1:$K$1325,Movimientos!$C$1:$C$1325,"3628 Thomas Ave",Movimientos!$B$1:$B$1325,"&lt;="&amp;$B104)</f>
        <v>19442.439999999995</v>
      </c>
      <c r="T104" s="24">
        <f>SUMIFS('Saldos Iniciales'!$D:$D,'Saldos Iniciales'!$A:$A,"Green Harbor Trust")+SUMIFS(Movimientos!$K$1:$K$1325,Movimientos!$C$1:$C$1325,"Green Harbor Trust",Movimientos!$B$1:$B$1325,"&lt;="&amp;$B104)</f>
        <v>345</v>
      </c>
      <c r="U104" s="24">
        <f>SUMIFS('Saldos Iniciales'!$D:$D,'Saldos Iniciales'!$A:$A,"Go Blue")+SUMIFS(Movimientos!$K$1:$K$1325,Movimientos!$C$1:$C$1325,"Go Blue",Movimientos!$B$1:$B$1325,"&lt;="&amp;$B104)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LLC",Movimientos!$B$1:$B$1325,"&lt;="&amp;$B104))</f>
        <v>0</v>
      </c>
      <c r="W104" s="24">
        <f>IF(YEAR($B104)*100+MONTH($B104)&lt;--SUBSTITUTE(_xlfn.XLOOKUP("CFT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",Movimientos!$B$1:$B$1325,"&lt;="&amp;$B104))</f>
        <v>0</v>
      </c>
      <c r="AC104" s="24" t="e">
        <f>IF(YEAR($B104)*100+MONTH($B104)&lt;--SUBSTITUTE(_xlfn.XLOOKUP("SYIP",'Saldos Iniciales'!$A:$A,'Saldos Iniciales'!$C:$C),"-",""),0,SUMIFS('Saldos Iniciales'!$D:$D,'Saldos Iniciales'!$A:$A,"SYIP")+SUMIFS(Movimientos!$K$1:$K$1325,Movimientos!$C$1:$C$1325,"SYIP",Movimientos!$B$1:$B$1325,"&lt;="&amp;$B104))</f>
        <v>#N/A</v>
      </c>
      <c r="AD104" s="24">
        <f>IF(YEAR($B104)*100+MONTH($B104)&lt;--SUBSTITUTE(_xlfn.XLOOKUP("Nobe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Aparments",Movimientos!$B$1:$B$1325,"&lt;="&amp;$B104))</f>
        <v>0</v>
      </c>
      <c r="AE104" s="25" t="e">
        <f t="shared" si="4"/>
        <v>#N/A</v>
      </c>
    </row>
    <row r="105" spans="1:31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Group")+SUMIFS(Movimientos!$K$1:$K$1325,Movimientos!$C$1:$C$1325,"CFT Group",Movimientos!$B$1:$B$1325,"&lt;="&amp;$B105)</f>
        <v>1260076.9800000002</v>
      </c>
      <c r="D105" s="24">
        <f>SUMIFS('Saldos Iniciales'!$D:$D,'Saldos Iniciales'!$A:$A,"M1B")+SUMIFS(Movimientos!$K$1:$K$1325,Movimientos!$C$1:$C$1325,"M1B",Movimientos!$B$1:$B$1325,"&lt;="&amp;$B105)</f>
        <v>83211.250000000175</v>
      </c>
      <c r="E105" s="24">
        <f>SUMIFS('Saldos Iniciales'!$D:$D,'Saldos Iniciales'!$A:$A,"Durand")+SUMIFS(Movimientos!$K$1:$K$1325,Movimientos!$C$1:$C$1325,"Durand",Movimientos!$B$1:$B$1325,"&lt;="&amp;$B105)</f>
        <v>1669.89</v>
      </c>
      <c r="F105" s="24">
        <f>SUMIFS('Saldos Iniciales'!$D:$D,'Saldos Iniciales'!$A:$A,"A&amp;M Imports")+SUMIFS(Movimientos!$K$1:$K$1325,Movimientos!$C$1:$C$1325,"A&amp;M Imports",Movimientos!$B$1:$B$1325,"&lt;="&amp;$B105)</f>
        <v>1349451.94</v>
      </c>
      <c r="G105" s="24">
        <f>SUMIFS('Saldos Iniciales'!$D:$D,'Saldos Iniciales'!$A:$A,"SSP Capital")+SUMIFS(Movimientos!$K$1:$K$1325,Movimientos!$C$1:$C$1325,"SSP Capital",Movimientos!$B$1:$B$1325,"&lt;="&amp;$B105)</f>
        <v>1622914.8199999996</v>
      </c>
      <c r="H105" s="24">
        <f>SUMIFS('Saldos Iniciales'!$D:$D,'Saldos Iniciales'!$A:$A,"Cross Family Trust")+SUMIFS(Movimientos!$K$1:$K$1325,Movimientos!$C$1:$C$1325,"Cross Family Trust",Movimientos!$B$1:$B$1325,"&lt;="&amp;$B105)</f>
        <v>731496.38</v>
      </c>
      <c r="I105" s="24">
        <f>SUMIFS('Saldos Iniciales'!$D:$D,'Saldos Iniciales'!$A:$A,"Cross Security Trust")+SUMIFS(Movimientos!$K$1:$K$1325,Movimientos!$C$1:$C$1325,"Cross Security Trust",Movimientos!$B$1:$B$1325,"&lt;="&amp;$B105)</f>
        <v>158067.38999999998</v>
      </c>
      <c r="J105" s="24">
        <f>SUMIFS('Saldos Iniciales'!$D:$D,'Saldos Iniciales'!$A:$A,"Electrama")+SUMIFS(Movimientos!$K$1:$K$1325,Movimientos!$C$1:$C$1325,"Electrama",Movimientos!$B$1:$B$1325,"&lt;="&amp;$B105)</f>
        <v>13270.02</v>
      </c>
      <c r="K105" s="24">
        <f>SUMIFS('Saldos Iniciales'!$D:$D,'Saldos Iniciales'!$A:$A,"Sacred Valley Capital")+SUMIFS(Movimientos!$K$1:$K$1325,Movimientos!$C$1:$C$1325,"Sacred Valley Capital",Movimientos!$B$1:$B$1325,"&lt;="&amp;$B105)</f>
        <v>24.450000000000003</v>
      </c>
      <c r="L105" s="24">
        <f>SUMIFS('Saldos Iniciales'!$D:$D,'Saldos Iniciales'!$A:$A,"YWC Capital")+SUMIFS(Movimientos!$K$1:$K$1325,Movimientos!$C$1:$C$1325,"YWC Capital",Movimientos!$B$1:$B$1325,"&lt;="&amp;$B105)</f>
        <v>2177.87</v>
      </c>
      <c r="M105" s="24">
        <f>SUMIFS('Saldos Iniciales'!$D:$D,'Saldos Iniciales'!$A:$A,"Soweto")+SUMIFS(Movimientos!$K$1:$K$1325,Movimientos!$C$1:$C$1325,"Soweto",Movimientos!$B$1:$B$1325,"&lt;="&amp;$B105)</f>
        <v>754424.72</v>
      </c>
      <c r="N105" s="24">
        <f>SUMIFS('Saldos Iniciales'!$D:$D,'Saldos Iniciales'!$A:$A,"Green Stone Trust")+SUMIFS(Movimientos!$K$1:$K$1325,Movimientos!$C$1:$C$1325,"Green Stone Trust",Movimientos!$B$1:$B$1325,"&lt;="&amp;$B105)</f>
        <v>1968.99</v>
      </c>
      <c r="O105" s="24">
        <f>SUMIFS('Saldos Iniciales'!$D:$D,'Saldos Iniciales'!$A:$A,"EC Auto")+SUMIFS(Movimientos!$K$1:$K$1325,Movimientos!$C$1:$C$1325,"EC Auto",Movimientos!$B$1:$B$1325,"&lt;="&amp;$B105)</f>
        <v>901.34</v>
      </c>
      <c r="P105" s="24">
        <f>SUMIFS('Saldos Iniciales'!$D:$D,'Saldos Iniciales'!$A:$A,"Arbor Capital Properties")+SUMIFS(Movimientos!$K$1:$K$1325,Movimientos!$C$1:$C$1325,"Arbor Capital Properties",Movimientos!$B$1:$B$1325,"&lt;="&amp;$B105)</f>
        <v>1396.08</v>
      </c>
      <c r="Q105" s="24">
        <f>SUMIFS('Saldos Iniciales'!$D:$D,'Saldos Iniciales'!$A:$A,"2515 Overbrook")+SUMIFS(Movimientos!$K$1:$K$1325,Movimientos!$C$1:$C$1325,"2515 Overbrook",Movimientos!$B$1:$B$1325,"&lt;="&amp;$B105)</f>
        <v>3700.7099999999591</v>
      </c>
      <c r="R105" s="24">
        <f>SUMIFS('Saldos Iniciales'!$D:$D,'Saldos Iniciales'!$A:$A,"112 Florida Ave")+SUMIFS(Movimientos!$K$1:$K$1325,Movimientos!$C$1:$C$1325,"112 Florida Ave",Movimientos!$B$1:$B$1325,"&lt;="&amp;$B105)</f>
        <v>8724.1700000000037</v>
      </c>
      <c r="S105" s="24">
        <f>SUMIFS('Saldos Iniciales'!$D:$D,'Saldos Iniciales'!$A:$A,"3628 Thomas Ave")+SUMIFS(Movimientos!$K$1:$K$1325,Movimientos!$C$1:$C$1325,"3628 Thomas Ave",Movimientos!$B$1:$B$1325,"&lt;="&amp;$B105)</f>
        <v>19336.039999999997</v>
      </c>
      <c r="T105" s="24">
        <f>SUMIFS('Saldos Iniciales'!$D:$D,'Saldos Iniciales'!$A:$A,"Green Harbor Trust")+SUMIFS(Movimientos!$K$1:$K$1325,Movimientos!$C$1:$C$1325,"Green Harbor Trust",Movimientos!$B$1:$B$1325,"&lt;="&amp;$B105)</f>
        <v>345</v>
      </c>
      <c r="U105" s="24">
        <f>SUMIFS('Saldos Iniciales'!$D:$D,'Saldos Iniciales'!$A:$A,"Go Blue")+SUMIFS(Movimientos!$K$1:$K$1325,Movimientos!$C$1:$C$1325,"Go Blue",Movimientos!$B$1:$B$1325,"&lt;="&amp;$B105)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LLC",Movimientos!$B$1:$B$1325,"&lt;="&amp;$B105))</f>
        <v>0</v>
      </c>
      <c r="W105" s="24">
        <f>IF(YEAR($B105)*100+MONTH($B105)&lt;--SUBSTITUTE(_xlfn.XLOOKUP("CFT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",Movimientos!$B$1:$B$1325,"&lt;="&amp;$B105))</f>
        <v>0</v>
      </c>
      <c r="AC105" s="24" t="e">
        <f>IF(YEAR($B105)*100+MONTH($B105)&lt;--SUBSTITUTE(_xlfn.XLOOKUP("SYIP",'Saldos Iniciales'!$A:$A,'Saldos Iniciales'!$C:$C),"-",""),0,SUMIFS('Saldos Iniciales'!$D:$D,'Saldos Iniciales'!$A:$A,"SYIP")+SUMIFS(Movimientos!$K$1:$K$1325,Movimientos!$C$1:$C$1325,"SYIP",Movimientos!$B$1:$B$1325,"&lt;="&amp;$B105))</f>
        <v>#N/A</v>
      </c>
      <c r="AD105" s="24">
        <f>IF(YEAR($B105)*100+MONTH($B105)&lt;--SUBSTITUTE(_xlfn.XLOOKUP("Nobe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Aparments",Movimientos!$B$1:$B$1325,"&lt;="&amp;$B105))</f>
        <v>0</v>
      </c>
      <c r="AE105" s="25" t="e">
        <f t="shared" si="4"/>
        <v>#N/A</v>
      </c>
    </row>
    <row r="106" spans="1:31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Group")+SUMIFS(Movimientos!$K$1:$K$1325,Movimientos!$C$1:$C$1325,"CFT Group",Movimientos!$B$1:$B$1325,"&lt;="&amp;$B106)</f>
        <v>1041223.5800000004</v>
      </c>
      <c r="D106" s="24">
        <f>SUMIFS('Saldos Iniciales'!$D:$D,'Saldos Iniciales'!$A:$A,"M1B")+SUMIFS(Movimientos!$K$1:$K$1325,Movimientos!$C$1:$C$1325,"M1B",Movimientos!$B$1:$B$1325,"&lt;="&amp;$B106)</f>
        <v>83211.250000000175</v>
      </c>
      <c r="E106" s="24">
        <f>SUMIFS('Saldos Iniciales'!$D:$D,'Saldos Iniciales'!$A:$A,"Durand")+SUMIFS(Movimientos!$K$1:$K$1325,Movimientos!$C$1:$C$1325,"Durand",Movimientos!$B$1:$B$1325,"&lt;="&amp;$B106)</f>
        <v>1669.89</v>
      </c>
      <c r="F106" s="24">
        <f>SUMIFS('Saldos Iniciales'!$D:$D,'Saldos Iniciales'!$A:$A,"A&amp;M Imports")+SUMIFS(Movimientos!$K$1:$K$1325,Movimientos!$C$1:$C$1325,"A&amp;M Imports",Movimientos!$B$1:$B$1325,"&lt;="&amp;$B106)</f>
        <v>1289451.94</v>
      </c>
      <c r="G106" s="24">
        <f>SUMIFS('Saldos Iniciales'!$D:$D,'Saldos Iniciales'!$A:$A,"SSP Capital")+SUMIFS(Movimientos!$K$1:$K$1325,Movimientos!$C$1:$C$1325,"SSP Capital",Movimientos!$B$1:$B$1325,"&lt;="&amp;$B106)</f>
        <v>1418808.6399999997</v>
      </c>
      <c r="H106" s="24">
        <f>SUMIFS('Saldos Iniciales'!$D:$D,'Saldos Iniciales'!$A:$A,"Cross Family Trust")+SUMIFS(Movimientos!$K$1:$K$1325,Movimientos!$C$1:$C$1325,"Cross Family Trust",Movimientos!$B$1:$B$1325,"&lt;="&amp;$B106)</f>
        <v>221496.38</v>
      </c>
      <c r="I106" s="24">
        <f>SUMIFS('Saldos Iniciales'!$D:$D,'Saldos Iniciales'!$A:$A,"Cross Security Trust")+SUMIFS(Movimientos!$K$1:$K$1325,Movimientos!$C$1:$C$1325,"Cross Security Trust",Movimientos!$B$1:$B$1325,"&lt;="&amp;$B106)</f>
        <v>158067.38999999998</v>
      </c>
      <c r="J106" s="24">
        <f>SUMIFS('Saldos Iniciales'!$D:$D,'Saldos Iniciales'!$A:$A,"Electrama")+SUMIFS(Movimientos!$K$1:$K$1325,Movimientos!$C$1:$C$1325,"Electrama",Movimientos!$B$1:$B$1325,"&lt;="&amp;$B106)</f>
        <v>13270.02</v>
      </c>
      <c r="K106" s="24">
        <f>SUMIFS('Saldos Iniciales'!$D:$D,'Saldos Iniciales'!$A:$A,"Sacred Valley Capital")+SUMIFS(Movimientos!$K$1:$K$1325,Movimientos!$C$1:$C$1325,"Sacred Valley Capital",Movimientos!$B$1:$B$1325,"&lt;="&amp;$B106)</f>
        <v>24.450000000000003</v>
      </c>
      <c r="L106" s="24">
        <f>SUMIFS('Saldos Iniciales'!$D:$D,'Saldos Iniciales'!$A:$A,"YWC Capital")+SUMIFS(Movimientos!$K$1:$K$1325,Movimientos!$C$1:$C$1325,"YWC Capital",Movimientos!$B$1:$B$1325,"&lt;="&amp;$B106)</f>
        <v>2177.87</v>
      </c>
      <c r="M106" s="24">
        <f>SUMIFS('Saldos Iniciales'!$D:$D,'Saldos Iniciales'!$A:$A,"Soweto")+SUMIFS(Movimientos!$K$1:$K$1325,Movimientos!$C$1:$C$1325,"Soweto",Movimientos!$B$1:$B$1325,"&lt;="&amp;$B106)</f>
        <v>754424.72</v>
      </c>
      <c r="N106" s="24">
        <f>SUMIFS('Saldos Iniciales'!$D:$D,'Saldos Iniciales'!$A:$A,"Green Stone Trust")+SUMIFS(Movimientos!$K$1:$K$1325,Movimientos!$C$1:$C$1325,"Green Stone Trust",Movimientos!$B$1:$B$1325,"&lt;="&amp;$B106)</f>
        <v>1968.99</v>
      </c>
      <c r="O106" s="24">
        <f>SUMIFS('Saldos Iniciales'!$D:$D,'Saldos Iniciales'!$A:$A,"EC Auto")+SUMIFS(Movimientos!$K$1:$K$1325,Movimientos!$C$1:$C$1325,"EC Auto",Movimientos!$B$1:$B$1325,"&lt;="&amp;$B106)</f>
        <v>901.34</v>
      </c>
      <c r="P106" s="24">
        <f>SUMIFS('Saldos Iniciales'!$D:$D,'Saldos Iniciales'!$A:$A,"Arbor Capital Properties")+SUMIFS(Movimientos!$K$1:$K$1325,Movimientos!$C$1:$C$1325,"Arbor Capital Properties",Movimientos!$B$1:$B$1325,"&lt;="&amp;$B106)</f>
        <v>1396.08</v>
      </c>
      <c r="Q106" s="24">
        <f>SUMIFS('Saldos Iniciales'!$D:$D,'Saldos Iniciales'!$A:$A,"2515 Overbrook")+SUMIFS(Movimientos!$K$1:$K$1325,Movimientos!$C$1:$C$1325,"2515 Overbrook",Movimientos!$B$1:$B$1325,"&lt;="&amp;$B106)</f>
        <v>13700.709999999959</v>
      </c>
      <c r="R106" s="24">
        <f>SUMIFS('Saldos Iniciales'!$D:$D,'Saldos Iniciales'!$A:$A,"112 Florida Ave")+SUMIFS(Movimientos!$K$1:$K$1325,Movimientos!$C$1:$C$1325,"112 Florida Ave",Movimientos!$B$1:$B$1325,"&lt;="&amp;$B106)</f>
        <v>8724.1700000000037</v>
      </c>
      <c r="S106" s="24">
        <f>SUMIFS('Saldos Iniciales'!$D:$D,'Saldos Iniciales'!$A:$A,"3628 Thomas Ave")+SUMIFS(Movimientos!$K$1:$K$1325,Movimientos!$C$1:$C$1325,"3628 Thomas Ave",Movimientos!$B$1:$B$1325,"&lt;="&amp;$B106)</f>
        <v>19336.039999999997</v>
      </c>
      <c r="T106" s="24">
        <f>SUMIFS('Saldos Iniciales'!$D:$D,'Saldos Iniciales'!$A:$A,"Green Harbor Trust")+SUMIFS(Movimientos!$K$1:$K$1325,Movimientos!$C$1:$C$1325,"Green Harbor Trust",Movimientos!$B$1:$B$1325,"&lt;="&amp;$B106)</f>
        <v>345</v>
      </c>
      <c r="U106" s="24">
        <f>SUMIFS('Saldos Iniciales'!$D:$D,'Saldos Iniciales'!$A:$A,"Go Blue")+SUMIFS(Movimientos!$K$1:$K$1325,Movimientos!$C$1:$C$1325,"Go Blue",Movimientos!$B$1:$B$1325,"&lt;="&amp;$B106)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LLC",Movimientos!$B$1:$B$1325,"&lt;="&amp;$B106))</f>
        <v>0</v>
      </c>
      <c r="W106" s="24">
        <f>IF(YEAR($B106)*100+MONTH($B106)&lt;--SUBSTITUTE(_xlfn.XLOOKUP("CFT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",Movimientos!$B$1:$B$1325,"&lt;="&amp;$B106))</f>
        <v>0</v>
      </c>
      <c r="AC106" s="24" t="e">
        <f>IF(YEAR($B106)*100+MONTH($B106)&lt;--SUBSTITUTE(_xlfn.XLOOKUP("SYIP",'Saldos Iniciales'!$A:$A,'Saldos Iniciales'!$C:$C),"-",""),0,SUMIFS('Saldos Iniciales'!$D:$D,'Saldos Iniciales'!$A:$A,"SYIP")+SUMIFS(Movimientos!$K$1:$K$1325,Movimientos!$C$1:$C$1325,"SYIP",Movimientos!$B$1:$B$1325,"&lt;="&amp;$B106))</f>
        <v>#N/A</v>
      </c>
      <c r="AD106" s="24">
        <f>IF(YEAR($B106)*100+MONTH($B106)&lt;--SUBSTITUTE(_xlfn.XLOOKUP("Nobe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Aparments",Movimientos!$B$1:$B$1325,"&lt;="&amp;$B106))</f>
        <v>0</v>
      </c>
      <c r="AE106" s="25" t="e">
        <f t="shared" si="4"/>
        <v>#N/A</v>
      </c>
    </row>
    <row r="107" spans="1:31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Group")+SUMIFS(Movimientos!$K$1:$K$1325,Movimientos!$C$1:$C$1325,"CFT Group",Movimientos!$B$1:$B$1325,"&lt;="&amp;$B107)</f>
        <v>941223.58000000042</v>
      </c>
      <c r="D107" s="24">
        <f>SUMIFS('Saldos Iniciales'!$D:$D,'Saldos Iniciales'!$A:$A,"M1B")+SUMIFS(Movimientos!$K$1:$K$1325,Movimientos!$C$1:$C$1325,"M1B",Movimientos!$B$1:$B$1325,"&lt;="&amp;$B107)</f>
        <v>83211.250000000175</v>
      </c>
      <c r="E107" s="24">
        <f>SUMIFS('Saldos Iniciales'!$D:$D,'Saldos Iniciales'!$A:$A,"Durand")+SUMIFS(Movimientos!$K$1:$K$1325,Movimientos!$C$1:$C$1325,"Durand",Movimientos!$B$1:$B$1325,"&lt;="&amp;$B107)</f>
        <v>1669.89</v>
      </c>
      <c r="F107" s="24">
        <f>SUMIFS('Saldos Iniciales'!$D:$D,'Saldos Iniciales'!$A:$A,"A&amp;M Imports")+SUMIFS(Movimientos!$K$1:$K$1325,Movimientos!$C$1:$C$1325,"A&amp;M Imports",Movimientos!$B$1:$B$1325,"&lt;="&amp;$B107)</f>
        <v>1289451.94</v>
      </c>
      <c r="G107" s="24">
        <f>SUMIFS('Saldos Iniciales'!$D:$D,'Saldos Iniciales'!$A:$A,"SSP Capital")+SUMIFS(Movimientos!$K$1:$K$1325,Movimientos!$C$1:$C$1325,"SSP Capital",Movimientos!$B$1:$B$1325,"&lt;="&amp;$B107)</f>
        <v>1418808.6399999997</v>
      </c>
      <c r="H107" s="24">
        <f>SUMIFS('Saldos Iniciales'!$D:$D,'Saldos Iniciales'!$A:$A,"Cross Family Trust")+SUMIFS(Movimientos!$K$1:$K$1325,Movimientos!$C$1:$C$1325,"Cross Family Trust",Movimientos!$B$1:$B$1325,"&lt;="&amp;$B107)</f>
        <v>221496.38</v>
      </c>
      <c r="I107" s="24">
        <f>SUMIFS('Saldos Iniciales'!$D:$D,'Saldos Iniciales'!$A:$A,"Cross Security Trust")+SUMIFS(Movimientos!$K$1:$K$1325,Movimientos!$C$1:$C$1325,"Cross Security Trust",Movimientos!$B$1:$B$1325,"&lt;="&amp;$B107)</f>
        <v>158071.25999999998</v>
      </c>
      <c r="J107" s="24">
        <f>SUMIFS('Saldos Iniciales'!$D:$D,'Saldos Iniciales'!$A:$A,"Electrama")+SUMIFS(Movimientos!$K$1:$K$1325,Movimientos!$C$1:$C$1325,"Electrama",Movimientos!$B$1:$B$1325,"&lt;="&amp;$B107)</f>
        <v>13270.02</v>
      </c>
      <c r="K107" s="24">
        <f>SUMIFS('Saldos Iniciales'!$D:$D,'Saldos Iniciales'!$A:$A,"Sacred Valley Capital")+SUMIFS(Movimientos!$K$1:$K$1325,Movimientos!$C$1:$C$1325,"Sacred Valley Capital",Movimientos!$B$1:$B$1325,"&lt;="&amp;$B107)</f>
        <v>24.450000000000003</v>
      </c>
      <c r="L107" s="24">
        <f>SUMIFS('Saldos Iniciales'!$D:$D,'Saldos Iniciales'!$A:$A,"YWC Capital")+SUMIFS(Movimientos!$K$1:$K$1325,Movimientos!$C$1:$C$1325,"YWC Capital",Movimientos!$B$1:$B$1325,"&lt;="&amp;$B107)</f>
        <v>2177.87</v>
      </c>
      <c r="M107" s="24">
        <f>SUMIFS('Saldos Iniciales'!$D:$D,'Saldos Iniciales'!$A:$A,"Soweto")+SUMIFS(Movimientos!$K$1:$K$1325,Movimientos!$C$1:$C$1325,"Soweto",Movimientos!$B$1:$B$1325,"&lt;="&amp;$B107)</f>
        <v>754424.72</v>
      </c>
      <c r="N107" s="24">
        <f>SUMIFS('Saldos Iniciales'!$D:$D,'Saldos Iniciales'!$A:$A,"Green Stone Trust")+SUMIFS(Movimientos!$K$1:$K$1325,Movimientos!$C$1:$C$1325,"Green Stone Trust",Movimientos!$B$1:$B$1325,"&lt;="&amp;$B107)</f>
        <v>1968.99</v>
      </c>
      <c r="O107" s="24">
        <f>SUMIFS('Saldos Iniciales'!$D:$D,'Saldos Iniciales'!$A:$A,"EC Auto")+SUMIFS(Movimientos!$K$1:$K$1325,Movimientos!$C$1:$C$1325,"EC Auto",Movimientos!$B$1:$B$1325,"&lt;="&amp;$B107)</f>
        <v>901.34</v>
      </c>
      <c r="P107" s="24">
        <f>SUMIFS('Saldos Iniciales'!$D:$D,'Saldos Iniciales'!$A:$A,"Arbor Capital Properties")+SUMIFS(Movimientos!$K$1:$K$1325,Movimientos!$C$1:$C$1325,"Arbor Capital Properties",Movimientos!$B$1:$B$1325,"&lt;="&amp;$B107)</f>
        <v>1396.08</v>
      </c>
      <c r="Q107" s="24">
        <f>SUMIFS('Saldos Iniciales'!$D:$D,'Saldos Iniciales'!$A:$A,"2515 Overbrook")+SUMIFS(Movimientos!$K$1:$K$1325,Movimientos!$C$1:$C$1325,"2515 Overbrook",Movimientos!$B$1:$B$1325,"&lt;="&amp;$B107)</f>
        <v>13685.709999999959</v>
      </c>
      <c r="R107" s="24">
        <f>SUMIFS('Saldos Iniciales'!$D:$D,'Saldos Iniciales'!$A:$A,"112 Florida Ave")+SUMIFS(Movimientos!$K$1:$K$1325,Movimientos!$C$1:$C$1325,"112 Florida Ave",Movimientos!$B$1:$B$1325,"&lt;="&amp;$B107)</f>
        <v>8724.1700000000037</v>
      </c>
      <c r="S107" s="24">
        <f>SUMIFS('Saldos Iniciales'!$D:$D,'Saldos Iniciales'!$A:$A,"3628 Thomas Ave")+SUMIFS(Movimientos!$K$1:$K$1325,Movimientos!$C$1:$C$1325,"3628 Thomas Ave",Movimientos!$B$1:$B$1325,"&lt;="&amp;$B107)</f>
        <v>19336.039999999997</v>
      </c>
      <c r="T107" s="24">
        <f>SUMIFS('Saldos Iniciales'!$D:$D,'Saldos Iniciales'!$A:$A,"Green Harbor Trust")+SUMIFS(Movimientos!$K$1:$K$1325,Movimientos!$C$1:$C$1325,"Green Harbor Trust",Movimientos!$B$1:$B$1325,"&lt;="&amp;$B107)</f>
        <v>345</v>
      </c>
      <c r="U107" s="24">
        <f>SUMIFS('Saldos Iniciales'!$D:$D,'Saldos Iniciales'!$A:$A,"Go Blue")+SUMIFS(Movimientos!$K$1:$K$1325,Movimientos!$C$1:$C$1325,"Go Blue",Movimientos!$B$1:$B$1325,"&lt;="&amp;$B107)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LLC",Movimientos!$B$1:$B$1325,"&lt;="&amp;$B107))</f>
        <v>0</v>
      </c>
      <c r="W107" s="24">
        <f>IF(YEAR($B107)*100+MONTH($B107)&lt;--SUBSTITUTE(_xlfn.XLOOKUP("CFT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",Movimientos!$B$1:$B$1325,"&lt;="&amp;$B107))</f>
        <v>0</v>
      </c>
      <c r="AC107" s="24" t="e">
        <f>IF(YEAR($B107)*100+MONTH($B107)&lt;--SUBSTITUTE(_xlfn.XLOOKUP("SYIP",'Saldos Iniciales'!$A:$A,'Saldos Iniciales'!$C:$C),"-",""),0,SUMIFS('Saldos Iniciales'!$D:$D,'Saldos Iniciales'!$A:$A,"SYIP")+SUMIFS(Movimientos!$K$1:$K$1325,Movimientos!$C$1:$C$1325,"SYIP",Movimientos!$B$1:$B$1325,"&lt;="&amp;$B107))</f>
        <v>#N/A</v>
      </c>
      <c r="AD107" s="24">
        <f>IF(YEAR($B107)*100+MONTH($B107)&lt;--SUBSTITUTE(_xlfn.XLOOKUP("Nobe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Aparments",Movimientos!$B$1:$B$1325,"&lt;="&amp;$B107))</f>
        <v>0</v>
      </c>
      <c r="AE107" s="25" t="e">
        <f t="shared" si="4"/>
        <v>#N/A</v>
      </c>
    </row>
    <row r="108" spans="1:31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Group")+SUMIFS(Movimientos!$K$1:$K$1325,Movimientos!$C$1:$C$1325,"CFT Group",Movimientos!$B$1:$B$1325,"&lt;="&amp;$B108)</f>
        <v>941223.58000000042</v>
      </c>
      <c r="D108" s="24">
        <f>SUMIFS('Saldos Iniciales'!$D:$D,'Saldos Iniciales'!$A:$A,"M1B")+SUMIFS(Movimientos!$K$1:$K$1325,Movimientos!$C$1:$C$1325,"M1B",Movimientos!$B$1:$B$1325,"&lt;="&amp;$B108)</f>
        <v>83211.250000000175</v>
      </c>
      <c r="E108" s="24">
        <f>SUMIFS('Saldos Iniciales'!$D:$D,'Saldos Iniciales'!$A:$A,"Durand")+SUMIFS(Movimientos!$K$1:$K$1325,Movimientos!$C$1:$C$1325,"Durand",Movimientos!$B$1:$B$1325,"&lt;="&amp;$B108)</f>
        <v>1669.89</v>
      </c>
      <c r="F108" s="24">
        <f>SUMIFS('Saldos Iniciales'!$D:$D,'Saldos Iniciales'!$A:$A,"A&amp;M Imports")+SUMIFS(Movimientos!$K$1:$K$1325,Movimientos!$C$1:$C$1325,"A&amp;M Imports",Movimientos!$B$1:$B$1325,"&lt;="&amp;$B108)</f>
        <v>1289451.94</v>
      </c>
      <c r="G108" s="24">
        <f>SUMIFS('Saldos Iniciales'!$D:$D,'Saldos Iniciales'!$A:$A,"SSP Capital")+SUMIFS(Movimientos!$K$1:$K$1325,Movimientos!$C$1:$C$1325,"SSP Capital",Movimientos!$B$1:$B$1325,"&lt;="&amp;$B108)</f>
        <v>1418808.6399999997</v>
      </c>
      <c r="H108" s="24">
        <f>SUMIFS('Saldos Iniciales'!$D:$D,'Saldos Iniciales'!$A:$A,"Cross Family Trust")+SUMIFS(Movimientos!$K$1:$K$1325,Movimientos!$C$1:$C$1325,"Cross Family Trust",Movimientos!$B$1:$B$1325,"&lt;="&amp;$B108)</f>
        <v>221496.38</v>
      </c>
      <c r="I108" s="24">
        <f>SUMIFS('Saldos Iniciales'!$D:$D,'Saldos Iniciales'!$A:$A,"Cross Security Trust")+SUMIFS(Movimientos!$K$1:$K$1325,Movimientos!$C$1:$C$1325,"Cross Security Trust",Movimientos!$B$1:$B$1325,"&lt;="&amp;$B108)</f>
        <v>158071.25999999998</v>
      </c>
      <c r="J108" s="24">
        <f>SUMIFS('Saldos Iniciales'!$D:$D,'Saldos Iniciales'!$A:$A,"Electrama")+SUMIFS(Movimientos!$K$1:$K$1325,Movimientos!$C$1:$C$1325,"Electrama",Movimientos!$B$1:$B$1325,"&lt;="&amp;$B108)</f>
        <v>13270.02</v>
      </c>
      <c r="K108" s="24">
        <f>SUMIFS('Saldos Iniciales'!$D:$D,'Saldos Iniciales'!$A:$A,"Sacred Valley Capital")+SUMIFS(Movimientos!$K$1:$K$1325,Movimientos!$C$1:$C$1325,"Sacred Valley Capital",Movimientos!$B$1:$B$1325,"&lt;="&amp;$B108)</f>
        <v>24.450000000000003</v>
      </c>
      <c r="L108" s="24">
        <f>SUMIFS('Saldos Iniciales'!$D:$D,'Saldos Iniciales'!$A:$A,"YWC Capital")+SUMIFS(Movimientos!$K$1:$K$1325,Movimientos!$C$1:$C$1325,"YWC Capital",Movimientos!$B$1:$B$1325,"&lt;="&amp;$B108)</f>
        <v>2177.87</v>
      </c>
      <c r="M108" s="24">
        <f>SUMIFS('Saldos Iniciales'!$D:$D,'Saldos Iniciales'!$A:$A,"Soweto")+SUMIFS(Movimientos!$K$1:$K$1325,Movimientos!$C$1:$C$1325,"Soweto",Movimientos!$B$1:$B$1325,"&lt;="&amp;$B108)</f>
        <v>754424.72</v>
      </c>
      <c r="N108" s="24">
        <f>SUMIFS('Saldos Iniciales'!$D:$D,'Saldos Iniciales'!$A:$A,"Green Stone Trust")+SUMIFS(Movimientos!$K$1:$K$1325,Movimientos!$C$1:$C$1325,"Green Stone Trust",Movimientos!$B$1:$B$1325,"&lt;="&amp;$B108)</f>
        <v>1968.99</v>
      </c>
      <c r="O108" s="24">
        <f>SUMIFS('Saldos Iniciales'!$D:$D,'Saldos Iniciales'!$A:$A,"EC Auto")+SUMIFS(Movimientos!$K$1:$K$1325,Movimientos!$C$1:$C$1325,"EC Auto",Movimientos!$B$1:$B$1325,"&lt;="&amp;$B108)</f>
        <v>901.34</v>
      </c>
      <c r="P108" s="24">
        <f>SUMIFS('Saldos Iniciales'!$D:$D,'Saldos Iniciales'!$A:$A,"Arbor Capital Properties")+SUMIFS(Movimientos!$K$1:$K$1325,Movimientos!$C$1:$C$1325,"Arbor Capital Properties",Movimientos!$B$1:$B$1325,"&lt;="&amp;$B108)</f>
        <v>1396.08</v>
      </c>
      <c r="Q108" s="24">
        <f>SUMIFS('Saldos Iniciales'!$D:$D,'Saldos Iniciales'!$A:$A,"2515 Overbrook")+SUMIFS(Movimientos!$K$1:$K$1325,Movimientos!$C$1:$C$1325,"2515 Overbrook",Movimientos!$B$1:$B$1325,"&lt;="&amp;$B108)</f>
        <v>13685.709999999959</v>
      </c>
      <c r="R108" s="24">
        <f>SUMIFS('Saldos Iniciales'!$D:$D,'Saldos Iniciales'!$A:$A,"112 Florida Ave")+SUMIFS(Movimientos!$K$1:$K$1325,Movimientos!$C$1:$C$1325,"112 Florida Ave",Movimientos!$B$1:$B$1325,"&lt;="&amp;$B108)</f>
        <v>8724.1700000000037</v>
      </c>
      <c r="S108" s="24">
        <f>SUMIFS('Saldos Iniciales'!$D:$D,'Saldos Iniciales'!$A:$A,"3628 Thomas Ave")+SUMIFS(Movimientos!$K$1:$K$1325,Movimientos!$C$1:$C$1325,"3628 Thomas Ave",Movimientos!$B$1:$B$1325,"&lt;="&amp;$B108)</f>
        <v>19336.039999999997</v>
      </c>
      <c r="T108" s="24">
        <f>SUMIFS('Saldos Iniciales'!$D:$D,'Saldos Iniciales'!$A:$A,"Green Harbor Trust")+SUMIFS(Movimientos!$K$1:$K$1325,Movimientos!$C$1:$C$1325,"Green Harbor Trust",Movimientos!$B$1:$B$1325,"&lt;="&amp;$B108)</f>
        <v>345</v>
      </c>
      <c r="U108" s="24">
        <f>SUMIFS('Saldos Iniciales'!$D:$D,'Saldos Iniciales'!$A:$A,"Go Blue")+SUMIFS(Movimientos!$K$1:$K$1325,Movimientos!$C$1:$C$1325,"Go Blue",Movimientos!$B$1:$B$1325,"&lt;="&amp;$B108)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LLC",Movimientos!$B$1:$B$1325,"&lt;="&amp;$B108))</f>
        <v>0</v>
      </c>
      <c r="W108" s="24">
        <f>IF(YEAR($B108)*100+MONTH($B108)&lt;--SUBSTITUTE(_xlfn.XLOOKUP("CFT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",Movimientos!$B$1:$B$1325,"&lt;="&amp;$B108))</f>
        <v>0</v>
      </c>
      <c r="AC108" s="24" t="e">
        <f>IF(YEAR($B108)*100+MONTH($B108)&lt;--SUBSTITUTE(_xlfn.XLOOKUP("SYIP",'Saldos Iniciales'!$A:$A,'Saldos Iniciales'!$C:$C),"-",""),0,SUMIFS('Saldos Iniciales'!$D:$D,'Saldos Iniciales'!$A:$A,"SYIP")+SUMIFS(Movimientos!$K$1:$K$1325,Movimientos!$C$1:$C$1325,"SYIP",Movimientos!$B$1:$B$1325,"&lt;="&amp;$B108))</f>
        <v>#N/A</v>
      </c>
      <c r="AD108" s="24">
        <f>IF(YEAR($B108)*100+MONTH($B108)&lt;--SUBSTITUTE(_xlfn.XLOOKUP("Nobe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Aparments",Movimientos!$B$1:$B$1325,"&lt;="&amp;$B108))</f>
        <v>0</v>
      </c>
      <c r="AE108" s="25" t="e">
        <f t="shared" si="4"/>
        <v>#N/A</v>
      </c>
    </row>
    <row r="109" spans="1:31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Group")+SUMIFS(Movimientos!$K$1:$K$1325,Movimientos!$C$1:$C$1325,"CFT Group",Movimientos!$B$1:$B$1325,"&lt;="&amp;$B109)</f>
        <v>941223.58000000042</v>
      </c>
      <c r="D109" s="24">
        <f>SUMIFS('Saldos Iniciales'!$D:$D,'Saldos Iniciales'!$A:$A,"M1B")+SUMIFS(Movimientos!$K$1:$K$1325,Movimientos!$C$1:$C$1325,"M1B",Movimientos!$B$1:$B$1325,"&lt;="&amp;$B109)</f>
        <v>83211.250000000175</v>
      </c>
      <c r="E109" s="24">
        <f>SUMIFS('Saldos Iniciales'!$D:$D,'Saldos Iniciales'!$A:$A,"Durand")+SUMIFS(Movimientos!$K$1:$K$1325,Movimientos!$C$1:$C$1325,"Durand",Movimientos!$B$1:$B$1325,"&lt;="&amp;$B109)</f>
        <v>1669.89</v>
      </c>
      <c r="F109" s="24">
        <f>SUMIFS('Saldos Iniciales'!$D:$D,'Saldos Iniciales'!$A:$A,"A&amp;M Imports")+SUMIFS(Movimientos!$K$1:$K$1325,Movimientos!$C$1:$C$1325,"A&amp;M Imports",Movimientos!$B$1:$B$1325,"&lt;="&amp;$B109)</f>
        <v>1289451.94</v>
      </c>
      <c r="G109" s="24">
        <f>SUMIFS('Saldos Iniciales'!$D:$D,'Saldos Iniciales'!$A:$A,"SSP Capital")+SUMIFS(Movimientos!$K$1:$K$1325,Movimientos!$C$1:$C$1325,"SSP Capital",Movimientos!$B$1:$B$1325,"&lt;="&amp;$B109)</f>
        <v>1418808.6399999997</v>
      </c>
      <c r="H109" s="24">
        <f>SUMIFS('Saldos Iniciales'!$D:$D,'Saldos Iniciales'!$A:$A,"Cross Family Trust")+SUMIFS(Movimientos!$K$1:$K$1325,Movimientos!$C$1:$C$1325,"Cross Family Trust",Movimientos!$B$1:$B$1325,"&lt;="&amp;$B109)</f>
        <v>221496.38</v>
      </c>
      <c r="I109" s="24">
        <f>SUMIFS('Saldos Iniciales'!$D:$D,'Saldos Iniciales'!$A:$A,"Cross Security Trust")+SUMIFS(Movimientos!$K$1:$K$1325,Movimientos!$C$1:$C$1325,"Cross Security Trust",Movimientos!$B$1:$B$1325,"&lt;="&amp;$B109)</f>
        <v>158071.25999999998</v>
      </c>
      <c r="J109" s="24">
        <f>SUMIFS('Saldos Iniciales'!$D:$D,'Saldos Iniciales'!$A:$A,"Electrama")+SUMIFS(Movimientos!$K$1:$K$1325,Movimientos!$C$1:$C$1325,"Electrama",Movimientos!$B$1:$B$1325,"&lt;="&amp;$B109)</f>
        <v>13270.02</v>
      </c>
      <c r="K109" s="24">
        <f>SUMIFS('Saldos Iniciales'!$D:$D,'Saldos Iniciales'!$A:$A,"Sacred Valley Capital")+SUMIFS(Movimientos!$K$1:$K$1325,Movimientos!$C$1:$C$1325,"Sacred Valley Capital",Movimientos!$B$1:$B$1325,"&lt;="&amp;$B109)</f>
        <v>24.450000000000003</v>
      </c>
      <c r="L109" s="24">
        <f>SUMIFS('Saldos Iniciales'!$D:$D,'Saldos Iniciales'!$A:$A,"YWC Capital")+SUMIFS(Movimientos!$K$1:$K$1325,Movimientos!$C$1:$C$1325,"YWC Capital",Movimientos!$B$1:$B$1325,"&lt;="&amp;$B109)</f>
        <v>2177.87</v>
      </c>
      <c r="M109" s="24">
        <f>SUMIFS('Saldos Iniciales'!$D:$D,'Saldos Iniciales'!$A:$A,"Soweto")+SUMIFS(Movimientos!$K$1:$K$1325,Movimientos!$C$1:$C$1325,"Soweto",Movimientos!$B$1:$B$1325,"&lt;="&amp;$B109)</f>
        <v>754424.72</v>
      </c>
      <c r="N109" s="24">
        <f>SUMIFS('Saldos Iniciales'!$D:$D,'Saldos Iniciales'!$A:$A,"Green Stone Trust")+SUMIFS(Movimientos!$K$1:$K$1325,Movimientos!$C$1:$C$1325,"Green Stone Trust",Movimientos!$B$1:$B$1325,"&lt;="&amp;$B109)</f>
        <v>1968.99</v>
      </c>
      <c r="O109" s="24">
        <f>SUMIFS('Saldos Iniciales'!$D:$D,'Saldos Iniciales'!$A:$A,"EC Auto")+SUMIFS(Movimientos!$K$1:$K$1325,Movimientos!$C$1:$C$1325,"EC Auto",Movimientos!$B$1:$B$1325,"&lt;="&amp;$B109)</f>
        <v>901.34</v>
      </c>
      <c r="P109" s="24">
        <f>SUMIFS('Saldos Iniciales'!$D:$D,'Saldos Iniciales'!$A:$A,"Arbor Capital Properties")+SUMIFS(Movimientos!$K$1:$K$1325,Movimientos!$C$1:$C$1325,"Arbor Capital Properties",Movimientos!$B$1:$B$1325,"&lt;="&amp;$B109)</f>
        <v>1396.08</v>
      </c>
      <c r="Q109" s="24">
        <f>SUMIFS('Saldos Iniciales'!$D:$D,'Saldos Iniciales'!$A:$A,"2515 Overbrook")+SUMIFS(Movimientos!$K$1:$K$1325,Movimientos!$C$1:$C$1325,"2515 Overbrook",Movimientos!$B$1:$B$1325,"&lt;="&amp;$B109)</f>
        <v>13685.709999999959</v>
      </c>
      <c r="R109" s="24">
        <f>SUMIFS('Saldos Iniciales'!$D:$D,'Saldos Iniciales'!$A:$A,"112 Florida Ave")+SUMIFS(Movimientos!$K$1:$K$1325,Movimientos!$C$1:$C$1325,"112 Florida Ave",Movimientos!$B$1:$B$1325,"&lt;="&amp;$B109)</f>
        <v>8724.1700000000037</v>
      </c>
      <c r="S109" s="24">
        <f>SUMIFS('Saldos Iniciales'!$D:$D,'Saldos Iniciales'!$A:$A,"3628 Thomas Ave")+SUMIFS(Movimientos!$K$1:$K$1325,Movimientos!$C$1:$C$1325,"3628 Thomas Ave",Movimientos!$B$1:$B$1325,"&lt;="&amp;$B109)</f>
        <v>19336.039999999997</v>
      </c>
      <c r="T109" s="24">
        <f>SUMIFS('Saldos Iniciales'!$D:$D,'Saldos Iniciales'!$A:$A,"Green Harbor Trust")+SUMIFS(Movimientos!$K$1:$K$1325,Movimientos!$C$1:$C$1325,"Green Harbor Trust",Movimientos!$B$1:$B$1325,"&lt;="&amp;$B109)</f>
        <v>345</v>
      </c>
      <c r="U109" s="24">
        <f>SUMIFS('Saldos Iniciales'!$D:$D,'Saldos Iniciales'!$A:$A,"Go Blue")+SUMIFS(Movimientos!$K$1:$K$1325,Movimientos!$C$1:$C$1325,"Go Blue",Movimientos!$B$1:$B$1325,"&lt;="&amp;$B109)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LLC",Movimientos!$B$1:$B$1325,"&lt;="&amp;$B109))</f>
        <v>0</v>
      </c>
      <c r="W109" s="24">
        <f>IF(YEAR($B109)*100+MONTH($B109)&lt;--SUBSTITUTE(_xlfn.XLOOKUP("CFT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",Movimientos!$B$1:$B$1325,"&lt;="&amp;$B109))</f>
        <v>0</v>
      </c>
      <c r="AC109" s="24" t="e">
        <f>IF(YEAR($B109)*100+MONTH($B109)&lt;--SUBSTITUTE(_xlfn.XLOOKUP("SYIP",'Saldos Iniciales'!$A:$A,'Saldos Iniciales'!$C:$C),"-",""),0,SUMIFS('Saldos Iniciales'!$D:$D,'Saldos Iniciales'!$A:$A,"SYIP")+SUMIFS(Movimientos!$K$1:$K$1325,Movimientos!$C$1:$C$1325,"SYIP",Movimientos!$B$1:$B$1325,"&lt;="&amp;$B109))</f>
        <v>#N/A</v>
      </c>
      <c r="AD109" s="24">
        <f>IF(YEAR($B109)*100+MONTH($B109)&lt;--SUBSTITUTE(_xlfn.XLOOKUP("Nobe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Aparments",Movimientos!$B$1:$B$1325,"&lt;="&amp;$B109))</f>
        <v>0</v>
      </c>
      <c r="AE109" s="25" t="e">
        <f t="shared" si="4"/>
        <v>#N/A</v>
      </c>
    </row>
    <row r="110" spans="1:31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Group")+SUMIFS(Movimientos!$K$1:$K$1325,Movimientos!$C$1:$C$1325,"CFT Group",Movimientos!$B$1:$B$1325,"&lt;="&amp;$B110)</f>
        <v>941223.58000000042</v>
      </c>
      <c r="D110" s="24">
        <f>SUMIFS('Saldos Iniciales'!$D:$D,'Saldos Iniciales'!$A:$A,"M1B")+SUMIFS(Movimientos!$K$1:$K$1325,Movimientos!$C$1:$C$1325,"M1B",Movimientos!$B$1:$B$1325,"&lt;="&amp;$B110)</f>
        <v>83211.250000000175</v>
      </c>
      <c r="E110" s="24">
        <f>SUMIFS('Saldos Iniciales'!$D:$D,'Saldos Iniciales'!$A:$A,"Durand")+SUMIFS(Movimientos!$K$1:$K$1325,Movimientos!$C$1:$C$1325,"Durand",Movimientos!$B$1:$B$1325,"&lt;="&amp;$B110)</f>
        <v>1669.89</v>
      </c>
      <c r="F110" s="24">
        <f>SUMIFS('Saldos Iniciales'!$D:$D,'Saldos Iniciales'!$A:$A,"A&amp;M Imports")+SUMIFS(Movimientos!$K$1:$K$1325,Movimientos!$C$1:$C$1325,"A&amp;M Imports",Movimientos!$B$1:$B$1325,"&lt;="&amp;$B110)</f>
        <v>1289031.3399999999</v>
      </c>
      <c r="G110" s="24">
        <f>SUMIFS('Saldos Iniciales'!$D:$D,'Saldos Iniciales'!$A:$A,"SSP Capital")+SUMIFS(Movimientos!$K$1:$K$1325,Movimientos!$C$1:$C$1325,"SSP Capital",Movimientos!$B$1:$B$1325,"&lt;="&amp;$B110)</f>
        <v>1383977.5499999996</v>
      </c>
      <c r="H110" s="24">
        <f>SUMIFS('Saldos Iniciales'!$D:$D,'Saldos Iniciales'!$A:$A,"Cross Family Trust")+SUMIFS(Movimientos!$K$1:$K$1325,Movimientos!$C$1:$C$1325,"Cross Family Trust",Movimientos!$B$1:$B$1325,"&lt;="&amp;$B110)</f>
        <v>221496.38</v>
      </c>
      <c r="I110" s="24">
        <f>SUMIFS('Saldos Iniciales'!$D:$D,'Saldos Iniciales'!$A:$A,"Cross Security Trust")+SUMIFS(Movimientos!$K$1:$K$1325,Movimientos!$C$1:$C$1325,"Cross Security Trust",Movimientos!$B$1:$B$1325,"&lt;="&amp;$B110)</f>
        <v>158071.25999999998</v>
      </c>
      <c r="J110" s="24">
        <f>SUMIFS('Saldos Iniciales'!$D:$D,'Saldos Iniciales'!$A:$A,"Electrama")+SUMIFS(Movimientos!$K$1:$K$1325,Movimientos!$C$1:$C$1325,"Electrama",Movimientos!$B$1:$B$1325,"&lt;="&amp;$B110)</f>
        <v>13270.02</v>
      </c>
      <c r="K110" s="24">
        <f>SUMIFS('Saldos Iniciales'!$D:$D,'Saldos Iniciales'!$A:$A,"Sacred Valley Capital")+SUMIFS(Movimientos!$K$1:$K$1325,Movimientos!$C$1:$C$1325,"Sacred Valley Capital",Movimientos!$B$1:$B$1325,"&lt;="&amp;$B110)</f>
        <v>24.450000000000003</v>
      </c>
      <c r="L110" s="24">
        <f>SUMIFS('Saldos Iniciales'!$D:$D,'Saldos Iniciales'!$A:$A,"YWC Capital")+SUMIFS(Movimientos!$K$1:$K$1325,Movimientos!$C$1:$C$1325,"YWC Capital",Movimientos!$B$1:$B$1325,"&lt;="&amp;$B110)</f>
        <v>2177.87</v>
      </c>
      <c r="M110" s="24">
        <f>SUMIFS('Saldos Iniciales'!$D:$D,'Saldos Iniciales'!$A:$A,"Soweto")+SUMIFS(Movimientos!$K$1:$K$1325,Movimientos!$C$1:$C$1325,"Soweto",Movimientos!$B$1:$B$1325,"&lt;="&amp;$B110)</f>
        <v>754424.72</v>
      </c>
      <c r="N110" s="24">
        <f>SUMIFS('Saldos Iniciales'!$D:$D,'Saldos Iniciales'!$A:$A,"Green Stone Trust")+SUMIFS(Movimientos!$K$1:$K$1325,Movimientos!$C$1:$C$1325,"Green Stone Trust",Movimientos!$B$1:$B$1325,"&lt;="&amp;$B110)</f>
        <v>1968.99</v>
      </c>
      <c r="O110" s="24">
        <f>SUMIFS('Saldos Iniciales'!$D:$D,'Saldos Iniciales'!$A:$A,"EC Auto")+SUMIFS(Movimientos!$K$1:$K$1325,Movimientos!$C$1:$C$1325,"EC Auto",Movimientos!$B$1:$B$1325,"&lt;="&amp;$B110)</f>
        <v>901.34</v>
      </c>
      <c r="P110" s="24">
        <f>SUMIFS('Saldos Iniciales'!$D:$D,'Saldos Iniciales'!$A:$A,"Arbor Capital Properties")+SUMIFS(Movimientos!$K$1:$K$1325,Movimientos!$C$1:$C$1325,"Arbor Capital Properties",Movimientos!$B$1:$B$1325,"&lt;="&amp;$B110)</f>
        <v>1396.08</v>
      </c>
      <c r="Q110" s="24">
        <f>SUMIFS('Saldos Iniciales'!$D:$D,'Saldos Iniciales'!$A:$A,"2515 Overbrook")+SUMIFS(Movimientos!$K$1:$K$1325,Movimientos!$C$1:$C$1325,"2515 Overbrook",Movimientos!$B$1:$B$1325,"&lt;="&amp;$B110)</f>
        <v>13685.709999999959</v>
      </c>
      <c r="R110" s="24">
        <f>SUMIFS('Saldos Iniciales'!$D:$D,'Saldos Iniciales'!$A:$A,"112 Florida Ave")+SUMIFS(Movimientos!$K$1:$K$1325,Movimientos!$C$1:$C$1325,"112 Florida Ave",Movimientos!$B$1:$B$1325,"&lt;="&amp;$B110)</f>
        <v>8724.1700000000037</v>
      </c>
      <c r="S110" s="24">
        <f>SUMIFS('Saldos Iniciales'!$D:$D,'Saldos Iniciales'!$A:$A,"3628 Thomas Ave")+SUMIFS(Movimientos!$K$1:$K$1325,Movimientos!$C$1:$C$1325,"3628 Thomas Ave",Movimientos!$B$1:$B$1325,"&lt;="&amp;$B110)</f>
        <v>19336.039999999997</v>
      </c>
      <c r="T110" s="24">
        <f>SUMIFS('Saldos Iniciales'!$D:$D,'Saldos Iniciales'!$A:$A,"Green Harbor Trust")+SUMIFS(Movimientos!$K$1:$K$1325,Movimientos!$C$1:$C$1325,"Green Harbor Trust",Movimientos!$B$1:$B$1325,"&lt;="&amp;$B110)</f>
        <v>345</v>
      </c>
      <c r="U110" s="24">
        <f>SUMIFS('Saldos Iniciales'!$D:$D,'Saldos Iniciales'!$A:$A,"Go Blue")+SUMIFS(Movimientos!$K$1:$K$1325,Movimientos!$C$1:$C$1325,"Go Blue",Movimientos!$B$1:$B$1325,"&lt;="&amp;$B110)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LLC",Movimientos!$B$1:$B$1325,"&lt;="&amp;$B110))</f>
        <v>0</v>
      </c>
      <c r="W110" s="24">
        <f>IF(YEAR($B110)*100+MONTH($B110)&lt;--SUBSTITUTE(_xlfn.XLOOKUP("CFT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",Movimientos!$B$1:$B$1325,"&lt;="&amp;$B110))</f>
        <v>0</v>
      </c>
      <c r="AC110" s="24" t="e">
        <f>IF(YEAR($B110)*100+MONTH($B110)&lt;--SUBSTITUTE(_xlfn.XLOOKUP("SYIP",'Saldos Iniciales'!$A:$A,'Saldos Iniciales'!$C:$C),"-",""),0,SUMIFS('Saldos Iniciales'!$D:$D,'Saldos Iniciales'!$A:$A,"SYIP")+SUMIFS(Movimientos!$K$1:$K$1325,Movimientos!$C$1:$C$1325,"SYIP",Movimientos!$B$1:$B$1325,"&lt;="&amp;$B110))</f>
        <v>#N/A</v>
      </c>
      <c r="AD110" s="24">
        <f>IF(YEAR($B110)*100+MONTH($B110)&lt;--SUBSTITUTE(_xlfn.XLOOKUP("Nobe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Aparments",Movimientos!$B$1:$B$1325,"&lt;="&amp;$B110))</f>
        <v>0</v>
      </c>
      <c r="AE110" s="25" t="e">
        <f t="shared" si="4"/>
        <v>#N/A</v>
      </c>
    </row>
    <row r="111" spans="1:31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Group")+SUMIFS(Movimientos!$K$1:$K$1325,Movimientos!$C$1:$C$1325,"CFT Group",Movimientos!$B$1:$B$1325,"&lt;="&amp;$B111)</f>
        <v>1047085.3600000005</v>
      </c>
      <c r="D111" s="24">
        <f>SUMIFS('Saldos Iniciales'!$D:$D,'Saldos Iniciales'!$A:$A,"M1B")+SUMIFS(Movimientos!$K$1:$K$1325,Movimientos!$C$1:$C$1325,"M1B",Movimientos!$B$1:$B$1325,"&lt;="&amp;$B111)</f>
        <v>83211.250000000175</v>
      </c>
      <c r="E111" s="24">
        <f>SUMIFS('Saldos Iniciales'!$D:$D,'Saldos Iniciales'!$A:$A,"Durand")+SUMIFS(Movimientos!$K$1:$K$1325,Movimientos!$C$1:$C$1325,"Durand",Movimientos!$B$1:$B$1325,"&lt;="&amp;$B111)</f>
        <v>1669.89</v>
      </c>
      <c r="F111" s="24">
        <f>SUMIFS('Saldos Iniciales'!$D:$D,'Saldos Iniciales'!$A:$A,"A&amp;M Imports")+SUMIFS(Movimientos!$K$1:$K$1325,Movimientos!$C$1:$C$1325,"A&amp;M Imports",Movimientos!$B$1:$B$1325,"&lt;="&amp;$B111)</f>
        <v>1289031.3399999999</v>
      </c>
      <c r="G111" s="24">
        <f>SUMIFS('Saldos Iniciales'!$D:$D,'Saldos Iniciales'!$A:$A,"SSP Capital")+SUMIFS(Movimientos!$K$1:$K$1325,Movimientos!$C$1:$C$1325,"SSP Capital",Movimientos!$B$1:$B$1325,"&lt;="&amp;$B111)</f>
        <v>1381487.1899999995</v>
      </c>
      <c r="H111" s="24">
        <f>SUMIFS('Saldos Iniciales'!$D:$D,'Saldos Iniciales'!$A:$A,"Cross Family Trust")+SUMIFS(Movimientos!$K$1:$K$1325,Movimientos!$C$1:$C$1325,"Cross Family Trust",Movimientos!$B$1:$B$1325,"&lt;="&amp;$B111)</f>
        <v>221496.38</v>
      </c>
      <c r="I111" s="24">
        <f>SUMIFS('Saldos Iniciales'!$D:$D,'Saldos Iniciales'!$A:$A,"Cross Security Trust")+SUMIFS(Movimientos!$K$1:$K$1325,Movimientos!$C$1:$C$1325,"Cross Security Trust",Movimientos!$B$1:$B$1325,"&lt;="&amp;$B111)</f>
        <v>158071.25999999998</v>
      </c>
      <c r="J111" s="24">
        <f>SUMIFS('Saldos Iniciales'!$D:$D,'Saldos Iniciales'!$A:$A,"Electrama")+SUMIFS(Movimientos!$K$1:$K$1325,Movimientos!$C$1:$C$1325,"Electrama",Movimientos!$B$1:$B$1325,"&lt;="&amp;$B111)</f>
        <v>13270.02</v>
      </c>
      <c r="K111" s="24">
        <f>SUMIFS('Saldos Iniciales'!$D:$D,'Saldos Iniciales'!$A:$A,"Sacred Valley Capital")+SUMIFS(Movimientos!$K$1:$K$1325,Movimientos!$C$1:$C$1325,"Sacred Valley Capital",Movimientos!$B$1:$B$1325,"&lt;="&amp;$B111)</f>
        <v>24.450000000000003</v>
      </c>
      <c r="L111" s="24">
        <f>SUMIFS('Saldos Iniciales'!$D:$D,'Saldos Iniciales'!$A:$A,"YWC Capital")+SUMIFS(Movimientos!$K$1:$K$1325,Movimientos!$C$1:$C$1325,"YWC Capital",Movimientos!$B$1:$B$1325,"&lt;="&amp;$B111)</f>
        <v>2177.87</v>
      </c>
      <c r="M111" s="24">
        <f>SUMIFS('Saldos Iniciales'!$D:$D,'Saldos Iniciales'!$A:$A,"Soweto")+SUMIFS(Movimientos!$K$1:$K$1325,Movimientos!$C$1:$C$1325,"Soweto",Movimientos!$B$1:$B$1325,"&lt;="&amp;$B111)</f>
        <v>754424.72</v>
      </c>
      <c r="N111" s="24">
        <f>SUMIFS('Saldos Iniciales'!$D:$D,'Saldos Iniciales'!$A:$A,"Green Stone Trust")+SUMIFS(Movimientos!$K$1:$K$1325,Movimientos!$C$1:$C$1325,"Green Stone Trust",Movimientos!$B$1:$B$1325,"&lt;="&amp;$B111)</f>
        <v>1968.99</v>
      </c>
      <c r="O111" s="24">
        <f>SUMIFS('Saldos Iniciales'!$D:$D,'Saldos Iniciales'!$A:$A,"EC Auto")+SUMIFS(Movimientos!$K$1:$K$1325,Movimientos!$C$1:$C$1325,"EC Auto",Movimientos!$B$1:$B$1325,"&lt;="&amp;$B111)</f>
        <v>901.34</v>
      </c>
      <c r="P111" s="24">
        <f>SUMIFS('Saldos Iniciales'!$D:$D,'Saldos Iniciales'!$A:$A,"Arbor Capital Properties")+SUMIFS(Movimientos!$K$1:$K$1325,Movimientos!$C$1:$C$1325,"Arbor Capital Properties",Movimientos!$B$1:$B$1325,"&lt;="&amp;$B111)</f>
        <v>1396.08</v>
      </c>
      <c r="Q111" s="24">
        <f>SUMIFS('Saldos Iniciales'!$D:$D,'Saldos Iniciales'!$A:$A,"2515 Overbrook")+SUMIFS(Movimientos!$K$1:$K$1325,Movimientos!$C$1:$C$1325,"2515 Overbrook",Movimientos!$B$1:$B$1325,"&lt;="&amp;$B111)</f>
        <v>13685.709999999959</v>
      </c>
      <c r="R111" s="24">
        <f>SUMIFS('Saldos Iniciales'!$D:$D,'Saldos Iniciales'!$A:$A,"112 Florida Ave")+SUMIFS(Movimientos!$K$1:$K$1325,Movimientos!$C$1:$C$1325,"112 Florida Ave",Movimientos!$B$1:$B$1325,"&lt;="&amp;$B111)</f>
        <v>8724.1700000000037</v>
      </c>
      <c r="S111" s="24">
        <f>SUMIFS('Saldos Iniciales'!$D:$D,'Saldos Iniciales'!$A:$A,"3628 Thomas Ave")+SUMIFS(Movimientos!$K$1:$K$1325,Movimientos!$C$1:$C$1325,"3628 Thomas Ave",Movimientos!$B$1:$B$1325,"&lt;="&amp;$B111)</f>
        <v>19336.039999999997</v>
      </c>
      <c r="T111" s="24">
        <f>SUMIFS('Saldos Iniciales'!$D:$D,'Saldos Iniciales'!$A:$A,"Green Harbor Trust")+SUMIFS(Movimientos!$K$1:$K$1325,Movimientos!$C$1:$C$1325,"Green Harbor Trust",Movimientos!$B$1:$B$1325,"&lt;="&amp;$B111)</f>
        <v>345</v>
      </c>
      <c r="U111" s="24">
        <f>SUMIFS('Saldos Iniciales'!$D:$D,'Saldos Iniciales'!$A:$A,"Go Blue")+SUMIFS(Movimientos!$K$1:$K$1325,Movimientos!$C$1:$C$1325,"Go Blue",Movimientos!$B$1:$B$1325,"&lt;="&amp;$B111)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LLC",Movimientos!$B$1:$B$1325,"&lt;="&amp;$B111))</f>
        <v>0</v>
      </c>
      <c r="W111" s="24">
        <f>IF(YEAR($B111)*100+MONTH($B111)&lt;--SUBSTITUTE(_xlfn.XLOOKUP("CFT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",Movimientos!$B$1:$B$1325,"&lt;="&amp;$B111))</f>
        <v>0</v>
      </c>
      <c r="AC111" s="24" t="e">
        <f>IF(YEAR($B111)*100+MONTH($B111)&lt;--SUBSTITUTE(_xlfn.XLOOKUP("SYIP",'Saldos Iniciales'!$A:$A,'Saldos Iniciales'!$C:$C),"-",""),0,SUMIFS('Saldos Iniciales'!$D:$D,'Saldos Iniciales'!$A:$A,"SYIP")+SUMIFS(Movimientos!$K$1:$K$1325,Movimientos!$C$1:$C$1325,"SYIP",Movimientos!$B$1:$B$1325,"&lt;="&amp;$B111))</f>
        <v>#N/A</v>
      </c>
      <c r="AD111" s="24">
        <f>IF(YEAR($B111)*100+MONTH($B111)&lt;--SUBSTITUTE(_xlfn.XLOOKUP("Nobe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Aparments",Movimientos!$B$1:$B$1325,"&lt;="&amp;$B111))</f>
        <v>0</v>
      </c>
      <c r="AE111" s="25" t="e">
        <f t="shared" si="4"/>
        <v>#N/A</v>
      </c>
    </row>
    <row r="112" spans="1:31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Group")+SUMIFS(Movimientos!$K$1:$K$1325,Movimientos!$C$1:$C$1325,"CFT Group",Movimientos!$B$1:$B$1325,"&lt;="&amp;$B112)</f>
        <v>1047085.3600000005</v>
      </c>
      <c r="D112" s="24">
        <f>SUMIFS('Saldos Iniciales'!$D:$D,'Saldos Iniciales'!$A:$A,"M1B")+SUMIFS(Movimientos!$K$1:$K$1325,Movimientos!$C$1:$C$1325,"M1B",Movimientos!$B$1:$B$1325,"&lt;="&amp;$B112)</f>
        <v>83211.250000000175</v>
      </c>
      <c r="E112" s="24">
        <f>SUMIFS('Saldos Iniciales'!$D:$D,'Saldos Iniciales'!$A:$A,"Durand")+SUMIFS(Movimientos!$K$1:$K$1325,Movimientos!$C$1:$C$1325,"Durand",Movimientos!$B$1:$B$1325,"&lt;="&amp;$B112)</f>
        <v>1669.89</v>
      </c>
      <c r="F112" s="24">
        <f>SUMIFS('Saldos Iniciales'!$D:$D,'Saldos Iniciales'!$A:$A,"A&amp;M Imports")+SUMIFS(Movimientos!$K$1:$K$1325,Movimientos!$C$1:$C$1325,"A&amp;M Imports",Movimientos!$B$1:$B$1325,"&lt;="&amp;$B112)</f>
        <v>1289031.3399999999</v>
      </c>
      <c r="G112" s="24">
        <f>SUMIFS('Saldos Iniciales'!$D:$D,'Saldos Iniciales'!$A:$A,"SSP Capital")+SUMIFS(Movimientos!$K$1:$K$1325,Movimientos!$C$1:$C$1325,"SSP Capital",Movimientos!$B$1:$B$1325,"&lt;="&amp;$B112)</f>
        <v>1880583.4899999998</v>
      </c>
      <c r="H112" s="24">
        <f>SUMIFS('Saldos Iniciales'!$D:$D,'Saldos Iniciales'!$A:$A,"Cross Family Trust")+SUMIFS(Movimientos!$K$1:$K$1325,Movimientos!$C$1:$C$1325,"Cross Family Trust",Movimientos!$B$1:$B$1325,"&lt;="&amp;$B112)</f>
        <v>221496.38</v>
      </c>
      <c r="I112" s="24">
        <f>SUMIFS('Saldos Iniciales'!$D:$D,'Saldos Iniciales'!$A:$A,"Cross Security Trust")+SUMIFS(Movimientos!$K$1:$K$1325,Movimientos!$C$1:$C$1325,"Cross Security Trust",Movimientos!$B$1:$B$1325,"&lt;="&amp;$B112)</f>
        <v>158071.25999999998</v>
      </c>
      <c r="J112" s="24">
        <f>SUMIFS('Saldos Iniciales'!$D:$D,'Saldos Iniciales'!$A:$A,"Electrama")+SUMIFS(Movimientos!$K$1:$K$1325,Movimientos!$C$1:$C$1325,"Electrama",Movimientos!$B$1:$B$1325,"&lt;="&amp;$B112)</f>
        <v>13270.02</v>
      </c>
      <c r="K112" s="24">
        <f>SUMIFS('Saldos Iniciales'!$D:$D,'Saldos Iniciales'!$A:$A,"Sacred Valley Capital")+SUMIFS(Movimientos!$K$1:$K$1325,Movimientos!$C$1:$C$1325,"Sacred Valley Capital",Movimientos!$B$1:$B$1325,"&lt;="&amp;$B112)</f>
        <v>24.450000000000003</v>
      </c>
      <c r="L112" s="24">
        <f>SUMIFS('Saldos Iniciales'!$D:$D,'Saldos Iniciales'!$A:$A,"YWC Capital")+SUMIFS(Movimientos!$K$1:$K$1325,Movimientos!$C$1:$C$1325,"YWC Capital",Movimientos!$B$1:$B$1325,"&lt;="&amp;$B112)</f>
        <v>2177.87</v>
      </c>
      <c r="M112" s="24">
        <f>SUMIFS('Saldos Iniciales'!$D:$D,'Saldos Iniciales'!$A:$A,"Soweto")+SUMIFS(Movimientos!$K$1:$K$1325,Movimientos!$C$1:$C$1325,"Soweto",Movimientos!$B$1:$B$1325,"&lt;="&amp;$B112)</f>
        <v>754424.72</v>
      </c>
      <c r="N112" s="24">
        <f>SUMIFS('Saldos Iniciales'!$D:$D,'Saldos Iniciales'!$A:$A,"Green Stone Trust")+SUMIFS(Movimientos!$K$1:$K$1325,Movimientos!$C$1:$C$1325,"Green Stone Trust",Movimientos!$B$1:$B$1325,"&lt;="&amp;$B112)</f>
        <v>1968.99</v>
      </c>
      <c r="O112" s="24">
        <f>SUMIFS('Saldos Iniciales'!$D:$D,'Saldos Iniciales'!$A:$A,"EC Auto")+SUMIFS(Movimientos!$K$1:$K$1325,Movimientos!$C$1:$C$1325,"EC Auto",Movimientos!$B$1:$B$1325,"&lt;="&amp;$B112)</f>
        <v>901.34</v>
      </c>
      <c r="P112" s="24">
        <f>SUMIFS('Saldos Iniciales'!$D:$D,'Saldos Iniciales'!$A:$A,"Arbor Capital Properties")+SUMIFS(Movimientos!$K$1:$K$1325,Movimientos!$C$1:$C$1325,"Arbor Capital Properties",Movimientos!$B$1:$B$1325,"&lt;="&amp;$B112)</f>
        <v>1396.08</v>
      </c>
      <c r="Q112" s="24">
        <f>SUMIFS('Saldos Iniciales'!$D:$D,'Saldos Iniciales'!$A:$A,"2515 Overbrook")+SUMIFS(Movimientos!$K$1:$K$1325,Movimientos!$C$1:$C$1325,"2515 Overbrook",Movimientos!$B$1:$B$1325,"&lt;="&amp;$B112)</f>
        <v>13685.709999999959</v>
      </c>
      <c r="R112" s="24">
        <f>SUMIFS('Saldos Iniciales'!$D:$D,'Saldos Iniciales'!$A:$A,"112 Florida Ave")+SUMIFS(Movimientos!$K$1:$K$1325,Movimientos!$C$1:$C$1325,"112 Florida Ave",Movimientos!$B$1:$B$1325,"&lt;="&amp;$B112)</f>
        <v>8724.1700000000037</v>
      </c>
      <c r="S112" s="24">
        <f>SUMIFS('Saldos Iniciales'!$D:$D,'Saldos Iniciales'!$A:$A,"3628 Thomas Ave")+SUMIFS(Movimientos!$K$1:$K$1325,Movimientos!$C$1:$C$1325,"3628 Thomas Ave",Movimientos!$B$1:$B$1325,"&lt;="&amp;$B112)</f>
        <v>19336.039999999997</v>
      </c>
      <c r="T112" s="24">
        <f>SUMIFS('Saldos Iniciales'!$D:$D,'Saldos Iniciales'!$A:$A,"Green Harbor Trust")+SUMIFS(Movimientos!$K$1:$K$1325,Movimientos!$C$1:$C$1325,"Green Harbor Trust",Movimientos!$B$1:$B$1325,"&lt;="&amp;$B112)</f>
        <v>345</v>
      </c>
      <c r="U112" s="24">
        <f>SUMIFS('Saldos Iniciales'!$D:$D,'Saldos Iniciales'!$A:$A,"Go Blue")+SUMIFS(Movimientos!$K$1:$K$1325,Movimientos!$C$1:$C$1325,"Go Blue",Movimientos!$B$1:$B$1325,"&lt;="&amp;$B112)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LLC",Movimientos!$B$1:$B$1325,"&lt;="&amp;$B112))</f>
        <v>0</v>
      </c>
      <c r="W112" s="24">
        <f>IF(YEAR($B112)*100+MONTH($B112)&lt;--SUBSTITUTE(_xlfn.XLOOKUP("CFT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",Movimientos!$B$1:$B$1325,"&lt;="&amp;$B112))</f>
        <v>0</v>
      </c>
      <c r="AC112" s="24" t="e">
        <f>IF(YEAR($B112)*100+MONTH($B112)&lt;--SUBSTITUTE(_xlfn.XLOOKUP("SYIP",'Saldos Iniciales'!$A:$A,'Saldos Iniciales'!$C:$C),"-",""),0,SUMIFS('Saldos Iniciales'!$D:$D,'Saldos Iniciales'!$A:$A,"SYIP")+SUMIFS(Movimientos!$K$1:$K$1325,Movimientos!$C$1:$C$1325,"SYIP",Movimientos!$B$1:$B$1325,"&lt;="&amp;$B112))</f>
        <v>#N/A</v>
      </c>
      <c r="AD112" s="24">
        <f>IF(YEAR($B112)*100+MONTH($B112)&lt;--SUBSTITUTE(_xlfn.XLOOKUP("Nobe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Aparments",Movimientos!$B$1:$B$1325,"&lt;="&amp;$B112))</f>
        <v>0</v>
      </c>
      <c r="AE112" s="25" t="e">
        <f t="shared" si="4"/>
        <v>#N/A</v>
      </c>
    </row>
    <row r="113" spans="1:31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Group")+SUMIFS(Movimientos!$K$1:$K$1325,Movimientos!$C$1:$C$1325,"CFT Group",Movimientos!$B$1:$B$1325,"&lt;="&amp;$B113)</f>
        <v>702210.36000000045</v>
      </c>
      <c r="D113" s="24">
        <f>SUMIFS('Saldos Iniciales'!$D:$D,'Saldos Iniciales'!$A:$A,"M1B")+SUMIFS(Movimientos!$K$1:$K$1325,Movimientos!$C$1:$C$1325,"M1B",Movimientos!$B$1:$B$1325,"&lt;="&amp;$B113)</f>
        <v>83211.250000000175</v>
      </c>
      <c r="E113" s="24">
        <f>SUMIFS('Saldos Iniciales'!$D:$D,'Saldos Iniciales'!$A:$A,"Durand")+SUMIFS(Movimientos!$K$1:$K$1325,Movimientos!$C$1:$C$1325,"Durand",Movimientos!$B$1:$B$1325,"&lt;="&amp;$B113)</f>
        <v>1669.89</v>
      </c>
      <c r="F113" s="24">
        <f>SUMIFS('Saldos Iniciales'!$D:$D,'Saldos Iniciales'!$A:$A,"A&amp;M Imports")+SUMIFS(Movimientos!$K$1:$K$1325,Movimientos!$C$1:$C$1325,"A&amp;M Imports",Movimientos!$B$1:$B$1325,"&lt;="&amp;$B113)</f>
        <v>1229031.3399999999</v>
      </c>
      <c r="G113" s="24">
        <f>SUMIFS('Saldos Iniciales'!$D:$D,'Saldos Iniciales'!$A:$A,"SSP Capital")+SUMIFS(Movimientos!$K$1:$K$1325,Movimientos!$C$1:$C$1325,"SSP Capital",Movimientos!$B$1:$B$1325,"&lt;="&amp;$B113)</f>
        <v>1744052.5799999996</v>
      </c>
      <c r="H113" s="24">
        <f>SUMIFS('Saldos Iniciales'!$D:$D,'Saldos Iniciales'!$A:$A,"Cross Family Trust")+SUMIFS(Movimientos!$K$1:$K$1325,Movimientos!$C$1:$C$1325,"Cross Family Trust",Movimientos!$B$1:$B$1325,"&lt;="&amp;$B113)</f>
        <v>221496.38</v>
      </c>
      <c r="I113" s="24">
        <f>SUMIFS('Saldos Iniciales'!$D:$D,'Saldos Iniciales'!$A:$A,"Cross Security Trust")+SUMIFS(Movimientos!$K$1:$K$1325,Movimientos!$C$1:$C$1325,"Cross Security Trust",Movimientos!$B$1:$B$1325,"&lt;="&amp;$B113)</f>
        <v>158071.25999999998</v>
      </c>
      <c r="J113" s="24">
        <f>SUMIFS('Saldos Iniciales'!$D:$D,'Saldos Iniciales'!$A:$A,"Electrama")+SUMIFS(Movimientos!$K$1:$K$1325,Movimientos!$C$1:$C$1325,"Electrama",Movimientos!$B$1:$B$1325,"&lt;="&amp;$B113)</f>
        <v>13270.02</v>
      </c>
      <c r="K113" s="24">
        <f>SUMIFS('Saldos Iniciales'!$D:$D,'Saldos Iniciales'!$A:$A,"Sacred Valley Capital")+SUMIFS(Movimientos!$K$1:$K$1325,Movimientos!$C$1:$C$1325,"Sacred Valley Capital",Movimientos!$B$1:$B$1325,"&lt;="&amp;$B113)</f>
        <v>24.450000000000003</v>
      </c>
      <c r="L113" s="24">
        <f>SUMIFS('Saldos Iniciales'!$D:$D,'Saldos Iniciales'!$A:$A,"YWC Capital")+SUMIFS(Movimientos!$K$1:$K$1325,Movimientos!$C$1:$C$1325,"YWC Capital",Movimientos!$B$1:$B$1325,"&lt;="&amp;$B113)</f>
        <v>2177.87</v>
      </c>
      <c r="M113" s="24">
        <f>SUMIFS('Saldos Iniciales'!$D:$D,'Saldos Iniciales'!$A:$A,"Soweto")+SUMIFS(Movimientos!$K$1:$K$1325,Movimientos!$C$1:$C$1325,"Soweto",Movimientos!$B$1:$B$1325,"&lt;="&amp;$B113)</f>
        <v>754424.72</v>
      </c>
      <c r="N113" s="24">
        <f>SUMIFS('Saldos Iniciales'!$D:$D,'Saldos Iniciales'!$A:$A,"Green Stone Trust")+SUMIFS(Movimientos!$K$1:$K$1325,Movimientos!$C$1:$C$1325,"Green Stone Trust",Movimientos!$B$1:$B$1325,"&lt;="&amp;$B113)</f>
        <v>1968.99</v>
      </c>
      <c r="O113" s="24">
        <f>SUMIFS('Saldos Iniciales'!$D:$D,'Saldos Iniciales'!$A:$A,"EC Auto")+SUMIFS(Movimientos!$K$1:$K$1325,Movimientos!$C$1:$C$1325,"EC Auto",Movimientos!$B$1:$B$1325,"&lt;="&amp;$B113)</f>
        <v>901.34</v>
      </c>
      <c r="P113" s="24">
        <f>SUMIFS('Saldos Iniciales'!$D:$D,'Saldos Iniciales'!$A:$A,"Arbor Capital Properties")+SUMIFS(Movimientos!$K$1:$K$1325,Movimientos!$C$1:$C$1325,"Arbor Capital Properties",Movimientos!$B$1:$B$1325,"&lt;="&amp;$B113)</f>
        <v>1396.08</v>
      </c>
      <c r="Q113" s="24">
        <f>SUMIFS('Saldos Iniciales'!$D:$D,'Saldos Iniciales'!$A:$A,"2515 Overbrook")+SUMIFS(Movimientos!$K$1:$K$1325,Movimientos!$C$1:$C$1325,"2515 Overbrook",Movimientos!$B$1:$B$1325,"&lt;="&amp;$B113)</f>
        <v>13685.709999999959</v>
      </c>
      <c r="R113" s="24">
        <f>SUMIFS('Saldos Iniciales'!$D:$D,'Saldos Iniciales'!$A:$A,"112 Florida Ave")+SUMIFS(Movimientos!$K$1:$K$1325,Movimientos!$C$1:$C$1325,"112 Florida Ave",Movimientos!$B$1:$B$1325,"&lt;="&amp;$B113)</f>
        <v>8724.1700000000037</v>
      </c>
      <c r="S113" s="24">
        <f>SUMIFS('Saldos Iniciales'!$D:$D,'Saldos Iniciales'!$A:$A,"3628 Thomas Ave")+SUMIFS(Movimientos!$K$1:$K$1325,Movimientos!$C$1:$C$1325,"3628 Thomas Ave",Movimientos!$B$1:$B$1325,"&lt;="&amp;$B113)</f>
        <v>19336.039999999997</v>
      </c>
      <c r="T113" s="24">
        <f>SUMIFS('Saldos Iniciales'!$D:$D,'Saldos Iniciales'!$A:$A,"Green Harbor Trust")+SUMIFS(Movimientos!$K$1:$K$1325,Movimientos!$C$1:$C$1325,"Green Harbor Trust",Movimientos!$B$1:$B$1325,"&lt;="&amp;$B113)</f>
        <v>345</v>
      </c>
      <c r="U113" s="24">
        <f>SUMIFS('Saldos Iniciales'!$D:$D,'Saldos Iniciales'!$A:$A,"Go Blue")+SUMIFS(Movimientos!$K$1:$K$1325,Movimientos!$C$1:$C$1325,"Go Blue",Movimientos!$B$1:$B$1325,"&lt;="&amp;$B113)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LLC",Movimientos!$B$1:$B$1325,"&lt;="&amp;$B113))</f>
        <v>0</v>
      </c>
      <c r="W113" s="24">
        <f>IF(YEAR($B113)*100+MONTH($B113)&lt;--SUBSTITUTE(_xlfn.XLOOKUP("CFT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",Movimientos!$B$1:$B$1325,"&lt;="&amp;$B113))</f>
        <v>0</v>
      </c>
      <c r="AC113" s="24" t="e">
        <f>IF(YEAR($B113)*100+MONTH($B113)&lt;--SUBSTITUTE(_xlfn.XLOOKUP("SYIP",'Saldos Iniciales'!$A:$A,'Saldos Iniciales'!$C:$C),"-",""),0,SUMIFS('Saldos Iniciales'!$D:$D,'Saldos Iniciales'!$A:$A,"SYIP")+SUMIFS(Movimientos!$K$1:$K$1325,Movimientos!$C$1:$C$1325,"SYIP",Movimientos!$B$1:$B$1325,"&lt;="&amp;$B113))</f>
        <v>#N/A</v>
      </c>
      <c r="AD113" s="24">
        <f>IF(YEAR($B113)*100+MONTH($B113)&lt;--SUBSTITUTE(_xlfn.XLOOKUP("Nobe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Aparments",Movimientos!$B$1:$B$1325,"&lt;="&amp;$B113))</f>
        <v>0</v>
      </c>
      <c r="AE113" s="25" t="e">
        <f t="shared" si="4"/>
        <v>#N/A</v>
      </c>
    </row>
    <row r="114" spans="1:31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Group")+SUMIFS(Movimientos!$K$1:$K$1325,Movimientos!$C$1:$C$1325,"CFT Group",Movimientos!$B$1:$B$1325,"&lt;="&amp;$B114)</f>
        <v>702210.36000000045</v>
      </c>
      <c r="D114" s="24">
        <f>SUMIFS('Saldos Iniciales'!$D:$D,'Saldos Iniciales'!$A:$A,"M1B")+SUMIFS(Movimientos!$K$1:$K$1325,Movimientos!$C$1:$C$1325,"M1B",Movimientos!$B$1:$B$1325,"&lt;="&amp;$B114)</f>
        <v>83211.250000000175</v>
      </c>
      <c r="E114" s="24">
        <f>SUMIFS('Saldos Iniciales'!$D:$D,'Saldos Iniciales'!$A:$A,"Durand")+SUMIFS(Movimientos!$K$1:$K$1325,Movimientos!$C$1:$C$1325,"Durand",Movimientos!$B$1:$B$1325,"&lt;="&amp;$B114)</f>
        <v>1669.89</v>
      </c>
      <c r="F114" s="24">
        <f>SUMIFS('Saldos Iniciales'!$D:$D,'Saldos Iniciales'!$A:$A,"A&amp;M Imports")+SUMIFS(Movimientos!$K$1:$K$1325,Movimientos!$C$1:$C$1325,"A&amp;M Imports",Movimientos!$B$1:$B$1325,"&lt;="&amp;$B114)</f>
        <v>1229031.3399999999</v>
      </c>
      <c r="G114" s="24">
        <f>SUMIFS('Saldos Iniciales'!$D:$D,'Saldos Iniciales'!$A:$A,"SSP Capital")+SUMIFS(Movimientos!$K$1:$K$1325,Movimientos!$C$1:$C$1325,"SSP Capital",Movimientos!$B$1:$B$1325,"&lt;="&amp;$B114)</f>
        <v>1744052.5799999996</v>
      </c>
      <c r="H114" s="24">
        <f>SUMIFS('Saldos Iniciales'!$D:$D,'Saldos Iniciales'!$A:$A,"Cross Family Trust")+SUMIFS(Movimientos!$K$1:$K$1325,Movimientos!$C$1:$C$1325,"Cross Family Trust",Movimientos!$B$1:$B$1325,"&lt;="&amp;$B114)</f>
        <v>221496.38</v>
      </c>
      <c r="I114" s="24">
        <f>SUMIFS('Saldos Iniciales'!$D:$D,'Saldos Iniciales'!$A:$A,"Cross Security Trust")+SUMIFS(Movimientos!$K$1:$K$1325,Movimientos!$C$1:$C$1325,"Cross Security Trust",Movimientos!$B$1:$B$1325,"&lt;="&amp;$B114)</f>
        <v>158071.25999999998</v>
      </c>
      <c r="J114" s="24">
        <f>SUMIFS('Saldos Iniciales'!$D:$D,'Saldos Iniciales'!$A:$A,"Electrama")+SUMIFS(Movimientos!$K$1:$K$1325,Movimientos!$C$1:$C$1325,"Electrama",Movimientos!$B$1:$B$1325,"&lt;="&amp;$B114)</f>
        <v>13270.02</v>
      </c>
      <c r="K114" s="24">
        <f>SUMIFS('Saldos Iniciales'!$D:$D,'Saldos Iniciales'!$A:$A,"Sacred Valley Capital")+SUMIFS(Movimientos!$K$1:$K$1325,Movimientos!$C$1:$C$1325,"Sacred Valley Capital",Movimientos!$B$1:$B$1325,"&lt;="&amp;$B114)</f>
        <v>24.450000000000003</v>
      </c>
      <c r="L114" s="24">
        <f>SUMIFS('Saldos Iniciales'!$D:$D,'Saldos Iniciales'!$A:$A,"YWC Capital")+SUMIFS(Movimientos!$K$1:$K$1325,Movimientos!$C$1:$C$1325,"YWC Capital",Movimientos!$B$1:$B$1325,"&lt;="&amp;$B114)</f>
        <v>2177.87</v>
      </c>
      <c r="M114" s="24">
        <f>SUMIFS('Saldos Iniciales'!$D:$D,'Saldos Iniciales'!$A:$A,"Soweto")+SUMIFS(Movimientos!$K$1:$K$1325,Movimientos!$C$1:$C$1325,"Soweto",Movimientos!$B$1:$B$1325,"&lt;="&amp;$B114)</f>
        <v>754424.72</v>
      </c>
      <c r="N114" s="24">
        <f>SUMIFS('Saldos Iniciales'!$D:$D,'Saldos Iniciales'!$A:$A,"Green Stone Trust")+SUMIFS(Movimientos!$K$1:$K$1325,Movimientos!$C$1:$C$1325,"Green Stone Trust",Movimientos!$B$1:$B$1325,"&lt;="&amp;$B114)</f>
        <v>1968.99</v>
      </c>
      <c r="O114" s="24">
        <f>SUMIFS('Saldos Iniciales'!$D:$D,'Saldos Iniciales'!$A:$A,"EC Auto")+SUMIFS(Movimientos!$K$1:$K$1325,Movimientos!$C$1:$C$1325,"EC Auto",Movimientos!$B$1:$B$1325,"&lt;="&amp;$B114)</f>
        <v>901.34</v>
      </c>
      <c r="P114" s="24">
        <f>SUMIFS('Saldos Iniciales'!$D:$D,'Saldos Iniciales'!$A:$A,"Arbor Capital Properties")+SUMIFS(Movimientos!$K$1:$K$1325,Movimientos!$C$1:$C$1325,"Arbor Capital Properties",Movimientos!$B$1:$B$1325,"&lt;="&amp;$B114)</f>
        <v>1396.08</v>
      </c>
      <c r="Q114" s="24">
        <f>SUMIFS('Saldos Iniciales'!$D:$D,'Saldos Iniciales'!$A:$A,"2515 Overbrook")+SUMIFS(Movimientos!$K$1:$K$1325,Movimientos!$C$1:$C$1325,"2515 Overbrook",Movimientos!$B$1:$B$1325,"&lt;="&amp;$B114)</f>
        <v>13685.709999999959</v>
      </c>
      <c r="R114" s="24">
        <f>SUMIFS('Saldos Iniciales'!$D:$D,'Saldos Iniciales'!$A:$A,"112 Florida Ave")+SUMIFS(Movimientos!$K$1:$K$1325,Movimientos!$C$1:$C$1325,"112 Florida Ave",Movimientos!$B$1:$B$1325,"&lt;="&amp;$B114)</f>
        <v>8724.1700000000037</v>
      </c>
      <c r="S114" s="24">
        <f>SUMIFS('Saldos Iniciales'!$D:$D,'Saldos Iniciales'!$A:$A,"3628 Thomas Ave")+SUMIFS(Movimientos!$K$1:$K$1325,Movimientos!$C$1:$C$1325,"3628 Thomas Ave",Movimientos!$B$1:$B$1325,"&lt;="&amp;$B114)</f>
        <v>19336.039999999997</v>
      </c>
      <c r="T114" s="24">
        <f>SUMIFS('Saldos Iniciales'!$D:$D,'Saldos Iniciales'!$A:$A,"Green Harbor Trust")+SUMIFS(Movimientos!$K$1:$K$1325,Movimientos!$C$1:$C$1325,"Green Harbor Trust",Movimientos!$B$1:$B$1325,"&lt;="&amp;$B114)</f>
        <v>345</v>
      </c>
      <c r="U114" s="24">
        <f>SUMIFS('Saldos Iniciales'!$D:$D,'Saldos Iniciales'!$A:$A,"Go Blue")+SUMIFS(Movimientos!$K$1:$K$1325,Movimientos!$C$1:$C$1325,"Go Blue",Movimientos!$B$1:$B$1325,"&lt;="&amp;$B114)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LLC",Movimientos!$B$1:$B$1325,"&lt;="&amp;$B114))</f>
        <v>0</v>
      </c>
      <c r="W114" s="24">
        <f>IF(YEAR($B114)*100+MONTH($B114)&lt;--SUBSTITUTE(_xlfn.XLOOKUP("CFT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",Movimientos!$B$1:$B$1325,"&lt;="&amp;$B114))</f>
        <v>0</v>
      </c>
      <c r="AC114" s="24" t="e">
        <f>IF(YEAR($B114)*100+MONTH($B114)&lt;--SUBSTITUTE(_xlfn.XLOOKUP("SYIP",'Saldos Iniciales'!$A:$A,'Saldos Iniciales'!$C:$C),"-",""),0,SUMIFS('Saldos Iniciales'!$D:$D,'Saldos Iniciales'!$A:$A,"SYIP")+SUMIFS(Movimientos!$K$1:$K$1325,Movimientos!$C$1:$C$1325,"SYIP",Movimientos!$B$1:$B$1325,"&lt;="&amp;$B114))</f>
        <v>#N/A</v>
      </c>
      <c r="AD114" s="24">
        <f>IF(YEAR($B114)*100+MONTH($B114)&lt;--SUBSTITUTE(_xlfn.XLOOKUP("Nobe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Aparments",Movimientos!$B$1:$B$1325,"&lt;="&amp;$B114))</f>
        <v>0</v>
      </c>
      <c r="AE114" s="25" t="e">
        <f t="shared" si="4"/>
        <v>#N/A</v>
      </c>
    </row>
    <row r="115" spans="1:31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Group")+SUMIFS(Movimientos!$K$1:$K$1325,Movimientos!$C$1:$C$1325,"CFT Group",Movimientos!$B$1:$B$1325,"&lt;="&amp;$B115)</f>
        <v>702210.36000000045</v>
      </c>
      <c r="D115" s="24">
        <f>SUMIFS('Saldos Iniciales'!$D:$D,'Saldos Iniciales'!$A:$A,"M1B")+SUMIFS(Movimientos!$K$1:$K$1325,Movimientos!$C$1:$C$1325,"M1B",Movimientos!$B$1:$B$1325,"&lt;="&amp;$B115)</f>
        <v>83211.250000000175</v>
      </c>
      <c r="E115" s="24">
        <f>SUMIFS('Saldos Iniciales'!$D:$D,'Saldos Iniciales'!$A:$A,"Durand")+SUMIFS(Movimientos!$K$1:$K$1325,Movimientos!$C$1:$C$1325,"Durand",Movimientos!$B$1:$B$1325,"&lt;="&amp;$B115)</f>
        <v>1669.89</v>
      </c>
      <c r="F115" s="24">
        <f>SUMIFS('Saldos Iniciales'!$D:$D,'Saldos Iniciales'!$A:$A,"A&amp;M Imports")+SUMIFS(Movimientos!$K$1:$K$1325,Movimientos!$C$1:$C$1325,"A&amp;M Imports",Movimientos!$B$1:$B$1325,"&lt;="&amp;$B115)</f>
        <v>1229031.3399999999</v>
      </c>
      <c r="G115" s="24">
        <f>SUMIFS('Saldos Iniciales'!$D:$D,'Saldos Iniciales'!$A:$A,"SSP Capital")+SUMIFS(Movimientos!$K$1:$K$1325,Movimientos!$C$1:$C$1325,"SSP Capital",Movimientos!$B$1:$B$1325,"&lt;="&amp;$B115)</f>
        <v>1744052.5799999996</v>
      </c>
      <c r="H115" s="24">
        <f>SUMIFS('Saldos Iniciales'!$D:$D,'Saldos Iniciales'!$A:$A,"Cross Family Trust")+SUMIFS(Movimientos!$K$1:$K$1325,Movimientos!$C$1:$C$1325,"Cross Family Trust",Movimientos!$B$1:$B$1325,"&lt;="&amp;$B115)</f>
        <v>221496.38</v>
      </c>
      <c r="I115" s="24">
        <f>SUMIFS('Saldos Iniciales'!$D:$D,'Saldos Iniciales'!$A:$A,"Cross Security Trust")+SUMIFS(Movimientos!$K$1:$K$1325,Movimientos!$C$1:$C$1325,"Cross Security Trust",Movimientos!$B$1:$B$1325,"&lt;="&amp;$B115)</f>
        <v>158071.25999999998</v>
      </c>
      <c r="J115" s="24">
        <f>SUMIFS('Saldos Iniciales'!$D:$D,'Saldos Iniciales'!$A:$A,"Electrama")+SUMIFS(Movimientos!$K$1:$K$1325,Movimientos!$C$1:$C$1325,"Electrama",Movimientos!$B$1:$B$1325,"&lt;="&amp;$B115)</f>
        <v>13270.02</v>
      </c>
      <c r="K115" s="24">
        <f>SUMIFS('Saldos Iniciales'!$D:$D,'Saldos Iniciales'!$A:$A,"Sacred Valley Capital")+SUMIFS(Movimientos!$K$1:$K$1325,Movimientos!$C$1:$C$1325,"Sacred Valley Capital",Movimientos!$B$1:$B$1325,"&lt;="&amp;$B115)</f>
        <v>24.450000000000003</v>
      </c>
      <c r="L115" s="24">
        <f>SUMIFS('Saldos Iniciales'!$D:$D,'Saldos Iniciales'!$A:$A,"YWC Capital")+SUMIFS(Movimientos!$K$1:$K$1325,Movimientos!$C$1:$C$1325,"YWC Capital",Movimientos!$B$1:$B$1325,"&lt;="&amp;$B115)</f>
        <v>2177.87</v>
      </c>
      <c r="M115" s="24">
        <f>SUMIFS('Saldos Iniciales'!$D:$D,'Saldos Iniciales'!$A:$A,"Soweto")+SUMIFS(Movimientos!$K$1:$K$1325,Movimientos!$C$1:$C$1325,"Soweto",Movimientos!$B$1:$B$1325,"&lt;="&amp;$B115)</f>
        <v>754424.72</v>
      </c>
      <c r="N115" s="24">
        <f>SUMIFS('Saldos Iniciales'!$D:$D,'Saldos Iniciales'!$A:$A,"Green Stone Trust")+SUMIFS(Movimientos!$K$1:$K$1325,Movimientos!$C$1:$C$1325,"Green Stone Trust",Movimientos!$B$1:$B$1325,"&lt;="&amp;$B115)</f>
        <v>1968.99</v>
      </c>
      <c r="O115" s="24">
        <f>SUMIFS('Saldos Iniciales'!$D:$D,'Saldos Iniciales'!$A:$A,"EC Auto")+SUMIFS(Movimientos!$K$1:$K$1325,Movimientos!$C$1:$C$1325,"EC Auto",Movimientos!$B$1:$B$1325,"&lt;="&amp;$B115)</f>
        <v>901.34</v>
      </c>
      <c r="P115" s="24">
        <f>SUMIFS('Saldos Iniciales'!$D:$D,'Saldos Iniciales'!$A:$A,"Arbor Capital Properties")+SUMIFS(Movimientos!$K$1:$K$1325,Movimientos!$C$1:$C$1325,"Arbor Capital Properties",Movimientos!$B$1:$B$1325,"&lt;="&amp;$B115)</f>
        <v>1396.08</v>
      </c>
      <c r="Q115" s="24">
        <f>SUMIFS('Saldos Iniciales'!$D:$D,'Saldos Iniciales'!$A:$A,"2515 Overbrook")+SUMIFS(Movimientos!$K$1:$K$1325,Movimientos!$C$1:$C$1325,"2515 Overbrook",Movimientos!$B$1:$B$1325,"&lt;="&amp;$B115)</f>
        <v>13685.709999999959</v>
      </c>
      <c r="R115" s="24">
        <f>SUMIFS('Saldos Iniciales'!$D:$D,'Saldos Iniciales'!$A:$A,"112 Florida Ave")+SUMIFS(Movimientos!$K$1:$K$1325,Movimientos!$C$1:$C$1325,"112 Florida Ave",Movimientos!$B$1:$B$1325,"&lt;="&amp;$B115)</f>
        <v>8724.1700000000037</v>
      </c>
      <c r="S115" s="24">
        <f>SUMIFS('Saldos Iniciales'!$D:$D,'Saldos Iniciales'!$A:$A,"3628 Thomas Ave")+SUMIFS(Movimientos!$K$1:$K$1325,Movimientos!$C$1:$C$1325,"3628 Thomas Ave",Movimientos!$B$1:$B$1325,"&lt;="&amp;$B115)</f>
        <v>19336.039999999997</v>
      </c>
      <c r="T115" s="24">
        <f>SUMIFS('Saldos Iniciales'!$D:$D,'Saldos Iniciales'!$A:$A,"Green Harbor Trust")+SUMIFS(Movimientos!$K$1:$K$1325,Movimientos!$C$1:$C$1325,"Green Harbor Trust",Movimientos!$B$1:$B$1325,"&lt;="&amp;$B115)</f>
        <v>345</v>
      </c>
      <c r="U115" s="24">
        <f>SUMIFS('Saldos Iniciales'!$D:$D,'Saldos Iniciales'!$A:$A,"Go Blue")+SUMIFS(Movimientos!$K$1:$K$1325,Movimientos!$C$1:$C$1325,"Go Blue",Movimientos!$B$1:$B$1325,"&lt;="&amp;$B115)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LLC",Movimientos!$B$1:$B$1325,"&lt;="&amp;$B115))</f>
        <v>0</v>
      </c>
      <c r="W115" s="24">
        <f>IF(YEAR($B115)*100+MONTH($B115)&lt;--SUBSTITUTE(_xlfn.XLOOKUP("CFT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",Movimientos!$B$1:$B$1325,"&lt;="&amp;$B115))</f>
        <v>0</v>
      </c>
      <c r="AC115" s="24" t="e">
        <f>IF(YEAR($B115)*100+MONTH($B115)&lt;--SUBSTITUTE(_xlfn.XLOOKUP("SYIP",'Saldos Iniciales'!$A:$A,'Saldos Iniciales'!$C:$C),"-",""),0,SUMIFS('Saldos Iniciales'!$D:$D,'Saldos Iniciales'!$A:$A,"SYIP")+SUMIFS(Movimientos!$K$1:$K$1325,Movimientos!$C$1:$C$1325,"SYIP",Movimientos!$B$1:$B$1325,"&lt;="&amp;$B115))</f>
        <v>#N/A</v>
      </c>
      <c r="AD115" s="24">
        <f>IF(YEAR($B115)*100+MONTH($B115)&lt;--SUBSTITUTE(_xlfn.XLOOKUP("Nobe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Aparments",Movimientos!$B$1:$B$1325,"&lt;="&amp;$B115))</f>
        <v>0</v>
      </c>
      <c r="AE115" s="25" t="e">
        <f t="shared" si="4"/>
        <v>#N/A</v>
      </c>
    </row>
    <row r="116" spans="1:31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Group")+SUMIFS(Movimientos!$K$1:$K$1325,Movimientos!$C$1:$C$1325,"CFT Group",Movimientos!$B$1:$B$1325,"&lt;="&amp;$B116)</f>
        <v>702210.36000000045</v>
      </c>
      <c r="D116" s="24">
        <f>SUMIFS('Saldos Iniciales'!$D:$D,'Saldos Iniciales'!$A:$A,"M1B")+SUMIFS(Movimientos!$K$1:$K$1325,Movimientos!$C$1:$C$1325,"M1B",Movimientos!$B$1:$B$1325,"&lt;="&amp;$B116)</f>
        <v>83211.250000000175</v>
      </c>
      <c r="E116" s="24">
        <f>SUMIFS('Saldos Iniciales'!$D:$D,'Saldos Iniciales'!$A:$A,"Durand")+SUMIFS(Movimientos!$K$1:$K$1325,Movimientos!$C$1:$C$1325,"Durand",Movimientos!$B$1:$B$1325,"&lt;="&amp;$B116)</f>
        <v>1669.89</v>
      </c>
      <c r="F116" s="24">
        <f>SUMIFS('Saldos Iniciales'!$D:$D,'Saldos Iniciales'!$A:$A,"A&amp;M Imports")+SUMIFS(Movimientos!$K$1:$K$1325,Movimientos!$C$1:$C$1325,"A&amp;M Imports",Movimientos!$B$1:$B$1325,"&lt;="&amp;$B116)</f>
        <v>1229031.3399999999</v>
      </c>
      <c r="G116" s="24">
        <f>SUMIFS('Saldos Iniciales'!$D:$D,'Saldos Iniciales'!$A:$A,"SSP Capital")+SUMIFS(Movimientos!$K$1:$K$1325,Movimientos!$C$1:$C$1325,"SSP Capital",Movimientos!$B$1:$B$1325,"&lt;="&amp;$B116)</f>
        <v>1744052.5799999996</v>
      </c>
      <c r="H116" s="24">
        <f>SUMIFS('Saldos Iniciales'!$D:$D,'Saldos Iniciales'!$A:$A,"Cross Family Trust")+SUMIFS(Movimientos!$K$1:$K$1325,Movimientos!$C$1:$C$1325,"Cross Family Trust",Movimientos!$B$1:$B$1325,"&lt;="&amp;$B116)</f>
        <v>221496.38</v>
      </c>
      <c r="I116" s="24">
        <f>SUMIFS('Saldos Iniciales'!$D:$D,'Saldos Iniciales'!$A:$A,"Cross Security Trust")+SUMIFS(Movimientos!$K$1:$K$1325,Movimientos!$C$1:$C$1325,"Cross Security Trust",Movimientos!$B$1:$B$1325,"&lt;="&amp;$B116)</f>
        <v>158071.25999999998</v>
      </c>
      <c r="J116" s="24">
        <f>SUMIFS('Saldos Iniciales'!$D:$D,'Saldos Iniciales'!$A:$A,"Electrama")+SUMIFS(Movimientos!$K$1:$K$1325,Movimientos!$C$1:$C$1325,"Electrama",Movimientos!$B$1:$B$1325,"&lt;="&amp;$B116)</f>
        <v>13270.02</v>
      </c>
      <c r="K116" s="24">
        <f>SUMIFS('Saldos Iniciales'!$D:$D,'Saldos Iniciales'!$A:$A,"Sacred Valley Capital")+SUMIFS(Movimientos!$K$1:$K$1325,Movimientos!$C$1:$C$1325,"Sacred Valley Capital",Movimientos!$B$1:$B$1325,"&lt;="&amp;$B116)</f>
        <v>24.450000000000003</v>
      </c>
      <c r="L116" s="24">
        <f>SUMIFS('Saldos Iniciales'!$D:$D,'Saldos Iniciales'!$A:$A,"YWC Capital")+SUMIFS(Movimientos!$K$1:$K$1325,Movimientos!$C$1:$C$1325,"YWC Capital",Movimientos!$B$1:$B$1325,"&lt;="&amp;$B116)</f>
        <v>2177.87</v>
      </c>
      <c r="M116" s="24">
        <f>SUMIFS('Saldos Iniciales'!$D:$D,'Saldos Iniciales'!$A:$A,"Soweto")+SUMIFS(Movimientos!$K$1:$K$1325,Movimientos!$C$1:$C$1325,"Soweto",Movimientos!$B$1:$B$1325,"&lt;="&amp;$B116)</f>
        <v>754424.72</v>
      </c>
      <c r="N116" s="24">
        <f>SUMIFS('Saldos Iniciales'!$D:$D,'Saldos Iniciales'!$A:$A,"Green Stone Trust")+SUMIFS(Movimientos!$K$1:$K$1325,Movimientos!$C$1:$C$1325,"Green Stone Trust",Movimientos!$B$1:$B$1325,"&lt;="&amp;$B116)</f>
        <v>1968.99</v>
      </c>
      <c r="O116" s="24">
        <f>SUMIFS('Saldos Iniciales'!$D:$D,'Saldos Iniciales'!$A:$A,"EC Auto")+SUMIFS(Movimientos!$K$1:$K$1325,Movimientos!$C$1:$C$1325,"EC Auto",Movimientos!$B$1:$B$1325,"&lt;="&amp;$B116)</f>
        <v>901.34</v>
      </c>
      <c r="P116" s="24">
        <f>SUMIFS('Saldos Iniciales'!$D:$D,'Saldos Iniciales'!$A:$A,"Arbor Capital Properties")+SUMIFS(Movimientos!$K$1:$K$1325,Movimientos!$C$1:$C$1325,"Arbor Capital Properties",Movimientos!$B$1:$B$1325,"&lt;="&amp;$B116)</f>
        <v>1396.08</v>
      </c>
      <c r="Q116" s="24">
        <f>SUMIFS('Saldos Iniciales'!$D:$D,'Saldos Iniciales'!$A:$A,"2515 Overbrook")+SUMIFS(Movimientos!$K$1:$K$1325,Movimientos!$C$1:$C$1325,"2515 Overbrook",Movimientos!$B$1:$B$1325,"&lt;="&amp;$B116)</f>
        <v>13685.709999999959</v>
      </c>
      <c r="R116" s="24">
        <f>SUMIFS('Saldos Iniciales'!$D:$D,'Saldos Iniciales'!$A:$A,"112 Florida Ave")+SUMIFS(Movimientos!$K$1:$K$1325,Movimientos!$C$1:$C$1325,"112 Florida Ave",Movimientos!$B$1:$B$1325,"&lt;="&amp;$B116)</f>
        <v>8724.1700000000037</v>
      </c>
      <c r="S116" s="24">
        <f>SUMIFS('Saldos Iniciales'!$D:$D,'Saldos Iniciales'!$A:$A,"3628 Thomas Ave")+SUMIFS(Movimientos!$K$1:$K$1325,Movimientos!$C$1:$C$1325,"3628 Thomas Ave",Movimientos!$B$1:$B$1325,"&lt;="&amp;$B116)</f>
        <v>19336.039999999997</v>
      </c>
      <c r="T116" s="24">
        <f>SUMIFS('Saldos Iniciales'!$D:$D,'Saldos Iniciales'!$A:$A,"Green Harbor Trust")+SUMIFS(Movimientos!$K$1:$K$1325,Movimientos!$C$1:$C$1325,"Green Harbor Trust",Movimientos!$B$1:$B$1325,"&lt;="&amp;$B116)</f>
        <v>345</v>
      </c>
      <c r="U116" s="24">
        <f>SUMIFS('Saldos Iniciales'!$D:$D,'Saldos Iniciales'!$A:$A,"Go Blue")+SUMIFS(Movimientos!$K$1:$K$1325,Movimientos!$C$1:$C$1325,"Go Blue",Movimientos!$B$1:$B$1325,"&lt;="&amp;$B116)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LLC",Movimientos!$B$1:$B$1325,"&lt;="&amp;$B116))</f>
        <v>0</v>
      </c>
      <c r="W116" s="24">
        <f>IF(YEAR($B116)*100+MONTH($B116)&lt;--SUBSTITUTE(_xlfn.XLOOKUP("CFT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",Movimientos!$B$1:$B$1325,"&lt;="&amp;$B116))</f>
        <v>0</v>
      </c>
      <c r="AC116" s="24" t="e">
        <f>IF(YEAR($B116)*100+MONTH($B116)&lt;--SUBSTITUTE(_xlfn.XLOOKUP("SYIP",'Saldos Iniciales'!$A:$A,'Saldos Iniciales'!$C:$C),"-",""),0,SUMIFS('Saldos Iniciales'!$D:$D,'Saldos Iniciales'!$A:$A,"SYIP")+SUMIFS(Movimientos!$K$1:$K$1325,Movimientos!$C$1:$C$1325,"SYIP",Movimientos!$B$1:$B$1325,"&lt;="&amp;$B116))</f>
        <v>#N/A</v>
      </c>
      <c r="AD116" s="24">
        <f>IF(YEAR($B116)*100+MONTH($B116)&lt;--SUBSTITUTE(_xlfn.XLOOKUP("Nobe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Aparments",Movimientos!$B$1:$B$1325,"&lt;="&amp;$B116))</f>
        <v>0</v>
      </c>
      <c r="AE116" s="25" t="e">
        <f t="shared" si="4"/>
        <v>#N/A</v>
      </c>
    </row>
    <row r="117" spans="1:31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Group")+SUMIFS(Movimientos!$K$1:$K$1325,Movimientos!$C$1:$C$1325,"CFT Group",Movimientos!$B$1:$B$1325,"&lt;="&amp;$B117)</f>
        <v>372210.36000000045</v>
      </c>
      <c r="D117" s="24">
        <f>SUMIFS('Saldos Iniciales'!$D:$D,'Saldos Iniciales'!$A:$A,"M1B")+SUMIFS(Movimientos!$K$1:$K$1325,Movimientos!$C$1:$C$1325,"M1B",Movimientos!$B$1:$B$1325,"&lt;="&amp;$B117)</f>
        <v>83668.990000000165</v>
      </c>
      <c r="E117" s="24">
        <f>SUMIFS('Saldos Iniciales'!$D:$D,'Saldos Iniciales'!$A:$A,"Durand")+SUMIFS(Movimientos!$K$1:$K$1325,Movimientos!$C$1:$C$1325,"Durand",Movimientos!$B$1:$B$1325,"&lt;="&amp;$B117)</f>
        <v>1669.89</v>
      </c>
      <c r="F117" s="24">
        <f>SUMIFS('Saldos Iniciales'!$D:$D,'Saldos Iniciales'!$A:$A,"A&amp;M Imports")+SUMIFS(Movimientos!$K$1:$K$1325,Movimientos!$C$1:$C$1325,"A&amp;M Imports",Movimientos!$B$1:$B$1325,"&lt;="&amp;$B117)</f>
        <v>1234763.3299999998</v>
      </c>
      <c r="G117" s="24">
        <f>SUMIFS('Saldos Iniciales'!$D:$D,'Saldos Iniciales'!$A:$A,"SSP Capital")+SUMIFS(Movimientos!$K$1:$K$1325,Movimientos!$C$1:$C$1325,"SSP Capital",Movimientos!$B$1:$B$1325,"&lt;="&amp;$B117)</f>
        <v>1743289.5899999996</v>
      </c>
      <c r="H117" s="24">
        <f>SUMIFS('Saldos Iniciales'!$D:$D,'Saldos Iniciales'!$A:$A,"Cross Family Trust")+SUMIFS(Movimientos!$K$1:$K$1325,Movimientos!$C$1:$C$1325,"Cross Family Trust",Movimientos!$B$1:$B$1325,"&lt;="&amp;$B117)</f>
        <v>221496.38</v>
      </c>
      <c r="I117" s="24">
        <f>SUMIFS('Saldos Iniciales'!$D:$D,'Saldos Iniciales'!$A:$A,"Cross Security Trust")+SUMIFS(Movimientos!$K$1:$K$1325,Movimientos!$C$1:$C$1325,"Cross Security Trust",Movimientos!$B$1:$B$1325,"&lt;="&amp;$B117)</f>
        <v>158071.25999999998</v>
      </c>
      <c r="J117" s="24">
        <f>SUMIFS('Saldos Iniciales'!$D:$D,'Saldos Iniciales'!$A:$A,"Electrama")+SUMIFS(Movimientos!$K$1:$K$1325,Movimientos!$C$1:$C$1325,"Electrama",Movimientos!$B$1:$B$1325,"&lt;="&amp;$B117)</f>
        <v>13270.02</v>
      </c>
      <c r="K117" s="24">
        <f>SUMIFS('Saldos Iniciales'!$D:$D,'Saldos Iniciales'!$A:$A,"Sacred Valley Capital")+SUMIFS(Movimientos!$K$1:$K$1325,Movimientos!$C$1:$C$1325,"Sacred Valley Capital",Movimientos!$B$1:$B$1325,"&lt;="&amp;$B117)</f>
        <v>24.450000000000003</v>
      </c>
      <c r="L117" s="24">
        <f>SUMIFS('Saldos Iniciales'!$D:$D,'Saldos Iniciales'!$A:$A,"YWC Capital")+SUMIFS(Movimientos!$K$1:$K$1325,Movimientos!$C$1:$C$1325,"YWC Capital",Movimientos!$B$1:$B$1325,"&lt;="&amp;$B117)</f>
        <v>2177.87</v>
      </c>
      <c r="M117" s="24">
        <f>SUMIFS('Saldos Iniciales'!$D:$D,'Saldos Iniciales'!$A:$A,"Soweto")+SUMIFS(Movimientos!$K$1:$K$1325,Movimientos!$C$1:$C$1325,"Soweto",Movimientos!$B$1:$B$1325,"&lt;="&amp;$B117)</f>
        <v>754424.72</v>
      </c>
      <c r="N117" s="24">
        <f>SUMIFS('Saldos Iniciales'!$D:$D,'Saldos Iniciales'!$A:$A,"Green Stone Trust")+SUMIFS(Movimientos!$K$1:$K$1325,Movimientos!$C$1:$C$1325,"Green Stone Trust",Movimientos!$B$1:$B$1325,"&lt;="&amp;$B117)</f>
        <v>1968.99</v>
      </c>
      <c r="O117" s="24">
        <f>SUMIFS('Saldos Iniciales'!$D:$D,'Saldos Iniciales'!$A:$A,"EC Auto")+SUMIFS(Movimientos!$K$1:$K$1325,Movimientos!$C$1:$C$1325,"EC Auto",Movimientos!$B$1:$B$1325,"&lt;="&amp;$B117)</f>
        <v>901.34</v>
      </c>
      <c r="P117" s="24">
        <f>SUMIFS('Saldos Iniciales'!$D:$D,'Saldos Iniciales'!$A:$A,"Arbor Capital Properties")+SUMIFS(Movimientos!$K$1:$K$1325,Movimientos!$C$1:$C$1325,"Arbor Capital Properties",Movimientos!$B$1:$B$1325,"&lt;="&amp;$B117)</f>
        <v>1396.08</v>
      </c>
      <c r="Q117" s="24">
        <f>SUMIFS('Saldos Iniciales'!$D:$D,'Saldos Iniciales'!$A:$A,"2515 Overbrook")+SUMIFS(Movimientos!$K$1:$K$1325,Movimientos!$C$1:$C$1325,"2515 Overbrook",Movimientos!$B$1:$B$1325,"&lt;="&amp;$B117)</f>
        <v>13685.709999999959</v>
      </c>
      <c r="R117" s="24">
        <f>SUMIFS('Saldos Iniciales'!$D:$D,'Saldos Iniciales'!$A:$A,"112 Florida Ave")+SUMIFS(Movimientos!$K$1:$K$1325,Movimientos!$C$1:$C$1325,"112 Florida Ave",Movimientos!$B$1:$B$1325,"&lt;="&amp;$B117)</f>
        <v>8724.1700000000037</v>
      </c>
      <c r="S117" s="24">
        <f>SUMIFS('Saldos Iniciales'!$D:$D,'Saldos Iniciales'!$A:$A,"3628 Thomas Ave")+SUMIFS(Movimientos!$K$1:$K$1325,Movimientos!$C$1:$C$1325,"3628 Thomas Ave",Movimientos!$B$1:$B$1325,"&lt;="&amp;$B117)</f>
        <v>19336.039999999997</v>
      </c>
      <c r="T117" s="24">
        <f>SUMIFS('Saldos Iniciales'!$D:$D,'Saldos Iniciales'!$A:$A,"Green Harbor Trust")+SUMIFS(Movimientos!$K$1:$K$1325,Movimientos!$C$1:$C$1325,"Green Harbor Trust",Movimientos!$B$1:$B$1325,"&lt;="&amp;$B117)</f>
        <v>345</v>
      </c>
      <c r="U117" s="24">
        <f>SUMIFS('Saldos Iniciales'!$D:$D,'Saldos Iniciales'!$A:$A,"Go Blue")+SUMIFS(Movimientos!$K$1:$K$1325,Movimientos!$C$1:$C$1325,"Go Blue",Movimientos!$B$1:$B$1325,"&lt;="&amp;$B117)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LLC",Movimientos!$B$1:$B$1325,"&lt;="&amp;$B117))</f>
        <v>0</v>
      </c>
      <c r="W117" s="24">
        <f>IF(YEAR($B117)*100+MONTH($B117)&lt;--SUBSTITUTE(_xlfn.XLOOKUP("CFT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",Movimientos!$B$1:$B$1325,"&lt;="&amp;$B117))</f>
        <v>0</v>
      </c>
      <c r="AC117" s="24" t="e">
        <f>IF(YEAR($B117)*100+MONTH($B117)&lt;--SUBSTITUTE(_xlfn.XLOOKUP("SYIP",'Saldos Iniciales'!$A:$A,'Saldos Iniciales'!$C:$C),"-",""),0,SUMIFS('Saldos Iniciales'!$D:$D,'Saldos Iniciales'!$A:$A,"SYIP")+SUMIFS(Movimientos!$K$1:$K$1325,Movimientos!$C$1:$C$1325,"SYIP",Movimientos!$B$1:$B$1325,"&lt;="&amp;$B117))</f>
        <v>#N/A</v>
      </c>
      <c r="AD117" s="24">
        <f>IF(YEAR($B117)*100+MONTH($B117)&lt;--SUBSTITUTE(_xlfn.XLOOKUP("Nobe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Aparments",Movimientos!$B$1:$B$1325,"&lt;="&amp;$B117))</f>
        <v>0</v>
      </c>
      <c r="AE117" s="25" t="e">
        <f t="shared" si="4"/>
        <v>#N/A</v>
      </c>
    </row>
    <row r="118" spans="1:31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Group")+SUMIFS(Movimientos!$K$1:$K$1325,Movimientos!$C$1:$C$1325,"CFT Group",Movimientos!$B$1:$B$1325,"&lt;="&amp;$B118)</f>
        <v>526096.53000000049</v>
      </c>
      <c r="D118" s="24">
        <f>SUMIFS('Saldos Iniciales'!$D:$D,'Saldos Iniciales'!$A:$A,"M1B")+SUMIFS(Movimientos!$K$1:$K$1325,Movimientos!$C$1:$C$1325,"M1B",Movimientos!$B$1:$B$1325,"&lt;="&amp;$B118)</f>
        <v>90643.10000000018</v>
      </c>
      <c r="E118" s="24">
        <f>SUMIFS('Saldos Iniciales'!$D:$D,'Saldos Iniciales'!$A:$A,"Durand")+SUMIFS(Movimientos!$K$1:$K$1325,Movimientos!$C$1:$C$1325,"Durand",Movimientos!$B$1:$B$1325,"&lt;="&amp;$B118)</f>
        <v>1669.89</v>
      </c>
      <c r="F118" s="24">
        <f>SUMIFS('Saldos Iniciales'!$D:$D,'Saldos Iniciales'!$A:$A,"A&amp;M Imports")+SUMIFS(Movimientos!$K$1:$K$1325,Movimientos!$C$1:$C$1325,"A&amp;M Imports",Movimientos!$B$1:$B$1325,"&lt;="&amp;$B118)</f>
        <v>1252108.94</v>
      </c>
      <c r="G118" s="24">
        <f>SUMIFS('Saldos Iniciales'!$D:$D,'Saldos Iniciales'!$A:$A,"SSP Capital")+SUMIFS(Movimientos!$K$1:$K$1325,Movimientos!$C$1:$C$1325,"SSP Capital",Movimientos!$B$1:$B$1325,"&lt;="&amp;$B118)</f>
        <v>1743289.5899999996</v>
      </c>
      <c r="H118" s="24">
        <f>SUMIFS('Saldos Iniciales'!$D:$D,'Saldos Iniciales'!$A:$A,"Cross Family Trust")+SUMIFS(Movimientos!$K$1:$K$1325,Movimientos!$C$1:$C$1325,"Cross Family Trust",Movimientos!$B$1:$B$1325,"&lt;="&amp;$B118)</f>
        <v>221496.38</v>
      </c>
      <c r="I118" s="24">
        <f>SUMIFS('Saldos Iniciales'!$D:$D,'Saldos Iniciales'!$A:$A,"Cross Security Trust")+SUMIFS(Movimientos!$K$1:$K$1325,Movimientos!$C$1:$C$1325,"Cross Security Trust",Movimientos!$B$1:$B$1325,"&lt;="&amp;$B118)</f>
        <v>158071.25999999998</v>
      </c>
      <c r="J118" s="24">
        <f>SUMIFS('Saldos Iniciales'!$D:$D,'Saldos Iniciales'!$A:$A,"Electrama")+SUMIFS(Movimientos!$K$1:$K$1325,Movimientos!$C$1:$C$1325,"Electrama",Movimientos!$B$1:$B$1325,"&lt;="&amp;$B118)</f>
        <v>13270.02</v>
      </c>
      <c r="K118" s="24">
        <f>SUMIFS('Saldos Iniciales'!$D:$D,'Saldos Iniciales'!$A:$A,"Sacred Valley Capital")+SUMIFS(Movimientos!$K$1:$K$1325,Movimientos!$C$1:$C$1325,"Sacred Valley Capital",Movimientos!$B$1:$B$1325,"&lt;="&amp;$B118)</f>
        <v>24.450000000000003</v>
      </c>
      <c r="L118" s="24">
        <f>SUMIFS('Saldos Iniciales'!$D:$D,'Saldos Iniciales'!$A:$A,"YWC Capital")+SUMIFS(Movimientos!$K$1:$K$1325,Movimientos!$C$1:$C$1325,"YWC Capital",Movimientos!$B$1:$B$1325,"&lt;="&amp;$B118)</f>
        <v>2177.87</v>
      </c>
      <c r="M118" s="24">
        <f>SUMIFS('Saldos Iniciales'!$D:$D,'Saldos Iniciales'!$A:$A,"Soweto")+SUMIFS(Movimientos!$K$1:$K$1325,Movimientos!$C$1:$C$1325,"Soweto",Movimientos!$B$1:$B$1325,"&lt;="&amp;$B118)</f>
        <v>754424.72</v>
      </c>
      <c r="N118" s="24">
        <f>SUMIFS('Saldos Iniciales'!$D:$D,'Saldos Iniciales'!$A:$A,"Green Stone Trust")+SUMIFS(Movimientos!$K$1:$K$1325,Movimientos!$C$1:$C$1325,"Green Stone Trust",Movimientos!$B$1:$B$1325,"&lt;="&amp;$B118)</f>
        <v>1968.99</v>
      </c>
      <c r="O118" s="24">
        <f>SUMIFS('Saldos Iniciales'!$D:$D,'Saldos Iniciales'!$A:$A,"EC Auto")+SUMIFS(Movimientos!$K$1:$K$1325,Movimientos!$C$1:$C$1325,"EC Auto",Movimientos!$B$1:$B$1325,"&lt;="&amp;$B118)</f>
        <v>901.34</v>
      </c>
      <c r="P118" s="24">
        <f>SUMIFS('Saldos Iniciales'!$D:$D,'Saldos Iniciales'!$A:$A,"Arbor Capital Properties")+SUMIFS(Movimientos!$K$1:$K$1325,Movimientos!$C$1:$C$1325,"Arbor Capital Properties",Movimientos!$B$1:$B$1325,"&lt;="&amp;$B118)</f>
        <v>1396.08</v>
      </c>
      <c r="Q118" s="24">
        <f>SUMIFS('Saldos Iniciales'!$D:$D,'Saldos Iniciales'!$A:$A,"2515 Overbrook")+SUMIFS(Movimientos!$K$1:$K$1325,Movimientos!$C$1:$C$1325,"2515 Overbrook",Movimientos!$B$1:$B$1325,"&lt;="&amp;$B118)</f>
        <v>13685.709999999959</v>
      </c>
      <c r="R118" s="24">
        <f>SUMIFS('Saldos Iniciales'!$D:$D,'Saldos Iniciales'!$A:$A,"112 Florida Ave")+SUMIFS(Movimientos!$K$1:$K$1325,Movimientos!$C$1:$C$1325,"112 Florida Ave",Movimientos!$B$1:$B$1325,"&lt;="&amp;$B118)</f>
        <v>8724.1700000000037</v>
      </c>
      <c r="S118" s="24">
        <f>SUMIFS('Saldos Iniciales'!$D:$D,'Saldos Iniciales'!$A:$A,"3628 Thomas Ave")+SUMIFS(Movimientos!$K$1:$K$1325,Movimientos!$C$1:$C$1325,"3628 Thomas Ave",Movimientos!$B$1:$B$1325,"&lt;="&amp;$B118)</f>
        <v>19336.039999999997</v>
      </c>
      <c r="T118" s="24">
        <f>SUMIFS('Saldos Iniciales'!$D:$D,'Saldos Iniciales'!$A:$A,"Green Harbor Trust")+SUMIFS(Movimientos!$K$1:$K$1325,Movimientos!$C$1:$C$1325,"Green Harbor Trust",Movimientos!$B$1:$B$1325,"&lt;="&amp;$B118)</f>
        <v>345</v>
      </c>
      <c r="U118" s="24">
        <f>SUMIFS('Saldos Iniciales'!$D:$D,'Saldos Iniciales'!$A:$A,"Go Blue")+SUMIFS(Movimientos!$K$1:$K$1325,Movimientos!$C$1:$C$1325,"Go Blue",Movimientos!$B$1:$B$1325,"&lt;="&amp;$B118)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LLC",Movimientos!$B$1:$B$1325,"&lt;="&amp;$B118))</f>
        <v>0</v>
      </c>
      <c r="W118" s="24">
        <f>IF(YEAR($B118)*100+MONTH($B118)&lt;--SUBSTITUTE(_xlfn.XLOOKUP("CFT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",Movimientos!$B$1:$B$1325,"&lt;="&amp;$B118))</f>
        <v>0</v>
      </c>
      <c r="AC118" s="24" t="e">
        <f>IF(YEAR($B118)*100+MONTH($B118)&lt;--SUBSTITUTE(_xlfn.XLOOKUP("SYIP",'Saldos Iniciales'!$A:$A,'Saldos Iniciales'!$C:$C),"-",""),0,SUMIFS('Saldos Iniciales'!$D:$D,'Saldos Iniciales'!$A:$A,"SYIP")+SUMIFS(Movimientos!$K$1:$K$1325,Movimientos!$C$1:$C$1325,"SYIP",Movimientos!$B$1:$B$1325,"&lt;="&amp;$B118))</f>
        <v>#N/A</v>
      </c>
      <c r="AD118" s="24">
        <f>IF(YEAR($B118)*100+MONTH($B118)&lt;--SUBSTITUTE(_xlfn.XLOOKUP("Nobe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Aparments",Movimientos!$B$1:$B$1325,"&lt;="&amp;$B118))</f>
        <v>0</v>
      </c>
      <c r="AE118" s="25" t="e">
        <f t="shared" si="4"/>
        <v>#N/A</v>
      </c>
    </row>
    <row r="119" spans="1:31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Group")+SUMIFS(Movimientos!$K$1:$K$1325,Movimientos!$C$1:$C$1325,"CFT Group",Movimientos!$B$1:$B$1325,"&lt;="&amp;$B119)</f>
        <v>526096.53000000049</v>
      </c>
      <c r="D119" s="24">
        <f>SUMIFS('Saldos Iniciales'!$D:$D,'Saldos Iniciales'!$A:$A,"M1B")+SUMIFS(Movimientos!$K$1:$K$1325,Movimientos!$C$1:$C$1325,"M1B",Movimientos!$B$1:$B$1325,"&lt;="&amp;$B119)</f>
        <v>90643.10000000018</v>
      </c>
      <c r="E119" s="24">
        <f>SUMIFS('Saldos Iniciales'!$D:$D,'Saldos Iniciales'!$A:$A,"Durand")+SUMIFS(Movimientos!$K$1:$K$1325,Movimientos!$C$1:$C$1325,"Durand",Movimientos!$B$1:$B$1325,"&lt;="&amp;$B119)</f>
        <v>1669.89</v>
      </c>
      <c r="F119" s="24">
        <f>SUMIFS('Saldos Iniciales'!$D:$D,'Saldos Iniciales'!$A:$A,"A&amp;M Imports")+SUMIFS(Movimientos!$K$1:$K$1325,Movimientos!$C$1:$C$1325,"A&amp;M Imports",Movimientos!$B$1:$B$1325,"&lt;="&amp;$B119)</f>
        <v>1269654.47</v>
      </c>
      <c r="G119" s="24">
        <f>SUMIFS('Saldos Iniciales'!$D:$D,'Saldos Iniciales'!$A:$A,"SSP Capital")+SUMIFS(Movimientos!$K$1:$K$1325,Movimientos!$C$1:$C$1325,"SSP Capital",Movimientos!$B$1:$B$1325,"&lt;="&amp;$B119)</f>
        <v>1743289.5899999996</v>
      </c>
      <c r="H119" s="24">
        <f>SUMIFS('Saldos Iniciales'!$D:$D,'Saldos Iniciales'!$A:$A,"Cross Family Trust")+SUMIFS(Movimientos!$K$1:$K$1325,Movimientos!$C$1:$C$1325,"Cross Family Trust",Movimientos!$B$1:$B$1325,"&lt;="&amp;$B119)</f>
        <v>221496.38</v>
      </c>
      <c r="I119" s="24">
        <f>SUMIFS('Saldos Iniciales'!$D:$D,'Saldos Iniciales'!$A:$A,"Cross Security Trust")+SUMIFS(Movimientos!$K$1:$K$1325,Movimientos!$C$1:$C$1325,"Cross Security Trust",Movimientos!$B$1:$B$1325,"&lt;="&amp;$B119)</f>
        <v>158071.25999999998</v>
      </c>
      <c r="J119" s="24">
        <f>SUMIFS('Saldos Iniciales'!$D:$D,'Saldos Iniciales'!$A:$A,"Electrama")+SUMIFS(Movimientos!$K$1:$K$1325,Movimientos!$C$1:$C$1325,"Electrama",Movimientos!$B$1:$B$1325,"&lt;="&amp;$B119)</f>
        <v>13270.02</v>
      </c>
      <c r="K119" s="24">
        <f>SUMIFS('Saldos Iniciales'!$D:$D,'Saldos Iniciales'!$A:$A,"Sacred Valley Capital")+SUMIFS(Movimientos!$K$1:$K$1325,Movimientos!$C$1:$C$1325,"Sacred Valley Capital",Movimientos!$B$1:$B$1325,"&lt;="&amp;$B119)</f>
        <v>24.450000000000003</v>
      </c>
      <c r="L119" s="24">
        <f>SUMIFS('Saldos Iniciales'!$D:$D,'Saldos Iniciales'!$A:$A,"YWC Capital")+SUMIFS(Movimientos!$K$1:$K$1325,Movimientos!$C$1:$C$1325,"YWC Capital",Movimientos!$B$1:$B$1325,"&lt;="&amp;$B119)</f>
        <v>2177.87</v>
      </c>
      <c r="M119" s="24">
        <f>SUMIFS('Saldos Iniciales'!$D:$D,'Saldos Iniciales'!$A:$A,"Soweto")+SUMIFS(Movimientos!$K$1:$K$1325,Movimientos!$C$1:$C$1325,"Soweto",Movimientos!$B$1:$B$1325,"&lt;="&amp;$B119)</f>
        <v>754424.72</v>
      </c>
      <c r="N119" s="24">
        <f>SUMIFS('Saldos Iniciales'!$D:$D,'Saldos Iniciales'!$A:$A,"Green Stone Trust")+SUMIFS(Movimientos!$K$1:$K$1325,Movimientos!$C$1:$C$1325,"Green Stone Trust",Movimientos!$B$1:$B$1325,"&lt;="&amp;$B119)</f>
        <v>1968.99</v>
      </c>
      <c r="O119" s="24">
        <f>SUMIFS('Saldos Iniciales'!$D:$D,'Saldos Iniciales'!$A:$A,"EC Auto")+SUMIFS(Movimientos!$K$1:$K$1325,Movimientos!$C$1:$C$1325,"EC Auto",Movimientos!$B$1:$B$1325,"&lt;="&amp;$B119)</f>
        <v>901.34</v>
      </c>
      <c r="P119" s="24">
        <f>SUMIFS('Saldos Iniciales'!$D:$D,'Saldos Iniciales'!$A:$A,"Arbor Capital Properties")+SUMIFS(Movimientos!$K$1:$K$1325,Movimientos!$C$1:$C$1325,"Arbor Capital Properties",Movimientos!$B$1:$B$1325,"&lt;="&amp;$B119)</f>
        <v>1396.08</v>
      </c>
      <c r="Q119" s="24">
        <f>SUMIFS('Saldos Iniciales'!$D:$D,'Saldos Iniciales'!$A:$A,"2515 Overbrook")+SUMIFS(Movimientos!$K$1:$K$1325,Movimientos!$C$1:$C$1325,"2515 Overbrook",Movimientos!$B$1:$B$1325,"&lt;="&amp;$B119)</f>
        <v>13685.709999999959</v>
      </c>
      <c r="R119" s="24">
        <f>SUMIFS('Saldos Iniciales'!$D:$D,'Saldos Iniciales'!$A:$A,"112 Florida Ave")+SUMIFS(Movimientos!$K$1:$K$1325,Movimientos!$C$1:$C$1325,"112 Florida Ave",Movimientos!$B$1:$B$1325,"&lt;="&amp;$B119)</f>
        <v>8724.1700000000037</v>
      </c>
      <c r="S119" s="24">
        <f>SUMIFS('Saldos Iniciales'!$D:$D,'Saldos Iniciales'!$A:$A,"3628 Thomas Ave")+SUMIFS(Movimientos!$K$1:$K$1325,Movimientos!$C$1:$C$1325,"3628 Thomas Ave",Movimientos!$B$1:$B$1325,"&lt;="&amp;$B119)</f>
        <v>19336.039999999997</v>
      </c>
      <c r="T119" s="24">
        <f>SUMIFS('Saldos Iniciales'!$D:$D,'Saldos Iniciales'!$A:$A,"Green Harbor Trust")+SUMIFS(Movimientos!$K$1:$K$1325,Movimientos!$C$1:$C$1325,"Green Harbor Trust",Movimientos!$B$1:$B$1325,"&lt;="&amp;$B119)</f>
        <v>345</v>
      </c>
      <c r="U119" s="24">
        <f>SUMIFS('Saldos Iniciales'!$D:$D,'Saldos Iniciales'!$A:$A,"Go Blue")+SUMIFS(Movimientos!$K$1:$K$1325,Movimientos!$C$1:$C$1325,"Go Blue",Movimientos!$B$1:$B$1325,"&lt;="&amp;$B119)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LLC",Movimientos!$B$1:$B$1325,"&lt;="&amp;$B119))</f>
        <v>0</v>
      </c>
      <c r="W119" s="24">
        <f>IF(YEAR($B119)*100+MONTH($B119)&lt;--SUBSTITUTE(_xlfn.XLOOKUP("CFT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",Movimientos!$B$1:$B$1325,"&lt;="&amp;$B119))</f>
        <v>0</v>
      </c>
      <c r="AC119" s="24" t="e">
        <f>IF(YEAR($B119)*100+MONTH($B119)&lt;--SUBSTITUTE(_xlfn.XLOOKUP("SYIP",'Saldos Iniciales'!$A:$A,'Saldos Iniciales'!$C:$C),"-",""),0,SUMIFS('Saldos Iniciales'!$D:$D,'Saldos Iniciales'!$A:$A,"SYIP")+SUMIFS(Movimientos!$K$1:$K$1325,Movimientos!$C$1:$C$1325,"SYIP",Movimientos!$B$1:$B$1325,"&lt;="&amp;$B119))</f>
        <v>#N/A</v>
      </c>
      <c r="AD119" s="24">
        <f>IF(YEAR($B119)*100+MONTH($B119)&lt;--SUBSTITUTE(_xlfn.XLOOKUP("Nobe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Aparments",Movimientos!$B$1:$B$1325,"&lt;="&amp;$B119))</f>
        <v>0</v>
      </c>
      <c r="AE119" s="25" t="e">
        <f t="shared" si="4"/>
        <v>#N/A</v>
      </c>
    </row>
    <row r="120" spans="1:31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Group")+SUMIFS(Movimientos!$K$1:$K$1325,Movimientos!$C$1:$C$1325,"CFT Group",Movimientos!$B$1:$B$1325,"&lt;="&amp;$B120)</f>
        <v>578093.59000000043</v>
      </c>
      <c r="D120" s="24">
        <f>SUMIFS('Saldos Iniciales'!$D:$D,'Saldos Iniciales'!$A:$A,"M1B")+SUMIFS(Movimientos!$K$1:$K$1325,Movimientos!$C$1:$C$1325,"M1B",Movimientos!$B$1:$B$1325,"&lt;="&amp;$B120)</f>
        <v>90643.10000000018</v>
      </c>
      <c r="E120" s="24">
        <f>SUMIFS('Saldos Iniciales'!$D:$D,'Saldos Iniciales'!$A:$A,"Durand")+SUMIFS(Movimientos!$K$1:$K$1325,Movimientos!$C$1:$C$1325,"Durand",Movimientos!$B$1:$B$1325,"&lt;="&amp;$B120)</f>
        <v>1669.89</v>
      </c>
      <c r="F120" s="24">
        <f>SUMIFS('Saldos Iniciales'!$D:$D,'Saldos Iniciales'!$A:$A,"A&amp;M Imports")+SUMIFS(Movimientos!$K$1:$K$1325,Movimientos!$C$1:$C$1325,"A&amp;M Imports",Movimientos!$B$1:$B$1325,"&lt;="&amp;$B120)</f>
        <v>1394654.47</v>
      </c>
      <c r="G120" s="24">
        <f>SUMIFS('Saldos Iniciales'!$D:$D,'Saldos Iniciales'!$A:$A,"SSP Capital")+SUMIFS(Movimientos!$K$1:$K$1325,Movimientos!$C$1:$C$1325,"SSP Capital",Movimientos!$B$1:$B$1325,"&lt;="&amp;$B120)</f>
        <v>1719364.7199999997</v>
      </c>
      <c r="H120" s="24">
        <f>SUMIFS('Saldos Iniciales'!$D:$D,'Saldos Iniciales'!$A:$A,"Cross Family Trust")+SUMIFS(Movimientos!$K$1:$K$1325,Movimientos!$C$1:$C$1325,"Cross Family Trust",Movimientos!$B$1:$B$1325,"&lt;="&amp;$B120)</f>
        <v>221496.38</v>
      </c>
      <c r="I120" s="24">
        <f>SUMIFS('Saldos Iniciales'!$D:$D,'Saldos Iniciales'!$A:$A,"Cross Security Trust")+SUMIFS(Movimientos!$K$1:$K$1325,Movimientos!$C$1:$C$1325,"Cross Security Trust",Movimientos!$B$1:$B$1325,"&lt;="&amp;$B120)</f>
        <v>158071.25999999998</v>
      </c>
      <c r="J120" s="24">
        <f>SUMIFS('Saldos Iniciales'!$D:$D,'Saldos Iniciales'!$A:$A,"Electrama")+SUMIFS(Movimientos!$K$1:$K$1325,Movimientos!$C$1:$C$1325,"Electrama",Movimientos!$B$1:$B$1325,"&lt;="&amp;$B120)</f>
        <v>13270.02</v>
      </c>
      <c r="K120" s="24">
        <f>SUMIFS('Saldos Iniciales'!$D:$D,'Saldos Iniciales'!$A:$A,"Sacred Valley Capital")+SUMIFS(Movimientos!$K$1:$K$1325,Movimientos!$C$1:$C$1325,"Sacred Valley Capital",Movimientos!$B$1:$B$1325,"&lt;="&amp;$B120)</f>
        <v>124.45</v>
      </c>
      <c r="L120" s="24">
        <f>SUMIFS('Saldos Iniciales'!$D:$D,'Saldos Iniciales'!$A:$A,"YWC Capital")+SUMIFS(Movimientos!$K$1:$K$1325,Movimientos!$C$1:$C$1325,"YWC Capital",Movimientos!$B$1:$B$1325,"&lt;="&amp;$B120)</f>
        <v>2177.87</v>
      </c>
      <c r="M120" s="24">
        <f>SUMIFS('Saldos Iniciales'!$D:$D,'Saldos Iniciales'!$A:$A,"Soweto")+SUMIFS(Movimientos!$K$1:$K$1325,Movimientos!$C$1:$C$1325,"Soweto",Movimientos!$B$1:$B$1325,"&lt;="&amp;$B120)</f>
        <v>754424.72</v>
      </c>
      <c r="N120" s="24">
        <f>SUMIFS('Saldos Iniciales'!$D:$D,'Saldos Iniciales'!$A:$A,"Green Stone Trust")+SUMIFS(Movimientos!$K$1:$K$1325,Movimientos!$C$1:$C$1325,"Green Stone Trust",Movimientos!$B$1:$B$1325,"&lt;="&amp;$B120)</f>
        <v>1968.99</v>
      </c>
      <c r="O120" s="24">
        <f>SUMIFS('Saldos Iniciales'!$D:$D,'Saldos Iniciales'!$A:$A,"EC Auto")+SUMIFS(Movimientos!$K$1:$K$1325,Movimientos!$C$1:$C$1325,"EC Auto",Movimientos!$B$1:$B$1325,"&lt;="&amp;$B120)</f>
        <v>901.34</v>
      </c>
      <c r="P120" s="24">
        <f>SUMIFS('Saldos Iniciales'!$D:$D,'Saldos Iniciales'!$A:$A,"Arbor Capital Properties")+SUMIFS(Movimientos!$K$1:$K$1325,Movimientos!$C$1:$C$1325,"Arbor Capital Properties",Movimientos!$B$1:$B$1325,"&lt;="&amp;$B120)</f>
        <v>1396.08</v>
      </c>
      <c r="Q120" s="24">
        <f>SUMIFS('Saldos Iniciales'!$D:$D,'Saldos Iniciales'!$A:$A,"2515 Overbrook")+SUMIFS(Movimientos!$K$1:$K$1325,Movimientos!$C$1:$C$1325,"2515 Overbrook",Movimientos!$B$1:$B$1325,"&lt;="&amp;$B120)</f>
        <v>33685.709999999963</v>
      </c>
      <c r="R120" s="24">
        <f>SUMIFS('Saldos Iniciales'!$D:$D,'Saldos Iniciales'!$A:$A,"112 Florida Ave")+SUMIFS(Movimientos!$K$1:$K$1325,Movimientos!$C$1:$C$1325,"112 Florida Ave",Movimientos!$B$1:$B$1325,"&lt;="&amp;$B120)</f>
        <v>29724.170000000006</v>
      </c>
      <c r="S120" s="24">
        <f>SUMIFS('Saldos Iniciales'!$D:$D,'Saldos Iniciales'!$A:$A,"3628 Thomas Ave")+SUMIFS(Movimientos!$K$1:$K$1325,Movimientos!$C$1:$C$1325,"3628 Thomas Ave",Movimientos!$B$1:$B$1325,"&lt;="&amp;$B120)</f>
        <v>19336.039999999997</v>
      </c>
      <c r="T120" s="24">
        <f>SUMIFS('Saldos Iniciales'!$D:$D,'Saldos Iniciales'!$A:$A,"Green Harbor Trust")+SUMIFS(Movimientos!$K$1:$K$1325,Movimientos!$C$1:$C$1325,"Green Harbor Trust",Movimientos!$B$1:$B$1325,"&lt;="&amp;$B120)</f>
        <v>345</v>
      </c>
      <c r="U120" s="24">
        <f>SUMIFS('Saldos Iniciales'!$D:$D,'Saldos Iniciales'!$A:$A,"Go Blue")+SUMIFS(Movimientos!$K$1:$K$1325,Movimientos!$C$1:$C$1325,"Go Blue",Movimientos!$B$1:$B$1325,"&lt;="&amp;$B120)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LLC",Movimientos!$B$1:$B$1325,"&lt;="&amp;$B120))</f>
        <v>0</v>
      </c>
      <c r="W120" s="24">
        <f>IF(YEAR($B120)*100+MONTH($B120)&lt;--SUBSTITUTE(_xlfn.XLOOKUP("CFT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",Movimientos!$B$1:$B$1325,"&lt;="&amp;$B120))</f>
        <v>0</v>
      </c>
      <c r="AC120" s="24" t="e">
        <f>IF(YEAR($B120)*100+MONTH($B120)&lt;--SUBSTITUTE(_xlfn.XLOOKUP("SYIP",'Saldos Iniciales'!$A:$A,'Saldos Iniciales'!$C:$C),"-",""),0,SUMIFS('Saldos Iniciales'!$D:$D,'Saldos Iniciales'!$A:$A,"SYIP")+SUMIFS(Movimientos!$K$1:$K$1325,Movimientos!$C$1:$C$1325,"SYIP",Movimientos!$B$1:$B$1325,"&lt;="&amp;$B120))</f>
        <v>#N/A</v>
      </c>
      <c r="AD120" s="24">
        <f>IF(YEAR($B120)*100+MONTH($B120)&lt;--SUBSTITUTE(_xlfn.XLOOKUP("Nobe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Aparments",Movimientos!$B$1:$B$1325,"&lt;="&amp;$B120))</f>
        <v>0</v>
      </c>
      <c r="AE120" s="25" t="e">
        <f t="shared" si="4"/>
        <v>#N/A</v>
      </c>
    </row>
    <row r="121" spans="1:31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Group")+SUMIFS(Movimientos!$K$1:$K$1325,Movimientos!$C$1:$C$1325,"CFT Group",Movimientos!$B$1:$B$1325,"&lt;="&amp;$B121)</f>
        <v>743430.83000000054</v>
      </c>
      <c r="D121" s="24">
        <f>SUMIFS('Saldos Iniciales'!$D:$D,'Saldos Iniciales'!$A:$A,"M1B")+SUMIFS(Movimientos!$K$1:$K$1325,Movimientos!$C$1:$C$1325,"M1B",Movimientos!$B$1:$B$1325,"&lt;="&amp;$B121)</f>
        <v>93280.230000000171</v>
      </c>
      <c r="E121" s="24">
        <f>SUMIFS('Saldos Iniciales'!$D:$D,'Saldos Iniciales'!$A:$A,"Durand")+SUMIFS(Movimientos!$K$1:$K$1325,Movimientos!$C$1:$C$1325,"Durand",Movimientos!$B$1:$B$1325,"&lt;="&amp;$B121)</f>
        <v>1669.89</v>
      </c>
      <c r="F121" s="24">
        <f>SUMIFS('Saldos Iniciales'!$D:$D,'Saldos Iniciales'!$A:$A,"A&amp;M Imports")+SUMIFS(Movimientos!$K$1:$K$1325,Movimientos!$C$1:$C$1325,"A&amp;M Imports",Movimientos!$B$1:$B$1325,"&lt;="&amp;$B121)</f>
        <v>1418445.91</v>
      </c>
      <c r="G121" s="24">
        <f>SUMIFS('Saldos Iniciales'!$D:$D,'Saldos Iniciales'!$A:$A,"SSP Capital")+SUMIFS(Movimientos!$K$1:$K$1325,Movimientos!$C$1:$C$1325,"SSP Capital",Movimientos!$B$1:$B$1325,"&lt;="&amp;$B121)</f>
        <v>1553167.1899999995</v>
      </c>
      <c r="H121" s="24">
        <f>SUMIFS('Saldos Iniciales'!$D:$D,'Saldos Iniciales'!$A:$A,"Cross Family Trust")+SUMIFS(Movimientos!$K$1:$K$1325,Movimientos!$C$1:$C$1325,"Cross Family Trust",Movimientos!$B$1:$B$1325,"&lt;="&amp;$B121)</f>
        <v>221496.38</v>
      </c>
      <c r="I121" s="24">
        <f>SUMIFS('Saldos Iniciales'!$D:$D,'Saldos Iniciales'!$A:$A,"Cross Security Trust")+SUMIFS(Movimientos!$K$1:$K$1325,Movimientos!$C$1:$C$1325,"Cross Security Trust",Movimientos!$B$1:$B$1325,"&lt;="&amp;$B121)</f>
        <v>98169.25999999998</v>
      </c>
      <c r="J121" s="24">
        <f>SUMIFS('Saldos Iniciales'!$D:$D,'Saldos Iniciales'!$A:$A,"Electrama")+SUMIFS(Movimientos!$K$1:$K$1325,Movimientos!$C$1:$C$1325,"Electrama",Movimientos!$B$1:$B$1325,"&lt;="&amp;$B121)</f>
        <v>13270.02</v>
      </c>
      <c r="K121" s="24">
        <f>SUMIFS('Saldos Iniciales'!$D:$D,'Saldos Iniciales'!$A:$A,"Sacred Valley Capital")+SUMIFS(Movimientos!$K$1:$K$1325,Movimientos!$C$1:$C$1325,"Sacred Valley Capital",Movimientos!$B$1:$B$1325,"&lt;="&amp;$B121)</f>
        <v>124.45</v>
      </c>
      <c r="L121" s="24">
        <f>SUMIFS('Saldos Iniciales'!$D:$D,'Saldos Iniciales'!$A:$A,"YWC Capital")+SUMIFS(Movimientos!$K$1:$K$1325,Movimientos!$C$1:$C$1325,"YWC Capital",Movimientos!$B$1:$B$1325,"&lt;="&amp;$B121)</f>
        <v>2177.87</v>
      </c>
      <c r="M121" s="24">
        <f>SUMIFS('Saldos Iniciales'!$D:$D,'Saldos Iniciales'!$A:$A,"Soweto")+SUMIFS(Movimientos!$K$1:$K$1325,Movimientos!$C$1:$C$1325,"Soweto",Movimientos!$B$1:$B$1325,"&lt;="&amp;$B121)</f>
        <v>754424.72</v>
      </c>
      <c r="N121" s="24">
        <f>SUMIFS('Saldos Iniciales'!$D:$D,'Saldos Iniciales'!$A:$A,"Green Stone Trust")+SUMIFS(Movimientos!$K$1:$K$1325,Movimientos!$C$1:$C$1325,"Green Stone Trust",Movimientos!$B$1:$B$1325,"&lt;="&amp;$B121)</f>
        <v>1968.99</v>
      </c>
      <c r="O121" s="24">
        <f>SUMIFS('Saldos Iniciales'!$D:$D,'Saldos Iniciales'!$A:$A,"EC Auto")+SUMIFS(Movimientos!$K$1:$K$1325,Movimientos!$C$1:$C$1325,"EC Auto",Movimientos!$B$1:$B$1325,"&lt;="&amp;$B121)</f>
        <v>901.34</v>
      </c>
      <c r="P121" s="24">
        <f>SUMIFS('Saldos Iniciales'!$D:$D,'Saldos Iniciales'!$A:$A,"Arbor Capital Properties")+SUMIFS(Movimientos!$K$1:$K$1325,Movimientos!$C$1:$C$1325,"Arbor Capital Properties",Movimientos!$B$1:$B$1325,"&lt;="&amp;$B121)</f>
        <v>1396.08</v>
      </c>
      <c r="Q121" s="24">
        <f>SUMIFS('Saldos Iniciales'!$D:$D,'Saldos Iniciales'!$A:$A,"2515 Overbrook")+SUMIFS(Movimientos!$K$1:$K$1325,Movimientos!$C$1:$C$1325,"2515 Overbrook",Movimientos!$B$1:$B$1325,"&lt;="&amp;$B121)</f>
        <v>33670.709999999963</v>
      </c>
      <c r="R121" s="24">
        <f>SUMIFS('Saldos Iniciales'!$D:$D,'Saldos Iniciales'!$A:$A,"112 Florida Ave")+SUMIFS(Movimientos!$K$1:$K$1325,Movimientos!$C$1:$C$1325,"112 Florida Ave",Movimientos!$B$1:$B$1325,"&lt;="&amp;$B121)</f>
        <v>29709.170000000006</v>
      </c>
      <c r="S121" s="24">
        <f>SUMIFS('Saldos Iniciales'!$D:$D,'Saldos Iniciales'!$A:$A,"3628 Thomas Ave")+SUMIFS(Movimientos!$K$1:$K$1325,Movimientos!$C$1:$C$1325,"3628 Thomas Ave",Movimientos!$B$1:$B$1325,"&lt;="&amp;$B121)</f>
        <v>19336.039999999997</v>
      </c>
      <c r="T121" s="24">
        <f>SUMIFS('Saldos Iniciales'!$D:$D,'Saldos Iniciales'!$A:$A,"Green Harbor Trust")+SUMIFS(Movimientos!$K$1:$K$1325,Movimientos!$C$1:$C$1325,"Green Harbor Trust",Movimientos!$B$1:$B$1325,"&lt;="&amp;$B121)</f>
        <v>345</v>
      </c>
      <c r="U121" s="24">
        <f>SUMIFS('Saldos Iniciales'!$D:$D,'Saldos Iniciales'!$A:$A,"Go Blue")+SUMIFS(Movimientos!$K$1:$K$1325,Movimientos!$C$1:$C$1325,"Go Blue",Movimientos!$B$1:$B$1325,"&lt;="&amp;$B121)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LLC",Movimientos!$B$1:$B$1325,"&lt;="&amp;$B121))</f>
        <v>0</v>
      </c>
      <c r="W121" s="24">
        <f>IF(YEAR($B121)*100+MONTH($B121)&lt;--SUBSTITUTE(_xlfn.XLOOKUP("CFT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",Movimientos!$B$1:$B$1325,"&lt;="&amp;$B121))</f>
        <v>0</v>
      </c>
      <c r="AC121" s="24" t="e">
        <f>IF(YEAR($B121)*100+MONTH($B121)&lt;--SUBSTITUTE(_xlfn.XLOOKUP("SYIP",'Saldos Iniciales'!$A:$A,'Saldos Iniciales'!$C:$C),"-",""),0,SUMIFS('Saldos Iniciales'!$D:$D,'Saldos Iniciales'!$A:$A,"SYIP")+SUMIFS(Movimientos!$K$1:$K$1325,Movimientos!$C$1:$C$1325,"SYIP",Movimientos!$B$1:$B$1325,"&lt;="&amp;$B121))</f>
        <v>#N/A</v>
      </c>
      <c r="AD121" s="24">
        <f>IF(YEAR($B121)*100+MONTH($B121)&lt;--SUBSTITUTE(_xlfn.XLOOKUP("Nobe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Aparments",Movimientos!$B$1:$B$1325,"&lt;="&amp;$B121))</f>
        <v>0</v>
      </c>
      <c r="AE121" s="25" t="e">
        <f t="shared" si="4"/>
        <v>#N/A</v>
      </c>
    </row>
    <row r="122" spans="1:31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Group")+SUMIFS(Movimientos!$K$1:$K$1325,Movimientos!$C$1:$C$1325,"CFT Group",Movimientos!$B$1:$B$1325,"&lt;="&amp;$B122)</f>
        <v>743430.83000000054</v>
      </c>
      <c r="D122" s="24">
        <f>SUMIFS('Saldos Iniciales'!$D:$D,'Saldos Iniciales'!$A:$A,"M1B")+SUMIFS(Movimientos!$K$1:$K$1325,Movimientos!$C$1:$C$1325,"M1B",Movimientos!$B$1:$B$1325,"&lt;="&amp;$B122)</f>
        <v>93280.230000000171</v>
      </c>
      <c r="E122" s="24">
        <f>SUMIFS('Saldos Iniciales'!$D:$D,'Saldos Iniciales'!$A:$A,"Durand")+SUMIFS(Movimientos!$K$1:$K$1325,Movimientos!$C$1:$C$1325,"Durand",Movimientos!$B$1:$B$1325,"&lt;="&amp;$B122)</f>
        <v>1669.89</v>
      </c>
      <c r="F122" s="24">
        <f>SUMIFS('Saldos Iniciales'!$D:$D,'Saldos Iniciales'!$A:$A,"A&amp;M Imports")+SUMIFS(Movimientos!$K$1:$K$1325,Movimientos!$C$1:$C$1325,"A&amp;M Imports",Movimientos!$B$1:$B$1325,"&lt;="&amp;$B122)</f>
        <v>1418445.91</v>
      </c>
      <c r="G122" s="24">
        <f>SUMIFS('Saldos Iniciales'!$D:$D,'Saldos Iniciales'!$A:$A,"SSP Capital")+SUMIFS(Movimientos!$K$1:$K$1325,Movimientos!$C$1:$C$1325,"SSP Capital",Movimientos!$B$1:$B$1325,"&lt;="&amp;$B122)</f>
        <v>1553167.1899999995</v>
      </c>
      <c r="H122" s="24">
        <f>SUMIFS('Saldos Iniciales'!$D:$D,'Saldos Iniciales'!$A:$A,"Cross Family Trust")+SUMIFS(Movimientos!$K$1:$K$1325,Movimientos!$C$1:$C$1325,"Cross Family Trust",Movimientos!$B$1:$B$1325,"&lt;="&amp;$B122)</f>
        <v>221496.38</v>
      </c>
      <c r="I122" s="24">
        <f>SUMIFS('Saldos Iniciales'!$D:$D,'Saldos Iniciales'!$A:$A,"Cross Security Trust")+SUMIFS(Movimientos!$K$1:$K$1325,Movimientos!$C$1:$C$1325,"Cross Security Trust",Movimientos!$B$1:$B$1325,"&lt;="&amp;$B122)</f>
        <v>98169.25999999998</v>
      </c>
      <c r="J122" s="24">
        <f>SUMIFS('Saldos Iniciales'!$D:$D,'Saldos Iniciales'!$A:$A,"Electrama")+SUMIFS(Movimientos!$K$1:$K$1325,Movimientos!$C$1:$C$1325,"Electrama",Movimientos!$B$1:$B$1325,"&lt;="&amp;$B122)</f>
        <v>13270.02</v>
      </c>
      <c r="K122" s="24">
        <f>SUMIFS('Saldos Iniciales'!$D:$D,'Saldos Iniciales'!$A:$A,"Sacred Valley Capital")+SUMIFS(Movimientos!$K$1:$K$1325,Movimientos!$C$1:$C$1325,"Sacred Valley Capital",Movimientos!$B$1:$B$1325,"&lt;="&amp;$B122)</f>
        <v>124.45</v>
      </c>
      <c r="L122" s="24">
        <f>SUMIFS('Saldos Iniciales'!$D:$D,'Saldos Iniciales'!$A:$A,"YWC Capital")+SUMIFS(Movimientos!$K$1:$K$1325,Movimientos!$C$1:$C$1325,"YWC Capital",Movimientos!$B$1:$B$1325,"&lt;="&amp;$B122)</f>
        <v>2177.87</v>
      </c>
      <c r="M122" s="24">
        <f>SUMIFS('Saldos Iniciales'!$D:$D,'Saldos Iniciales'!$A:$A,"Soweto")+SUMIFS(Movimientos!$K$1:$K$1325,Movimientos!$C$1:$C$1325,"Soweto",Movimientos!$B$1:$B$1325,"&lt;="&amp;$B122)</f>
        <v>754424.72</v>
      </c>
      <c r="N122" s="24">
        <f>SUMIFS('Saldos Iniciales'!$D:$D,'Saldos Iniciales'!$A:$A,"Green Stone Trust")+SUMIFS(Movimientos!$K$1:$K$1325,Movimientos!$C$1:$C$1325,"Green Stone Trust",Movimientos!$B$1:$B$1325,"&lt;="&amp;$B122)</f>
        <v>1968.99</v>
      </c>
      <c r="O122" s="24">
        <f>SUMIFS('Saldos Iniciales'!$D:$D,'Saldos Iniciales'!$A:$A,"EC Auto")+SUMIFS(Movimientos!$K$1:$K$1325,Movimientos!$C$1:$C$1325,"EC Auto",Movimientos!$B$1:$B$1325,"&lt;="&amp;$B122)</f>
        <v>901.34</v>
      </c>
      <c r="P122" s="24">
        <f>SUMIFS('Saldos Iniciales'!$D:$D,'Saldos Iniciales'!$A:$A,"Arbor Capital Properties")+SUMIFS(Movimientos!$K$1:$K$1325,Movimientos!$C$1:$C$1325,"Arbor Capital Properties",Movimientos!$B$1:$B$1325,"&lt;="&amp;$B122)</f>
        <v>1396.08</v>
      </c>
      <c r="Q122" s="24">
        <f>SUMIFS('Saldos Iniciales'!$D:$D,'Saldos Iniciales'!$A:$A,"2515 Overbrook")+SUMIFS(Movimientos!$K$1:$K$1325,Movimientos!$C$1:$C$1325,"2515 Overbrook",Movimientos!$B$1:$B$1325,"&lt;="&amp;$B122)</f>
        <v>33670.709999999963</v>
      </c>
      <c r="R122" s="24">
        <f>SUMIFS('Saldos Iniciales'!$D:$D,'Saldos Iniciales'!$A:$A,"112 Florida Ave")+SUMIFS(Movimientos!$K$1:$K$1325,Movimientos!$C$1:$C$1325,"112 Florida Ave",Movimientos!$B$1:$B$1325,"&lt;="&amp;$B122)</f>
        <v>29709.170000000006</v>
      </c>
      <c r="S122" s="24">
        <f>SUMIFS('Saldos Iniciales'!$D:$D,'Saldos Iniciales'!$A:$A,"3628 Thomas Ave")+SUMIFS(Movimientos!$K$1:$K$1325,Movimientos!$C$1:$C$1325,"3628 Thomas Ave",Movimientos!$B$1:$B$1325,"&lt;="&amp;$B122)</f>
        <v>19336.039999999997</v>
      </c>
      <c r="T122" s="24">
        <f>SUMIFS('Saldos Iniciales'!$D:$D,'Saldos Iniciales'!$A:$A,"Green Harbor Trust")+SUMIFS(Movimientos!$K$1:$K$1325,Movimientos!$C$1:$C$1325,"Green Harbor Trust",Movimientos!$B$1:$B$1325,"&lt;="&amp;$B122)</f>
        <v>345</v>
      </c>
      <c r="U122" s="24">
        <f>SUMIFS('Saldos Iniciales'!$D:$D,'Saldos Iniciales'!$A:$A,"Go Blue")+SUMIFS(Movimientos!$K$1:$K$1325,Movimientos!$C$1:$C$1325,"Go Blue",Movimientos!$B$1:$B$1325,"&lt;="&amp;$B122)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LLC",Movimientos!$B$1:$B$1325,"&lt;="&amp;$B122))</f>
        <v>0</v>
      </c>
      <c r="W122" s="24">
        <f>IF(YEAR($B122)*100+MONTH($B122)&lt;--SUBSTITUTE(_xlfn.XLOOKUP("CFT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",Movimientos!$B$1:$B$1325,"&lt;="&amp;$B122))</f>
        <v>0</v>
      </c>
      <c r="AC122" s="24" t="e">
        <f>IF(YEAR($B122)*100+MONTH($B122)&lt;--SUBSTITUTE(_xlfn.XLOOKUP("SYIP",'Saldos Iniciales'!$A:$A,'Saldos Iniciales'!$C:$C),"-",""),0,SUMIFS('Saldos Iniciales'!$D:$D,'Saldos Iniciales'!$A:$A,"SYIP")+SUMIFS(Movimientos!$K$1:$K$1325,Movimientos!$C$1:$C$1325,"SYIP",Movimientos!$B$1:$B$1325,"&lt;="&amp;$B122))</f>
        <v>#N/A</v>
      </c>
      <c r="AD122" s="24">
        <f>IF(YEAR($B122)*100+MONTH($B122)&lt;--SUBSTITUTE(_xlfn.XLOOKUP("Nobe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Aparments",Movimientos!$B$1:$B$1325,"&lt;="&amp;$B122))</f>
        <v>0</v>
      </c>
      <c r="AE122" s="25" t="e">
        <f t="shared" si="4"/>
        <v>#N/A</v>
      </c>
    </row>
    <row r="123" spans="1:31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Group")+SUMIFS(Movimientos!$K$1:$K$1325,Movimientos!$C$1:$C$1325,"CFT Group",Movimientos!$B$1:$B$1325,"&lt;="&amp;$B123)</f>
        <v>743430.83000000054</v>
      </c>
      <c r="D123" s="24">
        <f>SUMIFS('Saldos Iniciales'!$D:$D,'Saldos Iniciales'!$A:$A,"M1B")+SUMIFS(Movimientos!$K$1:$K$1325,Movimientos!$C$1:$C$1325,"M1B",Movimientos!$B$1:$B$1325,"&lt;="&amp;$B123)</f>
        <v>93280.230000000171</v>
      </c>
      <c r="E123" s="24">
        <f>SUMIFS('Saldos Iniciales'!$D:$D,'Saldos Iniciales'!$A:$A,"Durand")+SUMIFS(Movimientos!$K$1:$K$1325,Movimientos!$C$1:$C$1325,"Durand",Movimientos!$B$1:$B$1325,"&lt;="&amp;$B123)</f>
        <v>1669.89</v>
      </c>
      <c r="F123" s="24">
        <f>SUMIFS('Saldos Iniciales'!$D:$D,'Saldos Iniciales'!$A:$A,"A&amp;M Imports")+SUMIFS(Movimientos!$K$1:$K$1325,Movimientos!$C$1:$C$1325,"A&amp;M Imports",Movimientos!$B$1:$B$1325,"&lt;="&amp;$B123)</f>
        <v>1418445.91</v>
      </c>
      <c r="G123" s="24">
        <f>SUMIFS('Saldos Iniciales'!$D:$D,'Saldos Iniciales'!$A:$A,"SSP Capital")+SUMIFS(Movimientos!$K$1:$K$1325,Movimientos!$C$1:$C$1325,"SSP Capital",Movimientos!$B$1:$B$1325,"&lt;="&amp;$B123)</f>
        <v>1553167.1899999995</v>
      </c>
      <c r="H123" s="24">
        <f>SUMIFS('Saldos Iniciales'!$D:$D,'Saldos Iniciales'!$A:$A,"Cross Family Trust")+SUMIFS(Movimientos!$K$1:$K$1325,Movimientos!$C$1:$C$1325,"Cross Family Trust",Movimientos!$B$1:$B$1325,"&lt;="&amp;$B123)</f>
        <v>221496.38</v>
      </c>
      <c r="I123" s="24">
        <f>SUMIFS('Saldos Iniciales'!$D:$D,'Saldos Iniciales'!$A:$A,"Cross Security Trust")+SUMIFS(Movimientos!$K$1:$K$1325,Movimientos!$C$1:$C$1325,"Cross Security Trust",Movimientos!$B$1:$B$1325,"&lt;="&amp;$B123)</f>
        <v>98169.25999999998</v>
      </c>
      <c r="J123" s="24">
        <f>SUMIFS('Saldos Iniciales'!$D:$D,'Saldos Iniciales'!$A:$A,"Electrama")+SUMIFS(Movimientos!$K$1:$K$1325,Movimientos!$C$1:$C$1325,"Electrama",Movimientos!$B$1:$B$1325,"&lt;="&amp;$B123)</f>
        <v>13270.02</v>
      </c>
      <c r="K123" s="24">
        <f>SUMIFS('Saldos Iniciales'!$D:$D,'Saldos Iniciales'!$A:$A,"Sacred Valley Capital")+SUMIFS(Movimientos!$K$1:$K$1325,Movimientos!$C$1:$C$1325,"Sacred Valley Capital",Movimientos!$B$1:$B$1325,"&lt;="&amp;$B123)</f>
        <v>124.45</v>
      </c>
      <c r="L123" s="24">
        <f>SUMIFS('Saldos Iniciales'!$D:$D,'Saldos Iniciales'!$A:$A,"YWC Capital")+SUMIFS(Movimientos!$K$1:$K$1325,Movimientos!$C$1:$C$1325,"YWC Capital",Movimientos!$B$1:$B$1325,"&lt;="&amp;$B123)</f>
        <v>2177.87</v>
      </c>
      <c r="M123" s="24">
        <f>SUMIFS('Saldos Iniciales'!$D:$D,'Saldos Iniciales'!$A:$A,"Soweto")+SUMIFS(Movimientos!$K$1:$K$1325,Movimientos!$C$1:$C$1325,"Soweto",Movimientos!$B$1:$B$1325,"&lt;="&amp;$B123)</f>
        <v>754424.72</v>
      </c>
      <c r="N123" s="24">
        <f>SUMIFS('Saldos Iniciales'!$D:$D,'Saldos Iniciales'!$A:$A,"Green Stone Trust")+SUMIFS(Movimientos!$K$1:$K$1325,Movimientos!$C$1:$C$1325,"Green Stone Trust",Movimientos!$B$1:$B$1325,"&lt;="&amp;$B123)</f>
        <v>1968.99</v>
      </c>
      <c r="O123" s="24">
        <f>SUMIFS('Saldos Iniciales'!$D:$D,'Saldos Iniciales'!$A:$A,"EC Auto")+SUMIFS(Movimientos!$K$1:$K$1325,Movimientos!$C$1:$C$1325,"EC Auto",Movimientos!$B$1:$B$1325,"&lt;="&amp;$B123)</f>
        <v>901.34</v>
      </c>
      <c r="P123" s="24">
        <f>SUMIFS('Saldos Iniciales'!$D:$D,'Saldos Iniciales'!$A:$A,"Arbor Capital Properties")+SUMIFS(Movimientos!$K$1:$K$1325,Movimientos!$C$1:$C$1325,"Arbor Capital Properties",Movimientos!$B$1:$B$1325,"&lt;="&amp;$B123)</f>
        <v>1396.08</v>
      </c>
      <c r="Q123" s="24">
        <f>SUMIFS('Saldos Iniciales'!$D:$D,'Saldos Iniciales'!$A:$A,"2515 Overbrook")+SUMIFS(Movimientos!$K$1:$K$1325,Movimientos!$C$1:$C$1325,"2515 Overbrook",Movimientos!$B$1:$B$1325,"&lt;="&amp;$B123)</f>
        <v>33670.709999999963</v>
      </c>
      <c r="R123" s="24">
        <f>SUMIFS('Saldos Iniciales'!$D:$D,'Saldos Iniciales'!$A:$A,"112 Florida Ave")+SUMIFS(Movimientos!$K$1:$K$1325,Movimientos!$C$1:$C$1325,"112 Florida Ave",Movimientos!$B$1:$B$1325,"&lt;="&amp;$B123)</f>
        <v>29709.170000000006</v>
      </c>
      <c r="S123" s="24">
        <f>SUMIFS('Saldos Iniciales'!$D:$D,'Saldos Iniciales'!$A:$A,"3628 Thomas Ave")+SUMIFS(Movimientos!$K$1:$K$1325,Movimientos!$C$1:$C$1325,"3628 Thomas Ave",Movimientos!$B$1:$B$1325,"&lt;="&amp;$B123)</f>
        <v>19336.039999999997</v>
      </c>
      <c r="T123" s="24">
        <f>SUMIFS('Saldos Iniciales'!$D:$D,'Saldos Iniciales'!$A:$A,"Green Harbor Trust")+SUMIFS(Movimientos!$K$1:$K$1325,Movimientos!$C$1:$C$1325,"Green Harbor Trust",Movimientos!$B$1:$B$1325,"&lt;="&amp;$B123)</f>
        <v>345</v>
      </c>
      <c r="U123" s="24">
        <f>SUMIFS('Saldos Iniciales'!$D:$D,'Saldos Iniciales'!$A:$A,"Go Blue")+SUMIFS(Movimientos!$K$1:$K$1325,Movimientos!$C$1:$C$1325,"Go Blue",Movimientos!$B$1:$B$1325,"&lt;="&amp;$B123)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LLC",Movimientos!$B$1:$B$1325,"&lt;="&amp;$B123))</f>
        <v>0</v>
      </c>
      <c r="W123" s="24">
        <f>IF(YEAR($B123)*100+MONTH($B123)&lt;--SUBSTITUTE(_xlfn.XLOOKUP("CFT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",Movimientos!$B$1:$B$1325,"&lt;="&amp;$B123))</f>
        <v>0</v>
      </c>
      <c r="AC123" s="24" t="e">
        <f>IF(YEAR($B123)*100+MONTH($B123)&lt;--SUBSTITUTE(_xlfn.XLOOKUP("SYIP",'Saldos Iniciales'!$A:$A,'Saldos Iniciales'!$C:$C),"-",""),0,SUMIFS('Saldos Iniciales'!$D:$D,'Saldos Iniciales'!$A:$A,"SYIP")+SUMIFS(Movimientos!$K$1:$K$1325,Movimientos!$C$1:$C$1325,"SYIP",Movimientos!$B$1:$B$1325,"&lt;="&amp;$B123))</f>
        <v>#N/A</v>
      </c>
      <c r="AD123" s="24">
        <f>IF(YEAR($B123)*100+MONTH($B123)&lt;--SUBSTITUTE(_xlfn.XLOOKUP("Nobe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Aparments",Movimientos!$B$1:$B$1325,"&lt;="&amp;$B123))</f>
        <v>0</v>
      </c>
      <c r="AE123" s="25" t="e">
        <f t="shared" si="4"/>
        <v>#N/A</v>
      </c>
    </row>
    <row r="124" spans="1:31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Group")+SUMIFS(Movimientos!$K$1:$K$1325,Movimientos!$C$1:$C$1325,"CFT Group",Movimientos!$B$1:$B$1325,"&lt;="&amp;$B124)</f>
        <v>740452.88000000059</v>
      </c>
      <c r="D124" s="24">
        <f>SUMIFS('Saldos Iniciales'!$D:$D,'Saldos Iniciales'!$A:$A,"M1B")+SUMIFS(Movimientos!$K$1:$K$1325,Movimientos!$C$1:$C$1325,"M1B",Movimientos!$B$1:$B$1325,"&lt;="&amp;$B124)</f>
        <v>93280.230000000171</v>
      </c>
      <c r="E124" s="24">
        <f>SUMIFS('Saldos Iniciales'!$D:$D,'Saldos Iniciales'!$A:$A,"Durand")+SUMIFS(Movimientos!$K$1:$K$1325,Movimientos!$C$1:$C$1325,"Durand",Movimientos!$B$1:$B$1325,"&lt;="&amp;$B124)</f>
        <v>1669.89</v>
      </c>
      <c r="F124" s="24">
        <f>SUMIFS('Saldos Iniciales'!$D:$D,'Saldos Iniciales'!$A:$A,"A&amp;M Imports")+SUMIFS(Movimientos!$K$1:$K$1325,Movimientos!$C$1:$C$1325,"A&amp;M Imports",Movimientos!$B$1:$B$1325,"&lt;="&amp;$B124)</f>
        <v>1419898.24</v>
      </c>
      <c r="G124" s="24">
        <f>SUMIFS('Saldos Iniciales'!$D:$D,'Saldos Iniciales'!$A:$A,"SSP Capital")+SUMIFS(Movimientos!$K$1:$K$1325,Movimientos!$C$1:$C$1325,"SSP Capital",Movimientos!$B$1:$B$1325,"&lt;="&amp;$B124)</f>
        <v>1555601.2099999995</v>
      </c>
      <c r="H124" s="24">
        <f>SUMIFS('Saldos Iniciales'!$D:$D,'Saldos Iniciales'!$A:$A,"Cross Family Trust")+SUMIFS(Movimientos!$K$1:$K$1325,Movimientos!$C$1:$C$1325,"Cross Family Trust",Movimientos!$B$1:$B$1325,"&lt;="&amp;$B124)</f>
        <v>221496.38</v>
      </c>
      <c r="I124" s="24">
        <f>SUMIFS('Saldos Iniciales'!$D:$D,'Saldos Iniciales'!$A:$A,"Cross Security Trust")+SUMIFS(Movimientos!$K$1:$K$1325,Movimientos!$C$1:$C$1325,"Cross Security Trust",Movimientos!$B$1:$B$1325,"&lt;="&amp;$B124)</f>
        <v>98169.25999999998</v>
      </c>
      <c r="J124" s="24">
        <f>SUMIFS('Saldos Iniciales'!$D:$D,'Saldos Iniciales'!$A:$A,"Electrama")+SUMIFS(Movimientos!$K$1:$K$1325,Movimientos!$C$1:$C$1325,"Electrama",Movimientos!$B$1:$B$1325,"&lt;="&amp;$B124)</f>
        <v>13270.02</v>
      </c>
      <c r="K124" s="24">
        <f>SUMIFS('Saldos Iniciales'!$D:$D,'Saldos Iniciales'!$A:$A,"Sacred Valley Capital")+SUMIFS(Movimientos!$K$1:$K$1325,Movimientos!$C$1:$C$1325,"Sacred Valley Capital",Movimientos!$B$1:$B$1325,"&lt;="&amp;$B124)</f>
        <v>124.45</v>
      </c>
      <c r="L124" s="24">
        <f>SUMIFS('Saldos Iniciales'!$D:$D,'Saldos Iniciales'!$A:$A,"YWC Capital")+SUMIFS(Movimientos!$K$1:$K$1325,Movimientos!$C$1:$C$1325,"YWC Capital",Movimientos!$B$1:$B$1325,"&lt;="&amp;$B124)</f>
        <v>2177.87</v>
      </c>
      <c r="M124" s="24">
        <f>SUMIFS('Saldos Iniciales'!$D:$D,'Saldos Iniciales'!$A:$A,"Soweto")+SUMIFS(Movimientos!$K$1:$K$1325,Movimientos!$C$1:$C$1325,"Soweto",Movimientos!$B$1:$B$1325,"&lt;="&amp;$B124)</f>
        <v>754424.72</v>
      </c>
      <c r="N124" s="24">
        <f>SUMIFS('Saldos Iniciales'!$D:$D,'Saldos Iniciales'!$A:$A,"Green Stone Trust")+SUMIFS(Movimientos!$K$1:$K$1325,Movimientos!$C$1:$C$1325,"Green Stone Trust",Movimientos!$B$1:$B$1325,"&lt;="&amp;$B124)</f>
        <v>1968.99</v>
      </c>
      <c r="O124" s="24">
        <f>SUMIFS('Saldos Iniciales'!$D:$D,'Saldos Iniciales'!$A:$A,"EC Auto")+SUMIFS(Movimientos!$K$1:$K$1325,Movimientos!$C$1:$C$1325,"EC Auto",Movimientos!$B$1:$B$1325,"&lt;="&amp;$B124)</f>
        <v>901.34</v>
      </c>
      <c r="P124" s="24">
        <f>SUMIFS('Saldos Iniciales'!$D:$D,'Saldos Iniciales'!$A:$A,"Arbor Capital Properties")+SUMIFS(Movimientos!$K$1:$K$1325,Movimientos!$C$1:$C$1325,"Arbor Capital Properties",Movimientos!$B$1:$B$1325,"&lt;="&amp;$B124)</f>
        <v>1396.08</v>
      </c>
      <c r="Q124" s="24">
        <f>SUMIFS('Saldos Iniciales'!$D:$D,'Saldos Iniciales'!$A:$A,"2515 Overbrook")+SUMIFS(Movimientos!$K$1:$K$1325,Movimientos!$C$1:$C$1325,"2515 Overbrook",Movimientos!$B$1:$B$1325,"&lt;="&amp;$B124)</f>
        <v>33570.709999999963</v>
      </c>
      <c r="R124" s="24">
        <f>SUMIFS('Saldos Iniciales'!$D:$D,'Saldos Iniciales'!$A:$A,"112 Florida Ave")+SUMIFS(Movimientos!$K$1:$K$1325,Movimientos!$C$1:$C$1325,"112 Florida Ave",Movimientos!$B$1:$B$1325,"&lt;="&amp;$B124)</f>
        <v>26559.170000000006</v>
      </c>
      <c r="S124" s="24">
        <f>SUMIFS('Saldos Iniciales'!$D:$D,'Saldos Iniciales'!$A:$A,"3628 Thomas Ave")+SUMIFS(Movimientos!$K$1:$K$1325,Movimientos!$C$1:$C$1325,"3628 Thomas Ave",Movimientos!$B$1:$B$1325,"&lt;="&amp;$B124)</f>
        <v>23736.039999999997</v>
      </c>
      <c r="T124" s="24">
        <f>SUMIFS('Saldos Iniciales'!$D:$D,'Saldos Iniciales'!$A:$A,"Green Harbor Trust")+SUMIFS(Movimientos!$K$1:$K$1325,Movimientos!$C$1:$C$1325,"Green Harbor Trust",Movimientos!$B$1:$B$1325,"&lt;="&amp;$B124)</f>
        <v>345</v>
      </c>
      <c r="U124" s="24">
        <f>SUMIFS('Saldos Iniciales'!$D:$D,'Saldos Iniciales'!$A:$A,"Go Blue")+SUMIFS(Movimientos!$K$1:$K$1325,Movimientos!$C$1:$C$1325,"Go Blue",Movimientos!$B$1:$B$1325,"&lt;="&amp;$B124)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LLC",Movimientos!$B$1:$B$1325,"&lt;="&amp;$B124))</f>
        <v>0</v>
      </c>
      <c r="W124" s="24">
        <f>IF(YEAR($B124)*100+MONTH($B124)&lt;--SUBSTITUTE(_xlfn.XLOOKUP("CFT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",Movimientos!$B$1:$B$1325,"&lt;="&amp;$B124))</f>
        <v>0</v>
      </c>
      <c r="AC124" s="24" t="e">
        <f>IF(YEAR($B124)*100+MONTH($B124)&lt;--SUBSTITUTE(_xlfn.XLOOKUP("SYIP",'Saldos Iniciales'!$A:$A,'Saldos Iniciales'!$C:$C),"-",""),0,SUMIFS('Saldos Iniciales'!$D:$D,'Saldos Iniciales'!$A:$A,"SYIP")+SUMIFS(Movimientos!$K$1:$K$1325,Movimientos!$C$1:$C$1325,"SYIP",Movimientos!$B$1:$B$1325,"&lt;="&amp;$B124))</f>
        <v>#N/A</v>
      </c>
      <c r="AD124" s="24">
        <f>IF(YEAR($B124)*100+MONTH($B124)&lt;--SUBSTITUTE(_xlfn.XLOOKUP("Nobe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Aparments",Movimientos!$B$1:$B$1325,"&lt;="&amp;$B124))</f>
        <v>0</v>
      </c>
      <c r="AE124" s="25" t="e">
        <f t="shared" si="4"/>
        <v>#N/A</v>
      </c>
    </row>
    <row r="125" spans="1:31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Group")+SUMIFS(Movimientos!$K$1:$K$1325,Movimientos!$C$1:$C$1325,"CFT Group",Movimientos!$B$1:$B$1325,"&lt;="&amp;$B125)</f>
        <v>757677.3900000006</v>
      </c>
      <c r="D125" s="24">
        <f>SUMIFS('Saldos Iniciales'!$D:$D,'Saldos Iniciales'!$A:$A,"M1B")+SUMIFS(Movimientos!$K$1:$K$1325,Movimientos!$C$1:$C$1325,"M1B",Movimientos!$B$1:$B$1325,"&lt;="&amp;$B125)</f>
        <v>93280.230000000171</v>
      </c>
      <c r="E125" s="24">
        <f>SUMIFS('Saldos Iniciales'!$D:$D,'Saldos Iniciales'!$A:$A,"Durand")+SUMIFS(Movimientos!$K$1:$K$1325,Movimientos!$C$1:$C$1325,"Durand",Movimientos!$B$1:$B$1325,"&lt;="&amp;$B125)</f>
        <v>1669.89</v>
      </c>
      <c r="F125" s="24">
        <f>SUMIFS('Saldos Iniciales'!$D:$D,'Saldos Iniciales'!$A:$A,"A&amp;M Imports")+SUMIFS(Movimientos!$K$1:$K$1325,Movimientos!$C$1:$C$1325,"A&amp;M Imports",Movimientos!$B$1:$B$1325,"&lt;="&amp;$B125)</f>
        <v>1419898.24</v>
      </c>
      <c r="G125" s="24">
        <f>SUMIFS('Saldos Iniciales'!$D:$D,'Saldos Iniciales'!$A:$A,"SSP Capital")+SUMIFS(Movimientos!$K$1:$K$1325,Movimientos!$C$1:$C$1325,"SSP Capital",Movimientos!$B$1:$B$1325,"&lt;="&amp;$B125)</f>
        <v>1484962.6199999996</v>
      </c>
      <c r="H125" s="24">
        <f>SUMIFS('Saldos Iniciales'!$D:$D,'Saldos Iniciales'!$A:$A,"Cross Family Trust")+SUMIFS(Movimientos!$K$1:$K$1325,Movimientos!$C$1:$C$1325,"Cross Family Trust",Movimientos!$B$1:$B$1325,"&lt;="&amp;$B125)</f>
        <v>215496.38</v>
      </c>
      <c r="I125" s="24">
        <f>SUMIFS('Saldos Iniciales'!$D:$D,'Saldos Iniciales'!$A:$A,"Cross Security Trust")+SUMIFS(Movimientos!$K$1:$K$1325,Movimientos!$C$1:$C$1325,"Cross Security Trust",Movimientos!$B$1:$B$1325,"&lt;="&amp;$B125)</f>
        <v>98169.25999999998</v>
      </c>
      <c r="J125" s="24">
        <f>SUMIFS('Saldos Iniciales'!$D:$D,'Saldos Iniciales'!$A:$A,"Electrama")+SUMIFS(Movimientos!$K$1:$K$1325,Movimientos!$C$1:$C$1325,"Electrama",Movimientos!$B$1:$B$1325,"&lt;="&amp;$B125)</f>
        <v>13054.880000000001</v>
      </c>
      <c r="K125" s="24">
        <f>SUMIFS('Saldos Iniciales'!$D:$D,'Saldos Iniciales'!$A:$A,"Sacred Valley Capital")+SUMIFS(Movimientos!$K$1:$K$1325,Movimientos!$C$1:$C$1325,"Sacred Valley Capital",Movimientos!$B$1:$B$1325,"&lt;="&amp;$B125)</f>
        <v>94.5</v>
      </c>
      <c r="L125" s="24">
        <f>SUMIFS('Saldos Iniciales'!$D:$D,'Saldos Iniciales'!$A:$A,"YWC Capital")+SUMIFS(Movimientos!$K$1:$K$1325,Movimientos!$C$1:$C$1325,"YWC Capital",Movimientos!$B$1:$B$1325,"&lt;="&amp;$B125)</f>
        <v>2147.92</v>
      </c>
      <c r="M125" s="24">
        <f>SUMIFS('Saldos Iniciales'!$D:$D,'Saldos Iniciales'!$A:$A,"Soweto")+SUMIFS(Movimientos!$K$1:$K$1325,Movimientos!$C$1:$C$1325,"Soweto",Movimientos!$B$1:$B$1325,"&lt;="&amp;$B125)</f>
        <v>754424.72</v>
      </c>
      <c r="N125" s="24">
        <f>SUMIFS('Saldos Iniciales'!$D:$D,'Saldos Iniciales'!$A:$A,"Green Stone Trust")+SUMIFS(Movimientos!$K$1:$K$1325,Movimientos!$C$1:$C$1325,"Green Stone Trust",Movimientos!$B$1:$B$1325,"&lt;="&amp;$B125)</f>
        <v>1968.99</v>
      </c>
      <c r="O125" s="24">
        <f>SUMIFS('Saldos Iniciales'!$D:$D,'Saldos Iniciales'!$A:$A,"EC Auto")+SUMIFS(Movimientos!$K$1:$K$1325,Movimientos!$C$1:$C$1325,"EC Auto",Movimientos!$B$1:$B$1325,"&lt;="&amp;$B125)</f>
        <v>901.34</v>
      </c>
      <c r="P125" s="24">
        <f>SUMIFS('Saldos Iniciales'!$D:$D,'Saldos Iniciales'!$A:$A,"Arbor Capital Properties")+SUMIFS(Movimientos!$K$1:$K$1325,Movimientos!$C$1:$C$1325,"Arbor Capital Properties",Movimientos!$B$1:$B$1325,"&lt;="&amp;$B125)</f>
        <v>1380.08</v>
      </c>
      <c r="Q125" s="24">
        <f>SUMIFS('Saldos Iniciales'!$D:$D,'Saldos Iniciales'!$A:$A,"2515 Overbrook")+SUMIFS(Movimientos!$K$1:$K$1325,Movimientos!$C$1:$C$1325,"2515 Overbrook",Movimientos!$B$1:$B$1325,"&lt;="&amp;$B125)</f>
        <v>25027.379999999961</v>
      </c>
      <c r="R125" s="24">
        <f>SUMIFS('Saldos Iniciales'!$D:$D,'Saldos Iniciales'!$A:$A,"112 Florida Ave")+SUMIFS(Movimientos!$K$1:$K$1325,Movimientos!$C$1:$C$1325,"112 Florida Ave",Movimientos!$B$1:$B$1325,"&lt;="&amp;$B125)</f>
        <v>16760.540000000008</v>
      </c>
      <c r="S125" s="24">
        <f>SUMIFS('Saldos Iniciales'!$D:$D,'Saldos Iniciales'!$A:$A,"3628 Thomas Ave")+SUMIFS(Movimientos!$K$1:$K$1325,Movimientos!$C$1:$C$1325,"3628 Thomas Ave",Movimientos!$B$1:$B$1325,"&lt;="&amp;$B125)</f>
        <v>14962.999999999996</v>
      </c>
      <c r="T125" s="24">
        <f>SUMIFS('Saldos Iniciales'!$D:$D,'Saldos Iniciales'!$A:$A,"Green Harbor Trust")+SUMIFS(Movimientos!$K$1:$K$1325,Movimientos!$C$1:$C$1325,"Green Harbor Trust",Movimientos!$B$1:$B$1325,"&lt;="&amp;$B125)</f>
        <v>345</v>
      </c>
      <c r="U125" s="24">
        <f>SUMIFS('Saldos Iniciales'!$D:$D,'Saldos Iniciales'!$A:$A,"Go Blue")+SUMIFS(Movimientos!$K$1:$K$1325,Movimientos!$C$1:$C$1325,"Go Blue",Movimientos!$B$1:$B$1325,"&lt;="&amp;$B125)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LLC",Movimientos!$B$1:$B$1325,"&lt;="&amp;$B125))</f>
        <v>301167.45</v>
      </c>
      <c r="W125" s="24">
        <f>IF(YEAR($B125)*100+MONTH($B125)&lt;--SUBSTITUTE(_xlfn.XLOOKUP("CFT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",Movimientos!$B$1:$B$1325,"&lt;="&amp;$B125))</f>
        <v>5445.57</v>
      </c>
      <c r="AC125" s="24" t="e">
        <f>IF(YEAR($B125)*100+MONTH($B125)&lt;--SUBSTITUTE(_xlfn.XLOOKUP("SYIP",'Saldos Iniciales'!$A:$A,'Saldos Iniciales'!$C:$C),"-",""),0,SUMIFS('Saldos Iniciales'!$D:$D,'Saldos Iniciales'!$A:$A,"SYIP")+SUMIFS(Movimientos!$K$1:$K$1325,Movimientos!$C$1:$C$1325,"SYIP",Movimientos!$B$1:$B$1325,"&lt;="&amp;$B125))</f>
        <v>#N/A</v>
      </c>
      <c r="AD125" s="24">
        <f>IF(YEAR($B125)*100+MONTH($B125)&lt;--SUBSTITUTE(_xlfn.XLOOKUP("Nobe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Aparments",Movimientos!$B$1:$B$1325,"&lt;="&amp;$B125))</f>
        <v>241342.91999999998</v>
      </c>
      <c r="AE125" s="25" t="e">
        <f t="shared" si="4"/>
        <v>#N/A</v>
      </c>
    </row>
    <row r="126" spans="1:31" hidden="1" outlineLevel="1" x14ac:dyDescent="0.3">
      <c r="A126" s="22">
        <f t="shared" ref="A126:A158" si="5">+A125+1</f>
        <v>125</v>
      </c>
      <c r="B126" s="23">
        <v>46267</v>
      </c>
      <c r="C126" s="24">
        <f>SUMIFS('Saldos Iniciales'!$D:$D,'Saldos Iniciales'!$A:$A,"CFT Group")+SUMIFS(Movimientos!$K$1:$K$1325,Movimientos!$C$1:$C$1325,"CFT Group",Movimientos!$B$1:$B$1325,"&lt;="&amp;$B126)</f>
        <v>1468396.1200000006</v>
      </c>
      <c r="D126" s="24">
        <f>SUMIFS('Saldos Iniciales'!$D:$D,'Saldos Iniciales'!$A:$A,"M1B")+SUMIFS(Movimientos!$K$1:$K$1325,Movimientos!$C$1:$C$1325,"M1B",Movimientos!$B$1:$B$1325,"&lt;="&amp;$B126)</f>
        <v>93280.230000000171</v>
      </c>
      <c r="E126" s="24">
        <f>SUMIFS('Saldos Iniciales'!$D:$D,'Saldos Iniciales'!$A:$A,"Durand")+SUMIFS(Movimientos!$K$1:$K$1325,Movimientos!$C$1:$C$1325,"Durand",Movimientos!$B$1:$B$1325,"&lt;="&amp;$B126)</f>
        <v>1669.89</v>
      </c>
      <c r="F126" s="24">
        <f>SUMIFS('Saldos Iniciales'!$D:$D,'Saldos Iniciales'!$A:$A,"A&amp;M Imports")+SUMIFS(Movimientos!$K$1:$K$1325,Movimientos!$C$1:$C$1325,"A&amp;M Imports",Movimientos!$B$1:$B$1325,"&lt;="&amp;$B126)</f>
        <v>1419898.24</v>
      </c>
      <c r="G126" s="24">
        <f>SUMIFS('Saldos Iniciales'!$D:$D,'Saldos Iniciales'!$A:$A,"SSP Capital")+SUMIFS(Movimientos!$K$1:$K$1325,Movimientos!$C$1:$C$1325,"SSP Capital",Movimientos!$B$1:$B$1325,"&lt;="&amp;$B126)</f>
        <v>1484962.6199999996</v>
      </c>
      <c r="H126" s="24">
        <f>SUMIFS('Saldos Iniciales'!$D:$D,'Saldos Iniciales'!$A:$A,"Cross Family Trust")+SUMIFS(Movimientos!$K$1:$K$1325,Movimientos!$C$1:$C$1325,"Cross Family Trust",Movimientos!$B$1:$B$1325,"&lt;="&amp;$B126)</f>
        <v>249778.14</v>
      </c>
      <c r="I126" s="24">
        <f>SUMIFS('Saldos Iniciales'!$D:$D,'Saldos Iniciales'!$A:$A,"Cross Security Trust")+SUMIFS(Movimientos!$K$1:$K$1325,Movimientos!$C$1:$C$1325,"Cross Security Trust",Movimientos!$B$1:$B$1325,"&lt;="&amp;$B126)</f>
        <v>98169.25999999998</v>
      </c>
      <c r="J126" s="24">
        <f>SUMIFS('Saldos Iniciales'!$D:$D,'Saldos Iniciales'!$A:$A,"Electrama")+SUMIFS(Movimientos!$K$1:$K$1325,Movimientos!$C$1:$C$1325,"Electrama",Movimientos!$B$1:$B$1325,"&lt;="&amp;$B126)</f>
        <v>13054.880000000001</v>
      </c>
      <c r="K126" s="24">
        <f>SUMIFS('Saldos Iniciales'!$D:$D,'Saldos Iniciales'!$A:$A,"Sacred Valley Capital")+SUMIFS(Movimientos!$K$1:$K$1325,Movimientos!$C$1:$C$1325,"Sacred Valley Capital",Movimientos!$B$1:$B$1325,"&lt;="&amp;$B126)</f>
        <v>94.5</v>
      </c>
      <c r="L126" s="24">
        <f>SUMIFS('Saldos Iniciales'!$D:$D,'Saldos Iniciales'!$A:$A,"YWC Capital")+SUMIFS(Movimientos!$K$1:$K$1325,Movimientos!$C$1:$C$1325,"YWC Capital",Movimientos!$B$1:$B$1325,"&lt;="&amp;$B126)</f>
        <v>2147.92</v>
      </c>
      <c r="M126" s="24">
        <f>SUMIFS('Saldos Iniciales'!$D:$D,'Saldos Iniciales'!$A:$A,"Soweto")+SUMIFS(Movimientos!$K$1:$K$1325,Movimientos!$C$1:$C$1325,"Soweto",Movimientos!$B$1:$B$1325,"&lt;="&amp;$B126)</f>
        <v>17895.290000000015</v>
      </c>
      <c r="N126" s="24">
        <f>SUMIFS('Saldos Iniciales'!$D:$D,'Saldos Iniciales'!$A:$A,"Green Stone Trust")+SUMIFS(Movimientos!$K$1:$K$1325,Movimientos!$C$1:$C$1325,"Green Stone Trust",Movimientos!$B$1:$B$1325,"&lt;="&amp;$B126)</f>
        <v>1968.99</v>
      </c>
      <c r="O126" s="24">
        <f>SUMIFS('Saldos Iniciales'!$D:$D,'Saldos Iniciales'!$A:$A,"EC Auto")+SUMIFS(Movimientos!$K$1:$K$1325,Movimientos!$C$1:$C$1325,"EC Auto",Movimientos!$B$1:$B$1325,"&lt;="&amp;$B126)</f>
        <v>901.34</v>
      </c>
      <c r="P126" s="24">
        <f>SUMIFS('Saldos Iniciales'!$D:$D,'Saldos Iniciales'!$A:$A,"Arbor Capital Properties")+SUMIFS(Movimientos!$K$1:$K$1325,Movimientos!$C$1:$C$1325,"Arbor Capital Properties",Movimientos!$B$1:$B$1325,"&lt;="&amp;$B126)</f>
        <v>1380.08</v>
      </c>
      <c r="Q126" s="24">
        <f>SUMIFS('Saldos Iniciales'!$D:$D,'Saldos Iniciales'!$A:$A,"2515 Overbrook")+SUMIFS(Movimientos!$K$1:$K$1325,Movimientos!$C$1:$C$1325,"2515 Overbrook",Movimientos!$B$1:$B$1325,"&lt;="&amp;$B126)</f>
        <v>25027.379999999961</v>
      </c>
      <c r="R126" s="24">
        <f>SUMIFS('Saldos Iniciales'!$D:$D,'Saldos Iniciales'!$A:$A,"112 Florida Ave")+SUMIFS(Movimientos!$K$1:$K$1325,Movimientos!$C$1:$C$1325,"112 Florida Ave",Movimientos!$B$1:$B$1325,"&lt;="&amp;$B126)</f>
        <v>16760.540000000008</v>
      </c>
      <c r="S126" s="24">
        <f>SUMIFS('Saldos Iniciales'!$D:$D,'Saldos Iniciales'!$A:$A,"3628 Thomas Ave")+SUMIFS(Movimientos!$K$1:$K$1325,Movimientos!$C$1:$C$1325,"3628 Thomas Ave",Movimientos!$B$1:$B$1325,"&lt;="&amp;$B126)</f>
        <v>14162.999999999996</v>
      </c>
      <c r="T126" s="24">
        <f>SUMIFS('Saldos Iniciales'!$D:$D,'Saldos Iniciales'!$A:$A,"Green Harbor Trust")+SUMIFS(Movimientos!$K$1:$K$1325,Movimientos!$C$1:$C$1325,"Green Harbor Trust",Movimientos!$B$1:$B$1325,"&lt;="&amp;$B126)</f>
        <v>345</v>
      </c>
      <c r="U126" s="24">
        <f>SUMIFS('Saldos Iniciales'!$D:$D,'Saldos Iniciales'!$A:$A,"Go Blue")+SUMIFS(Movimientos!$K$1:$K$1325,Movimientos!$C$1:$C$1325,"Go Blue",Movimientos!$B$1:$B$1325,"&lt;="&amp;$B126)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LLC",Movimientos!$B$1:$B$1325,"&lt;="&amp;$B126))</f>
        <v>301167.45</v>
      </c>
      <c r="W126" s="24">
        <f>IF(YEAR($B126)*100+MONTH($B126)&lt;--SUBSTITUTE(_xlfn.XLOOKUP("CFT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",Movimientos!$B$1:$B$1325,"&lt;="&amp;$B126))</f>
        <v>5445.57</v>
      </c>
      <c r="AC126" s="24" t="e">
        <f>IF(YEAR($B126)*100+MONTH($B126)&lt;--SUBSTITUTE(_xlfn.XLOOKUP("SYIP",'Saldos Iniciales'!$A:$A,'Saldos Iniciales'!$C:$C),"-",""),0,SUMIFS('Saldos Iniciales'!$D:$D,'Saldos Iniciales'!$A:$A,"SYIP")+SUMIFS(Movimientos!$K$1:$K$1325,Movimientos!$C$1:$C$1325,"SYIP",Movimientos!$B$1:$B$1325,"&lt;="&amp;$B126))</f>
        <v>#N/A</v>
      </c>
      <c r="AD126" s="24">
        <f>IF(YEAR($B126)*100+MONTH($B126)&lt;--SUBSTITUTE(_xlfn.XLOOKUP("Nobe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Aparments",Movimientos!$B$1:$B$1325,"&lt;="&amp;$B126))</f>
        <v>241674.28999999998</v>
      </c>
      <c r="AE126" s="25" t="e">
        <f t="shared" si="4"/>
        <v>#N/A</v>
      </c>
    </row>
    <row r="127" spans="1:31" hidden="1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Group")+SUMIFS(Movimientos!$K$1:$K$1325,Movimientos!$C$1:$C$1325,"CFT Group",Movimientos!$B$1:$B$1325,"&lt;="&amp;$B127)</f>
        <v>1053254.4500000007</v>
      </c>
      <c r="D127" s="24">
        <f>SUMIFS('Saldos Iniciales'!$D:$D,'Saldos Iniciales'!$A:$A,"M1B")+SUMIFS(Movimientos!$K$1:$K$1325,Movimientos!$C$1:$C$1325,"M1B",Movimientos!$B$1:$B$1325,"&lt;="&amp;$B127)</f>
        <v>93280.230000000171</v>
      </c>
      <c r="E127" s="24">
        <f>SUMIFS('Saldos Iniciales'!$D:$D,'Saldos Iniciales'!$A:$A,"Durand")+SUMIFS(Movimientos!$K$1:$K$1325,Movimientos!$C$1:$C$1325,"Durand",Movimientos!$B$1:$B$1325,"&lt;="&amp;$B127)</f>
        <v>1669.89</v>
      </c>
      <c r="F127" s="24">
        <f>SUMIFS('Saldos Iniciales'!$D:$D,'Saldos Iniciales'!$A:$A,"A&amp;M Imports")+SUMIFS(Movimientos!$K$1:$K$1325,Movimientos!$C$1:$C$1325,"A&amp;M Imports",Movimientos!$B$1:$B$1325,"&lt;="&amp;$B127)</f>
        <v>1250938</v>
      </c>
      <c r="G127" s="24">
        <f>SUMIFS('Saldos Iniciales'!$D:$D,'Saldos Iniciales'!$A:$A,"SSP Capital")+SUMIFS(Movimientos!$K$1:$K$1325,Movimientos!$C$1:$C$1325,"SSP Capital",Movimientos!$B$1:$B$1325,"&lt;="&amp;$B127)</f>
        <v>1500228.9099999997</v>
      </c>
      <c r="H127" s="24">
        <f>SUMIFS('Saldos Iniciales'!$D:$D,'Saldos Iniciales'!$A:$A,"Cross Family Trust")+SUMIFS(Movimientos!$K$1:$K$1325,Movimientos!$C$1:$C$1325,"Cross Family Trust",Movimientos!$B$1:$B$1325,"&lt;="&amp;$B127)</f>
        <v>249778.14</v>
      </c>
      <c r="I127" s="24">
        <f>SUMIFS('Saldos Iniciales'!$D:$D,'Saldos Iniciales'!$A:$A,"Cross Security Trust")+SUMIFS(Movimientos!$K$1:$K$1325,Movimientos!$C$1:$C$1325,"Cross Security Trust",Movimientos!$B$1:$B$1325,"&lt;="&amp;$B127)</f>
        <v>98169.25999999998</v>
      </c>
      <c r="J127" s="24">
        <f>SUMIFS('Saldos Iniciales'!$D:$D,'Saldos Iniciales'!$A:$A,"Electrama")+SUMIFS(Movimientos!$K$1:$K$1325,Movimientos!$C$1:$C$1325,"Electrama",Movimientos!$B$1:$B$1325,"&lt;="&amp;$B127)</f>
        <v>13014.880000000001</v>
      </c>
      <c r="K127" s="24">
        <f>SUMIFS('Saldos Iniciales'!$D:$D,'Saldos Iniciales'!$A:$A,"Sacred Valley Capital")+SUMIFS(Movimientos!$K$1:$K$1325,Movimientos!$C$1:$C$1325,"Sacred Valley Capital",Movimientos!$B$1:$B$1325,"&lt;="&amp;$B127)</f>
        <v>94.5</v>
      </c>
      <c r="L127" s="24">
        <f>SUMIFS('Saldos Iniciales'!$D:$D,'Saldos Iniciales'!$A:$A,"YWC Capital")+SUMIFS(Movimientos!$K$1:$K$1325,Movimientos!$C$1:$C$1325,"YWC Capital",Movimientos!$B$1:$B$1325,"&lt;="&amp;$B127)</f>
        <v>2147.92</v>
      </c>
      <c r="M127" s="24">
        <f>SUMIFS('Saldos Iniciales'!$D:$D,'Saldos Iniciales'!$A:$A,"Soweto")+SUMIFS(Movimientos!$K$1:$K$1325,Movimientos!$C$1:$C$1325,"Soweto",Movimientos!$B$1:$B$1325,"&lt;="&amp;$B127)</f>
        <v>17895.290000000015</v>
      </c>
      <c r="N127" s="24">
        <f>SUMIFS('Saldos Iniciales'!$D:$D,'Saldos Iniciales'!$A:$A,"Green Stone Trust")+SUMIFS(Movimientos!$K$1:$K$1325,Movimientos!$C$1:$C$1325,"Green Stone Trust",Movimientos!$B$1:$B$1325,"&lt;="&amp;$B127)</f>
        <v>1968.99</v>
      </c>
      <c r="O127" s="24">
        <f>SUMIFS('Saldos Iniciales'!$D:$D,'Saldos Iniciales'!$A:$A,"EC Auto")+SUMIFS(Movimientos!$K$1:$K$1325,Movimientos!$C$1:$C$1325,"EC Auto",Movimientos!$B$1:$B$1325,"&lt;="&amp;$B127)</f>
        <v>901.34</v>
      </c>
      <c r="P127" s="24">
        <f>SUMIFS('Saldos Iniciales'!$D:$D,'Saldos Iniciales'!$A:$A,"Arbor Capital Properties")+SUMIFS(Movimientos!$K$1:$K$1325,Movimientos!$C$1:$C$1325,"Arbor Capital Properties",Movimientos!$B$1:$B$1325,"&lt;="&amp;$B127)</f>
        <v>1380.08</v>
      </c>
      <c r="Q127" s="24">
        <f>SUMIFS('Saldos Iniciales'!$D:$D,'Saldos Iniciales'!$A:$A,"2515 Overbrook")+SUMIFS(Movimientos!$K$1:$K$1325,Movimientos!$C$1:$C$1325,"2515 Overbrook",Movimientos!$B$1:$B$1325,"&lt;="&amp;$B127)</f>
        <v>25027.379999999961</v>
      </c>
      <c r="R127" s="24">
        <f>SUMIFS('Saldos Iniciales'!$D:$D,'Saldos Iniciales'!$A:$A,"112 Florida Ave")+SUMIFS(Movimientos!$K$1:$K$1325,Movimientos!$C$1:$C$1325,"112 Florida Ave",Movimientos!$B$1:$B$1325,"&lt;="&amp;$B127)</f>
        <v>16760.540000000008</v>
      </c>
      <c r="S127" s="24">
        <f>SUMIFS('Saldos Iniciales'!$D:$D,'Saldos Iniciales'!$A:$A,"3628 Thomas Ave")+SUMIFS(Movimientos!$K$1:$K$1325,Movimientos!$C$1:$C$1325,"3628 Thomas Ave",Movimientos!$B$1:$B$1325,"&lt;="&amp;$B127)</f>
        <v>14162.999999999996</v>
      </c>
      <c r="T127" s="24">
        <f>SUMIFS('Saldos Iniciales'!$D:$D,'Saldos Iniciales'!$A:$A,"Green Harbor Trust")+SUMIFS(Movimientos!$K$1:$K$1325,Movimientos!$C$1:$C$1325,"Green Harbor Trust",Movimientos!$B$1:$B$1325,"&lt;="&amp;$B127)</f>
        <v>345</v>
      </c>
      <c r="U127" s="24">
        <f>SUMIFS('Saldos Iniciales'!$D:$D,'Saldos Iniciales'!$A:$A,"Go Blue")+SUMIFS(Movimientos!$K$1:$K$1325,Movimientos!$C$1:$C$1325,"Go Blue",Movimientos!$B$1:$B$1325,"&lt;="&amp;$B127)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LLC",Movimientos!$B$1:$B$1325,"&lt;="&amp;$B127))</f>
        <v>299174.44</v>
      </c>
      <c r="W127" s="24">
        <f>IF(YEAR($B127)*100+MONTH($B127)&lt;--SUBSTITUTE(_xlfn.XLOOKUP("CFT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",Movimientos!$B$1:$B$1325,"&lt;="&amp;$B127))</f>
        <v>5445.57</v>
      </c>
      <c r="AC127" s="24" t="e">
        <f>IF(YEAR($B127)*100+MONTH($B127)&lt;--SUBSTITUTE(_xlfn.XLOOKUP("SYIP",'Saldos Iniciales'!$A:$A,'Saldos Iniciales'!$C:$C),"-",""),0,SUMIFS('Saldos Iniciales'!$D:$D,'Saldos Iniciales'!$A:$A,"SYIP")+SUMIFS(Movimientos!$K$1:$K$1325,Movimientos!$C$1:$C$1325,"SYIP",Movimientos!$B$1:$B$1325,"&lt;="&amp;$B127))</f>
        <v>#N/A</v>
      </c>
      <c r="AD127" s="24">
        <f>IF(YEAR($B127)*100+MONTH($B127)&lt;--SUBSTITUTE(_xlfn.XLOOKUP("Nobe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Aparments",Movimientos!$B$1:$B$1325,"&lt;="&amp;$B127))</f>
        <v>241819.28999999998</v>
      </c>
      <c r="AE127" s="25" t="e">
        <f t="shared" si="4"/>
        <v>#N/A</v>
      </c>
    </row>
    <row r="128" spans="1:31" hidden="1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Group")+SUMIFS(Movimientos!$K$1:$K$1325,Movimientos!$C$1:$C$1325,"CFT Group",Movimientos!$B$1:$B$1325,"&lt;="&amp;$B128)</f>
        <v>1549729.4500000007</v>
      </c>
      <c r="D128" s="24">
        <f>SUMIFS('Saldos Iniciales'!$D:$D,'Saldos Iniciales'!$A:$A,"M1B")+SUMIFS(Movimientos!$K$1:$K$1325,Movimientos!$C$1:$C$1325,"M1B",Movimientos!$B$1:$B$1325,"&lt;="&amp;$B128)</f>
        <v>93280.230000000171</v>
      </c>
      <c r="E128" s="24">
        <f>SUMIFS('Saldos Iniciales'!$D:$D,'Saldos Iniciales'!$A:$A,"Durand")+SUMIFS(Movimientos!$K$1:$K$1325,Movimientos!$C$1:$C$1325,"Durand",Movimientos!$B$1:$B$1325,"&lt;="&amp;$B128)</f>
        <v>1669.89</v>
      </c>
      <c r="F128" s="24">
        <f>SUMIFS('Saldos Iniciales'!$D:$D,'Saldos Iniciales'!$A:$A,"A&amp;M Imports")+SUMIFS(Movimientos!$K$1:$K$1325,Movimientos!$C$1:$C$1325,"A&amp;M Imports",Movimientos!$B$1:$B$1325,"&lt;="&amp;$B128)</f>
        <v>1250938</v>
      </c>
      <c r="G128" s="24">
        <f>SUMIFS('Saldos Iniciales'!$D:$D,'Saldos Iniciales'!$A:$A,"SSP Capital")+SUMIFS(Movimientos!$K$1:$K$1325,Movimientos!$C$1:$C$1325,"SSP Capital",Movimientos!$B$1:$B$1325,"&lt;="&amp;$B128)</f>
        <v>1499204.7399999998</v>
      </c>
      <c r="H128" s="24">
        <f>SUMIFS('Saldos Iniciales'!$D:$D,'Saldos Iniciales'!$A:$A,"Cross Family Trust")+SUMIFS(Movimientos!$K$1:$K$1325,Movimientos!$C$1:$C$1325,"Cross Family Trust",Movimientos!$B$1:$B$1325,"&lt;="&amp;$B128)</f>
        <v>249778.14</v>
      </c>
      <c r="I128" s="24">
        <f>SUMIFS('Saldos Iniciales'!$D:$D,'Saldos Iniciales'!$A:$A,"Cross Security Trust")+SUMIFS(Movimientos!$K$1:$K$1325,Movimientos!$C$1:$C$1325,"Cross Security Trust",Movimientos!$B$1:$B$1325,"&lt;="&amp;$B128)</f>
        <v>98169.25999999998</v>
      </c>
      <c r="J128" s="24">
        <f>SUMIFS('Saldos Iniciales'!$D:$D,'Saldos Iniciales'!$A:$A,"Electrama")+SUMIFS(Movimientos!$K$1:$K$1325,Movimientos!$C$1:$C$1325,"Electrama",Movimientos!$B$1:$B$1325,"&lt;="&amp;$B128)</f>
        <v>13014.880000000001</v>
      </c>
      <c r="K128" s="24">
        <f>SUMIFS('Saldos Iniciales'!$D:$D,'Saldos Iniciales'!$A:$A,"Sacred Valley Capital")+SUMIFS(Movimientos!$K$1:$K$1325,Movimientos!$C$1:$C$1325,"Sacred Valley Capital",Movimientos!$B$1:$B$1325,"&lt;="&amp;$B128)</f>
        <v>94.5</v>
      </c>
      <c r="L128" s="24">
        <f>SUMIFS('Saldos Iniciales'!$D:$D,'Saldos Iniciales'!$A:$A,"YWC Capital")+SUMIFS(Movimientos!$K$1:$K$1325,Movimientos!$C$1:$C$1325,"YWC Capital",Movimientos!$B$1:$B$1325,"&lt;="&amp;$B128)</f>
        <v>2147.92</v>
      </c>
      <c r="M128" s="24">
        <f>SUMIFS('Saldos Iniciales'!$D:$D,'Saldos Iniciales'!$A:$A,"Soweto")+SUMIFS(Movimientos!$K$1:$K$1325,Movimientos!$C$1:$C$1325,"Soweto",Movimientos!$B$1:$B$1325,"&lt;="&amp;$B128)</f>
        <v>17895.290000000015</v>
      </c>
      <c r="N128" s="24">
        <f>SUMIFS('Saldos Iniciales'!$D:$D,'Saldos Iniciales'!$A:$A,"Green Stone Trust")+SUMIFS(Movimientos!$K$1:$K$1325,Movimientos!$C$1:$C$1325,"Green Stone Trust",Movimientos!$B$1:$B$1325,"&lt;="&amp;$B128)</f>
        <v>1968.99</v>
      </c>
      <c r="O128" s="24">
        <f>SUMIFS('Saldos Iniciales'!$D:$D,'Saldos Iniciales'!$A:$A,"EC Auto")+SUMIFS(Movimientos!$K$1:$K$1325,Movimientos!$C$1:$C$1325,"EC Auto",Movimientos!$B$1:$B$1325,"&lt;="&amp;$B128)</f>
        <v>901.34</v>
      </c>
      <c r="P128" s="24">
        <f>SUMIFS('Saldos Iniciales'!$D:$D,'Saldos Iniciales'!$A:$A,"Arbor Capital Properties")+SUMIFS(Movimientos!$K$1:$K$1325,Movimientos!$C$1:$C$1325,"Arbor Capital Properties",Movimientos!$B$1:$B$1325,"&lt;="&amp;$B128)</f>
        <v>1380.08</v>
      </c>
      <c r="Q128" s="24">
        <f>SUMIFS('Saldos Iniciales'!$D:$D,'Saldos Iniciales'!$A:$A,"2515 Overbrook")+SUMIFS(Movimientos!$K$1:$K$1325,Movimientos!$C$1:$C$1325,"2515 Overbrook",Movimientos!$B$1:$B$1325,"&lt;="&amp;$B128)</f>
        <v>25027.379999999961</v>
      </c>
      <c r="R128" s="24">
        <f>SUMIFS('Saldos Iniciales'!$D:$D,'Saldos Iniciales'!$A:$A,"112 Florida Ave")+SUMIFS(Movimientos!$K$1:$K$1325,Movimientos!$C$1:$C$1325,"112 Florida Ave",Movimientos!$B$1:$B$1325,"&lt;="&amp;$B128)</f>
        <v>16760.540000000008</v>
      </c>
      <c r="S128" s="24">
        <f>SUMIFS('Saldos Iniciales'!$D:$D,'Saldos Iniciales'!$A:$A,"3628 Thomas Ave")+SUMIFS(Movimientos!$K$1:$K$1325,Movimientos!$C$1:$C$1325,"3628 Thomas Ave",Movimientos!$B$1:$B$1325,"&lt;="&amp;$B128)</f>
        <v>14162.999999999996</v>
      </c>
      <c r="T128" s="24">
        <f>SUMIFS('Saldos Iniciales'!$D:$D,'Saldos Iniciales'!$A:$A,"Green Harbor Trust")+SUMIFS(Movimientos!$K$1:$K$1325,Movimientos!$C$1:$C$1325,"Green Harbor Trust",Movimientos!$B$1:$B$1325,"&lt;="&amp;$B128)</f>
        <v>345</v>
      </c>
      <c r="U128" s="24">
        <f>SUMIFS('Saldos Iniciales'!$D:$D,'Saldos Iniciales'!$A:$A,"Go Blue")+SUMIFS(Movimientos!$K$1:$K$1325,Movimientos!$C$1:$C$1325,"Go Blue",Movimientos!$B$1:$B$1325,"&lt;="&amp;$B128)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LLC",Movimientos!$B$1:$B$1325,"&lt;="&amp;$B128))</f>
        <v>299174.44</v>
      </c>
      <c r="W128" s="24">
        <f>IF(YEAR($B128)*100+MONTH($B128)&lt;--SUBSTITUTE(_xlfn.XLOOKUP("CFT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",Movimientos!$B$1:$B$1325,"&lt;="&amp;$B128))</f>
        <v>5445.57</v>
      </c>
      <c r="AC128" s="24" t="e">
        <f>IF(YEAR($B128)*100+MONTH($B128)&lt;--SUBSTITUTE(_xlfn.XLOOKUP("SYIP",'Saldos Iniciales'!$A:$A,'Saldos Iniciales'!$C:$C),"-",""),0,SUMIFS('Saldos Iniciales'!$D:$D,'Saldos Iniciales'!$A:$A,"SYIP")+SUMIFS(Movimientos!$K$1:$K$1325,Movimientos!$C$1:$C$1325,"SYIP",Movimientos!$B$1:$B$1325,"&lt;="&amp;$B128))</f>
        <v>#N/A</v>
      </c>
      <c r="AD128" s="24">
        <f>IF(YEAR($B128)*100+MONTH($B128)&lt;--SUBSTITUTE(_xlfn.XLOOKUP("Nobe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Aparments",Movimientos!$B$1:$B$1325,"&lt;="&amp;$B128))</f>
        <v>242034.28999999998</v>
      </c>
      <c r="AE128" s="25" t="e">
        <f t="shared" si="4"/>
        <v>#N/A</v>
      </c>
    </row>
    <row r="129" spans="1:31" hidden="1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Group")+SUMIFS(Movimientos!$K$1:$K$1325,Movimientos!$C$1:$C$1325,"CFT Group",Movimientos!$B$1:$B$1325,"&lt;="&amp;$B129)</f>
        <v>1549729.4500000007</v>
      </c>
      <c r="D129" s="24">
        <f>SUMIFS('Saldos Iniciales'!$D:$D,'Saldos Iniciales'!$A:$A,"M1B")+SUMIFS(Movimientos!$K$1:$K$1325,Movimientos!$C$1:$C$1325,"M1B",Movimientos!$B$1:$B$1325,"&lt;="&amp;$B129)</f>
        <v>93280.230000000171</v>
      </c>
      <c r="E129" s="24">
        <f>SUMIFS('Saldos Iniciales'!$D:$D,'Saldos Iniciales'!$A:$A,"Durand")+SUMIFS(Movimientos!$K$1:$K$1325,Movimientos!$C$1:$C$1325,"Durand",Movimientos!$B$1:$B$1325,"&lt;="&amp;$B129)</f>
        <v>1669.89</v>
      </c>
      <c r="F129" s="24">
        <f>SUMIFS('Saldos Iniciales'!$D:$D,'Saldos Iniciales'!$A:$A,"A&amp;M Imports")+SUMIFS(Movimientos!$K$1:$K$1325,Movimientos!$C$1:$C$1325,"A&amp;M Imports",Movimientos!$B$1:$B$1325,"&lt;="&amp;$B129)</f>
        <v>1250938</v>
      </c>
      <c r="G129" s="24">
        <f>SUMIFS('Saldos Iniciales'!$D:$D,'Saldos Iniciales'!$A:$A,"SSP Capital")+SUMIFS(Movimientos!$K$1:$K$1325,Movimientos!$C$1:$C$1325,"SSP Capital",Movimientos!$B$1:$B$1325,"&lt;="&amp;$B129)</f>
        <v>1499204.7399999998</v>
      </c>
      <c r="H129" s="24">
        <f>SUMIFS('Saldos Iniciales'!$D:$D,'Saldos Iniciales'!$A:$A,"Cross Family Trust")+SUMIFS(Movimientos!$K$1:$K$1325,Movimientos!$C$1:$C$1325,"Cross Family Trust",Movimientos!$B$1:$B$1325,"&lt;="&amp;$B129)</f>
        <v>249778.14</v>
      </c>
      <c r="I129" s="24">
        <f>SUMIFS('Saldos Iniciales'!$D:$D,'Saldos Iniciales'!$A:$A,"Cross Security Trust")+SUMIFS(Movimientos!$K$1:$K$1325,Movimientos!$C$1:$C$1325,"Cross Security Trust",Movimientos!$B$1:$B$1325,"&lt;="&amp;$B129)</f>
        <v>98169.25999999998</v>
      </c>
      <c r="J129" s="24">
        <f>SUMIFS('Saldos Iniciales'!$D:$D,'Saldos Iniciales'!$A:$A,"Electrama")+SUMIFS(Movimientos!$K$1:$K$1325,Movimientos!$C$1:$C$1325,"Electrama",Movimientos!$B$1:$B$1325,"&lt;="&amp;$B129)</f>
        <v>13014.880000000001</v>
      </c>
      <c r="K129" s="24">
        <f>SUMIFS('Saldos Iniciales'!$D:$D,'Saldos Iniciales'!$A:$A,"Sacred Valley Capital")+SUMIFS(Movimientos!$K$1:$K$1325,Movimientos!$C$1:$C$1325,"Sacred Valley Capital",Movimientos!$B$1:$B$1325,"&lt;="&amp;$B129)</f>
        <v>94.5</v>
      </c>
      <c r="L129" s="24">
        <f>SUMIFS('Saldos Iniciales'!$D:$D,'Saldos Iniciales'!$A:$A,"YWC Capital")+SUMIFS(Movimientos!$K$1:$K$1325,Movimientos!$C$1:$C$1325,"YWC Capital",Movimientos!$B$1:$B$1325,"&lt;="&amp;$B129)</f>
        <v>2147.92</v>
      </c>
      <c r="M129" s="24">
        <f>SUMIFS('Saldos Iniciales'!$D:$D,'Saldos Iniciales'!$A:$A,"Soweto")+SUMIFS(Movimientos!$K$1:$K$1325,Movimientos!$C$1:$C$1325,"Soweto",Movimientos!$B$1:$B$1325,"&lt;="&amp;$B129)</f>
        <v>17895.290000000015</v>
      </c>
      <c r="N129" s="24">
        <f>SUMIFS('Saldos Iniciales'!$D:$D,'Saldos Iniciales'!$A:$A,"Green Stone Trust")+SUMIFS(Movimientos!$K$1:$K$1325,Movimientos!$C$1:$C$1325,"Green Stone Trust",Movimientos!$B$1:$B$1325,"&lt;="&amp;$B129)</f>
        <v>1968.99</v>
      </c>
      <c r="O129" s="24">
        <f>SUMIFS('Saldos Iniciales'!$D:$D,'Saldos Iniciales'!$A:$A,"EC Auto")+SUMIFS(Movimientos!$K$1:$K$1325,Movimientos!$C$1:$C$1325,"EC Auto",Movimientos!$B$1:$B$1325,"&lt;="&amp;$B129)</f>
        <v>901.34</v>
      </c>
      <c r="P129" s="24">
        <f>SUMIFS('Saldos Iniciales'!$D:$D,'Saldos Iniciales'!$A:$A,"Arbor Capital Properties")+SUMIFS(Movimientos!$K$1:$K$1325,Movimientos!$C$1:$C$1325,"Arbor Capital Properties",Movimientos!$B$1:$B$1325,"&lt;="&amp;$B129)</f>
        <v>1380.08</v>
      </c>
      <c r="Q129" s="24">
        <f>SUMIFS('Saldos Iniciales'!$D:$D,'Saldos Iniciales'!$A:$A,"2515 Overbrook")+SUMIFS(Movimientos!$K$1:$K$1325,Movimientos!$C$1:$C$1325,"2515 Overbrook",Movimientos!$B$1:$B$1325,"&lt;="&amp;$B129)</f>
        <v>25027.379999999961</v>
      </c>
      <c r="R129" s="24">
        <f>SUMIFS('Saldos Iniciales'!$D:$D,'Saldos Iniciales'!$A:$A,"112 Florida Ave")+SUMIFS(Movimientos!$K$1:$K$1325,Movimientos!$C$1:$C$1325,"112 Florida Ave",Movimientos!$B$1:$B$1325,"&lt;="&amp;$B129)</f>
        <v>16760.540000000008</v>
      </c>
      <c r="S129" s="24">
        <f>SUMIFS('Saldos Iniciales'!$D:$D,'Saldos Iniciales'!$A:$A,"3628 Thomas Ave")+SUMIFS(Movimientos!$K$1:$K$1325,Movimientos!$C$1:$C$1325,"3628 Thomas Ave",Movimientos!$B$1:$B$1325,"&lt;="&amp;$B129)</f>
        <v>14162.999999999996</v>
      </c>
      <c r="T129" s="24">
        <f>SUMIFS('Saldos Iniciales'!$D:$D,'Saldos Iniciales'!$A:$A,"Green Harbor Trust")+SUMIFS(Movimientos!$K$1:$K$1325,Movimientos!$C$1:$C$1325,"Green Harbor Trust",Movimientos!$B$1:$B$1325,"&lt;="&amp;$B129)</f>
        <v>345</v>
      </c>
      <c r="U129" s="24">
        <f>SUMIFS('Saldos Iniciales'!$D:$D,'Saldos Iniciales'!$A:$A,"Go Blue")+SUMIFS(Movimientos!$K$1:$K$1325,Movimientos!$C$1:$C$1325,"Go Blue",Movimientos!$B$1:$B$1325,"&lt;="&amp;$B129)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LLC",Movimientos!$B$1:$B$1325,"&lt;="&amp;$B129))</f>
        <v>299174.44</v>
      </c>
      <c r="W129" s="24">
        <f>IF(YEAR($B129)*100+MONTH($B129)&lt;--SUBSTITUTE(_xlfn.XLOOKUP("CFT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",Movimientos!$B$1:$B$1325,"&lt;="&amp;$B129))</f>
        <v>5445.57</v>
      </c>
      <c r="AC129" s="24" t="e">
        <f>IF(YEAR($B129)*100+MONTH($B129)&lt;--SUBSTITUTE(_xlfn.XLOOKUP("SYIP",'Saldos Iniciales'!$A:$A,'Saldos Iniciales'!$C:$C),"-",""),0,SUMIFS('Saldos Iniciales'!$D:$D,'Saldos Iniciales'!$A:$A,"SYIP")+SUMIFS(Movimientos!$K$1:$K$1325,Movimientos!$C$1:$C$1325,"SYIP",Movimientos!$B$1:$B$1325,"&lt;="&amp;$B129))</f>
        <v>#N/A</v>
      </c>
      <c r="AD129" s="24">
        <f>IF(YEAR($B129)*100+MONTH($B129)&lt;--SUBSTITUTE(_xlfn.XLOOKUP("Nobe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Aparments",Movimientos!$B$1:$B$1325,"&lt;="&amp;$B129))</f>
        <v>242034.28999999998</v>
      </c>
      <c r="AE129" s="25" t="e">
        <f t="shared" ref="AE129:AE155" si="6">SUM(C129:AD129)</f>
        <v>#N/A</v>
      </c>
    </row>
    <row r="130" spans="1:31" hidden="1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Group")+SUMIFS(Movimientos!$K$1:$K$1325,Movimientos!$C$1:$C$1325,"CFT Group",Movimientos!$B$1:$B$1325,"&lt;="&amp;$B130)</f>
        <v>1549729.4500000007</v>
      </c>
      <c r="D130" s="24">
        <f>SUMIFS('Saldos Iniciales'!$D:$D,'Saldos Iniciales'!$A:$A,"M1B")+SUMIFS(Movimientos!$K$1:$K$1325,Movimientos!$C$1:$C$1325,"M1B",Movimientos!$B$1:$B$1325,"&lt;="&amp;$B130)</f>
        <v>93280.230000000171</v>
      </c>
      <c r="E130" s="24">
        <f>SUMIFS('Saldos Iniciales'!$D:$D,'Saldos Iniciales'!$A:$A,"Durand")+SUMIFS(Movimientos!$K$1:$K$1325,Movimientos!$C$1:$C$1325,"Durand",Movimientos!$B$1:$B$1325,"&lt;="&amp;$B130)</f>
        <v>1669.89</v>
      </c>
      <c r="F130" s="24">
        <f>SUMIFS('Saldos Iniciales'!$D:$D,'Saldos Iniciales'!$A:$A,"A&amp;M Imports")+SUMIFS(Movimientos!$K$1:$K$1325,Movimientos!$C$1:$C$1325,"A&amp;M Imports",Movimientos!$B$1:$B$1325,"&lt;="&amp;$B130)</f>
        <v>1250938</v>
      </c>
      <c r="G130" s="24">
        <f>SUMIFS('Saldos Iniciales'!$D:$D,'Saldos Iniciales'!$A:$A,"SSP Capital")+SUMIFS(Movimientos!$K$1:$K$1325,Movimientos!$C$1:$C$1325,"SSP Capital",Movimientos!$B$1:$B$1325,"&lt;="&amp;$B130)</f>
        <v>1499204.7399999998</v>
      </c>
      <c r="H130" s="24">
        <f>SUMIFS('Saldos Iniciales'!$D:$D,'Saldos Iniciales'!$A:$A,"Cross Family Trust")+SUMIFS(Movimientos!$K$1:$K$1325,Movimientos!$C$1:$C$1325,"Cross Family Trust",Movimientos!$B$1:$B$1325,"&lt;="&amp;$B130)</f>
        <v>249778.14</v>
      </c>
      <c r="I130" s="24">
        <f>SUMIFS('Saldos Iniciales'!$D:$D,'Saldos Iniciales'!$A:$A,"Cross Security Trust")+SUMIFS(Movimientos!$K$1:$K$1325,Movimientos!$C$1:$C$1325,"Cross Security Trust",Movimientos!$B$1:$B$1325,"&lt;="&amp;$B130)</f>
        <v>98169.25999999998</v>
      </c>
      <c r="J130" s="24">
        <f>SUMIFS('Saldos Iniciales'!$D:$D,'Saldos Iniciales'!$A:$A,"Electrama")+SUMIFS(Movimientos!$K$1:$K$1325,Movimientos!$C$1:$C$1325,"Electrama",Movimientos!$B$1:$B$1325,"&lt;="&amp;$B130)</f>
        <v>13014.880000000001</v>
      </c>
      <c r="K130" s="24">
        <f>SUMIFS('Saldos Iniciales'!$D:$D,'Saldos Iniciales'!$A:$A,"Sacred Valley Capital")+SUMIFS(Movimientos!$K$1:$K$1325,Movimientos!$C$1:$C$1325,"Sacred Valley Capital",Movimientos!$B$1:$B$1325,"&lt;="&amp;$B130)</f>
        <v>94.5</v>
      </c>
      <c r="L130" s="24">
        <f>SUMIFS('Saldos Iniciales'!$D:$D,'Saldos Iniciales'!$A:$A,"YWC Capital")+SUMIFS(Movimientos!$K$1:$K$1325,Movimientos!$C$1:$C$1325,"YWC Capital",Movimientos!$B$1:$B$1325,"&lt;="&amp;$B130)</f>
        <v>2147.92</v>
      </c>
      <c r="M130" s="24">
        <f>SUMIFS('Saldos Iniciales'!$D:$D,'Saldos Iniciales'!$A:$A,"Soweto")+SUMIFS(Movimientos!$K$1:$K$1325,Movimientos!$C$1:$C$1325,"Soweto",Movimientos!$B$1:$B$1325,"&lt;="&amp;$B130)</f>
        <v>17895.290000000015</v>
      </c>
      <c r="N130" s="24">
        <f>SUMIFS('Saldos Iniciales'!$D:$D,'Saldos Iniciales'!$A:$A,"Green Stone Trust")+SUMIFS(Movimientos!$K$1:$K$1325,Movimientos!$C$1:$C$1325,"Green Stone Trust",Movimientos!$B$1:$B$1325,"&lt;="&amp;$B130)</f>
        <v>1968.99</v>
      </c>
      <c r="O130" s="24">
        <f>SUMIFS('Saldos Iniciales'!$D:$D,'Saldos Iniciales'!$A:$A,"EC Auto")+SUMIFS(Movimientos!$K$1:$K$1325,Movimientos!$C$1:$C$1325,"EC Auto",Movimientos!$B$1:$B$1325,"&lt;="&amp;$B130)</f>
        <v>901.34</v>
      </c>
      <c r="P130" s="24">
        <f>SUMIFS('Saldos Iniciales'!$D:$D,'Saldos Iniciales'!$A:$A,"Arbor Capital Properties")+SUMIFS(Movimientos!$K$1:$K$1325,Movimientos!$C$1:$C$1325,"Arbor Capital Properties",Movimientos!$B$1:$B$1325,"&lt;="&amp;$B130)</f>
        <v>1380.08</v>
      </c>
      <c r="Q130" s="24">
        <f>SUMIFS('Saldos Iniciales'!$D:$D,'Saldos Iniciales'!$A:$A,"2515 Overbrook")+SUMIFS(Movimientos!$K$1:$K$1325,Movimientos!$C$1:$C$1325,"2515 Overbrook",Movimientos!$B$1:$B$1325,"&lt;="&amp;$B130)</f>
        <v>25027.379999999961</v>
      </c>
      <c r="R130" s="24">
        <f>SUMIFS('Saldos Iniciales'!$D:$D,'Saldos Iniciales'!$A:$A,"112 Florida Ave")+SUMIFS(Movimientos!$K$1:$K$1325,Movimientos!$C$1:$C$1325,"112 Florida Ave",Movimientos!$B$1:$B$1325,"&lt;="&amp;$B130)</f>
        <v>16760.540000000008</v>
      </c>
      <c r="S130" s="24">
        <f>SUMIFS('Saldos Iniciales'!$D:$D,'Saldos Iniciales'!$A:$A,"3628 Thomas Ave")+SUMIFS(Movimientos!$K$1:$K$1325,Movimientos!$C$1:$C$1325,"3628 Thomas Ave",Movimientos!$B$1:$B$1325,"&lt;="&amp;$B130)</f>
        <v>14162.999999999996</v>
      </c>
      <c r="T130" s="24">
        <f>SUMIFS('Saldos Iniciales'!$D:$D,'Saldos Iniciales'!$A:$A,"Green Harbor Trust")+SUMIFS(Movimientos!$K$1:$K$1325,Movimientos!$C$1:$C$1325,"Green Harbor Trust",Movimientos!$B$1:$B$1325,"&lt;="&amp;$B130)</f>
        <v>345</v>
      </c>
      <c r="U130" s="24">
        <f>SUMIFS('Saldos Iniciales'!$D:$D,'Saldos Iniciales'!$A:$A,"Go Blue")+SUMIFS(Movimientos!$K$1:$K$1325,Movimientos!$C$1:$C$1325,"Go Blue",Movimientos!$B$1:$B$1325,"&lt;="&amp;$B130)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LLC",Movimientos!$B$1:$B$1325,"&lt;="&amp;$B130))</f>
        <v>299174.44</v>
      </c>
      <c r="W130" s="24">
        <f>IF(YEAR($B130)*100+MONTH($B130)&lt;--SUBSTITUTE(_xlfn.XLOOKUP("CFT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",Movimientos!$B$1:$B$1325,"&lt;="&amp;$B130))</f>
        <v>5445.57</v>
      </c>
      <c r="AC130" s="24" t="e">
        <f>IF(YEAR($B130)*100+MONTH($B130)&lt;--SUBSTITUTE(_xlfn.XLOOKUP("SYIP",'Saldos Iniciales'!$A:$A,'Saldos Iniciales'!$C:$C),"-",""),0,SUMIFS('Saldos Iniciales'!$D:$D,'Saldos Iniciales'!$A:$A,"SYIP")+SUMIFS(Movimientos!$K$1:$K$1325,Movimientos!$C$1:$C$1325,"SYIP",Movimientos!$B$1:$B$1325,"&lt;="&amp;$B130))</f>
        <v>#N/A</v>
      </c>
      <c r="AD130" s="24">
        <f>IF(YEAR($B130)*100+MONTH($B130)&lt;--SUBSTITUTE(_xlfn.XLOOKUP("Nobe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Aparments",Movimientos!$B$1:$B$1325,"&lt;="&amp;$B130))</f>
        <v>242034.28999999998</v>
      </c>
      <c r="AE130" s="25" t="e">
        <f t="shared" si="6"/>
        <v>#N/A</v>
      </c>
    </row>
    <row r="131" spans="1:31" hidden="1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Group")+SUMIFS(Movimientos!$K$1:$K$1325,Movimientos!$C$1:$C$1325,"CFT Group",Movimientos!$B$1:$B$1325,"&lt;="&amp;$B131)</f>
        <v>1549729.4500000007</v>
      </c>
      <c r="D131" s="24">
        <f>SUMIFS('Saldos Iniciales'!$D:$D,'Saldos Iniciales'!$A:$A,"M1B")+SUMIFS(Movimientos!$K$1:$K$1325,Movimientos!$C$1:$C$1325,"M1B",Movimientos!$B$1:$B$1325,"&lt;="&amp;$B131)</f>
        <v>93280.230000000171</v>
      </c>
      <c r="E131" s="24">
        <f>SUMIFS('Saldos Iniciales'!$D:$D,'Saldos Iniciales'!$A:$A,"Durand")+SUMIFS(Movimientos!$K$1:$K$1325,Movimientos!$C$1:$C$1325,"Durand",Movimientos!$B$1:$B$1325,"&lt;="&amp;$B131)</f>
        <v>1669.89</v>
      </c>
      <c r="F131" s="24">
        <f>SUMIFS('Saldos Iniciales'!$D:$D,'Saldos Iniciales'!$A:$A,"A&amp;M Imports")+SUMIFS(Movimientos!$K$1:$K$1325,Movimientos!$C$1:$C$1325,"A&amp;M Imports",Movimientos!$B$1:$B$1325,"&lt;="&amp;$B131)</f>
        <v>1250938</v>
      </c>
      <c r="G131" s="24">
        <f>SUMIFS('Saldos Iniciales'!$D:$D,'Saldos Iniciales'!$A:$A,"SSP Capital")+SUMIFS(Movimientos!$K$1:$K$1325,Movimientos!$C$1:$C$1325,"SSP Capital",Movimientos!$B$1:$B$1325,"&lt;="&amp;$B131)</f>
        <v>1499204.7399999998</v>
      </c>
      <c r="H131" s="24">
        <f>SUMIFS('Saldos Iniciales'!$D:$D,'Saldos Iniciales'!$A:$A,"Cross Family Trust")+SUMIFS(Movimientos!$K$1:$K$1325,Movimientos!$C$1:$C$1325,"Cross Family Trust",Movimientos!$B$1:$B$1325,"&lt;="&amp;$B131)</f>
        <v>249778.14</v>
      </c>
      <c r="I131" s="24">
        <f>SUMIFS('Saldos Iniciales'!$D:$D,'Saldos Iniciales'!$A:$A,"Cross Security Trust")+SUMIFS(Movimientos!$K$1:$K$1325,Movimientos!$C$1:$C$1325,"Cross Security Trust",Movimientos!$B$1:$B$1325,"&lt;="&amp;$B131)</f>
        <v>98169.25999999998</v>
      </c>
      <c r="J131" s="24">
        <f>SUMIFS('Saldos Iniciales'!$D:$D,'Saldos Iniciales'!$A:$A,"Electrama")+SUMIFS(Movimientos!$K$1:$K$1325,Movimientos!$C$1:$C$1325,"Electrama",Movimientos!$B$1:$B$1325,"&lt;="&amp;$B131)</f>
        <v>13014.880000000001</v>
      </c>
      <c r="K131" s="24">
        <f>SUMIFS('Saldos Iniciales'!$D:$D,'Saldos Iniciales'!$A:$A,"Sacred Valley Capital")+SUMIFS(Movimientos!$K$1:$K$1325,Movimientos!$C$1:$C$1325,"Sacred Valley Capital",Movimientos!$B$1:$B$1325,"&lt;="&amp;$B131)</f>
        <v>94.5</v>
      </c>
      <c r="L131" s="24">
        <f>SUMIFS('Saldos Iniciales'!$D:$D,'Saldos Iniciales'!$A:$A,"YWC Capital")+SUMIFS(Movimientos!$K$1:$K$1325,Movimientos!$C$1:$C$1325,"YWC Capital",Movimientos!$B$1:$B$1325,"&lt;="&amp;$B131)</f>
        <v>2147.92</v>
      </c>
      <c r="M131" s="24">
        <f>SUMIFS('Saldos Iniciales'!$D:$D,'Saldos Iniciales'!$A:$A,"Soweto")+SUMIFS(Movimientos!$K$1:$K$1325,Movimientos!$C$1:$C$1325,"Soweto",Movimientos!$B$1:$B$1325,"&lt;="&amp;$B131)</f>
        <v>17895.290000000015</v>
      </c>
      <c r="N131" s="24">
        <f>SUMIFS('Saldos Iniciales'!$D:$D,'Saldos Iniciales'!$A:$A,"Green Stone Trust")+SUMIFS(Movimientos!$K$1:$K$1325,Movimientos!$C$1:$C$1325,"Green Stone Trust",Movimientos!$B$1:$B$1325,"&lt;="&amp;$B131)</f>
        <v>1968.99</v>
      </c>
      <c r="O131" s="24">
        <f>SUMIFS('Saldos Iniciales'!$D:$D,'Saldos Iniciales'!$A:$A,"EC Auto")+SUMIFS(Movimientos!$K$1:$K$1325,Movimientos!$C$1:$C$1325,"EC Auto",Movimientos!$B$1:$B$1325,"&lt;="&amp;$B131)</f>
        <v>901.34</v>
      </c>
      <c r="P131" s="24">
        <f>SUMIFS('Saldos Iniciales'!$D:$D,'Saldos Iniciales'!$A:$A,"Arbor Capital Properties")+SUMIFS(Movimientos!$K$1:$K$1325,Movimientos!$C$1:$C$1325,"Arbor Capital Properties",Movimientos!$B$1:$B$1325,"&lt;="&amp;$B131)</f>
        <v>1380.08</v>
      </c>
      <c r="Q131" s="24">
        <f>SUMIFS('Saldos Iniciales'!$D:$D,'Saldos Iniciales'!$A:$A,"2515 Overbrook")+SUMIFS(Movimientos!$K$1:$K$1325,Movimientos!$C$1:$C$1325,"2515 Overbrook",Movimientos!$B$1:$B$1325,"&lt;="&amp;$B131)</f>
        <v>25027.379999999961</v>
      </c>
      <c r="R131" s="24">
        <f>SUMIFS('Saldos Iniciales'!$D:$D,'Saldos Iniciales'!$A:$A,"112 Florida Ave")+SUMIFS(Movimientos!$K$1:$K$1325,Movimientos!$C$1:$C$1325,"112 Florida Ave",Movimientos!$B$1:$B$1325,"&lt;="&amp;$B131)</f>
        <v>16760.540000000008</v>
      </c>
      <c r="S131" s="24">
        <f>SUMIFS('Saldos Iniciales'!$D:$D,'Saldos Iniciales'!$A:$A,"3628 Thomas Ave")+SUMIFS(Movimientos!$K$1:$K$1325,Movimientos!$C$1:$C$1325,"3628 Thomas Ave",Movimientos!$B$1:$B$1325,"&lt;="&amp;$B131)</f>
        <v>14162.999999999996</v>
      </c>
      <c r="T131" s="24">
        <f>SUMIFS('Saldos Iniciales'!$D:$D,'Saldos Iniciales'!$A:$A,"Green Harbor Trust")+SUMIFS(Movimientos!$K$1:$K$1325,Movimientos!$C$1:$C$1325,"Green Harbor Trust",Movimientos!$B$1:$B$1325,"&lt;="&amp;$B131)</f>
        <v>345</v>
      </c>
      <c r="U131" s="24">
        <f>SUMIFS('Saldos Iniciales'!$D:$D,'Saldos Iniciales'!$A:$A,"Go Blue")+SUMIFS(Movimientos!$K$1:$K$1325,Movimientos!$C$1:$C$1325,"Go Blue",Movimientos!$B$1:$B$1325,"&lt;="&amp;$B131)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LLC",Movimientos!$B$1:$B$1325,"&lt;="&amp;$B131))</f>
        <v>299174.44</v>
      </c>
      <c r="W131" s="24">
        <f>IF(YEAR($B131)*100+MONTH($B131)&lt;--SUBSTITUTE(_xlfn.XLOOKUP("CFT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",Movimientos!$B$1:$B$1325,"&lt;="&amp;$B131))</f>
        <v>5445.57</v>
      </c>
      <c r="AC131" s="24" t="e">
        <f>IF(YEAR($B131)*100+MONTH($B131)&lt;--SUBSTITUTE(_xlfn.XLOOKUP("SYIP",'Saldos Iniciales'!$A:$A,'Saldos Iniciales'!$C:$C),"-",""),0,SUMIFS('Saldos Iniciales'!$D:$D,'Saldos Iniciales'!$A:$A,"SYIP")+SUMIFS(Movimientos!$K$1:$K$1325,Movimientos!$C$1:$C$1325,"SYIP",Movimientos!$B$1:$B$1325,"&lt;="&amp;$B131))</f>
        <v>#N/A</v>
      </c>
      <c r="AD131" s="24">
        <f>IF(YEAR($B131)*100+MONTH($B131)&lt;--SUBSTITUTE(_xlfn.XLOOKUP("Nobe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Aparments",Movimientos!$B$1:$B$1325,"&lt;="&amp;$B131))</f>
        <v>242034.28999999998</v>
      </c>
      <c r="AE131" s="25" t="e">
        <f t="shared" si="6"/>
        <v>#N/A</v>
      </c>
    </row>
    <row r="132" spans="1:31" hidden="1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Group")+SUMIFS(Movimientos!$K$1:$K$1325,Movimientos!$C$1:$C$1325,"CFT Group",Movimientos!$B$1:$B$1325,"&lt;="&amp;$B132)</f>
        <v>1805955.2800000007</v>
      </c>
      <c r="D132" s="24">
        <f>SUMIFS('Saldos Iniciales'!$D:$D,'Saldos Iniciales'!$A:$A,"M1B")+SUMIFS(Movimientos!$K$1:$K$1325,Movimientos!$C$1:$C$1325,"M1B",Movimientos!$B$1:$B$1325,"&lt;="&amp;$B132)</f>
        <v>93737.970000000176</v>
      </c>
      <c r="E132" s="24">
        <f>SUMIFS('Saldos Iniciales'!$D:$D,'Saldos Iniciales'!$A:$A,"Durand")+SUMIFS(Movimientos!$K$1:$K$1325,Movimientos!$C$1:$C$1325,"Durand",Movimientos!$B$1:$B$1325,"&lt;="&amp;$B132)</f>
        <v>1669.89</v>
      </c>
      <c r="F132" s="24">
        <f>SUMIFS('Saldos Iniciales'!$D:$D,'Saldos Iniciales'!$A:$A,"A&amp;M Imports")+SUMIFS(Movimientos!$K$1:$K$1325,Movimientos!$C$1:$C$1325,"A&amp;M Imports",Movimientos!$B$1:$B$1325,"&lt;="&amp;$B132)</f>
        <v>1256669.99</v>
      </c>
      <c r="G132" s="24">
        <f>SUMIFS('Saldos Iniciales'!$D:$D,'Saldos Iniciales'!$A:$A,"SSP Capital")+SUMIFS(Movimientos!$K$1:$K$1325,Movimientos!$C$1:$C$1325,"SSP Capital",Movimientos!$B$1:$B$1325,"&lt;="&amp;$B132)</f>
        <v>1490233.3099999996</v>
      </c>
      <c r="H132" s="24">
        <f>SUMIFS('Saldos Iniciales'!$D:$D,'Saldos Iniciales'!$A:$A,"Cross Family Trust")+SUMIFS(Movimientos!$K$1:$K$1325,Movimientos!$C$1:$C$1325,"Cross Family Trust",Movimientos!$B$1:$B$1325,"&lt;="&amp;$B132)</f>
        <v>249778.14</v>
      </c>
      <c r="I132" s="24">
        <f>SUMIFS('Saldos Iniciales'!$D:$D,'Saldos Iniciales'!$A:$A,"Cross Security Trust")+SUMIFS(Movimientos!$K$1:$K$1325,Movimientos!$C$1:$C$1325,"Cross Security Trust",Movimientos!$B$1:$B$1325,"&lt;="&amp;$B132)</f>
        <v>98169.25999999998</v>
      </c>
      <c r="J132" s="24">
        <f>SUMIFS('Saldos Iniciales'!$D:$D,'Saldos Iniciales'!$A:$A,"Electrama")+SUMIFS(Movimientos!$K$1:$K$1325,Movimientos!$C$1:$C$1325,"Electrama",Movimientos!$B$1:$B$1325,"&lt;="&amp;$B132)</f>
        <v>11744.75</v>
      </c>
      <c r="K132" s="24">
        <f>SUMIFS('Saldos Iniciales'!$D:$D,'Saldos Iniciales'!$A:$A,"Sacred Valley Capital")+SUMIFS(Movimientos!$K$1:$K$1325,Movimientos!$C$1:$C$1325,"Sacred Valley Capital",Movimientos!$B$1:$B$1325,"&lt;="&amp;$B132)</f>
        <v>94.5</v>
      </c>
      <c r="L132" s="24">
        <f>SUMIFS('Saldos Iniciales'!$D:$D,'Saldos Iniciales'!$A:$A,"YWC Capital")+SUMIFS(Movimientos!$K$1:$K$1325,Movimientos!$C$1:$C$1325,"YWC Capital",Movimientos!$B$1:$B$1325,"&lt;="&amp;$B132)</f>
        <v>2147.92</v>
      </c>
      <c r="M132" s="24">
        <f>SUMIFS('Saldos Iniciales'!$D:$D,'Saldos Iniciales'!$A:$A,"Soweto")+SUMIFS(Movimientos!$K$1:$K$1325,Movimientos!$C$1:$C$1325,"Soweto",Movimientos!$B$1:$B$1325,"&lt;="&amp;$B132)</f>
        <v>17895.290000000015</v>
      </c>
      <c r="N132" s="24">
        <f>SUMIFS('Saldos Iniciales'!$D:$D,'Saldos Iniciales'!$A:$A,"Green Stone Trust")+SUMIFS(Movimientos!$K$1:$K$1325,Movimientos!$C$1:$C$1325,"Green Stone Trust",Movimientos!$B$1:$B$1325,"&lt;="&amp;$B132)</f>
        <v>1968.99</v>
      </c>
      <c r="O132" s="24">
        <f>SUMIFS('Saldos Iniciales'!$D:$D,'Saldos Iniciales'!$A:$A,"EC Auto")+SUMIFS(Movimientos!$K$1:$K$1325,Movimientos!$C$1:$C$1325,"EC Auto",Movimientos!$B$1:$B$1325,"&lt;="&amp;$B132)</f>
        <v>901.34</v>
      </c>
      <c r="P132" s="24">
        <f>SUMIFS('Saldos Iniciales'!$D:$D,'Saldos Iniciales'!$A:$A,"Arbor Capital Properties")+SUMIFS(Movimientos!$K$1:$K$1325,Movimientos!$C$1:$C$1325,"Arbor Capital Properties",Movimientos!$B$1:$B$1325,"&lt;="&amp;$B132)</f>
        <v>1380.08</v>
      </c>
      <c r="Q132" s="24">
        <f>SUMIFS('Saldos Iniciales'!$D:$D,'Saldos Iniciales'!$A:$A,"2515 Overbrook")+SUMIFS(Movimientos!$K$1:$K$1325,Movimientos!$C$1:$C$1325,"2515 Overbrook",Movimientos!$B$1:$B$1325,"&lt;="&amp;$B132)</f>
        <v>25027.379999999961</v>
      </c>
      <c r="R132" s="24">
        <f>SUMIFS('Saldos Iniciales'!$D:$D,'Saldos Iniciales'!$A:$A,"112 Florida Ave")+SUMIFS(Movimientos!$K$1:$K$1325,Movimientos!$C$1:$C$1325,"112 Florida Ave",Movimientos!$B$1:$B$1325,"&lt;="&amp;$B132)</f>
        <v>16760.540000000008</v>
      </c>
      <c r="S132" s="24">
        <f>SUMIFS('Saldos Iniciales'!$D:$D,'Saldos Iniciales'!$A:$A,"3628 Thomas Ave")+SUMIFS(Movimientos!$K$1:$K$1325,Movimientos!$C$1:$C$1325,"3628 Thomas Ave",Movimientos!$B$1:$B$1325,"&lt;="&amp;$B132)</f>
        <v>14162.999999999996</v>
      </c>
      <c r="T132" s="24">
        <f>SUMIFS('Saldos Iniciales'!$D:$D,'Saldos Iniciales'!$A:$A,"Green Harbor Trust")+SUMIFS(Movimientos!$K$1:$K$1325,Movimientos!$C$1:$C$1325,"Green Harbor Trust",Movimientos!$B$1:$B$1325,"&lt;="&amp;$B132)</f>
        <v>345</v>
      </c>
      <c r="U132" s="24">
        <f>SUMIFS('Saldos Iniciales'!$D:$D,'Saldos Iniciales'!$A:$A,"Go Blue")+SUMIFS(Movimientos!$K$1:$K$1325,Movimientos!$C$1:$C$1325,"Go Blue",Movimientos!$B$1:$B$1325,"&lt;="&amp;$B132)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LLC",Movimientos!$B$1:$B$1325,"&lt;="&amp;$B132))</f>
        <v>298843.33</v>
      </c>
      <c r="W132" s="24">
        <f>IF(YEAR($B132)*100+MONTH($B132)&lt;--SUBSTITUTE(_xlfn.XLOOKUP("CFT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",Movimientos!$B$1:$B$1325,"&lt;="&amp;$B132))</f>
        <v>5445.57</v>
      </c>
      <c r="AC132" s="24" t="e">
        <f>IF(YEAR($B132)*100+MONTH($B132)&lt;--SUBSTITUTE(_xlfn.XLOOKUP("SYIP",'Saldos Iniciales'!$A:$A,'Saldos Iniciales'!$C:$C),"-",""),0,SUMIFS('Saldos Iniciales'!$D:$D,'Saldos Iniciales'!$A:$A,"SYIP")+SUMIFS(Movimientos!$K$1:$K$1325,Movimientos!$C$1:$C$1325,"SYIP",Movimientos!$B$1:$B$1325,"&lt;="&amp;$B132))</f>
        <v>#N/A</v>
      </c>
      <c r="AD132" s="24">
        <f>IF(YEAR($B132)*100+MONTH($B132)&lt;--SUBSTITUTE(_xlfn.XLOOKUP("Nobe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Aparments",Movimientos!$B$1:$B$1325,"&lt;="&amp;$B132))</f>
        <v>241987.22999999998</v>
      </c>
      <c r="AE132" s="25" t="e">
        <f t="shared" si="6"/>
        <v>#N/A</v>
      </c>
    </row>
    <row r="133" spans="1:31" hidden="1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Group")+SUMIFS(Movimientos!$K$1:$K$1325,Movimientos!$C$1:$C$1325,"CFT Group",Movimientos!$B$1:$B$1325,"&lt;="&amp;$B133)</f>
        <v>1805355.2800000007</v>
      </c>
      <c r="D133" s="24">
        <f>SUMIFS('Saldos Iniciales'!$D:$D,'Saldos Iniciales'!$A:$A,"M1B")+SUMIFS(Movimientos!$K$1:$K$1325,Movimientos!$C$1:$C$1325,"M1B",Movimientos!$B$1:$B$1325,"&lt;="&amp;$B133)</f>
        <v>93737.970000000176</v>
      </c>
      <c r="E133" s="24">
        <f>SUMIFS('Saldos Iniciales'!$D:$D,'Saldos Iniciales'!$A:$A,"Durand")+SUMIFS(Movimientos!$K$1:$K$1325,Movimientos!$C$1:$C$1325,"Durand",Movimientos!$B$1:$B$1325,"&lt;="&amp;$B133)</f>
        <v>1669.89</v>
      </c>
      <c r="F133" s="24">
        <f>SUMIFS('Saldos Iniciales'!$D:$D,'Saldos Iniciales'!$A:$A,"A&amp;M Imports")+SUMIFS(Movimientos!$K$1:$K$1325,Movimientos!$C$1:$C$1325,"A&amp;M Imports",Movimientos!$B$1:$B$1325,"&lt;="&amp;$B133)</f>
        <v>1256669.99</v>
      </c>
      <c r="G133" s="24">
        <f>SUMIFS('Saldos Iniciales'!$D:$D,'Saldos Iniciales'!$A:$A,"SSP Capital")+SUMIFS(Movimientos!$K$1:$K$1325,Movimientos!$C$1:$C$1325,"SSP Capital",Movimientos!$B$1:$B$1325,"&lt;="&amp;$B133)</f>
        <v>1487787.1299999997</v>
      </c>
      <c r="H133" s="24">
        <f>SUMIFS('Saldos Iniciales'!$D:$D,'Saldos Iniciales'!$A:$A,"Cross Family Trust")+SUMIFS(Movimientos!$K$1:$K$1325,Movimientos!$C$1:$C$1325,"Cross Family Trust",Movimientos!$B$1:$B$1325,"&lt;="&amp;$B133)</f>
        <v>229778.14</v>
      </c>
      <c r="I133" s="24">
        <f>SUMIFS('Saldos Iniciales'!$D:$D,'Saldos Iniciales'!$A:$A,"Cross Security Trust")+SUMIFS(Movimientos!$K$1:$K$1325,Movimientos!$C$1:$C$1325,"Cross Security Trust",Movimientos!$B$1:$B$1325,"&lt;="&amp;$B133)</f>
        <v>98169.25999999998</v>
      </c>
      <c r="J133" s="24">
        <f>SUMIFS('Saldos Iniciales'!$D:$D,'Saldos Iniciales'!$A:$A,"Electrama")+SUMIFS(Movimientos!$K$1:$K$1325,Movimientos!$C$1:$C$1325,"Electrama",Movimientos!$B$1:$B$1325,"&lt;="&amp;$B133)</f>
        <v>11744.75</v>
      </c>
      <c r="K133" s="24">
        <f>SUMIFS('Saldos Iniciales'!$D:$D,'Saldos Iniciales'!$A:$A,"Sacred Valley Capital")+SUMIFS(Movimientos!$K$1:$K$1325,Movimientos!$C$1:$C$1325,"Sacred Valley Capital",Movimientos!$B$1:$B$1325,"&lt;="&amp;$B133)</f>
        <v>94.5</v>
      </c>
      <c r="L133" s="24">
        <f>SUMIFS('Saldos Iniciales'!$D:$D,'Saldos Iniciales'!$A:$A,"YWC Capital")+SUMIFS(Movimientos!$K$1:$K$1325,Movimientos!$C$1:$C$1325,"YWC Capital",Movimientos!$B$1:$B$1325,"&lt;="&amp;$B133)</f>
        <v>2147.92</v>
      </c>
      <c r="M133" s="24">
        <f>SUMIFS('Saldos Iniciales'!$D:$D,'Saldos Iniciales'!$A:$A,"Soweto")+SUMIFS(Movimientos!$K$1:$K$1325,Movimientos!$C$1:$C$1325,"Soweto",Movimientos!$B$1:$B$1325,"&lt;="&amp;$B133)</f>
        <v>17895.290000000015</v>
      </c>
      <c r="N133" s="24">
        <f>SUMIFS('Saldos Iniciales'!$D:$D,'Saldos Iniciales'!$A:$A,"Green Stone Trust")+SUMIFS(Movimientos!$K$1:$K$1325,Movimientos!$C$1:$C$1325,"Green Stone Trust",Movimientos!$B$1:$B$1325,"&lt;="&amp;$B133)</f>
        <v>1968.99</v>
      </c>
      <c r="O133" s="24">
        <f>SUMIFS('Saldos Iniciales'!$D:$D,'Saldos Iniciales'!$A:$A,"EC Auto")+SUMIFS(Movimientos!$K$1:$K$1325,Movimientos!$C$1:$C$1325,"EC Auto",Movimientos!$B$1:$B$1325,"&lt;="&amp;$B133)</f>
        <v>901.34</v>
      </c>
      <c r="P133" s="24">
        <f>SUMIFS('Saldos Iniciales'!$D:$D,'Saldos Iniciales'!$A:$A,"Arbor Capital Properties")+SUMIFS(Movimientos!$K$1:$K$1325,Movimientos!$C$1:$C$1325,"Arbor Capital Properties",Movimientos!$B$1:$B$1325,"&lt;="&amp;$B133)</f>
        <v>1380.08</v>
      </c>
      <c r="Q133" s="24">
        <f>SUMIFS('Saldos Iniciales'!$D:$D,'Saldos Iniciales'!$A:$A,"2515 Overbrook")+SUMIFS(Movimientos!$K$1:$K$1325,Movimientos!$C$1:$C$1325,"2515 Overbrook",Movimientos!$B$1:$B$1325,"&lt;="&amp;$B133)</f>
        <v>25027.379999999961</v>
      </c>
      <c r="R133" s="24">
        <f>SUMIFS('Saldos Iniciales'!$D:$D,'Saldos Iniciales'!$A:$A,"112 Florida Ave")+SUMIFS(Movimientos!$K$1:$K$1325,Movimientos!$C$1:$C$1325,"112 Florida Ave",Movimientos!$B$1:$B$1325,"&lt;="&amp;$B133)</f>
        <v>16760.540000000008</v>
      </c>
      <c r="S133" s="24">
        <f>SUMIFS('Saldos Iniciales'!$D:$D,'Saldos Iniciales'!$A:$A,"3628 Thomas Ave")+SUMIFS(Movimientos!$K$1:$K$1325,Movimientos!$C$1:$C$1325,"3628 Thomas Ave",Movimientos!$B$1:$B$1325,"&lt;="&amp;$B133)</f>
        <v>14162.999999999996</v>
      </c>
      <c r="T133" s="24">
        <f>SUMIFS('Saldos Iniciales'!$D:$D,'Saldos Iniciales'!$A:$A,"Green Harbor Trust")+SUMIFS(Movimientos!$K$1:$K$1325,Movimientos!$C$1:$C$1325,"Green Harbor Trust",Movimientos!$B$1:$B$1325,"&lt;="&amp;$B133)</f>
        <v>345</v>
      </c>
      <c r="U133" s="24">
        <f>SUMIFS('Saldos Iniciales'!$D:$D,'Saldos Iniciales'!$A:$A,"Go Blue")+SUMIFS(Movimientos!$K$1:$K$1325,Movimientos!$C$1:$C$1325,"Go Blue",Movimientos!$B$1:$B$1325,"&lt;="&amp;$B133)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LLC",Movimientos!$B$1:$B$1325,"&lt;="&amp;$B133))</f>
        <v>298792.34000000003</v>
      </c>
      <c r="W133" s="24">
        <f>IF(YEAR($B133)*100+MONTH($B133)&lt;--SUBSTITUTE(_xlfn.XLOOKUP("CFT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",Movimientos!$B$1:$B$1325,"&lt;="&amp;$B133))</f>
        <v>5445.57</v>
      </c>
      <c r="AC133" s="24" t="e">
        <f>IF(YEAR($B133)*100+MONTH($B133)&lt;--SUBSTITUTE(_xlfn.XLOOKUP("SYIP",'Saldos Iniciales'!$A:$A,'Saldos Iniciales'!$C:$C),"-",""),0,SUMIFS('Saldos Iniciales'!$D:$D,'Saldos Iniciales'!$A:$A,"SYIP")+SUMIFS(Movimientos!$K$1:$K$1325,Movimientos!$C$1:$C$1325,"SYIP",Movimientos!$B$1:$B$1325,"&lt;="&amp;$B133))</f>
        <v>#N/A</v>
      </c>
      <c r="AD133" s="24">
        <f>IF(YEAR($B133)*100+MONTH($B133)&lt;--SUBSTITUTE(_xlfn.XLOOKUP("Nobe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Aparments",Movimientos!$B$1:$B$1325,"&lt;="&amp;$B133))</f>
        <v>241987.22999999998</v>
      </c>
      <c r="AE133" s="25" t="e">
        <f t="shared" si="6"/>
        <v>#N/A</v>
      </c>
    </row>
    <row r="134" spans="1:31" hidden="1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Group")+SUMIFS(Movimientos!$K$1:$K$1325,Movimientos!$C$1:$C$1325,"CFT Group",Movimientos!$B$1:$B$1325,"&lt;="&amp;$B134)</f>
        <v>1338116.3900000008</v>
      </c>
      <c r="D134" s="24">
        <f>SUMIFS('Saldos Iniciales'!$D:$D,'Saldos Iniciales'!$A:$A,"M1B")+SUMIFS(Movimientos!$K$1:$K$1325,Movimientos!$C$1:$C$1325,"M1B",Movimientos!$B$1:$B$1325,"&lt;="&amp;$B134)</f>
        <v>93737.970000000176</v>
      </c>
      <c r="E134" s="24">
        <f>SUMIFS('Saldos Iniciales'!$D:$D,'Saldos Iniciales'!$A:$A,"Durand")+SUMIFS(Movimientos!$K$1:$K$1325,Movimientos!$C$1:$C$1325,"Durand",Movimientos!$B$1:$B$1325,"&lt;="&amp;$B134)</f>
        <v>1669.89</v>
      </c>
      <c r="F134" s="24">
        <f>SUMIFS('Saldos Iniciales'!$D:$D,'Saldos Iniciales'!$A:$A,"A&amp;M Imports")+SUMIFS(Movimientos!$K$1:$K$1325,Movimientos!$C$1:$C$1325,"A&amp;M Imports",Movimientos!$B$1:$B$1325,"&lt;="&amp;$B134)</f>
        <v>1089169.99</v>
      </c>
      <c r="G134" s="24">
        <f>SUMIFS('Saldos Iniciales'!$D:$D,'Saldos Iniciales'!$A:$A,"SSP Capital")+SUMIFS(Movimientos!$K$1:$K$1325,Movimientos!$C$1:$C$1325,"SSP Capital",Movimientos!$B$1:$B$1325,"&lt;="&amp;$B134)</f>
        <v>1233789.9099999997</v>
      </c>
      <c r="H134" s="24">
        <f>SUMIFS('Saldos Iniciales'!$D:$D,'Saldos Iniciales'!$A:$A,"Cross Family Trust")+SUMIFS(Movimientos!$K$1:$K$1325,Movimientos!$C$1:$C$1325,"Cross Family Trust",Movimientos!$B$1:$B$1325,"&lt;="&amp;$B134)</f>
        <v>229778.14</v>
      </c>
      <c r="I134" s="24">
        <f>SUMIFS('Saldos Iniciales'!$D:$D,'Saldos Iniciales'!$A:$A,"Cross Security Trust")+SUMIFS(Movimientos!$K$1:$K$1325,Movimientos!$C$1:$C$1325,"Cross Security Trust",Movimientos!$B$1:$B$1325,"&lt;="&amp;$B134)</f>
        <v>98169.25999999998</v>
      </c>
      <c r="J134" s="24">
        <f>SUMIFS('Saldos Iniciales'!$D:$D,'Saldos Iniciales'!$A:$A,"Electrama")+SUMIFS(Movimientos!$K$1:$K$1325,Movimientos!$C$1:$C$1325,"Electrama",Movimientos!$B$1:$B$1325,"&lt;="&amp;$B134)</f>
        <v>11744.75</v>
      </c>
      <c r="K134" s="24">
        <f>SUMIFS('Saldos Iniciales'!$D:$D,'Saldos Iniciales'!$A:$A,"Sacred Valley Capital")+SUMIFS(Movimientos!$K$1:$K$1325,Movimientos!$C$1:$C$1325,"Sacred Valley Capital",Movimientos!$B$1:$B$1325,"&lt;="&amp;$B134)</f>
        <v>94.5</v>
      </c>
      <c r="L134" s="24">
        <f>SUMIFS('Saldos Iniciales'!$D:$D,'Saldos Iniciales'!$A:$A,"YWC Capital")+SUMIFS(Movimientos!$K$1:$K$1325,Movimientos!$C$1:$C$1325,"YWC Capital",Movimientos!$B$1:$B$1325,"&lt;="&amp;$B134)</f>
        <v>2147.92</v>
      </c>
      <c r="M134" s="24">
        <f>SUMIFS('Saldos Iniciales'!$D:$D,'Saldos Iniciales'!$A:$A,"Soweto")+SUMIFS(Movimientos!$K$1:$K$1325,Movimientos!$C$1:$C$1325,"Soweto",Movimientos!$B$1:$B$1325,"&lt;="&amp;$B134)</f>
        <v>17895.290000000015</v>
      </c>
      <c r="N134" s="24">
        <f>SUMIFS('Saldos Iniciales'!$D:$D,'Saldos Iniciales'!$A:$A,"Green Stone Trust")+SUMIFS(Movimientos!$K$1:$K$1325,Movimientos!$C$1:$C$1325,"Green Stone Trust",Movimientos!$B$1:$B$1325,"&lt;="&amp;$B134)</f>
        <v>1968.99</v>
      </c>
      <c r="O134" s="24">
        <f>SUMIFS('Saldos Iniciales'!$D:$D,'Saldos Iniciales'!$A:$A,"EC Auto")+SUMIFS(Movimientos!$K$1:$K$1325,Movimientos!$C$1:$C$1325,"EC Auto",Movimientos!$B$1:$B$1325,"&lt;="&amp;$B134)</f>
        <v>901.34</v>
      </c>
      <c r="P134" s="24">
        <f>SUMIFS('Saldos Iniciales'!$D:$D,'Saldos Iniciales'!$A:$A,"Arbor Capital Properties")+SUMIFS(Movimientos!$K$1:$K$1325,Movimientos!$C$1:$C$1325,"Arbor Capital Properties",Movimientos!$B$1:$B$1325,"&lt;="&amp;$B134)</f>
        <v>1380.08</v>
      </c>
      <c r="Q134" s="24">
        <f>SUMIFS('Saldos Iniciales'!$D:$D,'Saldos Iniciales'!$A:$A,"2515 Overbrook")+SUMIFS(Movimientos!$K$1:$K$1325,Movimientos!$C$1:$C$1325,"2515 Overbrook",Movimientos!$B$1:$B$1325,"&lt;="&amp;$B134)</f>
        <v>25027.379999999961</v>
      </c>
      <c r="R134" s="24">
        <f>SUMIFS('Saldos Iniciales'!$D:$D,'Saldos Iniciales'!$A:$A,"112 Florida Ave")+SUMIFS(Movimientos!$K$1:$K$1325,Movimientos!$C$1:$C$1325,"112 Florida Ave",Movimientos!$B$1:$B$1325,"&lt;="&amp;$B134)</f>
        <v>16760.540000000008</v>
      </c>
      <c r="S134" s="24">
        <f>SUMIFS('Saldos Iniciales'!$D:$D,'Saldos Iniciales'!$A:$A,"3628 Thomas Ave")+SUMIFS(Movimientos!$K$1:$K$1325,Movimientos!$C$1:$C$1325,"3628 Thomas Ave",Movimientos!$B$1:$B$1325,"&lt;="&amp;$B134)</f>
        <v>14162.999999999996</v>
      </c>
      <c r="T134" s="24">
        <f>SUMIFS('Saldos Iniciales'!$D:$D,'Saldos Iniciales'!$A:$A,"Green Harbor Trust")+SUMIFS(Movimientos!$K$1:$K$1325,Movimientos!$C$1:$C$1325,"Green Harbor Trust",Movimientos!$B$1:$B$1325,"&lt;="&amp;$B134)</f>
        <v>345</v>
      </c>
      <c r="U134" s="24">
        <f>SUMIFS('Saldos Iniciales'!$D:$D,'Saldos Iniciales'!$A:$A,"Go Blue")+SUMIFS(Movimientos!$K$1:$K$1325,Movimientos!$C$1:$C$1325,"Go Blue",Movimientos!$B$1:$B$1325,"&lt;="&amp;$B134)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LLC",Movimientos!$B$1:$B$1325,"&lt;="&amp;$B134))</f>
        <v>298792.34000000003</v>
      </c>
      <c r="W134" s="24">
        <f>IF(YEAR($B134)*100+MONTH($B134)&lt;--SUBSTITUTE(_xlfn.XLOOKUP("CFT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",Movimientos!$B$1:$B$1325,"&lt;="&amp;$B134))</f>
        <v>5445.57</v>
      </c>
      <c r="AC134" s="24" t="e">
        <f>IF(YEAR($B134)*100+MONTH($B134)&lt;--SUBSTITUTE(_xlfn.XLOOKUP("SYIP",'Saldos Iniciales'!$A:$A,'Saldos Iniciales'!$C:$C),"-",""),0,SUMIFS('Saldos Iniciales'!$D:$D,'Saldos Iniciales'!$A:$A,"SYIP")+SUMIFS(Movimientos!$K$1:$K$1325,Movimientos!$C$1:$C$1325,"SYIP",Movimientos!$B$1:$B$1325,"&lt;="&amp;$B134))</f>
        <v>#N/A</v>
      </c>
      <c r="AD134" s="24">
        <f>IF(YEAR($B134)*100+MONTH($B134)&lt;--SUBSTITUTE(_xlfn.XLOOKUP("Nobe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Aparments",Movimientos!$B$1:$B$1325,"&lt;="&amp;$B134))</f>
        <v>241889.38999999998</v>
      </c>
      <c r="AE134" s="25" t="e">
        <f t="shared" si="6"/>
        <v>#N/A</v>
      </c>
    </row>
    <row r="135" spans="1:31" hidden="1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Group")+SUMIFS(Movimientos!$K$1:$K$1325,Movimientos!$C$1:$C$1325,"CFT Group",Movimientos!$B$1:$B$1325,"&lt;="&amp;$B135)</f>
        <v>1892948.5900000008</v>
      </c>
      <c r="D135" s="24">
        <f>SUMIFS('Saldos Iniciales'!$D:$D,'Saldos Iniciales'!$A:$A,"M1B")+SUMIFS(Movimientos!$K$1:$K$1325,Movimientos!$C$1:$C$1325,"M1B",Movimientos!$B$1:$B$1325,"&lt;="&amp;$B135)</f>
        <v>93737.970000000176</v>
      </c>
      <c r="E135" s="24">
        <f>SUMIFS('Saldos Iniciales'!$D:$D,'Saldos Iniciales'!$A:$A,"Durand")+SUMIFS(Movimientos!$K$1:$K$1325,Movimientos!$C$1:$C$1325,"Durand",Movimientos!$B$1:$B$1325,"&lt;="&amp;$B135)</f>
        <v>1669.89</v>
      </c>
      <c r="F135" s="24">
        <f>SUMIFS('Saldos Iniciales'!$D:$D,'Saldos Iniciales'!$A:$A,"A&amp;M Imports")+SUMIFS(Movimientos!$K$1:$K$1325,Movimientos!$C$1:$C$1325,"A&amp;M Imports",Movimientos!$B$1:$B$1325,"&lt;="&amp;$B135)</f>
        <v>1089124.99</v>
      </c>
      <c r="G135" s="24">
        <f>SUMIFS('Saldos Iniciales'!$D:$D,'Saldos Iniciales'!$A:$A,"SSP Capital")+SUMIFS(Movimientos!$K$1:$K$1325,Movimientos!$C$1:$C$1325,"SSP Capital",Movimientos!$B$1:$B$1325,"&lt;="&amp;$B135)</f>
        <v>1233680.9399999995</v>
      </c>
      <c r="H135" s="24">
        <f>SUMIFS('Saldos Iniciales'!$D:$D,'Saldos Iniciales'!$A:$A,"Cross Family Trust")+SUMIFS(Movimientos!$K$1:$K$1325,Movimientos!$C$1:$C$1325,"Cross Family Trust",Movimientos!$B$1:$B$1325,"&lt;="&amp;$B135)</f>
        <v>229778.14</v>
      </c>
      <c r="I135" s="24">
        <f>SUMIFS('Saldos Iniciales'!$D:$D,'Saldos Iniciales'!$A:$A,"Cross Security Trust")+SUMIFS(Movimientos!$K$1:$K$1325,Movimientos!$C$1:$C$1325,"Cross Security Trust",Movimientos!$B$1:$B$1325,"&lt;="&amp;$B135)</f>
        <v>98169.25999999998</v>
      </c>
      <c r="J135" s="24">
        <f>SUMIFS('Saldos Iniciales'!$D:$D,'Saldos Iniciales'!$A:$A,"Electrama")+SUMIFS(Movimientos!$K$1:$K$1325,Movimientos!$C$1:$C$1325,"Electrama",Movimientos!$B$1:$B$1325,"&lt;="&amp;$B135)</f>
        <v>11744.75</v>
      </c>
      <c r="K135" s="24">
        <f>SUMIFS('Saldos Iniciales'!$D:$D,'Saldos Iniciales'!$A:$A,"Sacred Valley Capital")+SUMIFS(Movimientos!$K$1:$K$1325,Movimientos!$C$1:$C$1325,"Sacred Valley Capital",Movimientos!$B$1:$B$1325,"&lt;="&amp;$B135)</f>
        <v>94.5</v>
      </c>
      <c r="L135" s="24">
        <f>SUMIFS('Saldos Iniciales'!$D:$D,'Saldos Iniciales'!$A:$A,"YWC Capital")+SUMIFS(Movimientos!$K$1:$K$1325,Movimientos!$C$1:$C$1325,"YWC Capital",Movimientos!$B$1:$B$1325,"&lt;="&amp;$B135)</f>
        <v>2147.92</v>
      </c>
      <c r="M135" s="24">
        <f>SUMIFS('Saldos Iniciales'!$D:$D,'Saldos Iniciales'!$A:$A,"Soweto")+SUMIFS(Movimientos!$K$1:$K$1325,Movimientos!$C$1:$C$1325,"Soweto",Movimientos!$B$1:$B$1325,"&lt;="&amp;$B135)</f>
        <v>17895.290000000015</v>
      </c>
      <c r="N135" s="24">
        <f>SUMIFS('Saldos Iniciales'!$D:$D,'Saldos Iniciales'!$A:$A,"Green Stone Trust")+SUMIFS(Movimientos!$K$1:$K$1325,Movimientos!$C$1:$C$1325,"Green Stone Trust",Movimientos!$B$1:$B$1325,"&lt;="&amp;$B135)</f>
        <v>1968.99</v>
      </c>
      <c r="O135" s="24">
        <f>SUMIFS('Saldos Iniciales'!$D:$D,'Saldos Iniciales'!$A:$A,"EC Auto")+SUMIFS(Movimientos!$K$1:$K$1325,Movimientos!$C$1:$C$1325,"EC Auto",Movimientos!$B$1:$B$1325,"&lt;="&amp;$B135)</f>
        <v>901.34</v>
      </c>
      <c r="P135" s="24">
        <f>SUMIFS('Saldos Iniciales'!$D:$D,'Saldos Iniciales'!$A:$A,"Arbor Capital Properties")+SUMIFS(Movimientos!$K$1:$K$1325,Movimientos!$C$1:$C$1325,"Arbor Capital Properties",Movimientos!$B$1:$B$1325,"&lt;="&amp;$B135)</f>
        <v>1380.08</v>
      </c>
      <c r="Q135" s="24">
        <f>SUMIFS('Saldos Iniciales'!$D:$D,'Saldos Iniciales'!$A:$A,"2515 Overbrook")+SUMIFS(Movimientos!$K$1:$K$1325,Movimientos!$C$1:$C$1325,"2515 Overbrook",Movimientos!$B$1:$B$1325,"&lt;="&amp;$B135)</f>
        <v>25027.379999999961</v>
      </c>
      <c r="R135" s="24">
        <f>SUMIFS('Saldos Iniciales'!$D:$D,'Saldos Iniciales'!$A:$A,"112 Florida Ave")+SUMIFS(Movimientos!$K$1:$K$1325,Movimientos!$C$1:$C$1325,"112 Florida Ave",Movimientos!$B$1:$B$1325,"&lt;="&amp;$B135)</f>
        <v>16282.630000000006</v>
      </c>
      <c r="S135" s="24">
        <f>SUMIFS('Saldos Iniciales'!$D:$D,'Saldos Iniciales'!$A:$A,"3628 Thomas Ave")+SUMIFS(Movimientos!$K$1:$K$1325,Movimientos!$C$1:$C$1325,"3628 Thomas Ave",Movimientos!$B$1:$B$1325,"&lt;="&amp;$B135)</f>
        <v>13339.389999999996</v>
      </c>
      <c r="T135" s="24">
        <f>SUMIFS('Saldos Iniciales'!$D:$D,'Saldos Iniciales'!$A:$A,"Green Harbor Trust")+SUMIFS(Movimientos!$K$1:$K$1325,Movimientos!$C$1:$C$1325,"Green Harbor Trust",Movimientos!$B$1:$B$1325,"&lt;="&amp;$B135)</f>
        <v>345</v>
      </c>
      <c r="U135" s="24">
        <f>SUMIFS('Saldos Iniciales'!$D:$D,'Saldos Iniciales'!$A:$A,"Go Blue")+SUMIFS(Movimientos!$K$1:$K$1325,Movimientos!$C$1:$C$1325,"Go Blue",Movimientos!$B$1:$B$1325,"&lt;="&amp;$B135)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LLC",Movimientos!$B$1:$B$1325,"&lt;="&amp;$B135))</f>
        <v>298792.34000000003</v>
      </c>
      <c r="W135" s="24">
        <f>IF(YEAR($B135)*100+MONTH($B135)&lt;--SUBSTITUTE(_xlfn.XLOOKUP("CFT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",Movimientos!$B$1:$B$1325,"&lt;="&amp;$B135))</f>
        <v>5445.57</v>
      </c>
      <c r="AC135" s="24" t="e">
        <f>IF(YEAR($B135)*100+MONTH($B135)&lt;--SUBSTITUTE(_xlfn.XLOOKUP("SYIP",'Saldos Iniciales'!$A:$A,'Saldos Iniciales'!$C:$C),"-",""),0,SUMIFS('Saldos Iniciales'!$D:$D,'Saldos Iniciales'!$A:$A,"SYIP")+SUMIFS(Movimientos!$K$1:$K$1325,Movimientos!$C$1:$C$1325,"SYIP",Movimientos!$B$1:$B$1325,"&lt;="&amp;$B135))</f>
        <v>#N/A</v>
      </c>
      <c r="AD135" s="24">
        <f>IF(YEAR($B135)*100+MONTH($B135)&lt;--SUBSTITUTE(_xlfn.XLOOKUP("Nobe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Aparments",Movimientos!$B$1:$B$1325,"&lt;="&amp;$B135))</f>
        <v>240458.22999999998</v>
      </c>
      <c r="AE135" s="25" t="e">
        <f t="shared" si="6"/>
        <v>#N/A</v>
      </c>
    </row>
    <row r="136" spans="1:31" hidden="1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Group")+SUMIFS(Movimientos!$K$1:$K$1325,Movimientos!$C$1:$C$1325,"CFT Group",Movimientos!$B$1:$B$1325,"&lt;="&amp;$B136)</f>
        <v>1892948.5900000008</v>
      </c>
      <c r="D136" s="24">
        <f>SUMIFS('Saldos Iniciales'!$D:$D,'Saldos Iniciales'!$A:$A,"M1B")+SUMIFS(Movimientos!$K$1:$K$1325,Movimientos!$C$1:$C$1325,"M1B",Movimientos!$B$1:$B$1325,"&lt;="&amp;$B136)</f>
        <v>93737.970000000176</v>
      </c>
      <c r="E136" s="24">
        <f>SUMIFS('Saldos Iniciales'!$D:$D,'Saldos Iniciales'!$A:$A,"Durand")+SUMIFS(Movimientos!$K$1:$K$1325,Movimientos!$C$1:$C$1325,"Durand",Movimientos!$B$1:$B$1325,"&lt;="&amp;$B136)</f>
        <v>1669.89</v>
      </c>
      <c r="F136" s="24">
        <f>SUMIFS('Saldos Iniciales'!$D:$D,'Saldos Iniciales'!$A:$A,"A&amp;M Imports")+SUMIFS(Movimientos!$K$1:$K$1325,Movimientos!$C$1:$C$1325,"A&amp;M Imports",Movimientos!$B$1:$B$1325,"&lt;="&amp;$B136)</f>
        <v>1089124.99</v>
      </c>
      <c r="G136" s="24">
        <f>SUMIFS('Saldos Iniciales'!$D:$D,'Saldos Iniciales'!$A:$A,"SSP Capital")+SUMIFS(Movimientos!$K$1:$K$1325,Movimientos!$C$1:$C$1325,"SSP Capital",Movimientos!$B$1:$B$1325,"&lt;="&amp;$B136)</f>
        <v>1233680.9399999995</v>
      </c>
      <c r="H136" s="24">
        <f>SUMIFS('Saldos Iniciales'!$D:$D,'Saldos Iniciales'!$A:$A,"Cross Family Trust")+SUMIFS(Movimientos!$K$1:$K$1325,Movimientos!$C$1:$C$1325,"Cross Family Trust",Movimientos!$B$1:$B$1325,"&lt;="&amp;$B136)</f>
        <v>229778.14</v>
      </c>
      <c r="I136" s="24">
        <f>SUMIFS('Saldos Iniciales'!$D:$D,'Saldos Iniciales'!$A:$A,"Cross Security Trust")+SUMIFS(Movimientos!$K$1:$K$1325,Movimientos!$C$1:$C$1325,"Cross Security Trust",Movimientos!$B$1:$B$1325,"&lt;="&amp;$B136)</f>
        <v>98169.25999999998</v>
      </c>
      <c r="J136" s="24">
        <f>SUMIFS('Saldos Iniciales'!$D:$D,'Saldos Iniciales'!$A:$A,"Electrama")+SUMIFS(Movimientos!$K$1:$K$1325,Movimientos!$C$1:$C$1325,"Electrama",Movimientos!$B$1:$B$1325,"&lt;="&amp;$B136)</f>
        <v>11744.75</v>
      </c>
      <c r="K136" s="24">
        <f>SUMIFS('Saldos Iniciales'!$D:$D,'Saldos Iniciales'!$A:$A,"Sacred Valley Capital")+SUMIFS(Movimientos!$K$1:$K$1325,Movimientos!$C$1:$C$1325,"Sacred Valley Capital",Movimientos!$B$1:$B$1325,"&lt;="&amp;$B136)</f>
        <v>94.5</v>
      </c>
      <c r="L136" s="24">
        <f>SUMIFS('Saldos Iniciales'!$D:$D,'Saldos Iniciales'!$A:$A,"YWC Capital")+SUMIFS(Movimientos!$K$1:$K$1325,Movimientos!$C$1:$C$1325,"YWC Capital",Movimientos!$B$1:$B$1325,"&lt;="&amp;$B136)</f>
        <v>2147.92</v>
      </c>
      <c r="M136" s="24">
        <f>SUMIFS('Saldos Iniciales'!$D:$D,'Saldos Iniciales'!$A:$A,"Soweto")+SUMIFS(Movimientos!$K$1:$K$1325,Movimientos!$C$1:$C$1325,"Soweto",Movimientos!$B$1:$B$1325,"&lt;="&amp;$B136)</f>
        <v>17895.290000000015</v>
      </c>
      <c r="N136" s="24">
        <f>SUMIFS('Saldos Iniciales'!$D:$D,'Saldos Iniciales'!$A:$A,"Green Stone Trust")+SUMIFS(Movimientos!$K$1:$K$1325,Movimientos!$C$1:$C$1325,"Green Stone Trust",Movimientos!$B$1:$B$1325,"&lt;="&amp;$B136)</f>
        <v>1968.99</v>
      </c>
      <c r="O136" s="24">
        <f>SUMIFS('Saldos Iniciales'!$D:$D,'Saldos Iniciales'!$A:$A,"EC Auto")+SUMIFS(Movimientos!$K$1:$K$1325,Movimientos!$C$1:$C$1325,"EC Auto",Movimientos!$B$1:$B$1325,"&lt;="&amp;$B136)</f>
        <v>901.34</v>
      </c>
      <c r="P136" s="24">
        <f>SUMIFS('Saldos Iniciales'!$D:$D,'Saldos Iniciales'!$A:$A,"Arbor Capital Properties")+SUMIFS(Movimientos!$K$1:$K$1325,Movimientos!$C$1:$C$1325,"Arbor Capital Properties",Movimientos!$B$1:$B$1325,"&lt;="&amp;$B136)</f>
        <v>1380.08</v>
      </c>
      <c r="Q136" s="24">
        <f>SUMIFS('Saldos Iniciales'!$D:$D,'Saldos Iniciales'!$A:$A,"2515 Overbrook")+SUMIFS(Movimientos!$K$1:$K$1325,Movimientos!$C$1:$C$1325,"2515 Overbrook",Movimientos!$B$1:$B$1325,"&lt;="&amp;$B136)</f>
        <v>25027.379999999961</v>
      </c>
      <c r="R136" s="24">
        <f>SUMIFS('Saldos Iniciales'!$D:$D,'Saldos Iniciales'!$A:$A,"112 Florida Ave")+SUMIFS(Movimientos!$K$1:$K$1325,Movimientos!$C$1:$C$1325,"112 Florida Ave",Movimientos!$B$1:$B$1325,"&lt;="&amp;$B136)</f>
        <v>16282.630000000006</v>
      </c>
      <c r="S136" s="24">
        <f>SUMIFS('Saldos Iniciales'!$D:$D,'Saldos Iniciales'!$A:$A,"3628 Thomas Ave")+SUMIFS(Movimientos!$K$1:$K$1325,Movimientos!$C$1:$C$1325,"3628 Thomas Ave",Movimientos!$B$1:$B$1325,"&lt;="&amp;$B136)</f>
        <v>13339.389999999996</v>
      </c>
      <c r="T136" s="24">
        <f>SUMIFS('Saldos Iniciales'!$D:$D,'Saldos Iniciales'!$A:$A,"Green Harbor Trust")+SUMIFS(Movimientos!$K$1:$K$1325,Movimientos!$C$1:$C$1325,"Green Harbor Trust",Movimientos!$B$1:$B$1325,"&lt;="&amp;$B136)</f>
        <v>345</v>
      </c>
      <c r="U136" s="24">
        <f>SUMIFS('Saldos Iniciales'!$D:$D,'Saldos Iniciales'!$A:$A,"Go Blue")+SUMIFS(Movimientos!$K$1:$K$1325,Movimientos!$C$1:$C$1325,"Go Blue",Movimientos!$B$1:$B$1325,"&lt;="&amp;$B136)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LLC",Movimientos!$B$1:$B$1325,"&lt;="&amp;$B136))</f>
        <v>298792.34000000003</v>
      </c>
      <c r="W136" s="24">
        <f>IF(YEAR($B136)*100+MONTH($B136)&lt;--SUBSTITUTE(_xlfn.XLOOKUP("CFT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",Movimientos!$B$1:$B$1325,"&lt;="&amp;$B136))</f>
        <v>5445.57</v>
      </c>
      <c r="AC136" s="24" t="e">
        <f>IF(YEAR($B136)*100+MONTH($B136)&lt;--SUBSTITUTE(_xlfn.XLOOKUP("SYIP",'Saldos Iniciales'!$A:$A,'Saldos Iniciales'!$C:$C),"-",""),0,SUMIFS('Saldos Iniciales'!$D:$D,'Saldos Iniciales'!$A:$A,"SYIP")+SUMIFS(Movimientos!$K$1:$K$1325,Movimientos!$C$1:$C$1325,"SYIP",Movimientos!$B$1:$B$1325,"&lt;="&amp;$B136))</f>
        <v>#N/A</v>
      </c>
      <c r="AD136" s="24">
        <f>IF(YEAR($B136)*100+MONTH($B136)&lt;--SUBSTITUTE(_xlfn.XLOOKUP("Nobe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Aparments",Movimientos!$B$1:$B$1325,"&lt;="&amp;$B136))</f>
        <v>240458.22999999998</v>
      </c>
      <c r="AE136" s="25" t="e">
        <f t="shared" si="6"/>
        <v>#N/A</v>
      </c>
    </row>
    <row r="137" spans="1:31" hidden="1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Group")+SUMIFS(Movimientos!$K$1:$K$1325,Movimientos!$C$1:$C$1325,"CFT Group",Movimientos!$B$1:$B$1325,"&lt;="&amp;$B137)</f>
        <v>1892948.5900000008</v>
      </c>
      <c r="D137" s="24">
        <f>SUMIFS('Saldos Iniciales'!$D:$D,'Saldos Iniciales'!$A:$A,"M1B")+SUMIFS(Movimientos!$K$1:$K$1325,Movimientos!$C$1:$C$1325,"M1B",Movimientos!$B$1:$B$1325,"&lt;="&amp;$B137)</f>
        <v>93737.970000000176</v>
      </c>
      <c r="E137" s="24">
        <f>SUMIFS('Saldos Iniciales'!$D:$D,'Saldos Iniciales'!$A:$A,"Durand")+SUMIFS(Movimientos!$K$1:$K$1325,Movimientos!$C$1:$C$1325,"Durand",Movimientos!$B$1:$B$1325,"&lt;="&amp;$B137)</f>
        <v>1669.89</v>
      </c>
      <c r="F137" s="24">
        <f>SUMIFS('Saldos Iniciales'!$D:$D,'Saldos Iniciales'!$A:$A,"A&amp;M Imports")+SUMIFS(Movimientos!$K$1:$K$1325,Movimientos!$C$1:$C$1325,"A&amp;M Imports",Movimientos!$B$1:$B$1325,"&lt;="&amp;$B137)</f>
        <v>1089124.99</v>
      </c>
      <c r="G137" s="24">
        <f>SUMIFS('Saldos Iniciales'!$D:$D,'Saldos Iniciales'!$A:$A,"SSP Capital")+SUMIFS(Movimientos!$K$1:$K$1325,Movimientos!$C$1:$C$1325,"SSP Capital",Movimientos!$B$1:$B$1325,"&lt;="&amp;$B137)</f>
        <v>1233680.9399999995</v>
      </c>
      <c r="H137" s="24">
        <f>SUMIFS('Saldos Iniciales'!$D:$D,'Saldos Iniciales'!$A:$A,"Cross Family Trust")+SUMIFS(Movimientos!$K$1:$K$1325,Movimientos!$C$1:$C$1325,"Cross Family Trust",Movimientos!$B$1:$B$1325,"&lt;="&amp;$B137)</f>
        <v>229778.14</v>
      </c>
      <c r="I137" s="24">
        <f>SUMIFS('Saldos Iniciales'!$D:$D,'Saldos Iniciales'!$A:$A,"Cross Security Trust")+SUMIFS(Movimientos!$K$1:$K$1325,Movimientos!$C$1:$C$1325,"Cross Security Trust",Movimientos!$B$1:$B$1325,"&lt;="&amp;$B137)</f>
        <v>98169.25999999998</v>
      </c>
      <c r="J137" s="24">
        <f>SUMIFS('Saldos Iniciales'!$D:$D,'Saldos Iniciales'!$A:$A,"Electrama")+SUMIFS(Movimientos!$K$1:$K$1325,Movimientos!$C$1:$C$1325,"Electrama",Movimientos!$B$1:$B$1325,"&lt;="&amp;$B137)</f>
        <v>11744.75</v>
      </c>
      <c r="K137" s="24">
        <f>SUMIFS('Saldos Iniciales'!$D:$D,'Saldos Iniciales'!$A:$A,"Sacred Valley Capital")+SUMIFS(Movimientos!$K$1:$K$1325,Movimientos!$C$1:$C$1325,"Sacred Valley Capital",Movimientos!$B$1:$B$1325,"&lt;="&amp;$B137)</f>
        <v>94.5</v>
      </c>
      <c r="L137" s="24">
        <f>SUMIFS('Saldos Iniciales'!$D:$D,'Saldos Iniciales'!$A:$A,"YWC Capital")+SUMIFS(Movimientos!$K$1:$K$1325,Movimientos!$C$1:$C$1325,"YWC Capital",Movimientos!$B$1:$B$1325,"&lt;="&amp;$B137)</f>
        <v>2147.92</v>
      </c>
      <c r="M137" s="24">
        <f>SUMIFS('Saldos Iniciales'!$D:$D,'Saldos Iniciales'!$A:$A,"Soweto")+SUMIFS(Movimientos!$K$1:$K$1325,Movimientos!$C$1:$C$1325,"Soweto",Movimientos!$B$1:$B$1325,"&lt;="&amp;$B137)</f>
        <v>17895.290000000015</v>
      </c>
      <c r="N137" s="24">
        <f>SUMIFS('Saldos Iniciales'!$D:$D,'Saldos Iniciales'!$A:$A,"Green Stone Trust")+SUMIFS(Movimientos!$K$1:$K$1325,Movimientos!$C$1:$C$1325,"Green Stone Trust",Movimientos!$B$1:$B$1325,"&lt;="&amp;$B137)</f>
        <v>1968.99</v>
      </c>
      <c r="O137" s="24">
        <f>SUMIFS('Saldos Iniciales'!$D:$D,'Saldos Iniciales'!$A:$A,"EC Auto")+SUMIFS(Movimientos!$K$1:$K$1325,Movimientos!$C$1:$C$1325,"EC Auto",Movimientos!$B$1:$B$1325,"&lt;="&amp;$B137)</f>
        <v>901.34</v>
      </c>
      <c r="P137" s="24">
        <f>SUMIFS('Saldos Iniciales'!$D:$D,'Saldos Iniciales'!$A:$A,"Arbor Capital Properties")+SUMIFS(Movimientos!$K$1:$K$1325,Movimientos!$C$1:$C$1325,"Arbor Capital Properties",Movimientos!$B$1:$B$1325,"&lt;="&amp;$B137)</f>
        <v>1380.08</v>
      </c>
      <c r="Q137" s="24">
        <f>SUMIFS('Saldos Iniciales'!$D:$D,'Saldos Iniciales'!$A:$A,"2515 Overbrook")+SUMIFS(Movimientos!$K$1:$K$1325,Movimientos!$C$1:$C$1325,"2515 Overbrook",Movimientos!$B$1:$B$1325,"&lt;="&amp;$B137)</f>
        <v>25027.379999999961</v>
      </c>
      <c r="R137" s="24">
        <f>SUMIFS('Saldos Iniciales'!$D:$D,'Saldos Iniciales'!$A:$A,"112 Florida Ave")+SUMIFS(Movimientos!$K$1:$K$1325,Movimientos!$C$1:$C$1325,"112 Florida Ave",Movimientos!$B$1:$B$1325,"&lt;="&amp;$B137)</f>
        <v>16282.630000000006</v>
      </c>
      <c r="S137" s="24">
        <f>SUMIFS('Saldos Iniciales'!$D:$D,'Saldos Iniciales'!$A:$A,"3628 Thomas Ave")+SUMIFS(Movimientos!$K$1:$K$1325,Movimientos!$C$1:$C$1325,"3628 Thomas Ave",Movimientos!$B$1:$B$1325,"&lt;="&amp;$B137)</f>
        <v>13339.389999999996</v>
      </c>
      <c r="T137" s="24">
        <f>SUMIFS('Saldos Iniciales'!$D:$D,'Saldos Iniciales'!$A:$A,"Green Harbor Trust")+SUMIFS(Movimientos!$K$1:$K$1325,Movimientos!$C$1:$C$1325,"Green Harbor Trust",Movimientos!$B$1:$B$1325,"&lt;="&amp;$B137)</f>
        <v>345</v>
      </c>
      <c r="U137" s="24">
        <f>SUMIFS('Saldos Iniciales'!$D:$D,'Saldos Iniciales'!$A:$A,"Go Blue")+SUMIFS(Movimientos!$K$1:$K$1325,Movimientos!$C$1:$C$1325,"Go Blue",Movimientos!$B$1:$B$1325,"&lt;="&amp;$B137)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LLC",Movimientos!$B$1:$B$1325,"&lt;="&amp;$B137))</f>
        <v>298792.34000000003</v>
      </c>
      <c r="W137" s="24">
        <f>IF(YEAR($B137)*100+MONTH($B137)&lt;--SUBSTITUTE(_xlfn.XLOOKUP("CFT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",Movimientos!$B$1:$B$1325,"&lt;="&amp;$B137))</f>
        <v>5445.57</v>
      </c>
      <c r="AC137" s="24" t="e">
        <f>IF(YEAR($B137)*100+MONTH($B137)&lt;--SUBSTITUTE(_xlfn.XLOOKUP("SYIP",'Saldos Iniciales'!$A:$A,'Saldos Iniciales'!$C:$C),"-",""),0,SUMIFS('Saldos Iniciales'!$D:$D,'Saldos Iniciales'!$A:$A,"SYIP")+SUMIFS(Movimientos!$K$1:$K$1325,Movimientos!$C$1:$C$1325,"SYIP",Movimientos!$B$1:$B$1325,"&lt;="&amp;$B137))</f>
        <v>#N/A</v>
      </c>
      <c r="AD137" s="24">
        <f>IF(YEAR($B137)*100+MONTH($B137)&lt;--SUBSTITUTE(_xlfn.XLOOKUP("Nobe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Aparments",Movimientos!$B$1:$B$1325,"&lt;="&amp;$B137))</f>
        <v>240458.22999999998</v>
      </c>
      <c r="AE137" s="25" t="e">
        <f t="shared" si="6"/>
        <v>#N/A</v>
      </c>
    </row>
    <row r="138" spans="1:31" hidden="1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Group")+SUMIFS(Movimientos!$K$1:$K$1325,Movimientos!$C$1:$C$1325,"CFT Group",Movimientos!$B$1:$B$1325,"&lt;="&amp;$B138)</f>
        <v>2042948.5900000008</v>
      </c>
      <c r="D138" s="24">
        <f>SUMIFS('Saldos Iniciales'!$D:$D,'Saldos Iniciales'!$A:$A,"M1B")+SUMIFS(Movimientos!$K$1:$K$1325,Movimientos!$C$1:$C$1325,"M1B",Movimientos!$B$1:$B$1325,"&lt;="&amp;$B138)</f>
        <v>93737.970000000176</v>
      </c>
      <c r="E138" s="24">
        <f>SUMIFS('Saldos Iniciales'!$D:$D,'Saldos Iniciales'!$A:$A,"Durand")+SUMIFS(Movimientos!$K$1:$K$1325,Movimientos!$C$1:$C$1325,"Durand",Movimientos!$B$1:$B$1325,"&lt;="&amp;$B138)</f>
        <v>1669.89</v>
      </c>
      <c r="F138" s="24">
        <f>SUMIFS('Saldos Iniciales'!$D:$D,'Saldos Iniciales'!$A:$A,"A&amp;M Imports")+SUMIFS(Movimientos!$K$1:$K$1325,Movimientos!$C$1:$C$1325,"A&amp;M Imports",Movimientos!$B$1:$B$1325,"&lt;="&amp;$B138)</f>
        <v>1105910.26</v>
      </c>
      <c r="G138" s="24">
        <f>SUMIFS('Saldos Iniciales'!$D:$D,'Saldos Iniciales'!$A:$A,"SSP Capital")+SUMIFS(Movimientos!$K$1:$K$1325,Movimientos!$C$1:$C$1325,"SSP Capital",Movimientos!$B$1:$B$1325,"&lt;="&amp;$B138)</f>
        <v>1191956.6299999997</v>
      </c>
      <c r="H138" s="24">
        <f>SUMIFS('Saldos Iniciales'!$D:$D,'Saldos Iniciales'!$A:$A,"Cross Family Trust")+SUMIFS(Movimientos!$K$1:$K$1325,Movimientos!$C$1:$C$1325,"Cross Family Trust",Movimientos!$B$1:$B$1325,"&lt;="&amp;$B138)</f>
        <v>229778.14</v>
      </c>
      <c r="I138" s="24">
        <f>SUMIFS('Saldos Iniciales'!$D:$D,'Saldos Iniciales'!$A:$A,"Cross Security Trust")+SUMIFS(Movimientos!$K$1:$K$1325,Movimientos!$C$1:$C$1325,"Cross Security Trust",Movimientos!$B$1:$B$1325,"&lt;="&amp;$B138)</f>
        <v>98169.25999999998</v>
      </c>
      <c r="J138" s="24">
        <f>SUMIFS('Saldos Iniciales'!$D:$D,'Saldos Iniciales'!$A:$A,"Electrama")+SUMIFS(Movimientos!$K$1:$K$1325,Movimientos!$C$1:$C$1325,"Electrama",Movimientos!$B$1:$B$1325,"&lt;="&amp;$B138)</f>
        <v>11744.75</v>
      </c>
      <c r="K138" s="24">
        <f>SUMIFS('Saldos Iniciales'!$D:$D,'Saldos Iniciales'!$A:$A,"Sacred Valley Capital")+SUMIFS(Movimientos!$K$1:$K$1325,Movimientos!$C$1:$C$1325,"Sacred Valley Capital",Movimientos!$B$1:$B$1325,"&lt;="&amp;$B138)</f>
        <v>94.5</v>
      </c>
      <c r="L138" s="24">
        <f>SUMIFS('Saldos Iniciales'!$D:$D,'Saldos Iniciales'!$A:$A,"YWC Capital")+SUMIFS(Movimientos!$K$1:$K$1325,Movimientos!$C$1:$C$1325,"YWC Capital",Movimientos!$B$1:$B$1325,"&lt;="&amp;$B138)</f>
        <v>2147.92</v>
      </c>
      <c r="M138" s="24">
        <f>SUMIFS('Saldos Iniciales'!$D:$D,'Saldos Iniciales'!$A:$A,"Soweto")+SUMIFS(Movimientos!$K$1:$K$1325,Movimientos!$C$1:$C$1325,"Soweto",Movimientos!$B$1:$B$1325,"&lt;="&amp;$B138)</f>
        <v>17895.290000000015</v>
      </c>
      <c r="N138" s="24">
        <f>SUMIFS('Saldos Iniciales'!$D:$D,'Saldos Iniciales'!$A:$A,"Green Stone Trust")+SUMIFS(Movimientos!$K$1:$K$1325,Movimientos!$C$1:$C$1325,"Green Stone Trust",Movimientos!$B$1:$B$1325,"&lt;="&amp;$B138)</f>
        <v>1968.99</v>
      </c>
      <c r="O138" s="24">
        <f>SUMIFS('Saldos Iniciales'!$D:$D,'Saldos Iniciales'!$A:$A,"EC Auto")+SUMIFS(Movimientos!$K$1:$K$1325,Movimientos!$C$1:$C$1325,"EC Auto",Movimientos!$B$1:$B$1325,"&lt;="&amp;$B138)</f>
        <v>901.34</v>
      </c>
      <c r="P138" s="24">
        <f>SUMIFS('Saldos Iniciales'!$D:$D,'Saldos Iniciales'!$A:$A,"Arbor Capital Properties")+SUMIFS(Movimientos!$K$1:$K$1325,Movimientos!$C$1:$C$1325,"Arbor Capital Properties",Movimientos!$B$1:$B$1325,"&lt;="&amp;$B138)</f>
        <v>1380.08</v>
      </c>
      <c r="Q138" s="24">
        <f>SUMIFS('Saldos Iniciales'!$D:$D,'Saldos Iniciales'!$A:$A,"2515 Overbrook")+SUMIFS(Movimientos!$K$1:$K$1325,Movimientos!$C$1:$C$1325,"2515 Overbrook",Movimientos!$B$1:$B$1325,"&lt;="&amp;$B138)</f>
        <v>25027.379999999961</v>
      </c>
      <c r="R138" s="24">
        <f>SUMIFS('Saldos Iniciales'!$D:$D,'Saldos Iniciales'!$A:$A,"112 Florida Ave")+SUMIFS(Movimientos!$K$1:$K$1325,Movimientos!$C$1:$C$1325,"112 Florida Ave",Movimientos!$B$1:$B$1325,"&lt;="&amp;$B138)</f>
        <v>16282.630000000006</v>
      </c>
      <c r="S138" s="24">
        <f>SUMIFS('Saldos Iniciales'!$D:$D,'Saldos Iniciales'!$A:$A,"3628 Thomas Ave")+SUMIFS(Movimientos!$K$1:$K$1325,Movimientos!$C$1:$C$1325,"3628 Thomas Ave",Movimientos!$B$1:$B$1325,"&lt;="&amp;$B138)</f>
        <v>13685.999999999996</v>
      </c>
      <c r="T138" s="24">
        <f>SUMIFS('Saldos Iniciales'!$D:$D,'Saldos Iniciales'!$A:$A,"Green Harbor Trust")+SUMIFS(Movimientos!$K$1:$K$1325,Movimientos!$C$1:$C$1325,"Green Harbor Trust",Movimientos!$B$1:$B$1325,"&lt;="&amp;$B138)</f>
        <v>345</v>
      </c>
      <c r="U138" s="24">
        <f>SUMIFS('Saldos Iniciales'!$D:$D,'Saldos Iniciales'!$A:$A,"Go Blue")+SUMIFS(Movimientos!$K$1:$K$1325,Movimientos!$C$1:$C$1325,"Go Blue",Movimientos!$B$1:$B$1325,"&lt;="&amp;$B138)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LLC",Movimientos!$B$1:$B$1325,"&lt;="&amp;$B138))</f>
        <v>298792.34000000003</v>
      </c>
      <c r="W138" s="24">
        <f>IF(YEAR($B138)*100+MONTH($B138)&lt;--SUBSTITUTE(_xlfn.XLOOKUP("CFT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",Movimientos!$B$1:$B$1325,"&lt;="&amp;$B138))</f>
        <v>5445.57</v>
      </c>
      <c r="AC138" s="24" t="e">
        <f>IF(YEAR($B138)*100+MONTH($B138)&lt;--SUBSTITUTE(_xlfn.XLOOKUP("SYIP",'Saldos Iniciales'!$A:$A,'Saldos Iniciales'!$C:$C),"-",""),0,SUMIFS('Saldos Iniciales'!$D:$D,'Saldos Iniciales'!$A:$A,"SYIP")+SUMIFS(Movimientos!$K$1:$K$1325,Movimientos!$C$1:$C$1325,"SYIP",Movimientos!$B$1:$B$1325,"&lt;="&amp;$B138))</f>
        <v>#N/A</v>
      </c>
      <c r="AD138" s="24">
        <f>IF(YEAR($B138)*100+MONTH($B138)&lt;--SUBSTITUTE(_xlfn.XLOOKUP("Nobe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Aparments",Movimientos!$B$1:$B$1325,"&lt;="&amp;$B138))</f>
        <v>240356.58</v>
      </c>
      <c r="AE138" s="25" t="e">
        <f t="shared" si="6"/>
        <v>#N/A</v>
      </c>
    </row>
    <row r="139" spans="1:31" hidden="1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Group")+SUMIFS(Movimientos!$K$1:$K$1325,Movimientos!$C$1:$C$1325,"CFT Group",Movimientos!$B$1:$B$1325,"&lt;="&amp;$B139)</f>
        <v>2042948.5900000008</v>
      </c>
      <c r="D139" s="24">
        <f>SUMIFS('Saldos Iniciales'!$D:$D,'Saldos Iniciales'!$A:$A,"M1B")+SUMIFS(Movimientos!$K$1:$K$1325,Movimientos!$C$1:$C$1325,"M1B",Movimientos!$B$1:$B$1325,"&lt;="&amp;$B139)</f>
        <v>100486.46000000017</v>
      </c>
      <c r="E139" s="24">
        <f>SUMIFS('Saldos Iniciales'!$D:$D,'Saldos Iniciales'!$A:$A,"Durand")+SUMIFS(Movimientos!$K$1:$K$1325,Movimientos!$C$1:$C$1325,"Durand",Movimientos!$B$1:$B$1325,"&lt;="&amp;$B139)</f>
        <v>1669.89</v>
      </c>
      <c r="F139" s="24">
        <f>SUMIFS('Saldos Iniciales'!$D:$D,'Saldos Iniciales'!$A:$A,"A&amp;M Imports")+SUMIFS(Movimientos!$K$1:$K$1325,Movimientos!$C$1:$C$1325,"A&amp;M Imports",Movimientos!$B$1:$B$1325,"&lt;="&amp;$B139)</f>
        <v>1105534.6399999999</v>
      </c>
      <c r="G139" s="24">
        <f>SUMIFS('Saldos Iniciales'!$D:$D,'Saldos Iniciales'!$A:$A,"SSP Capital")+SUMIFS(Movimientos!$K$1:$K$1325,Movimientos!$C$1:$C$1325,"SSP Capital",Movimientos!$B$1:$B$1325,"&lt;="&amp;$B139)</f>
        <v>1191927.2199999995</v>
      </c>
      <c r="H139" s="24">
        <f>SUMIFS('Saldos Iniciales'!$D:$D,'Saldos Iniciales'!$A:$A,"Cross Family Trust")+SUMIFS(Movimientos!$K$1:$K$1325,Movimientos!$C$1:$C$1325,"Cross Family Trust",Movimientos!$B$1:$B$1325,"&lt;="&amp;$B139)</f>
        <v>229778.14</v>
      </c>
      <c r="I139" s="24">
        <f>SUMIFS('Saldos Iniciales'!$D:$D,'Saldos Iniciales'!$A:$A,"Cross Security Trust")+SUMIFS(Movimientos!$K$1:$K$1325,Movimientos!$C$1:$C$1325,"Cross Security Trust",Movimientos!$B$1:$B$1325,"&lt;="&amp;$B139)</f>
        <v>98173.499999999985</v>
      </c>
      <c r="J139" s="24">
        <f>SUMIFS('Saldos Iniciales'!$D:$D,'Saldos Iniciales'!$A:$A,"Electrama")+SUMIFS(Movimientos!$K$1:$K$1325,Movimientos!$C$1:$C$1325,"Electrama",Movimientos!$B$1:$B$1325,"&lt;="&amp;$B139)</f>
        <v>11744.75</v>
      </c>
      <c r="K139" s="24">
        <f>SUMIFS('Saldos Iniciales'!$D:$D,'Saldos Iniciales'!$A:$A,"Sacred Valley Capital")+SUMIFS(Movimientos!$K$1:$K$1325,Movimientos!$C$1:$C$1325,"Sacred Valley Capital",Movimientos!$B$1:$B$1325,"&lt;="&amp;$B139)</f>
        <v>94.5</v>
      </c>
      <c r="L139" s="24">
        <f>SUMIFS('Saldos Iniciales'!$D:$D,'Saldos Iniciales'!$A:$A,"YWC Capital")+SUMIFS(Movimientos!$K$1:$K$1325,Movimientos!$C$1:$C$1325,"YWC Capital",Movimientos!$B$1:$B$1325,"&lt;="&amp;$B139)</f>
        <v>2147.92</v>
      </c>
      <c r="M139" s="24">
        <f>SUMIFS('Saldos Iniciales'!$D:$D,'Saldos Iniciales'!$A:$A,"Soweto")+SUMIFS(Movimientos!$K$1:$K$1325,Movimientos!$C$1:$C$1325,"Soweto",Movimientos!$B$1:$B$1325,"&lt;="&amp;$B139)</f>
        <v>17895.290000000015</v>
      </c>
      <c r="N139" s="24">
        <f>SUMIFS('Saldos Iniciales'!$D:$D,'Saldos Iniciales'!$A:$A,"Green Stone Trust")+SUMIFS(Movimientos!$K$1:$K$1325,Movimientos!$C$1:$C$1325,"Green Stone Trust",Movimientos!$B$1:$B$1325,"&lt;="&amp;$B139)</f>
        <v>1968.99</v>
      </c>
      <c r="O139" s="24">
        <f>SUMIFS('Saldos Iniciales'!$D:$D,'Saldos Iniciales'!$A:$A,"EC Auto")+SUMIFS(Movimientos!$K$1:$K$1325,Movimientos!$C$1:$C$1325,"EC Auto",Movimientos!$B$1:$B$1325,"&lt;="&amp;$B139)</f>
        <v>901.34</v>
      </c>
      <c r="P139" s="24">
        <f>SUMIFS('Saldos Iniciales'!$D:$D,'Saldos Iniciales'!$A:$A,"Arbor Capital Properties")+SUMIFS(Movimientos!$K$1:$K$1325,Movimientos!$C$1:$C$1325,"Arbor Capital Properties",Movimientos!$B$1:$B$1325,"&lt;="&amp;$B139)</f>
        <v>1380.08</v>
      </c>
      <c r="Q139" s="24">
        <f>SUMIFS('Saldos Iniciales'!$D:$D,'Saldos Iniciales'!$A:$A,"2515 Overbrook")+SUMIFS(Movimientos!$K$1:$K$1325,Movimientos!$C$1:$C$1325,"2515 Overbrook",Movimientos!$B$1:$B$1325,"&lt;="&amp;$B139)</f>
        <v>25027.379999999961</v>
      </c>
      <c r="R139" s="24">
        <f>SUMIFS('Saldos Iniciales'!$D:$D,'Saldos Iniciales'!$A:$A,"112 Florida Ave")+SUMIFS(Movimientos!$K$1:$K$1325,Movimientos!$C$1:$C$1325,"112 Florida Ave",Movimientos!$B$1:$B$1325,"&lt;="&amp;$B139)</f>
        <v>16282.630000000006</v>
      </c>
      <c r="S139" s="24">
        <f>SUMIFS('Saldos Iniciales'!$D:$D,'Saldos Iniciales'!$A:$A,"3628 Thomas Ave")+SUMIFS(Movimientos!$K$1:$K$1325,Movimientos!$C$1:$C$1325,"3628 Thomas Ave",Movimientos!$B$1:$B$1325,"&lt;="&amp;$B139)</f>
        <v>13685.999999999996</v>
      </c>
      <c r="T139" s="24">
        <f>SUMIFS('Saldos Iniciales'!$D:$D,'Saldos Iniciales'!$A:$A,"Green Harbor Trust")+SUMIFS(Movimientos!$K$1:$K$1325,Movimientos!$C$1:$C$1325,"Green Harbor Trust",Movimientos!$B$1:$B$1325,"&lt;="&amp;$B139)</f>
        <v>345</v>
      </c>
      <c r="U139" s="24">
        <f>SUMIFS('Saldos Iniciales'!$D:$D,'Saldos Iniciales'!$A:$A,"Go Blue")+SUMIFS(Movimientos!$K$1:$K$1325,Movimientos!$C$1:$C$1325,"Go Blue",Movimientos!$B$1:$B$1325,"&lt;="&amp;$B139)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LLC",Movimientos!$B$1:$B$1325,"&lt;="&amp;$B139))</f>
        <v>298792.34000000003</v>
      </c>
      <c r="W139" s="24">
        <f>IF(YEAR($B139)*100+MONTH($B139)&lt;--SUBSTITUTE(_xlfn.XLOOKUP("CFT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",Movimientos!$B$1:$B$1325,"&lt;="&amp;$B139))</f>
        <v>5445.57</v>
      </c>
      <c r="AC139" s="24" t="e">
        <f>IF(YEAR($B139)*100+MONTH($B139)&lt;--SUBSTITUTE(_xlfn.XLOOKUP("SYIP",'Saldos Iniciales'!$A:$A,'Saldos Iniciales'!$C:$C),"-",""),0,SUMIFS('Saldos Iniciales'!$D:$D,'Saldos Iniciales'!$A:$A,"SYIP")+SUMIFS(Movimientos!$K$1:$K$1325,Movimientos!$C$1:$C$1325,"SYIP",Movimientos!$B$1:$B$1325,"&lt;="&amp;$B139))</f>
        <v>#N/A</v>
      </c>
      <c r="AD139" s="24">
        <f>IF(YEAR($B139)*100+MONTH($B139)&lt;--SUBSTITUTE(_xlfn.XLOOKUP("Nobe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Aparments",Movimientos!$B$1:$B$1325,"&lt;="&amp;$B139))</f>
        <v>240356.58</v>
      </c>
      <c r="AE139" s="25" t="e">
        <f t="shared" si="6"/>
        <v>#N/A</v>
      </c>
    </row>
    <row r="140" spans="1:31" hidden="1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Group")+SUMIFS(Movimientos!$K$1:$K$1325,Movimientos!$C$1:$C$1325,"CFT Group",Movimientos!$B$1:$B$1325,"&lt;="&amp;$B140)</f>
        <v>2042948.5900000008</v>
      </c>
      <c r="D140" s="24">
        <f>SUMIFS('Saldos Iniciales'!$D:$D,'Saldos Iniciales'!$A:$A,"M1B")+SUMIFS(Movimientos!$K$1:$K$1325,Movimientos!$C$1:$C$1325,"M1B",Movimientos!$B$1:$B$1325,"&lt;="&amp;$B140)</f>
        <v>100486.46000000017</v>
      </c>
      <c r="E140" s="24">
        <f>SUMIFS('Saldos Iniciales'!$D:$D,'Saldos Iniciales'!$A:$A,"Durand")+SUMIFS(Movimientos!$K$1:$K$1325,Movimientos!$C$1:$C$1325,"Durand",Movimientos!$B$1:$B$1325,"&lt;="&amp;$B140)</f>
        <v>1669.89</v>
      </c>
      <c r="F140" s="24">
        <f>SUMIFS('Saldos Iniciales'!$D:$D,'Saldos Iniciales'!$A:$A,"A&amp;M Imports")+SUMIFS(Movimientos!$K$1:$K$1325,Movimientos!$C$1:$C$1325,"A&amp;M Imports",Movimientos!$B$1:$B$1325,"&lt;="&amp;$B140)</f>
        <v>1105534.6399999999</v>
      </c>
      <c r="G140" s="24">
        <f>SUMIFS('Saldos Iniciales'!$D:$D,'Saldos Iniciales'!$A:$A,"SSP Capital")+SUMIFS(Movimientos!$K$1:$K$1325,Movimientos!$C$1:$C$1325,"SSP Capital",Movimientos!$B$1:$B$1325,"&lt;="&amp;$B140)</f>
        <v>1189436.8599999996</v>
      </c>
      <c r="H140" s="24">
        <f>SUMIFS('Saldos Iniciales'!$D:$D,'Saldos Iniciales'!$A:$A,"Cross Family Trust")+SUMIFS(Movimientos!$K$1:$K$1325,Movimientos!$C$1:$C$1325,"Cross Family Trust",Movimientos!$B$1:$B$1325,"&lt;="&amp;$B140)</f>
        <v>229778.14</v>
      </c>
      <c r="I140" s="24">
        <f>SUMIFS('Saldos Iniciales'!$D:$D,'Saldos Iniciales'!$A:$A,"Cross Security Trust")+SUMIFS(Movimientos!$K$1:$K$1325,Movimientos!$C$1:$C$1325,"Cross Security Trust",Movimientos!$B$1:$B$1325,"&lt;="&amp;$B140)</f>
        <v>98173.499999999985</v>
      </c>
      <c r="J140" s="24">
        <f>SUMIFS('Saldos Iniciales'!$D:$D,'Saldos Iniciales'!$A:$A,"Electrama")+SUMIFS(Movimientos!$K$1:$K$1325,Movimientos!$C$1:$C$1325,"Electrama",Movimientos!$B$1:$B$1325,"&lt;="&amp;$B140)</f>
        <v>11744.75</v>
      </c>
      <c r="K140" s="24">
        <f>SUMIFS('Saldos Iniciales'!$D:$D,'Saldos Iniciales'!$A:$A,"Sacred Valley Capital")+SUMIFS(Movimientos!$K$1:$K$1325,Movimientos!$C$1:$C$1325,"Sacred Valley Capital",Movimientos!$B$1:$B$1325,"&lt;="&amp;$B140)</f>
        <v>94.5</v>
      </c>
      <c r="L140" s="24">
        <f>SUMIFS('Saldos Iniciales'!$D:$D,'Saldos Iniciales'!$A:$A,"YWC Capital")+SUMIFS(Movimientos!$K$1:$K$1325,Movimientos!$C$1:$C$1325,"YWC Capital",Movimientos!$B$1:$B$1325,"&lt;="&amp;$B140)</f>
        <v>2147.92</v>
      </c>
      <c r="M140" s="24">
        <f>SUMIFS('Saldos Iniciales'!$D:$D,'Saldos Iniciales'!$A:$A,"Soweto")+SUMIFS(Movimientos!$K$1:$K$1325,Movimientos!$C$1:$C$1325,"Soweto",Movimientos!$B$1:$B$1325,"&lt;="&amp;$B140)</f>
        <v>17895.290000000015</v>
      </c>
      <c r="N140" s="24">
        <f>SUMIFS('Saldos Iniciales'!$D:$D,'Saldos Iniciales'!$A:$A,"Green Stone Trust")+SUMIFS(Movimientos!$K$1:$K$1325,Movimientos!$C$1:$C$1325,"Green Stone Trust",Movimientos!$B$1:$B$1325,"&lt;="&amp;$B140)</f>
        <v>1968.99</v>
      </c>
      <c r="O140" s="24">
        <f>SUMIFS('Saldos Iniciales'!$D:$D,'Saldos Iniciales'!$A:$A,"EC Auto")+SUMIFS(Movimientos!$K$1:$K$1325,Movimientos!$C$1:$C$1325,"EC Auto",Movimientos!$B$1:$B$1325,"&lt;="&amp;$B140)</f>
        <v>901.34</v>
      </c>
      <c r="P140" s="24">
        <f>SUMIFS('Saldos Iniciales'!$D:$D,'Saldos Iniciales'!$A:$A,"Arbor Capital Properties")+SUMIFS(Movimientos!$K$1:$K$1325,Movimientos!$C$1:$C$1325,"Arbor Capital Properties",Movimientos!$B$1:$B$1325,"&lt;="&amp;$B140)</f>
        <v>1380.08</v>
      </c>
      <c r="Q140" s="24">
        <f>SUMIFS('Saldos Iniciales'!$D:$D,'Saldos Iniciales'!$A:$A,"2515 Overbrook")+SUMIFS(Movimientos!$K$1:$K$1325,Movimientos!$C$1:$C$1325,"2515 Overbrook",Movimientos!$B$1:$B$1325,"&lt;="&amp;$B140)</f>
        <v>25027.379999999961</v>
      </c>
      <c r="R140" s="24">
        <f>SUMIFS('Saldos Iniciales'!$D:$D,'Saldos Iniciales'!$A:$A,"112 Florida Ave")+SUMIFS(Movimientos!$K$1:$K$1325,Movimientos!$C$1:$C$1325,"112 Florida Ave",Movimientos!$B$1:$B$1325,"&lt;="&amp;$B140)</f>
        <v>16282.630000000006</v>
      </c>
      <c r="S140" s="24">
        <f>SUMIFS('Saldos Iniciales'!$D:$D,'Saldos Iniciales'!$A:$A,"3628 Thomas Ave")+SUMIFS(Movimientos!$K$1:$K$1325,Movimientos!$C$1:$C$1325,"3628 Thomas Ave",Movimientos!$B$1:$B$1325,"&lt;="&amp;$B140)</f>
        <v>13685.999999999996</v>
      </c>
      <c r="T140" s="24">
        <f>SUMIFS('Saldos Iniciales'!$D:$D,'Saldos Iniciales'!$A:$A,"Green Harbor Trust")+SUMIFS(Movimientos!$K$1:$K$1325,Movimientos!$C$1:$C$1325,"Green Harbor Trust",Movimientos!$B$1:$B$1325,"&lt;="&amp;$B140)</f>
        <v>345</v>
      </c>
      <c r="U140" s="24">
        <f>SUMIFS('Saldos Iniciales'!$D:$D,'Saldos Iniciales'!$A:$A,"Go Blue")+SUMIFS(Movimientos!$K$1:$K$1325,Movimientos!$C$1:$C$1325,"Go Blue",Movimientos!$B$1:$B$1325,"&lt;="&amp;$B140)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LLC",Movimientos!$B$1:$B$1325,"&lt;="&amp;$B140))</f>
        <v>298792.34000000003</v>
      </c>
      <c r="W140" s="24">
        <f>IF(YEAR($B140)*100+MONTH($B140)&lt;--SUBSTITUTE(_xlfn.XLOOKUP("CFT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",Movimientos!$B$1:$B$1325,"&lt;="&amp;$B140))</f>
        <v>5445.57</v>
      </c>
      <c r="AC140" s="24" t="e">
        <f>IF(YEAR($B140)*100+MONTH($B140)&lt;--SUBSTITUTE(_xlfn.XLOOKUP("SYIP",'Saldos Iniciales'!$A:$A,'Saldos Iniciales'!$C:$C),"-",""),0,SUMIFS('Saldos Iniciales'!$D:$D,'Saldos Iniciales'!$A:$A,"SYIP")+SUMIFS(Movimientos!$K$1:$K$1325,Movimientos!$C$1:$C$1325,"SYIP",Movimientos!$B$1:$B$1325,"&lt;="&amp;$B140))</f>
        <v>#N/A</v>
      </c>
      <c r="AD140" s="24">
        <f>IF(YEAR($B140)*100+MONTH($B140)&lt;--SUBSTITUTE(_xlfn.XLOOKUP("Nobe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Aparments",Movimientos!$B$1:$B$1325,"&lt;="&amp;$B140))</f>
        <v>240356.58</v>
      </c>
      <c r="AE140" s="25" t="e">
        <f t="shared" si="6"/>
        <v>#N/A</v>
      </c>
    </row>
    <row r="141" spans="1:31" hidden="1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Group")+SUMIFS(Movimientos!$K$1:$K$1325,Movimientos!$C$1:$C$1325,"CFT Group",Movimientos!$B$1:$B$1325,"&lt;="&amp;$B141)</f>
        <v>1912320.2500000007</v>
      </c>
      <c r="D141" s="24">
        <f>SUMIFS('Saldos Iniciales'!$D:$D,'Saldos Iniciales'!$A:$A,"M1B")+SUMIFS(Movimientos!$K$1:$K$1325,Movimientos!$C$1:$C$1325,"M1B",Movimientos!$B$1:$B$1325,"&lt;="&amp;$B141)</f>
        <v>100486.46000000017</v>
      </c>
      <c r="E141" s="24">
        <f>SUMIFS('Saldos Iniciales'!$D:$D,'Saldos Iniciales'!$A:$A,"Durand")+SUMIFS(Movimientos!$K$1:$K$1325,Movimientos!$C$1:$C$1325,"Durand",Movimientos!$B$1:$B$1325,"&lt;="&amp;$B141)</f>
        <v>1669.89</v>
      </c>
      <c r="F141" s="24">
        <f>SUMIFS('Saldos Iniciales'!$D:$D,'Saldos Iniciales'!$A:$A,"A&amp;M Imports")+SUMIFS(Movimientos!$K$1:$K$1325,Movimientos!$C$1:$C$1325,"A&amp;M Imports",Movimientos!$B$1:$B$1325,"&lt;="&amp;$B141)</f>
        <v>975534.6399999999</v>
      </c>
      <c r="G141" s="24">
        <f>SUMIFS('Saldos Iniciales'!$D:$D,'Saldos Iniciales'!$A:$A,"SSP Capital")+SUMIFS(Movimientos!$K$1:$K$1325,Movimientos!$C$1:$C$1325,"SSP Capital",Movimientos!$B$1:$B$1325,"&lt;="&amp;$B141)</f>
        <v>1070645.1899999995</v>
      </c>
      <c r="H141" s="24">
        <f>SUMIFS('Saldos Iniciales'!$D:$D,'Saldos Iniciales'!$A:$A,"Cross Family Trust")+SUMIFS(Movimientos!$K$1:$K$1325,Movimientos!$C$1:$C$1325,"Cross Family Trust",Movimientos!$B$1:$B$1325,"&lt;="&amp;$B141)</f>
        <v>229778.14</v>
      </c>
      <c r="I141" s="24">
        <f>SUMIFS('Saldos Iniciales'!$D:$D,'Saldos Iniciales'!$A:$A,"Cross Security Trust")+SUMIFS(Movimientos!$K$1:$K$1325,Movimientos!$C$1:$C$1325,"Cross Security Trust",Movimientos!$B$1:$B$1325,"&lt;="&amp;$B141)</f>
        <v>98173.499999999985</v>
      </c>
      <c r="J141" s="24">
        <f>SUMIFS('Saldos Iniciales'!$D:$D,'Saldos Iniciales'!$A:$A,"Electrama")+SUMIFS(Movimientos!$K$1:$K$1325,Movimientos!$C$1:$C$1325,"Electrama",Movimientos!$B$1:$B$1325,"&lt;="&amp;$B141)</f>
        <v>11744.75</v>
      </c>
      <c r="K141" s="24">
        <f>SUMIFS('Saldos Iniciales'!$D:$D,'Saldos Iniciales'!$A:$A,"Sacred Valley Capital")+SUMIFS(Movimientos!$K$1:$K$1325,Movimientos!$C$1:$C$1325,"Sacred Valley Capital",Movimientos!$B$1:$B$1325,"&lt;="&amp;$B141)</f>
        <v>94.5</v>
      </c>
      <c r="L141" s="24">
        <f>SUMIFS('Saldos Iniciales'!$D:$D,'Saldos Iniciales'!$A:$A,"YWC Capital")+SUMIFS(Movimientos!$K$1:$K$1325,Movimientos!$C$1:$C$1325,"YWC Capital",Movimientos!$B$1:$B$1325,"&lt;="&amp;$B141)</f>
        <v>2147.92</v>
      </c>
      <c r="M141" s="24">
        <f>SUMIFS('Saldos Iniciales'!$D:$D,'Saldos Iniciales'!$A:$A,"Soweto")+SUMIFS(Movimientos!$K$1:$K$1325,Movimientos!$C$1:$C$1325,"Soweto",Movimientos!$B$1:$B$1325,"&lt;="&amp;$B141)</f>
        <v>17895.290000000015</v>
      </c>
      <c r="N141" s="24">
        <f>SUMIFS('Saldos Iniciales'!$D:$D,'Saldos Iniciales'!$A:$A,"Green Stone Trust")+SUMIFS(Movimientos!$K$1:$K$1325,Movimientos!$C$1:$C$1325,"Green Stone Trust",Movimientos!$B$1:$B$1325,"&lt;="&amp;$B141)</f>
        <v>1968.99</v>
      </c>
      <c r="O141" s="24">
        <f>SUMIFS('Saldos Iniciales'!$D:$D,'Saldos Iniciales'!$A:$A,"EC Auto")+SUMIFS(Movimientos!$K$1:$K$1325,Movimientos!$C$1:$C$1325,"EC Auto",Movimientos!$B$1:$B$1325,"&lt;="&amp;$B141)</f>
        <v>901.34</v>
      </c>
      <c r="P141" s="24">
        <f>SUMIFS('Saldos Iniciales'!$D:$D,'Saldos Iniciales'!$A:$A,"Arbor Capital Properties")+SUMIFS(Movimientos!$K$1:$K$1325,Movimientos!$C$1:$C$1325,"Arbor Capital Properties",Movimientos!$B$1:$B$1325,"&lt;="&amp;$B141)</f>
        <v>1380.08</v>
      </c>
      <c r="Q141" s="24">
        <f>SUMIFS('Saldos Iniciales'!$D:$D,'Saldos Iniciales'!$A:$A,"2515 Overbrook")+SUMIFS(Movimientos!$K$1:$K$1325,Movimientos!$C$1:$C$1325,"2515 Overbrook",Movimientos!$B$1:$B$1325,"&lt;="&amp;$B141)</f>
        <v>25027.379999999961</v>
      </c>
      <c r="R141" s="24">
        <f>SUMIFS('Saldos Iniciales'!$D:$D,'Saldos Iniciales'!$A:$A,"112 Florida Ave")+SUMIFS(Movimientos!$K$1:$K$1325,Movimientos!$C$1:$C$1325,"112 Florida Ave",Movimientos!$B$1:$B$1325,"&lt;="&amp;$B141)</f>
        <v>16282.630000000006</v>
      </c>
      <c r="S141" s="24">
        <f>SUMIFS('Saldos Iniciales'!$D:$D,'Saldos Iniciales'!$A:$A,"3628 Thomas Ave")+SUMIFS(Movimientos!$K$1:$K$1325,Movimientos!$C$1:$C$1325,"3628 Thomas Ave",Movimientos!$B$1:$B$1325,"&lt;="&amp;$B141)</f>
        <v>13685.999999999996</v>
      </c>
      <c r="T141" s="24">
        <f>SUMIFS('Saldos Iniciales'!$D:$D,'Saldos Iniciales'!$A:$A,"Green Harbor Trust")+SUMIFS(Movimientos!$K$1:$K$1325,Movimientos!$C$1:$C$1325,"Green Harbor Trust",Movimientos!$B$1:$B$1325,"&lt;="&amp;$B141)</f>
        <v>345</v>
      </c>
      <c r="U141" s="24">
        <f>SUMIFS('Saldos Iniciales'!$D:$D,'Saldos Iniciales'!$A:$A,"Go Blue")+SUMIFS(Movimientos!$K$1:$K$1325,Movimientos!$C$1:$C$1325,"Go Blue",Movimientos!$B$1:$B$1325,"&lt;="&amp;$B141)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LLC",Movimientos!$B$1:$B$1325,"&lt;="&amp;$B141))</f>
        <v>312415.12000000005</v>
      </c>
      <c r="W141" s="24">
        <f>IF(YEAR($B141)*100+MONTH($B141)&lt;--SUBSTITUTE(_xlfn.XLOOKUP("CFT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",Movimientos!$B$1:$B$1325,"&lt;="&amp;$B141))</f>
        <v>5445.57</v>
      </c>
      <c r="AC141" s="24" t="e">
        <f>IF(YEAR($B141)*100+MONTH($B141)&lt;--SUBSTITUTE(_xlfn.XLOOKUP("SYIP",'Saldos Iniciales'!$A:$A,'Saldos Iniciales'!$C:$C),"-",""),0,SUMIFS('Saldos Iniciales'!$D:$D,'Saldos Iniciales'!$A:$A,"SYIP")+SUMIFS(Movimientos!$K$1:$K$1325,Movimientos!$C$1:$C$1325,"SYIP",Movimientos!$B$1:$B$1325,"&lt;="&amp;$B141))</f>
        <v>#N/A</v>
      </c>
      <c r="AD141" s="24">
        <f>IF(YEAR($B141)*100+MONTH($B141)&lt;--SUBSTITUTE(_xlfn.XLOOKUP("Nobe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Aparments",Movimientos!$B$1:$B$1325,"&lt;="&amp;$B141))</f>
        <v>240356.58</v>
      </c>
      <c r="AE141" s="25" t="e">
        <f t="shared" si="6"/>
        <v>#N/A</v>
      </c>
    </row>
    <row r="142" spans="1:31" hidden="1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Group")+SUMIFS(Movimientos!$K$1:$K$1325,Movimientos!$C$1:$C$1325,"CFT Group",Movimientos!$B$1:$B$1325,"&lt;="&amp;$B142)</f>
        <v>2322320.2500000005</v>
      </c>
      <c r="D142" s="24">
        <f>SUMIFS('Saldos Iniciales'!$D:$D,'Saldos Iniciales'!$A:$A,"M1B")+SUMIFS(Movimientos!$K$1:$K$1325,Movimientos!$C$1:$C$1325,"M1B",Movimientos!$B$1:$B$1325,"&lt;="&amp;$B142)</f>
        <v>100486.46000000017</v>
      </c>
      <c r="E142" s="24">
        <f>SUMIFS('Saldos Iniciales'!$D:$D,'Saldos Iniciales'!$A:$A,"Durand")+SUMIFS(Movimientos!$K$1:$K$1325,Movimientos!$C$1:$C$1325,"Durand",Movimientos!$B$1:$B$1325,"&lt;="&amp;$B142)</f>
        <v>1669.89</v>
      </c>
      <c r="F142" s="24">
        <f>SUMIFS('Saldos Iniciales'!$D:$D,'Saldos Iniciales'!$A:$A,"A&amp;M Imports")+SUMIFS(Movimientos!$K$1:$K$1325,Movimientos!$C$1:$C$1325,"A&amp;M Imports",Movimientos!$B$1:$B$1325,"&lt;="&amp;$B142)</f>
        <v>1425534.64</v>
      </c>
      <c r="G142" s="24">
        <f>SUMIFS('Saldos Iniciales'!$D:$D,'Saldos Iniciales'!$A:$A,"SSP Capital")+SUMIFS(Movimientos!$K$1:$K$1325,Movimientos!$C$1:$C$1325,"SSP Capital",Movimientos!$B$1:$B$1325,"&lt;="&amp;$B142)</f>
        <v>1070478.5299999996</v>
      </c>
      <c r="H142" s="24">
        <f>SUMIFS('Saldos Iniciales'!$D:$D,'Saldos Iniciales'!$A:$A,"Cross Family Trust")+SUMIFS(Movimientos!$K$1:$K$1325,Movimientos!$C$1:$C$1325,"Cross Family Trust",Movimientos!$B$1:$B$1325,"&lt;="&amp;$B142)</f>
        <v>229778.14</v>
      </c>
      <c r="I142" s="24">
        <f>SUMIFS('Saldos Iniciales'!$D:$D,'Saldos Iniciales'!$A:$A,"Cross Security Trust")+SUMIFS(Movimientos!$K$1:$K$1325,Movimientos!$C$1:$C$1325,"Cross Security Trust",Movimientos!$B$1:$B$1325,"&lt;="&amp;$B142)</f>
        <v>98173.499999999985</v>
      </c>
      <c r="J142" s="24">
        <f>SUMIFS('Saldos Iniciales'!$D:$D,'Saldos Iniciales'!$A:$A,"Electrama")+SUMIFS(Movimientos!$K$1:$K$1325,Movimientos!$C$1:$C$1325,"Electrama",Movimientos!$B$1:$B$1325,"&lt;="&amp;$B142)</f>
        <v>11744.75</v>
      </c>
      <c r="K142" s="24">
        <f>SUMIFS('Saldos Iniciales'!$D:$D,'Saldos Iniciales'!$A:$A,"Sacred Valley Capital")+SUMIFS(Movimientos!$K$1:$K$1325,Movimientos!$C$1:$C$1325,"Sacred Valley Capital",Movimientos!$B$1:$B$1325,"&lt;="&amp;$B142)</f>
        <v>94.5</v>
      </c>
      <c r="L142" s="24">
        <f>SUMIFS('Saldos Iniciales'!$D:$D,'Saldos Iniciales'!$A:$A,"YWC Capital")+SUMIFS(Movimientos!$K$1:$K$1325,Movimientos!$C$1:$C$1325,"YWC Capital",Movimientos!$B$1:$B$1325,"&lt;="&amp;$B142)</f>
        <v>2147.92</v>
      </c>
      <c r="M142" s="24">
        <f>SUMIFS('Saldos Iniciales'!$D:$D,'Saldos Iniciales'!$A:$A,"Soweto")+SUMIFS(Movimientos!$K$1:$K$1325,Movimientos!$C$1:$C$1325,"Soweto",Movimientos!$B$1:$B$1325,"&lt;="&amp;$B142)</f>
        <v>17895.290000000015</v>
      </c>
      <c r="N142" s="24">
        <f>SUMIFS('Saldos Iniciales'!$D:$D,'Saldos Iniciales'!$A:$A,"Green Stone Trust")+SUMIFS(Movimientos!$K$1:$K$1325,Movimientos!$C$1:$C$1325,"Green Stone Trust",Movimientos!$B$1:$B$1325,"&lt;="&amp;$B142)</f>
        <v>1968.99</v>
      </c>
      <c r="O142" s="24">
        <f>SUMIFS('Saldos Iniciales'!$D:$D,'Saldos Iniciales'!$A:$A,"EC Auto")+SUMIFS(Movimientos!$K$1:$K$1325,Movimientos!$C$1:$C$1325,"EC Auto",Movimientos!$B$1:$B$1325,"&lt;="&amp;$B142)</f>
        <v>901.34</v>
      </c>
      <c r="P142" s="24">
        <f>SUMIFS('Saldos Iniciales'!$D:$D,'Saldos Iniciales'!$A:$A,"Arbor Capital Properties")+SUMIFS(Movimientos!$K$1:$K$1325,Movimientos!$C$1:$C$1325,"Arbor Capital Properties",Movimientos!$B$1:$B$1325,"&lt;="&amp;$B142)</f>
        <v>1380.08</v>
      </c>
      <c r="Q142" s="24">
        <f>SUMIFS('Saldos Iniciales'!$D:$D,'Saldos Iniciales'!$A:$A,"2515 Overbrook")+SUMIFS(Movimientos!$K$1:$K$1325,Movimientos!$C$1:$C$1325,"2515 Overbrook",Movimientos!$B$1:$B$1325,"&lt;="&amp;$B142)</f>
        <v>30277.379999999961</v>
      </c>
      <c r="R142" s="24">
        <f>SUMIFS('Saldos Iniciales'!$D:$D,'Saldos Iniciales'!$A:$A,"112 Florida Ave")+SUMIFS(Movimientos!$K$1:$K$1325,Movimientos!$C$1:$C$1325,"112 Florida Ave",Movimientos!$B$1:$B$1325,"&lt;="&amp;$B142)</f>
        <v>16282.630000000006</v>
      </c>
      <c r="S142" s="24">
        <f>SUMIFS('Saldos Iniciales'!$D:$D,'Saldos Iniciales'!$A:$A,"3628 Thomas Ave")+SUMIFS(Movimientos!$K$1:$K$1325,Movimientos!$C$1:$C$1325,"3628 Thomas Ave",Movimientos!$B$1:$B$1325,"&lt;="&amp;$B142)</f>
        <v>13685.999999999996</v>
      </c>
      <c r="T142" s="24">
        <f>SUMIFS('Saldos Iniciales'!$D:$D,'Saldos Iniciales'!$A:$A,"Green Harbor Trust")+SUMIFS(Movimientos!$K$1:$K$1325,Movimientos!$C$1:$C$1325,"Green Harbor Trust",Movimientos!$B$1:$B$1325,"&lt;="&amp;$B142)</f>
        <v>345</v>
      </c>
      <c r="U142" s="24">
        <f>SUMIFS('Saldos Iniciales'!$D:$D,'Saldos Iniciales'!$A:$A,"Go Blue")+SUMIFS(Movimientos!$K$1:$K$1325,Movimientos!$C$1:$C$1325,"Go Blue",Movimientos!$B$1:$B$1325,"&lt;="&amp;$B142)</f>
        <v>16164.440000000002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LLC",Movimientos!$B$1:$B$1325,"&lt;="&amp;$B142))</f>
        <v>312415.12000000005</v>
      </c>
      <c r="W142" s="24">
        <f>IF(YEAR($B142)*100+MONTH($B142)&lt;--SUBSTITUTE(_xlfn.XLOOKUP("CFT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",Movimientos!$B$1:$B$1325,"&lt;="&amp;$B142))</f>
        <v>5445.57</v>
      </c>
      <c r="AC142" s="24" t="e">
        <f>IF(YEAR($B142)*100+MONTH($B142)&lt;--SUBSTITUTE(_xlfn.XLOOKUP("SYIP",'Saldos Iniciales'!$A:$A,'Saldos Iniciales'!$C:$C),"-",""),0,SUMIFS('Saldos Iniciales'!$D:$D,'Saldos Iniciales'!$A:$A,"SYIP")+SUMIFS(Movimientos!$K$1:$K$1325,Movimientos!$C$1:$C$1325,"SYIP",Movimientos!$B$1:$B$1325,"&lt;="&amp;$B142))</f>
        <v>#N/A</v>
      </c>
      <c r="AD142" s="24">
        <f>IF(YEAR($B142)*100+MONTH($B142)&lt;--SUBSTITUTE(_xlfn.XLOOKUP("Nobe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Aparments",Movimientos!$B$1:$B$1325,"&lt;="&amp;$B142))</f>
        <v>240356.58</v>
      </c>
      <c r="AE142" s="25" t="e">
        <f t="shared" si="6"/>
        <v>#N/A</v>
      </c>
    </row>
    <row r="143" spans="1:31" hidden="1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Group")+SUMIFS(Movimientos!$K$1:$K$1325,Movimientos!$C$1:$C$1325,"CFT Group",Movimientos!$B$1:$B$1325,"&lt;="&amp;$B143)</f>
        <v>2322320.2500000005</v>
      </c>
      <c r="D143" s="24">
        <f>SUMIFS('Saldos Iniciales'!$D:$D,'Saldos Iniciales'!$A:$A,"M1B")+SUMIFS(Movimientos!$K$1:$K$1325,Movimientos!$C$1:$C$1325,"M1B",Movimientos!$B$1:$B$1325,"&lt;="&amp;$B143)</f>
        <v>100486.46000000017</v>
      </c>
      <c r="E143" s="24">
        <f>SUMIFS('Saldos Iniciales'!$D:$D,'Saldos Iniciales'!$A:$A,"Durand")+SUMIFS(Movimientos!$K$1:$K$1325,Movimientos!$C$1:$C$1325,"Durand",Movimientos!$B$1:$B$1325,"&lt;="&amp;$B143)</f>
        <v>1669.89</v>
      </c>
      <c r="F143" s="24">
        <f>SUMIFS('Saldos Iniciales'!$D:$D,'Saldos Iniciales'!$A:$A,"A&amp;M Imports")+SUMIFS(Movimientos!$K$1:$K$1325,Movimientos!$C$1:$C$1325,"A&amp;M Imports",Movimientos!$B$1:$B$1325,"&lt;="&amp;$B143)</f>
        <v>1425534.64</v>
      </c>
      <c r="G143" s="24">
        <f>SUMIFS('Saldos Iniciales'!$D:$D,'Saldos Iniciales'!$A:$A,"SSP Capital")+SUMIFS(Movimientos!$K$1:$K$1325,Movimientos!$C$1:$C$1325,"SSP Capital",Movimientos!$B$1:$B$1325,"&lt;="&amp;$B143)</f>
        <v>1070478.5299999996</v>
      </c>
      <c r="H143" s="24">
        <f>SUMIFS('Saldos Iniciales'!$D:$D,'Saldos Iniciales'!$A:$A,"Cross Family Trust")+SUMIFS(Movimientos!$K$1:$K$1325,Movimientos!$C$1:$C$1325,"Cross Family Trust",Movimientos!$B$1:$B$1325,"&lt;="&amp;$B143)</f>
        <v>229778.14</v>
      </c>
      <c r="I143" s="24">
        <f>SUMIFS('Saldos Iniciales'!$D:$D,'Saldos Iniciales'!$A:$A,"Cross Security Trust")+SUMIFS(Movimientos!$K$1:$K$1325,Movimientos!$C$1:$C$1325,"Cross Security Trust",Movimientos!$B$1:$B$1325,"&lt;="&amp;$B143)</f>
        <v>98173.499999999985</v>
      </c>
      <c r="J143" s="24">
        <f>SUMIFS('Saldos Iniciales'!$D:$D,'Saldos Iniciales'!$A:$A,"Electrama")+SUMIFS(Movimientos!$K$1:$K$1325,Movimientos!$C$1:$C$1325,"Electrama",Movimientos!$B$1:$B$1325,"&lt;="&amp;$B143)</f>
        <v>11744.75</v>
      </c>
      <c r="K143" s="24">
        <f>SUMIFS('Saldos Iniciales'!$D:$D,'Saldos Iniciales'!$A:$A,"Sacred Valley Capital")+SUMIFS(Movimientos!$K$1:$K$1325,Movimientos!$C$1:$C$1325,"Sacred Valley Capital",Movimientos!$B$1:$B$1325,"&lt;="&amp;$B143)</f>
        <v>94.5</v>
      </c>
      <c r="L143" s="24">
        <f>SUMIFS('Saldos Iniciales'!$D:$D,'Saldos Iniciales'!$A:$A,"YWC Capital")+SUMIFS(Movimientos!$K$1:$K$1325,Movimientos!$C$1:$C$1325,"YWC Capital",Movimientos!$B$1:$B$1325,"&lt;="&amp;$B143)</f>
        <v>2147.92</v>
      </c>
      <c r="M143" s="24">
        <f>SUMIFS('Saldos Iniciales'!$D:$D,'Saldos Iniciales'!$A:$A,"Soweto")+SUMIFS(Movimientos!$K$1:$K$1325,Movimientos!$C$1:$C$1325,"Soweto",Movimientos!$B$1:$B$1325,"&lt;="&amp;$B143)</f>
        <v>17895.290000000015</v>
      </c>
      <c r="N143" s="24">
        <f>SUMIFS('Saldos Iniciales'!$D:$D,'Saldos Iniciales'!$A:$A,"Green Stone Trust")+SUMIFS(Movimientos!$K$1:$K$1325,Movimientos!$C$1:$C$1325,"Green Stone Trust",Movimientos!$B$1:$B$1325,"&lt;="&amp;$B143)</f>
        <v>1968.99</v>
      </c>
      <c r="O143" s="24">
        <f>SUMIFS('Saldos Iniciales'!$D:$D,'Saldos Iniciales'!$A:$A,"EC Auto")+SUMIFS(Movimientos!$K$1:$K$1325,Movimientos!$C$1:$C$1325,"EC Auto",Movimientos!$B$1:$B$1325,"&lt;="&amp;$B143)</f>
        <v>901.34</v>
      </c>
      <c r="P143" s="24">
        <f>SUMIFS('Saldos Iniciales'!$D:$D,'Saldos Iniciales'!$A:$A,"Arbor Capital Properties")+SUMIFS(Movimientos!$K$1:$K$1325,Movimientos!$C$1:$C$1325,"Arbor Capital Properties",Movimientos!$B$1:$B$1325,"&lt;="&amp;$B143)</f>
        <v>1380.08</v>
      </c>
      <c r="Q143" s="24">
        <f>SUMIFS('Saldos Iniciales'!$D:$D,'Saldos Iniciales'!$A:$A,"2515 Overbrook")+SUMIFS(Movimientos!$K$1:$K$1325,Movimientos!$C$1:$C$1325,"2515 Overbrook",Movimientos!$B$1:$B$1325,"&lt;="&amp;$B143)</f>
        <v>30277.379999999961</v>
      </c>
      <c r="R143" s="24">
        <f>SUMIFS('Saldos Iniciales'!$D:$D,'Saldos Iniciales'!$A:$A,"112 Florida Ave")+SUMIFS(Movimientos!$K$1:$K$1325,Movimientos!$C$1:$C$1325,"112 Florida Ave",Movimientos!$B$1:$B$1325,"&lt;="&amp;$B143)</f>
        <v>16282.630000000006</v>
      </c>
      <c r="S143" s="24">
        <f>SUMIFS('Saldos Iniciales'!$D:$D,'Saldos Iniciales'!$A:$A,"3628 Thomas Ave")+SUMIFS(Movimientos!$K$1:$K$1325,Movimientos!$C$1:$C$1325,"3628 Thomas Ave",Movimientos!$B$1:$B$1325,"&lt;="&amp;$B143)</f>
        <v>13685.999999999996</v>
      </c>
      <c r="T143" s="24">
        <f>SUMIFS('Saldos Iniciales'!$D:$D,'Saldos Iniciales'!$A:$A,"Green Harbor Trust")+SUMIFS(Movimientos!$K$1:$K$1325,Movimientos!$C$1:$C$1325,"Green Harbor Trust",Movimientos!$B$1:$B$1325,"&lt;="&amp;$B143)</f>
        <v>345</v>
      </c>
      <c r="U143" s="24">
        <f>SUMIFS('Saldos Iniciales'!$D:$D,'Saldos Iniciales'!$A:$A,"Go Blue")+SUMIFS(Movimientos!$K$1:$K$1325,Movimientos!$C$1:$C$1325,"Go Blue",Movimientos!$B$1:$B$1325,"&lt;="&amp;$B143)</f>
        <v>16164.440000000002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LLC",Movimientos!$B$1:$B$1325,"&lt;="&amp;$B143))</f>
        <v>312415.12000000005</v>
      </c>
      <c r="W143" s="24">
        <f>IF(YEAR($B143)*100+MONTH($B143)&lt;--SUBSTITUTE(_xlfn.XLOOKUP("CFT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",Movimientos!$B$1:$B$1325,"&lt;="&amp;$B143))</f>
        <v>5445.57</v>
      </c>
      <c r="AC143" s="24" t="e">
        <f>IF(YEAR($B143)*100+MONTH($B143)&lt;--SUBSTITUTE(_xlfn.XLOOKUP("SYIP",'Saldos Iniciales'!$A:$A,'Saldos Iniciales'!$C:$C),"-",""),0,SUMIFS('Saldos Iniciales'!$D:$D,'Saldos Iniciales'!$A:$A,"SYIP")+SUMIFS(Movimientos!$K$1:$K$1325,Movimientos!$C$1:$C$1325,"SYIP",Movimientos!$B$1:$B$1325,"&lt;="&amp;$B143))</f>
        <v>#N/A</v>
      </c>
      <c r="AD143" s="24">
        <f>IF(YEAR($B143)*100+MONTH($B143)&lt;--SUBSTITUTE(_xlfn.XLOOKUP("Nobe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Aparments",Movimientos!$B$1:$B$1325,"&lt;="&amp;$B143))</f>
        <v>240356.58</v>
      </c>
      <c r="AE143" s="25" t="e">
        <f t="shared" si="6"/>
        <v>#N/A</v>
      </c>
    </row>
    <row r="144" spans="1:31" hidden="1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Group")+SUMIFS(Movimientos!$K$1:$K$1325,Movimientos!$C$1:$C$1325,"CFT Group",Movimientos!$B$1:$B$1325,"&lt;="&amp;$B144)</f>
        <v>2322320.2500000005</v>
      </c>
      <c r="D144" s="24">
        <f>SUMIFS('Saldos Iniciales'!$D:$D,'Saldos Iniciales'!$A:$A,"M1B")+SUMIFS(Movimientos!$K$1:$K$1325,Movimientos!$C$1:$C$1325,"M1B",Movimientos!$B$1:$B$1325,"&lt;="&amp;$B144)</f>
        <v>100486.46000000017</v>
      </c>
      <c r="E144" s="24">
        <f>SUMIFS('Saldos Iniciales'!$D:$D,'Saldos Iniciales'!$A:$A,"Durand")+SUMIFS(Movimientos!$K$1:$K$1325,Movimientos!$C$1:$C$1325,"Durand",Movimientos!$B$1:$B$1325,"&lt;="&amp;$B144)</f>
        <v>1669.89</v>
      </c>
      <c r="F144" s="24">
        <f>SUMIFS('Saldos Iniciales'!$D:$D,'Saldos Iniciales'!$A:$A,"A&amp;M Imports")+SUMIFS(Movimientos!$K$1:$K$1325,Movimientos!$C$1:$C$1325,"A&amp;M Imports",Movimientos!$B$1:$B$1325,"&lt;="&amp;$B144)</f>
        <v>1425534.64</v>
      </c>
      <c r="G144" s="24">
        <f>SUMIFS('Saldos Iniciales'!$D:$D,'Saldos Iniciales'!$A:$A,"SSP Capital")+SUMIFS(Movimientos!$K$1:$K$1325,Movimientos!$C$1:$C$1325,"SSP Capital",Movimientos!$B$1:$B$1325,"&lt;="&amp;$B144)</f>
        <v>1070478.5299999996</v>
      </c>
      <c r="H144" s="24">
        <f>SUMIFS('Saldos Iniciales'!$D:$D,'Saldos Iniciales'!$A:$A,"Cross Family Trust")+SUMIFS(Movimientos!$K$1:$K$1325,Movimientos!$C$1:$C$1325,"Cross Family Trust",Movimientos!$B$1:$B$1325,"&lt;="&amp;$B144)</f>
        <v>229778.14</v>
      </c>
      <c r="I144" s="24">
        <f>SUMIFS('Saldos Iniciales'!$D:$D,'Saldos Iniciales'!$A:$A,"Cross Security Trust")+SUMIFS(Movimientos!$K$1:$K$1325,Movimientos!$C$1:$C$1325,"Cross Security Trust",Movimientos!$B$1:$B$1325,"&lt;="&amp;$B144)</f>
        <v>98173.499999999985</v>
      </c>
      <c r="J144" s="24">
        <f>SUMIFS('Saldos Iniciales'!$D:$D,'Saldos Iniciales'!$A:$A,"Electrama")+SUMIFS(Movimientos!$K$1:$K$1325,Movimientos!$C$1:$C$1325,"Electrama",Movimientos!$B$1:$B$1325,"&lt;="&amp;$B144)</f>
        <v>11744.75</v>
      </c>
      <c r="K144" s="24">
        <f>SUMIFS('Saldos Iniciales'!$D:$D,'Saldos Iniciales'!$A:$A,"Sacred Valley Capital")+SUMIFS(Movimientos!$K$1:$K$1325,Movimientos!$C$1:$C$1325,"Sacred Valley Capital",Movimientos!$B$1:$B$1325,"&lt;="&amp;$B144)</f>
        <v>94.5</v>
      </c>
      <c r="L144" s="24">
        <f>SUMIFS('Saldos Iniciales'!$D:$D,'Saldos Iniciales'!$A:$A,"YWC Capital")+SUMIFS(Movimientos!$K$1:$K$1325,Movimientos!$C$1:$C$1325,"YWC Capital",Movimientos!$B$1:$B$1325,"&lt;="&amp;$B144)</f>
        <v>2147.92</v>
      </c>
      <c r="M144" s="24">
        <f>SUMIFS('Saldos Iniciales'!$D:$D,'Saldos Iniciales'!$A:$A,"Soweto")+SUMIFS(Movimientos!$K$1:$K$1325,Movimientos!$C$1:$C$1325,"Soweto",Movimientos!$B$1:$B$1325,"&lt;="&amp;$B144)</f>
        <v>17895.290000000015</v>
      </c>
      <c r="N144" s="24">
        <f>SUMIFS('Saldos Iniciales'!$D:$D,'Saldos Iniciales'!$A:$A,"Green Stone Trust")+SUMIFS(Movimientos!$K$1:$K$1325,Movimientos!$C$1:$C$1325,"Green Stone Trust",Movimientos!$B$1:$B$1325,"&lt;="&amp;$B144)</f>
        <v>1968.99</v>
      </c>
      <c r="O144" s="24">
        <f>SUMIFS('Saldos Iniciales'!$D:$D,'Saldos Iniciales'!$A:$A,"EC Auto")+SUMIFS(Movimientos!$K$1:$K$1325,Movimientos!$C$1:$C$1325,"EC Auto",Movimientos!$B$1:$B$1325,"&lt;="&amp;$B144)</f>
        <v>901.34</v>
      </c>
      <c r="P144" s="24">
        <f>SUMIFS('Saldos Iniciales'!$D:$D,'Saldos Iniciales'!$A:$A,"Arbor Capital Properties")+SUMIFS(Movimientos!$K$1:$K$1325,Movimientos!$C$1:$C$1325,"Arbor Capital Properties",Movimientos!$B$1:$B$1325,"&lt;="&amp;$B144)</f>
        <v>1380.08</v>
      </c>
      <c r="Q144" s="24">
        <f>SUMIFS('Saldos Iniciales'!$D:$D,'Saldos Iniciales'!$A:$A,"2515 Overbrook")+SUMIFS(Movimientos!$K$1:$K$1325,Movimientos!$C$1:$C$1325,"2515 Overbrook",Movimientos!$B$1:$B$1325,"&lt;="&amp;$B144)</f>
        <v>30277.379999999961</v>
      </c>
      <c r="R144" s="24">
        <f>SUMIFS('Saldos Iniciales'!$D:$D,'Saldos Iniciales'!$A:$A,"112 Florida Ave")+SUMIFS(Movimientos!$K$1:$K$1325,Movimientos!$C$1:$C$1325,"112 Florida Ave",Movimientos!$B$1:$B$1325,"&lt;="&amp;$B144)</f>
        <v>16282.630000000006</v>
      </c>
      <c r="S144" s="24">
        <f>SUMIFS('Saldos Iniciales'!$D:$D,'Saldos Iniciales'!$A:$A,"3628 Thomas Ave")+SUMIFS(Movimientos!$K$1:$K$1325,Movimientos!$C$1:$C$1325,"3628 Thomas Ave",Movimientos!$B$1:$B$1325,"&lt;="&amp;$B144)</f>
        <v>13685.999999999996</v>
      </c>
      <c r="T144" s="24">
        <f>SUMIFS('Saldos Iniciales'!$D:$D,'Saldos Iniciales'!$A:$A,"Green Harbor Trust")+SUMIFS(Movimientos!$K$1:$K$1325,Movimientos!$C$1:$C$1325,"Green Harbor Trust",Movimientos!$B$1:$B$1325,"&lt;="&amp;$B144)</f>
        <v>345</v>
      </c>
      <c r="U144" s="24">
        <f>SUMIFS('Saldos Iniciales'!$D:$D,'Saldos Iniciales'!$A:$A,"Go Blue")+SUMIFS(Movimientos!$K$1:$K$1325,Movimientos!$C$1:$C$1325,"Go Blue",Movimientos!$B$1:$B$1325,"&lt;="&amp;$B144)</f>
        <v>16164.440000000002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LLC",Movimientos!$B$1:$B$1325,"&lt;="&amp;$B144))</f>
        <v>312415.12000000005</v>
      </c>
      <c r="W144" s="24">
        <f>IF(YEAR($B144)*100+MONTH($B144)&lt;--SUBSTITUTE(_xlfn.XLOOKUP("CFT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",Movimientos!$B$1:$B$1325,"&lt;="&amp;$B144))</f>
        <v>5445.57</v>
      </c>
      <c r="AC144" s="24" t="e">
        <f>IF(YEAR($B144)*100+MONTH($B144)&lt;--SUBSTITUTE(_xlfn.XLOOKUP("SYIP",'Saldos Iniciales'!$A:$A,'Saldos Iniciales'!$C:$C),"-",""),0,SUMIFS('Saldos Iniciales'!$D:$D,'Saldos Iniciales'!$A:$A,"SYIP")+SUMIFS(Movimientos!$K$1:$K$1325,Movimientos!$C$1:$C$1325,"SYIP",Movimientos!$B$1:$B$1325,"&lt;="&amp;$B144))</f>
        <v>#N/A</v>
      </c>
      <c r="AD144" s="24">
        <f>IF(YEAR($B144)*100+MONTH($B144)&lt;--SUBSTITUTE(_xlfn.XLOOKUP("Nobe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Aparments",Movimientos!$B$1:$B$1325,"&lt;="&amp;$B144))</f>
        <v>240356.58</v>
      </c>
      <c r="AE144" s="25" t="e">
        <f t="shared" si="6"/>
        <v>#N/A</v>
      </c>
    </row>
    <row r="145" spans="1:31" hidden="1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Group")+SUMIFS(Movimientos!$K$1:$K$1325,Movimientos!$C$1:$C$1325,"CFT Group",Movimientos!$B$1:$B$1325,"&lt;="&amp;$B145)</f>
        <v>2322320.2500000005</v>
      </c>
      <c r="D145" s="24">
        <f>SUMIFS('Saldos Iniciales'!$D:$D,'Saldos Iniciales'!$A:$A,"M1B")+SUMIFS(Movimientos!$K$1:$K$1325,Movimientos!$C$1:$C$1325,"M1B",Movimientos!$B$1:$B$1325,"&lt;="&amp;$B145)</f>
        <v>100486.46000000017</v>
      </c>
      <c r="E145" s="24">
        <f>SUMIFS('Saldos Iniciales'!$D:$D,'Saldos Iniciales'!$A:$A,"Durand")+SUMIFS(Movimientos!$K$1:$K$1325,Movimientos!$C$1:$C$1325,"Durand",Movimientos!$B$1:$B$1325,"&lt;="&amp;$B145)</f>
        <v>1669.89</v>
      </c>
      <c r="F145" s="24">
        <f>SUMIFS('Saldos Iniciales'!$D:$D,'Saldos Iniciales'!$A:$A,"A&amp;M Imports")+SUMIFS(Movimientos!$K$1:$K$1325,Movimientos!$C$1:$C$1325,"A&amp;M Imports",Movimientos!$B$1:$B$1325,"&lt;="&amp;$B145)</f>
        <v>1453603.3599999999</v>
      </c>
      <c r="G145" s="24">
        <f>SUMIFS('Saldos Iniciales'!$D:$D,'Saldos Iniciales'!$A:$A,"SSP Capital")+SUMIFS(Movimientos!$K$1:$K$1325,Movimientos!$C$1:$C$1325,"SSP Capital",Movimientos!$B$1:$B$1325,"&lt;="&amp;$B145)</f>
        <v>1066496.7899999996</v>
      </c>
      <c r="H145" s="24">
        <f>SUMIFS('Saldos Iniciales'!$D:$D,'Saldos Iniciales'!$A:$A,"Cross Family Trust")+SUMIFS(Movimientos!$K$1:$K$1325,Movimientos!$C$1:$C$1325,"Cross Family Trust",Movimientos!$B$1:$B$1325,"&lt;="&amp;$B145)</f>
        <v>229778.14</v>
      </c>
      <c r="I145" s="24">
        <f>SUMIFS('Saldos Iniciales'!$D:$D,'Saldos Iniciales'!$A:$A,"Cross Security Trust")+SUMIFS(Movimientos!$K$1:$K$1325,Movimientos!$C$1:$C$1325,"Cross Security Trust",Movimientos!$B$1:$B$1325,"&lt;="&amp;$B145)</f>
        <v>98173.499999999985</v>
      </c>
      <c r="J145" s="24">
        <f>SUMIFS('Saldos Iniciales'!$D:$D,'Saldos Iniciales'!$A:$A,"Electrama")+SUMIFS(Movimientos!$K$1:$K$1325,Movimientos!$C$1:$C$1325,"Electrama",Movimientos!$B$1:$B$1325,"&lt;="&amp;$B145)</f>
        <v>11744.75</v>
      </c>
      <c r="K145" s="24">
        <f>SUMIFS('Saldos Iniciales'!$D:$D,'Saldos Iniciales'!$A:$A,"Sacred Valley Capital")+SUMIFS(Movimientos!$K$1:$K$1325,Movimientos!$C$1:$C$1325,"Sacred Valley Capital",Movimientos!$B$1:$B$1325,"&lt;="&amp;$B145)</f>
        <v>94.5</v>
      </c>
      <c r="L145" s="24">
        <f>SUMIFS('Saldos Iniciales'!$D:$D,'Saldos Iniciales'!$A:$A,"YWC Capital")+SUMIFS(Movimientos!$K$1:$K$1325,Movimientos!$C$1:$C$1325,"YWC Capital",Movimientos!$B$1:$B$1325,"&lt;="&amp;$B145)</f>
        <v>2147.92</v>
      </c>
      <c r="M145" s="24">
        <f>SUMIFS('Saldos Iniciales'!$D:$D,'Saldos Iniciales'!$A:$A,"Soweto")+SUMIFS(Movimientos!$K$1:$K$1325,Movimientos!$C$1:$C$1325,"Soweto",Movimientos!$B$1:$B$1325,"&lt;="&amp;$B145)</f>
        <v>17895.290000000015</v>
      </c>
      <c r="N145" s="24">
        <f>SUMIFS('Saldos Iniciales'!$D:$D,'Saldos Iniciales'!$A:$A,"Green Stone Trust")+SUMIFS(Movimientos!$K$1:$K$1325,Movimientos!$C$1:$C$1325,"Green Stone Trust",Movimientos!$B$1:$B$1325,"&lt;="&amp;$B145)</f>
        <v>1968.99</v>
      </c>
      <c r="O145" s="24">
        <f>SUMIFS('Saldos Iniciales'!$D:$D,'Saldos Iniciales'!$A:$A,"EC Auto")+SUMIFS(Movimientos!$K$1:$K$1325,Movimientos!$C$1:$C$1325,"EC Auto",Movimientos!$B$1:$B$1325,"&lt;="&amp;$B145)</f>
        <v>901.34</v>
      </c>
      <c r="P145" s="24">
        <f>SUMIFS('Saldos Iniciales'!$D:$D,'Saldos Iniciales'!$A:$A,"Arbor Capital Properties")+SUMIFS(Movimientos!$K$1:$K$1325,Movimientos!$C$1:$C$1325,"Arbor Capital Properties",Movimientos!$B$1:$B$1325,"&lt;="&amp;$B145)</f>
        <v>1380.08</v>
      </c>
      <c r="Q145" s="24">
        <f>SUMIFS('Saldos Iniciales'!$D:$D,'Saldos Iniciales'!$A:$A,"2515 Overbrook")+SUMIFS(Movimientos!$K$1:$K$1325,Movimientos!$C$1:$C$1325,"2515 Overbrook",Movimientos!$B$1:$B$1325,"&lt;="&amp;$B145)</f>
        <v>30277.379999999961</v>
      </c>
      <c r="R145" s="24">
        <f>SUMIFS('Saldos Iniciales'!$D:$D,'Saldos Iniciales'!$A:$A,"112 Florida Ave")+SUMIFS(Movimientos!$K$1:$K$1325,Movimientos!$C$1:$C$1325,"112 Florida Ave",Movimientos!$B$1:$B$1325,"&lt;="&amp;$B145)</f>
        <v>16282.630000000006</v>
      </c>
      <c r="S145" s="24">
        <f>SUMIFS('Saldos Iniciales'!$D:$D,'Saldos Iniciales'!$A:$A,"3628 Thomas Ave")+SUMIFS(Movimientos!$K$1:$K$1325,Movimientos!$C$1:$C$1325,"3628 Thomas Ave",Movimientos!$B$1:$B$1325,"&lt;="&amp;$B145)</f>
        <v>13685.999999999996</v>
      </c>
      <c r="T145" s="24">
        <f>SUMIFS('Saldos Iniciales'!$D:$D,'Saldos Iniciales'!$A:$A,"Green Harbor Trust")+SUMIFS(Movimientos!$K$1:$K$1325,Movimientos!$C$1:$C$1325,"Green Harbor Trust",Movimientos!$B$1:$B$1325,"&lt;="&amp;$B145)</f>
        <v>345</v>
      </c>
      <c r="U145" s="24">
        <f>SUMIFS('Saldos Iniciales'!$D:$D,'Saldos Iniciales'!$A:$A,"Go Blue")+SUMIFS(Movimientos!$K$1:$K$1325,Movimientos!$C$1:$C$1325,"Go Blue",Movimientos!$B$1:$B$1325,"&lt;="&amp;$B145)</f>
        <v>15392.970000000001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LLC",Movimientos!$B$1:$B$1325,"&lt;="&amp;$B145))</f>
        <v>312415.12000000005</v>
      </c>
      <c r="W145" s="24">
        <f>IF(YEAR($B145)*100+MONTH($B145)&lt;--SUBSTITUTE(_xlfn.XLOOKUP("CFT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",Movimientos!$B$1:$B$1325,"&lt;="&amp;$B145))</f>
        <v>5445.57</v>
      </c>
      <c r="AC145" s="24" t="e">
        <f>IF(YEAR($B145)*100+MONTH($B145)&lt;--SUBSTITUTE(_xlfn.XLOOKUP("SYIP",'Saldos Iniciales'!$A:$A,'Saldos Iniciales'!$C:$C),"-",""),0,SUMIFS('Saldos Iniciales'!$D:$D,'Saldos Iniciales'!$A:$A,"SYIP")+SUMIFS(Movimientos!$K$1:$K$1325,Movimientos!$C$1:$C$1325,"SYIP",Movimientos!$B$1:$B$1325,"&lt;="&amp;$B145))</f>
        <v>#N/A</v>
      </c>
      <c r="AD145" s="24">
        <f>IF(YEAR($B145)*100+MONTH($B145)&lt;--SUBSTITUTE(_xlfn.XLOOKUP("Nobe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Aparments",Movimientos!$B$1:$B$1325,"&lt;="&amp;$B145))</f>
        <v>239950.84</v>
      </c>
      <c r="AE145" s="25" t="e">
        <f t="shared" si="6"/>
        <v>#N/A</v>
      </c>
    </row>
    <row r="146" spans="1:31" hidden="1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Group")+SUMIFS(Movimientos!$K$1:$K$1325,Movimientos!$C$1:$C$1325,"CFT Group",Movimientos!$B$1:$B$1325,"&lt;="&amp;$B146)</f>
        <v>2322320.2500000005</v>
      </c>
      <c r="D146" s="24">
        <f>SUMIFS('Saldos Iniciales'!$D:$D,'Saldos Iniciales'!$A:$A,"M1B")+SUMIFS(Movimientos!$K$1:$K$1325,Movimientos!$C$1:$C$1325,"M1B",Movimientos!$B$1:$B$1325,"&lt;="&amp;$B146)</f>
        <v>100486.46000000017</v>
      </c>
      <c r="E146" s="24">
        <f>SUMIFS('Saldos Iniciales'!$D:$D,'Saldos Iniciales'!$A:$A,"Durand")+SUMIFS(Movimientos!$K$1:$K$1325,Movimientos!$C$1:$C$1325,"Durand",Movimientos!$B$1:$B$1325,"&lt;="&amp;$B146)</f>
        <v>1669.89</v>
      </c>
      <c r="F146" s="24">
        <f>SUMIFS('Saldos Iniciales'!$D:$D,'Saldos Iniciales'!$A:$A,"A&amp;M Imports")+SUMIFS(Movimientos!$K$1:$K$1325,Movimientos!$C$1:$C$1325,"A&amp;M Imports",Movimientos!$B$1:$B$1325,"&lt;="&amp;$B146)</f>
        <v>1453603.3599999999</v>
      </c>
      <c r="G146" s="24">
        <f>SUMIFS('Saldos Iniciales'!$D:$D,'Saldos Iniciales'!$A:$A,"SSP Capital")+SUMIFS(Movimientos!$K$1:$K$1325,Movimientos!$C$1:$C$1325,"SSP Capital",Movimientos!$B$1:$B$1325,"&lt;="&amp;$B146)</f>
        <v>1065733.7999999996</v>
      </c>
      <c r="H146" s="24">
        <f>SUMIFS('Saldos Iniciales'!$D:$D,'Saldos Iniciales'!$A:$A,"Cross Family Trust")+SUMIFS(Movimientos!$K$1:$K$1325,Movimientos!$C$1:$C$1325,"Cross Family Trust",Movimientos!$B$1:$B$1325,"&lt;="&amp;$B146)</f>
        <v>229778.14</v>
      </c>
      <c r="I146" s="24">
        <f>SUMIFS('Saldos Iniciales'!$D:$D,'Saldos Iniciales'!$A:$A,"Cross Security Trust")+SUMIFS(Movimientos!$K$1:$K$1325,Movimientos!$C$1:$C$1325,"Cross Security Trust",Movimientos!$B$1:$B$1325,"&lt;="&amp;$B146)</f>
        <v>98173.499999999985</v>
      </c>
      <c r="J146" s="24">
        <f>SUMIFS('Saldos Iniciales'!$D:$D,'Saldos Iniciales'!$A:$A,"Electrama")+SUMIFS(Movimientos!$K$1:$K$1325,Movimientos!$C$1:$C$1325,"Electrama",Movimientos!$B$1:$B$1325,"&lt;="&amp;$B146)</f>
        <v>11744.75</v>
      </c>
      <c r="K146" s="24">
        <f>SUMIFS('Saldos Iniciales'!$D:$D,'Saldos Iniciales'!$A:$A,"Sacred Valley Capital")+SUMIFS(Movimientos!$K$1:$K$1325,Movimientos!$C$1:$C$1325,"Sacred Valley Capital",Movimientos!$B$1:$B$1325,"&lt;="&amp;$B146)</f>
        <v>94.5</v>
      </c>
      <c r="L146" s="24">
        <f>SUMIFS('Saldos Iniciales'!$D:$D,'Saldos Iniciales'!$A:$A,"YWC Capital")+SUMIFS(Movimientos!$K$1:$K$1325,Movimientos!$C$1:$C$1325,"YWC Capital",Movimientos!$B$1:$B$1325,"&lt;="&amp;$B146)</f>
        <v>2147.92</v>
      </c>
      <c r="M146" s="24">
        <f>SUMIFS('Saldos Iniciales'!$D:$D,'Saldos Iniciales'!$A:$A,"Soweto")+SUMIFS(Movimientos!$K$1:$K$1325,Movimientos!$C$1:$C$1325,"Soweto",Movimientos!$B$1:$B$1325,"&lt;="&amp;$B146)</f>
        <v>17895.290000000015</v>
      </c>
      <c r="N146" s="24">
        <f>SUMIFS('Saldos Iniciales'!$D:$D,'Saldos Iniciales'!$A:$A,"Green Stone Trust")+SUMIFS(Movimientos!$K$1:$K$1325,Movimientos!$C$1:$C$1325,"Green Stone Trust",Movimientos!$B$1:$B$1325,"&lt;="&amp;$B146)</f>
        <v>1968.99</v>
      </c>
      <c r="O146" s="24">
        <f>SUMIFS('Saldos Iniciales'!$D:$D,'Saldos Iniciales'!$A:$A,"EC Auto")+SUMIFS(Movimientos!$K$1:$K$1325,Movimientos!$C$1:$C$1325,"EC Auto",Movimientos!$B$1:$B$1325,"&lt;="&amp;$B146)</f>
        <v>901.34</v>
      </c>
      <c r="P146" s="24">
        <f>SUMIFS('Saldos Iniciales'!$D:$D,'Saldos Iniciales'!$A:$A,"Arbor Capital Properties")+SUMIFS(Movimientos!$K$1:$K$1325,Movimientos!$C$1:$C$1325,"Arbor Capital Properties",Movimientos!$B$1:$B$1325,"&lt;="&amp;$B146)</f>
        <v>1380.08</v>
      </c>
      <c r="Q146" s="24">
        <f>SUMIFS('Saldos Iniciales'!$D:$D,'Saldos Iniciales'!$A:$A,"2515 Overbrook")+SUMIFS(Movimientos!$K$1:$K$1325,Movimientos!$C$1:$C$1325,"2515 Overbrook",Movimientos!$B$1:$B$1325,"&lt;="&amp;$B146)</f>
        <v>28714.879999999961</v>
      </c>
      <c r="R146" s="24">
        <f>SUMIFS('Saldos Iniciales'!$D:$D,'Saldos Iniciales'!$A:$A,"112 Florida Ave")+SUMIFS(Movimientos!$K$1:$K$1325,Movimientos!$C$1:$C$1325,"112 Florida Ave",Movimientos!$B$1:$B$1325,"&lt;="&amp;$B146)</f>
        <v>15162.600000000006</v>
      </c>
      <c r="S146" s="24">
        <f>SUMIFS('Saldos Iniciales'!$D:$D,'Saldos Iniciales'!$A:$A,"3628 Thomas Ave")+SUMIFS(Movimientos!$K$1:$K$1325,Movimientos!$C$1:$C$1325,"3628 Thomas Ave",Movimientos!$B$1:$B$1325,"&lt;="&amp;$B146)</f>
        <v>12937.859999999997</v>
      </c>
      <c r="T146" s="24">
        <f>SUMIFS('Saldos Iniciales'!$D:$D,'Saldos Iniciales'!$A:$A,"Green Harbor Trust")+SUMIFS(Movimientos!$K$1:$K$1325,Movimientos!$C$1:$C$1325,"Green Harbor Trust",Movimientos!$B$1:$B$1325,"&lt;="&amp;$B146)</f>
        <v>345</v>
      </c>
      <c r="U146" s="24">
        <f>SUMIFS('Saldos Iniciales'!$D:$D,'Saldos Iniciales'!$A:$A,"Go Blue")+SUMIFS(Movimientos!$K$1:$K$1325,Movimientos!$C$1:$C$1325,"Go Blue",Movimientos!$B$1:$B$1325,"&lt;="&amp;$B146)</f>
        <v>15392.970000000001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LLC",Movimientos!$B$1:$B$1325,"&lt;="&amp;$B146))</f>
        <v>312415.12000000005</v>
      </c>
      <c r="W146" s="24">
        <f>IF(YEAR($B146)*100+MONTH($B146)&lt;--SUBSTITUTE(_xlfn.XLOOKUP("CFT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",Movimientos!$B$1:$B$1325,"&lt;="&amp;$B146))</f>
        <v>5445.57</v>
      </c>
      <c r="AC146" s="24" t="e">
        <f>IF(YEAR($B146)*100+MONTH($B146)&lt;--SUBSTITUTE(_xlfn.XLOOKUP("SYIP",'Saldos Iniciales'!$A:$A,'Saldos Iniciales'!$C:$C),"-",""),0,SUMIFS('Saldos Iniciales'!$D:$D,'Saldos Iniciales'!$A:$A,"SYIP")+SUMIFS(Movimientos!$K$1:$K$1325,Movimientos!$C$1:$C$1325,"SYIP",Movimientos!$B$1:$B$1325,"&lt;="&amp;$B146))</f>
        <v>#N/A</v>
      </c>
      <c r="AD146" s="24">
        <f>IF(YEAR($B146)*100+MONTH($B146)&lt;--SUBSTITUTE(_xlfn.XLOOKUP("Nobe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Aparments",Movimientos!$B$1:$B$1325,"&lt;="&amp;$B146))</f>
        <v>234193.16999999998</v>
      </c>
      <c r="AE146" s="25" t="e">
        <f t="shared" si="6"/>
        <v>#N/A</v>
      </c>
    </row>
    <row r="147" spans="1:31" hidden="1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Group")+SUMIFS(Movimientos!$K$1:$K$1325,Movimientos!$C$1:$C$1325,"CFT Group",Movimientos!$B$1:$B$1325,"&lt;="&amp;$B147)</f>
        <v>2322320.2500000005</v>
      </c>
      <c r="D147" s="24">
        <f>SUMIFS('Saldos Iniciales'!$D:$D,'Saldos Iniciales'!$A:$A,"M1B")+SUMIFS(Movimientos!$K$1:$K$1325,Movimientos!$C$1:$C$1325,"M1B",Movimientos!$B$1:$B$1325,"&lt;="&amp;$B147)</f>
        <v>100486.46000000017</v>
      </c>
      <c r="E147" s="24">
        <f>SUMIFS('Saldos Iniciales'!$D:$D,'Saldos Iniciales'!$A:$A,"Durand")+SUMIFS(Movimientos!$K$1:$K$1325,Movimientos!$C$1:$C$1325,"Durand",Movimientos!$B$1:$B$1325,"&lt;="&amp;$B147)</f>
        <v>1669.89</v>
      </c>
      <c r="F147" s="24">
        <f>SUMIFS('Saldos Iniciales'!$D:$D,'Saldos Iniciales'!$A:$A,"A&amp;M Imports")+SUMIFS(Movimientos!$K$1:$K$1325,Movimientos!$C$1:$C$1325,"A&amp;M Imports",Movimientos!$B$1:$B$1325,"&lt;="&amp;$B147)</f>
        <v>1453603.3599999999</v>
      </c>
      <c r="G147" s="24">
        <f>SUMIFS('Saldos Iniciales'!$D:$D,'Saldos Iniciales'!$A:$A,"SSP Capital")+SUMIFS(Movimientos!$K$1:$K$1325,Movimientos!$C$1:$C$1325,"SSP Capital",Movimientos!$B$1:$B$1325,"&lt;="&amp;$B147)</f>
        <v>1065733.7999999996</v>
      </c>
      <c r="H147" s="24">
        <f>SUMIFS('Saldos Iniciales'!$D:$D,'Saldos Iniciales'!$A:$A,"Cross Family Trust")+SUMIFS(Movimientos!$K$1:$K$1325,Movimientos!$C$1:$C$1325,"Cross Family Trust",Movimientos!$B$1:$B$1325,"&lt;="&amp;$B147)</f>
        <v>229778.14</v>
      </c>
      <c r="I147" s="24">
        <f>SUMIFS('Saldos Iniciales'!$D:$D,'Saldos Iniciales'!$A:$A,"Cross Security Trust")+SUMIFS(Movimientos!$K$1:$K$1325,Movimientos!$C$1:$C$1325,"Cross Security Trust",Movimientos!$B$1:$B$1325,"&lt;="&amp;$B147)</f>
        <v>98173.499999999985</v>
      </c>
      <c r="J147" s="24">
        <f>SUMIFS('Saldos Iniciales'!$D:$D,'Saldos Iniciales'!$A:$A,"Electrama")+SUMIFS(Movimientos!$K$1:$K$1325,Movimientos!$C$1:$C$1325,"Electrama",Movimientos!$B$1:$B$1325,"&lt;="&amp;$B147)</f>
        <v>11744.75</v>
      </c>
      <c r="K147" s="24">
        <f>SUMIFS('Saldos Iniciales'!$D:$D,'Saldos Iniciales'!$A:$A,"Sacred Valley Capital")+SUMIFS(Movimientos!$K$1:$K$1325,Movimientos!$C$1:$C$1325,"Sacred Valley Capital",Movimientos!$B$1:$B$1325,"&lt;="&amp;$B147)</f>
        <v>94.5</v>
      </c>
      <c r="L147" s="24">
        <f>SUMIFS('Saldos Iniciales'!$D:$D,'Saldos Iniciales'!$A:$A,"YWC Capital")+SUMIFS(Movimientos!$K$1:$K$1325,Movimientos!$C$1:$C$1325,"YWC Capital",Movimientos!$B$1:$B$1325,"&lt;="&amp;$B147)</f>
        <v>2147.92</v>
      </c>
      <c r="M147" s="24">
        <f>SUMIFS('Saldos Iniciales'!$D:$D,'Saldos Iniciales'!$A:$A,"Soweto")+SUMIFS(Movimientos!$K$1:$K$1325,Movimientos!$C$1:$C$1325,"Soweto",Movimientos!$B$1:$B$1325,"&lt;="&amp;$B147)</f>
        <v>17895.290000000015</v>
      </c>
      <c r="N147" s="24">
        <f>SUMIFS('Saldos Iniciales'!$D:$D,'Saldos Iniciales'!$A:$A,"Green Stone Trust")+SUMIFS(Movimientos!$K$1:$K$1325,Movimientos!$C$1:$C$1325,"Green Stone Trust",Movimientos!$B$1:$B$1325,"&lt;="&amp;$B147)</f>
        <v>1968.99</v>
      </c>
      <c r="O147" s="24">
        <f>SUMIFS('Saldos Iniciales'!$D:$D,'Saldos Iniciales'!$A:$A,"EC Auto")+SUMIFS(Movimientos!$K$1:$K$1325,Movimientos!$C$1:$C$1325,"EC Auto",Movimientos!$B$1:$B$1325,"&lt;="&amp;$B147)</f>
        <v>901.34</v>
      </c>
      <c r="P147" s="24">
        <f>SUMIFS('Saldos Iniciales'!$D:$D,'Saldos Iniciales'!$A:$A,"Arbor Capital Properties")+SUMIFS(Movimientos!$K$1:$K$1325,Movimientos!$C$1:$C$1325,"Arbor Capital Properties",Movimientos!$B$1:$B$1325,"&lt;="&amp;$B147)</f>
        <v>1380.08</v>
      </c>
      <c r="Q147" s="24">
        <f>SUMIFS('Saldos Iniciales'!$D:$D,'Saldos Iniciales'!$A:$A,"2515 Overbrook")+SUMIFS(Movimientos!$K$1:$K$1325,Movimientos!$C$1:$C$1325,"2515 Overbrook",Movimientos!$B$1:$B$1325,"&lt;="&amp;$B147)</f>
        <v>28714.879999999961</v>
      </c>
      <c r="R147" s="24">
        <f>SUMIFS('Saldos Iniciales'!$D:$D,'Saldos Iniciales'!$A:$A,"112 Florida Ave")+SUMIFS(Movimientos!$K$1:$K$1325,Movimientos!$C$1:$C$1325,"112 Florida Ave",Movimientos!$B$1:$B$1325,"&lt;="&amp;$B147)</f>
        <v>15162.600000000006</v>
      </c>
      <c r="S147" s="24">
        <f>SUMIFS('Saldos Iniciales'!$D:$D,'Saldos Iniciales'!$A:$A,"3628 Thomas Ave")+SUMIFS(Movimientos!$K$1:$K$1325,Movimientos!$C$1:$C$1325,"3628 Thomas Ave",Movimientos!$B$1:$B$1325,"&lt;="&amp;$B147)</f>
        <v>12937.859999999997</v>
      </c>
      <c r="T147" s="24">
        <f>SUMIFS('Saldos Iniciales'!$D:$D,'Saldos Iniciales'!$A:$A,"Green Harbor Trust")+SUMIFS(Movimientos!$K$1:$K$1325,Movimientos!$C$1:$C$1325,"Green Harbor Trust",Movimientos!$B$1:$B$1325,"&lt;="&amp;$B147)</f>
        <v>345</v>
      </c>
      <c r="U147" s="24">
        <f>SUMIFS('Saldos Iniciales'!$D:$D,'Saldos Iniciales'!$A:$A,"Go Blue")+SUMIFS(Movimientos!$K$1:$K$1325,Movimientos!$C$1:$C$1325,"Go Blue",Movimientos!$B$1:$B$1325,"&lt;="&amp;$B147)</f>
        <v>15392.970000000001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LLC",Movimientos!$B$1:$B$1325,"&lt;="&amp;$B147))</f>
        <v>312415.12000000005</v>
      </c>
      <c r="W147" s="24">
        <f>IF(YEAR($B147)*100+MONTH($B147)&lt;--SUBSTITUTE(_xlfn.XLOOKUP("CFT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",Movimientos!$B$1:$B$1325,"&lt;="&amp;$B147))</f>
        <v>5445.57</v>
      </c>
      <c r="AC147" s="24" t="e">
        <f>IF(YEAR($B147)*100+MONTH($B147)&lt;--SUBSTITUTE(_xlfn.XLOOKUP("SYIP",'Saldos Iniciales'!$A:$A,'Saldos Iniciales'!$C:$C),"-",""),0,SUMIFS('Saldos Iniciales'!$D:$D,'Saldos Iniciales'!$A:$A,"SYIP")+SUMIFS(Movimientos!$K$1:$K$1325,Movimientos!$C$1:$C$1325,"SYIP",Movimientos!$B$1:$B$1325,"&lt;="&amp;$B147))</f>
        <v>#N/A</v>
      </c>
      <c r="AD147" s="24">
        <f>IF(YEAR($B147)*100+MONTH($B147)&lt;--SUBSTITUTE(_xlfn.XLOOKUP("Nobe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Aparments",Movimientos!$B$1:$B$1325,"&lt;="&amp;$B147))</f>
        <v>236093.16999999998</v>
      </c>
      <c r="AE147" s="25" t="e">
        <f t="shared" si="6"/>
        <v>#N/A</v>
      </c>
    </row>
    <row r="148" spans="1:31" hidden="1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Group")+SUMIFS(Movimientos!$K$1:$K$1325,Movimientos!$C$1:$C$1325,"CFT Group",Movimientos!$B$1:$B$1325,"&lt;="&amp;$B148)</f>
        <v>2322320.2500000005</v>
      </c>
      <c r="D148" s="24">
        <f>SUMIFS('Saldos Iniciales'!$D:$D,'Saldos Iniciales'!$A:$A,"M1B")+SUMIFS(Movimientos!$K$1:$K$1325,Movimientos!$C$1:$C$1325,"M1B",Movimientos!$B$1:$B$1325,"&lt;="&amp;$B148)</f>
        <v>100486.46000000017</v>
      </c>
      <c r="E148" s="24">
        <f>SUMIFS('Saldos Iniciales'!$D:$D,'Saldos Iniciales'!$A:$A,"Durand")+SUMIFS(Movimientos!$K$1:$K$1325,Movimientos!$C$1:$C$1325,"Durand",Movimientos!$B$1:$B$1325,"&lt;="&amp;$B148)</f>
        <v>1669.89</v>
      </c>
      <c r="F148" s="24">
        <f>SUMIFS('Saldos Iniciales'!$D:$D,'Saldos Iniciales'!$A:$A,"A&amp;M Imports")+SUMIFS(Movimientos!$K$1:$K$1325,Movimientos!$C$1:$C$1325,"A&amp;M Imports",Movimientos!$B$1:$B$1325,"&lt;="&amp;$B148)</f>
        <v>1453603.3599999999</v>
      </c>
      <c r="G148" s="24">
        <f>SUMIFS('Saldos Iniciales'!$D:$D,'Saldos Iniciales'!$A:$A,"SSP Capital")+SUMIFS(Movimientos!$K$1:$K$1325,Movimientos!$C$1:$C$1325,"SSP Capital",Movimientos!$B$1:$B$1325,"&lt;="&amp;$B148)</f>
        <v>1065733.7999999996</v>
      </c>
      <c r="H148" s="24">
        <f>SUMIFS('Saldos Iniciales'!$D:$D,'Saldos Iniciales'!$A:$A,"Cross Family Trust")+SUMIFS(Movimientos!$K$1:$K$1325,Movimientos!$C$1:$C$1325,"Cross Family Trust",Movimientos!$B$1:$B$1325,"&lt;="&amp;$B148)</f>
        <v>229778.14</v>
      </c>
      <c r="I148" s="24">
        <f>SUMIFS('Saldos Iniciales'!$D:$D,'Saldos Iniciales'!$A:$A,"Cross Security Trust")+SUMIFS(Movimientos!$K$1:$K$1325,Movimientos!$C$1:$C$1325,"Cross Security Trust",Movimientos!$B$1:$B$1325,"&lt;="&amp;$B148)</f>
        <v>98173.499999999985</v>
      </c>
      <c r="J148" s="24">
        <f>SUMIFS('Saldos Iniciales'!$D:$D,'Saldos Iniciales'!$A:$A,"Electrama")+SUMIFS(Movimientos!$K$1:$K$1325,Movimientos!$C$1:$C$1325,"Electrama",Movimientos!$B$1:$B$1325,"&lt;="&amp;$B148)</f>
        <v>11744.75</v>
      </c>
      <c r="K148" s="24">
        <f>SUMIFS('Saldos Iniciales'!$D:$D,'Saldos Iniciales'!$A:$A,"Sacred Valley Capital")+SUMIFS(Movimientos!$K$1:$K$1325,Movimientos!$C$1:$C$1325,"Sacred Valley Capital",Movimientos!$B$1:$B$1325,"&lt;="&amp;$B148)</f>
        <v>94.5</v>
      </c>
      <c r="L148" s="24">
        <f>SUMIFS('Saldos Iniciales'!$D:$D,'Saldos Iniciales'!$A:$A,"YWC Capital")+SUMIFS(Movimientos!$K$1:$K$1325,Movimientos!$C$1:$C$1325,"YWC Capital",Movimientos!$B$1:$B$1325,"&lt;="&amp;$B148)</f>
        <v>2147.92</v>
      </c>
      <c r="M148" s="24">
        <f>SUMIFS('Saldos Iniciales'!$D:$D,'Saldos Iniciales'!$A:$A,"Soweto")+SUMIFS(Movimientos!$K$1:$K$1325,Movimientos!$C$1:$C$1325,"Soweto",Movimientos!$B$1:$B$1325,"&lt;="&amp;$B148)</f>
        <v>17895.290000000015</v>
      </c>
      <c r="N148" s="24">
        <f>SUMIFS('Saldos Iniciales'!$D:$D,'Saldos Iniciales'!$A:$A,"Green Stone Trust")+SUMIFS(Movimientos!$K$1:$K$1325,Movimientos!$C$1:$C$1325,"Green Stone Trust",Movimientos!$B$1:$B$1325,"&lt;="&amp;$B148)</f>
        <v>1968.99</v>
      </c>
      <c r="O148" s="24">
        <f>SUMIFS('Saldos Iniciales'!$D:$D,'Saldos Iniciales'!$A:$A,"EC Auto")+SUMIFS(Movimientos!$K$1:$K$1325,Movimientos!$C$1:$C$1325,"EC Auto",Movimientos!$B$1:$B$1325,"&lt;="&amp;$B148)</f>
        <v>901.34</v>
      </c>
      <c r="P148" s="24">
        <f>SUMIFS('Saldos Iniciales'!$D:$D,'Saldos Iniciales'!$A:$A,"Arbor Capital Properties")+SUMIFS(Movimientos!$K$1:$K$1325,Movimientos!$C$1:$C$1325,"Arbor Capital Properties",Movimientos!$B$1:$B$1325,"&lt;="&amp;$B148)</f>
        <v>1380.08</v>
      </c>
      <c r="Q148" s="24">
        <f>SUMIFS('Saldos Iniciales'!$D:$D,'Saldos Iniciales'!$A:$A,"2515 Overbrook")+SUMIFS(Movimientos!$K$1:$K$1325,Movimientos!$C$1:$C$1325,"2515 Overbrook",Movimientos!$B$1:$B$1325,"&lt;="&amp;$B148)</f>
        <v>28714.879999999961</v>
      </c>
      <c r="R148" s="24">
        <f>SUMIFS('Saldos Iniciales'!$D:$D,'Saldos Iniciales'!$A:$A,"112 Florida Ave")+SUMIFS(Movimientos!$K$1:$K$1325,Movimientos!$C$1:$C$1325,"112 Florida Ave",Movimientos!$B$1:$B$1325,"&lt;="&amp;$B148)</f>
        <v>15162.600000000006</v>
      </c>
      <c r="S148" s="24">
        <f>SUMIFS('Saldos Iniciales'!$D:$D,'Saldos Iniciales'!$A:$A,"3628 Thomas Ave")+SUMIFS(Movimientos!$K$1:$K$1325,Movimientos!$C$1:$C$1325,"3628 Thomas Ave",Movimientos!$B$1:$B$1325,"&lt;="&amp;$B148)</f>
        <v>12937.859999999997</v>
      </c>
      <c r="T148" s="24">
        <f>SUMIFS('Saldos Iniciales'!$D:$D,'Saldos Iniciales'!$A:$A,"Green Harbor Trust")+SUMIFS(Movimientos!$K$1:$K$1325,Movimientos!$C$1:$C$1325,"Green Harbor Trust",Movimientos!$B$1:$B$1325,"&lt;="&amp;$B148)</f>
        <v>345</v>
      </c>
      <c r="U148" s="24">
        <f>SUMIFS('Saldos Iniciales'!$D:$D,'Saldos Iniciales'!$A:$A,"Go Blue")+SUMIFS(Movimientos!$K$1:$K$1325,Movimientos!$C$1:$C$1325,"Go Blue",Movimientos!$B$1:$B$1325,"&lt;="&amp;$B148)</f>
        <v>15392.970000000001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LLC",Movimientos!$B$1:$B$1325,"&lt;="&amp;$B148))</f>
        <v>312415.12000000005</v>
      </c>
      <c r="W148" s="24">
        <f>IF(YEAR($B148)*100+MONTH($B148)&lt;--SUBSTITUTE(_xlfn.XLOOKUP("CFT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",Movimientos!$B$1:$B$1325,"&lt;="&amp;$B148))</f>
        <v>5445.57</v>
      </c>
      <c r="AC148" s="24" t="e">
        <f>IF(YEAR($B148)*100+MONTH($B148)&lt;--SUBSTITUTE(_xlfn.XLOOKUP("SYIP",'Saldos Iniciales'!$A:$A,'Saldos Iniciales'!$C:$C),"-",""),0,SUMIFS('Saldos Iniciales'!$D:$D,'Saldos Iniciales'!$A:$A,"SYIP")+SUMIFS(Movimientos!$K$1:$K$1325,Movimientos!$C$1:$C$1325,"SYIP",Movimientos!$B$1:$B$1325,"&lt;="&amp;$B148))</f>
        <v>#N/A</v>
      </c>
      <c r="AD148" s="24">
        <f>IF(YEAR($B148)*100+MONTH($B148)&lt;--SUBSTITUTE(_xlfn.XLOOKUP("Nobe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Aparments",Movimientos!$B$1:$B$1325,"&lt;="&amp;$B148))</f>
        <v>236093.16999999998</v>
      </c>
      <c r="AE148" s="25" t="e">
        <f t="shared" si="6"/>
        <v>#N/A</v>
      </c>
    </row>
    <row r="149" spans="1:31" hidden="1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Group")+SUMIFS(Movimientos!$K$1:$K$1325,Movimientos!$C$1:$C$1325,"CFT Group",Movimientos!$B$1:$B$1325,"&lt;="&amp;$B149)</f>
        <v>1835826.1700000004</v>
      </c>
      <c r="D149" s="24">
        <f>SUMIFS('Saldos Iniciales'!$D:$D,'Saldos Iniciales'!$A:$A,"M1B")+SUMIFS(Movimientos!$K$1:$K$1325,Movimientos!$C$1:$C$1325,"M1B",Movimientos!$B$1:$B$1325,"&lt;="&amp;$B149)</f>
        <v>100486.46000000017</v>
      </c>
      <c r="E149" s="24">
        <f>SUMIFS('Saldos Iniciales'!$D:$D,'Saldos Iniciales'!$A:$A,"Durand")+SUMIFS(Movimientos!$K$1:$K$1325,Movimientos!$C$1:$C$1325,"Durand",Movimientos!$B$1:$B$1325,"&lt;="&amp;$B149)</f>
        <v>1669.89</v>
      </c>
      <c r="F149" s="24">
        <f>SUMIFS('Saldos Iniciales'!$D:$D,'Saldos Iniciales'!$A:$A,"A&amp;M Imports")+SUMIFS(Movimientos!$K$1:$K$1325,Movimientos!$C$1:$C$1325,"A&amp;M Imports",Movimientos!$B$1:$B$1325,"&lt;="&amp;$B149)</f>
        <v>1313603.3599999999</v>
      </c>
      <c r="G149" s="24">
        <f>SUMIFS('Saldos Iniciales'!$D:$D,'Saldos Iniciales'!$A:$A,"SSP Capital")+SUMIFS(Movimientos!$K$1:$K$1325,Movimientos!$C$1:$C$1325,"SSP Capital",Movimientos!$B$1:$B$1325,"&lt;="&amp;$B149)</f>
        <v>1350091.6599999997</v>
      </c>
      <c r="H149" s="24">
        <f>SUMIFS('Saldos Iniciales'!$D:$D,'Saldos Iniciales'!$A:$A,"Cross Family Trust")+SUMIFS(Movimientos!$K$1:$K$1325,Movimientos!$C$1:$C$1325,"Cross Family Trust",Movimientos!$B$1:$B$1325,"&lt;="&amp;$B149)</f>
        <v>229778.14</v>
      </c>
      <c r="I149" s="24">
        <f>SUMIFS('Saldos Iniciales'!$D:$D,'Saldos Iniciales'!$A:$A,"Cross Security Trust")+SUMIFS(Movimientos!$K$1:$K$1325,Movimientos!$C$1:$C$1325,"Cross Security Trust",Movimientos!$B$1:$B$1325,"&lt;="&amp;$B149)</f>
        <v>98173.499999999985</v>
      </c>
      <c r="J149" s="24">
        <f>SUMIFS('Saldos Iniciales'!$D:$D,'Saldos Iniciales'!$A:$A,"Electrama")+SUMIFS(Movimientos!$K$1:$K$1325,Movimientos!$C$1:$C$1325,"Electrama",Movimientos!$B$1:$B$1325,"&lt;="&amp;$B149)</f>
        <v>11744.75</v>
      </c>
      <c r="K149" s="24">
        <f>SUMIFS('Saldos Iniciales'!$D:$D,'Saldos Iniciales'!$A:$A,"Sacred Valley Capital")+SUMIFS(Movimientos!$K$1:$K$1325,Movimientos!$C$1:$C$1325,"Sacred Valley Capital",Movimientos!$B$1:$B$1325,"&lt;="&amp;$B149)</f>
        <v>94.5</v>
      </c>
      <c r="L149" s="24">
        <f>SUMIFS('Saldos Iniciales'!$D:$D,'Saldos Iniciales'!$A:$A,"YWC Capital")+SUMIFS(Movimientos!$K$1:$K$1325,Movimientos!$C$1:$C$1325,"YWC Capital",Movimientos!$B$1:$B$1325,"&lt;="&amp;$B149)</f>
        <v>2147.92</v>
      </c>
      <c r="M149" s="24">
        <f>SUMIFS('Saldos Iniciales'!$D:$D,'Saldos Iniciales'!$A:$A,"Soweto")+SUMIFS(Movimientos!$K$1:$K$1325,Movimientos!$C$1:$C$1325,"Soweto",Movimientos!$B$1:$B$1325,"&lt;="&amp;$B149)</f>
        <v>17895.290000000015</v>
      </c>
      <c r="N149" s="24">
        <f>SUMIFS('Saldos Iniciales'!$D:$D,'Saldos Iniciales'!$A:$A,"Green Stone Trust")+SUMIFS(Movimientos!$K$1:$K$1325,Movimientos!$C$1:$C$1325,"Green Stone Trust",Movimientos!$B$1:$B$1325,"&lt;="&amp;$B149)</f>
        <v>1968.99</v>
      </c>
      <c r="O149" s="24">
        <f>SUMIFS('Saldos Iniciales'!$D:$D,'Saldos Iniciales'!$A:$A,"EC Auto")+SUMIFS(Movimientos!$K$1:$K$1325,Movimientos!$C$1:$C$1325,"EC Auto",Movimientos!$B$1:$B$1325,"&lt;="&amp;$B149)</f>
        <v>901.34</v>
      </c>
      <c r="P149" s="24">
        <f>SUMIFS('Saldos Iniciales'!$D:$D,'Saldos Iniciales'!$A:$A,"Arbor Capital Properties")+SUMIFS(Movimientos!$K$1:$K$1325,Movimientos!$C$1:$C$1325,"Arbor Capital Properties",Movimientos!$B$1:$B$1325,"&lt;="&amp;$B149)</f>
        <v>1380.08</v>
      </c>
      <c r="Q149" s="24">
        <f>SUMIFS('Saldos Iniciales'!$D:$D,'Saldos Iniciales'!$A:$A,"2515 Overbrook")+SUMIFS(Movimientos!$K$1:$K$1325,Movimientos!$C$1:$C$1325,"2515 Overbrook",Movimientos!$B$1:$B$1325,"&lt;="&amp;$B149)</f>
        <v>28714.879999999961</v>
      </c>
      <c r="R149" s="24">
        <f>SUMIFS('Saldos Iniciales'!$D:$D,'Saldos Iniciales'!$A:$A,"112 Florida Ave")+SUMIFS(Movimientos!$K$1:$K$1325,Movimientos!$C$1:$C$1325,"112 Florida Ave",Movimientos!$B$1:$B$1325,"&lt;="&amp;$B149)</f>
        <v>23389.690000000006</v>
      </c>
      <c r="S149" s="24">
        <f>SUMIFS('Saldos Iniciales'!$D:$D,'Saldos Iniciales'!$A:$A,"3628 Thomas Ave")+SUMIFS(Movimientos!$K$1:$K$1325,Movimientos!$C$1:$C$1325,"3628 Thomas Ave",Movimientos!$B$1:$B$1325,"&lt;="&amp;$B149)</f>
        <v>16896.059999999998</v>
      </c>
      <c r="T149" s="24">
        <f>SUMIFS('Saldos Iniciales'!$D:$D,'Saldos Iniciales'!$A:$A,"Green Harbor Trust")+SUMIFS(Movimientos!$K$1:$K$1325,Movimientos!$C$1:$C$1325,"Green Harbor Trust",Movimientos!$B$1:$B$1325,"&lt;="&amp;$B149)</f>
        <v>345</v>
      </c>
      <c r="U149" s="24">
        <f>SUMIFS('Saldos Iniciales'!$D:$D,'Saldos Iniciales'!$A:$A,"Go Blue")+SUMIFS(Movimientos!$K$1:$K$1325,Movimientos!$C$1:$C$1325,"Go Blue",Movimientos!$B$1:$B$1325,"&lt;="&amp;$B149)</f>
        <v>12252.970000000001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LLC",Movimientos!$B$1:$B$1325,"&lt;="&amp;$B149))</f>
        <v>312314.37000000005</v>
      </c>
      <c r="W149" s="24">
        <f>IF(YEAR($B149)*100+MONTH($B149)&lt;--SUBSTITUTE(_xlfn.XLOOKUP("CFT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",Movimientos!$B$1:$B$1325,"&lt;="&amp;$B149))</f>
        <v>5445.57</v>
      </c>
      <c r="AC149" s="24" t="e">
        <f>IF(YEAR($B149)*100+MONTH($B149)&lt;--SUBSTITUTE(_xlfn.XLOOKUP("SYIP",'Saldos Iniciales'!$A:$A,'Saldos Iniciales'!$C:$C),"-",""),0,SUMIFS('Saldos Iniciales'!$D:$D,'Saldos Iniciales'!$A:$A,"SYIP")+SUMIFS(Movimientos!$K$1:$K$1325,Movimientos!$C$1:$C$1325,"SYIP",Movimientos!$B$1:$B$1325,"&lt;="&amp;$B149))</f>
        <v>#N/A</v>
      </c>
      <c r="AD149" s="24">
        <f>IF(YEAR($B149)*100+MONTH($B149)&lt;--SUBSTITUTE(_xlfn.XLOOKUP("Nobe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Aparments",Movimientos!$B$1:$B$1325,"&lt;="&amp;$B149))</f>
        <v>236033.16999999998</v>
      </c>
      <c r="AE149" s="25" t="e">
        <f t="shared" si="6"/>
        <v>#N/A</v>
      </c>
    </row>
    <row r="150" spans="1:31" hidden="1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Group")+SUMIFS(Movimientos!$K$1:$K$1325,Movimientos!$C$1:$C$1325,"CFT Group",Movimientos!$B$1:$B$1325,"&lt;="&amp;$B150)</f>
        <v>1835826.1700000004</v>
      </c>
      <c r="D150" s="24">
        <f>SUMIFS('Saldos Iniciales'!$D:$D,'Saldos Iniciales'!$A:$A,"M1B")+SUMIFS(Movimientos!$K$1:$K$1325,Movimientos!$C$1:$C$1325,"M1B",Movimientos!$B$1:$B$1325,"&lt;="&amp;$B150)</f>
        <v>100486.46000000017</v>
      </c>
      <c r="E150" s="24">
        <f>SUMIFS('Saldos Iniciales'!$D:$D,'Saldos Iniciales'!$A:$A,"Durand")+SUMIFS(Movimientos!$K$1:$K$1325,Movimientos!$C$1:$C$1325,"Durand",Movimientos!$B$1:$B$1325,"&lt;="&amp;$B150)</f>
        <v>1669.89</v>
      </c>
      <c r="F150" s="24">
        <f>SUMIFS('Saldos Iniciales'!$D:$D,'Saldos Iniciales'!$A:$A,"A&amp;M Imports")+SUMIFS(Movimientos!$K$1:$K$1325,Movimientos!$C$1:$C$1325,"A&amp;M Imports",Movimientos!$B$1:$B$1325,"&lt;="&amp;$B150)</f>
        <v>1313603.3599999999</v>
      </c>
      <c r="G150" s="24">
        <f>SUMIFS('Saldos Iniciales'!$D:$D,'Saldos Iniciales'!$A:$A,"SSP Capital")+SUMIFS(Movimientos!$K$1:$K$1325,Movimientos!$C$1:$C$1325,"SSP Capital",Movimientos!$B$1:$B$1325,"&lt;="&amp;$B150)</f>
        <v>1350091.6599999997</v>
      </c>
      <c r="H150" s="24">
        <f>SUMIFS('Saldos Iniciales'!$D:$D,'Saldos Iniciales'!$A:$A,"Cross Family Trust")+SUMIFS(Movimientos!$K$1:$K$1325,Movimientos!$C$1:$C$1325,"Cross Family Trust",Movimientos!$B$1:$B$1325,"&lt;="&amp;$B150)</f>
        <v>229778.14</v>
      </c>
      <c r="I150" s="24">
        <f>SUMIFS('Saldos Iniciales'!$D:$D,'Saldos Iniciales'!$A:$A,"Cross Security Trust")+SUMIFS(Movimientos!$K$1:$K$1325,Movimientos!$C$1:$C$1325,"Cross Security Trust",Movimientos!$B$1:$B$1325,"&lt;="&amp;$B150)</f>
        <v>98173.499999999985</v>
      </c>
      <c r="J150" s="24">
        <f>SUMIFS('Saldos Iniciales'!$D:$D,'Saldos Iniciales'!$A:$A,"Electrama")+SUMIFS(Movimientos!$K$1:$K$1325,Movimientos!$C$1:$C$1325,"Electrama",Movimientos!$B$1:$B$1325,"&lt;="&amp;$B150)</f>
        <v>11744.75</v>
      </c>
      <c r="K150" s="24">
        <f>SUMIFS('Saldos Iniciales'!$D:$D,'Saldos Iniciales'!$A:$A,"Sacred Valley Capital")+SUMIFS(Movimientos!$K$1:$K$1325,Movimientos!$C$1:$C$1325,"Sacred Valley Capital",Movimientos!$B$1:$B$1325,"&lt;="&amp;$B150)</f>
        <v>94.5</v>
      </c>
      <c r="L150" s="24">
        <f>SUMIFS('Saldos Iniciales'!$D:$D,'Saldos Iniciales'!$A:$A,"YWC Capital")+SUMIFS(Movimientos!$K$1:$K$1325,Movimientos!$C$1:$C$1325,"YWC Capital",Movimientos!$B$1:$B$1325,"&lt;="&amp;$B150)</f>
        <v>2147.92</v>
      </c>
      <c r="M150" s="24">
        <f>SUMIFS('Saldos Iniciales'!$D:$D,'Saldos Iniciales'!$A:$A,"Soweto")+SUMIFS(Movimientos!$K$1:$K$1325,Movimientos!$C$1:$C$1325,"Soweto",Movimientos!$B$1:$B$1325,"&lt;="&amp;$B150)</f>
        <v>17895.290000000015</v>
      </c>
      <c r="N150" s="24">
        <f>SUMIFS('Saldos Iniciales'!$D:$D,'Saldos Iniciales'!$A:$A,"Green Stone Trust")+SUMIFS(Movimientos!$K$1:$K$1325,Movimientos!$C$1:$C$1325,"Green Stone Trust",Movimientos!$B$1:$B$1325,"&lt;="&amp;$B150)</f>
        <v>1968.99</v>
      </c>
      <c r="O150" s="24">
        <f>SUMIFS('Saldos Iniciales'!$D:$D,'Saldos Iniciales'!$A:$A,"EC Auto")+SUMIFS(Movimientos!$K$1:$K$1325,Movimientos!$C$1:$C$1325,"EC Auto",Movimientos!$B$1:$B$1325,"&lt;="&amp;$B150)</f>
        <v>901.34</v>
      </c>
      <c r="P150" s="24">
        <f>SUMIFS('Saldos Iniciales'!$D:$D,'Saldos Iniciales'!$A:$A,"Arbor Capital Properties")+SUMIFS(Movimientos!$K$1:$K$1325,Movimientos!$C$1:$C$1325,"Arbor Capital Properties",Movimientos!$B$1:$B$1325,"&lt;="&amp;$B150)</f>
        <v>1380.08</v>
      </c>
      <c r="Q150" s="24">
        <f>SUMIFS('Saldos Iniciales'!$D:$D,'Saldos Iniciales'!$A:$A,"2515 Overbrook")+SUMIFS(Movimientos!$K$1:$K$1325,Movimientos!$C$1:$C$1325,"2515 Overbrook",Movimientos!$B$1:$B$1325,"&lt;="&amp;$B150)</f>
        <v>28714.879999999961</v>
      </c>
      <c r="R150" s="24">
        <f>SUMIFS('Saldos Iniciales'!$D:$D,'Saldos Iniciales'!$A:$A,"112 Florida Ave")+SUMIFS(Movimientos!$K$1:$K$1325,Movimientos!$C$1:$C$1325,"112 Florida Ave",Movimientos!$B$1:$B$1325,"&lt;="&amp;$B150)</f>
        <v>23389.690000000006</v>
      </c>
      <c r="S150" s="24">
        <f>SUMIFS('Saldos Iniciales'!$D:$D,'Saldos Iniciales'!$A:$A,"3628 Thomas Ave")+SUMIFS(Movimientos!$K$1:$K$1325,Movimientos!$C$1:$C$1325,"3628 Thomas Ave",Movimientos!$B$1:$B$1325,"&lt;="&amp;$B150)</f>
        <v>16896.059999999998</v>
      </c>
      <c r="T150" s="24">
        <f>SUMIFS('Saldos Iniciales'!$D:$D,'Saldos Iniciales'!$A:$A,"Green Harbor Trust")+SUMIFS(Movimientos!$K$1:$K$1325,Movimientos!$C$1:$C$1325,"Green Harbor Trust",Movimientos!$B$1:$B$1325,"&lt;="&amp;$B150)</f>
        <v>345</v>
      </c>
      <c r="U150" s="24">
        <f>SUMIFS('Saldos Iniciales'!$D:$D,'Saldos Iniciales'!$A:$A,"Go Blue")+SUMIFS(Movimientos!$K$1:$K$1325,Movimientos!$C$1:$C$1325,"Go Blue",Movimientos!$B$1:$B$1325,"&lt;="&amp;$B150)</f>
        <v>12252.970000000001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LLC",Movimientos!$B$1:$B$1325,"&lt;="&amp;$B150))</f>
        <v>312314.37000000005</v>
      </c>
      <c r="W150" s="24">
        <f>IF(YEAR($B150)*100+MONTH($B150)&lt;--SUBSTITUTE(_xlfn.XLOOKUP("CFT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",Movimientos!$B$1:$B$1325,"&lt;="&amp;$B150))</f>
        <v>5445.57</v>
      </c>
      <c r="AC150" s="24" t="e">
        <f>IF(YEAR($B150)*100+MONTH($B150)&lt;--SUBSTITUTE(_xlfn.XLOOKUP("SYIP",'Saldos Iniciales'!$A:$A,'Saldos Iniciales'!$C:$C),"-",""),0,SUMIFS('Saldos Iniciales'!$D:$D,'Saldos Iniciales'!$A:$A,"SYIP")+SUMIFS(Movimientos!$K$1:$K$1325,Movimientos!$C$1:$C$1325,"SYIP",Movimientos!$B$1:$B$1325,"&lt;="&amp;$B150))</f>
        <v>#N/A</v>
      </c>
      <c r="AD150" s="24">
        <f>IF(YEAR($B150)*100+MONTH($B150)&lt;--SUBSTITUTE(_xlfn.XLOOKUP("Nobe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Aparments",Movimientos!$B$1:$B$1325,"&lt;="&amp;$B150))</f>
        <v>236033.16999999998</v>
      </c>
      <c r="AE150" s="25" t="e">
        <f t="shared" si="6"/>
        <v>#N/A</v>
      </c>
    </row>
    <row r="151" spans="1:31" hidden="1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Group")+SUMIFS(Movimientos!$K$1:$K$1325,Movimientos!$C$1:$C$1325,"CFT Group",Movimientos!$B$1:$B$1325,"&lt;="&amp;$B151)</f>
        <v>1835826.1700000004</v>
      </c>
      <c r="D151" s="24">
        <f>SUMIFS('Saldos Iniciales'!$D:$D,'Saldos Iniciales'!$A:$A,"M1B")+SUMIFS(Movimientos!$K$1:$K$1325,Movimientos!$C$1:$C$1325,"M1B",Movimientos!$B$1:$B$1325,"&lt;="&amp;$B151)</f>
        <v>100486.46000000017</v>
      </c>
      <c r="E151" s="24">
        <f>SUMIFS('Saldos Iniciales'!$D:$D,'Saldos Iniciales'!$A:$A,"Durand")+SUMIFS(Movimientos!$K$1:$K$1325,Movimientos!$C$1:$C$1325,"Durand",Movimientos!$B$1:$B$1325,"&lt;="&amp;$B151)</f>
        <v>1669.89</v>
      </c>
      <c r="F151" s="24">
        <f>SUMIFS('Saldos Iniciales'!$D:$D,'Saldos Iniciales'!$A:$A,"A&amp;M Imports")+SUMIFS(Movimientos!$K$1:$K$1325,Movimientos!$C$1:$C$1325,"A&amp;M Imports",Movimientos!$B$1:$B$1325,"&lt;="&amp;$B151)</f>
        <v>1313603.3599999999</v>
      </c>
      <c r="G151" s="24">
        <f>SUMIFS('Saldos Iniciales'!$D:$D,'Saldos Iniciales'!$A:$A,"SSP Capital")+SUMIFS(Movimientos!$K$1:$K$1325,Movimientos!$C$1:$C$1325,"SSP Capital",Movimientos!$B$1:$B$1325,"&lt;="&amp;$B151)</f>
        <v>1350091.6599999997</v>
      </c>
      <c r="H151" s="24">
        <f>SUMIFS('Saldos Iniciales'!$D:$D,'Saldos Iniciales'!$A:$A,"Cross Family Trust")+SUMIFS(Movimientos!$K$1:$K$1325,Movimientos!$C$1:$C$1325,"Cross Family Trust",Movimientos!$B$1:$B$1325,"&lt;="&amp;$B151)</f>
        <v>229778.14</v>
      </c>
      <c r="I151" s="24">
        <f>SUMIFS('Saldos Iniciales'!$D:$D,'Saldos Iniciales'!$A:$A,"Cross Security Trust")+SUMIFS(Movimientos!$K$1:$K$1325,Movimientos!$C$1:$C$1325,"Cross Security Trust",Movimientos!$B$1:$B$1325,"&lt;="&amp;$B151)</f>
        <v>98173.499999999985</v>
      </c>
      <c r="J151" s="24">
        <f>SUMIFS('Saldos Iniciales'!$D:$D,'Saldos Iniciales'!$A:$A,"Electrama")+SUMIFS(Movimientos!$K$1:$K$1325,Movimientos!$C$1:$C$1325,"Electrama",Movimientos!$B$1:$B$1325,"&lt;="&amp;$B151)</f>
        <v>11744.75</v>
      </c>
      <c r="K151" s="24">
        <f>SUMIFS('Saldos Iniciales'!$D:$D,'Saldos Iniciales'!$A:$A,"Sacred Valley Capital")+SUMIFS(Movimientos!$K$1:$K$1325,Movimientos!$C$1:$C$1325,"Sacred Valley Capital",Movimientos!$B$1:$B$1325,"&lt;="&amp;$B151)</f>
        <v>94.5</v>
      </c>
      <c r="L151" s="24">
        <f>SUMIFS('Saldos Iniciales'!$D:$D,'Saldos Iniciales'!$A:$A,"YWC Capital")+SUMIFS(Movimientos!$K$1:$K$1325,Movimientos!$C$1:$C$1325,"YWC Capital",Movimientos!$B$1:$B$1325,"&lt;="&amp;$B151)</f>
        <v>2147.92</v>
      </c>
      <c r="M151" s="24">
        <f>SUMIFS('Saldos Iniciales'!$D:$D,'Saldos Iniciales'!$A:$A,"Soweto")+SUMIFS(Movimientos!$K$1:$K$1325,Movimientos!$C$1:$C$1325,"Soweto",Movimientos!$B$1:$B$1325,"&lt;="&amp;$B151)</f>
        <v>17895.290000000015</v>
      </c>
      <c r="N151" s="24">
        <f>SUMIFS('Saldos Iniciales'!$D:$D,'Saldos Iniciales'!$A:$A,"Green Stone Trust")+SUMIFS(Movimientos!$K$1:$K$1325,Movimientos!$C$1:$C$1325,"Green Stone Trust",Movimientos!$B$1:$B$1325,"&lt;="&amp;$B151)</f>
        <v>1968.99</v>
      </c>
      <c r="O151" s="24">
        <f>SUMIFS('Saldos Iniciales'!$D:$D,'Saldos Iniciales'!$A:$A,"EC Auto")+SUMIFS(Movimientos!$K$1:$K$1325,Movimientos!$C$1:$C$1325,"EC Auto",Movimientos!$B$1:$B$1325,"&lt;="&amp;$B151)</f>
        <v>901.34</v>
      </c>
      <c r="P151" s="24">
        <f>SUMIFS('Saldos Iniciales'!$D:$D,'Saldos Iniciales'!$A:$A,"Arbor Capital Properties")+SUMIFS(Movimientos!$K$1:$K$1325,Movimientos!$C$1:$C$1325,"Arbor Capital Properties",Movimientos!$B$1:$B$1325,"&lt;="&amp;$B151)</f>
        <v>1380.08</v>
      </c>
      <c r="Q151" s="24">
        <f>SUMIFS('Saldos Iniciales'!$D:$D,'Saldos Iniciales'!$A:$A,"2515 Overbrook")+SUMIFS(Movimientos!$K$1:$K$1325,Movimientos!$C$1:$C$1325,"2515 Overbrook",Movimientos!$B$1:$B$1325,"&lt;="&amp;$B151)</f>
        <v>28714.879999999961</v>
      </c>
      <c r="R151" s="24">
        <f>SUMIFS('Saldos Iniciales'!$D:$D,'Saldos Iniciales'!$A:$A,"112 Florida Ave")+SUMIFS(Movimientos!$K$1:$K$1325,Movimientos!$C$1:$C$1325,"112 Florida Ave",Movimientos!$B$1:$B$1325,"&lt;="&amp;$B151)</f>
        <v>23389.690000000006</v>
      </c>
      <c r="S151" s="24">
        <f>SUMIFS('Saldos Iniciales'!$D:$D,'Saldos Iniciales'!$A:$A,"3628 Thomas Ave")+SUMIFS(Movimientos!$K$1:$K$1325,Movimientos!$C$1:$C$1325,"3628 Thomas Ave",Movimientos!$B$1:$B$1325,"&lt;="&amp;$B151)</f>
        <v>16896.059999999998</v>
      </c>
      <c r="T151" s="24">
        <f>SUMIFS('Saldos Iniciales'!$D:$D,'Saldos Iniciales'!$A:$A,"Green Harbor Trust")+SUMIFS(Movimientos!$K$1:$K$1325,Movimientos!$C$1:$C$1325,"Green Harbor Trust",Movimientos!$B$1:$B$1325,"&lt;="&amp;$B151)</f>
        <v>345</v>
      </c>
      <c r="U151" s="24">
        <f>SUMIFS('Saldos Iniciales'!$D:$D,'Saldos Iniciales'!$A:$A,"Go Blue")+SUMIFS(Movimientos!$K$1:$K$1325,Movimientos!$C$1:$C$1325,"Go Blue",Movimientos!$B$1:$B$1325,"&lt;="&amp;$B151)</f>
        <v>12252.970000000001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LLC",Movimientos!$B$1:$B$1325,"&lt;="&amp;$B151))</f>
        <v>312314.37000000005</v>
      </c>
      <c r="W151" s="24">
        <f>IF(YEAR($B151)*100+MONTH($B151)&lt;--SUBSTITUTE(_xlfn.XLOOKUP("CFT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",Movimientos!$B$1:$B$1325,"&lt;="&amp;$B151))</f>
        <v>5445.57</v>
      </c>
      <c r="AC151" s="24" t="e">
        <f>IF(YEAR($B151)*100+MONTH($B151)&lt;--SUBSTITUTE(_xlfn.XLOOKUP("SYIP",'Saldos Iniciales'!$A:$A,'Saldos Iniciales'!$C:$C),"-",""),0,SUMIFS('Saldos Iniciales'!$D:$D,'Saldos Iniciales'!$A:$A,"SYIP")+SUMIFS(Movimientos!$K$1:$K$1325,Movimientos!$C$1:$C$1325,"SYIP",Movimientos!$B$1:$B$1325,"&lt;="&amp;$B151))</f>
        <v>#N/A</v>
      </c>
      <c r="AD151" s="24">
        <f>IF(YEAR($B151)*100+MONTH($B151)&lt;--SUBSTITUTE(_xlfn.XLOOKUP("Nobe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Aparments",Movimientos!$B$1:$B$1325,"&lt;="&amp;$B151))</f>
        <v>236033.16999999998</v>
      </c>
      <c r="AE151" s="25" t="e">
        <f t="shared" si="6"/>
        <v>#N/A</v>
      </c>
    </row>
    <row r="152" spans="1:31" hidden="1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Group")+SUMIFS(Movimientos!$K$1:$K$1325,Movimientos!$C$1:$C$1325,"CFT Group",Movimientos!$B$1:$B$1325,"&lt;="&amp;$B152)</f>
        <v>1843622.6700000004</v>
      </c>
      <c r="D152" s="24">
        <f>SUMIFS('Saldos Iniciales'!$D:$D,'Saldos Iniciales'!$A:$A,"M1B")+SUMIFS(Movimientos!$K$1:$K$1325,Movimientos!$C$1:$C$1325,"M1B",Movimientos!$B$1:$B$1325,"&lt;="&amp;$B152)</f>
        <v>100486.46000000017</v>
      </c>
      <c r="E152" s="24">
        <f>SUMIFS('Saldos Iniciales'!$D:$D,'Saldos Iniciales'!$A:$A,"Durand")+SUMIFS(Movimientos!$K$1:$K$1325,Movimientos!$C$1:$C$1325,"Durand",Movimientos!$B$1:$B$1325,"&lt;="&amp;$B152)</f>
        <v>1669.89</v>
      </c>
      <c r="F152" s="24">
        <f>SUMIFS('Saldos Iniciales'!$D:$D,'Saldos Iniciales'!$A:$A,"A&amp;M Imports")+SUMIFS(Movimientos!$K$1:$K$1325,Movimientos!$C$1:$C$1325,"A&amp;M Imports",Movimientos!$B$1:$B$1325,"&lt;="&amp;$B152)</f>
        <v>1330582.2599999998</v>
      </c>
      <c r="G152" s="24">
        <f>SUMIFS('Saldos Iniciales'!$D:$D,'Saldos Iniciales'!$A:$A,"SSP Capital")+SUMIFS(Movimientos!$K$1:$K$1325,Movimientos!$C$1:$C$1325,"SSP Capital",Movimientos!$B$1:$B$1325,"&lt;="&amp;$B152)</f>
        <v>1350091.6599999997</v>
      </c>
      <c r="H152" s="24">
        <f>SUMIFS('Saldos Iniciales'!$D:$D,'Saldos Iniciales'!$A:$A,"Cross Family Trust")+SUMIFS(Movimientos!$K$1:$K$1325,Movimientos!$C$1:$C$1325,"Cross Family Trust",Movimientos!$B$1:$B$1325,"&lt;="&amp;$B152)</f>
        <v>229778.14</v>
      </c>
      <c r="I152" s="24">
        <f>SUMIFS('Saldos Iniciales'!$D:$D,'Saldos Iniciales'!$A:$A,"Cross Security Trust")+SUMIFS(Movimientos!$K$1:$K$1325,Movimientos!$C$1:$C$1325,"Cross Security Trust",Movimientos!$B$1:$B$1325,"&lt;="&amp;$B152)</f>
        <v>98173.499999999985</v>
      </c>
      <c r="J152" s="24">
        <f>SUMIFS('Saldos Iniciales'!$D:$D,'Saldos Iniciales'!$A:$A,"Electrama")+SUMIFS(Movimientos!$K$1:$K$1325,Movimientos!$C$1:$C$1325,"Electrama",Movimientos!$B$1:$B$1325,"&lt;="&amp;$B152)</f>
        <v>11744.75</v>
      </c>
      <c r="K152" s="24">
        <f>SUMIFS('Saldos Iniciales'!$D:$D,'Saldos Iniciales'!$A:$A,"Sacred Valley Capital")+SUMIFS(Movimientos!$K$1:$K$1325,Movimientos!$C$1:$C$1325,"Sacred Valley Capital",Movimientos!$B$1:$B$1325,"&lt;="&amp;$B152)</f>
        <v>94.5</v>
      </c>
      <c r="L152" s="24">
        <f>SUMIFS('Saldos Iniciales'!$D:$D,'Saldos Iniciales'!$A:$A,"YWC Capital")+SUMIFS(Movimientos!$K$1:$K$1325,Movimientos!$C$1:$C$1325,"YWC Capital",Movimientos!$B$1:$B$1325,"&lt;="&amp;$B152)</f>
        <v>2147.92</v>
      </c>
      <c r="M152" s="24">
        <f>SUMIFS('Saldos Iniciales'!$D:$D,'Saldos Iniciales'!$A:$A,"Soweto")+SUMIFS(Movimientos!$K$1:$K$1325,Movimientos!$C$1:$C$1325,"Soweto",Movimientos!$B$1:$B$1325,"&lt;="&amp;$B152)</f>
        <v>17895.290000000015</v>
      </c>
      <c r="N152" s="24">
        <f>SUMIFS('Saldos Iniciales'!$D:$D,'Saldos Iniciales'!$A:$A,"Green Stone Trust")+SUMIFS(Movimientos!$K$1:$K$1325,Movimientos!$C$1:$C$1325,"Green Stone Trust",Movimientos!$B$1:$B$1325,"&lt;="&amp;$B152)</f>
        <v>1968.99</v>
      </c>
      <c r="O152" s="24">
        <f>SUMIFS('Saldos Iniciales'!$D:$D,'Saldos Iniciales'!$A:$A,"EC Auto")+SUMIFS(Movimientos!$K$1:$K$1325,Movimientos!$C$1:$C$1325,"EC Auto",Movimientos!$B$1:$B$1325,"&lt;="&amp;$B152)</f>
        <v>901.34</v>
      </c>
      <c r="P152" s="24">
        <f>SUMIFS('Saldos Iniciales'!$D:$D,'Saldos Iniciales'!$A:$A,"Arbor Capital Properties")+SUMIFS(Movimientos!$K$1:$K$1325,Movimientos!$C$1:$C$1325,"Arbor Capital Properties",Movimientos!$B$1:$B$1325,"&lt;="&amp;$B152)</f>
        <v>1380.08</v>
      </c>
      <c r="Q152" s="24">
        <f>SUMIFS('Saldos Iniciales'!$D:$D,'Saldos Iniciales'!$A:$A,"2515 Overbrook")+SUMIFS(Movimientos!$K$1:$K$1325,Movimientos!$C$1:$C$1325,"2515 Overbrook",Movimientos!$B$1:$B$1325,"&lt;="&amp;$B152)</f>
        <v>28714.879999999961</v>
      </c>
      <c r="R152" s="24">
        <f>SUMIFS('Saldos Iniciales'!$D:$D,'Saldos Iniciales'!$A:$A,"112 Florida Ave")+SUMIFS(Movimientos!$K$1:$K$1325,Movimientos!$C$1:$C$1325,"112 Florida Ave",Movimientos!$B$1:$B$1325,"&lt;="&amp;$B152)</f>
        <v>23374.690000000006</v>
      </c>
      <c r="S152" s="24">
        <f>SUMIFS('Saldos Iniciales'!$D:$D,'Saldos Iniciales'!$A:$A,"3628 Thomas Ave")+SUMIFS(Movimientos!$K$1:$K$1325,Movimientos!$C$1:$C$1325,"3628 Thomas Ave",Movimientos!$B$1:$B$1325,"&lt;="&amp;$B152)</f>
        <v>16266.809999999998</v>
      </c>
      <c r="T152" s="24">
        <f>SUMIFS('Saldos Iniciales'!$D:$D,'Saldos Iniciales'!$A:$A,"Green Harbor Trust")+SUMIFS(Movimientos!$K$1:$K$1325,Movimientos!$C$1:$C$1325,"Green Harbor Trust",Movimientos!$B$1:$B$1325,"&lt;="&amp;$B152)</f>
        <v>345</v>
      </c>
      <c r="U152" s="24">
        <f>SUMIFS('Saldos Iniciales'!$D:$D,'Saldos Iniciales'!$A:$A,"Go Blue")+SUMIFS(Movimientos!$K$1:$K$1325,Movimientos!$C$1:$C$1325,"Go Blue",Movimientos!$B$1:$B$1325,"&lt;="&amp;$B152)</f>
        <v>12252.970000000001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LLC",Movimientos!$B$1:$B$1325,"&lt;="&amp;$B152))</f>
        <v>312314.37000000005</v>
      </c>
      <c r="W152" s="24">
        <f>IF(YEAR($B152)*100+MONTH($B152)&lt;--SUBSTITUTE(_xlfn.XLOOKUP("CFT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",Movimientos!$B$1:$B$1325,"&lt;="&amp;$B152))</f>
        <v>5445.57</v>
      </c>
      <c r="AC152" s="24" t="e">
        <f>IF(YEAR($B152)*100+MONTH($B152)&lt;--SUBSTITUTE(_xlfn.XLOOKUP("SYIP",'Saldos Iniciales'!$A:$A,'Saldos Iniciales'!$C:$C),"-",""),0,SUMIFS('Saldos Iniciales'!$D:$D,'Saldos Iniciales'!$A:$A,"SYIP")+SUMIFS(Movimientos!$K$1:$K$1325,Movimientos!$C$1:$C$1325,"SYIP",Movimientos!$B$1:$B$1325,"&lt;="&amp;$B152))</f>
        <v>#N/A</v>
      </c>
      <c r="AD152" s="24">
        <f>IF(YEAR($B152)*100+MONTH($B152)&lt;--SUBSTITUTE(_xlfn.XLOOKUP("Nobe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Aparments",Movimientos!$B$1:$B$1325,"&lt;="&amp;$B152))</f>
        <v>237883.16999999998</v>
      </c>
      <c r="AE152" s="25" t="e">
        <f t="shared" si="6"/>
        <v>#N/A</v>
      </c>
    </row>
    <row r="153" spans="1:31" hidden="1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Group")+SUMIFS(Movimientos!$K$1:$K$1325,Movimientos!$C$1:$C$1325,"CFT Group",Movimientos!$B$1:$B$1325,"&lt;="&amp;$B153)</f>
        <v>1840829.6400000004</v>
      </c>
      <c r="D153" s="24">
        <f>SUMIFS('Saldos Iniciales'!$D:$D,'Saldos Iniciales'!$A:$A,"M1B")+SUMIFS(Movimientos!$K$1:$K$1325,Movimientos!$C$1:$C$1325,"M1B",Movimientos!$B$1:$B$1325,"&lt;="&amp;$B153)</f>
        <v>100486.46000000017</v>
      </c>
      <c r="E153" s="24">
        <f>SUMIFS('Saldos Iniciales'!$D:$D,'Saldos Iniciales'!$A:$A,"Durand")+SUMIFS(Movimientos!$K$1:$K$1325,Movimientos!$C$1:$C$1325,"Durand",Movimientos!$B$1:$B$1325,"&lt;="&amp;$B153)</f>
        <v>1669.89</v>
      </c>
      <c r="F153" s="24">
        <f>SUMIFS('Saldos Iniciales'!$D:$D,'Saldos Iniciales'!$A:$A,"A&amp;M Imports")+SUMIFS(Movimientos!$K$1:$K$1325,Movimientos!$C$1:$C$1325,"A&amp;M Imports",Movimientos!$B$1:$B$1325,"&lt;="&amp;$B153)</f>
        <v>1330582.2599999998</v>
      </c>
      <c r="G153" s="24">
        <f>SUMIFS('Saldos Iniciales'!$D:$D,'Saldos Iniciales'!$A:$A,"SSP Capital")+SUMIFS(Movimientos!$K$1:$K$1325,Movimientos!$C$1:$C$1325,"SSP Capital",Movimientos!$B$1:$B$1325,"&lt;="&amp;$B153)</f>
        <v>1180932.1499999997</v>
      </c>
      <c r="H153" s="24">
        <f>SUMIFS('Saldos Iniciales'!$D:$D,'Saldos Iniciales'!$A:$A,"Cross Family Trust")+SUMIFS(Movimientos!$K$1:$K$1325,Movimientos!$C$1:$C$1325,"Cross Family Trust",Movimientos!$B$1:$B$1325,"&lt;="&amp;$B153)</f>
        <v>229778.14</v>
      </c>
      <c r="I153" s="24">
        <f>SUMIFS('Saldos Iniciales'!$D:$D,'Saldos Iniciales'!$A:$A,"Cross Security Trust")+SUMIFS(Movimientos!$K$1:$K$1325,Movimientos!$C$1:$C$1325,"Cross Security Trust",Movimientos!$B$1:$B$1325,"&lt;="&amp;$B153)</f>
        <v>98173.499999999985</v>
      </c>
      <c r="J153" s="24">
        <f>SUMIFS('Saldos Iniciales'!$D:$D,'Saldos Iniciales'!$A:$A,"Electrama")+SUMIFS(Movimientos!$K$1:$K$1325,Movimientos!$C$1:$C$1325,"Electrama",Movimientos!$B$1:$B$1325,"&lt;="&amp;$B153)</f>
        <v>10474.32</v>
      </c>
      <c r="K153" s="24">
        <f>SUMIFS('Saldos Iniciales'!$D:$D,'Saldos Iniciales'!$A:$A,"Sacred Valley Capital")+SUMIFS(Movimientos!$K$1:$K$1325,Movimientos!$C$1:$C$1325,"Sacred Valley Capital",Movimientos!$B$1:$B$1325,"&lt;="&amp;$B153)</f>
        <v>94.5</v>
      </c>
      <c r="L153" s="24">
        <f>SUMIFS('Saldos Iniciales'!$D:$D,'Saldos Iniciales'!$A:$A,"YWC Capital")+SUMIFS(Movimientos!$K$1:$K$1325,Movimientos!$C$1:$C$1325,"YWC Capital",Movimientos!$B$1:$B$1325,"&lt;="&amp;$B153)</f>
        <v>2147.92</v>
      </c>
      <c r="M153" s="24">
        <f>SUMIFS('Saldos Iniciales'!$D:$D,'Saldos Iniciales'!$A:$A,"Soweto")+SUMIFS(Movimientos!$K$1:$K$1325,Movimientos!$C$1:$C$1325,"Soweto",Movimientos!$B$1:$B$1325,"&lt;="&amp;$B153)</f>
        <v>17895.290000000015</v>
      </c>
      <c r="N153" s="24">
        <f>SUMIFS('Saldos Iniciales'!$D:$D,'Saldos Iniciales'!$A:$A,"Green Stone Trust")+SUMIFS(Movimientos!$K$1:$K$1325,Movimientos!$C$1:$C$1325,"Green Stone Trust",Movimientos!$B$1:$B$1325,"&lt;="&amp;$B153)</f>
        <v>1968.99</v>
      </c>
      <c r="O153" s="24">
        <f>SUMIFS('Saldos Iniciales'!$D:$D,'Saldos Iniciales'!$A:$A,"EC Auto")+SUMIFS(Movimientos!$K$1:$K$1325,Movimientos!$C$1:$C$1325,"EC Auto",Movimientos!$B$1:$B$1325,"&lt;="&amp;$B153)</f>
        <v>901.34</v>
      </c>
      <c r="P153" s="24">
        <f>SUMIFS('Saldos Iniciales'!$D:$D,'Saldos Iniciales'!$A:$A,"Arbor Capital Properties")+SUMIFS(Movimientos!$K$1:$K$1325,Movimientos!$C$1:$C$1325,"Arbor Capital Properties",Movimientos!$B$1:$B$1325,"&lt;="&amp;$B153)</f>
        <v>1380.08</v>
      </c>
      <c r="Q153" s="24">
        <f>SUMIFS('Saldos Iniciales'!$D:$D,'Saldos Iniciales'!$A:$A,"2515 Overbrook")+SUMIFS(Movimientos!$K$1:$K$1325,Movimientos!$C$1:$C$1325,"2515 Overbrook",Movimientos!$B$1:$B$1325,"&lt;="&amp;$B153)</f>
        <v>28714.879999999961</v>
      </c>
      <c r="R153" s="24">
        <f>SUMIFS('Saldos Iniciales'!$D:$D,'Saldos Iniciales'!$A:$A,"112 Florida Ave")+SUMIFS(Movimientos!$K$1:$K$1325,Movimientos!$C$1:$C$1325,"112 Florida Ave",Movimientos!$B$1:$B$1325,"&lt;="&amp;$B153)</f>
        <v>23374.690000000006</v>
      </c>
      <c r="S153" s="24">
        <f>SUMIFS('Saldos Iniciales'!$D:$D,'Saldos Iniciales'!$A:$A,"3628 Thomas Ave")+SUMIFS(Movimientos!$K$1:$K$1325,Movimientos!$C$1:$C$1325,"3628 Thomas Ave",Movimientos!$B$1:$B$1325,"&lt;="&amp;$B153)</f>
        <v>19266.809999999998</v>
      </c>
      <c r="T153" s="24">
        <f>SUMIFS('Saldos Iniciales'!$D:$D,'Saldos Iniciales'!$A:$A,"Green Harbor Trust")+SUMIFS(Movimientos!$K$1:$K$1325,Movimientos!$C$1:$C$1325,"Green Harbor Trust",Movimientos!$B$1:$B$1325,"&lt;="&amp;$B153)</f>
        <v>345</v>
      </c>
      <c r="U153" s="24">
        <f>SUMIFS('Saldos Iniciales'!$D:$D,'Saldos Iniciales'!$A:$A,"Go Blue")+SUMIFS(Movimientos!$K$1:$K$1325,Movimientos!$C$1:$C$1325,"Go Blue",Movimientos!$B$1:$B$1325,"&lt;="&amp;$B153)</f>
        <v>12252.970000000001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LLC",Movimientos!$B$1:$B$1325,"&lt;="&amp;$B153))</f>
        <v>312314.37000000005</v>
      </c>
      <c r="W153" s="24">
        <f>IF(YEAR($B153)*100+MONTH($B153)&lt;--SUBSTITUTE(_xlfn.XLOOKUP("CFT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",Movimientos!$B$1:$B$1325,"&lt;="&amp;$B153))</f>
        <v>5445.57</v>
      </c>
      <c r="AC153" s="24" t="e">
        <f>IF(YEAR($B153)*100+MONTH($B153)&lt;--SUBSTITUTE(_xlfn.XLOOKUP("SYIP",'Saldos Iniciales'!$A:$A,'Saldos Iniciales'!$C:$C),"-",""),0,SUMIFS('Saldos Iniciales'!$D:$D,'Saldos Iniciales'!$A:$A,"SYIP")+SUMIFS(Movimientos!$K$1:$K$1325,Movimientos!$C$1:$C$1325,"SYIP",Movimientos!$B$1:$B$1325,"&lt;="&amp;$B153))</f>
        <v>#N/A</v>
      </c>
      <c r="AD153" s="24">
        <f>IF(YEAR($B153)*100+MONTH($B153)&lt;--SUBSTITUTE(_xlfn.XLOOKUP("Nobe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Aparments",Movimientos!$B$1:$B$1325,"&lt;="&amp;$B153))</f>
        <v>239523.16999999998</v>
      </c>
      <c r="AE153" s="25" t="e">
        <f t="shared" si="6"/>
        <v>#N/A</v>
      </c>
    </row>
    <row r="154" spans="1:31" collapsed="1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Group")+SUMIFS(Movimientos!$K$1:$K$1325,Movimientos!$C$1:$C$1325,"CFT Group",Movimientos!$B$1:$B$1325,"&lt;="&amp;$B154)</f>
        <v>1926823.6500000004</v>
      </c>
      <c r="D154" s="24">
        <f>SUMIFS('Saldos Iniciales'!$D:$D,'Saldos Iniciales'!$A:$A,"M1B")+SUMIFS(Movimientos!$K$1:$K$1325,Movimientos!$C$1:$C$1325,"M1B",Movimientos!$B$1:$B$1325,"&lt;="&amp;$B154)</f>
        <v>103123.59000000017</v>
      </c>
      <c r="E154" s="24">
        <f>SUMIFS('Saldos Iniciales'!$D:$D,'Saldos Iniciales'!$A:$A,"Durand")+SUMIFS(Movimientos!$K$1:$K$1325,Movimientos!$C$1:$C$1325,"Durand",Movimientos!$B$1:$B$1325,"&lt;="&amp;$B154)</f>
        <v>1669.89</v>
      </c>
      <c r="F154" s="24">
        <f>SUMIFS('Saldos Iniciales'!$D:$D,'Saldos Iniciales'!$A:$A,"A&amp;M Imports")+SUMIFS(Movimientos!$K$1:$K$1325,Movimientos!$C$1:$C$1325,"A&amp;M Imports",Movimientos!$B$1:$B$1325,"&lt;="&amp;$B154)</f>
        <v>1355779.1799999997</v>
      </c>
      <c r="G154" s="24">
        <f>SUMIFS('Saldos Iniciales'!$D:$D,'Saldos Iniciales'!$A:$A,"SSP Capital")+SUMIFS(Movimientos!$K$1:$K$1325,Movimientos!$C$1:$C$1325,"SSP Capital",Movimientos!$B$1:$B$1325,"&lt;="&amp;$B154)</f>
        <v>1111163.6899999995</v>
      </c>
      <c r="H154" s="24">
        <f>SUMIFS('Saldos Iniciales'!$D:$D,'Saldos Iniciales'!$A:$A,"Cross Family Trust")+SUMIFS(Movimientos!$K$1:$K$1325,Movimientos!$C$1:$C$1325,"Cross Family Trust",Movimientos!$B$1:$B$1325,"&lt;="&amp;$B154)</f>
        <v>229778.14</v>
      </c>
      <c r="I154" s="24">
        <f>SUMIFS('Saldos Iniciales'!$D:$D,'Saldos Iniciales'!$A:$A,"Cross Security Trust")+SUMIFS(Movimientos!$K$1:$K$1325,Movimientos!$C$1:$C$1325,"Cross Security Trust",Movimientos!$B$1:$B$1325,"&lt;="&amp;$B154)</f>
        <v>-38981.500000000015</v>
      </c>
      <c r="J154" s="24">
        <f>SUMIFS('Saldos Iniciales'!$D:$D,'Saldos Iniciales'!$A:$A,"Electrama")+SUMIFS(Movimientos!$K$1:$K$1325,Movimientos!$C$1:$C$1325,"Electrama",Movimientos!$B$1:$B$1325,"&lt;="&amp;$B154)</f>
        <v>10259.18</v>
      </c>
      <c r="K154" s="24">
        <f>SUMIFS('Saldos Iniciales'!$D:$D,'Saldos Iniciales'!$A:$A,"Sacred Valley Capital")+SUMIFS(Movimientos!$K$1:$K$1325,Movimientos!$C$1:$C$1325,"Sacred Valley Capital",Movimientos!$B$1:$B$1325,"&lt;="&amp;$B154)</f>
        <v>94.5</v>
      </c>
      <c r="L154" s="24">
        <f>SUMIFS('Saldos Iniciales'!$D:$D,'Saldos Iniciales'!$A:$A,"YWC Capital")+SUMIFS(Movimientos!$K$1:$K$1325,Movimientos!$C$1:$C$1325,"YWC Capital",Movimientos!$B$1:$B$1325,"&lt;="&amp;$B154)</f>
        <v>2147.92</v>
      </c>
      <c r="M154" s="24">
        <f>SUMIFS('Saldos Iniciales'!$D:$D,'Saldos Iniciales'!$A:$A,"Soweto")+SUMIFS(Movimientos!$K$1:$K$1325,Movimientos!$C$1:$C$1325,"Soweto",Movimientos!$B$1:$B$1325,"&lt;="&amp;$B154)</f>
        <v>17895.290000000015</v>
      </c>
      <c r="N154" s="24">
        <f>SUMIFS('Saldos Iniciales'!$D:$D,'Saldos Iniciales'!$A:$A,"Green Stone Trust")+SUMIFS(Movimientos!$K$1:$K$1325,Movimientos!$C$1:$C$1325,"Green Stone Trust",Movimientos!$B$1:$B$1325,"&lt;="&amp;$B154)</f>
        <v>1968.99</v>
      </c>
      <c r="O154" s="24">
        <f>SUMIFS('Saldos Iniciales'!$D:$D,'Saldos Iniciales'!$A:$A,"EC Auto")+SUMIFS(Movimientos!$K$1:$K$1325,Movimientos!$C$1:$C$1325,"EC Auto",Movimientos!$B$1:$B$1325,"&lt;="&amp;$B154)</f>
        <v>901.34</v>
      </c>
      <c r="P154" s="24">
        <f>SUMIFS('Saldos Iniciales'!$D:$D,'Saldos Iniciales'!$A:$A,"Arbor Capital Properties")+SUMIFS(Movimientos!$K$1:$K$1325,Movimientos!$C$1:$C$1325,"Arbor Capital Properties",Movimientos!$B$1:$B$1325,"&lt;="&amp;$B154)</f>
        <v>1380.08</v>
      </c>
      <c r="Q154" s="24">
        <f>SUMIFS('Saldos Iniciales'!$D:$D,'Saldos Iniciales'!$A:$A,"2515 Overbrook")+SUMIFS(Movimientos!$K$1:$K$1325,Movimientos!$C$1:$C$1325,"2515 Overbrook",Movimientos!$B$1:$B$1325,"&lt;="&amp;$B154)</f>
        <v>28714.879999999961</v>
      </c>
      <c r="R154" s="24">
        <f>SUMIFS('Saldos Iniciales'!$D:$D,'Saldos Iniciales'!$A:$A,"112 Florida Ave")+SUMIFS(Movimientos!$K$1:$K$1325,Movimientos!$C$1:$C$1325,"112 Florida Ave",Movimientos!$B$1:$B$1325,"&lt;="&amp;$B154)</f>
        <v>23374.690000000006</v>
      </c>
      <c r="S154" s="24">
        <f>SUMIFS('Saldos Iniciales'!$D:$D,'Saldos Iniciales'!$A:$A,"3628 Thomas Ave")+SUMIFS(Movimientos!$K$1:$K$1325,Movimientos!$C$1:$C$1325,"3628 Thomas Ave",Movimientos!$B$1:$B$1325,"&lt;="&amp;$B154)</f>
        <v>19266.809999999998</v>
      </c>
      <c r="T154" s="24">
        <f>SUMIFS('Saldos Iniciales'!$D:$D,'Saldos Iniciales'!$A:$A,"Green Harbor Trust")+SUMIFS(Movimientos!$K$1:$K$1325,Movimientos!$C$1:$C$1325,"Green Harbor Trust",Movimientos!$B$1:$B$1325,"&lt;="&amp;$B154)</f>
        <v>345</v>
      </c>
      <c r="U154" s="24">
        <f>SUMIFS('Saldos Iniciales'!$D:$D,'Saldos Iniciales'!$A:$A,"Go Blue")+SUMIFS(Movimientos!$K$1:$K$1325,Movimientos!$C$1:$C$1325,"Go Blue",Movimientos!$B$1:$B$1325,"&lt;="&amp;$B154)</f>
        <v>12252.970000000001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LLC",Movimientos!$B$1:$B$1325,"&lt;="&amp;$B154))</f>
        <v>313178.98000000004</v>
      </c>
      <c r="W154" s="24">
        <f>IF(YEAR($B154)*100+MONTH($B154)&lt;--SUBSTITUTE(_xlfn.XLOOKUP("CFT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",Movimientos!$B$1:$B$1325,"&lt;="&amp;$B154))</f>
        <v>5445.57</v>
      </c>
      <c r="AC154" s="24" t="e">
        <f>IF(YEAR($B154)*100+MONTH($B154)&lt;--SUBSTITUTE(_xlfn.XLOOKUP("SYIP",'Saldos Iniciales'!$A:$A,'Saldos Iniciales'!$C:$C),"-",""),0,SUMIFS('Saldos Iniciales'!$D:$D,'Saldos Iniciales'!$A:$A,"SYIP")+SUMIFS(Movimientos!$K$1:$K$1325,Movimientos!$C$1:$C$1325,"SYIP",Movimientos!$B$1:$B$1325,"&lt;="&amp;$B154))</f>
        <v>#N/A</v>
      </c>
      <c r="AD154" s="24">
        <f>IF(YEAR($B154)*100+MONTH($B154)&lt;--SUBSTITUTE(_xlfn.XLOOKUP("Nobe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Aparments",Movimientos!$B$1:$B$1325,"&lt;="&amp;$B154))</f>
        <v>239523.16999999998</v>
      </c>
      <c r="AE154" s="25" t="e">
        <f t="shared" si="6"/>
        <v>#N/A</v>
      </c>
    </row>
    <row r="155" spans="1:31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Group")+SUMIFS(Movimientos!$K$1:$K$1325,Movimientos!$C$1:$C$1325,"CFT Group",Movimientos!$B$1:$B$1325,"&lt;="&amp;$B155)</f>
        <v>3099831.9800000004</v>
      </c>
      <c r="D155" s="24">
        <f>SUMIFS('Saldos Iniciales'!$D:$D,'Saldos Iniciales'!$A:$A,"M1B")+SUMIFS(Movimientos!$K$1:$K$1325,Movimientos!$C$1:$C$1325,"M1B",Movimientos!$B$1:$B$1325,"&lt;="&amp;$B155)</f>
        <v>103123.59000000017</v>
      </c>
      <c r="E155" s="24">
        <f>SUMIFS('Saldos Iniciales'!$D:$D,'Saldos Iniciales'!$A:$A,"Durand")+SUMIFS(Movimientos!$K$1:$K$1325,Movimientos!$C$1:$C$1325,"Durand",Movimientos!$B$1:$B$1325,"&lt;="&amp;$B155)</f>
        <v>1669.89</v>
      </c>
      <c r="F155" s="24">
        <f>SUMIFS('Saldos Iniciales'!$D:$D,'Saldos Iniciales'!$A:$A,"A&amp;M Imports")+SUMIFS(Movimientos!$K$1:$K$1325,Movimientos!$C$1:$C$1325,"A&amp;M Imports",Movimientos!$B$1:$B$1325,"&lt;="&amp;$B155)</f>
        <v>1200526.7499999995</v>
      </c>
      <c r="G155" s="24">
        <f>SUMIFS('Saldos Iniciales'!$D:$D,'Saldos Iniciales'!$A:$A,"SSP Capital")+SUMIFS(Movimientos!$K$1:$K$1325,Movimientos!$C$1:$C$1325,"SSP Capital",Movimientos!$B$1:$B$1325,"&lt;="&amp;$B155)</f>
        <v>1586416.1199999996</v>
      </c>
      <c r="H155" s="24">
        <f>SUMIFS('Saldos Iniciales'!$D:$D,'Saldos Iniciales'!$A:$A,"Cross Family Trust")+SUMIFS(Movimientos!$K$1:$K$1325,Movimientos!$C$1:$C$1325,"Cross Family Trust",Movimientos!$B$1:$B$1325,"&lt;="&amp;$B155)</f>
        <v>208778.14</v>
      </c>
      <c r="I155" s="24">
        <f>SUMIFS('Saldos Iniciales'!$D:$D,'Saldos Iniciales'!$A:$A,"Cross Security Trust")+SUMIFS(Movimientos!$K$1:$K$1325,Movimientos!$C$1:$C$1325,"Cross Security Trust",Movimientos!$B$1:$B$1325,"&lt;="&amp;$B155)</f>
        <v>-38981.500000000015</v>
      </c>
      <c r="J155" s="24">
        <f>SUMIFS('Saldos Iniciales'!$D:$D,'Saldos Iniciales'!$A:$A,"Electrama")+SUMIFS(Movimientos!$K$1:$K$1325,Movimientos!$C$1:$C$1325,"Electrama",Movimientos!$B$1:$B$1325,"&lt;="&amp;$B155)</f>
        <v>10259.18</v>
      </c>
      <c r="K155" s="24">
        <f>SUMIFS('Saldos Iniciales'!$D:$D,'Saldos Iniciales'!$A:$A,"Sacred Valley Capital")+SUMIFS(Movimientos!$K$1:$K$1325,Movimientos!$C$1:$C$1325,"Sacred Valley Capital",Movimientos!$B$1:$B$1325,"&lt;="&amp;$B155)</f>
        <v>64.55</v>
      </c>
      <c r="L155" s="24">
        <f>SUMIFS('Saldos Iniciales'!$D:$D,'Saldos Iniciales'!$A:$A,"YWC Capital")+SUMIFS(Movimientos!$K$1:$K$1325,Movimientos!$C$1:$C$1325,"YWC Capital",Movimientos!$B$1:$B$1325,"&lt;="&amp;$B155)</f>
        <v>2117.9700000000003</v>
      </c>
      <c r="M155" s="24">
        <f>SUMIFS('Saldos Iniciales'!$D:$D,'Saldos Iniciales'!$A:$A,"Soweto")+SUMIFS(Movimientos!$K$1:$K$1325,Movimientos!$C$1:$C$1325,"Soweto",Movimientos!$B$1:$B$1325,"&lt;="&amp;$B155)</f>
        <v>17895.290000000015</v>
      </c>
      <c r="N155" s="24">
        <f>SUMIFS('Saldos Iniciales'!$D:$D,'Saldos Iniciales'!$A:$A,"Green Stone Trust")+SUMIFS(Movimientos!$K$1:$K$1325,Movimientos!$C$1:$C$1325,"Green Stone Trust",Movimientos!$B$1:$B$1325,"&lt;="&amp;$B155)</f>
        <v>1968.99</v>
      </c>
      <c r="O155" s="24">
        <f>SUMIFS('Saldos Iniciales'!$D:$D,'Saldos Iniciales'!$A:$A,"EC Auto")+SUMIFS(Movimientos!$K$1:$K$1325,Movimientos!$C$1:$C$1325,"EC Auto",Movimientos!$B$1:$B$1325,"&lt;="&amp;$B155)</f>
        <v>901.34</v>
      </c>
      <c r="P155" s="24">
        <f>SUMIFS('Saldos Iniciales'!$D:$D,'Saldos Iniciales'!$A:$A,"Arbor Capital Properties")+SUMIFS(Movimientos!$K$1:$K$1325,Movimientos!$C$1:$C$1325,"Arbor Capital Properties",Movimientos!$B$1:$B$1325,"&lt;="&amp;$B155)</f>
        <v>1364.08</v>
      </c>
      <c r="Q155" s="24">
        <f>SUMIFS('Saldos Iniciales'!$D:$D,'Saldos Iniciales'!$A:$A,"2515 Overbrook")+SUMIFS(Movimientos!$K$1:$K$1325,Movimientos!$C$1:$C$1325,"2515 Overbrook",Movimientos!$B$1:$B$1325,"&lt;="&amp;$B155)</f>
        <v>20171.549999999959</v>
      </c>
      <c r="R155" s="24">
        <f>SUMIFS('Saldos Iniciales'!$D:$D,'Saldos Iniciales'!$A:$A,"112 Florida Ave")+SUMIFS(Movimientos!$K$1:$K$1325,Movimientos!$C$1:$C$1325,"112 Florida Ave",Movimientos!$B$1:$B$1325,"&lt;="&amp;$B155)</f>
        <v>13576.060000000007</v>
      </c>
      <c r="S155" s="24">
        <f>SUMIFS('Saldos Iniciales'!$D:$D,'Saldos Iniciales'!$A:$A,"3628 Thomas Ave")+SUMIFS(Movimientos!$K$1:$K$1325,Movimientos!$C$1:$C$1325,"3628 Thomas Ave",Movimientos!$B$1:$B$1325,"&lt;="&amp;$B155)</f>
        <v>16893.769999999997</v>
      </c>
      <c r="T155" s="24">
        <f>SUMIFS('Saldos Iniciales'!$D:$D,'Saldos Iniciales'!$A:$A,"Green Harbor Trust")+SUMIFS(Movimientos!$K$1:$K$1325,Movimientos!$C$1:$C$1325,"Green Harbor Trust",Movimientos!$B$1:$B$1325,"&lt;="&amp;$B155)</f>
        <v>345</v>
      </c>
      <c r="U155" s="24">
        <f>SUMIFS('Saldos Iniciales'!$D:$D,'Saldos Iniciales'!$A:$A,"Go Blue")+SUMIFS(Movimientos!$K$1:$K$1325,Movimientos!$C$1:$C$1325,"Go Blue",Movimientos!$B$1:$B$1325,"&lt;="&amp;$B155)</f>
        <v>26885.97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LLC",Movimientos!$B$1:$B$1325,"&lt;="&amp;$B155))</f>
        <v>313178.98000000004</v>
      </c>
      <c r="W155" s="24">
        <f>IF(YEAR($B155)*100+MONTH($B155)&lt;--SUBSTITUTE(_xlfn.XLOOKUP("CFT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LLC",Movimientos!$B$1:$B$1325,"&lt;="&amp;$B155))</f>
        <v>604.80000000000018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",Movimientos!$B$1:$B$1325,"&lt;="&amp;$B155))</f>
        <v>5445.57</v>
      </c>
      <c r="AC155" s="24" t="e">
        <f>IF(YEAR($B155)*100+MONTH($B155)&lt;--SUBSTITUTE(_xlfn.XLOOKUP("SYIP",'Saldos Iniciales'!$A:$A,'Saldos Iniciales'!$C:$C),"-",""),0,SUMIFS('Saldos Iniciales'!$D:$D,'Saldos Iniciales'!$A:$A,"SYIP")+SUMIFS(Movimientos!$K$1:$K$1325,Movimientos!$C$1:$C$1325,"SYIP",Movimientos!$B$1:$B$1325,"&lt;="&amp;$B155))</f>
        <v>#N/A</v>
      </c>
      <c r="AD155" s="24">
        <f>IF(YEAR($B155)*100+MONTH($B155)&lt;--SUBSTITUTE(_xlfn.XLOOKUP("Nobe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Aparments",Movimientos!$B$1:$B$1325,"&lt;="&amp;$B155))</f>
        <v>239523.16999999998</v>
      </c>
      <c r="AE155" s="25" t="e">
        <f t="shared" si="6"/>
        <v>#N/A</v>
      </c>
    </row>
    <row r="156" spans="1:31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Group")+SUMIFS(Movimientos!$K$1:$K$1325,Movimientos!$C$1:$C$1325,"CFT Group",Movimientos!$B$1:$B$1325,"&lt;="&amp;$B156)</f>
        <v>3099831.9800000004</v>
      </c>
      <c r="D156" s="24">
        <f>SUMIFS('Saldos Iniciales'!$D:$D,'Saldos Iniciales'!$A:$A,"M1B")+SUMIFS(Movimientos!$K$1:$K$1325,Movimientos!$C$1:$C$1325,"M1B",Movimientos!$B$1:$B$1325,"&lt;="&amp;$B156)</f>
        <v>103123.59000000017</v>
      </c>
      <c r="E156" s="24">
        <f>SUMIFS('Saldos Iniciales'!$D:$D,'Saldos Iniciales'!$A:$A,"Durand")+SUMIFS(Movimientos!$K$1:$K$1325,Movimientos!$C$1:$C$1325,"Durand",Movimientos!$B$1:$B$1325,"&lt;="&amp;$B156)</f>
        <v>1669.89</v>
      </c>
      <c r="F156" s="24">
        <f>SUMIFS('Saldos Iniciales'!$D:$D,'Saldos Iniciales'!$A:$A,"A&amp;M Imports")+SUMIFS(Movimientos!$K$1:$K$1325,Movimientos!$C$1:$C$1325,"A&amp;M Imports",Movimientos!$B$1:$B$1325,"&lt;="&amp;$B156)</f>
        <v>1200526.7499999995</v>
      </c>
      <c r="G156" s="24">
        <f>SUMIFS('Saldos Iniciales'!$D:$D,'Saldos Iniciales'!$A:$A,"SSP Capital")+SUMIFS(Movimientos!$K$1:$K$1325,Movimientos!$C$1:$C$1325,"SSP Capital",Movimientos!$B$1:$B$1325,"&lt;="&amp;$B156)</f>
        <v>1586416.1199999996</v>
      </c>
      <c r="H156" s="24">
        <f>SUMIFS('Saldos Iniciales'!$D:$D,'Saldos Iniciales'!$A:$A,"Cross Family Trust")+SUMIFS(Movimientos!$K$1:$K$1325,Movimientos!$C$1:$C$1325,"Cross Family Trust",Movimientos!$B$1:$B$1325,"&lt;="&amp;$B156)</f>
        <v>208778.14</v>
      </c>
      <c r="I156" s="24">
        <f>SUMIFS('Saldos Iniciales'!$D:$D,'Saldos Iniciales'!$A:$A,"Cross Security Trust")+SUMIFS(Movimientos!$K$1:$K$1325,Movimientos!$C$1:$C$1325,"Cross Security Trust",Movimientos!$B$1:$B$1325,"&lt;="&amp;$B156)</f>
        <v>-38981.500000000015</v>
      </c>
      <c r="J156" s="24">
        <f>SUMIFS('Saldos Iniciales'!$D:$D,'Saldos Iniciales'!$A:$A,"Electrama")+SUMIFS(Movimientos!$K$1:$K$1325,Movimientos!$C$1:$C$1325,"Electrama",Movimientos!$B$1:$B$1325,"&lt;="&amp;$B156)</f>
        <v>10259.18</v>
      </c>
      <c r="K156" s="24">
        <f>SUMIFS('Saldos Iniciales'!$D:$D,'Saldos Iniciales'!$A:$A,"Sacred Valley Capital")+SUMIFS(Movimientos!$K$1:$K$1325,Movimientos!$C$1:$C$1325,"Sacred Valley Capital",Movimientos!$B$1:$B$1325,"&lt;="&amp;$B156)</f>
        <v>64.55</v>
      </c>
      <c r="L156" s="24">
        <f>SUMIFS('Saldos Iniciales'!$D:$D,'Saldos Iniciales'!$A:$A,"YWC Capital")+SUMIFS(Movimientos!$K$1:$K$1325,Movimientos!$C$1:$C$1325,"YWC Capital",Movimientos!$B$1:$B$1325,"&lt;="&amp;$B156)</f>
        <v>2117.9700000000003</v>
      </c>
      <c r="M156" s="24">
        <f>SUMIFS('Saldos Iniciales'!$D:$D,'Saldos Iniciales'!$A:$A,"Soweto")+SUMIFS(Movimientos!$K$1:$K$1325,Movimientos!$C$1:$C$1325,"Soweto",Movimientos!$B$1:$B$1325,"&lt;="&amp;$B156)</f>
        <v>17895.290000000015</v>
      </c>
      <c r="N156" s="24">
        <f>SUMIFS('Saldos Iniciales'!$D:$D,'Saldos Iniciales'!$A:$A,"Green Stone Trust")+SUMIFS(Movimientos!$K$1:$K$1325,Movimientos!$C$1:$C$1325,"Green Stone Trust",Movimientos!$B$1:$B$1325,"&lt;="&amp;$B156)</f>
        <v>1968.99</v>
      </c>
      <c r="O156" s="24">
        <f>SUMIFS('Saldos Iniciales'!$D:$D,'Saldos Iniciales'!$A:$A,"EC Auto")+SUMIFS(Movimientos!$K$1:$K$1325,Movimientos!$C$1:$C$1325,"EC Auto",Movimientos!$B$1:$B$1325,"&lt;="&amp;$B156)</f>
        <v>901.34</v>
      </c>
      <c r="P156" s="24">
        <f>SUMIFS('Saldos Iniciales'!$D:$D,'Saldos Iniciales'!$A:$A,"Arbor Capital Properties")+SUMIFS(Movimientos!$K$1:$K$1325,Movimientos!$C$1:$C$1325,"Arbor Capital Properties",Movimientos!$B$1:$B$1325,"&lt;="&amp;$B156)</f>
        <v>1364.08</v>
      </c>
      <c r="Q156" s="24">
        <f>SUMIFS('Saldos Iniciales'!$D:$D,'Saldos Iniciales'!$A:$A,"2515 Overbrook")+SUMIFS(Movimientos!$K$1:$K$1325,Movimientos!$C$1:$C$1325,"2515 Overbrook",Movimientos!$B$1:$B$1325,"&lt;="&amp;$B156)</f>
        <v>20171.549999999959</v>
      </c>
      <c r="R156" s="24">
        <f>SUMIFS('Saldos Iniciales'!$D:$D,'Saldos Iniciales'!$A:$A,"112 Florida Ave")+SUMIFS(Movimientos!$K$1:$K$1325,Movimientos!$C$1:$C$1325,"112 Florida Ave",Movimientos!$B$1:$B$1325,"&lt;="&amp;$B156)</f>
        <v>13576.060000000007</v>
      </c>
      <c r="S156" s="24">
        <f>SUMIFS('Saldos Iniciales'!$D:$D,'Saldos Iniciales'!$A:$A,"3628 Thomas Ave")+SUMIFS(Movimientos!$K$1:$K$1325,Movimientos!$C$1:$C$1325,"3628 Thomas Ave",Movimientos!$B$1:$B$1325,"&lt;="&amp;$B156)</f>
        <v>16893.769999999997</v>
      </c>
      <c r="T156" s="24">
        <f>SUMIFS('Saldos Iniciales'!$D:$D,'Saldos Iniciales'!$A:$A,"Green Harbor Trust")+SUMIFS(Movimientos!$K$1:$K$1325,Movimientos!$C$1:$C$1325,"Green Harbor Trust",Movimientos!$B$1:$B$1325,"&lt;="&amp;$B156)</f>
        <v>345</v>
      </c>
      <c r="U156" s="24">
        <f>SUMIFS('Saldos Iniciales'!$D:$D,'Saldos Iniciales'!$A:$A,"Go Blue")+SUMIFS(Movimientos!$K$1:$K$1325,Movimientos!$C$1:$C$1325,"Go Blue",Movimientos!$B$1:$B$1325,"&lt;="&amp;$B156)</f>
        <v>23072.63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LLC",Movimientos!$B$1:$B$1325,"&lt;="&amp;$B156))</f>
        <v>313178.98000000004</v>
      </c>
      <c r="W156" s="24">
        <f>IF(YEAR($B156)*100+MONTH($B156)&lt;--SUBSTITUTE(_xlfn.XLOOKUP("CFT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LLC",Movimientos!$B$1:$B$1325,"&lt;="&amp;$B156))</f>
        <v>604.80000000000018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",Movimientos!$B$1:$B$1325,"&lt;="&amp;$B156))</f>
        <v>5445.57</v>
      </c>
      <c r="AC156" s="24" t="e">
        <f>IF(YEAR($B156)*100+MONTH($B156)&lt;--SUBSTITUTE(_xlfn.XLOOKUP("SYIP",'Saldos Iniciales'!$A:$A,'Saldos Iniciales'!$C:$C),"-",""),0,SUMIFS('Saldos Iniciales'!$D:$D,'Saldos Iniciales'!$A:$A,"SYIP")+SUMIFS(Movimientos!$K$1:$K$1325,Movimientos!$C$1:$C$1325,"SYIP",Movimientos!$B$1:$B$1325,"&lt;="&amp;$B156))</f>
        <v>#N/A</v>
      </c>
      <c r="AD156" s="24">
        <f>IF(YEAR($B156)*100+MONTH($B156)&lt;--SUBSTITUTE(_xlfn.XLOOKUP("Nobe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Aparments",Movimientos!$B$1:$B$1325,"&lt;="&amp;$B156))</f>
        <v>240473.16999999998</v>
      </c>
      <c r="AE156" s="25" t="e">
        <f t="shared" ref="AE156:AE157" si="7">SUM(C156:AD156)</f>
        <v>#N/A</v>
      </c>
    </row>
    <row r="157" spans="1:31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Group")+SUMIFS(Movimientos!$K$1:$K$1325,Movimientos!$C$1:$C$1325,"CFT Group",Movimientos!$B$1:$B$1325,"&lt;="&amp;$B157)</f>
        <v>3099831.9800000004</v>
      </c>
      <c r="D157" s="24">
        <f>SUMIFS('Saldos Iniciales'!$D:$D,'Saldos Iniciales'!$A:$A,"M1B")+SUMIFS(Movimientos!$K$1:$K$1325,Movimientos!$C$1:$C$1325,"M1B",Movimientos!$B$1:$B$1325,"&lt;="&amp;$B157)</f>
        <v>103123.59000000017</v>
      </c>
      <c r="E157" s="24">
        <f>SUMIFS('Saldos Iniciales'!$D:$D,'Saldos Iniciales'!$A:$A,"Durand")+SUMIFS(Movimientos!$K$1:$K$1325,Movimientos!$C$1:$C$1325,"Durand",Movimientos!$B$1:$B$1325,"&lt;="&amp;$B157)</f>
        <v>1669.89</v>
      </c>
      <c r="F157" s="24">
        <f>SUMIFS('Saldos Iniciales'!$D:$D,'Saldos Iniciales'!$A:$A,"A&amp;M Imports")+SUMIFS(Movimientos!$K$1:$K$1325,Movimientos!$C$1:$C$1325,"A&amp;M Imports",Movimientos!$B$1:$B$1325,"&lt;="&amp;$B157)</f>
        <v>1200526.7499999995</v>
      </c>
      <c r="G157" s="24">
        <f>SUMIFS('Saldos Iniciales'!$D:$D,'Saldos Iniciales'!$A:$A,"SSP Capital")+SUMIFS(Movimientos!$K$1:$K$1325,Movimientos!$C$1:$C$1325,"SSP Capital",Movimientos!$B$1:$B$1325,"&lt;="&amp;$B157)</f>
        <v>1586416.1199999996</v>
      </c>
      <c r="H157" s="24">
        <f>SUMIFS('Saldos Iniciales'!$D:$D,'Saldos Iniciales'!$A:$A,"Cross Family Trust")+SUMIFS(Movimientos!$K$1:$K$1325,Movimientos!$C$1:$C$1325,"Cross Family Trust",Movimientos!$B$1:$B$1325,"&lt;="&amp;$B157)</f>
        <v>208778.14</v>
      </c>
      <c r="I157" s="24">
        <f>SUMIFS('Saldos Iniciales'!$D:$D,'Saldos Iniciales'!$A:$A,"Cross Security Trust")+SUMIFS(Movimientos!$K$1:$K$1325,Movimientos!$C$1:$C$1325,"Cross Security Trust",Movimientos!$B$1:$B$1325,"&lt;="&amp;$B157)</f>
        <v>-38981.500000000015</v>
      </c>
      <c r="J157" s="24">
        <f>SUMIFS('Saldos Iniciales'!$D:$D,'Saldos Iniciales'!$A:$A,"Electrama")+SUMIFS(Movimientos!$K$1:$K$1325,Movimientos!$C$1:$C$1325,"Electrama",Movimientos!$B$1:$B$1325,"&lt;="&amp;$B157)</f>
        <v>10259.18</v>
      </c>
      <c r="K157" s="24">
        <f>SUMIFS('Saldos Iniciales'!$D:$D,'Saldos Iniciales'!$A:$A,"Sacred Valley Capital")+SUMIFS(Movimientos!$K$1:$K$1325,Movimientos!$C$1:$C$1325,"Sacred Valley Capital",Movimientos!$B$1:$B$1325,"&lt;="&amp;$B157)</f>
        <v>64.55</v>
      </c>
      <c r="L157" s="24">
        <f>SUMIFS('Saldos Iniciales'!$D:$D,'Saldos Iniciales'!$A:$A,"YWC Capital")+SUMIFS(Movimientos!$K$1:$K$1325,Movimientos!$C$1:$C$1325,"YWC Capital",Movimientos!$B$1:$B$1325,"&lt;="&amp;$B157)</f>
        <v>2117.9700000000003</v>
      </c>
      <c r="M157" s="24">
        <f>SUMIFS('Saldos Iniciales'!$D:$D,'Saldos Iniciales'!$A:$A,"Soweto")+SUMIFS(Movimientos!$K$1:$K$1325,Movimientos!$C$1:$C$1325,"Soweto",Movimientos!$B$1:$B$1325,"&lt;="&amp;$B157)</f>
        <v>17895.290000000015</v>
      </c>
      <c r="N157" s="24">
        <f>SUMIFS('Saldos Iniciales'!$D:$D,'Saldos Iniciales'!$A:$A,"Green Stone Trust")+SUMIFS(Movimientos!$K$1:$K$1325,Movimientos!$C$1:$C$1325,"Green Stone Trust",Movimientos!$B$1:$B$1325,"&lt;="&amp;$B157)</f>
        <v>1968.99</v>
      </c>
      <c r="O157" s="24">
        <f>SUMIFS('Saldos Iniciales'!$D:$D,'Saldos Iniciales'!$A:$A,"EC Auto")+SUMIFS(Movimientos!$K$1:$K$1325,Movimientos!$C$1:$C$1325,"EC Auto",Movimientos!$B$1:$B$1325,"&lt;="&amp;$B157)</f>
        <v>901.34</v>
      </c>
      <c r="P157" s="24">
        <f>SUMIFS('Saldos Iniciales'!$D:$D,'Saldos Iniciales'!$A:$A,"Arbor Capital Properties")+SUMIFS(Movimientos!$K$1:$K$1325,Movimientos!$C$1:$C$1325,"Arbor Capital Properties",Movimientos!$B$1:$B$1325,"&lt;="&amp;$B157)</f>
        <v>1364.08</v>
      </c>
      <c r="Q157" s="24">
        <f>SUMIFS('Saldos Iniciales'!$D:$D,'Saldos Iniciales'!$A:$A,"2515 Overbrook")+SUMIFS(Movimientos!$K$1:$K$1325,Movimientos!$C$1:$C$1325,"2515 Overbrook",Movimientos!$B$1:$B$1325,"&lt;="&amp;$B157)</f>
        <v>20171.549999999959</v>
      </c>
      <c r="R157" s="24">
        <f>SUMIFS('Saldos Iniciales'!$D:$D,'Saldos Iniciales'!$A:$A,"112 Florida Ave")+SUMIFS(Movimientos!$K$1:$K$1325,Movimientos!$C$1:$C$1325,"112 Florida Ave",Movimientos!$B$1:$B$1325,"&lt;="&amp;$B157)</f>
        <v>13576.060000000007</v>
      </c>
      <c r="S157" s="24">
        <f>SUMIFS('Saldos Iniciales'!$D:$D,'Saldos Iniciales'!$A:$A,"3628 Thomas Ave")+SUMIFS(Movimientos!$K$1:$K$1325,Movimientos!$C$1:$C$1325,"3628 Thomas Ave",Movimientos!$B$1:$B$1325,"&lt;="&amp;$B157)</f>
        <v>16893.769999999997</v>
      </c>
      <c r="T157" s="24">
        <f>SUMIFS('Saldos Iniciales'!$D:$D,'Saldos Iniciales'!$A:$A,"Green Harbor Trust")+SUMIFS(Movimientos!$K$1:$K$1325,Movimientos!$C$1:$C$1325,"Green Harbor Trust",Movimientos!$B$1:$B$1325,"&lt;="&amp;$B157)</f>
        <v>345</v>
      </c>
      <c r="U157" s="24">
        <f>SUMIFS('Saldos Iniciales'!$D:$D,'Saldos Iniciales'!$A:$A,"Go Blue")+SUMIFS(Movimientos!$K$1:$K$1325,Movimientos!$C$1:$C$1325,"Go Blue",Movimientos!$B$1:$B$1325,"&lt;="&amp;$B157)</f>
        <v>23072.63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LLC",Movimientos!$B$1:$B$1325,"&lt;="&amp;$B157))</f>
        <v>313178.98000000004</v>
      </c>
      <c r="W157" s="24">
        <f>IF(YEAR($B157)*100+MONTH($B157)&lt;--SUBSTITUTE(_xlfn.XLOOKUP("CFT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LLC",Movimientos!$B$1:$B$1325,"&lt;="&amp;$B157))</f>
        <v>604.80000000000018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",Movimientos!$B$1:$B$1325,"&lt;="&amp;$B157))</f>
        <v>5445.57</v>
      </c>
      <c r="AC157" s="24" t="e">
        <f>IF(YEAR($B157)*100+MONTH($B157)&lt;--SUBSTITUTE(_xlfn.XLOOKUP("SYIP",'Saldos Iniciales'!$A:$A,'Saldos Iniciales'!$C:$C),"-",""),0,SUMIFS('Saldos Iniciales'!$D:$D,'Saldos Iniciales'!$A:$A,"SYIP")+SUMIFS(Movimientos!$K$1:$K$1325,Movimientos!$C$1:$C$1325,"SYIP",Movimientos!$B$1:$B$1325,"&lt;="&amp;$B157))</f>
        <v>#N/A</v>
      </c>
      <c r="AD157" s="24">
        <f>IF(YEAR($B157)*100+MONTH($B157)&lt;--SUBSTITUTE(_xlfn.XLOOKUP("Nobe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Aparments",Movimientos!$B$1:$B$1325,"&lt;="&amp;$B157))</f>
        <v>240473.16999999998</v>
      </c>
      <c r="AE157" s="25" t="e">
        <f t="shared" si="7"/>
        <v>#N/A</v>
      </c>
    </row>
    <row r="158" spans="1:31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Group")+SUMIFS(Movimientos!$K$1:$K$1325,Movimientos!$C$1:$C$1325,"CFT Group",Movimientos!$B$1:$B$1325,"&lt;="&amp;$B158)</f>
        <v>3099831.9800000004</v>
      </c>
      <c r="D158" s="24">
        <f>SUMIFS('Saldos Iniciales'!$D:$D,'Saldos Iniciales'!$A:$A,"M1B")+SUMIFS(Movimientos!$K$1:$K$1325,Movimientos!$C$1:$C$1325,"M1B",Movimientos!$B$1:$B$1325,"&lt;="&amp;$B158)</f>
        <v>103123.59000000017</v>
      </c>
      <c r="E158" s="24">
        <f>SUMIFS('Saldos Iniciales'!$D:$D,'Saldos Iniciales'!$A:$A,"Durand")+SUMIFS(Movimientos!$K$1:$K$1325,Movimientos!$C$1:$C$1325,"Durand",Movimientos!$B$1:$B$1325,"&lt;="&amp;$B158)</f>
        <v>1669.89</v>
      </c>
      <c r="F158" s="24">
        <f>SUMIFS('Saldos Iniciales'!$D:$D,'Saldos Iniciales'!$A:$A,"A&amp;M Imports")+SUMIFS(Movimientos!$K$1:$K$1325,Movimientos!$C$1:$C$1325,"A&amp;M Imports",Movimientos!$B$1:$B$1325,"&lt;="&amp;$B158)</f>
        <v>1200526.7499999995</v>
      </c>
      <c r="G158" s="24">
        <f>SUMIFS('Saldos Iniciales'!$D:$D,'Saldos Iniciales'!$A:$A,"SSP Capital")+SUMIFS(Movimientos!$K$1:$K$1325,Movimientos!$C$1:$C$1325,"SSP Capital",Movimientos!$B$1:$B$1325,"&lt;="&amp;$B158)</f>
        <v>1586416.1199999996</v>
      </c>
      <c r="H158" s="24">
        <f>SUMIFS('Saldos Iniciales'!$D:$D,'Saldos Iniciales'!$A:$A,"Cross Family Trust")+SUMIFS(Movimientos!$K$1:$K$1325,Movimientos!$C$1:$C$1325,"Cross Family Trust",Movimientos!$B$1:$B$1325,"&lt;="&amp;$B158)</f>
        <v>208778.14</v>
      </c>
      <c r="I158" s="24">
        <f>SUMIFS('Saldos Iniciales'!$D:$D,'Saldos Iniciales'!$A:$A,"Cross Security Trust")+SUMIFS(Movimientos!$K$1:$K$1325,Movimientos!$C$1:$C$1325,"Cross Security Trust",Movimientos!$B$1:$B$1325,"&lt;="&amp;$B158)</f>
        <v>-38981.500000000015</v>
      </c>
      <c r="J158" s="24">
        <f>SUMIFS('Saldos Iniciales'!$D:$D,'Saldos Iniciales'!$A:$A,"Electrama")+SUMIFS(Movimientos!$K$1:$K$1325,Movimientos!$C$1:$C$1325,"Electrama",Movimientos!$B$1:$B$1325,"&lt;="&amp;$B158)</f>
        <v>10259.18</v>
      </c>
      <c r="K158" s="24">
        <f>SUMIFS('Saldos Iniciales'!$D:$D,'Saldos Iniciales'!$A:$A,"Sacred Valley Capital")+SUMIFS(Movimientos!$K$1:$K$1325,Movimientos!$C$1:$C$1325,"Sacred Valley Capital",Movimientos!$B$1:$B$1325,"&lt;="&amp;$B158)</f>
        <v>64.55</v>
      </c>
      <c r="L158" s="24">
        <f>SUMIFS('Saldos Iniciales'!$D:$D,'Saldos Iniciales'!$A:$A,"YWC Capital")+SUMIFS(Movimientos!$K$1:$K$1325,Movimientos!$C$1:$C$1325,"YWC Capital",Movimientos!$B$1:$B$1325,"&lt;="&amp;$B158)</f>
        <v>2117.9700000000003</v>
      </c>
      <c r="M158" s="24">
        <f>SUMIFS('Saldos Iniciales'!$D:$D,'Saldos Iniciales'!$A:$A,"Soweto")+SUMIFS(Movimientos!$K$1:$K$1325,Movimientos!$C$1:$C$1325,"Soweto",Movimientos!$B$1:$B$1325,"&lt;="&amp;$B158)</f>
        <v>17895.290000000015</v>
      </c>
      <c r="N158" s="24">
        <f>SUMIFS('Saldos Iniciales'!$D:$D,'Saldos Iniciales'!$A:$A,"Green Stone Trust")+SUMIFS(Movimientos!$K$1:$K$1325,Movimientos!$C$1:$C$1325,"Green Stone Trust",Movimientos!$B$1:$B$1325,"&lt;="&amp;$B158)</f>
        <v>1968.99</v>
      </c>
      <c r="O158" s="24">
        <f>SUMIFS('Saldos Iniciales'!$D:$D,'Saldos Iniciales'!$A:$A,"EC Auto")+SUMIFS(Movimientos!$K$1:$K$1325,Movimientos!$C$1:$C$1325,"EC Auto",Movimientos!$B$1:$B$1325,"&lt;="&amp;$B158)</f>
        <v>901.34</v>
      </c>
      <c r="P158" s="24">
        <f>SUMIFS('Saldos Iniciales'!$D:$D,'Saldos Iniciales'!$A:$A,"Arbor Capital Properties")+SUMIFS(Movimientos!$K$1:$K$1325,Movimientos!$C$1:$C$1325,"Arbor Capital Properties",Movimientos!$B$1:$B$1325,"&lt;="&amp;$B158)</f>
        <v>1364.08</v>
      </c>
      <c r="Q158" s="24">
        <f>SUMIFS('Saldos Iniciales'!$D:$D,'Saldos Iniciales'!$A:$A,"2515 Overbrook")+SUMIFS(Movimientos!$K$1:$K$1325,Movimientos!$C$1:$C$1325,"2515 Overbrook",Movimientos!$B$1:$B$1325,"&lt;="&amp;$B158)</f>
        <v>20171.549999999959</v>
      </c>
      <c r="R158" s="24">
        <f>SUMIFS('Saldos Iniciales'!$D:$D,'Saldos Iniciales'!$A:$A,"112 Florida Ave")+SUMIFS(Movimientos!$K$1:$K$1325,Movimientos!$C$1:$C$1325,"112 Florida Ave",Movimientos!$B$1:$B$1325,"&lt;="&amp;$B158)</f>
        <v>13576.060000000007</v>
      </c>
      <c r="S158" s="24">
        <f>SUMIFS('Saldos Iniciales'!$D:$D,'Saldos Iniciales'!$A:$A,"3628 Thomas Ave")+SUMIFS(Movimientos!$K$1:$K$1325,Movimientos!$C$1:$C$1325,"3628 Thomas Ave",Movimientos!$B$1:$B$1325,"&lt;="&amp;$B158)</f>
        <v>16893.769999999997</v>
      </c>
      <c r="T158" s="24">
        <f>SUMIFS('Saldos Iniciales'!$D:$D,'Saldos Iniciales'!$A:$A,"Green Harbor Trust")+SUMIFS(Movimientos!$K$1:$K$1325,Movimientos!$C$1:$C$1325,"Green Harbor Trust",Movimientos!$B$1:$B$1325,"&lt;="&amp;$B158)</f>
        <v>345</v>
      </c>
      <c r="U158" s="24">
        <f>SUMIFS('Saldos Iniciales'!$D:$D,'Saldos Iniciales'!$A:$A,"Go Blue")+SUMIFS(Movimientos!$K$1:$K$1325,Movimientos!$C$1:$C$1325,"Go Blue",Movimientos!$B$1:$B$1325,"&lt;="&amp;$B158)</f>
        <v>23072.63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LLC",Movimientos!$B$1:$B$1325,"&lt;="&amp;$B158))</f>
        <v>313178.98000000004</v>
      </c>
      <c r="W158" s="24">
        <f>IF(YEAR($B158)*100+MONTH($B158)&lt;--SUBSTITUTE(_xlfn.XLOOKUP("CFT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LLC",Movimientos!$B$1:$B$1325,"&lt;="&amp;$B158))</f>
        <v>604.80000000000018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",Movimientos!$B$1:$B$1325,"&lt;="&amp;$B158))</f>
        <v>5445.57</v>
      </c>
      <c r="AC158" s="24" t="e">
        <f>IF(YEAR($B158)*100+MONTH($B158)&lt;--SUBSTITUTE(_xlfn.XLOOKUP("SYIP",'Saldos Iniciales'!$A:$A,'Saldos Iniciales'!$C:$C),"-",""),0,SUMIFS('Saldos Iniciales'!$D:$D,'Saldos Iniciales'!$A:$A,"SYIP")+SUMIFS(Movimientos!$K$1:$K$1325,Movimientos!$C$1:$C$1325,"SYIP",Movimientos!$B$1:$B$1325,"&lt;="&amp;$B158))</f>
        <v>#N/A</v>
      </c>
      <c r="AD158" s="24">
        <f>IF(YEAR($B158)*100+MONTH($B158)&lt;--SUBSTITUTE(_xlfn.XLOOKUP("Nobe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Aparments",Movimientos!$B$1:$B$1325,"&lt;="&amp;$B158))</f>
        <v>240473.16999999998</v>
      </c>
      <c r="AE158" s="25" t="e">
        <f t="shared" ref="AE158" si="8">SUM(C158:AD158)</f>
        <v>#N/A</v>
      </c>
    </row>
  </sheetData>
  <phoneticPr fontId="5" type="noConversion"/>
  <conditionalFormatting sqref="C2:AE158">
    <cfRule type="cellIs" dxfId="2" priority="1" operator="lessThan">
      <formula>0</formula>
    </cfRule>
  </conditionalFormatting>
  <conditionalFormatting sqref="AE2:AE158">
    <cfRule type="cellIs" dxfId="1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397"/>
  <sheetViews>
    <sheetView zoomScale="80" zoomScaleNormal="80" workbookViewId="0">
      <pane ySplit="1" topLeftCell="A4370" activePane="bottomLeft" state="frozen"/>
      <selection pane="bottomLeft" activeCell="F4386" sqref="F4386"/>
    </sheetView>
  </sheetViews>
  <sheetFormatPr baseColWidth="10" defaultColWidth="11.5546875" defaultRowHeight="14.4" x14ac:dyDescent="0.3"/>
  <cols>
    <col min="1" max="1" width="27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163</v>
      </c>
      <c r="D1" s="64" t="s">
        <v>131</v>
      </c>
      <c r="G1" s="61" t="s">
        <v>2</v>
      </c>
      <c r="H1" s="62" t="s">
        <v>130</v>
      </c>
      <c r="I1" s="63" t="s">
        <v>163</v>
      </c>
      <c r="J1" s="64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193</v>
      </c>
      <c r="C21" s="16">
        <v>46143</v>
      </c>
      <c r="D21">
        <v>0</v>
      </c>
    </row>
    <row r="22" spans="1:4" x14ac:dyDescent="0.3">
      <c r="A22" t="s">
        <v>194</v>
      </c>
      <c r="C22" s="16">
        <v>46143</v>
      </c>
      <c r="D22">
        <v>0</v>
      </c>
    </row>
    <row r="23" spans="1:4" x14ac:dyDescent="0.3">
      <c r="A23" t="s">
        <v>195</v>
      </c>
      <c r="C23" s="16">
        <v>46143</v>
      </c>
      <c r="D23">
        <v>0</v>
      </c>
    </row>
    <row r="24" spans="1:4" x14ac:dyDescent="0.3">
      <c r="A24" t="s">
        <v>196</v>
      </c>
      <c r="C24" s="16">
        <v>46143</v>
      </c>
      <c r="D24">
        <v>0</v>
      </c>
    </row>
    <row r="25" spans="1:4" x14ac:dyDescent="0.3">
      <c r="A25" t="s">
        <v>197</v>
      </c>
      <c r="C25" s="16">
        <v>46143</v>
      </c>
      <c r="D25">
        <v>0</v>
      </c>
    </row>
    <row r="26" spans="1:4" x14ac:dyDescent="0.3">
      <c r="A26" t="s">
        <v>198</v>
      </c>
      <c r="C26" s="16">
        <v>46143</v>
      </c>
      <c r="D26">
        <v>0</v>
      </c>
    </row>
    <row r="27" spans="1:4" x14ac:dyDescent="0.3">
      <c r="A27" t="s">
        <v>216</v>
      </c>
      <c r="C27" s="16">
        <v>46143</v>
      </c>
      <c r="D27">
        <v>0</v>
      </c>
    </row>
    <row r="28" spans="1:4" x14ac:dyDescent="0.3">
      <c r="A28" t="s">
        <v>200</v>
      </c>
      <c r="C28" s="16">
        <v>46143</v>
      </c>
      <c r="D28">
        <v>0</v>
      </c>
    </row>
    <row r="29" spans="1:4" x14ac:dyDescent="0.3">
      <c r="A29" t="s">
        <v>201</v>
      </c>
      <c r="C29" s="16">
        <v>46143</v>
      </c>
      <c r="D29">
        <v>0</v>
      </c>
    </row>
    <row r="30" spans="1:4" x14ac:dyDescent="0.3">
      <c r="A30" t="s">
        <v>17</v>
      </c>
      <c r="C30" s="16">
        <v>46144</v>
      </c>
      <c r="D30">
        <v>200763.43000000025</v>
      </c>
    </row>
    <row r="31" spans="1:4" x14ac:dyDescent="0.3">
      <c r="A31" t="s">
        <v>18</v>
      </c>
      <c r="C31" s="16">
        <v>46144</v>
      </c>
      <c r="D31">
        <v>51288.029999999948</v>
      </c>
    </row>
    <row r="32" spans="1:4" x14ac:dyDescent="0.3">
      <c r="A32" t="s">
        <v>19</v>
      </c>
      <c r="C32" s="16">
        <v>46144</v>
      </c>
      <c r="D32">
        <v>1669.89</v>
      </c>
    </row>
    <row r="33" spans="1:4" x14ac:dyDescent="0.3">
      <c r="A33" t="s">
        <v>20</v>
      </c>
      <c r="C33" s="16">
        <v>46144</v>
      </c>
      <c r="D33">
        <v>589990.30000000005</v>
      </c>
    </row>
    <row r="34" spans="1:4" x14ac:dyDescent="0.3">
      <c r="A34" t="s">
        <v>21</v>
      </c>
      <c r="C34" s="16">
        <v>46144</v>
      </c>
      <c r="D34">
        <v>990387.37999999931</v>
      </c>
    </row>
    <row r="35" spans="1:4" x14ac:dyDescent="0.3">
      <c r="A35" t="s">
        <v>22</v>
      </c>
      <c r="C35" s="16">
        <v>46144</v>
      </c>
      <c r="D35">
        <v>142511.38</v>
      </c>
    </row>
    <row r="36" spans="1:4" x14ac:dyDescent="0.3">
      <c r="A36" t="s">
        <v>23</v>
      </c>
      <c r="C36" s="16">
        <v>46144</v>
      </c>
      <c r="D36">
        <v>13088.589999999997</v>
      </c>
    </row>
    <row r="37" spans="1:4" x14ac:dyDescent="0.3">
      <c r="A37" t="s">
        <v>24</v>
      </c>
      <c r="C37" s="16">
        <v>46144</v>
      </c>
      <c r="D37">
        <v>808.82999999999993</v>
      </c>
    </row>
    <row r="38" spans="1:4" x14ac:dyDescent="0.3">
      <c r="A38" t="s">
        <v>25</v>
      </c>
      <c r="C38" s="16">
        <v>46144</v>
      </c>
      <c r="D38">
        <v>114.3</v>
      </c>
    </row>
    <row r="39" spans="1:4" x14ac:dyDescent="0.3">
      <c r="A39" t="s">
        <v>26</v>
      </c>
      <c r="C39" s="16">
        <v>46144</v>
      </c>
      <c r="D39">
        <v>2267.7200000000003</v>
      </c>
    </row>
    <row r="40" spans="1:4" x14ac:dyDescent="0.3">
      <c r="A40" t="s">
        <v>27</v>
      </c>
      <c r="C40" s="16">
        <v>46144</v>
      </c>
      <c r="D40">
        <v>3364.94</v>
      </c>
    </row>
    <row r="41" spans="1:4" x14ac:dyDescent="0.3">
      <c r="A41" t="s">
        <v>28</v>
      </c>
      <c r="C41" s="16">
        <v>46144</v>
      </c>
      <c r="D41">
        <v>1968.99</v>
      </c>
    </row>
    <row r="42" spans="1:4" x14ac:dyDescent="0.3">
      <c r="A42" t="s">
        <v>29</v>
      </c>
      <c r="C42" s="16">
        <v>46144</v>
      </c>
      <c r="D42">
        <v>901.34</v>
      </c>
    </row>
    <row r="43" spans="1:4" x14ac:dyDescent="0.3">
      <c r="A43" t="s">
        <v>30</v>
      </c>
      <c r="C43" s="16">
        <v>46144</v>
      </c>
      <c r="D43">
        <v>1444.08</v>
      </c>
    </row>
    <row r="44" spans="1:4" x14ac:dyDescent="0.3">
      <c r="A44" t="s">
        <v>31</v>
      </c>
      <c r="C44" s="16">
        <v>46144</v>
      </c>
      <c r="D44">
        <v>23262.599999999962</v>
      </c>
    </row>
    <row r="45" spans="1:4" x14ac:dyDescent="0.3">
      <c r="A45" t="s">
        <v>32</v>
      </c>
      <c r="C45" s="16">
        <v>46144</v>
      </c>
      <c r="D45">
        <v>6853.9100000000017</v>
      </c>
    </row>
    <row r="46" spans="1:4" x14ac:dyDescent="0.3">
      <c r="A46" t="s">
        <v>33</v>
      </c>
      <c r="C46" s="16">
        <v>46144</v>
      </c>
      <c r="D46">
        <v>21338.39</v>
      </c>
    </row>
    <row r="47" spans="1:4" x14ac:dyDescent="0.3">
      <c r="A47" t="s">
        <v>34</v>
      </c>
      <c r="C47" s="16">
        <v>46144</v>
      </c>
      <c r="D47">
        <v>345</v>
      </c>
    </row>
    <row r="48" spans="1:4" x14ac:dyDescent="0.3">
      <c r="A48" t="s">
        <v>35</v>
      </c>
      <c r="C48" s="16">
        <v>46144</v>
      </c>
      <c r="D48">
        <v>13491.26</v>
      </c>
    </row>
    <row r="49" spans="1:4" x14ac:dyDescent="0.3">
      <c r="A49" t="s">
        <v>193</v>
      </c>
      <c r="C49" s="16">
        <v>46144</v>
      </c>
      <c r="D49">
        <v>0</v>
      </c>
    </row>
    <row r="50" spans="1:4" x14ac:dyDescent="0.3">
      <c r="A50" t="s">
        <v>194</v>
      </c>
      <c r="C50" s="16">
        <v>46144</v>
      </c>
      <c r="D50">
        <v>0</v>
      </c>
    </row>
    <row r="51" spans="1:4" x14ac:dyDescent="0.3">
      <c r="A51" t="s">
        <v>195</v>
      </c>
      <c r="C51" s="16">
        <v>46144</v>
      </c>
      <c r="D51">
        <v>0</v>
      </c>
    </row>
    <row r="52" spans="1:4" x14ac:dyDescent="0.3">
      <c r="A52" t="s">
        <v>196</v>
      </c>
      <c r="C52" s="16">
        <v>46144</v>
      </c>
      <c r="D52">
        <v>0</v>
      </c>
    </row>
    <row r="53" spans="1:4" x14ac:dyDescent="0.3">
      <c r="A53" t="s">
        <v>197</v>
      </c>
      <c r="C53" s="16">
        <v>46144</v>
      </c>
      <c r="D53">
        <v>0</v>
      </c>
    </row>
    <row r="54" spans="1:4" x14ac:dyDescent="0.3">
      <c r="A54" t="s">
        <v>198</v>
      </c>
      <c r="C54" s="16">
        <v>46144</v>
      </c>
      <c r="D54">
        <v>0</v>
      </c>
    </row>
    <row r="55" spans="1:4" x14ac:dyDescent="0.3">
      <c r="A55" t="s">
        <v>216</v>
      </c>
      <c r="C55" s="16">
        <v>46144</v>
      </c>
      <c r="D55">
        <v>0</v>
      </c>
    </row>
    <row r="56" spans="1:4" x14ac:dyDescent="0.3">
      <c r="A56" t="s">
        <v>200</v>
      </c>
      <c r="C56" s="16">
        <v>46144</v>
      </c>
      <c r="D56">
        <v>0</v>
      </c>
    </row>
    <row r="57" spans="1:4" x14ac:dyDescent="0.3">
      <c r="A57" t="s">
        <v>201</v>
      </c>
      <c r="C57" s="16">
        <v>46144</v>
      </c>
      <c r="D57">
        <v>0</v>
      </c>
    </row>
    <row r="58" spans="1:4" x14ac:dyDescent="0.3">
      <c r="A58" t="s">
        <v>17</v>
      </c>
      <c r="C58" s="16">
        <v>46145</v>
      </c>
      <c r="D58">
        <v>200763.43000000025</v>
      </c>
    </row>
    <row r="59" spans="1:4" x14ac:dyDescent="0.3">
      <c r="A59" t="s">
        <v>18</v>
      </c>
      <c r="C59" s="16">
        <v>46145</v>
      </c>
      <c r="D59">
        <v>51288.029999999948</v>
      </c>
    </row>
    <row r="60" spans="1:4" x14ac:dyDescent="0.3">
      <c r="A60" t="s">
        <v>19</v>
      </c>
      <c r="C60" s="16">
        <v>46145</v>
      </c>
      <c r="D60">
        <v>1669.89</v>
      </c>
    </row>
    <row r="61" spans="1:4" x14ac:dyDescent="0.3">
      <c r="A61" t="s">
        <v>20</v>
      </c>
      <c r="C61" s="16">
        <v>46145</v>
      </c>
      <c r="D61">
        <v>589990.30000000005</v>
      </c>
    </row>
    <row r="62" spans="1:4" x14ac:dyDescent="0.3">
      <c r="A62" t="s">
        <v>21</v>
      </c>
      <c r="C62" s="16">
        <v>46145</v>
      </c>
      <c r="D62">
        <v>990387.37999999931</v>
      </c>
    </row>
    <row r="63" spans="1:4" x14ac:dyDescent="0.3">
      <c r="A63" t="s">
        <v>22</v>
      </c>
      <c r="C63" s="16">
        <v>46145</v>
      </c>
      <c r="D63">
        <v>142511.38</v>
      </c>
    </row>
    <row r="64" spans="1:4" x14ac:dyDescent="0.3">
      <c r="A64" t="s">
        <v>23</v>
      </c>
      <c r="C64" s="16">
        <v>46145</v>
      </c>
      <c r="D64">
        <v>13088.589999999997</v>
      </c>
    </row>
    <row r="65" spans="1:4" x14ac:dyDescent="0.3">
      <c r="A65" t="s">
        <v>24</v>
      </c>
      <c r="C65" s="16">
        <v>46145</v>
      </c>
      <c r="D65">
        <v>808.82999999999993</v>
      </c>
    </row>
    <row r="66" spans="1:4" x14ac:dyDescent="0.3">
      <c r="A66" t="s">
        <v>25</v>
      </c>
      <c r="C66" s="16">
        <v>46145</v>
      </c>
      <c r="D66">
        <v>114.3</v>
      </c>
    </row>
    <row r="67" spans="1:4" x14ac:dyDescent="0.3">
      <c r="A67" t="s">
        <v>26</v>
      </c>
      <c r="C67" s="16">
        <v>46145</v>
      </c>
      <c r="D67">
        <v>2267.7200000000003</v>
      </c>
    </row>
    <row r="68" spans="1:4" x14ac:dyDescent="0.3">
      <c r="A68" t="s">
        <v>27</v>
      </c>
      <c r="C68" s="16">
        <v>46145</v>
      </c>
      <c r="D68">
        <v>3364.94</v>
      </c>
    </row>
    <row r="69" spans="1:4" x14ac:dyDescent="0.3">
      <c r="A69" t="s">
        <v>28</v>
      </c>
      <c r="C69" s="16">
        <v>46145</v>
      </c>
      <c r="D69">
        <v>1968.99</v>
      </c>
    </row>
    <row r="70" spans="1:4" x14ac:dyDescent="0.3">
      <c r="A70" t="s">
        <v>29</v>
      </c>
      <c r="C70" s="16">
        <v>46145</v>
      </c>
      <c r="D70">
        <v>901.34</v>
      </c>
    </row>
    <row r="71" spans="1:4" x14ac:dyDescent="0.3">
      <c r="A71" t="s">
        <v>30</v>
      </c>
      <c r="C71" s="16">
        <v>46145</v>
      </c>
      <c r="D71">
        <v>1444.08</v>
      </c>
    </row>
    <row r="72" spans="1:4" x14ac:dyDescent="0.3">
      <c r="A72" t="s">
        <v>31</v>
      </c>
      <c r="C72" s="16">
        <v>46145</v>
      </c>
      <c r="D72">
        <v>23262.599999999962</v>
      </c>
    </row>
    <row r="73" spans="1:4" x14ac:dyDescent="0.3">
      <c r="A73" t="s">
        <v>32</v>
      </c>
      <c r="C73" s="16">
        <v>46145</v>
      </c>
      <c r="D73">
        <v>6853.9100000000017</v>
      </c>
    </row>
    <row r="74" spans="1:4" x14ac:dyDescent="0.3">
      <c r="A74" t="s">
        <v>33</v>
      </c>
      <c r="C74" s="16">
        <v>46145</v>
      </c>
      <c r="D74">
        <v>21338.39</v>
      </c>
    </row>
    <row r="75" spans="1:4" x14ac:dyDescent="0.3">
      <c r="A75" t="s">
        <v>34</v>
      </c>
      <c r="C75" s="16">
        <v>46145</v>
      </c>
      <c r="D75">
        <v>345</v>
      </c>
    </row>
    <row r="76" spans="1:4" x14ac:dyDescent="0.3">
      <c r="A76" t="s">
        <v>35</v>
      </c>
      <c r="C76" s="16">
        <v>46145</v>
      </c>
      <c r="D76">
        <v>13491.26</v>
      </c>
    </row>
    <row r="77" spans="1:4" x14ac:dyDescent="0.3">
      <c r="A77" t="s">
        <v>193</v>
      </c>
      <c r="C77" s="16">
        <v>46145</v>
      </c>
      <c r="D77">
        <v>0</v>
      </c>
    </row>
    <row r="78" spans="1:4" x14ac:dyDescent="0.3">
      <c r="A78" t="s">
        <v>194</v>
      </c>
      <c r="C78" s="16">
        <v>46145</v>
      </c>
      <c r="D78">
        <v>0</v>
      </c>
    </row>
    <row r="79" spans="1:4" x14ac:dyDescent="0.3">
      <c r="A79" t="s">
        <v>195</v>
      </c>
      <c r="C79" s="16">
        <v>46145</v>
      </c>
      <c r="D79">
        <v>0</v>
      </c>
    </row>
    <row r="80" spans="1:4" x14ac:dyDescent="0.3">
      <c r="A80" t="s">
        <v>196</v>
      </c>
      <c r="C80" s="16">
        <v>46145</v>
      </c>
      <c r="D80">
        <v>0</v>
      </c>
    </row>
    <row r="81" spans="1:4" x14ac:dyDescent="0.3">
      <c r="A81" t="s">
        <v>197</v>
      </c>
      <c r="C81" s="16">
        <v>46145</v>
      </c>
      <c r="D81">
        <v>0</v>
      </c>
    </row>
    <row r="82" spans="1:4" x14ac:dyDescent="0.3">
      <c r="A82" t="s">
        <v>198</v>
      </c>
      <c r="C82" s="16">
        <v>46145</v>
      </c>
      <c r="D82">
        <v>0</v>
      </c>
    </row>
    <row r="83" spans="1:4" x14ac:dyDescent="0.3">
      <c r="A83" t="s">
        <v>216</v>
      </c>
      <c r="C83" s="16">
        <v>46145</v>
      </c>
      <c r="D83">
        <v>0</v>
      </c>
    </row>
    <row r="84" spans="1:4" x14ac:dyDescent="0.3">
      <c r="A84" t="s">
        <v>200</v>
      </c>
      <c r="C84" s="16">
        <v>46145</v>
      </c>
      <c r="D84">
        <v>0</v>
      </c>
    </row>
    <row r="85" spans="1:4" x14ac:dyDescent="0.3">
      <c r="A85" t="s">
        <v>201</v>
      </c>
      <c r="C85" s="16">
        <v>46145</v>
      </c>
      <c r="D85">
        <v>0</v>
      </c>
    </row>
    <row r="86" spans="1:4" x14ac:dyDescent="0.3">
      <c r="A86" t="s">
        <v>17</v>
      </c>
      <c r="C86" s="16">
        <v>46146</v>
      </c>
      <c r="D86">
        <v>200763.43000000025</v>
      </c>
    </row>
    <row r="87" spans="1:4" x14ac:dyDescent="0.3">
      <c r="A87" t="s">
        <v>18</v>
      </c>
      <c r="C87" s="16">
        <v>46146</v>
      </c>
      <c r="D87">
        <v>51288.029999999948</v>
      </c>
    </row>
    <row r="88" spans="1:4" x14ac:dyDescent="0.3">
      <c r="A88" t="s">
        <v>19</v>
      </c>
      <c r="C88" s="16">
        <v>46146</v>
      </c>
      <c r="D88">
        <v>1669.89</v>
      </c>
    </row>
    <row r="89" spans="1:4" x14ac:dyDescent="0.3">
      <c r="A89" t="s">
        <v>20</v>
      </c>
      <c r="C89" s="16">
        <v>46146</v>
      </c>
      <c r="D89">
        <v>589990.30000000005</v>
      </c>
    </row>
    <row r="90" spans="1:4" x14ac:dyDescent="0.3">
      <c r="A90" t="s">
        <v>21</v>
      </c>
      <c r="C90" s="16">
        <v>46146</v>
      </c>
      <c r="D90">
        <v>1790387.3799999994</v>
      </c>
    </row>
    <row r="91" spans="1:4" x14ac:dyDescent="0.3">
      <c r="A91" t="s">
        <v>22</v>
      </c>
      <c r="C91" s="16">
        <v>46146</v>
      </c>
      <c r="D91">
        <v>136511.38</v>
      </c>
    </row>
    <row r="92" spans="1:4" x14ac:dyDescent="0.3">
      <c r="A92" t="s">
        <v>23</v>
      </c>
      <c r="C92" s="16">
        <v>46146</v>
      </c>
      <c r="D92">
        <v>13088.589999999997</v>
      </c>
    </row>
    <row r="93" spans="1:4" x14ac:dyDescent="0.3">
      <c r="A93" t="s">
        <v>24</v>
      </c>
      <c r="C93" s="16">
        <v>46146</v>
      </c>
      <c r="D93">
        <v>808.82999999999993</v>
      </c>
    </row>
    <row r="94" spans="1:4" x14ac:dyDescent="0.3">
      <c r="A94" t="s">
        <v>25</v>
      </c>
      <c r="C94" s="16">
        <v>46146</v>
      </c>
      <c r="D94">
        <v>114.3</v>
      </c>
    </row>
    <row r="95" spans="1:4" x14ac:dyDescent="0.3">
      <c r="A95" t="s">
        <v>26</v>
      </c>
      <c r="C95" s="16">
        <v>46146</v>
      </c>
      <c r="D95">
        <v>2267.7200000000003</v>
      </c>
    </row>
    <row r="96" spans="1:4" x14ac:dyDescent="0.3">
      <c r="A96" t="s">
        <v>27</v>
      </c>
      <c r="C96" s="16">
        <v>46146</v>
      </c>
      <c r="D96">
        <v>3364.94</v>
      </c>
    </row>
    <row r="97" spans="1:4" x14ac:dyDescent="0.3">
      <c r="A97" t="s">
        <v>28</v>
      </c>
      <c r="C97" s="16">
        <v>46146</v>
      </c>
      <c r="D97">
        <v>1968.99</v>
      </c>
    </row>
    <row r="98" spans="1:4" x14ac:dyDescent="0.3">
      <c r="A98" t="s">
        <v>29</v>
      </c>
      <c r="C98" s="16">
        <v>46146</v>
      </c>
      <c r="D98">
        <v>901.34</v>
      </c>
    </row>
    <row r="99" spans="1:4" x14ac:dyDescent="0.3">
      <c r="A99" t="s">
        <v>30</v>
      </c>
      <c r="C99" s="16">
        <v>46146</v>
      </c>
      <c r="D99">
        <v>1444.08</v>
      </c>
    </row>
    <row r="100" spans="1:4" x14ac:dyDescent="0.3">
      <c r="A100" t="s">
        <v>31</v>
      </c>
      <c r="C100" s="16">
        <v>46146</v>
      </c>
      <c r="D100">
        <v>23247.599999999962</v>
      </c>
    </row>
    <row r="101" spans="1:4" x14ac:dyDescent="0.3">
      <c r="A101" t="s">
        <v>32</v>
      </c>
      <c r="C101" s="16">
        <v>46146</v>
      </c>
      <c r="D101">
        <v>6853.9100000000017</v>
      </c>
    </row>
    <row r="102" spans="1:4" x14ac:dyDescent="0.3">
      <c r="A102" t="s">
        <v>33</v>
      </c>
      <c r="C102" s="16">
        <v>46146</v>
      </c>
      <c r="D102">
        <v>21338.39</v>
      </c>
    </row>
    <row r="103" spans="1:4" x14ac:dyDescent="0.3">
      <c r="A103" t="s">
        <v>34</v>
      </c>
      <c r="C103" s="16">
        <v>46146</v>
      </c>
      <c r="D103">
        <v>345</v>
      </c>
    </row>
    <row r="104" spans="1:4" x14ac:dyDescent="0.3">
      <c r="A104" t="s">
        <v>35</v>
      </c>
      <c r="C104" s="16">
        <v>46146</v>
      </c>
      <c r="D104">
        <v>8782.25</v>
      </c>
    </row>
    <row r="105" spans="1:4" x14ac:dyDescent="0.3">
      <c r="A105" t="s">
        <v>193</v>
      </c>
      <c r="C105" s="16">
        <v>46146</v>
      </c>
      <c r="D105">
        <v>0</v>
      </c>
    </row>
    <row r="106" spans="1:4" x14ac:dyDescent="0.3">
      <c r="A106" t="s">
        <v>194</v>
      </c>
      <c r="C106" s="16">
        <v>46146</v>
      </c>
      <c r="D106">
        <v>0</v>
      </c>
    </row>
    <row r="107" spans="1:4" x14ac:dyDescent="0.3">
      <c r="A107" t="s">
        <v>195</v>
      </c>
      <c r="C107" s="16">
        <v>46146</v>
      </c>
      <c r="D107">
        <v>0</v>
      </c>
    </row>
    <row r="108" spans="1:4" x14ac:dyDescent="0.3">
      <c r="A108" t="s">
        <v>196</v>
      </c>
      <c r="C108" s="16">
        <v>46146</v>
      </c>
      <c r="D108">
        <v>0</v>
      </c>
    </row>
    <row r="109" spans="1:4" x14ac:dyDescent="0.3">
      <c r="A109" t="s">
        <v>197</v>
      </c>
      <c r="C109" s="16">
        <v>46146</v>
      </c>
      <c r="D109">
        <v>0</v>
      </c>
    </row>
    <row r="110" spans="1:4" x14ac:dyDescent="0.3">
      <c r="A110" t="s">
        <v>198</v>
      </c>
      <c r="C110" s="16">
        <v>46146</v>
      </c>
      <c r="D110">
        <v>0</v>
      </c>
    </row>
    <row r="111" spans="1:4" x14ac:dyDescent="0.3">
      <c r="A111" t="s">
        <v>216</v>
      </c>
      <c r="C111" s="16">
        <v>46146</v>
      </c>
      <c r="D111">
        <v>0</v>
      </c>
    </row>
    <row r="112" spans="1:4" x14ac:dyDescent="0.3">
      <c r="A112" t="s">
        <v>200</v>
      </c>
      <c r="C112" s="16">
        <v>46146</v>
      </c>
      <c r="D112">
        <v>0</v>
      </c>
    </row>
    <row r="113" spans="1:4" x14ac:dyDescent="0.3">
      <c r="A113" t="s">
        <v>201</v>
      </c>
      <c r="C113" s="16">
        <v>46146</v>
      </c>
      <c r="D113">
        <v>0</v>
      </c>
    </row>
    <row r="114" spans="1:4" x14ac:dyDescent="0.3">
      <c r="A114" t="s">
        <v>17</v>
      </c>
      <c r="C114" s="16">
        <v>46147</v>
      </c>
      <c r="D114">
        <v>197763.43000000025</v>
      </c>
    </row>
    <row r="115" spans="1:4" x14ac:dyDescent="0.3">
      <c r="A115" t="s">
        <v>18</v>
      </c>
      <c r="C115" s="16">
        <v>46147</v>
      </c>
      <c r="D115">
        <v>51288.029999999948</v>
      </c>
    </row>
    <row r="116" spans="1:4" x14ac:dyDescent="0.3">
      <c r="A116" t="s">
        <v>19</v>
      </c>
      <c r="C116" s="16">
        <v>46147</v>
      </c>
      <c r="D116">
        <v>1669.89</v>
      </c>
    </row>
    <row r="117" spans="1:4" x14ac:dyDescent="0.3">
      <c r="A117" t="s">
        <v>20</v>
      </c>
      <c r="C117" s="16">
        <v>46147</v>
      </c>
      <c r="D117">
        <v>989990.29999999993</v>
      </c>
    </row>
    <row r="118" spans="1:4" x14ac:dyDescent="0.3">
      <c r="A118" t="s">
        <v>21</v>
      </c>
      <c r="C118" s="16">
        <v>46147</v>
      </c>
      <c r="D118">
        <v>1088892.0899999994</v>
      </c>
    </row>
    <row r="119" spans="1:4" x14ac:dyDescent="0.3">
      <c r="A119" t="s">
        <v>22</v>
      </c>
      <c r="C119" s="16">
        <v>46147</v>
      </c>
      <c r="D119">
        <v>121511.38</v>
      </c>
    </row>
    <row r="120" spans="1:4" x14ac:dyDescent="0.3">
      <c r="A120" t="s">
        <v>23</v>
      </c>
      <c r="C120" s="16">
        <v>46147</v>
      </c>
      <c r="D120">
        <v>813088.59</v>
      </c>
    </row>
    <row r="121" spans="1:4" x14ac:dyDescent="0.3">
      <c r="A121" t="s">
        <v>24</v>
      </c>
      <c r="C121" s="16">
        <v>46147</v>
      </c>
      <c r="D121">
        <v>3768.83</v>
      </c>
    </row>
    <row r="122" spans="1:4" x14ac:dyDescent="0.3">
      <c r="A122" t="s">
        <v>25</v>
      </c>
      <c r="C122" s="16">
        <v>46147</v>
      </c>
      <c r="D122">
        <v>114.3</v>
      </c>
    </row>
    <row r="123" spans="1:4" x14ac:dyDescent="0.3">
      <c r="A123" t="s">
        <v>26</v>
      </c>
      <c r="C123" s="16">
        <v>46147</v>
      </c>
      <c r="D123">
        <v>2267.7200000000003</v>
      </c>
    </row>
    <row r="124" spans="1:4" x14ac:dyDescent="0.3">
      <c r="A124" t="s">
        <v>27</v>
      </c>
      <c r="C124" s="16">
        <v>46147</v>
      </c>
      <c r="D124">
        <v>3364.94</v>
      </c>
    </row>
    <row r="125" spans="1:4" x14ac:dyDescent="0.3">
      <c r="A125" t="s">
        <v>28</v>
      </c>
      <c r="C125" s="16">
        <v>46147</v>
      </c>
      <c r="D125">
        <v>1968.99</v>
      </c>
    </row>
    <row r="126" spans="1:4" x14ac:dyDescent="0.3">
      <c r="A126" t="s">
        <v>29</v>
      </c>
      <c r="C126" s="16">
        <v>46147</v>
      </c>
      <c r="D126">
        <v>901.34</v>
      </c>
    </row>
    <row r="127" spans="1:4" x14ac:dyDescent="0.3">
      <c r="A127" t="s">
        <v>30</v>
      </c>
      <c r="C127" s="16">
        <v>46147</v>
      </c>
      <c r="D127">
        <v>1444.08</v>
      </c>
    </row>
    <row r="128" spans="1:4" x14ac:dyDescent="0.3">
      <c r="A128" t="s">
        <v>31</v>
      </c>
      <c r="C128" s="16">
        <v>46147</v>
      </c>
      <c r="D128">
        <v>23247.599999999962</v>
      </c>
    </row>
    <row r="129" spans="1:4" x14ac:dyDescent="0.3">
      <c r="A129" t="s">
        <v>32</v>
      </c>
      <c r="C129" s="16">
        <v>46147</v>
      </c>
      <c r="D129">
        <v>6853.9100000000017</v>
      </c>
    </row>
    <row r="130" spans="1:4" x14ac:dyDescent="0.3">
      <c r="A130" t="s">
        <v>33</v>
      </c>
      <c r="C130" s="16">
        <v>46147</v>
      </c>
      <c r="D130">
        <v>21338.39</v>
      </c>
    </row>
    <row r="131" spans="1:4" x14ac:dyDescent="0.3">
      <c r="A131" t="s">
        <v>34</v>
      </c>
      <c r="C131" s="16">
        <v>46147</v>
      </c>
      <c r="D131">
        <v>345</v>
      </c>
    </row>
    <row r="132" spans="1:4" x14ac:dyDescent="0.3">
      <c r="A132" t="s">
        <v>35</v>
      </c>
      <c r="C132" s="16">
        <v>46147</v>
      </c>
      <c r="D132">
        <v>8782.25</v>
      </c>
    </row>
    <row r="133" spans="1:4" x14ac:dyDescent="0.3">
      <c r="A133" t="s">
        <v>193</v>
      </c>
      <c r="C133" s="16">
        <v>46147</v>
      </c>
      <c r="D133">
        <v>0</v>
      </c>
    </row>
    <row r="134" spans="1:4" x14ac:dyDescent="0.3">
      <c r="A134" t="s">
        <v>194</v>
      </c>
      <c r="C134" s="16">
        <v>46147</v>
      </c>
      <c r="D134">
        <v>0</v>
      </c>
    </row>
    <row r="135" spans="1:4" x14ac:dyDescent="0.3">
      <c r="A135" t="s">
        <v>195</v>
      </c>
      <c r="C135" s="16">
        <v>46147</v>
      </c>
      <c r="D135">
        <v>0</v>
      </c>
    </row>
    <row r="136" spans="1:4" x14ac:dyDescent="0.3">
      <c r="A136" t="s">
        <v>196</v>
      </c>
      <c r="C136" s="16">
        <v>46147</v>
      </c>
      <c r="D136">
        <v>0</v>
      </c>
    </row>
    <row r="137" spans="1:4" x14ac:dyDescent="0.3">
      <c r="A137" t="s">
        <v>197</v>
      </c>
      <c r="C137" s="16">
        <v>46147</v>
      </c>
      <c r="D137">
        <v>0</v>
      </c>
    </row>
    <row r="138" spans="1:4" x14ac:dyDescent="0.3">
      <c r="A138" t="s">
        <v>198</v>
      </c>
      <c r="C138" s="16">
        <v>46147</v>
      </c>
      <c r="D138">
        <v>0</v>
      </c>
    </row>
    <row r="139" spans="1:4" x14ac:dyDescent="0.3">
      <c r="A139" t="s">
        <v>216</v>
      </c>
      <c r="C139" s="16">
        <v>46147</v>
      </c>
      <c r="D139">
        <v>0</v>
      </c>
    </row>
    <row r="140" spans="1:4" x14ac:dyDescent="0.3">
      <c r="A140" t="s">
        <v>200</v>
      </c>
      <c r="C140" s="16">
        <v>46147</v>
      </c>
      <c r="D140">
        <v>0</v>
      </c>
    </row>
    <row r="141" spans="1:4" x14ac:dyDescent="0.3">
      <c r="A141" t="s">
        <v>201</v>
      </c>
      <c r="C141" s="16">
        <v>46147</v>
      </c>
      <c r="D141">
        <v>0</v>
      </c>
    </row>
    <row r="142" spans="1:4" x14ac:dyDescent="0.3">
      <c r="A142" t="s">
        <v>17</v>
      </c>
      <c r="C142" s="16">
        <v>46148</v>
      </c>
      <c r="D142">
        <v>197763.43000000025</v>
      </c>
    </row>
    <row r="143" spans="1:4" x14ac:dyDescent="0.3">
      <c r="A143" t="s">
        <v>18</v>
      </c>
      <c r="C143" s="16">
        <v>46148</v>
      </c>
      <c r="D143">
        <v>626288.02999999991</v>
      </c>
    </row>
    <row r="144" spans="1:4" x14ac:dyDescent="0.3">
      <c r="A144" t="s">
        <v>19</v>
      </c>
      <c r="C144" s="16">
        <v>46148</v>
      </c>
      <c r="D144">
        <v>1669.89</v>
      </c>
    </row>
    <row r="145" spans="1:4" x14ac:dyDescent="0.3">
      <c r="A145" t="s">
        <v>20</v>
      </c>
      <c r="C145" s="16">
        <v>46148</v>
      </c>
      <c r="D145">
        <v>989990.29999999993</v>
      </c>
    </row>
    <row r="146" spans="1:4" x14ac:dyDescent="0.3">
      <c r="A146" t="s">
        <v>21</v>
      </c>
      <c r="C146" s="16">
        <v>46148</v>
      </c>
      <c r="D146">
        <v>961212.30999999924</v>
      </c>
    </row>
    <row r="147" spans="1:4" x14ac:dyDescent="0.3">
      <c r="A147" t="s">
        <v>22</v>
      </c>
      <c r="C147" s="16">
        <v>46148</v>
      </c>
      <c r="D147">
        <v>121511.38</v>
      </c>
    </row>
    <row r="148" spans="1:4" x14ac:dyDescent="0.3">
      <c r="A148" t="s">
        <v>23</v>
      </c>
      <c r="C148" s="16">
        <v>46148</v>
      </c>
      <c r="D148">
        <v>813088.59</v>
      </c>
    </row>
    <row r="149" spans="1:4" x14ac:dyDescent="0.3">
      <c r="A149" t="s">
        <v>24</v>
      </c>
      <c r="C149" s="16">
        <v>46148</v>
      </c>
      <c r="D149">
        <v>3768.83</v>
      </c>
    </row>
    <row r="150" spans="1:4" x14ac:dyDescent="0.3">
      <c r="A150" t="s">
        <v>25</v>
      </c>
      <c r="C150" s="16">
        <v>46148</v>
      </c>
      <c r="D150">
        <v>114.3</v>
      </c>
    </row>
    <row r="151" spans="1:4" x14ac:dyDescent="0.3">
      <c r="A151" t="s">
        <v>26</v>
      </c>
      <c r="C151" s="16">
        <v>46148</v>
      </c>
      <c r="D151">
        <v>2267.7200000000003</v>
      </c>
    </row>
    <row r="152" spans="1:4" x14ac:dyDescent="0.3">
      <c r="A152" t="s">
        <v>27</v>
      </c>
      <c r="C152" s="16">
        <v>46148</v>
      </c>
      <c r="D152">
        <v>3364.94</v>
      </c>
    </row>
    <row r="153" spans="1:4" x14ac:dyDescent="0.3">
      <c r="A153" t="s">
        <v>28</v>
      </c>
      <c r="C153" s="16">
        <v>46148</v>
      </c>
      <c r="D153">
        <v>1968.99</v>
      </c>
    </row>
    <row r="154" spans="1:4" x14ac:dyDescent="0.3">
      <c r="A154" t="s">
        <v>29</v>
      </c>
      <c r="C154" s="16">
        <v>46148</v>
      </c>
      <c r="D154">
        <v>901.34</v>
      </c>
    </row>
    <row r="155" spans="1:4" x14ac:dyDescent="0.3">
      <c r="A155" t="s">
        <v>30</v>
      </c>
      <c r="C155" s="16">
        <v>46148</v>
      </c>
      <c r="D155">
        <v>1444.08</v>
      </c>
    </row>
    <row r="156" spans="1:4" x14ac:dyDescent="0.3">
      <c r="A156" t="s">
        <v>31</v>
      </c>
      <c r="C156" s="16">
        <v>46148</v>
      </c>
      <c r="D156">
        <v>23247.599999999962</v>
      </c>
    </row>
    <row r="157" spans="1:4" x14ac:dyDescent="0.3">
      <c r="A157" t="s">
        <v>32</v>
      </c>
      <c r="C157" s="16">
        <v>46148</v>
      </c>
      <c r="D157">
        <v>5135.0600000000013</v>
      </c>
    </row>
    <row r="158" spans="1:4" x14ac:dyDescent="0.3">
      <c r="A158" t="s">
        <v>33</v>
      </c>
      <c r="C158" s="16">
        <v>46148</v>
      </c>
      <c r="D158">
        <v>21338.39</v>
      </c>
    </row>
    <row r="159" spans="1:4" x14ac:dyDescent="0.3">
      <c r="A159" t="s">
        <v>34</v>
      </c>
      <c r="C159" s="16">
        <v>46148</v>
      </c>
      <c r="D159">
        <v>345</v>
      </c>
    </row>
    <row r="160" spans="1:4" x14ac:dyDescent="0.3">
      <c r="A160" t="s">
        <v>35</v>
      </c>
      <c r="C160" s="16">
        <v>46148</v>
      </c>
      <c r="D160">
        <v>8782.25</v>
      </c>
    </row>
    <row r="161" spans="1:4" x14ac:dyDescent="0.3">
      <c r="A161" t="s">
        <v>193</v>
      </c>
      <c r="C161" s="16">
        <v>46148</v>
      </c>
      <c r="D161">
        <v>0</v>
      </c>
    </row>
    <row r="162" spans="1:4" x14ac:dyDescent="0.3">
      <c r="A162" t="s">
        <v>194</v>
      </c>
      <c r="C162" s="16">
        <v>46148</v>
      </c>
      <c r="D162">
        <v>0</v>
      </c>
    </row>
    <row r="163" spans="1:4" x14ac:dyDescent="0.3">
      <c r="A163" t="s">
        <v>195</v>
      </c>
      <c r="C163" s="16">
        <v>46148</v>
      </c>
      <c r="D163">
        <v>0</v>
      </c>
    </row>
    <row r="164" spans="1:4" x14ac:dyDescent="0.3">
      <c r="A164" t="s">
        <v>196</v>
      </c>
      <c r="C164" s="16">
        <v>46148</v>
      </c>
      <c r="D164">
        <v>0</v>
      </c>
    </row>
    <row r="165" spans="1:4" x14ac:dyDescent="0.3">
      <c r="A165" t="s">
        <v>197</v>
      </c>
      <c r="C165" s="16">
        <v>46148</v>
      </c>
      <c r="D165">
        <v>0</v>
      </c>
    </row>
    <row r="166" spans="1:4" x14ac:dyDescent="0.3">
      <c r="A166" t="s">
        <v>198</v>
      </c>
      <c r="C166" s="16">
        <v>46148</v>
      </c>
      <c r="D166">
        <v>0</v>
      </c>
    </row>
    <row r="167" spans="1:4" x14ac:dyDescent="0.3">
      <c r="A167" t="s">
        <v>216</v>
      </c>
      <c r="C167" s="16">
        <v>46148</v>
      </c>
      <c r="D167">
        <v>0</v>
      </c>
    </row>
    <row r="168" spans="1:4" x14ac:dyDescent="0.3">
      <c r="A168" t="s">
        <v>200</v>
      </c>
      <c r="C168" s="16">
        <v>46148</v>
      </c>
      <c r="D168">
        <v>0</v>
      </c>
    </row>
    <row r="169" spans="1:4" x14ac:dyDescent="0.3">
      <c r="A169" t="s">
        <v>201</v>
      </c>
      <c r="C169" s="16">
        <v>46148</v>
      </c>
      <c r="D169">
        <v>0</v>
      </c>
    </row>
    <row r="170" spans="1:4" x14ac:dyDescent="0.3">
      <c r="A170" t="s">
        <v>17</v>
      </c>
      <c r="C170" s="16">
        <v>46149</v>
      </c>
      <c r="D170">
        <v>447763.43000000028</v>
      </c>
    </row>
    <row r="171" spans="1:4" x14ac:dyDescent="0.3">
      <c r="A171" t="s">
        <v>18</v>
      </c>
      <c r="C171" s="16">
        <v>46149</v>
      </c>
      <c r="D171">
        <v>56288.029999999941</v>
      </c>
    </row>
    <row r="172" spans="1:4" x14ac:dyDescent="0.3">
      <c r="A172" t="s">
        <v>19</v>
      </c>
      <c r="C172" s="16">
        <v>46149</v>
      </c>
      <c r="D172">
        <v>1669.89</v>
      </c>
    </row>
    <row r="173" spans="1:4" x14ac:dyDescent="0.3">
      <c r="A173" t="s">
        <v>20</v>
      </c>
      <c r="C173" s="16">
        <v>46149</v>
      </c>
      <c r="D173">
        <v>274668.55999999994</v>
      </c>
    </row>
    <row r="174" spans="1:4" x14ac:dyDescent="0.3">
      <c r="A174" t="s">
        <v>21</v>
      </c>
      <c r="C174" s="16">
        <v>46149</v>
      </c>
      <c r="D174">
        <v>926213.13999999932</v>
      </c>
    </row>
    <row r="175" spans="1:4" x14ac:dyDescent="0.3">
      <c r="A175" t="s">
        <v>22</v>
      </c>
      <c r="C175" s="16">
        <v>46149</v>
      </c>
      <c r="D175">
        <v>121511.38</v>
      </c>
    </row>
    <row r="176" spans="1:4" x14ac:dyDescent="0.3">
      <c r="A176" t="s">
        <v>23</v>
      </c>
      <c r="C176" s="16">
        <v>46149</v>
      </c>
      <c r="D176">
        <v>1513088.59</v>
      </c>
    </row>
    <row r="177" spans="1:4" x14ac:dyDescent="0.3">
      <c r="A177" t="s">
        <v>24</v>
      </c>
      <c r="C177" s="16">
        <v>46149</v>
      </c>
      <c r="D177">
        <v>3768.83</v>
      </c>
    </row>
    <row r="178" spans="1:4" x14ac:dyDescent="0.3">
      <c r="A178" t="s">
        <v>25</v>
      </c>
      <c r="C178" s="16">
        <v>46149</v>
      </c>
      <c r="D178">
        <v>114.3</v>
      </c>
    </row>
    <row r="179" spans="1:4" x14ac:dyDescent="0.3">
      <c r="A179" t="s">
        <v>26</v>
      </c>
      <c r="C179" s="16">
        <v>46149</v>
      </c>
      <c r="D179">
        <v>2267.7200000000003</v>
      </c>
    </row>
    <row r="180" spans="1:4" x14ac:dyDescent="0.3">
      <c r="A180" t="s">
        <v>27</v>
      </c>
      <c r="C180" s="16">
        <v>46149</v>
      </c>
      <c r="D180">
        <v>3364.94</v>
      </c>
    </row>
    <row r="181" spans="1:4" x14ac:dyDescent="0.3">
      <c r="A181" t="s">
        <v>28</v>
      </c>
      <c r="C181" s="16">
        <v>46149</v>
      </c>
      <c r="D181">
        <v>1968.99</v>
      </c>
    </row>
    <row r="182" spans="1:4" x14ac:dyDescent="0.3">
      <c r="A182" t="s">
        <v>29</v>
      </c>
      <c r="C182" s="16">
        <v>46149</v>
      </c>
      <c r="D182">
        <v>901.34</v>
      </c>
    </row>
    <row r="183" spans="1:4" x14ac:dyDescent="0.3">
      <c r="A183" t="s">
        <v>30</v>
      </c>
      <c r="C183" s="16">
        <v>46149</v>
      </c>
      <c r="D183">
        <v>1444.08</v>
      </c>
    </row>
    <row r="184" spans="1:4" x14ac:dyDescent="0.3">
      <c r="A184" t="s">
        <v>31</v>
      </c>
      <c r="C184" s="16">
        <v>46149</v>
      </c>
      <c r="D184">
        <v>23247.599999999962</v>
      </c>
    </row>
    <row r="185" spans="1:4" x14ac:dyDescent="0.3">
      <c r="A185" t="s">
        <v>32</v>
      </c>
      <c r="C185" s="16">
        <v>46149</v>
      </c>
      <c r="D185">
        <v>15135.060000000001</v>
      </c>
    </row>
    <row r="186" spans="1:4" x14ac:dyDescent="0.3">
      <c r="A186" t="s">
        <v>33</v>
      </c>
      <c r="C186" s="16">
        <v>46149</v>
      </c>
      <c r="D186">
        <v>31338.39</v>
      </c>
    </row>
    <row r="187" spans="1:4" x14ac:dyDescent="0.3">
      <c r="A187" t="s">
        <v>34</v>
      </c>
      <c r="C187" s="16">
        <v>46149</v>
      </c>
      <c r="D187">
        <v>345</v>
      </c>
    </row>
    <row r="188" spans="1:4" x14ac:dyDescent="0.3">
      <c r="A188" t="s">
        <v>35</v>
      </c>
      <c r="C188" s="16">
        <v>46149</v>
      </c>
      <c r="D188">
        <v>8782.25</v>
      </c>
    </row>
    <row r="189" spans="1:4" x14ac:dyDescent="0.3">
      <c r="A189" t="s">
        <v>193</v>
      </c>
      <c r="C189" s="16">
        <v>46149</v>
      </c>
      <c r="D189">
        <v>0</v>
      </c>
    </row>
    <row r="190" spans="1:4" x14ac:dyDescent="0.3">
      <c r="A190" t="s">
        <v>194</v>
      </c>
      <c r="C190" s="16">
        <v>46149</v>
      </c>
      <c r="D190">
        <v>0</v>
      </c>
    </row>
    <row r="191" spans="1:4" x14ac:dyDescent="0.3">
      <c r="A191" t="s">
        <v>195</v>
      </c>
      <c r="C191" s="16">
        <v>46149</v>
      </c>
      <c r="D191">
        <v>0</v>
      </c>
    </row>
    <row r="192" spans="1:4" x14ac:dyDescent="0.3">
      <c r="A192" t="s">
        <v>196</v>
      </c>
      <c r="C192" s="16">
        <v>46149</v>
      </c>
      <c r="D192">
        <v>0</v>
      </c>
    </row>
    <row r="193" spans="1:4" x14ac:dyDescent="0.3">
      <c r="A193" t="s">
        <v>197</v>
      </c>
      <c r="C193" s="16">
        <v>46149</v>
      </c>
      <c r="D193">
        <v>0</v>
      </c>
    </row>
    <row r="194" spans="1:4" x14ac:dyDescent="0.3">
      <c r="A194" t="s">
        <v>198</v>
      </c>
      <c r="C194" s="16">
        <v>46149</v>
      </c>
      <c r="D194">
        <v>0</v>
      </c>
    </row>
    <row r="195" spans="1:4" x14ac:dyDescent="0.3">
      <c r="A195" t="s">
        <v>216</v>
      </c>
      <c r="C195" s="16">
        <v>46149</v>
      </c>
      <c r="D195">
        <v>0</v>
      </c>
    </row>
    <row r="196" spans="1:4" x14ac:dyDescent="0.3">
      <c r="A196" t="s">
        <v>200</v>
      </c>
      <c r="C196" s="16">
        <v>46149</v>
      </c>
      <c r="D196">
        <v>0</v>
      </c>
    </row>
    <row r="197" spans="1:4" x14ac:dyDescent="0.3">
      <c r="A197" t="s">
        <v>201</v>
      </c>
      <c r="C197" s="16">
        <v>46149</v>
      </c>
      <c r="D197">
        <v>0</v>
      </c>
    </row>
    <row r="198" spans="1:4" x14ac:dyDescent="0.3">
      <c r="A198" t="s">
        <v>17</v>
      </c>
      <c r="C198" s="16">
        <v>46150</v>
      </c>
      <c r="D198">
        <v>512927.75000000023</v>
      </c>
    </row>
    <row r="199" spans="1:4" x14ac:dyDescent="0.3">
      <c r="A199" t="s">
        <v>18</v>
      </c>
      <c r="C199" s="16">
        <v>46150</v>
      </c>
      <c r="D199">
        <v>58840.089999999938</v>
      </c>
    </row>
    <row r="200" spans="1:4" x14ac:dyDescent="0.3">
      <c r="A200" t="s">
        <v>19</v>
      </c>
      <c r="C200" s="16">
        <v>46150</v>
      </c>
      <c r="D200">
        <v>1669.89</v>
      </c>
    </row>
    <row r="201" spans="1:4" x14ac:dyDescent="0.3">
      <c r="A201" t="s">
        <v>20</v>
      </c>
      <c r="C201" s="16">
        <v>46150</v>
      </c>
      <c r="D201">
        <v>792366.49999999988</v>
      </c>
    </row>
    <row r="202" spans="1:4" x14ac:dyDescent="0.3">
      <c r="A202" t="s">
        <v>21</v>
      </c>
      <c r="C202" s="16">
        <v>46150</v>
      </c>
      <c r="D202">
        <v>923830.41999999923</v>
      </c>
    </row>
    <row r="203" spans="1:4" x14ac:dyDescent="0.3">
      <c r="A203" t="s">
        <v>22</v>
      </c>
      <c r="C203" s="16">
        <v>46150</v>
      </c>
      <c r="D203">
        <v>121511.38</v>
      </c>
    </row>
    <row r="204" spans="1:4" x14ac:dyDescent="0.3">
      <c r="A204" t="s">
        <v>23</v>
      </c>
      <c r="C204" s="16">
        <v>46150</v>
      </c>
      <c r="D204">
        <v>13088.589999999997</v>
      </c>
    </row>
    <row r="205" spans="1:4" x14ac:dyDescent="0.3">
      <c r="A205" t="s">
        <v>24</v>
      </c>
      <c r="C205" s="16">
        <v>46150</v>
      </c>
      <c r="D205">
        <v>3768.83</v>
      </c>
    </row>
    <row r="206" spans="1:4" x14ac:dyDescent="0.3">
      <c r="A206" t="s">
        <v>25</v>
      </c>
      <c r="C206" s="16">
        <v>46150</v>
      </c>
      <c r="D206">
        <v>114.3</v>
      </c>
    </row>
    <row r="207" spans="1:4" x14ac:dyDescent="0.3">
      <c r="A207" t="s">
        <v>26</v>
      </c>
      <c r="C207" s="16">
        <v>46150</v>
      </c>
      <c r="D207">
        <v>2267.7200000000003</v>
      </c>
    </row>
    <row r="208" spans="1:4" x14ac:dyDescent="0.3">
      <c r="A208" t="s">
        <v>27</v>
      </c>
      <c r="C208" s="16">
        <v>46150</v>
      </c>
      <c r="D208">
        <v>3349.94</v>
      </c>
    </row>
    <row r="209" spans="1:4" x14ac:dyDescent="0.3">
      <c r="A209" t="s">
        <v>28</v>
      </c>
      <c r="C209" s="16">
        <v>46150</v>
      </c>
      <c r="D209">
        <v>1968.99</v>
      </c>
    </row>
    <row r="210" spans="1:4" x14ac:dyDescent="0.3">
      <c r="A210" t="s">
        <v>29</v>
      </c>
      <c r="C210" s="16">
        <v>46150</v>
      </c>
      <c r="D210">
        <v>901.34</v>
      </c>
    </row>
    <row r="211" spans="1:4" x14ac:dyDescent="0.3">
      <c r="A211" t="s">
        <v>30</v>
      </c>
      <c r="C211" s="16">
        <v>46150</v>
      </c>
      <c r="D211">
        <v>1444.08</v>
      </c>
    </row>
    <row r="212" spans="1:4" x14ac:dyDescent="0.3">
      <c r="A212" t="s">
        <v>31</v>
      </c>
      <c r="C212" s="16">
        <v>46150</v>
      </c>
      <c r="D212">
        <v>20592.599999999962</v>
      </c>
    </row>
    <row r="213" spans="1:4" x14ac:dyDescent="0.3">
      <c r="A213" t="s">
        <v>32</v>
      </c>
      <c r="C213" s="16">
        <v>46150</v>
      </c>
      <c r="D213">
        <v>15120.060000000001</v>
      </c>
    </row>
    <row r="214" spans="1:4" x14ac:dyDescent="0.3">
      <c r="A214" t="s">
        <v>33</v>
      </c>
      <c r="C214" s="16">
        <v>46150</v>
      </c>
      <c r="D214">
        <v>31323.39</v>
      </c>
    </row>
    <row r="215" spans="1:4" x14ac:dyDescent="0.3">
      <c r="A215" t="s">
        <v>34</v>
      </c>
      <c r="C215" s="16">
        <v>46150</v>
      </c>
      <c r="D215">
        <v>345</v>
      </c>
    </row>
    <row r="216" spans="1:4" x14ac:dyDescent="0.3">
      <c r="A216" t="s">
        <v>35</v>
      </c>
      <c r="C216" s="16">
        <v>46150</v>
      </c>
      <c r="D216">
        <v>23782.25</v>
      </c>
    </row>
    <row r="217" spans="1:4" x14ac:dyDescent="0.3">
      <c r="A217" t="s">
        <v>193</v>
      </c>
      <c r="C217" s="16">
        <v>46150</v>
      </c>
      <c r="D217">
        <v>0</v>
      </c>
    </row>
    <row r="218" spans="1:4" x14ac:dyDescent="0.3">
      <c r="A218" t="s">
        <v>194</v>
      </c>
      <c r="C218" s="16">
        <v>46150</v>
      </c>
      <c r="D218">
        <v>0</v>
      </c>
    </row>
    <row r="219" spans="1:4" x14ac:dyDescent="0.3">
      <c r="A219" t="s">
        <v>195</v>
      </c>
      <c r="C219" s="16">
        <v>46150</v>
      </c>
      <c r="D219">
        <v>0</v>
      </c>
    </row>
    <row r="220" spans="1:4" x14ac:dyDescent="0.3">
      <c r="A220" t="s">
        <v>196</v>
      </c>
      <c r="C220" s="16">
        <v>46150</v>
      </c>
      <c r="D220">
        <v>0</v>
      </c>
    </row>
    <row r="221" spans="1:4" x14ac:dyDescent="0.3">
      <c r="A221" t="s">
        <v>197</v>
      </c>
      <c r="C221" s="16">
        <v>46150</v>
      </c>
      <c r="D221">
        <v>0</v>
      </c>
    </row>
    <row r="222" spans="1:4" x14ac:dyDescent="0.3">
      <c r="A222" t="s">
        <v>198</v>
      </c>
      <c r="C222" s="16">
        <v>46150</v>
      </c>
      <c r="D222">
        <v>0</v>
      </c>
    </row>
    <row r="223" spans="1:4" x14ac:dyDescent="0.3">
      <c r="A223" t="s">
        <v>216</v>
      </c>
      <c r="C223" s="16">
        <v>46150</v>
      </c>
      <c r="D223">
        <v>0</v>
      </c>
    </row>
    <row r="224" spans="1:4" x14ac:dyDescent="0.3">
      <c r="A224" t="s">
        <v>200</v>
      </c>
      <c r="C224" s="16">
        <v>46150</v>
      </c>
      <c r="D224">
        <v>0</v>
      </c>
    </row>
    <row r="225" spans="1:4" x14ac:dyDescent="0.3">
      <c r="A225" t="s">
        <v>201</v>
      </c>
      <c r="C225" s="16">
        <v>46150</v>
      </c>
      <c r="D225">
        <v>0</v>
      </c>
    </row>
    <row r="226" spans="1:4" x14ac:dyDescent="0.3">
      <c r="A226" t="s">
        <v>17</v>
      </c>
      <c r="C226" s="16">
        <v>46151</v>
      </c>
      <c r="D226">
        <v>512927.75000000023</v>
      </c>
    </row>
    <row r="227" spans="1:4" x14ac:dyDescent="0.3">
      <c r="A227" t="s">
        <v>18</v>
      </c>
      <c r="C227" s="16">
        <v>46151</v>
      </c>
      <c r="D227">
        <v>58840.089999999938</v>
      </c>
    </row>
    <row r="228" spans="1:4" x14ac:dyDescent="0.3">
      <c r="A228" t="s">
        <v>19</v>
      </c>
      <c r="C228" s="16">
        <v>46151</v>
      </c>
      <c r="D228">
        <v>1669.89</v>
      </c>
    </row>
    <row r="229" spans="1:4" x14ac:dyDescent="0.3">
      <c r="A229" t="s">
        <v>20</v>
      </c>
      <c r="C229" s="16">
        <v>46151</v>
      </c>
      <c r="D229">
        <v>792366.49999999988</v>
      </c>
    </row>
    <row r="230" spans="1:4" x14ac:dyDescent="0.3">
      <c r="A230" t="s">
        <v>21</v>
      </c>
      <c r="C230" s="16">
        <v>46151</v>
      </c>
      <c r="D230">
        <v>923830.41999999923</v>
      </c>
    </row>
    <row r="231" spans="1:4" x14ac:dyDescent="0.3">
      <c r="A231" t="s">
        <v>22</v>
      </c>
      <c r="C231" s="16">
        <v>46151</v>
      </c>
      <c r="D231">
        <v>121511.38</v>
      </c>
    </row>
    <row r="232" spans="1:4" x14ac:dyDescent="0.3">
      <c r="A232" t="s">
        <v>23</v>
      </c>
      <c r="C232" s="16">
        <v>46151</v>
      </c>
      <c r="D232">
        <v>13088.589999999997</v>
      </c>
    </row>
    <row r="233" spans="1:4" x14ac:dyDescent="0.3">
      <c r="A233" t="s">
        <v>24</v>
      </c>
      <c r="C233" s="16">
        <v>46151</v>
      </c>
      <c r="D233">
        <v>3768.83</v>
      </c>
    </row>
    <row r="234" spans="1:4" x14ac:dyDescent="0.3">
      <c r="A234" t="s">
        <v>25</v>
      </c>
      <c r="C234" s="16">
        <v>46151</v>
      </c>
      <c r="D234">
        <v>114.3</v>
      </c>
    </row>
    <row r="235" spans="1:4" x14ac:dyDescent="0.3">
      <c r="A235" t="s">
        <v>26</v>
      </c>
      <c r="C235" s="16">
        <v>46151</v>
      </c>
      <c r="D235">
        <v>2267.7200000000003</v>
      </c>
    </row>
    <row r="236" spans="1:4" x14ac:dyDescent="0.3">
      <c r="A236" t="s">
        <v>27</v>
      </c>
      <c r="C236" s="16">
        <v>46151</v>
      </c>
      <c r="D236">
        <v>3349.94</v>
      </c>
    </row>
    <row r="237" spans="1:4" x14ac:dyDescent="0.3">
      <c r="A237" t="s">
        <v>28</v>
      </c>
      <c r="C237" s="16">
        <v>46151</v>
      </c>
      <c r="D237">
        <v>1968.99</v>
      </c>
    </row>
    <row r="238" spans="1:4" x14ac:dyDescent="0.3">
      <c r="A238" t="s">
        <v>29</v>
      </c>
      <c r="C238" s="16">
        <v>46151</v>
      </c>
      <c r="D238">
        <v>901.34</v>
      </c>
    </row>
    <row r="239" spans="1:4" x14ac:dyDescent="0.3">
      <c r="A239" t="s">
        <v>30</v>
      </c>
      <c r="C239" s="16">
        <v>46151</v>
      </c>
      <c r="D239">
        <v>1444.08</v>
      </c>
    </row>
    <row r="240" spans="1:4" x14ac:dyDescent="0.3">
      <c r="A240" t="s">
        <v>31</v>
      </c>
      <c r="C240" s="16">
        <v>46151</v>
      </c>
      <c r="D240">
        <v>20592.599999999962</v>
      </c>
    </row>
    <row r="241" spans="1:4" x14ac:dyDescent="0.3">
      <c r="A241" t="s">
        <v>32</v>
      </c>
      <c r="C241" s="16">
        <v>46151</v>
      </c>
      <c r="D241">
        <v>15120.060000000001</v>
      </c>
    </row>
    <row r="242" spans="1:4" x14ac:dyDescent="0.3">
      <c r="A242" t="s">
        <v>33</v>
      </c>
      <c r="C242" s="16">
        <v>46151</v>
      </c>
      <c r="D242">
        <v>31323.39</v>
      </c>
    </row>
    <row r="243" spans="1:4" x14ac:dyDescent="0.3">
      <c r="A243" t="s">
        <v>34</v>
      </c>
      <c r="C243" s="16">
        <v>46151</v>
      </c>
      <c r="D243">
        <v>345</v>
      </c>
    </row>
    <row r="244" spans="1:4" x14ac:dyDescent="0.3">
      <c r="A244" t="s">
        <v>35</v>
      </c>
      <c r="C244" s="16">
        <v>46151</v>
      </c>
      <c r="D244">
        <v>23782.25</v>
      </c>
    </row>
    <row r="245" spans="1:4" x14ac:dyDescent="0.3">
      <c r="A245" t="s">
        <v>193</v>
      </c>
      <c r="C245" s="16">
        <v>46151</v>
      </c>
      <c r="D245">
        <v>0</v>
      </c>
    </row>
    <row r="246" spans="1:4" x14ac:dyDescent="0.3">
      <c r="A246" t="s">
        <v>194</v>
      </c>
      <c r="C246" s="16">
        <v>46151</v>
      </c>
      <c r="D246">
        <v>0</v>
      </c>
    </row>
    <row r="247" spans="1:4" x14ac:dyDescent="0.3">
      <c r="A247" t="s">
        <v>195</v>
      </c>
      <c r="C247" s="16">
        <v>46151</v>
      </c>
      <c r="D247">
        <v>0</v>
      </c>
    </row>
    <row r="248" spans="1:4" x14ac:dyDescent="0.3">
      <c r="A248" t="s">
        <v>196</v>
      </c>
      <c r="C248" s="16">
        <v>46151</v>
      </c>
      <c r="D248">
        <v>0</v>
      </c>
    </row>
    <row r="249" spans="1:4" x14ac:dyDescent="0.3">
      <c r="A249" t="s">
        <v>197</v>
      </c>
      <c r="C249" s="16">
        <v>46151</v>
      </c>
      <c r="D249">
        <v>0</v>
      </c>
    </row>
    <row r="250" spans="1:4" x14ac:dyDescent="0.3">
      <c r="A250" t="s">
        <v>198</v>
      </c>
      <c r="C250" s="16">
        <v>46151</v>
      </c>
      <c r="D250">
        <v>0</v>
      </c>
    </row>
    <row r="251" spans="1:4" x14ac:dyDescent="0.3">
      <c r="A251" t="s">
        <v>216</v>
      </c>
      <c r="C251" s="16">
        <v>46151</v>
      </c>
      <c r="D251">
        <v>0</v>
      </c>
    </row>
    <row r="252" spans="1:4" x14ac:dyDescent="0.3">
      <c r="A252" t="s">
        <v>200</v>
      </c>
      <c r="C252" s="16">
        <v>46151</v>
      </c>
      <c r="D252">
        <v>0</v>
      </c>
    </row>
    <row r="253" spans="1:4" x14ac:dyDescent="0.3">
      <c r="A253" t="s">
        <v>201</v>
      </c>
      <c r="C253" s="16">
        <v>46151</v>
      </c>
      <c r="D253">
        <v>0</v>
      </c>
    </row>
    <row r="254" spans="1:4" x14ac:dyDescent="0.3">
      <c r="A254" t="s">
        <v>17</v>
      </c>
      <c r="C254" s="16">
        <v>46152</v>
      </c>
      <c r="D254">
        <v>512927.75000000023</v>
      </c>
    </row>
    <row r="255" spans="1:4" x14ac:dyDescent="0.3">
      <c r="A255" t="s">
        <v>18</v>
      </c>
      <c r="C255" s="16">
        <v>46152</v>
      </c>
      <c r="D255">
        <v>58840.089999999938</v>
      </c>
    </row>
    <row r="256" spans="1:4" x14ac:dyDescent="0.3">
      <c r="A256" t="s">
        <v>19</v>
      </c>
      <c r="C256" s="16">
        <v>46152</v>
      </c>
      <c r="D256">
        <v>1669.89</v>
      </c>
    </row>
    <row r="257" spans="1:4" x14ac:dyDescent="0.3">
      <c r="A257" t="s">
        <v>20</v>
      </c>
      <c r="C257" s="16">
        <v>46152</v>
      </c>
      <c r="D257">
        <v>792366.49999999988</v>
      </c>
    </row>
    <row r="258" spans="1:4" x14ac:dyDescent="0.3">
      <c r="A258" t="s">
        <v>21</v>
      </c>
      <c r="C258" s="16">
        <v>46152</v>
      </c>
      <c r="D258">
        <v>923830.41999999923</v>
      </c>
    </row>
    <row r="259" spans="1:4" x14ac:dyDescent="0.3">
      <c r="A259" t="s">
        <v>22</v>
      </c>
      <c r="C259" s="16">
        <v>46152</v>
      </c>
      <c r="D259">
        <v>121511.38</v>
      </c>
    </row>
    <row r="260" spans="1:4" x14ac:dyDescent="0.3">
      <c r="A260" t="s">
        <v>23</v>
      </c>
      <c r="C260" s="16">
        <v>46152</v>
      </c>
      <c r="D260">
        <v>13088.589999999997</v>
      </c>
    </row>
    <row r="261" spans="1:4" x14ac:dyDescent="0.3">
      <c r="A261" t="s">
        <v>24</v>
      </c>
      <c r="C261" s="16">
        <v>46152</v>
      </c>
      <c r="D261">
        <v>3768.83</v>
      </c>
    </row>
    <row r="262" spans="1:4" x14ac:dyDescent="0.3">
      <c r="A262" t="s">
        <v>25</v>
      </c>
      <c r="C262" s="16">
        <v>46152</v>
      </c>
      <c r="D262">
        <v>114.3</v>
      </c>
    </row>
    <row r="263" spans="1:4" x14ac:dyDescent="0.3">
      <c r="A263" t="s">
        <v>26</v>
      </c>
      <c r="C263" s="16">
        <v>46152</v>
      </c>
      <c r="D263">
        <v>2267.7200000000003</v>
      </c>
    </row>
    <row r="264" spans="1:4" x14ac:dyDescent="0.3">
      <c r="A264" t="s">
        <v>27</v>
      </c>
      <c r="C264" s="16">
        <v>46152</v>
      </c>
      <c r="D264">
        <v>3349.94</v>
      </c>
    </row>
    <row r="265" spans="1:4" x14ac:dyDescent="0.3">
      <c r="A265" t="s">
        <v>28</v>
      </c>
      <c r="C265" s="16">
        <v>46152</v>
      </c>
      <c r="D265">
        <v>1968.99</v>
      </c>
    </row>
    <row r="266" spans="1:4" x14ac:dyDescent="0.3">
      <c r="A266" t="s">
        <v>29</v>
      </c>
      <c r="C266" s="16">
        <v>46152</v>
      </c>
      <c r="D266">
        <v>901.34</v>
      </c>
    </row>
    <row r="267" spans="1:4" x14ac:dyDescent="0.3">
      <c r="A267" t="s">
        <v>30</v>
      </c>
      <c r="C267" s="16">
        <v>46152</v>
      </c>
      <c r="D267">
        <v>1444.08</v>
      </c>
    </row>
    <row r="268" spans="1:4" x14ac:dyDescent="0.3">
      <c r="A268" t="s">
        <v>31</v>
      </c>
      <c r="C268" s="16">
        <v>46152</v>
      </c>
      <c r="D268">
        <v>20592.599999999962</v>
      </c>
    </row>
    <row r="269" spans="1:4" x14ac:dyDescent="0.3">
      <c r="A269" t="s">
        <v>32</v>
      </c>
      <c r="C269" s="16">
        <v>46152</v>
      </c>
      <c r="D269">
        <v>15120.060000000001</v>
      </c>
    </row>
    <row r="270" spans="1:4" x14ac:dyDescent="0.3">
      <c r="A270" t="s">
        <v>33</v>
      </c>
      <c r="C270" s="16">
        <v>46152</v>
      </c>
      <c r="D270">
        <v>31323.39</v>
      </c>
    </row>
    <row r="271" spans="1:4" x14ac:dyDescent="0.3">
      <c r="A271" t="s">
        <v>34</v>
      </c>
      <c r="C271" s="16">
        <v>46152</v>
      </c>
      <c r="D271">
        <v>345</v>
      </c>
    </row>
    <row r="272" spans="1:4" x14ac:dyDescent="0.3">
      <c r="A272" t="s">
        <v>35</v>
      </c>
      <c r="C272" s="16">
        <v>46152</v>
      </c>
      <c r="D272">
        <v>23782.25</v>
      </c>
    </row>
    <row r="273" spans="1:4" x14ac:dyDescent="0.3">
      <c r="A273" t="s">
        <v>193</v>
      </c>
      <c r="C273" s="16">
        <v>46152</v>
      </c>
      <c r="D273">
        <v>0</v>
      </c>
    </row>
    <row r="274" spans="1:4" x14ac:dyDescent="0.3">
      <c r="A274" t="s">
        <v>194</v>
      </c>
      <c r="C274" s="16">
        <v>46152</v>
      </c>
      <c r="D274">
        <v>0</v>
      </c>
    </row>
    <row r="275" spans="1:4" x14ac:dyDescent="0.3">
      <c r="A275" t="s">
        <v>195</v>
      </c>
      <c r="C275" s="16">
        <v>46152</v>
      </c>
      <c r="D275">
        <v>0</v>
      </c>
    </row>
    <row r="276" spans="1:4" x14ac:dyDescent="0.3">
      <c r="A276" t="s">
        <v>196</v>
      </c>
      <c r="C276" s="16">
        <v>46152</v>
      </c>
      <c r="D276">
        <v>0</v>
      </c>
    </row>
    <row r="277" spans="1:4" x14ac:dyDescent="0.3">
      <c r="A277" t="s">
        <v>197</v>
      </c>
      <c r="C277" s="16">
        <v>46152</v>
      </c>
      <c r="D277">
        <v>0</v>
      </c>
    </row>
    <row r="278" spans="1:4" x14ac:dyDescent="0.3">
      <c r="A278" t="s">
        <v>198</v>
      </c>
      <c r="C278" s="16">
        <v>46152</v>
      </c>
      <c r="D278">
        <v>0</v>
      </c>
    </row>
    <row r="279" spans="1:4" x14ac:dyDescent="0.3">
      <c r="A279" t="s">
        <v>216</v>
      </c>
      <c r="C279" s="16">
        <v>46152</v>
      </c>
      <c r="D279">
        <v>0</v>
      </c>
    </row>
    <row r="280" spans="1:4" x14ac:dyDescent="0.3">
      <c r="A280" t="s">
        <v>200</v>
      </c>
      <c r="C280" s="16">
        <v>46152</v>
      </c>
      <c r="D280">
        <v>0</v>
      </c>
    </row>
    <row r="281" spans="1:4" x14ac:dyDescent="0.3">
      <c r="A281" t="s">
        <v>201</v>
      </c>
      <c r="C281" s="16">
        <v>46152</v>
      </c>
      <c r="D281">
        <v>0</v>
      </c>
    </row>
    <row r="282" spans="1:4" x14ac:dyDescent="0.3">
      <c r="A282" t="s">
        <v>17</v>
      </c>
      <c r="C282" s="16">
        <v>46153</v>
      </c>
      <c r="D282">
        <v>512927.75000000023</v>
      </c>
    </row>
    <row r="283" spans="1:4" x14ac:dyDescent="0.3">
      <c r="A283" t="s">
        <v>18</v>
      </c>
      <c r="C283" s="16">
        <v>46153</v>
      </c>
      <c r="D283">
        <v>58840.089999999938</v>
      </c>
    </row>
    <row r="284" spans="1:4" x14ac:dyDescent="0.3">
      <c r="A284" t="s">
        <v>19</v>
      </c>
      <c r="C284" s="16">
        <v>46153</v>
      </c>
      <c r="D284">
        <v>1669.89</v>
      </c>
    </row>
    <row r="285" spans="1:4" x14ac:dyDescent="0.3">
      <c r="A285" t="s">
        <v>20</v>
      </c>
      <c r="C285" s="16">
        <v>46153</v>
      </c>
      <c r="D285">
        <v>1368366.5</v>
      </c>
    </row>
    <row r="286" spans="1:4" x14ac:dyDescent="0.3">
      <c r="A286" t="s">
        <v>21</v>
      </c>
      <c r="C286" s="16">
        <v>46153</v>
      </c>
      <c r="D286">
        <v>1162513.7699999993</v>
      </c>
    </row>
    <row r="287" spans="1:4" x14ac:dyDescent="0.3">
      <c r="A287" t="s">
        <v>22</v>
      </c>
      <c r="C287" s="16">
        <v>46153</v>
      </c>
      <c r="D287">
        <v>121511.38</v>
      </c>
    </row>
    <row r="288" spans="1:4" x14ac:dyDescent="0.3">
      <c r="A288" t="s">
        <v>23</v>
      </c>
      <c r="C288" s="16">
        <v>46153</v>
      </c>
      <c r="D288">
        <v>13088.589999999997</v>
      </c>
    </row>
    <row r="289" spans="1:4" x14ac:dyDescent="0.3">
      <c r="A289" t="s">
        <v>24</v>
      </c>
      <c r="C289" s="16">
        <v>46153</v>
      </c>
      <c r="D289">
        <v>3768.83</v>
      </c>
    </row>
    <row r="290" spans="1:4" x14ac:dyDescent="0.3">
      <c r="A290" t="s">
        <v>25</v>
      </c>
      <c r="C290" s="16">
        <v>46153</v>
      </c>
      <c r="D290">
        <v>114.3</v>
      </c>
    </row>
    <row r="291" spans="1:4" x14ac:dyDescent="0.3">
      <c r="A291" t="s">
        <v>26</v>
      </c>
      <c r="C291" s="16">
        <v>46153</v>
      </c>
      <c r="D291">
        <v>2267.7200000000003</v>
      </c>
    </row>
    <row r="292" spans="1:4" x14ac:dyDescent="0.3">
      <c r="A292" t="s">
        <v>27</v>
      </c>
      <c r="C292" s="16">
        <v>46153</v>
      </c>
      <c r="D292">
        <v>3349.94</v>
      </c>
    </row>
    <row r="293" spans="1:4" x14ac:dyDescent="0.3">
      <c r="A293" t="s">
        <v>28</v>
      </c>
      <c r="C293" s="16">
        <v>46153</v>
      </c>
      <c r="D293">
        <v>1968.99</v>
      </c>
    </row>
    <row r="294" spans="1:4" x14ac:dyDescent="0.3">
      <c r="A294" t="s">
        <v>29</v>
      </c>
      <c r="C294" s="16">
        <v>46153</v>
      </c>
      <c r="D294">
        <v>901.34</v>
      </c>
    </row>
    <row r="295" spans="1:4" x14ac:dyDescent="0.3">
      <c r="A295" t="s">
        <v>30</v>
      </c>
      <c r="C295" s="16">
        <v>46153</v>
      </c>
      <c r="D295">
        <v>1444.08</v>
      </c>
    </row>
    <row r="296" spans="1:4" x14ac:dyDescent="0.3">
      <c r="A296" t="s">
        <v>31</v>
      </c>
      <c r="C296" s="16">
        <v>46153</v>
      </c>
      <c r="D296">
        <v>19092.599999999962</v>
      </c>
    </row>
    <row r="297" spans="1:4" x14ac:dyDescent="0.3">
      <c r="A297" t="s">
        <v>32</v>
      </c>
      <c r="C297" s="16">
        <v>46153</v>
      </c>
      <c r="D297">
        <v>15120.060000000001</v>
      </c>
    </row>
    <row r="298" spans="1:4" x14ac:dyDescent="0.3">
      <c r="A298" t="s">
        <v>33</v>
      </c>
      <c r="C298" s="16">
        <v>46153</v>
      </c>
      <c r="D298">
        <v>31323.39</v>
      </c>
    </row>
    <row r="299" spans="1:4" x14ac:dyDescent="0.3">
      <c r="A299" t="s">
        <v>34</v>
      </c>
      <c r="C299" s="16">
        <v>46153</v>
      </c>
      <c r="D299">
        <v>345</v>
      </c>
    </row>
    <row r="300" spans="1:4" x14ac:dyDescent="0.3">
      <c r="A300" t="s">
        <v>35</v>
      </c>
      <c r="C300" s="16">
        <v>46153</v>
      </c>
      <c r="D300">
        <v>16956.59</v>
      </c>
    </row>
    <row r="301" spans="1:4" x14ac:dyDescent="0.3">
      <c r="A301" t="s">
        <v>193</v>
      </c>
      <c r="C301" s="16">
        <v>46153</v>
      </c>
      <c r="D301">
        <v>0</v>
      </c>
    </row>
    <row r="302" spans="1:4" x14ac:dyDescent="0.3">
      <c r="A302" t="s">
        <v>194</v>
      </c>
      <c r="C302" s="16">
        <v>46153</v>
      </c>
      <c r="D302">
        <v>0</v>
      </c>
    </row>
    <row r="303" spans="1:4" x14ac:dyDescent="0.3">
      <c r="A303" t="s">
        <v>195</v>
      </c>
      <c r="C303" s="16">
        <v>46153</v>
      </c>
      <c r="D303">
        <v>0</v>
      </c>
    </row>
    <row r="304" spans="1:4" x14ac:dyDescent="0.3">
      <c r="A304" t="s">
        <v>196</v>
      </c>
      <c r="C304" s="16">
        <v>46153</v>
      </c>
      <c r="D304">
        <v>0</v>
      </c>
    </row>
    <row r="305" spans="1:4" x14ac:dyDescent="0.3">
      <c r="A305" t="s">
        <v>197</v>
      </c>
      <c r="C305" s="16">
        <v>46153</v>
      </c>
      <c r="D305">
        <v>0</v>
      </c>
    </row>
    <row r="306" spans="1:4" x14ac:dyDescent="0.3">
      <c r="A306" t="s">
        <v>198</v>
      </c>
      <c r="C306" s="16">
        <v>46153</v>
      </c>
      <c r="D306">
        <v>0</v>
      </c>
    </row>
    <row r="307" spans="1:4" x14ac:dyDescent="0.3">
      <c r="A307" t="s">
        <v>216</v>
      </c>
      <c r="C307" s="16">
        <v>46153</v>
      </c>
      <c r="D307">
        <v>0</v>
      </c>
    </row>
    <row r="308" spans="1:4" x14ac:dyDescent="0.3">
      <c r="A308" t="s">
        <v>200</v>
      </c>
      <c r="C308" s="16">
        <v>46153</v>
      </c>
      <c r="D308">
        <v>0</v>
      </c>
    </row>
    <row r="309" spans="1:4" x14ac:dyDescent="0.3">
      <c r="A309" t="s">
        <v>201</v>
      </c>
      <c r="C309" s="16">
        <v>46153</v>
      </c>
      <c r="D309">
        <v>0</v>
      </c>
    </row>
    <row r="310" spans="1:4" x14ac:dyDescent="0.3">
      <c r="A310" t="s">
        <v>17</v>
      </c>
      <c r="C310" s="16">
        <v>46154</v>
      </c>
      <c r="D310">
        <v>606714.4700000002</v>
      </c>
    </row>
    <row r="311" spans="1:4" x14ac:dyDescent="0.3">
      <c r="A311" t="s">
        <v>18</v>
      </c>
      <c r="C311" s="16">
        <v>46154</v>
      </c>
      <c r="D311">
        <v>58840.089999999938</v>
      </c>
    </row>
    <row r="312" spans="1:4" x14ac:dyDescent="0.3">
      <c r="A312" t="s">
        <v>19</v>
      </c>
      <c r="C312" s="16">
        <v>46154</v>
      </c>
      <c r="D312">
        <v>1669.89</v>
      </c>
    </row>
    <row r="313" spans="1:4" x14ac:dyDescent="0.3">
      <c r="A313" t="s">
        <v>20</v>
      </c>
      <c r="C313" s="16">
        <v>46154</v>
      </c>
      <c r="D313">
        <v>1226185.8999999999</v>
      </c>
    </row>
    <row r="314" spans="1:4" x14ac:dyDescent="0.3">
      <c r="A314" t="s">
        <v>21</v>
      </c>
      <c r="C314" s="16">
        <v>46154</v>
      </c>
      <c r="D314">
        <v>1162404.8599999992</v>
      </c>
    </row>
    <row r="315" spans="1:4" x14ac:dyDescent="0.3">
      <c r="A315" t="s">
        <v>22</v>
      </c>
      <c r="C315" s="16">
        <v>46154</v>
      </c>
      <c r="D315">
        <v>121511.38</v>
      </c>
    </row>
    <row r="316" spans="1:4" x14ac:dyDescent="0.3">
      <c r="A316" t="s">
        <v>23</v>
      </c>
      <c r="C316" s="16">
        <v>46154</v>
      </c>
      <c r="D316">
        <v>13088.589999999997</v>
      </c>
    </row>
    <row r="317" spans="1:4" x14ac:dyDescent="0.3">
      <c r="A317" t="s">
        <v>24</v>
      </c>
      <c r="C317" s="16">
        <v>46154</v>
      </c>
      <c r="D317">
        <v>3768.83</v>
      </c>
    </row>
    <row r="318" spans="1:4" x14ac:dyDescent="0.3">
      <c r="A318" t="s">
        <v>25</v>
      </c>
      <c r="C318" s="16">
        <v>46154</v>
      </c>
      <c r="D318">
        <v>114.3</v>
      </c>
    </row>
    <row r="319" spans="1:4" x14ac:dyDescent="0.3">
      <c r="A319" t="s">
        <v>26</v>
      </c>
      <c r="C319" s="16">
        <v>46154</v>
      </c>
      <c r="D319">
        <v>2267.7200000000003</v>
      </c>
    </row>
    <row r="320" spans="1:4" x14ac:dyDescent="0.3">
      <c r="A320" t="s">
        <v>27</v>
      </c>
      <c r="C320" s="16">
        <v>46154</v>
      </c>
      <c r="D320">
        <v>3349.94</v>
      </c>
    </row>
    <row r="321" spans="1:4" x14ac:dyDescent="0.3">
      <c r="A321" t="s">
        <v>28</v>
      </c>
      <c r="C321" s="16">
        <v>46154</v>
      </c>
      <c r="D321">
        <v>1968.99</v>
      </c>
    </row>
    <row r="322" spans="1:4" x14ac:dyDescent="0.3">
      <c r="A322" t="s">
        <v>29</v>
      </c>
      <c r="C322" s="16">
        <v>46154</v>
      </c>
      <c r="D322">
        <v>901.34</v>
      </c>
    </row>
    <row r="323" spans="1:4" x14ac:dyDescent="0.3">
      <c r="A323" t="s">
        <v>30</v>
      </c>
      <c r="C323" s="16">
        <v>46154</v>
      </c>
      <c r="D323">
        <v>1444.08</v>
      </c>
    </row>
    <row r="324" spans="1:4" x14ac:dyDescent="0.3">
      <c r="A324" t="s">
        <v>31</v>
      </c>
      <c r="C324" s="16">
        <v>46154</v>
      </c>
      <c r="D324">
        <v>19092.599999999962</v>
      </c>
    </row>
    <row r="325" spans="1:4" x14ac:dyDescent="0.3">
      <c r="A325" t="s">
        <v>32</v>
      </c>
      <c r="C325" s="16">
        <v>46154</v>
      </c>
      <c r="D325">
        <v>15120.060000000001</v>
      </c>
    </row>
    <row r="326" spans="1:4" x14ac:dyDescent="0.3">
      <c r="A326" t="s">
        <v>33</v>
      </c>
      <c r="C326" s="16">
        <v>46154</v>
      </c>
      <c r="D326">
        <v>31323.39</v>
      </c>
    </row>
    <row r="327" spans="1:4" x14ac:dyDescent="0.3">
      <c r="A327" t="s">
        <v>34</v>
      </c>
      <c r="C327" s="16">
        <v>46154</v>
      </c>
      <c r="D327">
        <v>345</v>
      </c>
    </row>
    <row r="328" spans="1:4" x14ac:dyDescent="0.3">
      <c r="A328" t="s">
        <v>35</v>
      </c>
      <c r="C328" s="16">
        <v>46154</v>
      </c>
      <c r="D328">
        <v>16741.59</v>
      </c>
    </row>
    <row r="329" spans="1:4" x14ac:dyDescent="0.3">
      <c r="A329" t="s">
        <v>193</v>
      </c>
      <c r="C329" s="16">
        <v>46154</v>
      </c>
      <c r="D329">
        <v>0</v>
      </c>
    </row>
    <row r="330" spans="1:4" x14ac:dyDescent="0.3">
      <c r="A330" t="s">
        <v>194</v>
      </c>
      <c r="C330" s="16">
        <v>46154</v>
      </c>
      <c r="D330">
        <v>0</v>
      </c>
    </row>
    <row r="331" spans="1:4" x14ac:dyDescent="0.3">
      <c r="A331" t="s">
        <v>195</v>
      </c>
      <c r="C331" s="16">
        <v>46154</v>
      </c>
      <c r="D331">
        <v>0</v>
      </c>
    </row>
    <row r="332" spans="1:4" x14ac:dyDescent="0.3">
      <c r="A332" t="s">
        <v>196</v>
      </c>
      <c r="C332" s="16">
        <v>46154</v>
      </c>
      <c r="D332">
        <v>0</v>
      </c>
    </row>
    <row r="333" spans="1:4" x14ac:dyDescent="0.3">
      <c r="A333" t="s">
        <v>197</v>
      </c>
      <c r="C333" s="16">
        <v>46154</v>
      </c>
      <c r="D333">
        <v>0</v>
      </c>
    </row>
    <row r="334" spans="1:4" x14ac:dyDescent="0.3">
      <c r="A334" t="s">
        <v>198</v>
      </c>
      <c r="C334" s="16">
        <v>46154</v>
      </c>
      <c r="D334">
        <v>0</v>
      </c>
    </row>
    <row r="335" spans="1:4" x14ac:dyDescent="0.3">
      <c r="A335" t="s">
        <v>216</v>
      </c>
      <c r="C335" s="16">
        <v>46154</v>
      </c>
      <c r="D335">
        <v>0</v>
      </c>
    </row>
    <row r="336" spans="1:4" x14ac:dyDescent="0.3">
      <c r="A336" t="s">
        <v>200</v>
      </c>
      <c r="C336" s="16">
        <v>46154</v>
      </c>
      <c r="D336">
        <v>0</v>
      </c>
    </row>
    <row r="337" spans="1:4" x14ac:dyDescent="0.3">
      <c r="A337" t="s">
        <v>201</v>
      </c>
      <c r="C337" s="16">
        <v>46154</v>
      </c>
      <c r="D337">
        <v>0</v>
      </c>
    </row>
    <row r="338" spans="1:4" x14ac:dyDescent="0.3">
      <c r="A338" t="s">
        <v>17</v>
      </c>
      <c r="C338" s="16">
        <v>46155</v>
      </c>
      <c r="D338">
        <v>606714.4700000002</v>
      </c>
    </row>
    <row r="339" spans="1:4" x14ac:dyDescent="0.3">
      <c r="A339" t="s">
        <v>18</v>
      </c>
      <c r="C339" s="16">
        <v>46155</v>
      </c>
      <c r="D339">
        <v>58840.089999999938</v>
      </c>
    </row>
    <row r="340" spans="1:4" x14ac:dyDescent="0.3">
      <c r="A340" t="s">
        <v>19</v>
      </c>
      <c r="C340" s="16">
        <v>46155</v>
      </c>
      <c r="D340">
        <v>1669.89</v>
      </c>
    </row>
    <row r="341" spans="1:4" x14ac:dyDescent="0.3">
      <c r="A341" t="s">
        <v>20</v>
      </c>
      <c r="C341" s="16">
        <v>46155</v>
      </c>
      <c r="D341">
        <v>1242679.67</v>
      </c>
    </row>
    <row r="342" spans="1:4" x14ac:dyDescent="0.3">
      <c r="A342" t="s">
        <v>21</v>
      </c>
      <c r="C342" s="16">
        <v>46155</v>
      </c>
      <c r="D342">
        <v>1162404.8599999992</v>
      </c>
    </row>
    <row r="343" spans="1:4" x14ac:dyDescent="0.3">
      <c r="A343" t="s">
        <v>22</v>
      </c>
      <c r="C343" s="16">
        <v>46155</v>
      </c>
      <c r="D343">
        <v>121511.38</v>
      </c>
    </row>
    <row r="344" spans="1:4" x14ac:dyDescent="0.3">
      <c r="A344" t="s">
        <v>23</v>
      </c>
      <c r="C344" s="16">
        <v>46155</v>
      </c>
      <c r="D344">
        <v>13090.369999999997</v>
      </c>
    </row>
    <row r="345" spans="1:4" x14ac:dyDescent="0.3">
      <c r="A345" t="s">
        <v>24</v>
      </c>
      <c r="C345" s="16">
        <v>46155</v>
      </c>
      <c r="D345">
        <v>2498.3999999999996</v>
      </c>
    </row>
    <row r="346" spans="1:4" x14ac:dyDescent="0.3">
      <c r="A346" t="s">
        <v>25</v>
      </c>
      <c r="C346" s="16">
        <v>46155</v>
      </c>
      <c r="D346">
        <v>114.3</v>
      </c>
    </row>
    <row r="347" spans="1:4" x14ac:dyDescent="0.3">
      <c r="A347" t="s">
        <v>26</v>
      </c>
      <c r="C347" s="16">
        <v>46155</v>
      </c>
      <c r="D347">
        <v>2267.7200000000003</v>
      </c>
    </row>
    <row r="348" spans="1:4" x14ac:dyDescent="0.3">
      <c r="A348" t="s">
        <v>27</v>
      </c>
      <c r="C348" s="16">
        <v>46155</v>
      </c>
      <c r="D348">
        <v>3349.94</v>
      </c>
    </row>
    <row r="349" spans="1:4" x14ac:dyDescent="0.3">
      <c r="A349" t="s">
        <v>28</v>
      </c>
      <c r="C349" s="16">
        <v>46155</v>
      </c>
      <c r="D349">
        <v>1968.99</v>
      </c>
    </row>
    <row r="350" spans="1:4" x14ac:dyDescent="0.3">
      <c r="A350" t="s">
        <v>29</v>
      </c>
      <c r="C350" s="16">
        <v>46155</v>
      </c>
      <c r="D350">
        <v>901.34</v>
      </c>
    </row>
    <row r="351" spans="1:4" x14ac:dyDescent="0.3">
      <c r="A351" t="s">
        <v>30</v>
      </c>
      <c r="C351" s="16">
        <v>46155</v>
      </c>
      <c r="D351">
        <v>1444.08</v>
      </c>
    </row>
    <row r="352" spans="1:4" x14ac:dyDescent="0.3">
      <c r="A352" t="s">
        <v>31</v>
      </c>
      <c r="C352" s="16">
        <v>46155</v>
      </c>
      <c r="D352">
        <v>18242.599999999962</v>
      </c>
    </row>
    <row r="353" spans="1:4" x14ac:dyDescent="0.3">
      <c r="A353" t="s">
        <v>32</v>
      </c>
      <c r="C353" s="16">
        <v>46155</v>
      </c>
      <c r="D353">
        <v>15120.060000000001</v>
      </c>
    </row>
    <row r="354" spans="1:4" x14ac:dyDescent="0.3">
      <c r="A354" t="s">
        <v>33</v>
      </c>
      <c r="C354" s="16">
        <v>46155</v>
      </c>
      <c r="D354">
        <v>31323.39</v>
      </c>
    </row>
    <row r="355" spans="1:4" x14ac:dyDescent="0.3">
      <c r="A355" t="s">
        <v>34</v>
      </c>
      <c r="C355" s="16">
        <v>46155</v>
      </c>
      <c r="D355">
        <v>345</v>
      </c>
    </row>
    <row r="356" spans="1:4" x14ac:dyDescent="0.3">
      <c r="A356" t="s">
        <v>35</v>
      </c>
      <c r="C356" s="16">
        <v>46155</v>
      </c>
      <c r="D356">
        <v>16741.59</v>
      </c>
    </row>
    <row r="357" spans="1:4" x14ac:dyDescent="0.3">
      <c r="A357" t="s">
        <v>193</v>
      </c>
      <c r="C357" s="16">
        <v>46155</v>
      </c>
      <c r="D357">
        <v>0</v>
      </c>
    </row>
    <row r="358" spans="1:4" x14ac:dyDescent="0.3">
      <c r="A358" t="s">
        <v>194</v>
      </c>
      <c r="C358" s="16">
        <v>46155</v>
      </c>
      <c r="D358">
        <v>0</v>
      </c>
    </row>
    <row r="359" spans="1:4" x14ac:dyDescent="0.3">
      <c r="A359" t="s">
        <v>195</v>
      </c>
      <c r="C359" s="16">
        <v>46155</v>
      </c>
      <c r="D359">
        <v>0</v>
      </c>
    </row>
    <row r="360" spans="1:4" x14ac:dyDescent="0.3">
      <c r="A360" t="s">
        <v>196</v>
      </c>
      <c r="C360" s="16">
        <v>46155</v>
      </c>
      <c r="D360">
        <v>0</v>
      </c>
    </row>
    <row r="361" spans="1:4" x14ac:dyDescent="0.3">
      <c r="A361" t="s">
        <v>197</v>
      </c>
      <c r="C361" s="16">
        <v>46155</v>
      </c>
      <c r="D361">
        <v>0</v>
      </c>
    </row>
    <row r="362" spans="1:4" x14ac:dyDescent="0.3">
      <c r="A362" t="s">
        <v>198</v>
      </c>
      <c r="C362" s="16">
        <v>46155</v>
      </c>
      <c r="D362">
        <v>0</v>
      </c>
    </row>
    <row r="363" spans="1:4" x14ac:dyDescent="0.3">
      <c r="A363" t="s">
        <v>216</v>
      </c>
      <c r="C363" s="16">
        <v>46155</v>
      </c>
      <c r="D363">
        <v>0</v>
      </c>
    </row>
    <row r="364" spans="1:4" x14ac:dyDescent="0.3">
      <c r="A364" t="s">
        <v>200</v>
      </c>
      <c r="C364" s="16">
        <v>46155</v>
      </c>
      <c r="D364">
        <v>0</v>
      </c>
    </row>
    <row r="365" spans="1:4" x14ac:dyDescent="0.3">
      <c r="A365" t="s">
        <v>201</v>
      </c>
      <c r="C365" s="16">
        <v>46155</v>
      </c>
      <c r="D365">
        <v>0</v>
      </c>
    </row>
    <row r="366" spans="1:4" x14ac:dyDescent="0.3">
      <c r="A366" t="s">
        <v>17</v>
      </c>
      <c r="C366" s="16">
        <v>46156</v>
      </c>
      <c r="D366">
        <v>165752.81000000023</v>
      </c>
    </row>
    <row r="367" spans="1:4" x14ac:dyDescent="0.3">
      <c r="A367" t="s">
        <v>18</v>
      </c>
      <c r="C367" s="16">
        <v>46156</v>
      </c>
      <c r="D367">
        <v>59760.159999999938</v>
      </c>
    </row>
    <row r="368" spans="1:4" x14ac:dyDescent="0.3">
      <c r="A368" t="s">
        <v>19</v>
      </c>
      <c r="C368" s="16">
        <v>46156</v>
      </c>
      <c r="D368">
        <v>1669.89</v>
      </c>
    </row>
    <row r="369" spans="1:4" x14ac:dyDescent="0.3">
      <c r="A369" t="s">
        <v>20</v>
      </c>
      <c r="C369" s="16">
        <v>46156</v>
      </c>
      <c r="D369">
        <v>832679.66999999981</v>
      </c>
    </row>
    <row r="370" spans="1:4" x14ac:dyDescent="0.3">
      <c r="A370" t="s">
        <v>21</v>
      </c>
      <c r="C370" s="16">
        <v>46156</v>
      </c>
      <c r="D370">
        <v>952193.18999999925</v>
      </c>
    </row>
    <row r="371" spans="1:4" x14ac:dyDescent="0.3">
      <c r="A371" t="s">
        <v>22</v>
      </c>
      <c r="C371" s="16">
        <v>46156</v>
      </c>
      <c r="D371">
        <v>121511.38</v>
      </c>
    </row>
    <row r="372" spans="1:4" x14ac:dyDescent="0.3">
      <c r="A372" t="s">
        <v>23</v>
      </c>
      <c r="C372" s="16">
        <v>46156</v>
      </c>
      <c r="D372">
        <v>13090.369999999997</v>
      </c>
    </row>
    <row r="373" spans="1:4" x14ac:dyDescent="0.3">
      <c r="A373" t="s">
        <v>24</v>
      </c>
      <c r="C373" s="16">
        <v>46156</v>
      </c>
      <c r="D373">
        <v>2498.3999999999996</v>
      </c>
    </row>
    <row r="374" spans="1:4" x14ac:dyDescent="0.3">
      <c r="A374" t="s">
        <v>25</v>
      </c>
      <c r="C374" s="16">
        <v>46156</v>
      </c>
      <c r="D374">
        <v>114.3</v>
      </c>
    </row>
    <row r="375" spans="1:4" x14ac:dyDescent="0.3">
      <c r="A375" t="s">
        <v>26</v>
      </c>
      <c r="C375" s="16">
        <v>46156</v>
      </c>
      <c r="D375">
        <v>2267.7200000000003</v>
      </c>
    </row>
    <row r="376" spans="1:4" x14ac:dyDescent="0.3">
      <c r="A376" t="s">
        <v>27</v>
      </c>
      <c r="C376" s="16">
        <v>46156</v>
      </c>
      <c r="D376">
        <v>3349.94</v>
      </c>
    </row>
    <row r="377" spans="1:4" x14ac:dyDescent="0.3">
      <c r="A377" t="s">
        <v>28</v>
      </c>
      <c r="C377" s="16">
        <v>46156</v>
      </c>
      <c r="D377">
        <v>1968.99</v>
      </c>
    </row>
    <row r="378" spans="1:4" x14ac:dyDescent="0.3">
      <c r="A378" t="s">
        <v>29</v>
      </c>
      <c r="C378" s="16">
        <v>46156</v>
      </c>
      <c r="D378">
        <v>901.34</v>
      </c>
    </row>
    <row r="379" spans="1:4" x14ac:dyDescent="0.3">
      <c r="A379" t="s">
        <v>30</v>
      </c>
      <c r="C379" s="16">
        <v>46156</v>
      </c>
      <c r="D379">
        <v>1444.08</v>
      </c>
    </row>
    <row r="380" spans="1:4" x14ac:dyDescent="0.3">
      <c r="A380" t="s">
        <v>31</v>
      </c>
      <c r="C380" s="16">
        <v>46156</v>
      </c>
      <c r="D380">
        <v>18242.599999999962</v>
      </c>
    </row>
    <row r="381" spans="1:4" x14ac:dyDescent="0.3">
      <c r="A381" t="s">
        <v>32</v>
      </c>
      <c r="C381" s="16">
        <v>46156</v>
      </c>
      <c r="D381">
        <v>15120.060000000001</v>
      </c>
    </row>
    <row r="382" spans="1:4" x14ac:dyDescent="0.3">
      <c r="A382" t="s">
        <v>33</v>
      </c>
      <c r="C382" s="16">
        <v>46156</v>
      </c>
      <c r="D382">
        <v>31323.39</v>
      </c>
    </row>
    <row r="383" spans="1:4" x14ac:dyDescent="0.3">
      <c r="A383" t="s">
        <v>34</v>
      </c>
      <c r="C383" s="16">
        <v>46156</v>
      </c>
      <c r="D383">
        <v>345</v>
      </c>
    </row>
    <row r="384" spans="1:4" x14ac:dyDescent="0.3">
      <c r="A384" t="s">
        <v>35</v>
      </c>
      <c r="C384" s="16">
        <v>46156</v>
      </c>
      <c r="D384">
        <v>14226.59</v>
      </c>
    </row>
    <row r="385" spans="1:4" x14ac:dyDescent="0.3">
      <c r="A385" t="s">
        <v>193</v>
      </c>
      <c r="C385" s="16">
        <v>46156</v>
      </c>
      <c r="D385">
        <v>0</v>
      </c>
    </row>
    <row r="386" spans="1:4" x14ac:dyDescent="0.3">
      <c r="A386" t="s">
        <v>194</v>
      </c>
      <c r="C386" s="16">
        <v>46156</v>
      </c>
      <c r="D386">
        <v>0</v>
      </c>
    </row>
    <row r="387" spans="1:4" x14ac:dyDescent="0.3">
      <c r="A387" t="s">
        <v>195</v>
      </c>
      <c r="C387" s="16">
        <v>46156</v>
      </c>
      <c r="D387">
        <v>0</v>
      </c>
    </row>
    <row r="388" spans="1:4" x14ac:dyDescent="0.3">
      <c r="A388" t="s">
        <v>196</v>
      </c>
      <c r="C388" s="16">
        <v>46156</v>
      </c>
      <c r="D388">
        <v>0</v>
      </c>
    </row>
    <row r="389" spans="1:4" x14ac:dyDescent="0.3">
      <c r="A389" t="s">
        <v>197</v>
      </c>
      <c r="C389" s="16">
        <v>46156</v>
      </c>
      <c r="D389">
        <v>0</v>
      </c>
    </row>
    <row r="390" spans="1:4" x14ac:dyDescent="0.3">
      <c r="A390" t="s">
        <v>198</v>
      </c>
      <c r="C390" s="16">
        <v>46156</v>
      </c>
      <c r="D390">
        <v>0</v>
      </c>
    </row>
    <row r="391" spans="1:4" x14ac:dyDescent="0.3">
      <c r="A391" t="s">
        <v>216</v>
      </c>
      <c r="C391" s="16">
        <v>46156</v>
      </c>
      <c r="D391">
        <v>0</v>
      </c>
    </row>
    <row r="392" spans="1:4" x14ac:dyDescent="0.3">
      <c r="A392" t="s">
        <v>200</v>
      </c>
      <c r="C392" s="16">
        <v>46156</v>
      </c>
      <c r="D392">
        <v>0</v>
      </c>
    </row>
    <row r="393" spans="1:4" x14ac:dyDescent="0.3">
      <c r="A393" t="s">
        <v>201</v>
      </c>
      <c r="C393" s="16">
        <v>46156</v>
      </c>
      <c r="D393">
        <v>0</v>
      </c>
    </row>
    <row r="394" spans="1:4" x14ac:dyDescent="0.3">
      <c r="A394" t="s">
        <v>17</v>
      </c>
      <c r="C394" s="16">
        <v>46157</v>
      </c>
      <c r="D394">
        <v>165752.81000000023</v>
      </c>
    </row>
    <row r="395" spans="1:4" x14ac:dyDescent="0.3">
      <c r="A395" t="s">
        <v>18</v>
      </c>
      <c r="C395" s="16">
        <v>46157</v>
      </c>
      <c r="D395">
        <v>59760.159999999938</v>
      </c>
    </row>
    <row r="396" spans="1:4" x14ac:dyDescent="0.3">
      <c r="A396" t="s">
        <v>19</v>
      </c>
      <c r="C396" s="16">
        <v>46157</v>
      </c>
      <c r="D396">
        <v>1669.89</v>
      </c>
    </row>
    <row r="397" spans="1:4" x14ac:dyDescent="0.3">
      <c r="A397" t="s">
        <v>20</v>
      </c>
      <c r="C397" s="16">
        <v>46157</v>
      </c>
      <c r="D397">
        <v>832076.20999999985</v>
      </c>
    </row>
    <row r="398" spans="1:4" x14ac:dyDescent="0.3">
      <c r="A398" t="s">
        <v>21</v>
      </c>
      <c r="C398" s="16">
        <v>46157</v>
      </c>
      <c r="D398">
        <v>952163.77999999933</v>
      </c>
    </row>
    <row r="399" spans="1:4" x14ac:dyDescent="0.3">
      <c r="A399" t="s">
        <v>22</v>
      </c>
      <c r="C399" s="16">
        <v>46157</v>
      </c>
      <c r="D399">
        <v>121511.38</v>
      </c>
    </row>
    <row r="400" spans="1:4" x14ac:dyDescent="0.3">
      <c r="A400" t="s">
        <v>23</v>
      </c>
      <c r="C400" s="16">
        <v>46157</v>
      </c>
      <c r="D400">
        <v>13090.369999999997</v>
      </c>
    </row>
    <row r="401" spans="1:4" x14ac:dyDescent="0.3">
      <c r="A401" t="s">
        <v>24</v>
      </c>
      <c r="C401" s="16">
        <v>46157</v>
      </c>
      <c r="D401">
        <v>2498.3999999999996</v>
      </c>
    </row>
    <row r="402" spans="1:4" x14ac:dyDescent="0.3">
      <c r="A402" t="s">
        <v>25</v>
      </c>
      <c r="C402" s="16">
        <v>46157</v>
      </c>
      <c r="D402">
        <v>114.3</v>
      </c>
    </row>
    <row r="403" spans="1:4" x14ac:dyDescent="0.3">
      <c r="A403" t="s">
        <v>26</v>
      </c>
      <c r="C403" s="16">
        <v>46157</v>
      </c>
      <c r="D403">
        <v>2267.7200000000003</v>
      </c>
    </row>
    <row r="404" spans="1:4" x14ac:dyDescent="0.3">
      <c r="A404" t="s">
        <v>27</v>
      </c>
      <c r="C404" s="16">
        <v>46157</v>
      </c>
      <c r="D404">
        <v>3349.94</v>
      </c>
    </row>
    <row r="405" spans="1:4" x14ac:dyDescent="0.3">
      <c r="A405" t="s">
        <v>28</v>
      </c>
      <c r="C405" s="16">
        <v>46157</v>
      </c>
      <c r="D405">
        <v>1968.99</v>
      </c>
    </row>
    <row r="406" spans="1:4" x14ac:dyDescent="0.3">
      <c r="A406" t="s">
        <v>29</v>
      </c>
      <c r="C406" s="16">
        <v>46157</v>
      </c>
      <c r="D406">
        <v>901.34</v>
      </c>
    </row>
    <row r="407" spans="1:4" x14ac:dyDescent="0.3">
      <c r="A407" t="s">
        <v>30</v>
      </c>
      <c r="C407" s="16">
        <v>46157</v>
      </c>
      <c r="D407">
        <v>1444.08</v>
      </c>
    </row>
    <row r="408" spans="1:4" x14ac:dyDescent="0.3">
      <c r="A408" t="s">
        <v>31</v>
      </c>
      <c r="C408" s="16">
        <v>46157</v>
      </c>
      <c r="D408">
        <v>18242.599999999962</v>
      </c>
    </row>
    <row r="409" spans="1:4" x14ac:dyDescent="0.3">
      <c r="A409" t="s">
        <v>32</v>
      </c>
      <c r="C409" s="16">
        <v>46157</v>
      </c>
      <c r="D409">
        <v>15120.060000000001</v>
      </c>
    </row>
    <row r="410" spans="1:4" x14ac:dyDescent="0.3">
      <c r="A410" t="s">
        <v>33</v>
      </c>
      <c r="C410" s="16">
        <v>46157</v>
      </c>
      <c r="D410">
        <v>27011.27</v>
      </c>
    </row>
    <row r="411" spans="1:4" x14ac:dyDescent="0.3">
      <c r="A411" t="s">
        <v>34</v>
      </c>
      <c r="C411" s="16">
        <v>46157</v>
      </c>
      <c r="D411">
        <v>345</v>
      </c>
    </row>
    <row r="412" spans="1:4" x14ac:dyDescent="0.3">
      <c r="A412" t="s">
        <v>35</v>
      </c>
      <c r="C412" s="16">
        <v>46157</v>
      </c>
      <c r="D412">
        <v>14176.59</v>
      </c>
    </row>
    <row r="413" spans="1:4" x14ac:dyDescent="0.3">
      <c r="A413" t="s">
        <v>193</v>
      </c>
      <c r="C413" s="16">
        <v>46157</v>
      </c>
      <c r="D413">
        <v>0</v>
      </c>
    </row>
    <row r="414" spans="1:4" x14ac:dyDescent="0.3">
      <c r="A414" t="s">
        <v>194</v>
      </c>
      <c r="C414" s="16">
        <v>46157</v>
      </c>
      <c r="D414">
        <v>0</v>
      </c>
    </row>
    <row r="415" spans="1:4" x14ac:dyDescent="0.3">
      <c r="A415" t="s">
        <v>195</v>
      </c>
      <c r="C415" s="16">
        <v>46157</v>
      </c>
      <c r="D415">
        <v>0</v>
      </c>
    </row>
    <row r="416" spans="1:4" x14ac:dyDescent="0.3">
      <c r="A416" t="s">
        <v>196</v>
      </c>
      <c r="C416" s="16">
        <v>46157</v>
      </c>
      <c r="D416">
        <v>0</v>
      </c>
    </row>
    <row r="417" spans="1:4" x14ac:dyDescent="0.3">
      <c r="A417" t="s">
        <v>197</v>
      </c>
      <c r="C417" s="16">
        <v>46157</v>
      </c>
      <c r="D417">
        <v>0</v>
      </c>
    </row>
    <row r="418" spans="1:4" x14ac:dyDescent="0.3">
      <c r="A418" t="s">
        <v>198</v>
      </c>
      <c r="C418" s="16">
        <v>46157</v>
      </c>
      <c r="D418">
        <v>0</v>
      </c>
    </row>
    <row r="419" spans="1:4" x14ac:dyDescent="0.3">
      <c r="A419" t="s">
        <v>216</v>
      </c>
      <c r="C419" s="16">
        <v>46157</v>
      </c>
      <c r="D419">
        <v>0</v>
      </c>
    </row>
    <row r="420" spans="1:4" x14ac:dyDescent="0.3">
      <c r="A420" t="s">
        <v>200</v>
      </c>
      <c r="C420" s="16">
        <v>46157</v>
      </c>
      <c r="D420">
        <v>0</v>
      </c>
    </row>
    <row r="421" spans="1:4" x14ac:dyDescent="0.3">
      <c r="A421" t="s">
        <v>201</v>
      </c>
      <c r="C421" s="16">
        <v>46157</v>
      </c>
      <c r="D421">
        <v>0</v>
      </c>
    </row>
    <row r="422" spans="1:4" x14ac:dyDescent="0.3">
      <c r="A422" t="s">
        <v>17</v>
      </c>
      <c r="C422" s="16">
        <v>46158</v>
      </c>
      <c r="D422">
        <v>165752.81000000023</v>
      </c>
    </row>
    <row r="423" spans="1:4" x14ac:dyDescent="0.3">
      <c r="A423" t="s">
        <v>18</v>
      </c>
      <c r="C423" s="16">
        <v>46158</v>
      </c>
      <c r="D423">
        <v>59760.159999999938</v>
      </c>
    </row>
    <row r="424" spans="1:4" x14ac:dyDescent="0.3">
      <c r="A424" t="s">
        <v>19</v>
      </c>
      <c r="C424" s="16">
        <v>46158</v>
      </c>
      <c r="D424">
        <v>1669.89</v>
      </c>
    </row>
    <row r="425" spans="1:4" x14ac:dyDescent="0.3">
      <c r="A425" t="s">
        <v>20</v>
      </c>
      <c r="C425" s="16">
        <v>46158</v>
      </c>
      <c r="D425">
        <v>832076.20999999985</v>
      </c>
    </row>
    <row r="426" spans="1:4" x14ac:dyDescent="0.3">
      <c r="A426" t="s">
        <v>21</v>
      </c>
      <c r="C426" s="16">
        <v>46158</v>
      </c>
      <c r="D426">
        <v>952163.77999999933</v>
      </c>
    </row>
    <row r="427" spans="1:4" x14ac:dyDescent="0.3">
      <c r="A427" t="s">
        <v>22</v>
      </c>
      <c r="C427" s="16">
        <v>46158</v>
      </c>
      <c r="D427">
        <v>121511.38</v>
      </c>
    </row>
    <row r="428" spans="1:4" x14ac:dyDescent="0.3">
      <c r="A428" t="s">
        <v>23</v>
      </c>
      <c r="C428" s="16">
        <v>46158</v>
      </c>
      <c r="D428">
        <v>13090.369999999997</v>
      </c>
    </row>
    <row r="429" spans="1:4" x14ac:dyDescent="0.3">
      <c r="A429" t="s">
        <v>24</v>
      </c>
      <c r="C429" s="16">
        <v>46158</v>
      </c>
      <c r="D429">
        <v>2498.3999999999996</v>
      </c>
    </row>
    <row r="430" spans="1:4" x14ac:dyDescent="0.3">
      <c r="A430" t="s">
        <v>25</v>
      </c>
      <c r="C430" s="16">
        <v>46158</v>
      </c>
      <c r="D430">
        <v>114.3</v>
      </c>
    </row>
    <row r="431" spans="1:4" x14ac:dyDescent="0.3">
      <c r="A431" t="s">
        <v>26</v>
      </c>
      <c r="C431" s="16">
        <v>46158</v>
      </c>
      <c r="D431">
        <v>2267.7200000000003</v>
      </c>
    </row>
    <row r="432" spans="1:4" x14ac:dyDescent="0.3">
      <c r="A432" t="s">
        <v>27</v>
      </c>
      <c r="C432" s="16">
        <v>46158</v>
      </c>
      <c r="D432">
        <v>3349.94</v>
      </c>
    </row>
    <row r="433" spans="1:4" x14ac:dyDescent="0.3">
      <c r="A433" t="s">
        <v>28</v>
      </c>
      <c r="C433" s="16">
        <v>46158</v>
      </c>
      <c r="D433">
        <v>1968.99</v>
      </c>
    </row>
    <row r="434" spans="1:4" x14ac:dyDescent="0.3">
      <c r="A434" t="s">
        <v>29</v>
      </c>
      <c r="C434" s="16">
        <v>46158</v>
      </c>
      <c r="D434">
        <v>901.34</v>
      </c>
    </row>
    <row r="435" spans="1:4" x14ac:dyDescent="0.3">
      <c r="A435" t="s">
        <v>30</v>
      </c>
      <c r="C435" s="16">
        <v>46158</v>
      </c>
      <c r="D435">
        <v>1444.08</v>
      </c>
    </row>
    <row r="436" spans="1:4" x14ac:dyDescent="0.3">
      <c r="A436" t="s">
        <v>31</v>
      </c>
      <c r="C436" s="16">
        <v>46158</v>
      </c>
      <c r="D436">
        <v>18242.599999999962</v>
      </c>
    </row>
    <row r="437" spans="1:4" x14ac:dyDescent="0.3">
      <c r="A437" t="s">
        <v>32</v>
      </c>
      <c r="C437" s="16">
        <v>46158</v>
      </c>
      <c r="D437">
        <v>15120.060000000001</v>
      </c>
    </row>
    <row r="438" spans="1:4" x14ac:dyDescent="0.3">
      <c r="A438" t="s">
        <v>33</v>
      </c>
      <c r="C438" s="16">
        <v>46158</v>
      </c>
      <c r="D438">
        <v>27011.27</v>
      </c>
    </row>
    <row r="439" spans="1:4" x14ac:dyDescent="0.3">
      <c r="A439" t="s">
        <v>34</v>
      </c>
      <c r="C439" s="16">
        <v>46158</v>
      </c>
      <c r="D439">
        <v>345</v>
      </c>
    </row>
    <row r="440" spans="1:4" x14ac:dyDescent="0.3">
      <c r="A440" t="s">
        <v>35</v>
      </c>
      <c r="C440" s="16">
        <v>46158</v>
      </c>
      <c r="D440">
        <v>14176.59</v>
      </c>
    </row>
    <row r="441" spans="1:4" x14ac:dyDescent="0.3">
      <c r="A441" t="s">
        <v>193</v>
      </c>
      <c r="C441" s="16">
        <v>46158</v>
      </c>
      <c r="D441">
        <v>0</v>
      </c>
    </row>
    <row r="442" spans="1:4" x14ac:dyDescent="0.3">
      <c r="A442" t="s">
        <v>194</v>
      </c>
      <c r="C442" s="16">
        <v>46158</v>
      </c>
      <c r="D442">
        <v>0</v>
      </c>
    </row>
    <row r="443" spans="1:4" x14ac:dyDescent="0.3">
      <c r="A443" t="s">
        <v>195</v>
      </c>
      <c r="C443" s="16">
        <v>46158</v>
      </c>
      <c r="D443">
        <v>0</v>
      </c>
    </row>
    <row r="444" spans="1:4" x14ac:dyDescent="0.3">
      <c r="A444" t="s">
        <v>196</v>
      </c>
      <c r="C444" s="16">
        <v>46158</v>
      </c>
      <c r="D444">
        <v>0</v>
      </c>
    </row>
    <row r="445" spans="1:4" x14ac:dyDescent="0.3">
      <c r="A445" t="s">
        <v>197</v>
      </c>
      <c r="C445" s="16">
        <v>46158</v>
      </c>
      <c r="D445">
        <v>0</v>
      </c>
    </row>
    <row r="446" spans="1:4" x14ac:dyDescent="0.3">
      <c r="A446" t="s">
        <v>198</v>
      </c>
      <c r="C446" s="16">
        <v>46158</v>
      </c>
      <c r="D446">
        <v>0</v>
      </c>
    </row>
    <row r="447" spans="1:4" x14ac:dyDescent="0.3">
      <c r="A447" t="s">
        <v>216</v>
      </c>
      <c r="C447" s="16">
        <v>46158</v>
      </c>
      <c r="D447">
        <v>0</v>
      </c>
    </row>
    <row r="448" spans="1:4" x14ac:dyDescent="0.3">
      <c r="A448" t="s">
        <v>200</v>
      </c>
      <c r="C448" s="16">
        <v>46158</v>
      </c>
      <c r="D448">
        <v>0</v>
      </c>
    </row>
    <row r="449" spans="1:4" x14ac:dyDescent="0.3">
      <c r="A449" t="s">
        <v>201</v>
      </c>
      <c r="C449" s="16">
        <v>46158</v>
      </c>
      <c r="D449">
        <v>0</v>
      </c>
    </row>
    <row r="450" spans="1:4" x14ac:dyDescent="0.3">
      <c r="A450" t="s">
        <v>17</v>
      </c>
      <c r="C450" s="16">
        <v>46159</v>
      </c>
      <c r="D450">
        <v>165752.81000000023</v>
      </c>
    </row>
    <row r="451" spans="1:4" x14ac:dyDescent="0.3">
      <c r="A451" t="s">
        <v>18</v>
      </c>
      <c r="C451" s="16">
        <v>46159</v>
      </c>
      <c r="D451">
        <v>59760.159999999938</v>
      </c>
    </row>
    <row r="452" spans="1:4" x14ac:dyDescent="0.3">
      <c r="A452" t="s">
        <v>19</v>
      </c>
      <c r="C452" s="16">
        <v>46159</v>
      </c>
      <c r="D452">
        <v>1669.89</v>
      </c>
    </row>
    <row r="453" spans="1:4" x14ac:dyDescent="0.3">
      <c r="A453" t="s">
        <v>20</v>
      </c>
      <c r="C453" s="16">
        <v>46159</v>
      </c>
      <c r="D453">
        <v>832076.20999999985</v>
      </c>
    </row>
    <row r="454" spans="1:4" x14ac:dyDescent="0.3">
      <c r="A454" t="s">
        <v>21</v>
      </c>
      <c r="C454" s="16">
        <v>46159</v>
      </c>
      <c r="D454">
        <v>952163.77999999933</v>
      </c>
    </row>
    <row r="455" spans="1:4" x14ac:dyDescent="0.3">
      <c r="A455" t="s">
        <v>22</v>
      </c>
      <c r="C455" s="16">
        <v>46159</v>
      </c>
      <c r="D455">
        <v>121511.38</v>
      </c>
    </row>
    <row r="456" spans="1:4" x14ac:dyDescent="0.3">
      <c r="A456" t="s">
        <v>23</v>
      </c>
      <c r="C456" s="16">
        <v>46159</v>
      </c>
      <c r="D456">
        <v>13090.369999999997</v>
      </c>
    </row>
    <row r="457" spans="1:4" x14ac:dyDescent="0.3">
      <c r="A457" t="s">
        <v>24</v>
      </c>
      <c r="C457" s="16">
        <v>46159</v>
      </c>
      <c r="D457">
        <v>2498.3999999999996</v>
      </c>
    </row>
    <row r="458" spans="1:4" x14ac:dyDescent="0.3">
      <c r="A458" t="s">
        <v>25</v>
      </c>
      <c r="C458" s="16">
        <v>46159</v>
      </c>
      <c r="D458">
        <v>114.3</v>
      </c>
    </row>
    <row r="459" spans="1:4" x14ac:dyDescent="0.3">
      <c r="A459" t="s">
        <v>26</v>
      </c>
      <c r="C459" s="16">
        <v>46159</v>
      </c>
      <c r="D459">
        <v>2267.7200000000003</v>
      </c>
    </row>
    <row r="460" spans="1:4" x14ac:dyDescent="0.3">
      <c r="A460" t="s">
        <v>27</v>
      </c>
      <c r="C460" s="16">
        <v>46159</v>
      </c>
      <c r="D460">
        <v>3349.94</v>
      </c>
    </row>
    <row r="461" spans="1:4" x14ac:dyDescent="0.3">
      <c r="A461" t="s">
        <v>28</v>
      </c>
      <c r="C461" s="16">
        <v>46159</v>
      </c>
      <c r="D461">
        <v>1968.99</v>
      </c>
    </row>
    <row r="462" spans="1:4" x14ac:dyDescent="0.3">
      <c r="A462" t="s">
        <v>29</v>
      </c>
      <c r="C462" s="16">
        <v>46159</v>
      </c>
      <c r="D462">
        <v>901.34</v>
      </c>
    </row>
    <row r="463" spans="1:4" x14ac:dyDescent="0.3">
      <c r="A463" t="s">
        <v>30</v>
      </c>
      <c r="C463" s="16">
        <v>46159</v>
      </c>
      <c r="D463">
        <v>1444.08</v>
      </c>
    </row>
    <row r="464" spans="1:4" x14ac:dyDescent="0.3">
      <c r="A464" t="s">
        <v>31</v>
      </c>
      <c r="C464" s="16">
        <v>46159</v>
      </c>
      <c r="D464">
        <v>18242.599999999962</v>
      </c>
    </row>
    <row r="465" spans="1:4" x14ac:dyDescent="0.3">
      <c r="A465" t="s">
        <v>32</v>
      </c>
      <c r="C465" s="16">
        <v>46159</v>
      </c>
      <c r="D465">
        <v>15120.060000000001</v>
      </c>
    </row>
    <row r="466" spans="1:4" x14ac:dyDescent="0.3">
      <c r="A466" t="s">
        <v>33</v>
      </c>
      <c r="C466" s="16">
        <v>46159</v>
      </c>
      <c r="D466">
        <v>27011.27</v>
      </c>
    </row>
    <row r="467" spans="1:4" x14ac:dyDescent="0.3">
      <c r="A467" t="s">
        <v>34</v>
      </c>
      <c r="C467" s="16">
        <v>46159</v>
      </c>
      <c r="D467">
        <v>345</v>
      </c>
    </row>
    <row r="468" spans="1:4" x14ac:dyDescent="0.3">
      <c r="A468" t="s">
        <v>35</v>
      </c>
      <c r="C468" s="16">
        <v>46159</v>
      </c>
      <c r="D468">
        <v>14176.59</v>
      </c>
    </row>
    <row r="469" spans="1:4" x14ac:dyDescent="0.3">
      <c r="A469" t="s">
        <v>193</v>
      </c>
      <c r="C469" s="16">
        <v>46159</v>
      </c>
      <c r="D469">
        <v>0</v>
      </c>
    </row>
    <row r="470" spans="1:4" x14ac:dyDescent="0.3">
      <c r="A470" t="s">
        <v>194</v>
      </c>
      <c r="C470" s="16">
        <v>46159</v>
      </c>
      <c r="D470">
        <v>0</v>
      </c>
    </row>
    <row r="471" spans="1:4" x14ac:dyDescent="0.3">
      <c r="A471" t="s">
        <v>195</v>
      </c>
      <c r="C471" s="16">
        <v>46159</v>
      </c>
      <c r="D471">
        <v>0</v>
      </c>
    </row>
    <row r="472" spans="1:4" x14ac:dyDescent="0.3">
      <c r="A472" t="s">
        <v>196</v>
      </c>
      <c r="C472" s="16">
        <v>46159</v>
      </c>
      <c r="D472">
        <v>0</v>
      </c>
    </row>
    <row r="473" spans="1:4" x14ac:dyDescent="0.3">
      <c r="A473" t="s">
        <v>197</v>
      </c>
      <c r="C473" s="16">
        <v>46159</v>
      </c>
      <c r="D473">
        <v>0</v>
      </c>
    </row>
    <row r="474" spans="1:4" x14ac:dyDescent="0.3">
      <c r="A474" t="s">
        <v>198</v>
      </c>
      <c r="C474" s="16">
        <v>46159</v>
      </c>
      <c r="D474">
        <v>0</v>
      </c>
    </row>
    <row r="475" spans="1:4" x14ac:dyDescent="0.3">
      <c r="A475" t="s">
        <v>216</v>
      </c>
      <c r="C475" s="16">
        <v>46159</v>
      </c>
      <c r="D475">
        <v>0</v>
      </c>
    </row>
    <row r="476" spans="1:4" x14ac:dyDescent="0.3">
      <c r="A476" t="s">
        <v>200</v>
      </c>
      <c r="C476" s="16">
        <v>46159</v>
      </c>
      <c r="D476">
        <v>0</v>
      </c>
    </row>
    <row r="477" spans="1:4" x14ac:dyDescent="0.3">
      <c r="A477" t="s">
        <v>201</v>
      </c>
      <c r="C477" s="16">
        <v>46159</v>
      </c>
      <c r="D477">
        <v>0</v>
      </c>
    </row>
    <row r="478" spans="1:4" x14ac:dyDescent="0.3">
      <c r="A478" t="s">
        <v>17</v>
      </c>
      <c r="C478" s="16">
        <v>46160</v>
      </c>
      <c r="D478">
        <v>165752.81000000023</v>
      </c>
    </row>
    <row r="479" spans="1:4" x14ac:dyDescent="0.3">
      <c r="A479" t="s">
        <v>18</v>
      </c>
      <c r="C479" s="16">
        <v>46160</v>
      </c>
      <c r="D479">
        <v>59760.159999999938</v>
      </c>
    </row>
    <row r="480" spans="1:4" x14ac:dyDescent="0.3">
      <c r="A480" t="s">
        <v>19</v>
      </c>
      <c r="C480" s="16">
        <v>46160</v>
      </c>
      <c r="D480">
        <v>1669.89</v>
      </c>
    </row>
    <row r="481" spans="1:4" x14ac:dyDescent="0.3">
      <c r="A481" t="s">
        <v>20</v>
      </c>
      <c r="C481" s="16">
        <v>46160</v>
      </c>
      <c r="D481">
        <v>832076.20999999985</v>
      </c>
    </row>
    <row r="482" spans="1:4" x14ac:dyDescent="0.3">
      <c r="A482" t="s">
        <v>21</v>
      </c>
      <c r="C482" s="16">
        <v>46160</v>
      </c>
      <c r="D482">
        <v>928713.30999999924</v>
      </c>
    </row>
    <row r="483" spans="1:4" x14ac:dyDescent="0.3">
      <c r="A483" t="s">
        <v>22</v>
      </c>
      <c r="C483" s="16">
        <v>46160</v>
      </c>
      <c r="D483">
        <v>121511.38</v>
      </c>
    </row>
    <row r="484" spans="1:4" x14ac:dyDescent="0.3">
      <c r="A484" t="s">
        <v>23</v>
      </c>
      <c r="C484" s="16">
        <v>46160</v>
      </c>
      <c r="D484">
        <v>13090.369999999997</v>
      </c>
    </row>
    <row r="485" spans="1:4" x14ac:dyDescent="0.3">
      <c r="A485" t="s">
        <v>24</v>
      </c>
      <c r="C485" s="16">
        <v>46160</v>
      </c>
      <c r="D485">
        <v>2498.3999999999996</v>
      </c>
    </row>
    <row r="486" spans="1:4" x14ac:dyDescent="0.3">
      <c r="A486" t="s">
        <v>25</v>
      </c>
      <c r="C486" s="16">
        <v>46160</v>
      </c>
      <c r="D486">
        <v>114.3</v>
      </c>
    </row>
    <row r="487" spans="1:4" x14ac:dyDescent="0.3">
      <c r="A487" t="s">
        <v>26</v>
      </c>
      <c r="C487" s="16">
        <v>46160</v>
      </c>
      <c r="D487">
        <v>2267.7200000000003</v>
      </c>
    </row>
    <row r="488" spans="1:4" x14ac:dyDescent="0.3">
      <c r="A488" t="s">
        <v>27</v>
      </c>
      <c r="C488" s="16">
        <v>46160</v>
      </c>
      <c r="D488">
        <v>3349.94</v>
      </c>
    </row>
    <row r="489" spans="1:4" x14ac:dyDescent="0.3">
      <c r="A489" t="s">
        <v>28</v>
      </c>
      <c r="C489" s="16">
        <v>46160</v>
      </c>
      <c r="D489">
        <v>1968.99</v>
      </c>
    </row>
    <row r="490" spans="1:4" x14ac:dyDescent="0.3">
      <c r="A490" t="s">
        <v>29</v>
      </c>
      <c r="C490" s="16">
        <v>46160</v>
      </c>
      <c r="D490">
        <v>901.34</v>
      </c>
    </row>
    <row r="491" spans="1:4" x14ac:dyDescent="0.3">
      <c r="A491" t="s">
        <v>30</v>
      </c>
      <c r="C491" s="16">
        <v>46160</v>
      </c>
      <c r="D491">
        <v>1444.08</v>
      </c>
    </row>
    <row r="492" spans="1:4" x14ac:dyDescent="0.3">
      <c r="A492" t="s">
        <v>31</v>
      </c>
      <c r="C492" s="16">
        <v>46160</v>
      </c>
      <c r="D492">
        <v>15463.59999999996</v>
      </c>
    </row>
    <row r="493" spans="1:4" x14ac:dyDescent="0.3">
      <c r="A493" t="s">
        <v>32</v>
      </c>
      <c r="C493" s="16">
        <v>46160</v>
      </c>
      <c r="D493">
        <v>15120.060000000001</v>
      </c>
    </row>
    <row r="494" spans="1:4" x14ac:dyDescent="0.3">
      <c r="A494" t="s">
        <v>33</v>
      </c>
      <c r="C494" s="16">
        <v>46160</v>
      </c>
      <c r="D494">
        <v>27006.27</v>
      </c>
    </row>
    <row r="495" spans="1:4" x14ac:dyDescent="0.3">
      <c r="A495" t="s">
        <v>34</v>
      </c>
      <c r="C495" s="16">
        <v>46160</v>
      </c>
      <c r="D495">
        <v>345</v>
      </c>
    </row>
    <row r="496" spans="1:4" x14ac:dyDescent="0.3">
      <c r="A496" t="s">
        <v>35</v>
      </c>
      <c r="C496" s="16">
        <v>46160</v>
      </c>
      <c r="D496">
        <v>13941.210000000001</v>
      </c>
    </row>
    <row r="497" spans="1:4" x14ac:dyDescent="0.3">
      <c r="A497" t="s">
        <v>193</v>
      </c>
      <c r="C497" s="16">
        <v>46160</v>
      </c>
      <c r="D497">
        <v>0</v>
      </c>
    </row>
    <row r="498" spans="1:4" x14ac:dyDescent="0.3">
      <c r="A498" t="s">
        <v>194</v>
      </c>
      <c r="C498" s="16">
        <v>46160</v>
      </c>
      <c r="D498">
        <v>0</v>
      </c>
    </row>
    <row r="499" spans="1:4" x14ac:dyDescent="0.3">
      <c r="A499" t="s">
        <v>195</v>
      </c>
      <c r="C499" s="16">
        <v>46160</v>
      </c>
      <c r="D499">
        <v>0</v>
      </c>
    </row>
    <row r="500" spans="1:4" x14ac:dyDescent="0.3">
      <c r="A500" t="s">
        <v>196</v>
      </c>
      <c r="C500" s="16">
        <v>46160</v>
      </c>
      <c r="D500">
        <v>0</v>
      </c>
    </row>
    <row r="501" spans="1:4" x14ac:dyDescent="0.3">
      <c r="A501" t="s">
        <v>197</v>
      </c>
      <c r="C501" s="16">
        <v>46160</v>
      </c>
      <c r="D501">
        <v>0</v>
      </c>
    </row>
    <row r="502" spans="1:4" x14ac:dyDescent="0.3">
      <c r="A502" t="s">
        <v>198</v>
      </c>
      <c r="C502" s="16">
        <v>46160</v>
      </c>
      <c r="D502">
        <v>0</v>
      </c>
    </row>
    <row r="503" spans="1:4" x14ac:dyDescent="0.3">
      <c r="A503" t="s">
        <v>216</v>
      </c>
      <c r="C503" s="16">
        <v>46160</v>
      </c>
      <c r="D503">
        <v>0</v>
      </c>
    </row>
    <row r="504" spans="1:4" x14ac:dyDescent="0.3">
      <c r="A504" t="s">
        <v>200</v>
      </c>
      <c r="C504" s="16">
        <v>46160</v>
      </c>
      <c r="D504">
        <v>0</v>
      </c>
    </row>
    <row r="505" spans="1:4" x14ac:dyDescent="0.3">
      <c r="A505" t="s">
        <v>201</v>
      </c>
      <c r="C505" s="16">
        <v>46160</v>
      </c>
      <c r="D505">
        <v>0</v>
      </c>
    </row>
    <row r="506" spans="1:4" x14ac:dyDescent="0.3">
      <c r="A506" t="s">
        <v>17</v>
      </c>
      <c r="C506" s="16">
        <v>46161</v>
      </c>
      <c r="D506">
        <v>815752.81000000029</v>
      </c>
    </row>
    <row r="507" spans="1:4" x14ac:dyDescent="0.3">
      <c r="A507" t="s">
        <v>18</v>
      </c>
      <c r="C507" s="16">
        <v>46161</v>
      </c>
      <c r="D507">
        <v>59760.159999999938</v>
      </c>
    </row>
    <row r="508" spans="1:4" x14ac:dyDescent="0.3">
      <c r="A508" t="s">
        <v>19</v>
      </c>
      <c r="C508" s="16">
        <v>46161</v>
      </c>
      <c r="D508">
        <v>1669.89</v>
      </c>
    </row>
    <row r="509" spans="1:4" x14ac:dyDescent="0.3">
      <c r="A509" t="s">
        <v>20</v>
      </c>
      <c r="C509" s="16">
        <v>46161</v>
      </c>
      <c r="D509">
        <v>832076.20999999985</v>
      </c>
    </row>
    <row r="510" spans="1:4" x14ac:dyDescent="0.3">
      <c r="A510" t="s">
        <v>21</v>
      </c>
      <c r="C510" s="16">
        <v>46161</v>
      </c>
      <c r="D510">
        <v>925592.77999999933</v>
      </c>
    </row>
    <row r="511" spans="1:4" x14ac:dyDescent="0.3">
      <c r="A511" t="s">
        <v>22</v>
      </c>
      <c r="C511" s="16">
        <v>46161</v>
      </c>
      <c r="D511">
        <v>91511.38</v>
      </c>
    </row>
    <row r="512" spans="1:4" x14ac:dyDescent="0.3">
      <c r="A512" t="s">
        <v>23</v>
      </c>
      <c r="C512" s="16">
        <v>46161</v>
      </c>
      <c r="D512">
        <v>13090.369999999997</v>
      </c>
    </row>
    <row r="513" spans="1:4" x14ac:dyDescent="0.3">
      <c r="A513" t="s">
        <v>24</v>
      </c>
      <c r="C513" s="16">
        <v>46161</v>
      </c>
      <c r="D513">
        <v>2498.3999999999996</v>
      </c>
    </row>
    <row r="514" spans="1:4" x14ac:dyDescent="0.3">
      <c r="A514" t="s">
        <v>25</v>
      </c>
      <c r="C514" s="16">
        <v>46161</v>
      </c>
      <c r="D514">
        <v>114.3</v>
      </c>
    </row>
    <row r="515" spans="1:4" x14ac:dyDescent="0.3">
      <c r="A515" t="s">
        <v>26</v>
      </c>
      <c r="C515" s="16">
        <v>46161</v>
      </c>
      <c r="D515">
        <v>2267.7200000000003</v>
      </c>
    </row>
    <row r="516" spans="1:4" x14ac:dyDescent="0.3">
      <c r="A516" t="s">
        <v>27</v>
      </c>
      <c r="C516" s="16">
        <v>46161</v>
      </c>
      <c r="D516">
        <v>3349.94</v>
      </c>
    </row>
    <row r="517" spans="1:4" x14ac:dyDescent="0.3">
      <c r="A517" t="s">
        <v>28</v>
      </c>
      <c r="C517" s="16">
        <v>46161</v>
      </c>
      <c r="D517">
        <v>1968.99</v>
      </c>
    </row>
    <row r="518" spans="1:4" x14ac:dyDescent="0.3">
      <c r="A518" t="s">
        <v>29</v>
      </c>
      <c r="C518" s="16">
        <v>46161</v>
      </c>
      <c r="D518">
        <v>901.34</v>
      </c>
    </row>
    <row r="519" spans="1:4" x14ac:dyDescent="0.3">
      <c r="A519" t="s">
        <v>30</v>
      </c>
      <c r="C519" s="16">
        <v>46161</v>
      </c>
      <c r="D519">
        <v>1444.08</v>
      </c>
    </row>
    <row r="520" spans="1:4" x14ac:dyDescent="0.3">
      <c r="A520" t="s">
        <v>31</v>
      </c>
      <c r="C520" s="16">
        <v>46161</v>
      </c>
      <c r="D520">
        <v>15463.59999999996</v>
      </c>
    </row>
    <row r="521" spans="1:4" x14ac:dyDescent="0.3">
      <c r="A521" t="s">
        <v>32</v>
      </c>
      <c r="C521" s="16">
        <v>46161</v>
      </c>
      <c r="D521">
        <v>15120.060000000001</v>
      </c>
    </row>
    <row r="522" spans="1:4" x14ac:dyDescent="0.3">
      <c r="A522" t="s">
        <v>33</v>
      </c>
      <c r="C522" s="16">
        <v>46161</v>
      </c>
      <c r="D522">
        <v>27006.27</v>
      </c>
    </row>
    <row r="523" spans="1:4" x14ac:dyDescent="0.3">
      <c r="A523" t="s">
        <v>34</v>
      </c>
      <c r="C523" s="16">
        <v>46161</v>
      </c>
      <c r="D523">
        <v>345</v>
      </c>
    </row>
    <row r="524" spans="1:4" x14ac:dyDescent="0.3">
      <c r="A524" t="s">
        <v>35</v>
      </c>
      <c r="C524" s="16">
        <v>46161</v>
      </c>
      <c r="D524">
        <v>18941.21</v>
      </c>
    </row>
    <row r="525" spans="1:4" x14ac:dyDescent="0.3">
      <c r="A525" t="s">
        <v>193</v>
      </c>
      <c r="C525" s="16">
        <v>46161</v>
      </c>
      <c r="D525">
        <v>0</v>
      </c>
    </row>
    <row r="526" spans="1:4" x14ac:dyDescent="0.3">
      <c r="A526" t="s">
        <v>194</v>
      </c>
      <c r="C526" s="16">
        <v>46161</v>
      </c>
      <c r="D526">
        <v>0</v>
      </c>
    </row>
    <row r="527" spans="1:4" x14ac:dyDescent="0.3">
      <c r="A527" t="s">
        <v>195</v>
      </c>
      <c r="C527" s="16">
        <v>46161</v>
      </c>
      <c r="D527">
        <v>0</v>
      </c>
    </row>
    <row r="528" spans="1:4" x14ac:dyDescent="0.3">
      <c r="A528" t="s">
        <v>196</v>
      </c>
      <c r="C528" s="16">
        <v>46161</v>
      </c>
      <c r="D528">
        <v>0</v>
      </c>
    </row>
    <row r="529" spans="1:4" x14ac:dyDescent="0.3">
      <c r="A529" t="s">
        <v>197</v>
      </c>
      <c r="C529" s="16">
        <v>46161</v>
      </c>
      <c r="D529">
        <v>0</v>
      </c>
    </row>
    <row r="530" spans="1:4" x14ac:dyDescent="0.3">
      <c r="A530" t="s">
        <v>198</v>
      </c>
      <c r="C530" s="16">
        <v>46161</v>
      </c>
      <c r="D530">
        <v>0</v>
      </c>
    </row>
    <row r="531" spans="1:4" x14ac:dyDescent="0.3">
      <c r="A531" t="s">
        <v>216</v>
      </c>
      <c r="C531" s="16">
        <v>46161</v>
      </c>
      <c r="D531">
        <v>0</v>
      </c>
    </row>
    <row r="532" spans="1:4" x14ac:dyDescent="0.3">
      <c r="A532" t="s">
        <v>200</v>
      </c>
      <c r="C532" s="16">
        <v>46161</v>
      </c>
      <c r="D532">
        <v>0</v>
      </c>
    </row>
    <row r="533" spans="1:4" x14ac:dyDescent="0.3">
      <c r="A533" t="s">
        <v>201</v>
      </c>
      <c r="C533" s="16">
        <v>46161</v>
      </c>
      <c r="D533">
        <v>0</v>
      </c>
    </row>
    <row r="534" spans="1:4" x14ac:dyDescent="0.3">
      <c r="A534" t="s">
        <v>17</v>
      </c>
      <c r="C534" s="16">
        <v>46162</v>
      </c>
      <c r="D534">
        <v>142321.80000000013</v>
      </c>
    </row>
    <row r="535" spans="1:4" x14ac:dyDescent="0.3">
      <c r="A535" t="s">
        <v>18</v>
      </c>
      <c r="C535" s="16">
        <v>46162</v>
      </c>
      <c r="D535">
        <v>59760.159999999938</v>
      </c>
    </row>
    <row r="536" spans="1:4" x14ac:dyDescent="0.3">
      <c r="A536" t="s">
        <v>19</v>
      </c>
      <c r="C536" s="16">
        <v>46162</v>
      </c>
      <c r="D536">
        <v>1669.89</v>
      </c>
    </row>
    <row r="537" spans="1:4" x14ac:dyDescent="0.3">
      <c r="A537" t="s">
        <v>20</v>
      </c>
      <c r="C537" s="16">
        <v>46162</v>
      </c>
      <c r="D537">
        <v>832076.20999999985</v>
      </c>
    </row>
    <row r="538" spans="1:4" x14ac:dyDescent="0.3">
      <c r="A538" t="s">
        <v>21</v>
      </c>
      <c r="C538" s="16">
        <v>46162</v>
      </c>
      <c r="D538">
        <v>981189.87999999931</v>
      </c>
    </row>
    <row r="539" spans="1:4" x14ac:dyDescent="0.3">
      <c r="A539" t="s">
        <v>22</v>
      </c>
      <c r="C539" s="16">
        <v>46162</v>
      </c>
      <c r="D539">
        <v>141496.38</v>
      </c>
    </row>
    <row r="540" spans="1:4" x14ac:dyDescent="0.3">
      <c r="A540" t="s">
        <v>23</v>
      </c>
      <c r="C540" s="16">
        <v>46162</v>
      </c>
      <c r="D540">
        <v>13090.369999999997</v>
      </c>
    </row>
    <row r="541" spans="1:4" x14ac:dyDescent="0.3">
      <c r="A541" t="s">
        <v>24</v>
      </c>
      <c r="C541" s="16">
        <v>46162</v>
      </c>
      <c r="D541">
        <v>2498.3999999999996</v>
      </c>
    </row>
    <row r="542" spans="1:4" x14ac:dyDescent="0.3">
      <c r="A542" t="s">
        <v>25</v>
      </c>
      <c r="C542" s="16">
        <v>46162</v>
      </c>
      <c r="D542">
        <v>114.3</v>
      </c>
    </row>
    <row r="543" spans="1:4" x14ac:dyDescent="0.3">
      <c r="A543" t="s">
        <v>26</v>
      </c>
      <c r="C543" s="16">
        <v>46162</v>
      </c>
      <c r="D543">
        <v>2267.7200000000003</v>
      </c>
    </row>
    <row r="544" spans="1:4" x14ac:dyDescent="0.3">
      <c r="A544" t="s">
        <v>27</v>
      </c>
      <c r="C544" s="16">
        <v>46162</v>
      </c>
      <c r="D544">
        <v>3349.94</v>
      </c>
    </row>
    <row r="545" spans="1:4" x14ac:dyDescent="0.3">
      <c r="A545" t="s">
        <v>28</v>
      </c>
      <c r="C545" s="16">
        <v>46162</v>
      </c>
      <c r="D545">
        <v>1968.99</v>
      </c>
    </row>
    <row r="546" spans="1:4" x14ac:dyDescent="0.3">
      <c r="A546" t="s">
        <v>29</v>
      </c>
      <c r="C546" s="16">
        <v>46162</v>
      </c>
      <c r="D546">
        <v>901.34</v>
      </c>
    </row>
    <row r="547" spans="1:4" x14ac:dyDescent="0.3">
      <c r="A547" t="s">
        <v>30</v>
      </c>
      <c r="C547" s="16">
        <v>46162</v>
      </c>
      <c r="D547">
        <v>1444.08</v>
      </c>
    </row>
    <row r="548" spans="1:4" x14ac:dyDescent="0.3">
      <c r="A548" t="s">
        <v>31</v>
      </c>
      <c r="C548" s="16">
        <v>46162</v>
      </c>
      <c r="D548">
        <v>15463.59999999996</v>
      </c>
    </row>
    <row r="549" spans="1:4" x14ac:dyDescent="0.3">
      <c r="A549" t="s">
        <v>32</v>
      </c>
      <c r="C549" s="16">
        <v>46162</v>
      </c>
      <c r="D549">
        <v>15120.060000000001</v>
      </c>
    </row>
    <row r="550" spans="1:4" x14ac:dyDescent="0.3">
      <c r="A550" t="s">
        <v>33</v>
      </c>
      <c r="C550" s="16">
        <v>46162</v>
      </c>
      <c r="D550">
        <v>29206.27</v>
      </c>
    </row>
    <row r="551" spans="1:4" x14ac:dyDescent="0.3">
      <c r="A551" t="s">
        <v>34</v>
      </c>
      <c r="C551" s="16">
        <v>46162</v>
      </c>
      <c r="D551">
        <v>345</v>
      </c>
    </row>
    <row r="552" spans="1:4" x14ac:dyDescent="0.3">
      <c r="A552" t="s">
        <v>35</v>
      </c>
      <c r="C552" s="16">
        <v>46162</v>
      </c>
      <c r="D552">
        <v>8168.0700000000006</v>
      </c>
    </row>
    <row r="553" spans="1:4" x14ac:dyDescent="0.3">
      <c r="A553" t="s">
        <v>193</v>
      </c>
      <c r="C553" s="16">
        <v>46162</v>
      </c>
      <c r="D553">
        <v>0</v>
      </c>
    </row>
    <row r="554" spans="1:4" x14ac:dyDescent="0.3">
      <c r="A554" t="s">
        <v>194</v>
      </c>
      <c r="C554" s="16">
        <v>46162</v>
      </c>
      <c r="D554">
        <v>0</v>
      </c>
    </row>
    <row r="555" spans="1:4" x14ac:dyDescent="0.3">
      <c r="A555" t="s">
        <v>195</v>
      </c>
      <c r="C555" s="16">
        <v>46162</v>
      </c>
      <c r="D555">
        <v>0</v>
      </c>
    </row>
    <row r="556" spans="1:4" x14ac:dyDescent="0.3">
      <c r="A556" t="s">
        <v>196</v>
      </c>
      <c r="C556" s="16">
        <v>46162</v>
      </c>
      <c r="D556">
        <v>0</v>
      </c>
    </row>
    <row r="557" spans="1:4" x14ac:dyDescent="0.3">
      <c r="A557" t="s">
        <v>197</v>
      </c>
      <c r="C557" s="16">
        <v>46162</v>
      </c>
      <c r="D557">
        <v>0</v>
      </c>
    </row>
    <row r="558" spans="1:4" x14ac:dyDescent="0.3">
      <c r="A558" t="s">
        <v>198</v>
      </c>
      <c r="C558" s="16">
        <v>46162</v>
      </c>
      <c r="D558">
        <v>0</v>
      </c>
    </row>
    <row r="559" spans="1:4" x14ac:dyDescent="0.3">
      <c r="A559" t="s">
        <v>216</v>
      </c>
      <c r="C559" s="16">
        <v>46162</v>
      </c>
      <c r="D559">
        <v>0</v>
      </c>
    </row>
    <row r="560" spans="1:4" x14ac:dyDescent="0.3">
      <c r="A560" t="s">
        <v>200</v>
      </c>
      <c r="C560" s="16">
        <v>46162</v>
      </c>
      <c r="D560">
        <v>0</v>
      </c>
    </row>
    <row r="561" spans="1:4" x14ac:dyDescent="0.3">
      <c r="A561" t="s">
        <v>201</v>
      </c>
      <c r="C561" s="16">
        <v>46162</v>
      </c>
      <c r="D561">
        <v>0</v>
      </c>
    </row>
    <row r="562" spans="1:4" x14ac:dyDescent="0.3">
      <c r="A562" t="s">
        <v>17</v>
      </c>
      <c r="C562" s="16">
        <v>46163</v>
      </c>
      <c r="D562">
        <v>142321.80000000013</v>
      </c>
    </row>
    <row r="563" spans="1:4" x14ac:dyDescent="0.3">
      <c r="A563" t="s">
        <v>18</v>
      </c>
      <c r="C563" s="16">
        <v>46163</v>
      </c>
      <c r="D563">
        <v>659760.15999999992</v>
      </c>
    </row>
    <row r="564" spans="1:4" x14ac:dyDescent="0.3">
      <c r="A564" t="s">
        <v>19</v>
      </c>
      <c r="C564" s="16">
        <v>46163</v>
      </c>
      <c r="D564">
        <v>1669.89</v>
      </c>
    </row>
    <row r="565" spans="1:4" x14ac:dyDescent="0.3">
      <c r="A565" t="s">
        <v>20</v>
      </c>
      <c r="C565" s="16">
        <v>46163</v>
      </c>
      <c r="D565">
        <v>497076.20999999985</v>
      </c>
    </row>
    <row r="566" spans="1:4" x14ac:dyDescent="0.3">
      <c r="A566" t="s">
        <v>21</v>
      </c>
      <c r="C566" s="16">
        <v>46163</v>
      </c>
      <c r="D566">
        <v>981189.87999999931</v>
      </c>
    </row>
    <row r="567" spans="1:4" x14ac:dyDescent="0.3">
      <c r="A567" t="s">
        <v>22</v>
      </c>
      <c r="C567" s="16">
        <v>46163</v>
      </c>
      <c r="D567">
        <v>141496.38</v>
      </c>
    </row>
    <row r="568" spans="1:4" x14ac:dyDescent="0.3">
      <c r="A568" t="s">
        <v>23</v>
      </c>
      <c r="C568" s="16">
        <v>46163</v>
      </c>
      <c r="D568">
        <v>88090.37</v>
      </c>
    </row>
    <row r="569" spans="1:4" x14ac:dyDescent="0.3">
      <c r="A569" t="s">
        <v>24</v>
      </c>
      <c r="C569" s="16">
        <v>46163</v>
      </c>
      <c r="D569">
        <v>2498.3999999999996</v>
      </c>
    </row>
    <row r="570" spans="1:4" x14ac:dyDescent="0.3">
      <c r="A570" t="s">
        <v>25</v>
      </c>
      <c r="C570" s="16">
        <v>46163</v>
      </c>
      <c r="D570">
        <v>114.3</v>
      </c>
    </row>
    <row r="571" spans="1:4" x14ac:dyDescent="0.3">
      <c r="A571" t="s">
        <v>26</v>
      </c>
      <c r="C571" s="16">
        <v>46163</v>
      </c>
      <c r="D571">
        <v>2267.7200000000003</v>
      </c>
    </row>
    <row r="572" spans="1:4" x14ac:dyDescent="0.3">
      <c r="A572" t="s">
        <v>27</v>
      </c>
      <c r="C572" s="16">
        <v>46163</v>
      </c>
      <c r="D572">
        <v>3349.94</v>
      </c>
    </row>
    <row r="573" spans="1:4" x14ac:dyDescent="0.3">
      <c r="A573" t="s">
        <v>28</v>
      </c>
      <c r="C573" s="16">
        <v>46163</v>
      </c>
      <c r="D573">
        <v>1968.99</v>
      </c>
    </row>
    <row r="574" spans="1:4" x14ac:dyDescent="0.3">
      <c r="A574" t="s">
        <v>29</v>
      </c>
      <c r="C574" s="16">
        <v>46163</v>
      </c>
      <c r="D574">
        <v>901.34</v>
      </c>
    </row>
    <row r="575" spans="1:4" x14ac:dyDescent="0.3">
      <c r="A575" t="s">
        <v>30</v>
      </c>
      <c r="C575" s="16">
        <v>46163</v>
      </c>
      <c r="D575">
        <v>1444.08</v>
      </c>
    </row>
    <row r="576" spans="1:4" x14ac:dyDescent="0.3">
      <c r="A576" t="s">
        <v>31</v>
      </c>
      <c r="C576" s="16">
        <v>46163</v>
      </c>
      <c r="D576">
        <v>15463.59999999996</v>
      </c>
    </row>
    <row r="577" spans="1:4" x14ac:dyDescent="0.3">
      <c r="A577" t="s">
        <v>32</v>
      </c>
      <c r="C577" s="16">
        <v>46163</v>
      </c>
      <c r="D577">
        <v>15120.060000000001</v>
      </c>
    </row>
    <row r="578" spans="1:4" x14ac:dyDescent="0.3">
      <c r="A578" t="s">
        <v>33</v>
      </c>
      <c r="C578" s="16">
        <v>46163</v>
      </c>
      <c r="D578">
        <v>29206.27</v>
      </c>
    </row>
    <row r="579" spans="1:4" x14ac:dyDescent="0.3">
      <c r="A579" t="s">
        <v>34</v>
      </c>
      <c r="C579" s="16">
        <v>46163</v>
      </c>
      <c r="D579">
        <v>345</v>
      </c>
    </row>
    <row r="580" spans="1:4" x14ac:dyDescent="0.3">
      <c r="A580" t="s">
        <v>35</v>
      </c>
      <c r="C580" s="16">
        <v>46163</v>
      </c>
      <c r="D580">
        <v>8168.0700000000006</v>
      </c>
    </row>
    <row r="581" spans="1:4" x14ac:dyDescent="0.3">
      <c r="A581" t="s">
        <v>193</v>
      </c>
      <c r="C581" s="16">
        <v>46163</v>
      </c>
      <c r="D581">
        <v>0</v>
      </c>
    </row>
    <row r="582" spans="1:4" x14ac:dyDescent="0.3">
      <c r="A582" t="s">
        <v>194</v>
      </c>
      <c r="C582" s="16">
        <v>46163</v>
      </c>
      <c r="D582">
        <v>0</v>
      </c>
    </row>
    <row r="583" spans="1:4" x14ac:dyDescent="0.3">
      <c r="A583" t="s">
        <v>195</v>
      </c>
      <c r="C583" s="16">
        <v>46163</v>
      </c>
      <c r="D583">
        <v>0</v>
      </c>
    </row>
    <row r="584" spans="1:4" x14ac:dyDescent="0.3">
      <c r="A584" t="s">
        <v>196</v>
      </c>
      <c r="C584" s="16">
        <v>46163</v>
      </c>
      <c r="D584">
        <v>0</v>
      </c>
    </row>
    <row r="585" spans="1:4" x14ac:dyDescent="0.3">
      <c r="A585" t="s">
        <v>197</v>
      </c>
      <c r="C585" s="16">
        <v>46163</v>
      </c>
      <c r="D585">
        <v>0</v>
      </c>
    </row>
    <row r="586" spans="1:4" x14ac:dyDescent="0.3">
      <c r="A586" t="s">
        <v>198</v>
      </c>
      <c r="C586" s="16">
        <v>46163</v>
      </c>
      <c r="D586">
        <v>0</v>
      </c>
    </row>
    <row r="587" spans="1:4" x14ac:dyDescent="0.3">
      <c r="A587" t="s">
        <v>216</v>
      </c>
      <c r="C587" s="16">
        <v>46163</v>
      </c>
      <c r="D587">
        <v>0</v>
      </c>
    </row>
    <row r="588" spans="1:4" x14ac:dyDescent="0.3">
      <c r="A588" t="s">
        <v>200</v>
      </c>
      <c r="C588" s="16">
        <v>46163</v>
      </c>
      <c r="D588">
        <v>0</v>
      </c>
    </row>
    <row r="589" spans="1:4" x14ac:dyDescent="0.3">
      <c r="A589" t="s">
        <v>201</v>
      </c>
      <c r="C589" s="16">
        <v>46163</v>
      </c>
      <c r="D589">
        <v>0</v>
      </c>
    </row>
    <row r="590" spans="1:4" x14ac:dyDescent="0.3">
      <c r="A590" t="s">
        <v>17</v>
      </c>
      <c r="C590" s="16">
        <v>46164</v>
      </c>
      <c r="D590">
        <v>142321.80000000013</v>
      </c>
    </row>
    <row r="591" spans="1:4" x14ac:dyDescent="0.3">
      <c r="A591" t="s">
        <v>18</v>
      </c>
      <c r="C591" s="16">
        <v>46164</v>
      </c>
      <c r="D591">
        <v>659760.15999999992</v>
      </c>
    </row>
    <row r="592" spans="1:4" x14ac:dyDescent="0.3">
      <c r="A592" t="s">
        <v>19</v>
      </c>
      <c r="C592" s="16">
        <v>46164</v>
      </c>
      <c r="D592">
        <v>1669.89</v>
      </c>
    </row>
    <row r="593" spans="1:4" x14ac:dyDescent="0.3">
      <c r="A593" t="s">
        <v>20</v>
      </c>
      <c r="C593" s="16">
        <v>46164</v>
      </c>
      <c r="D593">
        <v>497076.20999999985</v>
      </c>
    </row>
    <row r="594" spans="1:4" x14ac:dyDescent="0.3">
      <c r="A594" t="s">
        <v>21</v>
      </c>
      <c r="C594" s="16">
        <v>46164</v>
      </c>
      <c r="D594">
        <v>980426.88999999932</v>
      </c>
    </row>
    <row r="595" spans="1:4" x14ac:dyDescent="0.3">
      <c r="A595" t="s">
        <v>22</v>
      </c>
      <c r="C595" s="16">
        <v>46164</v>
      </c>
      <c r="D595">
        <v>141496.38</v>
      </c>
    </row>
    <row r="596" spans="1:4" x14ac:dyDescent="0.3">
      <c r="A596" t="s">
        <v>23</v>
      </c>
      <c r="C596" s="16">
        <v>46164</v>
      </c>
      <c r="D596">
        <v>88090.37</v>
      </c>
    </row>
    <row r="597" spans="1:4" x14ac:dyDescent="0.3">
      <c r="A597" t="s">
        <v>24</v>
      </c>
      <c r="C597" s="16">
        <v>46164</v>
      </c>
      <c r="D597">
        <v>2498.3999999999996</v>
      </c>
    </row>
    <row r="598" spans="1:4" x14ac:dyDescent="0.3">
      <c r="A598" t="s">
        <v>25</v>
      </c>
      <c r="C598" s="16">
        <v>46164</v>
      </c>
      <c r="D598">
        <v>114.3</v>
      </c>
    </row>
    <row r="599" spans="1:4" x14ac:dyDescent="0.3">
      <c r="A599" t="s">
        <v>26</v>
      </c>
      <c r="C599" s="16">
        <v>46164</v>
      </c>
      <c r="D599">
        <v>2267.7200000000003</v>
      </c>
    </row>
    <row r="600" spans="1:4" x14ac:dyDescent="0.3">
      <c r="A600" t="s">
        <v>27</v>
      </c>
      <c r="C600" s="16">
        <v>46164</v>
      </c>
      <c r="D600">
        <v>3349.94</v>
      </c>
    </row>
    <row r="601" spans="1:4" x14ac:dyDescent="0.3">
      <c r="A601" t="s">
        <v>28</v>
      </c>
      <c r="C601" s="16">
        <v>46164</v>
      </c>
      <c r="D601">
        <v>1968.99</v>
      </c>
    </row>
    <row r="602" spans="1:4" x14ac:dyDescent="0.3">
      <c r="A602" t="s">
        <v>29</v>
      </c>
      <c r="C602" s="16">
        <v>46164</v>
      </c>
      <c r="D602">
        <v>901.34</v>
      </c>
    </row>
    <row r="603" spans="1:4" x14ac:dyDescent="0.3">
      <c r="A603" t="s">
        <v>30</v>
      </c>
      <c r="C603" s="16">
        <v>46164</v>
      </c>
      <c r="D603">
        <v>1444.08</v>
      </c>
    </row>
    <row r="604" spans="1:4" x14ac:dyDescent="0.3">
      <c r="A604" t="s">
        <v>31</v>
      </c>
      <c r="C604" s="16">
        <v>46164</v>
      </c>
      <c r="D604">
        <v>15463.59999999996</v>
      </c>
    </row>
    <row r="605" spans="1:4" x14ac:dyDescent="0.3">
      <c r="A605" t="s">
        <v>32</v>
      </c>
      <c r="C605" s="16">
        <v>46164</v>
      </c>
      <c r="D605">
        <v>15120.060000000001</v>
      </c>
    </row>
    <row r="606" spans="1:4" x14ac:dyDescent="0.3">
      <c r="A606" t="s">
        <v>33</v>
      </c>
      <c r="C606" s="16">
        <v>46164</v>
      </c>
      <c r="D606">
        <v>29206.27</v>
      </c>
    </row>
    <row r="607" spans="1:4" x14ac:dyDescent="0.3">
      <c r="A607" t="s">
        <v>34</v>
      </c>
      <c r="C607" s="16">
        <v>46164</v>
      </c>
      <c r="D607">
        <v>345</v>
      </c>
    </row>
    <row r="608" spans="1:4" x14ac:dyDescent="0.3">
      <c r="A608" t="s">
        <v>35</v>
      </c>
      <c r="C608" s="16">
        <v>46164</v>
      </c>
      <c r="D608">
        <v>8168.0700000000006</v>
      </c>
    </row>
    <row r="609" spans="1:4" x14ac:dyDescent="0.3">
      <c r="A609" t="s">
        <v>193</v>
      </c>
      <c r="C609" s="16">
        <v>46164</v>
      </c>
      <c r="D609">
        <v>0</v>
      </c>
    </row>
    <row r="610" spans="1:4" x14ac:dyDescent="0.3">
      <c r="A610" t="s">
        <v>194</v>
      </c>
      <c r="C610" s="16">
        <v>46164</v>
      </c>
      <c r="D610">
        <v>0</v>
      </c>
    </row>
    <row r="611" spans="1:4" x14ac:dyDescent="0.3">
      <c r="A611" t="s">
        <v>195</v>
      </c>
      <c r="C611" s="16">
        <v>46164</v>
      </c>
      <c r="D611">
        <v>0</v>
      </c>
    </row>
    <row r="612" spans="1:4" x14ac:dyDescent="0.3">
      <c r="A612" t="s">
        <v>196</v>
      </c>
      <c r="C612" s="16">
        <v>46164</v>
      </c>
      <c r="D612">
        <v>0</v>
      </c>
    </row>
    <row r="613" spans="1:4" x14ac:dyDescent="0.3">
      <c r="A613" t="s">
        <v>197</v>
      </c>
      <c r="C613" s="16">
        <v>46164</v>
      </c>
      <c r="D613">
        <v>0</v>
      </c>
    </row>
    <row r="614" spans="1:4" x14ac:dyDescent="0.3">
      <c r="A614" t="s">
        <v>198</v>
      </c>
      <c r="C614" s="16">
        <v>46164</v>
      </c>
      <c r="D614">
        <v>0</v>
      </c>
    </row>
    <row r="615" spans="1:4" x14ac:dyDescent="0.3">
      <c r="A615" t="s">
        <v>216</v>
      </c>
      <c r="C615" s="16">
        <v>46164</v>
      </c>
      <c r="D615">
        <v>0</v>
      </c>
    </row>
    <row r="616" spans="1:4" x14ac:dyDescent="0.3">
      <c r="A616" t="s">
        <v>200</v>
      </c>
      <c r="C616" s="16">
        <v>46164</v>
      </c>
      <c r="D616">
        <v>0</v>
      </c>
    </row>
    <row r="617" spans="1:4" x14ac:dyDescent="0.3">
      <c r="A617" t="s">
        <v>201</v>
      </c>
      <c r="C617" s="16">
        <v>46164</v>
      </c>
      <c r="D617">
        <v>0</v>
      </c>
    </row>
    <row r="618" spans="1:4" x14ac:dyDescent="0.3">
      <c r="A618" t="s">
        <v>17</v>
      </c>
      <c r="C618" s="16">
        <v>46165</v>
      </c>
      <c r="D618">
        <v>142321.80000000013</v>
      </c>
    </row>
    <row r="619" spans="1:4" x14ac:dyDescent="0.3">
      <c r="A619" t="s">
        <v>18</v>
      </c>
      <c r="C619" s="16">
        <v>46165</v>
      </c>
      <c r="D619">
        <v>659760.15999999992</v>
      </c>
    </row>
    <row r="620" spans="1:4" x14ac:dyDescent="0.3">
      <c r="A620" t="s">
        <v>19</v>
      </c>
      <c r="C620" s="16">
        <v>46165</v>
      </c>
      <c r="D620">
        <v>1669.89</v>
      </c>
    </row>
    <row r="621" spans="1:4" x14ac:dyDescent="0.3">
      <c r="A621" t="s">
        <v>20</v>
      </c>
      <c r="C621" s="16">
        <v>46165</v>
      </c>
      <c r="D621">
        <v>497076.20999999985</v>
      </c>
    </row>
    <row r="622" spans="1:4" x14ac:dyDescent="0.3">
      <c r="A622" t="s">
        <v>21</v>
      </c>
      <c r="C622" s="16">
        <v>46165</v>
      </c>
      <c r="D622">
        <v>980426.88999999932</v>
      </c>
    </row>
    <row r="623" spans="1:4" x14ac:dyDescent="0.3">
      <c r="A623" t="s">
        <v>22</v>
      </c>
      <c r="C623" s="16">
        <v>46165</v>
      </c>
      <c r="D623">
        <v>141496.38</v>
      </c>
    </row>
    <row r="624" spans="1:4" x14ac:dyDescent="0.3">
      <c r="A624" t="s">
        <v>23</v>
      </c>
      <c r="C624" s="16">
        <v>46165</v>
      </c>
      <c r="D624">
        <v>88090.37</v>
      </c>
    </row>
    <row r="625" spans="1:4" x14ac:dyDescent="0.3">
      <c r="A625" t="s">
        <v>24</v>
      </c>
      <c r="C625" s="16">
        <v>46165</v>
      </c>
      <c r="D625">
        <v>2498.3999999999996</v>
      </c>
    </row>
    <row r="626" spans="1:4" x14ac:dyDescent="0.3">
      <c r="A626" t="s">
        <v>25</v>
      </c>
      <c r="C626" s="16">
        <v>46165</v>
      </c>
      <c r="D626">
        <v>114.3</v>
      </c>
    </row>
    <row r="627" spans="1:4" x14ac:dyDescent="0.3">
      <c r="A627" t="s">
        <v>26</v>
      </c>
      <c r="C627" s="16">
        <v>46165</v>
      </c>
      <c r="D627">
        <v>2267.7200000000003</v>
      </c>
    </row>
    <row r="628" spans="1:4" x14ac:dyDescent="0.3">
      <c r="A628" t="s">
        <v>27</v>
      </c>
      <c r="C628" s="16">
        <v>46165</v>
      </c>
      <c r="D628">
        <v>3349.94</v>
      </c>
    </row>
    <row r="629" spans="1:4" x14ac:dyDescent="0.3">
      <c r="A629" t="s">
        <v>28</v>
      </c>
      <c r="C629" s="16">
        <v>46165</v>
      </c>
      <c r="D629">
        <v>1968.99</v>
      </c>
    </row>
    <row r="630" spans="1:4" x14ac:dyDescent="0.3">
      <c r="A630" t="s">
        <v>29</v>
      </c>
      <c r="C630" s="16">
        <v>46165</v>
      </c>
      <c r="D630">
        <v>901.34</v>
      </c>
    </row>
    <row r="631" spans="1:4" x14ac:dyDescent="0.3">
      <c r="A631" t="s">
        <v>30</v>
      </c>
      <c r="C631" s="16">
        <v>46165</v>
      </c>
      <c r="D631">
        <v>1444.08</v>
      </c>
    </row>
    <row r="632" spans="1:4" x14ac:dyDescent="0.3">
      <c r="A632" t="s">
        <v>31</v>
      </c>
      <c r="C632" s="16">
        <v>46165</v>
      </c>
      <c r="D632">
        <v>15463.59999999996</v>
      </c>
    </row>
    <row r="633" spans="1:4" x14ac:dyDescent="0.3">
      <c r="A633" t="s">
        <v>32</v>
      </c>
      <c r="C633" s="16">
        <v>46165</v>
      </c>
      <c r="D633">
        <v>15120.060000000001</v>
      </c>
    </row>
    <row r="634" spans="1:4" x14ac:dyDescent="0.3">
      <c r="A634" t="s">
        <v>33</v>
      </c>
      <c r="C634" s="16">
        <v>46165</v>
      </c>
      <c r="D634">
        <v>29206.27</v>
      </c>
    </row>
    <row r="635" spans="1:4" x14ac:dyDescent="0.3">
      <c r="A635" t="s">
        <v>34</v>
      </c>
      <c r="C635" s="16">
        <v>46165</v>
      </c>
      <c r="D635">
        <v>345</v>
      </c>
    </row>
    <row r="636" spans="1:4" x14ac:dyDescent="0.3">
      <c r="A636" t="s">
        <v>35</v>
      </c>
      <c r="C636" s="16">
        <v>46165</v>
      </c>
      <c r="D636">
        <v>8168.0700000000006</v>
      </c>
    </row>
    <row r="637" spans="1:4" x14ac:dyDescent="0.3">
      <c r="A637" t="s">
        <v>193</v>
      </c>
      <c r="C637" s="16">
        <v>46165</v>
      </c>
      <c r="D637">
        <v>0</v>
      </c>
    </row>
    <row r="638" spans="1:4" x14ac:dyDescent="0.3">
      <c r="A638" t="s">
        <v>194</v>
      </c>
      <c r="C638" s="16">
        <v>46165</v>
      </c>
      <c r="D638">
        <v>0</v>
      </c>
    </row>
    <row r="639" spans="1:4" x14ac:dyDescent="0.3">
      <c r="A639" t="s">
        <v>195</v>
      </c>
      <c r="C639" s="16">
        <v>46165</v>
      </c>
      <c r="D639">
        <v>0</v>
      </c>
    </row>
    <row r="640" spans="1:4" x14ac:dyDescent="0.3">
      <c r="A640" t="s">
        <v>196</v>
      </c>
      <c r="C640" s="16">
        <v>46165</v>
      </c>
      <c r="D640">
        <v>0</v>
      </c>
    </row>
    <row r="641" spans="1:4" x14ac:dyDescent="0.3">
      <c r="A641" t="s">
        <v>197</v>
      </c>
      <c r="C641" s="16">
        <v>46165</v>
      </c>
      <c r="D641">
        <v>0</v>
      </c>
    </row>
    <row r="642" spans="1:4" x14ac:dyDescent="0.3">
      <c r="A642" t="s">
        <v>198</v>
      </c>
      <c r="C642" s="16">
        <v>46165</v>
      </c>
      <c r="D642">
        <v>0</v>
      </c>
    </row>
    <row r="643" spans="1:4" x14ac:dyDescent="0.3">
      <c r="A643" t="s">
        <v>216</v>
      </c>
      <c r="C643" s="16">
        <v>46165</v>
      </c>
      <c r="D643">
        <v>0</v>
      </c>
    </row>
    <row r="644" spans="1:4" x14ac:dyDescent="0.3">
      <c r="A644" t="s">
        <v>200</v>
      </c>
      <c r="C644" s="16">
        <v>46165</v>
      </c>
      <c r="D644">
        <v>0</v>
      </c>
    </row>
    <row r="645" spans="1:4" x14ac:dyDescent="0.3">
      <c r="A645" t="s">
        <v>201</v>
      </c>
      <c r="C645" s="16">
        <v>46165</v>
      </c>
      <c r="D645">
        <v>0</v>
      </c>
    </row>
    <row r="646" spans="1:4" x14ac:dyDescent="0.3">
      <c r="A646" t="s">
        <v>17</v>
      </c>
      <c r="C646" s="16">
        <v>46166</v>
      </c>
      <c r="D646">
        <v>142321.80000000013</v>
      </c>
    </row>
    <row r="647" spans="1:4" x14ac:dyDescent="0.3">
      <c r="A647" t="s">
        <v>18</v>
      </c>
      <c r="C647" s="16">
        <v>46166</v>
      </c>
      <c r="D647">
        <v>659760.15999999992</v>
      </c>
    </row>
    <row r="648" spans="1:4" x14ac:dyDescent="0.3">
      <c r="A648" t="s">
        <v>19</v>
      </c>
      <c r="C648" s="16">
        <v>46166</v>
      </c>
      <c r="D648">
        <v>1669.89</v>
      </c>
    </row>
    <row r="649" spans="1:4" x14ac:dyDescent="0.3">
      <c r="A649" t="s">
        <v>20</v>
      </c>
      <c r="C649" s="16">
        <v>46166</v>
      </c>
      <c r="D649">
        <v>497076.20999999985</v>
      </c>
    </row>
    <row r="650" spans="1:4" x14ac:dyDescent="0.3">
      <c r="A650" t="s">
        <v>21</v>
      </c>
      <c r="C650" s="16">
        <v>46166</v>
      </c>
      <c r="D650">
        <v>980426.88999999932</v>
      </c>
    </row>
    <row r="651" spans="1:4" x14ac:dyDescent="0.3">
      <c r="A651" t="s">
        <v>22</v>
      </c>
      <c r="C651" s="16">
        <v>46166</v>
      </c>
      <c r="D651">
        <v>141496.38</v>
      </c>
    </row>
    <row r="652" spans="1:4" x14ac:dyDescent="0.3">
      <c r="A652" t="s">
        <v>23</v>
      </c>
      <c r="C652" s="16">
        <v>46166</v>
      </c>
      <c r="D652">
        <v>88090.37</v>
      </c>
    </row>
    <row r="653" spans="1:4" x14ac:dyDescent="0.3">
      <c r="A653" t="s">
        <v>24</v>
      </c>
      <c r="C653" s="16">
        <v>46166</v>
      </c>
      <c r="D653">
        <v>2498.3999999999996</v>
      </c>
    </row>
    <row r="654" spans="1:4" x14ac:dyDescent="0.3">
      <c r="A654" t="s">
        <v>25</v>
      </c>
      <c r="C654" s="16">
        <v>46166</v>
      </c>
      <c r="D654">
        <v>114.3</v>
      </c>
    </row>
    <row r="655" spans="1:4" x14ac:dyDescent="0.3">
      <c r="A655" t="s">
        <v>26</v>
      </c>
      <c r="C655" s="16">
        <v>46166</v>
      </c>
      <c r="D655">
        <v>2267.7200000000003</v>
      </c>
    </row>
    <row r="656" spans="1:4" x14ac:dyDescent="0.3">
      <c r="A656" t="s">
        <v>27</v>
      </c>
      <c r="C656" s="16">
        <v>46166</v>
      </c>
      <c r="D656">
        <v>3349.94</v>
      </c>
    </row>
    <row r="657" spans="1:4" x14ac:dyDescent="0.3">
      <c r="A657" t="s">
        <v>28</v>
      </c>
      <c r="C657" s="16">
        <v>46166</v>
      </c>
      <c r="D657">
        <v>1968.99</v>
      </c>
    </row>
    <row r="658" spans="1:4" x14ac:dyDescent="0.3">
      <c r="A658" t="s">
        <v>29</v>
      </c>
      <c r="C658" s="16">
        <v>46166</v>
      </c>
      <c r="D658">
        <v>901.34</v>
      </c>
    </row>
    <row r="659" spans="1:4" x14ac:dyDescent="0.3">
      <c r="A659" t="s">
        <v>30</v>
      </c>
      <c r="C659" s="16">
        <v>46166</v>
      </c>
      <c r="D659">
        <v>1444.08</v>
      </c>
    </row>
    <row r="660" spans="1:4" x14ac:dyDescent="0.3">
      <c r="A660" t="s">
        <v>31</v>
      </c>
      <c r="C660" s="16">
        <v>46166</v>
      </c>
      <c r="D660">
        <v>15463.59999999996</v>
      </c>
    </row>
    <row r="661" spans="1:4" x14ac:dyDescent="0.3">
      <c r="A661" t="s">
        <v>32</v>
      </c>
      <c r="C661" s="16">
        <v>46166</v>
      </c>
      <c r="D661">
        <v>15120.060000000001</v>
      </c>
    </row>
    <row r="662" spans="1:4" x14ac:dyDescent="0.3">
      <c r="A662" t="s">
        <v>33</v>
      </c>
      <c r="C662" s="16">
        <v>46166</v>
      </c>
      <c r="D662">
        <v>29206.27</v>
      </c>
    </row>
    <row r="663" spans="1:4" x14ac:dyDescent="0.3">
      <c r="A663" t="s">
        <v>34</v>
      </c>
      <c r="C663" s="16">
        <v>46166</v>
      </c>
      <c r="D663">
        <v>345</v>
      </c>
    </row>
    <row r="664" spans="1:4" x14ac:dyDescent="0.3">
      <c r="A664" t="s">
        <v>35</v>
      </c>
      <c r="C664" s="16">
        <v>46166</v>
      </c>
      <c r="D664">
        <v>8168.0700000000006</v>
      </c>
    </row>
    <row r="665" spans="1:4" x14ac:dyDescent="0.3">
      <c r="A665" t="s">
        <v>193</v>
      </c>
      <c r="C665" s="16">
        <v>46166</v>
      </c>
      <c r="D665">
        <v>0</v>
      </c>
    </row>
    <row r="666" spans="1:4" x14ac:dyDescent="0.3">
      <c r="A666" t="s">
        <v>194</v>
      </c>
      <c r="C666" s="16">
        <v>46166</v>
      </c>
      <c r="D666">
        <v>0</v>
      </c>
    </row>
    <row r="667" spans="1:4" x14ac:dyDescent="0.3">
      <c r="A667" t="s">
        <v>195</v>
      </c>
      <c r="C667" s="16">
        <v>46166</v>
      </c>
      <c r="D667">
        <v>0</v>
      </c>
    </row>
    <row r="668" spans="1:4" x14ac:dyDescent="0.3">
      <c r="A668" t="s">
        <v>196</v>
      </c>
      <c r="C668" s="16">
        <v>46166</v>
      </c>
      <c r="D668">
        <v>0</v>
      </c>
    </row>
    <row r="669" spans="1:4" x14ac:dyDescent="0.3">
      <c r="A669" t="s">
        <v>197</v>
      </c>
      <c r="C669" s="16">
        <v>46166</v>
      </c>
      <c r="D669">
        <v>0</v>
      </c>
    </row>
    <row r="670" spans="1:4" x14ac:dyDescent="0.3">
      <c r="A670" t="s">
        <v>198</v>
      </c>
      <c r="C670" s="16">
        <v>46166</v>
      </c>
      <c r="D670">
        <v>0</v>
      </c>
    </row>
    <row r="671" spans="1:4" x14ac:dyDescent="0.3">
      <c r="A671" t="s">
        <v>216</v>
      </c>
      <c r="C671" s="16">
        <v>46166</v>
      </c>
      <c r="D671">
        <v>0</v>
      </c>
    </row>
    <row r="672" spans="1:4" x14ac:dyDescent="0.3">
      <c r="A672" t="s">
        <v>200</v>
      </c>
      <c r="C672" s="16">
        <v>46166</v>
      </c>
      <c r="D672">
        <v>0</v>
      </c>
    </row>
    <row r="673" spans="1:4" x14ac:dyDescent="0.3">
      <c r="A673" t="s">
        <v>201</v>
      </c>
      <c r="C673" s="16">
        <v>46166</v>
      </c>
      <c r="D673">
        <v>0</v>
      </c>
    </row>
    <row r="674" spans="1:4" x14ac:dyDescent="0.3">
      <c r="A674" t="s">
        <v>17</v>
      </c>
      <c r="C674" s="16">
        <v>46167</v>
      </c>
      <c r="D674">
        <v>142321.80000000013</v>
      </c>
    </row>
    <row r="675" spans="1:4" x14ac:dyDescent="0.3">
      <c r="A675" t="s">
        <v>18</v>
      </c>
      <c r="C675" s="16">
        <v>46167</v>
      </c>
      <c r="D675">
        <v>659760.15999999992</v>
      </c>
    </row>
    <row r="676" spans="1:4" x14ac:dyDescent="0.3">
      <c r="A676" t="s">
        <v>19</v>
      </c>
      <c r="C676" s="16">
        <v>46167</v>
      </c>
      <c r="D676">
        <v>1669.89</v>
      </c>
    </row>
    <row r="677" spans="1:4" x14ac:dyDescent="0.3">
      <c r="A677" t="s">
        <v>20</v>
      </c>
      <c r="C677" s="16">
        <v>46167</v>
      </c>
      <c r="D677">
        <v>497076.20999999985</v>
      </c>
    </row>
    <row r="678" spans="1:4" x14ac:dyDescent="0.3">
      <c r="A678" t="s">
        <v>21</v>
      </c>
      <c r="C678" s="16">
        <v>46167</v>
      </c>
      <c r="D678">
        <v>980426.88999999932</v>
      </c>
    </row>
    <row r="679" spans="1:4" x14ac:dyDescent="0.3">
      <c r="A679" t="s">
        <v>22</v>
      </c>
      <c r="C679" s="16">
        <v>46167</v>
      </c>
      <c r="D679">
        <v>141496.38</v>
      </c>
    </row>
    <row r="680" spans="1:4" x14ac:dyDescent="0.3">
      <c r="A680" t="s">
        <v>23</v>
      </c>
      <c r="C680" s="16">
        <v>46167</v>
      </c>
      <c r="D680">
        <v>88090.37</v>
      </c>
    </row>
    <row r="681" spans="1:4" x14ac:dyDescent="0.3">
      <c r="A681" t="s">
        <v>24</v>
      </c>
      <c r="C681" s="16">
        <v>46167</v>
      </c>
      <c r="D681">
        <v>2498.3999999999996</v>
      </c>
    </row>
    <row r="682" spans="1:4" x14ac:dyDescent="0.3">
      <c r="A682" t="s">
        <v>25</v>
      </c>
      <c r="C682" s="16">
        <v>46167</v>
      </c>
      <c r="D682">
        <v>114.3</v>
      </c>
    </row>
    <row r="683" spans="1:4" x14ac:dyDescent="0.3">
      <c r="A683" t="s">
        <v>26</v>
      </c>
      <c r="C683" s="16">
        <v>46167</v>
      </c>
      <c r="D683">
        <v>2267.7200000000003</v>
      </c>
    </row>
    <row r="684" spans="1:4" x14ac:dyDescent="0.3">
      <c r="A684" t="s">
        <v>27</v>
      </c>
      <c r="C684" s="16">
        <v>46167</v>
      </c>
      <c r="D684">
        <v>3349.94</v>
      </c>
    </row>
    <row r="685" spans="1:4" x14ac:dyDescent="0.3">
      <c r="A685" t="s">
        <v>28</v>
      </c>
      <c r="C685" s="16">
        <v>46167</v>
      </c>
      <c r="D685">
        <v>1968.99</v>
      </c>
    </row>
    <row r="686" spans="1:4" x14ac:dyDescent="0.3">
      <c r="A686" t="s">
        <v>29</v>
      </c>
      <c r="C686" s="16">
        <v>46167</v>
      </c>
      <c r="D686">
        <v>901.34</v>
      </c>
    </row>
    <row r="687" spans="1:4" x14ac:dyDescent="0.3">
      <c r="A687" t="s">
        <v>30</v>
      </c>
      <c r="C687" s="16">
        <v>46167</v>
      </c>
      <c r="D687">
        <v>1444.08</v>
      </c>
    </row>
    <row r="688" spans="1:4" x14ac:dyDescent="0.3">
      <c r="A688" t="s">
        <v>31</v>
      </c>
      <c r="C688" s="16">
        <v>46167</v>
      </c>
      <c r="D688">
        <v>15463.59999999996</v>
      </c>
    </row>
    <row r="689" spans="1:4" x14ac:dyDescent="0.3">
      <c r="A689" t="s">
        <v>32</v>
      </c>
      <c r="C689" s="16">
        <v>46167</v>
      </c>
      <c r="D689">
        <v>15120.060000000001</v>
      </c>
    </row>
    <row r="690" spans="1:4" x14ac:dyDescent="0.3">
      <c r="A690" t="s">
        <v>33</v>
      </c>
      <c r="C690" s="16">
        <v>46167</v>
      </c>
      <c r="D690">
        <v>29206.27</v>
      </c>
    </row>
    <row r="691" spans="1:4" x14ac:dyDescent="0.3">
      <c r="A691" t="s">
        <v>34</v>
      </c>
      <c r="C691" s="16">
        <v>46167</v>
      </c>
      <c r="D691">
        <v>345</v>
      </c>
    </row>
    <row r="692" spans="1:4" x14ac:dyDescent="0.3">
      <c r="A692" t="s">
        <v>35</v>
      </c>
      <c r="C692" s="16">
        <v>46167</v>
      </c>
      <c r="D692">
        <v>8168.0700000000006</v>
      </c>
    </row>
    <row r="693" spans="1:4" x14ac:dyDescent="0.3">
      <c r="A693" t="s">
        <v>193</v>
      </c>
      <c r="C693" s="16">
        <v>46167</v>
      </c>
      <c r="D693">
        <v>0</v>
      </c>
    </row>
    <row r="694" spans="1:4" x14ac:dyDescent="0.3">
      <c r="A694" t="s">
        <v>194</v>
      </c>
      <c r="C694" s="16">
        <v>46167</v>
      </c>
      <c r="D694">
        <v>0</v>
      </c>
    </row>
    <row r="695" spans="1:4" x14ac:dyDescent="0.3">
      <c r="A695" t="s">
        <v>195</v>
      </c>
      <c r="C695" s="16">
        <v>46167</v>
      </c>
      <c r="D695">
        <v>0</v>
      </c>
    </row>
    <row r="696" spans="1:4" x14ac:dyDescent="0.3">
      <c r="A696" t="s">
        <v>196</v>
      </c>
      <c r="C696" s="16">
        <v>46167</v>
      </c>
      <c r="D696">
        <v>0</v>
      </c>
    </row>
    <row r="697" spans="1:4" x14ac:dyDescent="0.3">
      <c r="A697" t="s">
        <v>197</v>
      </c>
      <c r="C697" s="16">
        <v>46167</v>
      </c>
      <c r="D697">
        <v>0</v>
      </c>
    </row>
    <row r="698" spans="1:4" x14ac:dyDescent="0.3">
      <c r="A698" t="s">
        <v>198</v>
      </c>
      <c r="C698" s="16">
        <v>46167</v>
      </c>
      <c r="D698">
        <v>0</v>
      </c>
    </row>
    <row r="699" spans="1:4" x14ac:dyDescent="0.3">
      <c r="A699" t="s">
        <v>216</v>
      </c>
      <c r="C699" s="16">
        <v>46167</v>
      </c>
      <c r="D699">
        <v>0</v>
      </c>
    </row>
    <row r="700" spans="1:4" x14ac:dyDescent="0.3">
      <c r="A700" t="s">
        <v>200</v>
      </c>
      <c r="C700" s="16">
        <v>46167</v>
      </c>
      <c r="D700">
        <v>0</v>
      </c>
    </row>
    <row r="701" spans="1:4" x14ac:dyDescent="0.3">
      <c r="A701" t="s">
        <v>201</v>
      </c>
      <c r="C701" s="16">
        <v>46167</v>
      </c>
      <c r="D701">
        <v>0</v>
      </c>
    </row>
    <row r="702" spans="1:4" x14ac:dyDescent="0.3">
      <c r="A702" t="s">
        <v>17</v>
      </c>
      <c r="C702" s="16">
        <v>46168</v>
      </c>
      <c r="D702">
        <v>253154.33000000013</v>
      </c>
    </row>
    <row r="703" spans="1:4" x14ac:dyDescent="0.3">
      <c r="A703" t="s">
        <v>18</v>
      </c>
      <c r="C703" s="16">
        <v>46168</v>
      </c>
      <c r="D703">
        <v>1259760.1600000001</v>
      </c>
    </row>
    <row r="704" spans="1:4" x14ac:dyDescent="0.3">
      <c r="A704" t="s">
        <v>19</v>
      </c>
      <c r="C704" s="16">
        <v>46168</v>
      </c>
      <c r="D704">
        <v>1669.89</v>
      </c>
    </row>
    <row r="705" spans="1:4" x14ac:dyDescent="0.3">
      <c r="A705" t="s">
        <v>20</v>
      </c>
      <c r="C705" s="16">
        <v>46168</v>
      </c>
      <c r="D705">
        <v>497076.20999999985</v>
      </c>
    </row>
    <row r="706" spans="1:4" x14ac:dyDescent="0.3">
      <c r="A706" t="s">
        <v>21</v>
      </c>
      <c r="C706" s="16">
        <v>46168</v>
      </c>
      <c r="D706">
        <v>980426.88999999932</v>
      </c>
    </row>
    <row r="707" spans="1:4" x14ac:dyDescent="0.3">
      <c r="A707" t="s">
        <v>22</v>
      </c>
      <c r="C707" s="16">
        <v>46168</v>
      </c>
      <c r="D707">
        <v>141496.38</v>
      </c>
    </row>
    <row r="708" spans="1:4" x14ac:dyDescent="0.3">
      <c r="A708" t="s">
        <v>23</v>
      </c>
      <c r="C708" s="16">
        <v>46168</v>
      </c>
      <c r="D708">
        <v>88090.37</v>
      </c>
    </row>
    <row r="709" spans="1:4" x14ac:dyDescent="0.3">
      <c r="A709" t="s">
        <v>24</v>
      </c>
      <c r="C709" s="16">
        <v>46168</v>
      </c>
      <c r="D709">
        <v>2498.3999999999996</v>
      </c>
    </row>
    <row r="710" spans="1:4" x14ac:dyDescent="0.3">
      <c r="A710" t="s">
        <v>25</v>
      </c>
      <c r="C710" s="16">
        <v>46168</v>
      </c>
      <c r="D710">
        <v>114.3</v>
      </c>
    </row>
    <row r="711" spans="1:4" x14ac:dyDescent="0.3">
      <c r="A711" t="s">
        <v>26</v>
      </c>
      <c r="C711" s="16">
        <v>46168</v>
      </c>
      <c r="D711">
        <v>2267.7200000000003</v>
      </c>
    </row>
    <row r="712" spans="1:4" x14ac:dyDescent="0.3">
      <c r="A712" t="s">
        <v>27</v>
      </c>
      <c r="C712" s="16">
        <v>46168</v>
      </c>
      <c r="D712">
        <v>3349.94</v>
      </c>
    </row>
    <row r="713" spans="1:4" x14ac:dyDescent="0.3">
      <c r="A713" t="s">
        <v>28</v>
      </c>
      <c r="C713" s="16">
        <v>46168</v>
      </c>
      <c r="D713">
        <v>1968.99</v>
      </c>
    </row>
    <row r="714" spans="1:4" x14ac:dyDescent="0.3">
      <c r="A714" t="s">
        <v>29</v>
      </c>
      <c r="C714" s="16">
        <v>46168</v>
      </c>
      <c r="D714">
        <v>901.34</v>
      </c>
    </row>
    <row r="715" spans="1:4" x14ac:dyDescent="0.3">
      <c r="A715" t="s">
        <v>30</v>
      </c>
      <c r="C715" s="16">
        <v>46168</v>
      </c>
      <c r="D715">
        <v>1444.08</v>
      </c>
    </row>
    <row r="716" spans="1:4" x14ac:dyDescent="0.3">
      <c r="A716" t="s">
        <v>31</v>
      </c>
      <c r="C716" s="16">
        <v>46168</v>
      </c>
      <c r="D716">
        <v>15463.59999999996</v>
      </c>
    </row>
    <row r="717" spans="1:4" x14ac:dyDescent="0.3">
      <c r="A717" t="s">
        <v>32</v>
      </c>
      <c r="C717" s="16">
        <v>46168</v>
      </c>
      <c r="D717">
        <v>15120.060000000001</v>
      </c>
    </row>
    <row r="718" spans="1:4" x14ac:dyDescent="0.3">
      <c r="A718" t="s">
        <v>33</v>
      </c>
      <c r="C718" s="16">
        <v>46168</v>
      </c>
      <c r="D718">
        <v>29206.27</v>
      </c>
    </row>
    <row r="719" spans="1:4" x14ac:dyDescent="0.3">
      <c r="A719" t="s">
        <v>34</v>
      </c>
      <c r="C719" s="16">
        <v>46168</v>
      </c>
      <c r="D719">
        <v>345</v>
      </c>
    </row>
    <row r="720" spans="1:4" x14ac:dyDescent="0.3">
      <c r="A720" t="s">
        <v>35</v>
      </c>
      <c r="C720" s="16">
        <v>46168</v>
      </c>
      <c r="D720">
        <v>8168.0700000000006</v>
      </c>
    </row>
    <row r="721" spans="1:4" x14ac:dyDescent="0.3">
      <c r="A721" t="s">
        <v>193</v>
      </c>
      <c r="C721" s="16">
        <v>46168</v>
      </c>
      <c r="D721">
        <v>0</v>
      </c>
    </row>
    <row r="722" spans="1:4" x14ac:dyDescent="0.3">
      <c r="A722" t="s">
        <v>194</v>
      </c>
      <c r="C722" s="16">
        <v>46168</v>
      </c>
      <c r="D722">
        <v>0</v>
      </c>
    </row>
    <row r="723" spans="1:4" x14ac:dyDescent="0.3">
      <c r="A723" t="s">
        <v>195</v>
      </c>
      <c r="C723" s="16">
        <v>46168</v>
      </c>
      <c r="D723">
        <v>0</v>
      </c>
    </row>
    <row r="724" spans="1:4" x14ac:dyDescent="0.3">
      <c r="A724" t="s">
        <v>196</v>
      </c>
      <c r="C724" s="16">
        <v>46168</v>
      </c>
      <c r="D724">
        <v>0</v>
      </c>
    </row>
    <row r="725" spans="1:4" x14ac:dyDescent="0.3">
      <c r="A725" t="s">
        <v>197</v>
      </c>
      <c r="C725" s="16">
        <v>46168</v>
      </c>
      <c r="D725">
        <v>0</v>
      </c>
    </row>
    <row r="726" spans="1:4" x14ac:dyDescent="0.3">
      <c r="A726" t="s">
        <v>198</v>
      </c>
      <c r="C726" s="16">
        <v>46168</v>
      </c>
      <c r="D726">
        <v>0</v>
      </c>
    </row>
    <row r="727" spans="1:4" x14ac:dyDescent="0.3">
      <c r="A727" t="s">
        <v>216</v>
      </c>
      <c r="C727" s="16">
        <v>46168</v>
      </c>
      <c r="D727">
        <v>0</v>
      </c>
    </row>
    <row r="728" spans="1:4" x14ac:dyDescent="0.3">
      <c r="A728" t="s">
        <v>200</v>
      </c>
      <c r="C728" s="16">
        <v>46168</v>
      </c>
      <c r="D728">
        <v>0</v>
      </c>
    </row>
    <row r="729" spans="1:4" x14ac:dyDescent="0.3">
      <c r="A729" t="s">
        <v>201</v>
      </c>
      <c r="C729" s="16">
        <v>46168</v>
      </c>
      <c r="D729">
        <v>0</v>
      </c>
    </row>
    <row r="730" spans="1:4" x14ac:dyDescent="0.3">
      <c r="A730" t="s">
        <v>17</v>
      </c>
      <c r="C730" s="16">
        <v>46169</v>
      </c>
      <c r="D730">
        <v>259371.70000000013</v>
      </c>
    </row>
    <row r="731" spans="1:4" x14ac:dyDescent="0.3">
      <c r="A731" t="s">
        <v>18</v>
      </c>
      <c r="C731" s="16">
        <v>46169</v>
      </c>
      <c r="D731">
        <v>1259760.1600000001</v>
      </c>
    </row>
    <row r="732" spans="1:4" x14ac:dyDescent="0.3">
      <c r="A732" t="s">
        <v>19</v>
      </c>
      <c r="C732" s="16">
        <v>46169</v>
      </c>
      <c r="D732">
        <v>1669.89</v>
      </c>
    </row>
    <row r="733" spans="1:4" x14ac:dyDescent="0.3">
      <c r="A733" t="s">
        <v>20</v>
      </c>
      <c r="C733" s="16">
        <v>46169</v>
      </c>
      <c r="D733">
        <v>514616.73999999987</v>
      </c>
    </row>
    <row r="734" spans="1:4" x14ac:dyDescent="0.3">
      <c r="A734" t="s">
        <v>21</v>
      </c>
      <c r="C734" s="16">
        <v>46169</v>
      </c>
      <c r="D734">
        <v>980426.88999999932</v>
      </c>
    </row>
    <row r="735" spans="1:4" x14ac:dyDescent="0.3">
      <c r="A735" t="s">
        <v>22</v>
      </c>
      <c r="C735" s="16">
        <v>46169</v>
      </c>
      <c r="D735">
        <v>131496.38</v>
      </c>
    </row>
    <row r="736" spans="1:4" x14ac:dyDescent="0.3">
      <c r="A736" t="s">
        <v>23</v>
      </c>
      <c r="C736" s="16">
        <v>46169</v>
      </c>
      <c r="D736">
        <v>88090.37</v>
      </c>
    </row>
    <row r="737" spans="1:4" x14ac:dyDescent="0.3">
      <c r="A737" t="s">
        <v>24</v>
      </c>
      <c r="C737" s="16">
        <v>46169</v>
      </c>
      <c r="D737">
        <v>2498.3999999999996</v>
      </c>
    </row>
    <row r="738" spans="1:4" x14ac:dyDescent="0.3">
      <c r="A738" t="s">
        <v>25</v>
      </c>
      <c r="C738" s="16">
        <v>46169</v>
      </c>
      <c r="D738">
        <v>114.3</v>
      </c>
    </row>
    <row r="739" spans="1:4" x14ac:dyDescent="0.3">
      <c r="A739" t="s">
        <v>26</v>
      </c>
      <c r="C739" s="16">
        <v>46169</v>
      </c>
      <c r="D739">
        <v>2267.7200000000003</v>
      </c>
    </row>
    <row r="740" spans="1:4" x14ac:dyDescent="0.3">
      <c r="A740" t="s">
        <v>27</v>
      </c>
      <c r="C740" s="16">
        <v>46169</v>
      </c>
      <c r="D740">
        <v>3349.94</v>
      </c>
    </row>
    <row r="741" spans="1:4" x14ac:dyDescent="0.3">
      <c r="A741" t="s">
        <v>28</v>
      </c>
      <c r="C741" s="16">
        <v>46169</v>
      </c>
      <c r="D741">
        <v>1968.99</v>
      </c>
    </row>
    <row r="742" spans="1:4" x14ac:dyDescent="0.3">
      <c r="A742" t="s">
        <v>29</v>
      </c>
      <c r="C742" s="16">
        <v>46169</v>
      </c>
      <c r="D742">
        <v>901.34</v>
      </c>
    </row>
    <row r="743" spans="1:4" x14ac:dyDescent="0.3">
      <c r="A743" t="s">
        <v>30</v>
      </c>
      <c r="C743" s="16">
        <v>46169</v>
      </c>
      <c r="D743">
        <v>1444.08</v>
      </c>
    </row>
    <row r="744" spans="1:4" x14ac:dyDescent="0.3">
      <c r="A744" t="s">
        <v>31</v>
      </c>
      <c r="C744" s="16">
        <v>46169</v>
      </c>
      <c r="D744">
        <v>15463.59999999996</v>
      </c>
    </row>
    <row r="745" spans="1:4" x14ac:dyDescent="0.3">
      <c r="A745" t="s">
        <v>32</v>
      </c>
      <c r="C745" s="16">
        <v>46169</v>
      </c>
      <c r="D745">
        <v>15120.060000000001</v>
      </c>
    </row>
    <row r="746" spans="1:4" x14ac:dyDescent="0.3">
      <c r="A746" t="s">
        <v>33</v>
      </c>
      <c r="C746" s="16">
        <v>46169</v>
      </c>
      <c r="D746">
        <v>33606.270000000004</v>
      </c>
    </row>
    <row r="747" spans="1:4" x14ac:dyDescent="0.3">
      <c r="A747" t="s">
        <v>34</v>
      </c>
      <c r="C747" s="16">
        <v>46169</v>
      </c>
      <c r="D747">
        <v>345</v>
      </c>
    </row>
    <row r="748" spans="1:4" x14ac:dyDescent="0.3">
      <c r="A748" t="s">
        <v>35</v>
      </c>
      <c r="C748" s="16">
        <v>46169</v>
      </c>
      <c r="D748">
        <v>17588.03</v>
      </c>
    </row>
    <row r="749" spans="1:4" x14ac:dyDescent="0.3">
      <c r="A749" t="s">
        <v>193</v>
      </c>
      <c r="C749" s="16">
        <v>46169</v>
      </c>
      <c r="D749">
        <v>0</v>
      </c>
    </row>
    <row r="750" spans="1:4" x14ac:dyDescent="0.3">
      <c r="A750" t="s">
        <v>194</v>
      </c>
      <c r="C750" s="16">
        <v>46169</v>
      </c>
      <c r="D750">
        <v>0</v>
      </c>
    </row>
    <row r="751" spans="1:4" x14ac:dyDescent="0.3">
      <c r="A751" t="s">
        <v>195</v>
      </c>
      <c r="C751" s="16">
        <v>46169</v>
      </c>
      <c r="D751">
        <v>0</v>
      </c>
    </row>
    <row r="752" spans="1:4" x14ac:dyDescent="0.3">
      <c r="A752" t="s">
        <v>196</v>
      </c>
      <c r="C752" s="16">
        <v>46169</v>
      </c>
      <c r="D752">
        <v>0</v>
      </c>
    </row>
    <row r="753" spans="1:4" x14ac:dyDescent="0.3">
      <c r="A753" t="s">
        <v>197</v>
      </c>
      <c r="C753" s="16">
        <v>46169</v>
      </c>
      <c r="D753">
        <v>0</v>
      </c>
    </row>
    <row r="754" spans="1:4" x14ac:dyDescent="0.3">
      <c r="A754" t="s">
        <v>198</v>
      </c>
      <c r="C754" s="16">
        <v>46169</v>
      </c>
      <c r="D754">
        <v>0</v>
      </c>
    </row>
    <row r="755" spans="1:4" x14ac:dyDescent="0.3">
      <c r="A755" t="s">
        <v>216</v>
      </c>
      <c r="C755" s="16">
        <v>46169</v>
      </c>
      <c r="D755">
        <v>0</v>
      </c>
    </row>
    <row r="756" spans="1:4" x14ac:dyDescent="0.3">
      <c r="A756" t="s">
        <v>200</v>
      </c>
      <c r="C756" s="16">
        <v>46169</v>
      </c>
      <c r="D756">
        <v>0</v>
      </c>
    </row>
    <row r="757" spans="1:4" x14ac:dyDescent="0.3">
      <c r="A757" t="s">
        <v>201</v>
      </c>
      <c r="C757" s="16">
        <v>46169</v>
      </c>
      <c r="D757">
        <v>0</v>
      </c>
    </row>
    <row r="758" spans="1:4" x14ac:dyDescent="0.3">
      <c r="A758" t="s">
        <v>17</v>
      </c>
      <c r="C758" s="16">
        <v>46170</v>
      </c>
      <c r="D758">
        <v>986983.19000000006</v>
      </c>
    </row>
    <row r="759" spans="1:4" x14ac:dyDescent="0.3">
      <c r="A759" t="s">
        <v>18</v>
      </c>
      <c r="C759" s="16">
        <v>46170</v>
      </c>
      <c r="D759">
        <v>62397.280000000173</v>
      </c>
    </row>
    <row r="760" spans="1:4" x14ac:dyDescent="0.3">
      <c r="A760" t="s">
        <v>19</v>
      </c>
      <c r="C760" s="16">
        <v>46170</v>
      </c>
      <c r="D760">
        <v>1669.89</v>
      </c>
    </row>
    <row r="761" spans="1:4" x14ac:dyDescent="0.3">
      <c r="A761" t="s">
        <v>20</v>
      </c>
      <c r="C761" s="16">
        <v>46170</v>
      </c>
      <c r="D761">
        <v>376595.84999999986</v>
      </c>
    </row>
    <row r="762" spans="1:4" x14ac:dyDescent="0.3">
      <c r="A762" t="s">
        <v>21</v>
      </c>
      <c r="C762" s="16">
        <v>46170</v>
      </c>
      <c r="D762">
        <v>1090396.4799999993</v>
      </c>
    </row>
    <row r="763" spans="1:4" x14ac:dyDescent="0.3">
      <c r="A763" t="s">
        <v>22</v>
      </c>
      <c r="C763" s="16">
        <v>46170</v>
      </c>
      <c r="D763">
        <v>131496.38</v>
      </c>
    </row>
    <row r="764" spans="1:4" x14ac:dyDescent="0.3">
      <c r="A764" t="s">
        <v>23</v>
      </c>
      <c r="C764" s="16">
        <v>46170</v>
      </c>
      <c r="D764">
        <v>88090.37</v>
      </c>
    </row>
    <row r="765" spans="1:4" x14ac:dyDescent="0.3">
      <c r="A765" t="s">
        <v>24</v>
      </c>
      <c r="C765" s="16">
        <v>46170</v>
      </c>
      <c r="D765">
        <v>2498.3999999999996</v>
      </c>
    </row>
    <row r="766" spans="1:4" x14ac:dyDescent="0.3">
      <c r="A766" t="s">
        <v>25</v>
      </c>
      <c r="C766" s="16">
        <v>46170</v>
      </c>
      <c r="D766">
        <v>114.3</v>
      </c>
    </row>
    <row r="767" spans="1:4" x14ac:dyDescent="0.3">
      <c r="A767" t="s">
        <v>26</v>
      </c>
      <c r="C767" s="16">
        <v>46170</v>
      </c>
      <c r="D767">
        <v>2267.7200000000003</v>
      </c>
    </row>
    <row r="768" spans="1:4" x14ac:dyDescent="0.3">
      <c r="A768" t="s">
        <v>27</v>
      </c>
      <c r="C768" s="16">
        <v>46170</v>
      </c>
      <c r="D768">
        <v>3349.94</v>
      </c>
    </row>
    <row r="769" spans="1:4" x14ac:dyDescent="0.3">
      <c r="A769" t="s">
        <v>28</v>
      </c>
      <c r="C769" s="16">
        <v>46170</v>
      </c>
      <c r="D769">
        <v>1968.99</v>
      </c>
    </row>
    <row r="770" spans="1:4" x14ac:dyDescent="0.3">
      <c r="A770" t="s">
        <v>29</v>
      </c>
      <c r="C770" s="16">
        <v>46170</v>
      </c>
      <c r="D770">
        <v>901.34</v>
      </c>
    </row>
    <row r="771" spans="1:4" x14ac:dyDescent="0.3">
      <c r="A771" t="s">
        <v>30</v>
      </c>
      <c r="C771" s="16">
        <v>46170</v>
      </c>
      <c r="D771">
        <v>1444.08</v>
      </c>
    </row>
    <row r="772" spans="1:4" x14ac:dyDescent="0.3">
      <c r="A772" t="s">
        <v>31</v>
      </c>
      <c r="C772" s="16">
        <v>46170</v>
      </c>
      <c r="D772">
        <v>35463.599999999962</v>
      </c>
    </row>
    <row r="773" spans="1:4" x14ac:dyDescent="0.3">
      <c r="A773" t="s">
        <v>32</v>
      </c>
      <c r="C773" s="16">
        <v>46170</v>
      </c>
      <c r="D773">
        <v>15120.060000000001</v>
      </c>
    </row>
    <row r="774" spans="1:4" x14ac:dyDescent="0.3">
      <c r="A774" t="s">
        <v>33</v>
      </c>
      <c r="C774" s="16">
        <v>46170</v>
      </c>
      <c r="D774">
        <v>33606.270000000004</v>
      </c>
    </row>
    <row r="775" spans="1:4" x14ac:dyDescent="0.3">
      <c r="A775" t="s">
        <v>34</v>
      </c>
      <c r="C775" s="16">
        <v>46170</v>
      </c>
      <c r="D775">
        <v>345</v>
      </c>
    </row>
    <row r="776" spans="1:4" x14ac:dyDescent="0.3">
      <c r="A776" t="s">
        <v>35</v>
      </c>
      <c r="C776" s="16">
        <v>46170</v>
      </c>
      <c r="D776">
        <v>9076.2400000000016</v>
      </c>
    </row>
    <row r="777" spans="1:4" x14ac:dyDescent="0.3">
      <c r="A777" t="s">
        <v>193</v>
      </c>
      <c r="C777" s="16">
        <v>46170</v>
      </c>
      <c r="D777">
        <v>0</v>
      </c>
    </row>
    <row r="778" spans="1:4" x14ac:dyDescent="0.3">
      <c r="A778" t="s">
        <v>194</v>
      </c>
      <c r="C778" s="16">
        <v>46170</v>
      </c>
      <c r="D778">
        <v>0</v>
      </c>
    </row>
    <row r="779" spans="1:4" x14ac:dyDescent="0.3">
      <c r="A779" t="s">
        <v>195</v>
      </c>
      <c r="C779" s="16">
        <v>46170</v>
      </c>
      <c r="D779">
        <v>0</v>
      </c>
    </row>
    <row r="780" spans="1:4" x14ac:dyDescent="0.3">
      <c r="A780" t="s">
        <v>196</v>
      </c>
      <c r="C780" s="16">
        <v>46170</v>
      </c>
      <c r="D780">
        <v>0</v>
      </c>
    </row>
    <row r="781" spans="1:4" x14ac:dyDescent="0.3">
      <c r="A781" t="s">
        <v>197</v>
      </c>
      <c r="C781" s="16">
        <v>46170</v>
      </c>
      <c r="D781">
        <v>0</v>
      </c>
    </row>
    <row r="782" spans="1:4" x14ac:dyDescent="0.3">
      <c r="A782" t="s">
        <v>198</v>
      </c>
      <c r="C782" s="16">
        <v>46170</v>
      </c>
      <c r="D782">
        <v>0</v>
      </c>
    </row>
    <row r="783" spans="1:4" x14ac:dyDescent="0.3">
      <c r="A783" t="s">
        <v>216</v>
      </c>
      <c r="C783" s="16">
        <v>46170</v>
      </c>
      <c r="D783">
        <v>0</v>
      </c>
    </row>
    <row r="784" spans="1:4" x14ac:dyDescent="0.3">
      <c r="A784" t="s">
        <v>200</v>
      </c>
      <c r="C784" s="16">
        <v>46170</v>
      </c>
      <c r="D784">
        <v>0</v>
      </c>
    </row>
    <row r="785" spans="1:4" x14ac:dyDescent="0.3">
      <c r="A785" t="s">
        <v>201</v>
      </c>
      <c r="C785" s="16">
        <v>46170</v>
      </c>
      <c r="D785">
        <v>0</v>
      </c>
    </row>
    <row r="786" spans="1:4" x14ac:dyDescent="0.3">
      <c r="A786" t="s">
        <v>17</v>
      </c>
      <c r="C786" s="16">
        <v>46171</v>
      </c>
      <c r="D786">
        <v>983394.14000000013</v>
      </c>
    </row>
    <row r="787" spans="1:4" x14ac:dyDescent="0.3">
      <c r="A787" t="s">
        <v>18</v>
      </c>
      <c r="C787" s="16">
        <v>46171</v>
      </c>
      <c r="D787">
        <v>62397.280000000173</v>
      </c>
    </row>
    <row r="788" spans="1:4" x14ac:dyDescent="0.3">
      <c r="A788" t="s">
        <v>19</v>
      </c>
      <c r="C788" s="16">
        <v>46171</v>
      </c>
      <c r="D788">
        <v>1669.89</v>
      </c>
    </row>
    <row r="789" spans="1:4" x14ac:dyDescent="0.3">
      <c r="A789" t="s">
        <v>20</v>
      </c>
      <c r="C789" s="16">
        <v>46171</v>
      </c>
      <c r="D789">
        <v>424853.11999999988</v>
      </c>
    </row>
    <row r="790" spans="1:4" x14ac:dyDescent="0.3">
      <c r="A790" t="s">
        <v>21</v>
      </c>
      <c r="C790" s="16">
        <v>46171</v>
      </c>
      <c r="D790">
        <v>1015901.6699999992</v>
      </c>
    </row>
    <row r="791" spans="1:4" x14ac:dyDescent="0.3">
      <c r="A791" t="s">
        <v>22</v>
      </c>
      <c r="C791" s="16">
        <v>46171</v>
      </c>
      <c r="D791">
        <v>131496.38</v>
      </c>
    </row>
    <row r="792" spans="1:4" x14ac:dyDescent="0.3">
      <c r="A792" t="s">
        <v>23</v>
      </c>
      <c r="C792" s="16">
        <v>46171</v>
      </c>
      <c r="D792">
        <v>88090.37</v>
      </c>
    </row>
    <row r="793" spans="1:4" x14ac:dyDescent="0.3">
      <c r="A793" t="s">
        <v>24</v>
      </c>
      <c r="C793" s="16">
        <v>46171</v>
      </c>
      <c r="D793">
        <v>1227.9699999999998</v>
      </c>
    </row>
    <row r="794" spans="1:4" x14ac:dyDescent="0.3">
      <c r="A794" t="s">
        <v>25</v>
      </c>
      <c r="C794" s="16">
        <v>46171</v>
      </c>
      <c r="D794">
        <v>114.3</v>
      </c>
    </row>
    <row r="795" spans="1:4" x14ac:dyDescent="0.3">
      <c r="A795" t="s">
        <v>26</v>
      </c>
      <c r="C795" s="16">
        <v>46171</v>
      </c>
      <c r="D795">
        <v>2267.7200000000003</v>
      </c>
    </row>
    <row r="796" spans="1:4" x14ac:dyDescent="0.3">
      <c r="A796" t="s">
        <v>27</v>
      </c>
      <c r="C796" s="16">
        <v>46171</v>
      </c>
      <c r="D796">
        <v>3349.94</v>
      </c>
    </row>
    <row r="797" spans="1:4" x14ac:dyDescent="0.3">
      <c r="A797" t="s">
        <v>28</v>
      </c>
      <c r="C797" s="16">
        <v>46171</v>
      </c>
      <c r="D797">
        <v>1968.99</v>
      </c>
    </row>
    <row r="798" spans="1:4" x14ac:dyDescent="0.3">
      <c r="A798" t="s">
        <v>29</v>
      </c>
      <c r="C798" s="16">
        <v>46171</v>
      </c>
      <c r="D798">
        <v>901.34</v>
      </c>
    </row>
    <row r="799" spans="1:4" x14ac:dyDescent="0.3">
      <c r="A799" t="s">
        <v>30</v>
      </c>
      <c r="C799" s="16">
        <v>46171</v>
      </c>
      <c r="D799">
        <v>1444.08</v>
      </c>
    </row>
    <row r="800" spans="1:4" x14ac:dyDescent="0.3">
      <c r="A800" t="s">
        <v>31</v>
      </c>
      <c r="C800" s="16">
        <v>46171</v>
      </c>
      <c r="D800">
        <v>35448.599999999962</v>
      </c>
    </row>
    <row r="801" spans="1:4" x14ac:dyDescent="0.3">
      <c r="A801" t="s">
        <v>32</v>
      </c>
      <c r="C801" s="16">
        <v>46171</v>
      </c>
      <c r="D801">
        <v>15120.060000000001</v>
      </c>
    </row>
    <row r="802" spans="1:4" x14ac:dyDescent="0.3">
      <c r="A802" t="s">
        <v>33</v>
      </c>
      <c r="C802" s="16">
        <v>46171</v>
      </c>
      <c r="D802">
        <v>33606.270000000004</v>
      </c>
    </row>
    <row r="803" spans="1:4" x14ac:dyDescent="0.3">
      <c r="A803" t="s">
        <v>34</v>
      </c>
      <c r="C803" s="16">
        <v>46171</v>
      </c>
      <c r="D803">
        <v>345</v>
      </c>
    </row>
    <row r="804" spans="1:4" x14ac:dyDescent="0.3">
      <c r="A804" t="s">
        <v>35</v>
      </c>
      <c r="C804" s="16">
        <v>46171</v>
      </c>
      <c r="D804">
        <v>9076.2400000000016</v>
      </c>
    </row>
    <row r="805" spans="1:4" x14ac:dyDescent="0.3">
      <c r="A805" t="s">
        <v>193</v>
      </c>
      <c r="C805" s="16">
        <v>46171</v>
      </c>
      <c r="D805">
        <v>0</v>
      </c>
    </row>
    <row r="806" spans="1:4" x14ac:dyDescent="0.3">
      <c r="A806" t="s">
        <v>194</v>
      </c>
      <c r="C806" s="16">
        <v>46171</v>
      </c>
      <c r="D806">
        <v>0</v>
      </c>
    </row>
    <row r="807" spans="1:4" x14ac:dyDescent="0.3">
      <c r="A807" t="s">
        <v>195</v>
      </c>
      <c r="C807" s="16">
        <v>46171</v>
      </c>
      <c r="D807">
        <v>0</v>
      </c>
    </row>
    <row r="808" spans="1:4" x14ac:dyDescent="0.3">
      <c r="A808" t="s">
        <v>196</v>
      </c>
      <c r="C808" s="16">
        <v>46171</v>
      </c>
      <c r="D808">
        <v>0</v>
      </c>
    </row>
    <row r="809" spans="1:4" x14ac:dyDescent="0.3">
      <c r="A809" t="s">
        <v>197</v>
      </c>
      <c r="C809" s="16">
        <v>46171</v>
      </c>
      <c r="D809">
        <v>0</v>
      </c>
    </row>
    <row r="810" spans="1:4" x14ac:dyDescent="0.3">
      <c r="A810" t="s">
        <v>198</v>
      </c>
      <c r="C810" s="16">
        <v>46171</v>
      </c>
      <c r="D810">
        <v>0</v>
      </c>
    </row>
    <row r="811" spans="1:4" x14ac:dyDescent="0.3">
      <c r="A811" t="s">
        <v>216</v>
      </c>
      <c r="C811" s="16">
        <v>46171</v>
      </c>
      <c r="D811">
        <v>0</v>
      </c>
    </row>
    <row r="812" spans="1:4" x14ac:dyDescent="0.3">
      <c r="A812" t="s">
        <v>200</v>
      </c>
      <c r="C812" s="16">
        <v>46171</v>
      </c>
      <c r="D812">
        <v>0</v>
      </c>
    </row>
    <row r="813" spans="1:4" x14ac:dyDescent="0.3">
      <c r="A813" t="s">
        <v>201</v>
      </c>
      <c r="C813" s="16">
        <v>46171</v>
      </c>
      <c r="D813">
        <v>0</v>
      </c>
    </row>
    <row r="814" spans="1:4" x14ac:dyDescent="0.3">
      <c r="A814" t="s">
        <v>17</v>
      </c>
      <c r="C814" s="16">
        <v>46172</v>
      </c>
      <c r="D814">
        <v>983394.14000000013</v>
      </c>
    </row>
    <row r="815" spans="1:4" x14ac:dyDescent="0.3">
      <c r="A815" t="s">
        <v>18</v>
      </c>
      <c r="C815" s="16">
        <v>46172</v>
      </c>
      <c r="D815">
        <v>62397.280000000173</v>
      </c>
    </row>
    <row r="816" spans="1:4" x14ac:dyDescent="0.3">
      <c r="A816" t="s">
        <v>19</v>
      </c>
      <c r="C816" s="16">
        <v>46172</v>
      </c>
      <c r="D816">
        <v>1669.89</v>
      </c>
    </row>
    <row r="817" spans="1:4" x14ac:dyDescent="0.3">
      <c r="A817" t="s">
        <v>20</v>
      </c>
      <c r="C817" s="16">
        <v>46172</v>
      </c>
      <c r="D817">
        <v>424853.11999999988</v>
      </c>
    </row>
    <row r="818" spans="1:4" x14ac:dyDescent="0.3">
      <c r="A818" t="s">
        <v>21</v>
      </c>
      <c r="C818" s="16">
        <v>46172</v>
      </c>
      <c r="D818">
        <v>1015901.6699999992</v>
      </c>
    </row>
    <row r="819" spans="1:4" x14ac:dyDescent="0.3">
      <c r="A819" t="s">
        <v>22</v>
      </c>
      <c r="C819" s="16">
        <v>46172</v>
      </c>
      <c r="D819">
        <v>131496.38</v>
      </c>
    </row>
    <row r="820" spans="1:4" x14ac:dyDescent="0.3">
      <c r="A820" t="s">
        <v>23</v>
      </c>
      <c r="C820" s="16">
        <v>46172</v>
      </c>
      <c r="D820">
        <v>88090.37</v>
      </c>
    </row>
    <row r="821" spans="1:4" x14ac:dyDescent="0.3">
      <c r="A821" t="s">
        <v>24</v>
      </c>
      <c r="C821" s="16">
        <v>46172</v>
      </c>
      <c r="D821">
        <v>1227.9699999999998</v>
      </c>
    </row>
    <row r="822" spans="1:4" x14ac:dyDescent="0.3">
      <c r="A822" t="s">
        <v>25</v>
      </c>
      <c r="C822" s="16">
        <v>46172</v>
      </c>
      <c r="D822">
        <v>114.3</v>
      </c>
    </row>
    <row r="823" spans="1:4" x14ac:dyDescent="0.3">
      <c r="A823" t="s">
        <v>26</v>
      </c>
      <c r="C823" s="16">
        <v>46172</v>
      </c>
      <c r="D823">
        <v>2267.7200000000003</v>
      </c>
    </row>
    <row r="824" spans="1:4" x14ac:dyDescent="0.3">
      <c r="A824" t="s">
        <v>27</v>
      </c>
      <c r="C824" s="16">
        <v>46172</v>
      </c>
      <c r="D824">
        <v>3349.94</v>
      </c>
    </row>
    <row r="825" spans="1:4" x14ac:dyDescent="0.3">
      <c r="A825" t="s">
        <v>28</v>
      </c>
      <c r="C825" s="16">
        <v>46172</v>
      </c>
      <c r="D825">
        <v>1968.99</v>
      </c>
    </row>
    <row r="826" spans="1:4" x14ac:dyDescent="0.3">
      <c r="A826" t="s">
        <v>29</v>
      </c>
      <c r="C826" s="16">
        <v>46172</v>
      </c>
      <c r="D826">
        <v>901.34</v>
      </c>
    </row>
    <row r="827" spans="1:4" x14ac:dyDescent="0.3">
      <c r="A827" t="s">
        <v>30</v>
      </c>
      <c r="C827" s="16">
        <v>46172</v>
      </c>
      <c r="D827">
        <v>1444.08</v>
      </c>
    </row>
    <row r="828" spans="1:4" x14ac:dyDescent="0.3">
      <c r="A828" t="s">
        <v>31</v>
      </c>
      <c r="C828" s="16">
        <v>46172</v>
      </c>
      <c r="D828">
        <v>35448.599999999962</v>
      </c>
    </row>
    <row r="829" spans="1:4" x14ac:dyDescent="0.3">
      <c r="A829" t="s">
        <v>32</v>
      </c>
      <c r="C829" s="16">
        <v>46172</v>
      </c>
      <c r="D829">
        <v>15120.060000000001</v>
      </c>
    </row>
    <row r="830" spans="1:4" x14ac:dyDescent="0.3">
      <c r="A830" t="s">
        <v>33</v>
      </c>
      <c r="C830" s="16">
        <v>46172</v>
      </c>
      <c r="D830">
        <v>33606.270000000004</v>
      </c>
    </row>
    <row r="831" spans="1:4" x14ac:dyDescent="0.3">
      <c r="A831" t="s">
        <v>34</v>
      </c>
      <c r="C831" s="16">
        <v>46172</v>
      </c>
      <c r="D831">
        <v>345</v>
      </c>
    </row>
    <row r="832" spans="1:4" x14ac:dyDescent="0.3">
      <c r="A832" t="s">
        <v>35</v>
      </c>
      <c r="C832" s="16">
        <v>46172</v>
      </c>
      <c r="D832">
        <v>9076.2400000000016</v>
      </c>
    </row>
    <row r="833" spans="1:4" x14ac:dyDescent="0.3">
      <c r="A833" t="s">
        <v>193</v>
      </c>
      <c r="C833" s="16">
        <v>46172</v>
      </c>
      <c r="D833">
        <v>0</v>
      </c>
    </row>
    <row r="834" spans="1:4" x14ac:dyDescent="0.3">
      <c r="A834" t="s">
        <v>194</v>
      </c>
      <c r="C834" s="16">
        <v>46172</v>
      </c>
      <c r="D834">
        <v>0</v>
      </c>
    </row>
    <row r="835" spans="1:4" x14ac:dyDescent="0.3">
      <c r="A835" t="s">
        <v>195</v>
      </c>
      <c r="C835" s="16">
        <v>46172</v>
      </c>
      <c r="D835">
        <v>0</v>
      </c>
    </row>
    <row r="836" spans="1:4" x14ac:dyDescent="0.3">
      <c r="A836" t="s">
        <v>196</v>
      </c>
      <c r="C836" s="16">
        <v>46172</v>
      </c>
      <c r="D836">
        <v>0</v>
      </c>
    </row>
    <row r="837" spans="1:4" x14ac:dyDescent="0.3">
      <c r="A837" t="s">
        <v>197</v>
      </c>
      <c r="C837" s="16">
        <v>46172</v>
      </c>
      <c r="D837">
        <v>0</v>
      </c>
    </row>
    <row r="838" spans="1:4" x14ac:dyDescent="0.3">
      <c r="A838" t="s">
        <v>198</v>
      </c>
      <c r="C838" s="16">
        <v>46172</v>
      </c>
      <c r="D838">
        <v>0</v>
      </c>
    </row>
    <row r="839" spans="1:4" x14ac:dyDescent="0.3">
      <c r="A839" t="s">
        <v>216</v>
      </c>
      <c r="C839" s="16">
        <v>46172</v>
      </c>
      <c r="D839">
        <v>0</v>
      </c>
    </row>
    <row r="840" spans="1:4" x14ac:dyDescent="0.3">
      <c r="A840" t="s">
        <v>200</v>
      </c>
      <c r="C840" s="16">
        <v>46172</v>
      </c>
      <c r="D840">
        <v>0</v>
      </c>
    </row>
    <row r="841" spans="1:4" x14ac:dyDescent="0.3">
      <c r="A841" t="s">
        <v>201</v>
      </c>
      <c r="C841" s="16">
        <v>46172</v>
      </c>
      <c r="D841">
        <v>0</v>
      </c>
    </row>
    <row r="842" spans="1:4" x14ac:dyDescent="0.3">
      <c r="A842" t="s">
        <v>17</v>
      </c>
      <c r="C842" s="16">
        <v>46173</v>
      </c>
      <c r="D842">
        <v>983394.14000000013</v>
      </c>
    </row>
    <row r="843" spans="1:4" x14ac:dyDescent="0.3">
      <c r="A843" t="s">
        <v>18</v>
      </c>
      <c r="C843" s="16">
        <v>46173</v>
      </c>
      <c r="D843">
        <v>62397.280000000173</v>
      </c>
    </row>
    <row r="844" spans="1:4" x14ac:dyDescent="0.3">
      <c r="A844" t="s">
        <v>19</v>
      </c>
      <c r="C844" s="16">
        <v>46173</v>
      </c>
      <c r="D844">
        <v>1669.89</v>
      </c>
    </row>
    <row r="845" spans="1:4" x14ac:dyDescent="0.3">
      <c r="A845" t="s">
        <v>20</v>
      </c>
      <c r="C845" s="16">
        <v>46173</v>
      </c>
      <c r="D845">
        <v>424853.11999999988</v>
      </c>
    </row>
    <row r="846" spans="1:4" x14ac:dyDescent="0.3">
      <c r="A846" t="s">
        <v>21</v>
      </c>
      <c r="C846" s="16">
        <v>46173</v>
      </c>
      <c r="D846">
        <v>1015901.6699999992</v>
      </c>
    </row>
    <row r="847" spans="1:4" x14ac:dyDescent="0.3">
      <c r="A847" t="s">
        <v>22</v>
      </c>
      <c r="C847" s="16">
        <v>46173</v>
      </c>
      <c r="D847">
        <v>131496.38</v>
      </c>
    </row>
    <row r="848" spans="1:4" x14ac:dyDescent="0.3">
      <c r="A848" t="s">
        <v>23</v>
      </c>
      <c r="C848" s="16">
        <v>46173</v>
      </c>
      <c r="D848">
        <v>88090.37</v>
      </c>
    </row>
    <row r="849" spans="1:4" x14ac:dyDescent="0.3">
      <c r="A849" t="s">
        <v>24</v>
      </c>
      <c r="C849" s="16">
        <v>46173</v>
      </c>
      <c r="D849">
        <v>1227.9699999999998</v>
      </c>
    </row>
    <row r="850" spans="1:4" x14ac:dyDescent="0.3">
      <c r="A850" t="s">
        <v>25</v>
      </c>
      <c r="C850" s="16">
        <v>46173</v>
      </c>
      <c r="D850">
        <v>114.3</v>
      </c>
    </row>
    <row r="851" spans="1:4" x14ac:dyDescent="0.3">
      <c r="A851" t="s">
        <v>26</v>
      </c>
      <c r="C851" s="16">
        <v>46173</v>
      </c>
      <c r="D851">
        <v>2267.7200000000003</v>
      </c>
    </row>
    <row r="852" spans="1:4" x14ac:dyDescent="0.3">
      <c r="A852" t="s">
        <v>27</v>
      </c>
      <c r="C852" s="16">
        <v>46173</v>
      </c>
      <c r="D852">
        <v>3349.94</v>
      </c>
    </row>
    <row r="853" spans="1:4" x14ac:dyDescent="0.3">
      <c r="A853" t="s">
        <v>28</v>
      </c>
      <c r="C853" s="16">
        <v>46173</v>
      </c>
      <c r="D853">
        <v>1968.99</v>
      </c>
    </row>
    <row r="854" spans="1:4" x14ac:dyDescent="0.3">
      <c r="A854" t="s">
        <v>29</v>
      </c>
      <c r="C854" s="16">
        <v>46173</v>
      </c>
      <c r="D854">
        <v>901.34</v>
      </c>
    </row>
    <row r="855" spans="1:4" x14ac:dyDescent="0.3">
      <c r="A855" t="s">
        <v>30</v>
      </c>
      <c r="C855" s="16">
        <v>46173</v>
      </c>
      <c r="D855">
        <v>1444.08</v>
      </c>
    </row>
    <row r="856" spans="1:4" x14ac:dyDescent="0.3">
      <c r="A856" t="s">
        <v>31</v>
      </c>
      <c r="C856" s="16">
        <v>46173</v>
      </c>
      <c r="D856">
        <v>35448.599999999962</v>
      </c>
    </row>
    <row r="857" spans="1:4" x14ac:dyDescent="0.3">
      <c r="A857" t="s">
        <v>32</v>
      </c>
      <c r="C857" s="16">
        <v>46173</v>
      </c>
      <c r="D857">
        <v>15120.060000000001</v>
      </c>
    </row>
    <row r="858" spans="1:4" x14ac:dyDescent="0.3">
      <c r="A858" t="s">
        <v>33</v>
      </c>
      <c r="C858" s="16">
        <v>46173</v>
      </c>
      <c r="D858">
        <v>33606.270000000004</v>
      </c>
    </row>
    <row r="859" spans="1:4" x14ac:dyDescent="0.3">
      <c r="A859" t="s">
        <v>34</v>
      </c>
      <c r="C859" s="16">
        <v>46173</v>
      </c>
      <c r="D859">
        <v>345</v>
      </c>
    </row>
    <row r="860" spans="1:4" x14ac:dyDescent="0.3">
      <c r="A860" t="s">
        <v>35</v>
      </c>
      <c r="C860" s="16">
        <v>46173</v>
      </c>
      <c r="D860">
        <v>9076.2400000000016</v>
      </c>
    </row>
    <row r="861" spans="1:4" x14ac:dyDescent="0.3">
      <c r="A861" t="s">
        <v>193</v>
      </c>
      <c r="C861" s="16">
        <v>46173</v>
      </c>
      <c r="D861">
        <v>0</v>
      </c>
    </row>
    <row r="862" spans="1:4" x14ac:dyDescent="0.3">
      <c r="A862" t="s">
        <v>194</v>
      </c>
      <c r="C862" s="16">
        <v>46173</v>
      </c>
      <c r="D862">
        <v>0</v>
      </c>
    </row>
    <row r="863" spans="1:4" x14ac:dyDescent="0.3">
      <c r="A863" t="s">
        <v>195</v>
      </c>
      <c r="C863" s="16">
        <v>46173</v>
      </c>
      <c r="D863">
        <v>0</v>
      </c>
    </row>
    <row r="864" spans="1:4" x14ac:dyDescent="0.3">
      <c r="A864" t="s">
        <v>196</v>
      </c>
      <c r="C864" s="16">
        <v>46173</v>
      </c>
      <c r="D864">
        <v>0</v>
      </c>
    </row>
    <row r="865" spans="1:4" x14ac:dyDescent="0.3">
      <c r="A865" t="s">
        <v>197</v>
      </c>
      <c r="C865" s="16">
        <v>46173</v>
      </c>
      <c r="D865">
        <v>0</v>
      </c>
    </row>
    <row r="866" spans="1:4" x14ac:dyDescent="0.3">
      <c r="A866" t="s">
        <v>198</v>
      </c>
      <c r="C866" s="16">
        <v>46173</v>
      </c>
      <c r="D866">
        <v>0</v>
      </c>
    </row>
    <row r="867" spans="1:4" x14ac:dyDescent="0.3">
      <c r="A867" t="s">
        <v>216</v>
      </c>
      <c r="C867" s="16">
        <v>46173</v>
      </c>
      <c r="D867">
        <v>0</v>
      </c>
    </row>
    <row r="868" spans="1:4" x14ac:dyDescent="0.3">
      <c r="A868" t="s">
        <v>200</v>
      </c>
      <c r="C868" s="16">
        <v>46173</v>
      </c>
      <c r="D868">
        <v>0</v>
      </c>
    </row>
    <row r="869" spans="1:4" x14ac:dyDescent="0.3">
      <c r="A869" t="s">
        <v>201</v>
      </c>
      <c r="C869" s="16">
        <v>46173</v>
      </c>
      <c r="D869">
        <v>0</v>
      </c>
    </row>
    <row r="870" spans="1:4" x14ac:dyDescent="0.3">
      <c r="A870" t="s">
        <v>17</v>
      </c>
      <c r="C870" s="16">
        <v>46174</v>
      </c>
      <c r="D870">
        <v>983394.14000000013</v>
      </c>
    </row>
    <row r="871" spans="1:4" x14ac:dyDescent="0.3">
      <c r="A871" t="s">
        <v>18</v>
      </c>
      <c r="C871" s="16">
        <v>46174</v>
      </c>
      <c r="D871">
        <v>69376.390000000174</v>
      </c>
    </row>
    <row r="872" spans="1:4" x14ac:dyDescent="0.3">
      <c r="A872" t="s">
        <v>19</v>
      </c>
      <c r="C872" s="16">
        <v>46174</v>
      </c>
      <c r="D872">
        <v>1669.89</v>
      </c>
    </row>
    <row r="873" spans="1:4" x14ac:dyDescent="0.3">
      <c r="A873" t="s">
        <v>20</v>
      </c>
      <c r="C873" s="16">
        <v>46174</v>
      </c>
      <c r="D873">
        <v>804853.11999999988</v>
      </c>
    </row>
    <row r="874" spans="1:4" x14ac:dyDescent="0.3">
      <c r="A874" t="s">
        <v>21</v>
      </c>
      <c r="C874" s="16">
        <v>46174</v>
      </c>
      <c r="D874">
        <v>1015901.6699999992</v>
      </c>
    </row>
    <row r="875" spans="1:4" x14ac:dyDescent="0.3">
      <c r="A875" t="s">
        <v>22</v>
      </c>
      <c r="C875" s="16">
        <v>46174</v>
      </c>
      <c r="D875">
        <v>131496.38</v>
      </c>
    </row>
    <row r="876" spans="1:4" x14ac:dyDescent="0.3">
      <c r="A876" t="s">
        <v>23</v>
      </c>
      <c r="C876" s="16">
        <v>46174</v>
      </c>
      <c r="D876">
        <v>88090.37</v>
      </c>
    </row>
    <row r="877" spans="1:4" x14ac:dyDescent="0.3">
      <c r="A877" t="s">
        <v>24</v>
      </c>
      <c r="C877" s="16">
        <v>46174</v>
      </c>
      <c r="D877">
        <v>511.15999999999985</v>
      </c>
    </row>
    <row r="878" spans="1:4" x14ac:dyDescent="0.3">
      <c r="A878" t="s">
        <v>25</v>
      </c>
      <c r="C878" s="16">
        <v>46174</v>
      </c>
      <c r="D878">
        <v>84.35</v>
      </c>
    </row>
    <row r="879" spans="1:4" x14ac:dyDescent="0.3">
      <c r="A879" t="s">
        <v>26</v>
      </c>
      <c r="C879" s="16">
        <v>46174</v>
      </c>
      <c r="D879">
        <v>2237.77</v>
      </c>
    </row>
    <row r="880" spans="1:4" x14ac:dyDescent="0.3">
      <c r="A880" t="s">
        <v>27</v>
      </c>
      <c r="C880" s="16">
        <v>46174</v>
      </c>
      <c r="D880">
        <v>3349.94</v>
      </c>
    </row>
    <row r="881" spans="1:4" x14ac:dyDescent="0.3">
      <c r="A881" t="s">
        <v>28</v>
      </c>
      <c r="C881" s="16">
        <v>46174</v>
      </c>
      <c r="D881">
        <v>1968.99</v>
      </c>
    </row>
    <row r="882" spans="1:4" x14ac:dyDescent="0.3">
      <c r="A882" t="s">
        <v>29</v>
      </c>
      <c r="C882" s="16">
        <v>46174</v>
      </c>
      <c r="D882">
        <v>901.34</v>
      </c>
    </row>
    <row r="883" spans="1:4" x14ac:dyDescent="0.3">
      <c r="A883" t="s">
        <v>30</v>
      </c>
      <c r="C883" s="16">
        <v>46174</v>
      </c>
      <c r="D883">
        <v>1428.08</v>
      </c>
    </row>
    <row r="884" spans="1:4" x14ac:dyDescent="0.3">
      <c r="A884" t="s">
        <v>31</v>
      </c>
      <c r="C884" s="16">
        <v>46174</v>
      </c>
      <c r="D884">
        <v>26416.26999999996</v>
      </c>
    </row>
    <row r="885" spans="1:4" x14ac:dyDescent="0.3">
      <c r="A885" t="s">
        <v>32</v>
      </c>
      <c r="C885" s="16">
        <v>46174</v>
      </c>
      <c r="D885">
        <v>5321.4300000000021</v>
      </c>
    </row>
    <row r="886" spans="1:4" x14ac:dyDescent="0.3">
      <c r="A886" t="s">
        <v>33</v>
      </c>
      <c r="C886" s="16">
        <v>46174</v>
      </c>
      <c r="D886">
        <v>24833.23</v>
      </c>
    </row>
    <row r="887" spans="1:4" x14ac:dyDescent="0.3">
      <c r="A887" t="s">
        <v>34</v>
      </c>
      <c r="C887" s="16">
        <v>46174</v>
      </c>
      <c r="D887">
        <v>345</v>
      </c>
    </row>
    <row r="888" spans="1:4" x14ac:dyDescent="0.3">
      <c r="A888" t="s">
        <v>35</v>
      </c>
      <c r="C888" s="16">
        <v>46174</v>
      </c>
      <c r="D888">
        <v>12117.82</v>
      </c>
    </row>
    <row r="889" spans="1:4" x14ac:dyDescent="0.3">
      <c r="A889" t="s">
        <v>193</v>
      </c>
      <c r="C889" s="16">
        <v>46174</v>
      </c>
      <c r="D889">
        <v>0</v>
      </c>
    </row>
    <row r="890" spans="1:4" x14ac:dyDescent="0.3">
      <c r="A890" t="s">
        <v>194</v>
      </c>
      <c r="C890" s="16">
        <v>46174</v>
      </c>
      <c r="D890">
        <v>0</v>
      </c>
    </row>
    <row r="891" spans="1:4" x14ac:dyDescent="0.3">
      <c r="A891" t="s">
        <v>195</v>
      </c>
      <c r="C891" s="16">
        <v>46174</v>
      </c>
      <c r="D891">
        <v>0</v>
      </c>
    </row>
    <row r="892" spans="1:4" x14ac:dyDescent="0.3">
      <c r="A892" t="s">
        <v>196</v>
      </c>
      <c r="C892" s="16">
        <v>46174</v>
      </c>
      <c r="D892">
        <v>0</v>
      </c>
    </row>
    <row r="893" spans="1:4" x14ac:dyDescent="0.3">
      <c r="A893" t="s">
        <v>197</v>
      </c>
      <c r="C893" s="16">
        <v>46174</v>
      </c>
      <c r="D893">
        <v>0</v>
      </c>
    </row>
    <row r="894" spans="1:4" x14ac:dyDescent="0.3">
      <c r="A894" t="s">
        <v>198</v>
      </c>
      <c r="C894" s="16">
        <v>46174</v>
      </c>
      <c r="D894">
        <v>0</v>
      </c>
    </row>
    <row r="895" spans="1:4" x14ac:dyDescent="0.3">
      <c r="A895" t="s">
        <v>216</v>
      </c>
      <c r="C895" s="16">
        <v>46174</v>
      </c>
      <c r="D895">
        <v>0</v>
      </c>
    </row>
    <row r="896" spans="1:4" x14ac:dyDescent="0.3">
      <c r="A896" t="s">
        <v>200</v>
      </c>
      <c r="C896" s="16">
        <v>46174</v>
      </c>
      <c r="D896">
        <v>0</v>
      </c>
    </row>
    <row r="897" spans="1:4" x14ac:dyDescent="0.3">
      <c r="A897" t="s">
        <v>201</v>
      </c>
      <c r="C897" s="16">
        <v>46174</v>
      </c>
      <c r="D897">
        <v>0</v>
      </c>
    </row>
    <row r="898" spans="1:4" x14ac:dyDescent="0.3">
      <c r="A898" t="s">
        <v>17</v>
      </c>
      <c r="C898" s="16">
        <v>46175</v>
      </c>
      <c r="D898">
        <v>983394.14000000013</v>
      </c>
    </row>
    <row r="899" spans="1:4" x14ac:dyDescent="0.3">
      <c r="A899" t="s">
        <v>18</v>
      </c>
      <c r="C899" s="16">
        <v>46175</v>
      </c>
      <c r="D899">
        <v>69376.390000000174</v>
      </c>
    </row>
    <row r="900" spans="1:4" x14ac:dyDescent="0.3">
      <c r="A900" t="s">
        <v>19</v>
      </c>
      <c r="C900" s="16">
        <v>46175</v>
      </c>
      <c r="D900">
        <v>1669.89</v>
      </c>
    </row>
    <row r="901" spans="1:4" x14ac:dyDescent="0.3">
      <c r="A901" t="s">
        <v>20</v>
      </c>
      <c r="C901" s="16">
        <v>46175</v>
      </c>
      <c r="D901">
        <v>804853.11999999988</v>
      </c>
    </row>
    <row r="902" spans="1:4" x14ac:dyDescent="0.3">
      <c r="A902" t="s">
        <v>21</v>
      </c>
      <c r="C902" s="16">
        <v>46175</v>
      </c>
      <c r="D902">
        <v>1015901.6699999992</v>
      </c>
    </row>
    <row r="903" spans="1:4" x14ac:dyDescent="0.3">
      <c r="A903" t="s">
        <v>22</v>
      </c>
      <c r="C903" s="16">
        <v>46175</v>
      </c>
      <c r="D903">
        <v>131496.38</v>
      </c>
    </row>
    <row r="904" spans="1:4" x14ac:dyDescent="0.3">
      <c r="A904" t="s">
        <v>23</v>
      </c>
      <c r="C904" s="16">
        <v>46175</v>
      </c>
      <c r="D904">
        <v>88090.37</v>
      </c>
    </row>
    <row r="905" spans="1:4" x14ac:dyDescent="0.3">
      <c r="A905" t="s">
        <v>24</v>
      </c>
      <c r="C905" s="16">
        <v>46175</v>
      </c>
      <c r="D905">
        <v>511.15999999999985</v>
      </c>
    </row>
    <row r="906" spans="1:4" x14ac:dyDescent="0.3">
      <c r="A906" t="s">
        <v>25</v>
      </c>
      <c r="C906" s="16">
        <v>46175</v>
      </c>
      <c r="D906">
        <v>84.35</v>
      </c>
    </row>
    <row r="907" spans="1:4" x14ac:dyDescent="0.3">
      <c r="A907" t="s">
        <v>26</v>
      </c>
      <c r="C907" s="16">
        <v>46175</v>
      </c>
      <c r="D907">
        <v>2237.77</v>
      </c>
    </row>
    <row r="908" spans="1:4" x14ac:dyDescent="0.3">
      <c r="A908" t="s">
        <v>27</v>
      </c>
      <c r="C908" s="16">
        <v>46175</v>
      </c>
      <c r="D908">
        <v>3349.94</v>
      </c>
    </row>
    <row r="909" spans="1:4" x14ac:dyDescent="0.3">
      <c r="A909" t="s">
        <v>28</v>
      </c>
      <c r="C909" s="16">
        <v>46175</v>
      </c>
      <c r="D909">
        <v>1968.99</v>
      </c>
    </row>
    <row r="910" spans="1:4" x14ac:dyDescent="0.3">
      <c r="A910" t="s">
        <v>29</v>
      </c>
      <c r="C910" s="16">
        <v>46175</v>
      </c>
      <c r="D910">
        <v>901.34</v>
      </c>
    </row>
    <row r="911" spans="1:4" x14ac:dyDescent="0.3">
      <c r="A911" t="s">
        <v>30</v>
      </c>
      <c r="C911" s="16">
        <v>46175</v>
      </c>
      <c r="D911">
        <v>1428.08</v>
      </c>
    </row>
    <row r="912" spans="1:4" x14ac:dyDescent="0.3">
      <c r="A912" t="s">
        <v>31</v>
      </c>
      <c r="C912" s="16">
        <v>46175</v>
      </c>
      <c r="D912">
        <v>25789.969999999961</v>
      </c>
    </row>
    <row r="913" spans="1:4" x14ac:dyDescent="0.3">
      <c r="A913" t="s">
        <v>32</v>
      </c>
      <c r="C913" s="16">
        <v>46175</v>
      </c>
      <c r="D913">
        <v>5321.4300000000021</v>
      </c>
    </row>
    <row r="914" spans="1:4" x14ac:dyDescent="0.3">
      <c r="A914" t="s">
        <v>33</v>
      </c>
      <c r="C914" s="16">
        <v>46175</v>
      </c>
      <c r="D914">
        <v>24833.23</v>
      </c>
    </row>
    <row r="915" spans="1:4" x14ac:dyDescent="0.3">
      <c r="A915" t="s">
        <v>34</v>
      </c>
      <c r="C915" s="16">
        <v>46175</v>
      </c>
      <c r="D915">
        <v>345</v>
      </c>
    </row>
    <row r="916" spans="1:4" x14ac:dyDescent="0.3">
      <c r="A916" t="s">
        <v>35</v>
      </c>
      <c r="C916" s="16">
        <v>46175</v>
      </c>
      <c r="D916">
        <v>8808.2400000000016</v>
      </c>
    </row>
    <row r="917" spans="1:4" x14ac:dyDescent="0.3">
      <c r="A917" t="s">
        <v>193</v>
      </c>
      <c r="C917" s="16">
        <v>46175</v>
      </c>
      <c r="D917">
        <v>0</v>
      </c>
    </row>
    <row r="918" spans="1:4" x14ac:dyDescent="0.3">
      <c r="A918" t="s">
        <v>194</v>
      </c>
      <c r="C918" s="16">
        <v>46175</v>
      </c>
      <c r="D918">
        <v>0</v>
      </c>
    </row>
    <row r="919" spans="1:4" x14ac:dyDescent="0.3">
      <c r="A919" t="s">
        <v>195</v>
      </c>
      <c r="C919" s="16">
        <v>46175</v>
      </c>
      <c r="D919">
        <v>0</v>
      </c>
    </row>
    <row r="920" spans="1:4" x14ac:dyDescent="0.3">
      <c r="A920" t="s">
        <v>196</v>
      </c>
      <c r="C920" s="16">
        <v>46175</v>
      </c>
      <c r="D920">
        <v>0</v>
      </c>
    </row>
    <row r="921" spans="1:4" x14ac:dyDescent="0.3">
      <c r="A921" t="s">
        <v>197</v>
      </c>
      <c r="C921" s="16">
        <v>46175</v>
      </c>
      <c r="D921">
        <v>0</v>
      </c>
    </row>
    <row r="922" spans="1:4" x14ac:dyDescent="0.3">
      <c r="A922" t="s">
        <v>198</v>
      </c>
      <c r="C922" s="16">
        <v>46175</v>
      </c>
      <c r="D922">
        <v>0</v>
      </c>
    </row>
    <row r="923" spans="1:4" x14ac:dyDescent="0.3">
      <c r="A923" t="s">
        <v>216</v>
      </c>
      <c r="C923" s="16">
        <v>46175</v>
      </c>
      <c r="D923">
        <v>0</v>
      </c>
    </row>
    <row r="924" spans="1:4" x14ac:dyDescent="0.3">
      <c r="A924" t="s">
        <v>200</v>
      </c>
      <c r="C924" s="16">
        <v>46175</v>
      </c>
      <c r="D924">
        <v>0</v>
      </c>
    </row>
    <row r="925" spans="1:4" x14ac:dyDescent="0.3">
      <c r="A925" t="s">
        <v>201</v>
      </c>
      <c r="C925" s="16">
        <v>46175</v>
      </c>
      <c r="D925">
        <v>0</v>
      </c>
    </row>
    <row r="926" spans="1:4" x14ac:dyDescent="0.3">
      <c r="A926" t="s">
        <v>17</v>
      </c>
      <c r="C926" s="16">
        <v>46176</v>
      </c>
      <c r="D926">
        <v>983394.14000000013</v>
      </c>
    </row>
    <row r="927" spans="1:4" x14ac:dyDescent="0.3">
      <c r="A927" t="s">
        <v>18</v>
      </c>
      <c r="C927" s="16">
        <v>46176</v>
      </c>
      <c r="D927">
        <v>69376.390000000174</v>
      </c>
    </row>
    <row r="928" spans="1:4" x14ac:dyDescent="0.3">
      <c r="A928" t="s">
        <v>19</v>
      </c>
      <c r="C928" s="16">
        <v>46176</v>
      </c>
      <c r="D928">
        <v>1669.89</v>
      </c>
    </row>
    <row r="929" spans="1:4" x14ac:dyDescent="0.3">
      <c r="A929" t="s">
        <v>20</v>
      </c>
      <c r="C929" s="16">
        <v>46176</v>
      </c>
      <c r="D929">
        <v>804853.11999999988</v>
      </c>
    </row>
    <row r="930" spans="1:4" x14ac:dyDescent="0.3">
      <c r="A930" t="s">
        <v>21</v>
      </c>
      <c r="C930" s="16">
        <v>46176</v>
      </c>
      <c r="D930">
        <v>1015611.6599999993</v>
      </c>
    </row>
    <row r="931" spans="1:4" x14ac:dyDescent="0.3">
      <c r="A931" t="s">
        <v>22</v>
      </c>
      <c r="C931" s="16">
        <v>46176</v>
      </c>
      <c r="D931">
        <v>125496.38</v>
      </c>
    </row>
    <row r="932" spans="1:4" x14ac:dyDescent="0.3">
      <c r="A932" t="s">
        <v>23</v>
      </c>
      <c r="C932" s="16">
        <v>46176</v>
      </c>
      <c r="D932">
        <v>88090.37</v>
      </c>
    </row>
    <row r="933" spans="1:4" x14ac:dyDescent="0.3">
      <c r="A933" t="s">
        <v>24</v>
      </c>
      <c r="C933" s="16">
        <v>46176</v>
      </c>
      <c r="D933">
        <v>511.15999999999985</v>
      </c>
    </row>
    <row r="934" spans="1:4" x14ac:dyDescent="0.3">
      <c r="A934" t="s">
        <v>25</v>
      </c>
      <c r="C934" s="16">
        <v>46176</v>
      </c>
      <c r="D934">
        <v>84.35</v>
      </c>
    </row>
    <row r="935" spans="1:4" x14ac:dyDescent="0.3">
      <c r="A935" t="s">
        <v>26</v>
      </c>
      <c r="C935" s="16">
        <v>46176</v>
      </c>
      <c r="D935">
        <v>2237.77</v>
      </c>
    </row>
    <row r="936" spans="1:4" x14ac:dyDescent="0.3">
      <c r="A936" t="s">
        <v>27</v>
      </c>
      <c r="C936" s="16">
        <v>46176</v>
      </c>
      <c r="D936">
        <v>3349.94</v>
      </c>
    </row>
    <row r="937" spans="1:4" x14ac:dyDescent="0.3">
      <c r="A937" t="s">
        <v>28</v>
      </c>
      <c r="C937" s="16">
        <v>46176</v>
      </c>
      <c r="D937">
        <v>1968.99</v>
      </c>
    </row>
    <row r="938" spans="1:4" x14ac:dyDescent="0.3">
      <c r="A938" t="s">
        <v>29</v>
      </c>
      <c r="C938" s="16">
        <v>46176</v>
      </c>
      <c r="D938">
        <v>901.34</v>
      </c>
    </row>
    <row r="939" spans="1:4" x14ac:dyDescent="0.3">
      <c r="A939" t="s">
        <v>30</v>
      </c>
      <c r="C939" s="16">
        <v>46176</v>
      </c>
      <c r="D939">
        <v>1428.08</v>
      </c>
    </row>
    <row r="940" spans="1:4" x14ac:dyDescent="0.3">
      <c r="A940" t="s">
        <v>31</v>
      </c>
      <c r="C940" s="16">
        <v>46176</v>
      </c>
      <c r="D940">
        <v>25789.969999999961</v>
      </c>
    </row>
    <row r="941" spans="1:4" x14ac:dyDescent="0.3">
      <c r="A941" t="s">
        <v>32</v>
      </c>
      <c r="C941" s="16">
        <v>46176</v>
      </c>
      <c r="D941">
        <v>5321.4300000000021</v>
      </c>
    </row>
    <row r="942" spans="1:4" x14ac:dyDescent="0.3">
      <c r="A942" t="s">
        <v>33</v>
      </c>
      <c r="C942" s="16">
        <v>46176</v>
      </c>
      <c r="D942">
        <v>24833.23</v>
      </c>
    </row>
    <row r="943" spans="1:4" x14ac:dyDescent="0.3">
      <c r="A943" t="s">
        <v>34</v>
      </c>
      <c r="C943" s="16">
        <v>46176</v>
      </c>
      <c r="D943">
        <v>345</v>
      </c>
    </row>
    <row r="944" spans="1:4" x14ac:dyDescent="0.3">
      <c r="A944" t="s">
        <v>35</v>
      </c>
      <c r="C944" s="16">
        <v>46176</v>
      </c>
      <c r="D944">
        <v>8808.2400000000016</v>
      </c>
    </row>
    <row r="945" spans="1:4" x14ac:dyDescent="0.3">
      <c r="A945" t="s">
        <v>193</v>
      </c>
      <c r="C945" s="16">
        <v>46176</v>
      </c>
      <c r="D945">
        <v>0</v>
      </c>
    </row>
    <row r="946" spans="1:4" x14ac:dyDescent="0.3">
      <c r="A946" t="s">
        <v>194</v>
      </c>
      <c r="C946" s="16">
        <v>46176</v>
      </c>
      <c r="D946">
        <v>0</v>
      </c>
    </row>
    <row r="947" spans="1:4" x14ac:dyDescent="0.3">
      <c r="A947" t="s">
        <v>195</v>
      </c>
      <c r="C947" s="16">
        <v>46176</v>
      </c>
      <c r="D947">
        <v>0</v>
      </c>
    </row>
    <row r="948" spans="1:4" x14ac:dyDescent="0.3">
      <c r="A948" t="s">
        <v>196</v>
      </c>
      <c r="C948" s="16">
        <v>46176</v>
      </c>
      <c r="D948">
        <v>0</v>
      </c>
    </row>
    <row r="949" spans="1:4" x14ac:dyDescent="0.3">
      <c r="A949" t="s">
        <v>197</v>
      </c>
      <c r="C949" s="16">
        <v>46176</v>
      </c>
      <c r="D949">
        <v>0</v>
      </c>
    </row>
    <row r="950" spans="1:4" x14ac:dyDescent="0.3">
      <c r="A950" t="s">
        <v>198</v>
      </c>
      <c r="C950" s="16">
        <v>46176</v>
      </c>
      <c r="D950">
        <v>0</v>
      </c>
    </row>
    <row r="951" spans="1:4" x14ac:dyDescent="0.3">
      <c r="A951" t="s">
        <v>216</v>
      </c>
      <c r="C951" s="16">
        <v>46176</v>
      </c>
      <c r="D951">
        <v>0</v>
      </c>
    </row>
    <row r="952" spans="1:4" x14ac:dyDescent="0.3">
      <c r="A952" t="s">
        <v>200</v>
      </c>
      <c r="C952" s="16">
        <v>46176</v>
      </c>
      <c r="D952">
        <v>0</v>
      </c>
    </row>
    <row r="953" spans="1:4" x14ac:dyDescent="0.3">
      <c r="A953" t="s">
        <v>201</v>
      </c>
      <c r="C953" s="16">
        <v>46176</v>
      </c>
      <c r="D953">
        <v>0</v>
      </c>
    </row>
    <row r="954" spans="1:4" x14ac:dyDescent="0.3">
      <c r="A954" t="s">
        <v>17</v>
      </c>
      <c r="C954" s="16">
        <v>46177</v>
      </c>
      <c r="D954">
        <v>733394.14000000013</v>
      </c>
    </row>
    <row r="955" spans="1:4" x14ac:dyDescent="0.3">
      <c r="A955" t="s">
        <v>18</v>
      </c>
      <c r="C955" s="16">
        <v>46177</v>
      </c>
      <c r="D955">
        <v>69376.390000000174</v>
      </c>
    </row>
    <row r="956" spans="1:4" x14ac:dyDescent="0.3">
      <c r="A956" t="s">
        <v>19</v>
      </c>
      <c r="C956" s="16">
        <v>46177</v>
      </c>
      <c r="D956">
        <v>1669.89</v>
      </c>
    </row>
    <row r="957" spans="1:4" x14ac:dyDescent="0.3">
      <c r="A957" t="s">
        <v>20</v>
      </c>
      <c r="C957" s="16">
        <v>46177</v>
      </c>
      <c r="D957">
        <v>729545.23999999987</v>
      </c>
    </row>
    <row r="958" spans="1:4" x14ac:dyDescent="0.3">
      <c r="A958" t="s">
        <v>21</v>
      </c>
      <c r="C958" s="16">
        <v>46177</v>
      </c>
      <c r="D958">
        <v>1171714.4499999993</v>
      </c>
    </row>
    <row r="959" spans="1:4" x14ac:dyDescent="0.3">
      <c r="A959" t="s">
        <v>22</v>
      </c>
      <c r="C959" s="16">
        <v>46177</v>
      </c>
      <c r="D959">
        <v>116496.38</v>
      </c>
    </row>
    <row r="960" spans="1:4" x14ac:dyDescent="0.3">
      <c r="A960" t="s">
        <v>23</v>
      </c>
      <c r="C960" s="16">
        <v>46177</v>
      </c>
      <c r="D960">
        <v>88090.37</v>
      </c>
    </row>
    <row r="961" spans="1:4" x14ac:dyDescent="0.3">
      <c r="A961" t="s">
        <v>24</v>
      </c>
      <c r="C961" s="16">
        <v>46177</v>
      </c>
      <c r="D961">
        <v>511.15999999999985</v>
      </c>
    </row>
    <row r="962" spans="1:4" x14ac:dyDescent="0.3">
      <c r="A962" t="s">
        <v>25</v>
      </c>
      <c r="C962" s="16">
        <v>46177</v>
      </c>
      <c r="D962">
        <v>84.35</v>
      </c>
    </row>
    <row r="963" spans="1:4" x14ac:dyDescent="0.3">
      <c r="A963" t="s">
        <v>26</v>
      </c>
      <c r="C963" s="16">
        <v>46177</v>
      </c>
      <c r="D963">
        <v>2237.77</v>
      </c>
    </row>
    <row r="964" spans="1:4" x14ac:dyDescent="0.3">
      <c r="A964" t="s">
        <v>27</v>
      </c>
      <c r="C964" s="16">
        <v>46177</v>
      </c>
      <c r="D964">
        <v>3349.94</v>
      </c>
    </row>
    <row r="965" spans="1:4" x14ac:dyDescent="0.3">
      <c r="A965" t="s">
        <v>28</v>
      </c>
      <c r="C965" s="16">
        <v>46177</v>
      </c>
      <c r="D965">
        <v>1968.99</v>
      </c>
    </row>
    <row r="966" spans="1:4" x14ac:dyDescent="0.3">
      <c r="A966" t="s">
        <v>29</v>
      </c>
      <c r="C966" s="16">
        <v>46177</v>
      </c>
      <c r="D966">
        <v>382.69000000000005</v>
      </c>
    </row>
    <row r="967" spans="1:4" x14ac:dyDescent="0.3">
      <c r="A967" t="s">
        <v>30</v>
      </c>
      <c r="C967" s="16">
        <v>46177</v>
      </c>
      <c r="D967">
        <v>1428.08</v>
      </c>
    </row>
    <row r="968" spans="1:4" x14ac:dyDescent="0.3">
      <c r="A968" t="s">
        <v>31</v>
      </c>
      <c r="C968" s="16">
        <v>46177</v>
      </c>
      <c r="D968">
        <v>25789.969999999961</v>
      </c>
    </row>
    <row r="969" spans="1:4" x14ac:dyDescent="0.3">
      <c r="A969" t="s">
        <v>32</v>
      </c>
      <c r="C969" s="16">
        <v>46177</v>
      </c>
      <c r="D969">
        <v>5321.4300000000021</v>
      </c>
    </row>
    <row r="970" spans="1:4" x14ac:dyDescent="0.3">
      <c r="A970" t="s">
        <v>33</v>
      </c>
      <c r="C970" s="16">
        <v>46177</v>
      </c>
      <c r="D970">
        <v>24833.23</v>
      </c>
    </row>
    <row r="971" spans="1:4" x14ac:dyDescent="0.3">
      <c r="A971" t="s">
        <v>34</v>
      </c>
      <c r="C971" s="16">
        <v>46177</v>
      </c>
      <c r="D971">
        <v>345</v>
      </c>
    </row>
    <row r="972" spans="1:4" x14ac:dyDescent="0.3">
      <c r="A972" t="s">
        <v>35</v>
      </c>
      <c r="C972" s="16">
        <v>46177</v>
      </c>
      <c r="D972">
        <v>7716.0900000000038</v>
      </c>
    </row>
    <row r="973" spans="1:4" x14ac:dyDescent="0.3">
      <c r="A973" t="s">
        <v>193</v>
      </c>
      <c r="C973" s="16">
        <v>46177</v>
      </c>
      <c r="D973">
        <v>0</v>
      </c>
    </row>
    <row r="974" spans="1:4" x14ac:dyDescent="0.3">
      <c r="A974" t="s">
        <v>194</v>
      </c>
      <c r="C974" s="16">
        <v>46177</v>
      </c>
      <c r="D974">
        <v>0</v>
      </c>
    </row>
    <row r="975" spans="1:4" x14ac:dyDescent="0.3">
      <c r="A975" t="s">
        <v>195</v>
      </c>
      <c r="C975" s="16">
        <v>46177</v>
      </c>
      <c r="D975">
        <v>0</v>
      </c>
    </row>
    <row r="976" spans="1:4" x14ac:dyDescent="0.3">
      <c r="A976" t="s">
        <v>196</v>
      </c>
      <c r="C976" s="16">
        <v>46177</v>
      </c>
      <c r="D976">
        <v>0</v>
      </c>
    </row>
    <row r="977" spans="1:4" x14ac:dyDescent="0.3">
      <c r="A977" t="s">
        <v>197</v>
      </c>
      <c r="C977" s="16">
        <v>46177</v>
      </c>
      <c r="D977">
        <v>0</v>
      </c>
    </row>
    <row r="978" spans="1:4" x14ac:dyDescent="0.3">
      <c r="A978" t="s">
        <v>198</v>
      </c>
      <c r="C978" s="16">
        <v>46177</v>
      </c>
      <c r="D978">
        <v>0</v>
      </c>
    </row>
    <row r="979" spans="1:4" x14ac:dyDescent="0.3">
      <c r="A979" t="s">
        <v>216</v>
      </c>
      <c r="C979" s="16">
        <v>46177</v>
      </c>
      <c r="D979">
        <v>0</v>
      </c>
    </row>
    <row r="980" spans="1:4" x14ac:dyDescent="0.3">
      <c r="A980" t="s">
        <v>200</v>
      </c>
      <c r="C980" s="16">
        <v>46177</v>
      </c>
      <c r="D980">
        <v>0</v>
      </c>
    </row>
    <row r="981" spans="1:4" x14ac:dyDescent="0.3">
      <c r="A981" t="s">
        <v>201</v>
      </c>
      <c r="C981" s="16">
        <v>46177</v>
      </c>
      <c r="D981">
        <v>0</v>
      </c>
    </row>
    <row r="982" spans="1:4" x14ac:dyDescent="0.3">
      <c r="A982" t="s">
        <v>17</v>
      </c>
      <c r="C982" s="16">
        <v>46178</v>
      </c>
      <c r="D982">
        <v>733394.14000000013</v>
      </c>
    </row>
    <row r="983" spans="1:4" x14ac:dyDescent="0.3">
      <c r="A983" t="s">
        <v>18</v>
      </c>
      <c r="C983" s="16">
        <v>46178</v>
      </c>
      <c r="D983">
        <v>69376.390000000174</v>
      </c>
    </row>
    <row r="984" spans="1:4" x14ac:dyDescent="0.3">
      <c r="A984" t="s">
        <v>19</v>
      </c>
      <c r="C984" s="16">
        <v>46178</v>
      </c>
      <c r="D984">
        <v>1669.89</v>
      </c>
    </row>
    <row r="985" spans="1:4" x14ac:dyDescent="0.3">
      <c r="A985" t="s">
        <v>20</v>
      </c>
      <c r="C985" s="16">
        <v>46178</v>
      </c>
      <c r="D985">
        <v>729545.23999999987</v>
      </c>
    </row>
    <row r="986" spans="1:4" x14ac:dyDescent="0.3">
      <c r="A986" t="s">
        <v>21</v>
      </c>
      <c r="C986" s="16">
        <v>46178</v>
      </c>
      <c r="D986">
        <v>1164028.3199999994</v>
      </c>
    </row>
    <row r="987" spans="1:4" x14ac:dyDescent="0.3">
      <c r="A987" t="s">
        <v>22</v>
      </c>
      <c r="C987" s="16">
        <v>46178</v>
      </c>
      <c r="D987">
        <v>116496.38</v>
      </c>
    </row>
    <row r="988" spans="1:4" x14ac:dyDescent="0.3">
      <c r="A988" t="s">
        <v>23</v>
      </c>
      <c r="C988" s="16">
        <v>46178</v>
      </c>
      <c r="D988">
        <v>88090.37</v>
      </c>
    </row>
    <row r="989" spans="1:4" x14ac:dyDescent="0.3">
      <c r="A989" t="s">
        <v>24</v>
      </c>
      <c r="C989" s="16">
        <v>46178</v>
      </c>
      <c r="D989">
        <v>511.15999999999985</v>
      </c>
    </row>
    <row r="990" spans="1:4" x14ac:dyDescent="0.3">
      <c r="A990" t="s">
        <v>25</v>
      </c>
      <c r="C990" s="16">
        <v>46178</v>
      </c>
      <c r="D990">
        <v>84.35</v>
      </c>
    </row>
    <row r="991" spans="1:4" x14ac:dyDescent="0.3">
      <c r="A991" t="s">
        <v>26</v>
      </c>
      <c r="C991" s="16">
        <v>46178</v>
      </c>
      <c r="D991">
        <v>2237.77</v>
      </c>
    </row>
    <row r="992" spans="1:4" x14ac:dyDescent="0.3">
      <c r="A992" t="s">
        <v>27</v>
      </c>
      <c r="C992" s="16">
        <v>46178</v>
      </c>
      <c r="D992">
        <v>3349.94</v>
      </c>
    </row>
    <row r="993" spans="1:4" x14ac:dyDescent="0.3">
      <c r="A993" t="s">
        <v>28</v>
      </c>
      <c r="C993" s="16">
        <v>46178</v>
      </c>
      <c r="D993">
        <v>1968.99</v>
      </c>
    </row>
    <row r="994" spans="1:4" x14ac:dyDescent="0.3">
      <c r="A994" t="s">
        <v>29</v>
      </c>
      <c r="C994" s="16">
        <v>46178</v>
      </c>
      <c r="D994">
        <v>382.69000000000005</v>
      </c>
    </row>
    <row r="995" spans="1:4" x14ac:dyDescent="0.3">
      <c r="A995" t="s">
        <v>30</v>
      </c>
      <c r="C995" s="16">
        <v>46178</v>
      </c>
      <c r="D995">
        <v>1428.08</v>
      </c>
    </row>
    <row r="996" spans="1:4" x14ac:dyDescent="0.3">
      <c r="A996" t="s">
        <v>31</v>
      </c>
      <c r="C996" s="16">
        <v>46178</v>
      </c>
      <c r="D996">
        <v>25789.969999999961</v>
      </c>
    </row>
    <row r="997" spans="1:4" x14ac:dyDescent="0.3">
      <c r="A997" t="s">
        <v>32</v>
      </c>
      <c r="C997" s="16">
        <v>46178</v>
      </c>
      <c r="D997">
        <v>5321.4300000000021</v>
      </c>
    </row>
    <row r="998" spans="1:4" x14ac:dyDescent="0.3">
      <c r="A998" t="s">
        <v>33</v>
      </c>
      <c r="C998" s="16">
        <v>46178</v>
      </c>
      <c r="D998">
        <v>24833.23</v>
      </c>
    </row>
    <row r="999" spans="1:4" x14ac:dyDescent="0.3">
      <c r="A999" t="s">
        <v>34</v>
      </c>
      <c r="C999" s="16">
        <v>46178</v>
      </c>
      <c r="D999">
        <v>345</v>
      </c>
    </row>
    <row r="1000" spans="1:4" x14ac:dyDescent="0.3">
      <c r="A1000" t="s">
        <v>35</v>
      </c>
      <c r="C1000" s="16">
        <v>46178</v>
      </c>
      <c r="D1000">
        <v>7716.0900000000038</v>
      </c>
    </row>
    <row r="1001" spans="1:4" x14ac:dyDescent="0.3">
      <c r="A1001" t="s">
        <v>193</v>
      </c>
      <c r="C1001" s="16">
        <v>46178</v>
      </c>
      <c r="D1001">
        <v>0</v>
      </c>
    </row>
    <row r="1002" spans="1:4" x14ac:dyDescent="0.3">
      <c r="A1002" t="s">
        <v>194</v>
      </c>
      <c r="C1002" s="16">
        <v>46178</v>
      </c>
      <c r="D1002">
        <v>0</v>
      </c>
    </row>
    <row r="1003" spans="1:4" x14ac:dyDescent="0.3">
      <c r="A1003" t="s">
        <v>195</v>
      </c>
      <c r="C1003" s="16">
        <v>46178</v>
      </c>
      <c r="D1003">
        <v>0</v>
      </c>
    </row>
    <row r="1004" spans="1:4" x14ac:dyDescent="0.3">
      <c r="A1004" t="s">
        <v>196</v>
      </c>
      <c r="C1004" s="16">
        <v>46178</v>
      </c>
      <c r="D1004">
        <v>0</v>
      </c>
    </row>
    <row r="1005" spans="1:4" x14ac:dyDescent="0.3">
      <c r="A1005" t="s">
        <v>197</v>
      </c>
      <c r="C1005" s="16">
        <v>46178</v>
      </c>
      <c r="D1005">
        <v>0</v>
      </c>
    </row>
    <row r="1006" spans="1:4" x14ac:dyDescent="0.3">
      <c r="A1006" t="s">
        <v>198</v>
      </c>
      <c r="C1006" s="16">
        <v>46178</v>
      </c>
      <c r="D1006">
        <v>0</v>
      </c>
    </row>
    <row r="1007" spans="1:4" x14ac:dyDescent="0.3">
      <c r="A1007" t="s">
        <v>216</v>
      </c>
      <c r="C1007" s="16">
        <v>46178</v>
      </c>
      <c r="D1007">
        <v>0</v>
      </c>
    </row>
    <row r="1008" spans="1:4" x14ac:dyDescent="0.3">
      <c r="A1008" t="s">
        <v>200</v>
      </c>
      <c r="C1008" s="16">
        <v>46178</v>
      </c>
      <c r="D1008">
        <v>0</v>
      </c>
    </row>
    <row r="1009" spans="1:4" x14ac:dyDescent="0.3">
      <c r="A1009" t="s">
        <v>201</v>
      </c>
      <c r="C1009" s="16">
        <v>46178</v>
      </c>
      <c r="D1009">
        <v>0</v>
      </c>
    </row>
    <row r="1010" spans="1:4" x14ac:dyDescent="0.3">
      <c r="A1010" t="s">
        <v>17</v>
      </c>
      <c r="C1010" s="16">
        <v>46179</v>
      </c>
      <c r="D1010">
        <v>733394.14000000013</v>
      </c>
    </row>
    <row r="1011" spans="1:4" x14ac:dyDescent="0.3">
      <c r="A1011" t="s">
        <v>18</v>
      </c>
      <c r="C1011" s="16">
        <v>46179</v>
      </c>
      <c r="D1011">
        <v>69376.390000000174</v>
      </c>
    </row>
    <row r="1012" spans="1:4" x14ac:dyDescent="0.3">
      <c r="A1012" t="s">
        <v>19</v>
      </c>
      <c r="C1012" s="16">
        <v>46179</v>
      </c>
      <c r="D1012">
        <v>1669.89</v>
      </c>
    </row>
    <row r="1013" spans="1:4" x14ac:dyDescent="0.3">
      <c r="A1013" t="s">
        <v>20</v>
      </c>
      <c r="C1013" s="16">
        <v>46179</v>
      </c>
      <c r="D1013">
        <v>729545.23999999987</v>
      </c>
    </row>
    <row r="1014" spans="1:4" x14ac:dyDescent="0.3">
      <c r="A1014" t="s">
        <v>21</v>
      </c>
      <c r="C1014" s="16">
        <v>46179</v>
      </c>
      <c r="D1014">
        <v>1164028.3199999994</v>
      </c>
    </row>
    <row r="1015" spans="1:4" x14ac:dyDescent="0.3">
      <c r="A1015" t="s">
        <v>22</v>
      </c>
      <c r="C1015" s="16">
        <v>46179</v>
      </c>
      <c r="D1015">
        <v>116496.38</v>
      </c>
    </row>
    <row r="1016" spans="1:4" x14ac:dyDescent="0.3">
      <c r="A1016" t="s">
        <v>23</v>
      </c>
      <c r="C1016" s="16">
        <v>46179</v>
      </c>
      <c r="D1016">
        <v>88090.37</v>
      </c>
    </row>
    <row r="1017" spans="1:4" x14ac:dyDescent="0.3">
      <c r="A1017" t="s">
        <v>24</v>
      </c>
      <c r="C1017" s="16">
        <v>46179</v>
      </c>
      <c r="D1017">
        <v>511.15999999999985</v>
      </c>
    </row>
    <row r="1018" spans="1:4" x14ac:dyDescent="0.3">
      <c r="A1018" t="s">
        <v>25</v>
      </c>
      <c r="C1018" s="16">
        <v>46179</v>
      </c>
      <c r="D1018">
        <v>84.35</v>
      </c>
    </row>
    <row r="1019" spans="1:4" x14ac:dyDescent="0.3">
      <c r="A1019" t="s">
        <v>26</v>
      </c>
      <c r="C1019" s="16">
        <v>46179</v>
      </c>
      <c r="D1019">
        <v>2237.77</v>
      </c>
    </row>
    <row r="1020" spans="1:4" x14ac:dyDescent="0.3">
      <c r="A1020" t="s">
        <v>27</v>
      </c>
      <c r="C1020" s="16">
        <v>46179</v>
      </c>
      <c r="D1020">
        <v>3349.94</v>
      </c>
    </row>
    <row r="1021" spans="1:4" x14ac:dyDescent="0.3">
      <c r="A1021" t="s">
        <v>28</v>
      </c>
      <c r="C1021" s="16">
        <v>46179</v>
      </c>
      <c r="D1021">
        <v>1968.99</v>
      </c>
    </row>
    <row r="1022" spans="1:4" x14ac:dyDescent="0.3">
      <c r="A1022" t="s">
        <v>29</v>
      </c>
      <c r="C1022" s="16">
        <v>46179</v>
      </c>
      <c r="D1022">
        <v>382.69000000000005</v>
      </c>
    </row>
    <row r="1023" spans="1:4" x14ac:dyDescent="0.3">
      <c r="A1023" t="s">
        <v>30</v>
      </c>
      <c r="C1023" s="16">
        <v>46179</v>
      </c>
      <c r="D1023">
        <v>1428.08</v>
      </c>
    </row>
    <row r="1024" spans="1:4" x14ac:dyDescent="0.3">
      <c r="A1024" t="s">
        <v>31</v>
      </c>
      <c r="C1024" s="16">
        <v>46179</v>
      </c>
      <c r="D1024">
        <v>25789.969999999961</v>
      </c>
    </row>
    <row r="1025" spans="1:4" x14ac:dyDescent="0.3">
      <c r="A1025" t="s">
        <v>32</v>
      </c>
      <c r="C1025" s="16">
        <v>46179</v>
      </c>
      <c r="D1025">
        <v>5321.4300000000021</v>
      </c>
    </row>
    <row r="1026" spans="1:4" x14ac:dyDescent="0.3">
      <c r="A1026" t="s">
        <v>33</v>
      </c>
      <c r="C1026" s="16">
        <v>46179</v>
      </c>
      <c r="D1026">
        <v>24833.23</v>
      </c>
    </row>
    <row r="1027" spans="1:4" x14ac:dyDescent="0.3">
      <c r="A1027" t="s">
        <v>34</v>
      </c>
      <c r="C1027" s="16">
        <v>46179</v>
      </c>
      <c r="D1027">
        <v>345</v>
      </c>
    </row>
    <row r="1028" spans="1:4" x14ac:dyDescent="0.3">
      <c r="A1028" t="s">
        <v>35</v>
      </c>
      <c r="C1028" s="16">
        <v>46179</v>
      </c>
      <c r="D1028">
        <v>7716.0900000000038</v>
      </c>
    </row>
    <row r="1029" spans="1:4" x14ac:dyDescent="0.3">
      <c r="A1029" t="s">
        <v>193</v>
      </c>
      <c r="C1029" s="16">
        <v>46179</v>
      </c>
      <c r="D1029">
        <v>0</v>
      </c>
    </row>
    <row r="1030" spans="1:4" x14ac:dyDescent="0.3">
      <c r="A1030" t="s">
        <v>194</v>
      </c>
      <c r="C1030" s="16">
        <v>46179</v>
      </c>
      <c r="D1030">
        <v>0</v>
      </c>
    </row>
    <row r="1031" spans="1:4" x14ac:dyDescent="0.3">
      <c r="A1031" t="s">
        <v>195</v>
      </c>
      <c r="C1031" s="16">
        <v>46179</v>
      </c>
      <c r="D1031">
        <v>0</v>
      </c>
    </row>
    <row r="1032" spans="1:4" x14ac:dyDescent="0.3">
      <c r="A1032" t="s">
        <v>196</v>
      </c>
      <c r="C1032" s="16">
        <v>46179</v>
      </c>
      <c r="D1032">
        <v>0</v>
      </c>
    </row>
    <row r="1033" spans="1:4" x14ac:dyDescent="0.3">
      <c r="A1033" t="s">
        <v>197</v>
      </c>
      <c r="C1033" s="16">
        <v>46179</v>
      </c>
      <c r="D1033">
        <v>0</v>
      </c>
    </row>
    <row r="1034" spans="1:4" x14ac:dyDescent="0.3">
      <c r="A1034" t="s">
        <v>198</v>
      </c>
      <c r="C1034" s="16">
        <v>46179</v>
      </c>
      <c r="D1034">
        <v>0</v>
      </c>
    </row>
    <row r="1035" spans="1:4" x14ac:dyDescent="0.3">
      <c r="A1035" t="s">
        <v>216</v>
      </c>
      <c r="C1035" s="16">
        <v>46179</v>
      </c>
      <c r="D1035">
        <v>0</v>
      </c>
    </row>
    <row r="1036" spans="1:4" x14ac:dyDescent="0.3">
      <c r="A1036" t="s">
        <v>200</v>
      </c>
      <c r="C1036" s="16">
        <v>46179</v>
      </c>
      <c r="D1036">
        <v>0</v>
      </c>
    </row>
    <row r="1037" spans="1:4" x14ac:dyDescent="0.3">
      <c r="A1037" t="s">
        <v>201</v>
      </c>
      <c r="C1037" s="16">
        <v>46179</v>
      </c>
      <c r="D1037">
        <v>0</v>
      </c>
    </row>
    <row r="1038" spans="1:4" x14ac:dyDescent="0.3">
      <c r="A1038" t="s">
        <v>17</v>
      </c>
      <c r="C1038" s="16">
        <v>46180</v>
      </c>
      <c r="D1038">
        <v>733394.14000000013</v>
      </c>
    </row>
    <row r="1039" spans="1:4" x14ac:dyDescent="0.3">
      <c r="A1039" t="s">
        <v>18</v>
      </c>
      <c r="C1039" s="16">
        <v>46180</v>
      </c>
      <c r="D1039">
        <v>69376.390000000174</v>
      </c>
    </row>
    <row r="1040" spans="1:4" x14ac:dyDescent="0.3">
      <c r="A1040" t="s">
        <v>19</v>
      </c>
      <c r="C1040" s="16">
        <v>46180</v>
      </c>
      <c r="D1040">
        <v>1669.89</v>
      </c>
    </row>
    <row r="1041" spans="1:4" x14ac:dyDescent="0.3">
      <c r="A1041" t="s">
        <v>20</v>
      </c>
      <c r="C1041" s="16">
        <v>46180</v>
      </c>
      <c r="D1041">
        <v>729545.23999999987</v>
      </c>
    </row>
    <row r="1042" spans="1:4" x14ac:dyDescent="0.3">
      <c r="A1042" t="s">
        <v>21</v>
      </c>
      <c r="C1042" s="16">
        <v>46180</v>
      </c>
      <c r="D1042">
        <v>1164028.3199999994</v>
      </c>
    </row>
    <row r="1043" spans="1:4" x14ac:dyDescent="0.3">
      <c r="A1043" t="s">
        <v>22</v>
      </c>
      <c r="C1043" s="16">
        <v>46180</v>
      </c>
      <c r="D1043">
        <v>116496.38</v>
      </c>
    </row>
    <row r="1044" spans="1:4" x14ac:dyDescent="0.3">
      <c r="A1044" t="s">
        <v>23</v>
      </c>
      <c r="C1044" s="16">
        <v>46180</v>
      </c>
      <c r="D1044">
        <v>88090.37</v>
      </c>
    </row>
    <row r="1045" spans="1:4" x14ac:dyDescent="0.3">
      <c r="A1045" t="s">
        <v>24</v>
      </c>
      <c r="C1045" s="16">
        <v>46180</v>
      </c>
      <c r="D1045">
        <v>511.15999999999985</v>
      </c>
    </row>
    <row r="1046" spans="1:4" x14ac:dyDescent="0.3">
      <c r="A1046" t="s">
        <v>25</v>
      </c>
      <c r="C1046" s="16">
        <v>46180</v>
      </c>
      <c r="D1046">
        <v>84.35</v>
      </c>
    </row>
    <row r="1047" spans="1:4" x14ac:dyDescent="0.3">
      <c r="A1047" t="s">
        <v>26</v>
      </c>
      <c r="C1047" s="16">
        <v>46180</v>
      </c>
      <c r="D1047">
        <v>2237.77</v>
      </c>
    </row>
    <row r="1048" spans="1:4" x14ac:dyDescent="0.3">
      <c r="A1048" t="s">
        <v>27</v>
      </c>
      <c r="C1048" s="16">
        <v>46180</v>
      </c>
      <c r="D1048">
        <v>3349.94</v>
      </c>
    </row>
    <row r="1049" spans="1:4" x14ac:dyDescent="0.3">
      <c r="A1049" t="s">
        <v>28</v>
      </c>
      <c r="C1049" s="16">
        <v>46180</v>
      </c>
      <c r="D1049">
        <v>1968.99</v>
      </c>
    </row>
    <row r="1050" spans="1:4" x14ac:dyDescent="0.3">
      <c r="A1050" t="s">
        <v>29</v>
      </c>
      <c r="C1050" s="16">
        <v>46180</v>
      </c>
      <c r="D1050">
        <v>382.69000000000005</v>
      </c>
    </row>
    <row r="1051" spans="1:4" x14ac:dyDescent="0.3">
      <c r="A1051" t="s">
        <v>30</v>
      </c>
      <c r="C1051" s="16">
        <v>46180</v>
      </c>
      <c r="D1051">
        <v>1428.08</v>
      </c>
    </row>
    <row r="1052" spans="1:4" x14ac:dyDescent="0.3">
      <c r="A1052" t="s">
        <v>31</v>
      </c>
      <c r="C1052" s="16">
        <v>46180</v>
      </c>
      <c r="D1052">
        <v>25789.969999999961</v>
      </c>
    </row>
    <row r="1053" spans="1:4" x14ac:dyDescent="0.3">
      <c r="A1053" t="s">
        <v>32</v>
      </c>
      <c r="C1053" s="16">
        <v>46180</v>
      </c>
      <c r="D1053">
        <v>5321.4300000000021</v>
      </c>
    </row>
    <row r="1054" spans="1:4" x14ac:dyDescent="0.3">
      <c r="A1054" t="s">
        <v>33</v>
      </c>
      <c r="C1054" s="16">
        <v>46180</v>
      </c>
      <c r="D1054">
        <v>24833.23</v>
      </c>
    </row>
    <row r="1055" spans="1:4" x14ac:dyDescent="0.3">
      <c r="A1055" t="s">
        <v>34</v>
      </c>
      <c r="C1055" s="16">
        <v>46180</v>
      </c>
      <c r="D1055">
        <v>345</v>
      </c>
    </row>
    <row r="1056" spans="1:4" x14ac:dyDescent="0.3">
      <c r="A1056" t="s">
        <v>35</v>
      </c>
      <c r="C1056" s="16">
        <v>46180</v>
      </c>
      <c r="D1056">
        <v>7716.0900000000038</v>
      </c>
    </row>
    <row r="1057" spans="1:4" x14ac:dyDescent="0.3">
      <c r="A1057" t="s">
        <v>193</v>
      </c>
      <c r="C1057" s="16">
        <v>46180</v>
      </c>
      <c r="D1057">
        <v>0</v>
      </c>
    </row>
    <row r="1058" spans="1:4" x14ac:dyDescent="0.3">
      <c r="A1058" t="s">
        <v>194</v>
      </c>
      <c r="C1058" s="16">
        <v>46180</v>
      </c>
      <c r="D1058">
        <v>0</v>
      </c>
    </row>
    <row r="1059" spans="1:4" x14ac:dyDescent="0.3">
      <c r="A1059" t="s">
        <v>195</v>
      </c>
      <c r="C1059" s="16">
        <v>46180</v>
      </c>
      <c r="D1059">
        <v>0</v>
      </c>
    </row>
    <row r="1060" spans="1:4" x14ac:dyDescent="0.3">
      <c r="A1060" t="s">
        <v>196</v>
      </c>
      <c r="C1060" s="16">
        <v>46180</v>
      </c>
      <c r="D1060">
        <v>0</v>
      </c>
    </row>
    <row r="1061" spans="1:4" x14ac:dyDescent="0.3">
      <c r="A1061" t="s">
        <v>197</v>
      </c>
      <c r="C1061" s="16">
        <v>46180</v>
      </c>
      <c r="D1061">
        <v>0</v>
      </c>
    </row>
    <row r="1062" spans="1:4" x14ac:dyDescent="0.3">
      <c r="A1062" t="s">
        <v>198</v>
      </c>
      <c r="C1062" s="16">
        <v>46180</v>
      </c>
      <c r="D1062">
        <v>0</v>
      </c>
    </row>
    <row r="1063" spans="1:4" x14ac:dyDescent="0.3">
      <c r="A1063" t="s">
        <v>216</v>
      </c>
      <c r="C1063" s="16">
        <v>46180</v>
      </c>
      <c r="D1063">
        <v>0</v>
      </c>
    </row>
    <row r="1064" spans="1:4" x14ac:dyDescent="0.3">
      <c r="A1064" t="s">
        <v>200</v>
      </c>
      <c r="C1064" s="16">
        <v>46180</v>
      </c>
      <c r="D1064">
        <v>0</v>
      </c>
    </row>
    <row r="1065" spans="1:4" x14ac:dyDescent="0.3">
      <c r="A1065" t="s">
        <v>201</v>
      </c>
      <c r="C1065" s="16">
        <v>46180</v>
      </c>
      <c r="D1065">
        <v>0</v>
      </c>
    </row>
    <row r="1066" spans="1:4" x14ac:dyDescent="0.3">
      <c r="A1066" t="s">
        <v>17</v>
      </c>
      <c r="C1066" s="16">
        <v>46181</v>
      </c>
      <c r="D1066">
        <v>733394.14000000013</v>
      </c>
    </row>
    <row r="1067" spans="1:4" x14ac:dyDescent="0.3">
      <c r="A1067" t="s">
        <v>18</v>
      </c>
      <c r="C1067" s="16">
        <v>46181</v>
      </c>
      <c r="D1067">
        <v>69376.390000000174</v>
      </c>
    </row>
    <row r="1068" spans="1:4" x14ac:dyDescent="0.3">
      <c r="A1068" t="s">
        <v>19</v>
      </c>
      <c r="C1068" s="16">
        <v>46181</v>
      </c>
      <c r="D1068">
        <v>1669.89</v>
      </c>
    </row>
    <row r="1069" spans="1:4" x14ac:dyDescent="0.3">
      <c r="A1069" t="s">
        <v>20</v>
      </c>
      <c r="C1069" s="16">
        <v>46181</v>
      </c>
      <c r="D1069">
        <v>729545.23999999987</v>
      </c>
    </row>
    <row r="1070" spans="1:4" x14ac:dyDescent="0.3">
      <c r="A1070" t="s">
        <v>21</v>
      </c>
      <c r="C1070" s="16">
        <v>46181</v>
      </c>
      <c r="D1070">
        <v>1164028.3199999994</v>
      </c>
    </row>
    <row r="1071" spans="1:4" x14ac:dyDescent="0.3">
      <c r="A1071" t="s">
        <v>22</v>
      </c>
      <c r="C1071" s="16">
        <v>46181</v>
      </c>
      <c r="D1071">
        <v>116496.38</v>
      </c>
    </row>
    <row r="1072" spans="1:4" x14ac:dyDescent="0.3">
      <c r="A1072" t="s">
        <v>23</v>
      </c>
      <c r="C1072" s="16">
        <v>46181</v>
      </c>
      <c r="D1072">
        <v>88090.37</v>
      </c>
    </row>
    <row r="1073" spans="1:4" x14ac:dyDescent="0.3">
      <c r="A1073" t="s">
        <v>24</v>
      </c>
      <c r="C1073" s="16">
        <v>46181</v>
      </c>
      <c r="D1073">
        <v>511.15999999999985</v>
      </c>
    </row>
    <row r="1074" spans="1:4" x14ac:dyDescent="0.3">
      <c r="A1074" t="s">
        <v>25</v>
      </c>
      <c r="C1074" s="16">
        <v>46181</v>
      </c>
      <c r="D1074">
        <v>84.35</v>
      </c>
    </row>
    <row r="1075" spans="1:4" x14ac:dyDescent="0.3">
      <c r="A1075" t="s">
        <v>26</v>
      </c>
      <c r="C1075" s="16">
        <v>46181</v>
      </c>
      <c r="D1075">
        <v>2237.77</v>
      </c>
    </row>
    <row r="1076" spans="1:4" x14ac:dyDescent="0.3">
      <c r="A1076" t="s">
        <v>27</v>
      </c>
      <c r="C1076" s="16">
        <v>46181</v>
      </c>
      <c r="D1076">
        <v>3349.94</v>
      </c>
    </row>
    <row r="1077" spans="1:4" x14ac:dyDescent="0.3">
      <c r="A1077" t="s">
        <v>28</v>
      </c>
      <c r="C1077" s="16">
        <v>46181</v>
      </c>
      <c r="D1077">
        <v>1968.99</v>
      </c>
    </row>
    <row r="1078" spans="1:4" x14ac:dyDescent="0.3">
      <c r="A1078" t="s">
        <v>29</v>
      </c>
      <c r="C1078" s="16">
        <v>46181</v>
      </c>
      <c r="D1078">
        <v>382.69000000000005</v>
      </c>
    </row>
    <row r="1079" spans="1:4" x14ac:dyDescent="0.3">
      <c r="A1079" t="s">
        <v>30</v>
      </c>
      <c r="C1079" s="16">
        <v>46181</v>
      </c>
      <c r="D1079">
        <v>1428.08</v>
      </c>
    </row>
    <row r="1080" spans="1:4" x14ac:dyDescent="0.3">
      <c r="A1080" t="s">
        <v>31</v>
      </c>
      <c r="C1080" s="16">
        <v>46181</v>
      </c>
      <c r="D1080">
        <v>25789.969999999961</v>
      </c>
    </row>
    <row r="1081" spans="1:4" x14ac:dyDescent="0.3">
      <c r="A1081" t="s">
        <v>32</v>
      </c>
      <c r="C1081" s="16">
        <v>46181</v>
      </c>
      <c r="D1081">
        <v>5321.4300000000021</v>
      </c>
    </row>
    <row r="1082" spans="1:4" x14ac:dyDescent="0.3">
      <c r="A1082" t="s">
        <v>33</v>
      </c>
      <c r="C1082" s="16">
        <v>46181</v>
      </c>
      <c r="D1082">
        <v>24833.23</v>
      </c>
    </row>
    <row r="1083" spans="1:4" x14ac:dyDescent="0.3">
      <c r="A1083" t="s">
        <v>34</v>
      </c>
      <c r="C1083" s="16">
        <v>46181</v>
      </c>
      <c r="D1083">
        <v>345</v>
      </c>
    </row>
    <row r="1084" spans="1:4" x14ac:dyDescent="0.3">
      <c r="A1084" t="s">
        <v>35</v>
      </c>
      <c r="C1084" s="16">
        <v>46181</v>
      </c>
      <c r="D1084">
        <v>6744.5000000000036</v>
      </c>
    </row>
    <row r="1085" spans="1:4" x14ac:dyDescent="0.3">
      <c r="A1085" t="s">
        <v>193</v>
      </c>
      <c r="C1085" s="16">
        <v>46181</v>
      </c>
      <c r="D1085">
        <v>0</v>
      </c>
    </row>
    <row r="1086" spans="1:4" x14ac:dyDescent="0.3">
      <c r="A1086" t="s">
        <v>194</v>
      </c>
      <c r="C1086" s="16">
        <v>46181</v>
      </c>
      <c r="D1086">
        <v>0</v>
      </c>
    </row>
    <row r="1087" spans="1:4" x14ac:dyDescent="0.3">
      <c r="A1087" t="s">
        <v>195</v>
      </c>
      <c r="C1087" s="16">
        <v>46181</v>
      </c>
      <c r="D1087">
        <v>0</v>
      </c>
    </row>
    <row r="1088" spans="1:4" x14ac:dyDescent="0.3">
      <c r="A1088" t="s">
        <v>196</v>
      </c>
      <c r="C1088" s="16">
        <v>46181</v>
      </c>
      <c r="D1088">
        <v>0</v>
      </c>
    </row>
    <row r="1089" spans="1:4" x14ac:dyDescent="0.3">
      <c r="A1089" t="s">
        <v>197</v>
      </c>
      <c r="C1089" s="16">
        <v>46181</v>
      </c>
      <c r="D1089">
        <v>0</v>
      </c>
    </row>
    <row r="1090" spans="1:4" x14ac:dyDescent="0.3">
      <c r="A1090" t="s">
        <v>198</v>
      </c>
      <c r="C1090" s="16">
        <v>46181</v>
      </c>
      <c r="D1090">
        <v>0</v>
      </c>
    </row>
    <row r="1091" spans="1:4" x14ac:dyDescent="0.3">
      <c r="A1091" t="s">
        <v>216</v>
      </c>
      <c r="C1091" s="16">
        <v>46181</v>
      </c>
      <c r="D1091">
        <v>0</v>
      </c>
    </row>
    <row r="1092" spans="1:4" x14ac:dyDescent="0.3">
      <c r="A1092" t="s">
        <v>200</v>
      </c>
      <c r="C1092" s="16">
        <v>46181</v>
      </c>
      <c r="D1092">
        <v>0</v>
      </c>
    </row>
    <row r="1093" spans="1:4" x14ac:dyDescent="0.3">
      <c r="A1093" t="s">
        <v>201</v>
      </c>
      <c r="C1093" s="16">
        <v>46181</v>
      </c>
      <c r="D1093">
        <v>0</v>
      </c>
    </row>
    <row r="1094" spans="1:4" x14ac:dyDescent="0.3">
      <c r="A1094" t="s">
        <v>17</v>
      </c>
      <c r="C1094" s="16">
        <v>46182</v>
      </c>
      <c r="D1094">
        <v>847381.29000000015</v>
      </c>
    </row>
    <row r="1095" spans="1:4" x14ac:dyDescent="0.3">
      <c r="A1095" t="s">
        <v>18</v>
      </c>
      <c r="C1095" s="16">
        <v>46182</v>
      </c>
      <c r="D1095">
        <v>69376.390000000174</v>
      </c>
    </row>
    <row r="1096" spans="1:4" x14ac:dyDescent="0.3">
      <c r="A1096" t="s">
        <v>19</v>
      </c>
      <c r="C1096" s="16">
        <v>46182</v>
      </c>
      <c r="D1096">
        <v>1669.89</v>
      </c>
    </row>
    <row r="1097" spans="1:4" x14ac:dyDescent="0.3">
      <c r="A1097" t="s">
        <v>20</v>
      </c>
      <c r="C1097" s="16">
        <v>46182</v>
      </c>
      <c r="D1097">
        <v>729545.23999999987</v>
      </c>
    </row>
    <row r="1098" spans="1:4" x14ac:dyDescent="0.3">
      <c r="A1098" t="s">
        <v>21</v>
      </c>
      <c r="C1098" s="16">
        <v>46182</v>
      </c>
      <c r="D1098">
        <v>1160274.0499999993</v>
      </c>
    </row>
    <row r="1099" spans="1:4" x14ac:dyDescent="0.3">
      <c r="A1099" t="s">
        <v>22</v>
      </c>
      <c r="C1099" s="16">
        <v>46182</v>
      </c>
      <c r="D1099">
        <v>116496.38</v>
      </c>
    </row>
    <row r="1100" spans="1:4" x14ac:dyDescent="0.3">
      <c r="A1100" t="s">
        <v>23</v>
      </c>
      <c r="C1100" s="16">
        <v>46182</v>
      </c>
      <c r="D1100">
        <v>88090.37</v>
      </c>
    </row>
    <row r="1101" spans="1:4" x14ac:dyDescent="0.3">
      <c r="A1101" t="s">
        <v>24</v>
      </c>
      <c r="C1101" s="16">
        <v>46182</v>
      </c>
      <c r="D1101">
        <v>511.15999999999985</v>
      </c>
    </row>
    <row r="1102" spans="1:4" x14ac:dyDescent="0.3">
      <c r="A1102" t="s">
        <v>25</v>
      </c>
      <c r="C1102" s="16">
        <v>46182</v>
      </c>
      <c r="D1102">
        <v>84.35</v>
      </c>
    </row>
    <row r="1103" spans="1:4" x14ac:dyDescent="0.3">
      <c r="A1103" t="s">
        <v>26</v>
      </c>
      <c r="C1103" s="16">
        <v>46182</v>
      </c>
      <c r="D1103">
        <v>2237.77</v>
      </c>
    </row>
    <row r="1104" spans="1:4" x14ac:dyDescent="0.3">
      <c r="A1104" t="s">
        <v>27</v>
      </c>
      <c r="C1104" s="16">
        <v>46182</v>
      </c>
      <c r="D1104">
        <v>3349.94</v>
      </c>
    </row>
    <row r="1105" spans="1:4" x14ac:dyDescent="0.3">
      <c r="A1105" t="s">
        <v>28</v>
      </c>
      <c r="C1105" s="16">
        <v>46182</v>
      </c>
      <c r="D1105">
        <v>1968.99</v>
      </c>
    </row>
    <row r="1106" spans="1:4" x14ac:dyDescent="0.3">
      <c r="A1106" t="s">
        <v>29</v>
      </c>
      <c r="C1106" s="16">
        <v>46182</v>
      </c>
      <c r="D1106">
        <v>382.69000000000005</v>
      </c>
    </row>
    <row r="1107" spans="1:4" x14ac:dyDescent="0.3">
      <c r="A1107" t="s">
        <v>30</v>
      </c>
      <c r="C1107" s="16">
        <v>46182</v>
      </c>
      <c r="D1107">
        <v>1428.08</v>
      </c>
    </row>
    <row r="1108" spans="1:4" x14ac:dyDescent="0.3">
      <c r="A1108" t="s">
        <v>31</v>
      </c>
      <c r="C1108" s="16">
        <v>46182</v>
      </c>
      <c r="D1108">
        <v>25789.969999999961</v>
      </c>
    </row>
    <row r="1109" spans="1:4" x14ac:dyDescent="0.3">
      <c r="A1109" t="s">
        <v>32</v>
      </c>
      <c r="C1109" s="16">
        <v>46182</v>
      </c>
      <c r="D1109">
        <v>5321.4300000000021</v>
      </c>
    </row>
    <row r="1110" spans="1:4" x14ac:dyDescent="0.3">
      <c r="A1110" t="s">
        <v>33</v>
      </c>
      <c r="C1110" s="16">
        <v>46182</v>
      </c>
      <c r="D1110">
        <v>24833.23</v>
      </c>
    </row>
    <row r="1111" spans="1:4" x14ac:dyDescent="0.3">
      <c r="A1111" t="s">
        <v>34</v>
      </c>
      <c r="C1111" s="16">
        <v>46182</v>
      </c>
      <c r="D1111">
        <v>345</v>
      </c>
    </row>
    <row r="1112" spans="1:4" x14ac:dyDescent="0.3">
      <c r="A1112" t="s">
        <v>35</v>
      </c>
      <c r="C1112" s="16">
        <v>46182</v>
      </c>
      <c r="D1112">
        <v>6583.0800000000036</v>
      </c>
    </row>
    <row r="1113" spans="1:4" x14ac:dyDescent="0.3">
      <c r="A1113" t="s">
        <v>193</v>
      </c>
      <c r="C1113" s="16">
        <v>46182</v>
      </c>
      <c r="D1113">
        <v>0</v>
      </c>
    </row>
    <row r="1114" spans="1:4" x14ac:dyDescent="0.3">
      <c r="A1114" t="s">
        <v>194</v>
      </c>
      <c r="C1114" s="16">
        <v>46182</v>
      </c>
      <c r="D1114">
        <v>0</v>
      </c>
    </row>
    <row r="1115" spans="1:4" x14ac:dyDescent="0.3">
      <c r="A1115" t="s">
        <v>195</v>
      </c>
      <c r="C1115" s="16">
        <v>46182</v>
      </c>
      <c r="D1115">
        <v>0</v>
      </c>
    </row>
    <row r="1116" spans="1:4" x14ac:dyDescent="0.3">
      <c r="A1116" t="s">
        <v>196</v>
      </c>
      <c r="C1116" s="16">
        <v>46182</v>
      </c>
      <c r="D1116">
        <v>0</v>
      </c>
    </row>
    <row r="1117" spans="1:4" x14ac:dyDescent="0.3">
      <c r="A1117" t="s">
        <v>197</v>
      </c>
      <c r="C1117" s="16">
        <v>46182</v>
      </c>
      <c r="D1117">
        <v>0</v>
      </c>
    </row>
    <row r="1118" spans="1:4" x14ac:dyDescent="0.3">
      <c r="A1118" t="s">
        <v>198</v>
      </c>
      <c r="C1118" s="16">
        <v>46182</v>
      </c>
      <c r="D1118">
        <v>0</v>
      </c>
    </row>
    <row r="1119" spans="1:4" x14ac:dyDescent="0.3">
      <c r="A1119" t="s">
        <v>216</v>
      </c>
      <c r="C1119" s="16">
        <v>46182</v>
      </c>
      <c r="D1119">
        <v>0</v>
      </c>
    </row>
    <row r="1120" spans="1:4" x14ac:dyDescent="0.3">
      <c r="A1120" t="s">
        <v>200</v>
      </c>
      <c r="C1120" s="16">
        <v>46182</v>
      </c>
      <c r="D1120">
        <v>0</v>
      </c>
    </row>
    <row r="1121" spans="1:4" x14ac:dyDescent="0.3">
      <c r="A1121" t="s">
        <v>201</v>
      </c>
      <c r="C1121" s="16">
        <v>46182</v>
      </c>
      <c r="D1121">
        <v>0</v>
      </c>
    </row>
    <row r="1122" spans="1:4" x14ac:dyDescent="0.3">
      <c r="A1122" t="s">
        <v>17</v>
      </c>
      <c r="C1122" s="16">
        <v>46183</v>
      </c>
      <c r="D1122">
        <v>2288745.9500000002</v>
      </c>
    </row>
    <row r="1123" spans="1:4" x14ac:dyDescent="0.3">
      <c r="A1123" t="s">
        <v>18</v>
      </c>
      <c r="C1123" s="16">
        <v>46183</v>
      </c>
      <c r="D1123">
        <v>69376.390000000174</v>
      </c>
    </row>
    <row r="1124" spans="1:4" x14ac:dyDescent="0.3">
      <c r="A1124" t="s">
        <v>19</v>
      </c>
      <c r="C1124" s="16">
        <v>46183</v>
      </c>
      <c r="D1124">
        <v>1669.89</v>
      </c>
    </row>
    <row r="1125" spans="1:4" x14ac:dyDescent="0.3">
      <c r="A1125" t="s">
        <v>20</v>
      </c>
      <c r="C1125" s="16">
        <v>46183</v>
      </c>
      <c r="D1125">
        <v>744306.80999999982</v>
      </c>
    </row>
    <row r="1126" spans="1:4" x14ac:dyDescent="0.3">
      <c r="A1126" t="s">
        <v>21</v>
      </c>
      <c r="C1126" s="16">
        <v>46183</v>
      </c>
      <c r="D1126">
        <v>1160274.0499999993</v>
      </c>
    </row>
    <row r="1127" spans="1:4" x14ac:dyDescent="0.3">
      <c r="A1127" t="s">
        <v>22</v>
      </c>
      <c r="C1127" s="16">
        <v>46183</v>
      </c>
      <c r="D1127">
        <v>116496.38</v>
      </c>
    </row>
    <row r="1128" spans="1:4" x14ac:dyDescent="0.3">
      <c r="A1128" t="s">
        <v>23</v>
      </c>
      <c r="C1128" s="16">
        <v>46183</v>
      </c>
      <c r="D1128">
        <v>88090.37</v>
      </c>
    </row>
    <row r="1129" spans="1:4" x14ac:dyDescent="0.3">
      <c r="A1129" t="s">
        <v>24</v>
      </c>
      <c r="C1129" s="16">
        <v>46183</v>
      </c>
      <c r="D1129">
        <v>511.15999999999985</v>
      </c>
    </row>
    <row r="1130" spans="1:4" x14ac:dyDescent="0.3">
      <c r="A1130" t="s">
        <v>25</v>
      </c>
      <c r="C1130" s="16">
        <v>46183</v>
      </c>
      <c r="D1130">
        <v>84.35</v>
      </c>
    </row>
    <row r="1131" spans="1:4" x14ac:dyDescent="0.3">
      <c r="A1131" t="s">
        <v>26</v>
      </c>
      <c r="C1131" s="16">
        <v>46183</v>
      </c>
      <c r="D1131">
        <v>2237.77</v>
      </c>
    </row>
    <row r="1132" spans="1:4" x14ac:dyDescent="0.3">
      <c r="A1132" t="s">
        <v>27</v>
      </c>
      <c r="C1132" s="16">
        <v>46183</v>
      </c>
      <c r="D1132">
        <v>3349.94</v>
      </c>
    </row>
    <row r="1133" spans="1:4" x14ac:dyDescent="0.3">
      <c r="A1133" t="s">
        <v>28</v>
      </c>
      <c r="C1133" s="16">
        <v>46183</v>
      </c>
      <c r="D1133">
        <v>1968.99</v>
      </c>
    </row>
    <row r="1134" spans="1:4" x14ac:dyDescent="0.3">
      <c r="A1134" t="s">
        <v>29</v>
      </c>
      <c r="C1134" s="16">
        <v>46183</v>
      </c>
      <c r="D1134">
        <v>382.69000000000005</v>
      </c>
    </row>
    <row r="1135" spans="1:4" x14ac:dyDescent="0.3">
      <c r="A1135" t="s">
        <v>30</v>
      </c>
      <c r="C1135" s="16">
        <v>46183</v>
      </c>
      <c r="D1135">
        <v>1428.08</v>
      </c>
    </row>
    <row r="1136" spans="1:4" x14ac:dyDescent="0.3">
      <c r="A1136" t="s">
        <v>31</v>
      </c>
      <c r="C1136" s="16">
        <v>46183</v>
      </c>
      <c r="D1136">
        <v>25789.969999999961</v>
      </c>
    </row>
    <row r="1137" spans="1:4" x14ac:dyDescent="0.3">
      <c r="A1137" t="s">
        <v>32</v>
      </c>
      <c r="C1137" s="16">
        <v>46183</v>
      </c>
      <c r="D1137">
        <v>5321.4300000000021</v>
      </c>
    </row>
    <row r="1138" spans="1:4" x14ac:dyDescent="0.3">
      <c r="A1138" t="s">
        <v>33</v>
      </c>
      <c r="C1138" s="16">
        <v>46183</v>
      </c>
      <c r="D1138">
        <v>24743.98</v>
      </c>
    </row>
    <row r="1139" spans="1:4" x14ac:dyDescent="0.3">
      <c r="A1139" t="s">
        <v>34</v>
      </c>
      <c r="C1139" s="16">
        <v>46183</v>
      </c>
      <c r="D1139">
        <v>345</v>
      </c>
    </row>
    <row r="1140" spans="1:4" x14ac:dyDescent="0.3">
      <c r="A1140" t="s">
        <v>35</v>
      </c>
      <c r="C1140" s="16">
        <v>46183</v>
      </c>
      <c r="D1140">
        <v>6583.0800000000036</v>
      </c>
    </row>
    <row r="1141" spans="1:4" x14ac:dyDescent="0.3">
      <c r="A1141" t="s">
        <v>193</v>
      </c>
      <c r="C1141" s="16">
        <v>46183</v>
      </c>
      <c r="D1141">
        <v>0</v>
      </c>
    </row>
    <row r="1142" spans="1:4" x14ac:dyDescent="0.3">
      <c r="A1142" t="s">
        <v>194</v>
      </c>
      <c r="C1142" s="16">
        <v>46183</v>
      </c>
      <c r="D1142">
        <v>0</v>
      </c>
    </row>
    <row r="1143" spans="1:4" x14ac:dyDescent="0.3">
      <c r="A1143" t="s">
        <v>195</v>
      </c>
      <c r="C1143" s="16">
        <v>46183</v>
      </c>
      <c r="D1143">
        <v>0</v>
      </c>
    </row>
    <row r="1144" spans="1:4" x14ac:dyDescent="0.3">
      <c r="A1144" t="s">
        <v>196</v>
      </c>
      <c r="C1144" s="16">
        <v>46183</v>
      </c>
      <c r="D1144">
        <v>0</v>
      </c>
    </row>
    <row r="1145" spans="1:4" x14ac:dyDescent="0.3">
      <c r="A1145" t="s">
        <v>197</v>
      </c>
      <c r="C1145" s="16">
        <v>46183</v>
      </c>
      <c r="D1145">
        <v>0</v>
      </c>
    </row>
    <row r="1146" spans="1:4" x14ac:dyDescent="0.3">
      <c r="A1146" t="s">
        <v>198</v>
      </c>
      <c r="C1146" s="16">
        <v>46183</v>
      </c>
      <c r="D1146">
        <v>0</v>
      </c>
    </row>
    <row r="1147" spans="1:4" x14ac:dyDescent="0.3">
      <c r="A1147" t="s">
        <v>216</v>
      </c>
      <c r="C1147" s="16">
        <v>46183</v>
      </c>
      <c r="D1147">
        <v>0</v>
      </c>
    </row>
    <row r="1148" spans="1:4" x14ac:dyDescent="0.3">
      <c r="A1148" t="s">
        <v>200</v>
      </c>
      <c r="C1148" s="16">
        <v>46183</v>
      </c>
      <c r="D1148">
        <v>0</v>
      </c>
    </row>
    <row r="1149" spans="1:4" x14ac:dyDescent="0.3">
      <c r="A1149" t="s">
        <v>201</v>
      </c>
      <c r="C1149" s="16">
        <v>46183</v>
      </c>
      <c r="D1149">
        <v>0</v>
      </c>
    </row>
    <row r="1150" spans="1:4" x14ac:dyDescent="0.3">
      <c r="A1150" t="s">
        <v>17</v>
      </c>
      <c r="C1150" s="16">
        <v>46184</v>
      </c>
      <c r="D1150">
        <v>1837784.84</v>
      </c>
    </row>
    <row r="1151" spans="1:4" x14ac:dyDescent="0.3">
      <c r="A1151" t="s">
        <v>18</v>
      </c>
      <c r="C1151" s="16">
        <v>46184</v>
      </c>
      <c r="D1151">
        <v>69376.390000000174</v>
      </c>
    </row>
    <row r="1152" spans="1:4" x14ac:dyDescent="0.3">
      <c r="A1152" t="s">
        <v>19</v>
      </c>
      <c r="C1152" s="16">
        <v>46184</v>
      </c>
      <c r="D1152">
        <v>1669.89</v>
      </c>
    </row>
    <row r="1153" spans="1:4" x14ac:dyDescent="0.3">
      <c r="A1153" t="s">
        <v>20</v>
      </c>
      <c r="C1153" s="16">
        <v>46184</v>
      </c>
      <c r="D1153">
        <v>564626.20999999985</v>
      </c>
    </row>
    <row r="1154" spans="1:4" x14ac:dyDescent="0.3">
      <c r="A1154" t="s">
        <v>21</v>
      </c>
      <c r="C1154" s="16">
        <v>46184</v>
      </c>
      <c r="D1154">
        <v>794731.82999999926</v>
      </c>
    </row>
    <row r="1155" spans="1:4" x14ac:dyDescent="0.3">
      <c r="A1155" t="s">
        <v>22</v>
      </c>
      <c r="C1155" s="16">
        <v>46184</v>
      </c>
      <c r="D1155">
        <v>116496.38</v>
      </c>
    </row>
    <row r="1156" spans="1:4" x14ac:dyDescent="0.3">
      <c r="A1156" t="s">
        <v>23</v>
      </c>
      <c r="C1156" s="16">
        <v>46184</v>
      </c>
      <c r="D1156">
        <v>88090.37</v>
      </c>
    </row>
    <row r="1157" spans="1:4" x14ac:dyDescent="0.3">
      <c r="A1157" t="s">
        <v>24</v>
      </c>
      <c r="C1157" s="16">
        <v>46184</v>
      </c>
      <c r="D1157">
        <v>511.15999999999985</v>
      </c>
    </row>
    <row r="1158" spans="1:4" x14ac:dyDescent="0.3">
      <c r="A1158" t="s">
        <v>25</v>
      </c>
      <c r="C1158" s="16">
        <v>46184</v>
      </c>
      <c r="D1158">
        <v>84.35</v>
      </c>
    </row>
    <row r="1159" spans="1:4" x14ac:dyDescent="0.3">
      <c r="A1159" t="s">
        <v>26</v>
      </c>
      <c r="C1159" s="16">
        <v>46184</v>
      </c>
      <c r="D1159">
        <v>2237.77</v>
      </c>
    </row>
    <row r="1160" spans="1:4" x14ac:dyDescent="0.3">
      <c r="A1160" t="s">
        <v>27</v>
      </c>
      <c r="C1160" s="16">
        <v>46184</v>
      </c>
      <c r="D1160">
        <v>3349.94</v>
      </c>
    </row>
    <row r="1161" spans="1:4" x14ac:dyDescent="0.3">
      <c r="A1161" t="s">
        <v>28</v>
      </c>
      <c r="C1161" s="16">
        <v>46184</v>
      </c>
      <c r="D1161">
        <v>1968.99</v>
      </c>
    </row>
    <row r="1162" spans="1:4" x14ac:dyDescent="0.3">
      <c r="A1162" t="s">
        <v>29</v>
      </c>
      <c r="C1162" s="16">
        <v>46184</v>
      </c>
      <c r="D1162">
        <v>382.69000000000005</v>
      </c>
    </row>
    <row r="1163" spans="1:4" x14ac:dyDescent="0.3">
      <c r="A1163" t="s">
        <v>30</v>
      </c>
      <c r="C1163" s="16">
        <v>46184</v>
      </c>
      <c r="D1163">
        <v>1428.08</v>
      </c>
    </row>
    <row r="1164" spans="1:4" x14ac:dyDescent="0.3">
      <c r="A1164" t="s">
        <v>31</v>
      </c>
      <c r="C1164" s="16">
        <v>46184</v>
      </c>
      <c r="D1164">
        <v>25789.969999999961</v>
      </c>
    </row>
    <row r="1165" spans="1:4" x14ac:dyDescent="0.3">
      <c r="A1165" t="s">
        <v>32</v>
      </c>
      <c r="C1165" s="16">
        <v>46184</v>
      </c>
      <c r="D1165">
        <v>5321.4300000000021</v>
      </c>
    </row>
    <row r="1166" spans="1:4" x14ac:dyDescent="0.3">
      <c r="A1166" t="s">
        <v>33</v>
      </c>
      <c r="C1166" s="16">
        <v>46184</v>
      </c>
      <c r="D1166">
        <v>24743.98</v>
      </c>
    </row>
    <row r="1167" spans="1:4" x14ac:dyDescent="0.3">
      <c r="A1167" t="s">
        <v>34</v>
      </c>
      <c r="C1167" s="16">
        <v>46184</v>
      </c>
      <c r="D1167">
        <v>345</v>
      </c>
    </row>
    <row r="1168" spans="1:4" x14ac:dyDescent="0.3">
      <c r="A1168" t="s">
        <v>35</v>
      </c>
      <c r="C1168" s="16">
        <v>46184</v>
      </c>
      <c r="D1168">
        <v>54068.08</v>
      </c>
    </row>
    <row r="1169" spans="1:4" x14ac:dyDescent="0.3">
      <c r="A1169" t="s">
        <v>193</v>
      </c>
      <c r="C1169" s="16">
        <v>46184</v>
      </c>
      <c r="D1169">
        <v>0</v>
      </c>
    </row>
    <row r="1170" spans="1:4" x14ac:dyDescent="0.3">
      <c r="A1170" t="s">
        <v>194</v>
      </c>
      <c r="C1170" s="16">
        <v>46184</v>
      </c>
      <c r="D1170">
        <v>0</v>
      </c>
    </row>
    <row r="1171" spans="1:4" x14ac:dyDescent="0.3">
      <c r="A1171" t="s">
        <v>195</v>
      </c>
      <c r="C1171" s="16">
        <v>46184</v>
      </c>
      <c r="D1171">
        <v>0</v>
      </c>
    </row>
    <row r="1172" spans="1:4" x14ac:dyDescent="0.3">
      <c r="A1172" t="s">
        <v>196</v>
      </c>
      <c r="C1172" s="16">
        <v>46184</v>
      </c>
      <c r="D1172">
        <v>0</v>
      </c>
    </row>
    <row r="1173" spans="1:4" x14ac:dyDescent="0.3">
      <c r="A1173" t="s">
        <v>197</v>
      </c>
      <c r="C1173" s="16">
        <v>46184</v>
      </c>
      <c r="D1173">
        <v>0</v>
      </c>
    </row>
    <row r="1174" spans="1:4" x14ac:dyDescent="0.3">
      <c r="A1174" t="s">
        <v>198</v>
      </c>
      <c r="C1174" s="16">
        <v>46184</v>
      </c>
      <c r="D1174">
        <v>0</v>
      </c>
    </row>
    <row r="1175" spans="1:4" x14ac:dyDescent="0.3">
      <c r="A1175" t="s">
        <v>216</v>
      </c>
      <c r="C1175" s="16">
        <v>46184</v>
      </c>
      <c r="D1175">
        <v>0</v>
      </c>
    </row>
    <row r="1176" spans="1:4" x14ac:dyDescent="0.3">
      <c r="A1176" t="s">
        <v>200</v>
      </c>
      <c r="C1176" s="16">
        <v>46184</v>
      </c>
      <c r="D1176">
        <v>0</v>
      </c>
    </row>
    <row r="1177" spans="1:4" x14ac:dyDescent="0.3">
      <c r="A1177" t="s">
        <v>201</v>
      </c>
      <c r="C1177" s="16">
        <v>46184</v>
      </c>
      <c r="D1177">
        <v>0</v>
      </c>
    </row>
    <row r="1178" spans="1:4" x14ac:dyDescent="0.3">
      <c r="A1178" t="s">
        <v>17</v>
      </c>
      <c r="C1178" s="16">
        <v>46185</v>
      </c>
      <c r="D1178">
        <v>1837784.84</v>
      </c>
    </row>
    <row r="1179" spans="1:4" x14ac:dyDescent="0.3">
      <c r="A1179" t="s">
        <v>18</v>
      </c>
      <c r="C1179" s="16">
        <v>46185</v>
      </c>
      <c r="D1179">
        <v>69376.390000000174</v>
      </c>
    </row>
    <row r="1180" spans="1:4" x14ac:dyDescent="0.3">
      <c r="A1180" t="s">
        <v>19</v>
      </c>
      <c r="C1180" s="16">
        <v>46185</v>
      </c>
      <c r="D1180">
        <v>1669.89</v>
      </c>
    </row>
    <row r="1181" spans="1:4" x14ac:dyDescent="0.3">
      <c r="A1181" t="s">
        <v>20</v>
      </c>
      <c r="C1181" s="16">
        <v>46185</v>
      </c>
      <c r="D1181">
        <v>564626.20999999985</v>
      </c>
    </row>
    <row r="1182" spans="1:4" x14ac:dyDescent="0.3">
      <c r="A1182" t="s">
        <v>21</v>
      </c>
      <c r="C1182" s="16">
        <v>46185</v>
      </c>
      <c r="D1182">
        <v>3763348.8299999996</v>
      </c>
    </row>
    <row r="1183" spans="1:4" x14ac:dyDescent="0.3">
      <c r="A1183" t="s">
        <v>22</v>
      </c>
      <c r="C1183" s="16">
        <v>46185</v>
      </c>
      <c r="D1183">
        <v>116496.38</v>
      </c>
    </row>
    <row r="1184" spans="1:4" x14ac:dyDescent="0.3">
      <c r="A1184" t="s">
        <v>23</v>
      </c>
      <c r="C1184" s="16">
        <v>46185</v>
      </c>
      <c r="D1184">
        <v>88090.37</v>
      </c>
    </row>
    <row r="1185" spans="1:4" x14ac:dyDescent="0.3">
      <c r="A1185" t="s">
        <v>24</v>
      </c>
      <c r="C1185" s="16">
        <v>46185</v>
      </c>
      <c r="D1185">
        <v>511.15999999999985</v>
      </c>
    </row>
    <row r="1186" spans="1:4" x14ac:dyDescent="0.3">
      <c r="A1186" t="s">
        <v>25</v>
      </c>
      <c r="C1186" s="16">
        <v>46185</v>
      </c>
      <c r="D1186">
        <v>84.35</v>
      </c>
    </row>
    <row r="1187" spans="1:4" x14ac:dyDescent="0.3">
      <c r="A1187" t="s">
        <v>26</v>
      </c>
      <c r="C1187" s="16">
        <v>46185</v>
      </c>
      <c r="D1187">
        <v>2237.77</v>
      </c>
    </row>
    <row r="1188" spans="1:4" x14ac:dyDescent="0.3">
      <c r="A1188" t="s">
        <v>27</v>
      </c>
      <c r="C1188" s="16">
        <v>46185</v>
      </c>
      <c r="D1188">
        <v>3349.94</v>
      </c>
    </row>
    <row r="1189" spans="1:4" x14ac:dyDescent="0.3">
      <c r="A1189" t="s">
        <v>28</v>
      </c>
      <c r="C1189" s="16">
        <v>46185</v>
      </c>
      <c r="D1189">
        <v>1968.99</v>
      </c>
    </row>
    <row r="1190" spans="1:4" x14ac:dyDescent="0.3">
      <c r="A1190" t="s">
        <v>29</v>
      </c>
      <c r="C1190" s="16">
        <v>46185</v>
      </c>
      <c r="D1190">
        <v>382.69000000000005</v>
      </c>
    </row>
    <row r="1191" spans="1:4" x14ac:dyDescent="0.3">
      <c r="A1191" t="s">
        <v>30</v>
      </c>
      <c r="C1191" s="16">
        <v>46185</v>
      </c>
      <c r="D1191">
        <v>1428.08</v>
      </c>
    </row>
    <row r="1192" spans="1:4" x14ac:dyDescent="0.3">
      <c r="A1192" t="s">
        <v>31</v>
      </c>
      <c r="C1192" s="16">
        <v>46185</v>
      </c>
      <c r="D1192">
        <v>27789.969999999961</v>
      </c>
    </row>
    <row r="1193" spans="1:4" x14ac:dyDescent="0.3">
      <c r="A1193" t="s">
        <v>32</v>
      </c>
      <c r="C1193" s="16">
        <v>46185</v>
      </c>
      <c r="D1193">
        <v>5321.4300000000021</v>
      </c>
    </row>
    <row r="1194" spans="1:4" x14ac:dyDescent="0.3">
      <c r="A1194" t="s">
        <v>33</v>
      </c>
      <c r="C1194" s="16">
        <v>46185</v>
      </c>
      <c r="D1194">
        <v>24484.85</v>
      </c>
    </row>
    <row r="1195" spans="1:4" x14ac:dyDescent="0.3">
      <c r="A1195" t="s">
        <v>34</v>
      </c>
      <c r="C1195" s="16">
        <v>46185</v>
      </c>
      <c r="D1195">
        <v>345</v>
      </c>
    </row>
    <row r="1196" spans="1:4" x14ac:dyDescent="0.3">
      <c r="A1196" t="s">
        <v>35</v>
      </c>
      <c r="C1196" s="16">
        <v>46185</v>
      </c>
      <c r="D1196">
        <v>54068.08</v>
      </c>
    </row>
    <row r="1197" spans="1:4" x14ac:dyDescent="0.3">
      <c r="A1197" t="s">
        <v>193</v>
      </c>
      <c r="C1197" s="16">
        <v>46185</v>
      </c>
      <c r="D1197">
        <v>0</v>
      </c>
    </row>
    <row r="1198" spans="1:4" x14ac:dyDescent="0.3">
      <c r="A1198" t="s">
        <v>194</v>
      </c>
      <c r="C1198" s="16">
        <v>46185</v>
      </c>
      <c r="D1198">
        <v>0</v>
      </c>
    </row>
    <row r="1199" spans="1:4" x14ac:dyDescent="0.3">
      <c r="A1199" t="s">
        <v>195</v>
      </c>
      <c r="C1199" s="16">
        <v>46185</v>
      </c>
      <c r="D1199">
        <v>0</v>
      </c>
    </row>
    <row r="1200" spans="1:4" x14ac:dyDescent="0.3">
      <c r="A1200" t="s">
        <v>196</v>
      </c>
      <c r="C1200" s="16">
        <v>46185</v>
      </c>
      <c r="D1200">
        <v>0</v>
      </c>
    </row>
    <row r="1201" spans="1:4" x14ac:dyDescent="0.3">
      <c r="A1201" t="s">
        <v>197</v>
      </c>
      <c r="C1201" s="16">
        <v>46185</v>
      </c>
      <c r="D1201">
        <v>0</v>
      </c>
    </row>
    <row r="1202" spans="1:4" x14ac:dyDescent="0.3">
      <c r="A1202" t="s">
        <v>198</v>
      </c>
      <c r="C1202" s="16">
        <v>46185</v>
      </c>
      <c r="D1202">
        <v>0</v>
      </c>
    </row>
    <row r="1203" spans="1:4" x14ac:dyDescent="0.3">
      <c r="A1203" t="s">
        <v>216</v>
      </c>
      <c r="C1203" s="16">
        <v>46185</v>
      </c>
      <c r="D1203">
        <v>0</v>
      </c>
    </row>
    <row r="1204" spans="1:4" x14ac:dyDescent="0.3">
      <c r="A1204" t="s">
        <v>200</v>
      </c>
      <c r="C1204" s="16">
        <v>46185</v>
      </c>
      <c r="D1204">
        <v>0</v>
      </c>
    </row>
    <row r="1205" spans="1:4" x14ac:dyDescent="0.3">
      <c r="A1205" t="s">
        <v>201</v>
      </c>
      <c r="C1205" s="16">
        <v>46185</v>
      </c>
      <c r="D1205">
        <v>0</v>
      </c>
    </row>
    <row r="1206" spans="1:4" x14ac:dyDescent="0.3">
      <c r="A1206" t="s">
        <v>17</v>
      </c>
      <c r="C1206" s="16">
        <v>46186</v>
      </c>
      <c r="D1206">
        <v>1837784.84</v>
      </c>
    </row>
    <row r="1207" spans="1:4" x14ac:dyDescent="0.3">
      <c r="A1207" t="s">
        <v>18</v>
      </c>
      <c r="C1207" s="16">
        <v>46186</v>
      </c>
      <c r="D1207">
        <v>69376.390000000174</v>
      </c>
    </row>
    <row r="1208" spans="1:4" x14ac:dyDescent="0.3">
      <c r="A1208" t="s">
        <v>19</v>
      </c>
      <c r="C1208" s="16">
        <v>46186</v>
      </c>
      <c r="D1208">
        <v>1669.89</v>
      </c>
    </row>
    <row r="1209" spans="1:4" x14ac:dyDescent="0.3">
      <c r="A1209" t="s">
        <v>20</v>
      </c>
      <c r="C1209" s="16">
        <v>46186</v>
      </c>
      <c r="D1209">
        <v>564626.20999999985</v>
      </c>
    </row>
    <row r="1210" spans="1:4" x14ac:dyDescent="0.3">
      <c r="A1210" t="s">
        <v>21</v>
      </c>
      <c r="C1210" s="16">
        <v>46186</v>
      </c>
      <c r="D1210">
        <v>3763348.8299999996</v>
      </c>
    </row>
    <row r="1211" spans="1:4" x14ac:dyDescent="0.3">
      <c r="A1211" t="s">
        <v>22</v>
      </c>
      <c r="C1211" s="16">
        <v>46186</v>
      </c>
      <c r="D1211">
        <v>116496.38</v>
      </c>
    </row>
    <row r="1212" spans="1:4" x14ac:dyDescent="0.3">
      <c r="A1212" t="s">
        <v>23</v>
      </c>
      <c r="C1212" s="16">
        <v>46186</v>
      </c>
      <c r="D1212">
        <v>88090.37</v>
      </c>
    </row>
    <row r="1213" spans="1:4" x14ac:dyDescent="0.3">
      <c r="A1213" t="s">
        <v>24</v>
      </c>
      <c r="C1213" s="16">
        <v>46186</v>
      </c>
      <c r="D1213">
        <v>511.15999999999985</v>
      </c>
    </row>
    <row r="1214" spans="1:4" x14ac:dyDescent="0.3">
      <c r="A1214" t="s">
        <v>25</v>
      </c>
      <c r="C1214" s="16">
        <v>46186</v>
      </c>
      <c r="D1214">
        <v>84.35</v>
      </c>
    </row>
    <row r="1215" spans="1:4" x14ac:dyDescent="0.3">
      <c r="A1215" t="s">
        <v>26</v>
      </c>
      <c r="C1215" s="16">
        <v>46186</v>
      </c>
      <c r="D1215">
        <v>2237.77</v>
      </c>
    </row>
    <row r="1216" spans="1:4" x14ac:dyDescent="0.3">
      <c r="A1216" t="s">
        <v>27</v>
      </c>
      <c r="C1216" s="16">
        <v>46186</v>
      </c>
      <c r="D1216">
        <v>3349.94</v>
      </c>
    </row>
    <row r="1217" spans="1:4" x14ac:dyDescent="0.3">
      <c r="A1217" t="s">
        <v>28</v>
      </c>
      <c r="C1217" s="16">
        <v>46186</v>
      </c>
      <c r="D1217">
        <v>1968.99</v>
      </c>
    </row>
    <row r="1218" spans="1:4" x14ac:dyDescent="0.3">
      <c r="A1218" t="s">
        <v>29</v>
      </c>
      <c r="C1218" s="16">
        <v>46186</v>
      </c>
      <c r="D1218">
        <v>382.69000000000005</v>
      </c>
    </row>
    <row r="1219" spans="1:4" x14ac:dyDescent="0.3">
      <c r="A1219" t="s">
        <v>30</v>
      </c>
      <c r="C1219" s="16">
        <v>46186</v>
      </c>
      <c r="D1219">
        <v>1428.08</v>
      </c>
    </row>
    <row r="1220" spans="1:4" x14ac:dyDescent="0.3">
      <c r="A1220" t="s">
        <v>31</v>
      </c>
      <c r="C1220" s="16">
        <v>46186</v>
      </c>
      <c r="D1220">
        <v>27789.969999999961</v>
      </c>
    </row>
    <row r="1221" spans="1:4" x14ac:dyDescent="0.3">
      <c r="A1221" t="s">
        <v>32</v>
      </c>
      <c r="C1221" s="16">
        <v>46186</v>
      </c>
      <c r="D1221">
        <v>5321.4300000000021</v>
      </c>
    </row>
    <row r="1222" spans="1:4" x14ac:dyDescent="0.3">
      <c r="A1222" t="s">
        <v>33</v>
      </c>
      <c r="C1222" s="16">
        <v>46186</v>
      </c>
      <c r="D1222">
        <v>24484.85</v>
      </c>
    </row>
    <row r="1223" spans="1:4" x14ac:dyDescent="0.3">
      <c r="A1223" t="s">
        <v>34</v>
      </c>
      <c r="C1223" s="16">
        <v>46186</v>
      </c>
      <c r="D1223">
        <v>345</v>
      </c>
    </row>
    <row r="1224" spans="1:4" x14ac:dyDescent="0.3">
      <c r="A1224" t="s">
        <v>35</v>
      </c>
      <c r="C1224" s="16">
        <v>46186</v>
      </c>
      <c r="D1224">
        <v>54068.08</v>
      </c>
    </row>
    <row r="1225" spans="1:4" x14ac:dyDescent="0.3">
      <c r="A1225" t="s">
        <v>193</v>
      </c>
      <c r="C1225" s="16">
        <v>46186</v>
      </c>
      <c r="D1225">
        <v>0</v>
      </c>
    </row>
    <row r="1226" spans="1:4" x14ac:dyDescent="0.3">
      <c r="A1226" t="s">
        <v>194</v>
      </c>
      <c r="C1226" s="16">
        <v>46186</v>
      </c>
      <c r="D1226">
        <v>0</v>
      </c>
    </row>
    <row r="1227" spans="1:4" x14ac:dyDescent="0.3">
      <c r="A1227" t="s">
        <v>195</v>
      </c>
      <c r="C1227" s="16">
        <v>46186</v>
      </c>
      <c r="D1227">
        <v>0</v>
      </c>
    </row>
    <row r="1228" spans="1:4" x14ac:dyDescent="0.3">
      <c r="A1228" t="s">
        <v>196</v>
      </c>
      <c r="C1228" s="16">
        <v>46186</v>
      </c>
      <c r="D1228">
        <v>0</v>
      </c>
    </row>
    <row r="1229" spans="1:4" x14ac:dyDescent="0.3">
      <c r="A1229" t="s">
        <v>197</v>
      </c>
      <c r="C1229" s="16">
        <v>46186</v>
      </c>
      <c r="D1229">
        <v>0</v>
      </c>
    </row>
    <row r="1230" spans="1:4" x14ac:dyDescent="0.3">
      <c r="A1230" t="s">
        <v>198</v>
      </c>
      <c r="C1230" s="16">
        <v>46186</v>
      </c>
      <c r="D1230">
        <v>0</v>
      </c>
    </row>
    <row r="1231" spans="1:4" x14ac:dyDescent="0.3">
      <c r="A1231" t="s">
        <v>216</v>
      </c>
      <c r="C1231" s="16">
        <v>46186</v>
      </c>
      <c r="D1231">
        <v>0</v>
      </c>
    </row>
    <row r="1232" spans="1:4" x14ac:dyDescent="0.3">
      <c r="A1232" t="s">
        <v>200</v>
      </c>
      <c r="C1232" s="16">
        <v>46186</v>
      </c>
      <c r="D1232">
        <v>0</v>
      </c>
    </row>
    <row r="1233" spans="1:4" x14ac:dyDescent="0.3">
      <c r="A1233" t="s">
        <v>201</v>
      </c>
      <c r="C1233" s="16">
        <v>46186</v>
      </c>
      <c r="D1233">
        <v>0</v>
      </c>
    </row>
    <row r="1234" spans="1:4" x14ac:dyDescent="0.3">
      <c r="A1234" t="s">
        <v>17</v>
      </c>
      <c r="C1234" s="16">
        <v>46187</v>
      </c>
      <c r="D1234">
        <v>1837784.84</v>
      </c>
    </row>
    <row r="1235" spans="1:4" x14ac:dyDescent="0.3">
      <c r="A1235" t="s">
        <v>18</v>
      </c>
      <c r="C1235" s="16">
        <v>46187</v>
      </c>
      <c r="D1235">
        <v>69376.390000000174</v>
      </c>
    </row>
    <row r="1236" spans="1:4" x14ac:dyDescent="0.3">
      <c r="A1236" t="s">
        <v>19</v>
      </c>
      <c r="C1236" s="16">
        <v>46187</v>
      </c>
      <c r="D1236">
        <v>1669.89</v>
      </c>
    </row>
    <row r="1237" spans="1:4" x14ac:dyDescent="0.3">
      <c r="A1237" t="s">
        <v>20</v>
      </c>
      <c r="C1237" s="16">
        <v>46187</v>
      </c>
      <c r="D1237">
        <v>564626.20999999985</v>
      </c>
    </row>
    <row r="1238" spans="1:4" x14ac:dyDescent="0.3">
      <c r="A1238" t="s">
        <v>21</v>
      </c>
      <c r="C1238" s="16">
        <v>46187</v>
      </c>
      <c r="D1238">
        <v>3763348.8299999996</v>
      </c>
    </row>
    <row r="1239" spans="1:4" x14ac:dyDescent="0.3">
      <c r="A1239" t="s">
        <v>22</v>
      </c>
      <c r="C1239" s="16">
        <v>46187</v>
      </c>
      <c r="D1239">
        <v>116496.38</v>
      </c>
    </row>
    <row r="1240" spans="1:4" x14ac:dyDescent="0.3">
      <c r="A1240" t="s">
        <v>23</v>
      </c>
      <c r="C1240" s="16">
        <v>46187</v>
      </c>
      <c r="D1240">
        <v>88090.37</v>
      </c>
    </row>
    <row r="1241" spans="1:4" x14ac:dyDescent="0.3">
      <c r="A1241" t="s">
        <v>24</v>
      </c>
      <c r="C1241" s="16">
        <v>46187</v>
      </c>
      <c r="D1241">
        <v>511.15999999999985</v>
      </c>
    </row>
    <row r="1242" spans="1:4" x14ac:dyDescent="0.3">
      <c r="A1242" t="s">
        <v>25</v>
      </c>
      <c r="C1242" s="16">
        <v>46187</v>
      </c>
      <c r="D1242">
        <v>84.35</v>
      </c>
    </row>
    <row r="1243" spans="1:4" x14ac:dyDescent="0.3">
      <c r="A1243" t="s">
        <v>26</v>
      </c>
      <c r="C1243" s="16">
        <v>46187</v>
      </c>
      <c r="D1243">
        <v>2237.77</v>
      </c>
    </row>
    <row r="1244" spans="1:4" x14ac:dyDescent="0.3">
      <c r="A1244" t="s">
        <v>27</v>
      </c>
      <c r="C1244" s="16">
        <v>46187</v>
      </c>
      <c r="D1244">
        <v>3349.94</v>
      </c>
    </row>
    <row r="1245" spans="1:4" x14ac:dyDescent="0.3">
      <c r="A1245" t="s">
        <v>28</v>
      </c>
      <c r="C1245" s="16">
        <v>46187</v>
      </c>
      <c r="D1245">
        <v>1968.99</v>
      </c>
    </row>
    <row r="1246" spans="1:4" x14ac:dyDescent="0.3">
      <c r="A1246" t="s">
        <v>29</v>
      </c>
      <c r="C1246" s="16">
        <v>46187</v>
      </c>
      <c r="D1246">
        <v>382.69000000000005</v>
      </c>
    </row>
    <row r="1247" spans="1:4" x14ac:dyDescent="0.3">
      <c r="A1247" t="s">
        <v>30</v>
      </c>
      <c r="C1247" s="16">
        <v>46187</v>
      </c>
      <c r="D1247">
        <v>1428.08</v>
      </c>
    </row>
    <row r="1248" spans="1:4" x14ac:dyDescent="0.3">
      <c r="A1248" t="s">
        <v>31</v>
      </c>
      <c r="C1248" s="16">
        <v>46187</v>
      </c>
      <c r="D1248">
        <v>27789.969999999961</v>
      </c>
    </row>
    <row r="1249" spans="1:4" x14ac:dyDescent="0.3">
      <c r="A1249" t="s">
        <v>32</v>
      </c>
      <c r="C1249" s="16">
        <v>46187</v>
      </c>
      <c r="D1249">
        <v>5321.4300000000021</v>
      </c>
    </row>
    <row r="1250" spans="1:4" x14ac:dyDescent="0.3">
      <c r="A1250" t="s">
        <v>33</v>
      </c>
      <c r="C1250" s="16">
        <v>46187</v>
      </c>
      <c r="D1250">
        <v>24484.85</v>
      </c>
    </row>
    <row r="1251" spans="1:4" x14ac:dyDescent="0.3">
      <c r="A1251" t="s">
        <v>34</v>
      </c>
      <c r="C1251" s="16">
        <v>46187</v>
      </c>
      <c r="D1251">
        <v>345</v>
      </c>
    </row>
    <row r="1252" spans="1:4" x14ac:dyDescent="0.3">
      <c r="A1252" t="s">
        <v>35</v>
      </c>
      <c r="C1252" s="16">
        <v>46187</v>
      </c>
      <c r="D1252">
        <v>54068.08</v>
      </c>
    </row>
    <row r="1253" spans="1:4" x14ac:dyDescent="0.3">
      <c r="A1253" t="s">
        <v>193</v>
      </c>
      <c r="C1253" s="16">
        <v>46187</v>
      </c>
      <c r="D1253">
        <v>0</v>
      </c>
    </row>
    <row r="1254" spans="1:4" x14ac:dyDescent="0.3">
      <c r="A1254" t="s">
        <v>194</v>
      </c>
      <c r="C1254" s="16">
        <v>46187</v>
      </c>
      <c r="D1254">
        <v>0</v>
      </c>
    </row>
    <row r="1255" spans="1:4" x14ac:dyDescent="0.3">
      <c r="A1255" t="s">
        <v>195</v>
      </c>
      <c r="C1255" s="16">
        <v>46187</v>
      </c>
      <c r="D1255">
        <v>0</v>
      </c>
    </row>
    <row r="1256" spans="1:4" x14ac:dyDescent="0.3">
      <c r="A1256" t="s">
        <v>196</v>
      </c>
      <c r="C1256" s="16">
        <v>46187</v>
      </c>
      <c r="D1256">
        <v>0</v>
      </c>
    </row>
    <row r="1257" spans="1:4" x14ac:dyDescent="0.3">
      <c r="A1257" t="s">
        <v>197</v>
      </c>
      <c r="C1257" s="16">
        <v>46187</v>
      </c>
      <c r="D1257">
        <v>0</v>
      </c>
    </row>
    <row r="1258" spans="1:4" x14ac:dyDescent="0.3">
      <c r="A1258" t="s">
        <v>198</v>
      </c>
      <c r="C1258" s="16">
        <v>46187</v>
      </c>
      <c r="D1258">
        <v>0</v>
      </c>
    </row>
    <row r="1259" spans="1:4" x14ac:dyDescent="0.3">
      <c r="A1259" t="s">
        <v>216</v>
      </c>
      <c r="C1259" s="16">
        <v>46187</v>
      </c>
      <c r="D1259">
        <v>0</v>
      </c>
    </row>
    <row r="1260" spans="1:4" x14ac:dyDescent="0.3">
      <c r="A1260" t="s">
        <v>200</v>
      </c>
      <c r="C1260" s="16">
        <v>46187</v>
      </c>
      <c r="D1260">
        <v>0</v>
      </c>
    </row>
    <row r="1261" spans="1:4" x14ac:dyDescent="0.3">
      <c r="A1261" t="s">
        <v>201</v>
      </c>
      <c r="C1261" s="16">
        <v>46187</v>
      </c>
      <c r="D1261">
        <v>0</v>
      </c>
    </row>
    <row r="1262" spans="1:4" x14ac:dyDescent="0.3">
      <c r="A1262" t="s">
        <v>17</v>
      </c>
      <c r="C1262" s="16">
        <v>46188</v>
      </c>
      <c r="D1262">
        <v>985975.94000000029</v>
      </c>
    </row>
    <row r="1263" spans="1:4" x14ac:dyDescent="0.3">
      <c r="A1263" t="s">
        <v>18</v>
      </c>
      <c r="C1263" s="16">
        <v>46188</v>
      </c>
      <c r="D1263">
        <v>69376.390000000174</v>
      </c>
    </row>
    <row r="1264" spans="1:4" x14ac:dyDescent="0.3">
      <c r="A1264" t="s">
        <v>19</v>
      </c>
      <c r="C1264" s="16">
        <v>46188</v>
      </c>
      <c r="D1264">
        <v>1669.89</v>
      </c>
    </row>
    <row r="1265" spans="1:4" x14ac:dyDescent="0.3">
      <c r="A1265" t="s">
        <v>20</v>
      </c>
      <c r="C1265" s="16">
        <v>46188</v>
      </c>
      <c r="D1265">
        <v>503904.80999999982</v>
      </c>
    </row>
    <row r="1266" spans="1:4" x14ac:dyDescent="0.3">
      <c r="A1266" t="s">
        <v>21</v>
      </c>
      <c r="C1266" s="16">
        <v>46188</v>
      </c>
      <c r="D1266">
        <v>3331737.2399999998</v>
      </c>
    </row>
    <row r="1267" spans="1:4" x14ac:dyDescent="0.3">
      <c r="A1267" t="s">
        <v>22</v>
      </c>
      <c r="C1267" s="16">
        <v>46188</v>
      </c>
      <c r="D1267">
        <v>116496.38</v>
      </c>
    </row>
    <row r="1268" spans="1:4" x14ac:dyDescent="0.3">
      <c r="A1268" t="s">
        <v>23</v>
      </c>
      <c r="C1268" s="16">
        <v>46188</v>
      </c>
      <c r="D1268">
        <v>88090.37</v>
      </c>
    </row>
    <row r="1269" spans="1:4" x14ac:dyDescent="0.3">
      <c r="A1269" t="s">
        <v>24</v>
      </c>
      <c r="C1269" s="16">
        <v>46188</v>
      </c>
      <c r="D1269">
        <v>511.15999999999985</v>
      </c>
    </row>
    <row r="1270" spans="1:4" x14ac:dyDescent="0.3">
      <c r="A1270" t="s">
        <v>25</v>
      </c>
      <c r="C1270" s="16">
        <v>46188</v>
      </c>
      <c r="D1270">
        <v>84.35</v>
      </c>
    </row>
    <row r="1271" spans="1:4" x14ac:dyDescent="0.3">
      <c r="A1271" t="s">
        <v>26</v>
      </c>
      <c r="C1271" s="16">
        <v>46188</v>
      </c>
      <c r="D1271">
        <v>2237.77</v>
      </c>
    </row>
    <row r="1272" spans="1:4" x14ac:dyDescent="0.3">
      <c r="A1272" t="s">
        <v>27</v>
      </c>
      <c r="C1272" s="16">
        <v>46188</v>
      </c>
      <c r="D1272">
        <v>3349.94</v>
      </c>
    </row>
    <row r="1273" spans="1:4" x14ac:dyDescent="0.3">
      <c r="A1273" t="s">
        <v>28</v>
      </c>
      <c r="C1273" s="16">
        <v>46188</v>
      </c>
      <c r="D1273">
        <v>1968.99</v>
      </c>
    </row>
    <row r="1274" spans="1:4" x14ac:dyDescent="0.3">
      <c r="A1274" t="s">
        <v>29</v>
      </c>
      <c r="C1274" s="16">
        <v>46188</v>
      </c>
      <c r="D1274">
        <v>382.69000000000005</v>
      </c>
    </row>
    <row r="1275" spans="1:4" x14ac:dyDescent="0.3">
      <c r="A1275" t="s">
        <v>30</v>
      </c>
      <c r="C1275" s="16">
        <v>46188</v>
      </c>
      <c r="D1275">
        <v>1428.08</v>
      </c>
    </row>
    <row r="1276" spans="1:4" x14ac:dyDescent="0.3">
      <c r="A1276" t="s">
        <v>31</v>
      </c>
      <c r="C1276" s="16">
        <v>46188</v>
      </c>
      <c r="D1276">
        <v>29789.969999999961</v>
      </c>
    </row>
    <row r="1277" spans="1:4" x14ac:dyDescent="0.3">
      <c r="A1277" t="s">
        <v>32</v>
      </c>
      <c r="C1277" s="16">
        <v>46188</v>
      </c>
      <c r="D1277">
        <v>5321.4300000000021</v>
      </c>
    </row>
    <row r="1278" spans="1:4" x14ac:dyDescent="0.3">
      <c r="A1278" t="s">
        <v>33</v>
      </c>
      <c r="C1278" s="16">
        <v>46188</v>
      </c>
      <c r="D1278">
        <v>20484.849999999999</v>
      </c>
    </row>
    <row r="1279" spans="1:4" x14ac:dyDescent="0.3">
      <c r="A1279" t="s">
        <v>34</v>
      </c>
      <c r="C1279" s="16">
        <v>46188</v>
      </c>
      <c r="D1279">
        <v>345</v>
      </c>
    </row>
    <row r="1280" spans="1:4" x14ac:dyDescent="0.3">
      <c r="A1280" t="s">
        <v>35</v>
      </c>
      <c r="C1280" s="16">
        <v>46188</v>
      </c>
      <c r="D1280">
        <v>54018.080000000002</v>
      </c>
    </row>
    <row r="1281" spans="1:4" x14ac:dyDescent="0.3">
      <c r="A1281" t="s">
        <v>193</v>
      </c>
      <c r="C1281" s="16">
        <v>46188</v>
      </c>
      <c r="D1281">
        <v>0</v>
      </c>
    </row>
    <row r="1282" spans="1:4" x14ac:dyDescent="0.3">
      <c r="A1282" t="s">
        <v>194</v>
      </c>
      <c r="C1282" s="16">
        <v>46188</v>
      </c>
      <c r="D1282">
        <v>0</v>
      </c>
    </row>
    <row r="1283" spans="1:4" x14ac:dyDescent="0.3">
      <c r="A1283" t="s">
        <v>195</v>
      </c>
      <c r="C1283" s="16">
        <v>46188</v>
      </c>
      <c r="D1283">
        <v>0</v>
      </c>
    </row>
    <row r="1284" spans="1:4" x14ac:dyDescent="0.3">
      <c r="A1284" t="s">
        <v>196</v>
      </c>
      <c r="C1284" s="16">
        <v>46188</v>
      </c>
      <c r="D1284">
        <v>0</v>
      </c>
    </row>
    <row r="1285" spans="1:4" x14ac:dyDescent="0.3">
      <c r="A1285" t="s">
        <v>197</v>
      </c>
      <c r="C1285" s="16">
        <v>46188</v>
      </c>
      <c r="D1285">
        <v>0</v>
      </c>
    </row>
    <row r="1286" spans="1:4" x14ac:dyDescent="0.3">
      <c r="A1286" t="s">
        <v>198</v>
      </c>
      <c r="C1286" s="16">
        <v>46188</v>
      </c>
      <c r="D1286">
        <v>0</v>
      </c>
    </row>
    <row r="1287" spans="1:4" x14ac:dyDescent="0.3">
      <c r="A1287" t="s">
        <v>216</v>
      </c>
      <c r="C1287" s="16">
        <v>46188</v>
      </c>
      <c r="D1287">
        <v>0</v>
      </c>
    </row>
    <row r="1288" spans="1:4" x14ac:dyDescent="0.3">
      <c r="A1288" t="s">
        <v>200</v>
      </c>
      <c r="C1288" s="16">
        <v>46188</v>
      </c>
      <c r="D1288">
        <v>0</v>
      </c>
    </row>
    <row r="1289" spans="1:4" x14ac:dyDescent="0.3">
      <c r="A1289" t="s">
        <v>201</v>
      </c>
      <c r="C1289" s="16">
        <v>46188</v>
      </c>
      <c r="D1289">
        <v>0</v>
      </c>
    </row>
    <row r="1290" spans="1:4" x14ac:dyDescent="0.3">
      <c r="A1290" t="s">
        <v>17</v>
      </c>
      <c r="C1290" s="16">
        <v>46189</v>
      </c>
      <c r="D1290">
        <v>1086358.7500000002</v>
      </c>
    </row>
    <row r="1291" spans="1:4" x14ac:dyDescent="0.3">
      <c r="A1291" t="s">
        <v>18</v>
      </c>
      <c r="C1291" s="16">
        <v>46189</v>
      </c>
      <c r="D1291">
        <v>69376.390000000174</v>
      </c>
    </row>
    <row r="1292" spans="1:4" x14ac:dyDescent="0.3">
      <c r="A1292" t="s">
        <v>19</v>
      </c>
      <c r="C1292" s="16">
        <v>46189</v>
      </c>
      <c r="D1292">
        <v>1669.89</v>
      </c>
    </row>
    <row r="1293" spans="1:4" x14ac:dyDescent="0.3">
      <c r="A1293" t="s">
        <v>20</v>
      </c>
      <c r="C1293" s="16">
        <v>46189</v>
      </c>
      <c r="D1293">
        <v>503904.80999999982</v>
      </c>
    </row>
    <row r="1294" spans="1:4" x14ac:dyDescent="0.3">
      <c r="A1294" t="s">
        <v>21</v>
      </c>
      <c r="C1294" s="16">
        <v>46189</v>
      </c>
      <c r="D1294">
        <v>3329246.88</v>
      </c>
    </row>
    <row r="1295" spans="1:4" x14ac:dyDescent="0.3">
      <c r="A1295" t="s">
        <v>22</v>
      </c>
      <c r="C1295" s="16">
        <v>46189</v>
      </c>
      <c r="D1295">
        <v>116496.38</v>
      </c>
    </row>
    <row r="1296" spans="1:4" x14ac:dyDescent="0.3">
      <c r="A1296" t="s">
        <v>23</v>
      </c>
      <c r="C1296" s="16">
        <v>46189</v>
      </c>
      <c r="D1296">
        <v>88090.37</v>
      </c>
    </row>
    <row r="1297" spans="1:4" x14ac:dyDescent="0.3">
      <c r="A1297" t="s">
        <v>24</v>
      </c>
      <c r="C1297" s="16">
        <v>46189</v>
      </c>
      <c r="D1297">
        <v>511.15999999999985</v>
      </c>
    </row>
    <row r="1298" spans="1:4" x14ac:dyDescent="0.3">
      <c r="A1298" t="s">
        <v>25</v>
      </c>
      <c r="C1298" s="16">
        <v>46189</v>
      </c>
      <c r="D1298">
        <v>84.35</v>
      </c>
    </row>
    <row r="1299" spans="1:4" x14ac:dyDescent="0.3">
      <c r="A1299" t="s">
        <v>26</v>
      </c>
      <c r="C1299" s="16">
        <v>46189</v>
      </c>
      <c r="D1299">
        <v>2237.77</v>
      </c>
    </row>
    <row r="1300" spans="1:4" x14ac:dyDescent="0.3">
      <c r="A1300" t="s">
        <v>27</v>
      </c>
      <c r="C1300" s="16">
        <v>46189</v>
      </c>
      <c r="D1300">
        <v>3349.94</v>
      </c>
    </row>
    <row r="1301" spans="1:4" x14ac:dyDescent="0.3">
      <c r="A1301" t="s">
        <v>28</v>
      </c>
      <c r="C1301" s="16">
        <v>46189</v>
      </c>
      <c r="D1301">
        <v>1968.99</v>
      </c>
    </row>
    <row r="1302" spans="1:4" x14ac:dyDescent="0.3">
      <c r="A1302" t="s">
        <v>29</v>
      </c>
      <c r="C1302" s="16">
        <v>46189</v>
      </c>
      <c r="D1302">
        <v>382.69000000000005</v>
      </c>
    </row>
    <row r="1303" spans="1:4" x14ac:dyDescent="0.3">
      <c r="A1303" t="s">
        <v>30</v>
      </c>
      <c r="C1303" s="16">
        <v>46189</v>
      </c>
      <c r="D1303">
        <v>1428.08</v>
      </c>
    </row>
    <row r="1304" spans="1:4" x14ac:dyDescent="0.3">
      <c r="A1304" t="s">
        <v>31</v>
      </c>
      <c r="C1304" s="16">
        <v>46189</v>
      </c>
      <c r="D1304">
        <v>29789.969999999961</v>
      </c>
    </row>
    <row r="1305" spans="1:4" x14ac:dyDescent="0.3">
      <c r="A1305" t="s">
        <v>32</v>
      </c>
      <c r="C1305" s="16">
        <v>46189</v>
      </c>
      <c r="D1305">
        <v>20321.43</v>
      </c>
    </row>
    <row r="1306" spans="1:4" x14ac:dyDescent="0.3">
      <c r="A1306" t="s">
        <v>33</v>
      </c>
      <c r="C1306" s="16">
        <v>46189</v>
      </c>
      <c r="D1306">
        <v>19811.349999999999</v>
      </c>
    </row>
    <row r="1307" spans="1:4" x14ac:dyDescent="0.3">
      <c r="A1307" t="s">
        <v>34</v>
      </c>
      <c r="C1307" s="16">
        <v>46189</v>
      </c>
      <c r="D1307">
        <v>345</v>
      </c>
    </row>
    <row r="1308" spans="1:4" x14ac:dyDescent="0.3">
      <c r="A1308" t="s">
        <v>35</v>
      </c>
      <c r="C1308" s="16">
        <v>46189</v>
      </c>
      <c r="D1308">
        <v>51334.36</v>
      </c>
    </row>
    <row r="1309" spans="1:4" x14ac:dyDescent="0.3">
      <c r="A1309" t="s">
        <v>193</v>
      </c>
      <c r="C1309" s="16">
        <v>46189</v>
      </c>
      <c r="D1309">
        <v>0</v>
      </c>
    </row>
    <row r="1310" spans="1:4" x14ac:dyDescent="0.3">
      <c r="A1310" t="s">
        <v>194</v>
      </c>
      <c r="C1310" s="16">
        <v>46189</v>
      </c>
      <c r="D1310">
        <v>0</v>
      </c>
    </row>
    <row r="1311" spans="1:4" x14ac:dyDescent="0.3">
      <c r="A1311" t="s">
        <v>195</v>
      </c>
      <c r="C1311" s="16">
        <v>46189</v>
      </c>
      <c r="D1311">
        <v>0</v>
      </c>
    </row>
    <row r="1312" spans="1:4" x14ac:dyDescent="0.3">
      <c r="A1312" t="s">
        <v>196</v>
      </c>
      <c r="C1312" s="16">
        <v>46189</v>
      </c>
      <c r="D1312">
        <v>0</v>
      </c>
    </row>
    <row r="1313" spans="1:4" x14ac:dyDescent="0.3">
      <c r="A1313" t="s">
        <v>197</v>
      </c>
      <c r="C1313" s="16">
        <v>46189</v>
      </c>
      <c r="D1313">
        <v>0</v>
      </c>
    </row>
    <row r="1314" spans="1:4" x14ac:dyDescent="0.3">
      <c r="A1314" t="s">
        <v>198</v>
      </c>
      <c r="C1314" s="16">
        <v>46189</v>
      </c>
      <c r="D1314">
        <v>0</v>
      </c>
    </row>
    <row r="1315" spans="1:4" x14ac:dyDescent="0.3">
      <c r="A1315" t="s">
        <v>216</v>
      </c>
      <c r="C1315" s="16">
        <v>46189</v>
      </c>
      <c r="D1315">
        <v>0</v>
      </c>
    </row>
    <row r="1316" spans="1:4" x14ac:dyDescent="0.3">
      <c r="A1316" t="s">
        <v>200</v>
      </c>
      <c r="C1316" s="16">
        <v>46189</v>
      </c>
      <c r="D1316">
        <v>0</v>
      </c>
    </row>
    <row r="1317" spans="1:4" x14ac:dyDescent="0.3">
      <c r="A1317" t="s">
        <v>201</v>
      </c>
      <c r="C1317" s="16">
        <v>46189</v>
      </c>
      <c r="D1317">
        <v>0</v>
      </c>
    </row>
    <row r="1318" spans="1:4" x14ac:dyDescent="0.3">
      <c r="A1318" t="s">
        <v>17</v>
      </c>
      <c r="C1318" s="16">
        <v>46190</v>
      </c>
      <c r="D1318">
        <v>1098358.7500000002</v>
      </c>
    </row>
    <row r="1319" spans="1:4" x14ac:dyDescent="0.3">
      <c r="A1319" t="s">
        <v>18</v>
      </c>
      <c r="C1319" s="16">
        <v>46190</v>
      </c>
      <c r="D1319">
        <v>69376.390000000174</v>
      </c>
    </row>
    <row r="1320" spans="1:4" x14ac:dyDescent="0.3">
      <c r="A1320" t="s">
        <v>19</v>
      </c>
      <c r="C1320" s="16">
        <v>46190</v>
      </c>
      <c r="D1320">
        <v>1669.89</v>
      </c>
    </row>
    <row r="1321" spans="1:4" x14ac:dyDescent="0.3">
      <c r="A1321" t="s">
        <v>20</v>
      </c>
      <c r="C1321" s="16">
        <v>46190</v>
      </c>
      <c r="D1321">
        <v>503904.80999999982</v>
      </c>
    </row>
    <row r="1322" spans="1:4" x14ac:dyDescent="0.3">
      <c r="A1322" t="s">
        <v>21</v>
      </c>
      <c r="C1322" s="16">
        <v>46190</v>
      </c>
      <c r="D1322">
        <v>3326863.3899999997</v>
      </c>
    </row>
    <row r="1323" spans="1:4" x14ac:dyDescent="0.3">
      <c r="A1323" t="s">
        <v>22</v>
      </c>
      <c r="C1323" s="16">
        <v>46190</v>
      </c>
      <c r="D1323">
        <v>116496.38</v>
      </c>
    </row>
    <row r="1324" spans="1:4" x14ac:dyDescent="0.3">
      <c r="A1324" t="s">
        <v>23</v>
      </c>
      <c r="C1324" s="16">
        <v>46190</v>
      </c>
      <c r="D1324">
        <v>88090.37</v>
      </c>
    </row>
    <row r="1325" spans="1:4" x14ac:dyDescent="0.3">
      <c r="A1325" t="s">
        <v>24</v>
      </c>
      <c r="C1325" s="16">
        <v>46190</v>
      </c>
      <c r="D1325">
        <v>511.15999999999985</v>
      </c>
    </row>
    <row r="1326" spans="1:4" x14ac:dyDescent="0.3">
      <c r="A1326" t="s">
        <v>25</v>
      </c>
      <c r="C1326" s="16">
        <v>46190</v>
      </c>
      <c r="D1326">
        <v>84.35</v>
      </c>
    </row>
    <row r="1327" spans="1:4" x14ac:dyDescent="0.3">
      <c r="A1327" t="s">
        <v>26</v>
      </c>
      <c r="C1327" s="16">
        <v>46190</v>
      </c>
      <c r="D1327">
        <v>2237.77</v>
      </c>
    </row>
    <row r="1328" spans="1:4" x14ac:dyDescent="0.3">
      <c r="A1328" t="s">
        <v>27</v>
      </c>
      <c r="C1328" s="16">
        <v>46190</v>
      </c>
      <c r="D1328">
        <v>3349.94</v>
      </c>
    </row>
    <row r="1329" spans="1:4" x14ac:dyDescent="0.3">
      <c r="A1329" t="s">
        <v>28</v>
      </c>
      <c r="C1329" s="16">
        <v>46190</v>
      </c>
      <c r="D1329">
        <v>1968.99</v>
      </c>
    </row>
    <row r="1330" spans="1:4" x14ac:dyDescent="0.3">
      <c r="A1330" t="s">
        <v>29</v>
      </c>
      <c r="C1330" s="16">
        <v>46190</v>
      </c>
      <c r="D1330">
        <v>382.69000000000005</v>
      </c>
    </row>
    <row r="1331" spans="1:4" x14ac:dyDescent="0.3">
      <c r="A1331" t="s">
        <v>30</v>
      </c>
      <c r="C1331" s="16">
        <v>46190</v>
      </c>
      <c r="D1331">
        <v>1428.08</v>
      </c>
    </row>
    <row r="1332" spans="1:4" x14ac:dyDescent="0.3">
      <c r="A1332" t="s">
        <v>31</v>
      </c>
      <c r="C1332" s="16">
        <v>46190</v>
      </c>
      <c r="D1332">
        <v>29789.969999999961</v>
      </c>
    </row>
    <row r="1333" spans="1:4" x14ac:dyDescent="0.3">
      <c r="A1333" t="s">
        <v>32</v>
      </c>
      <c r="C1333" s="16">
        <v>46190</v>
      </c>
      <c r="D1333">
        <v>20321.43</v>
      </c>
    </row>
    <row r="1334" spans="1:4" x14ac:dyDescent="0.3">
      <c r="A1334" t="s">
        <v>33</v>
      </c>
      <c r="C1334" s="16">
        <v>46190</v>
      </c>
      <c r="D1334">
        <v>16681.349999999999</v>
      </c>
    </row>
    <row r="1335" spans="1:4" x14ac:dyDescent="0.3">
      <c r="A1335" t="s">
        <v>34</v>
      </c>
      <c r="C1335" s="16">
        <v>46190</v>
      </c>
      <c r="D1335">
        <v>345</v>
      </c>
    </row>
    <row r="1336" spans="1:4" x14ac:dyDescent="0.3">
      <c r="A1336" t="s">
        <v>35</v>
      </c>
      <c r="C1336" s="16">
        <v>46190</v>
      </c>
      <c r="D1336">
        <v>50334.36</v>
      </c>
    </row>
    <row r="1337" spans="1:4" x14ac:dyDescent="0.3">
      <c r="A1337" t="s">
        <v>193</v>
      </c>
      <c r="C1337" s="16">
        <v>46190</v>
      </c>
      <c r="D1337">
        <v>0</v>
      </c>
    </row>
    <row r="1338" spans="1:4" x14ac:dyDescent="0.3">
      <c r="A1338" t="s">
        <v>194</v>
      </c>
      <c r="C1338" s="16">
        <v>46190</v>
      </c>
      <c r="D1338">
        <v>0</v>
      </c>
    </row>
    <row r="1339" spans="1:4" x14ac:dyDescent="0.3">
      <c r="A1339" t="s">
        <v>195</v>
      </c>
      <c r="C1339" s="16">
        <v>46190</v>
      </c>
      <c r="D1339">
        <v>0</v>
      </c>
    </row>
    <row r="1340" spans="1:4" x14ac:dyDescent="0.3">
      <c r="A1340" t="s">
        <v>196</v>
      </c>
      <c r="C1340" s="16">
        <v>46190</v>
      </c>
      <c r="D1340">
        <v>0</v>
      </c>
    </row>
    <row r="1341" spans="1:4" x14ac:dyDescent="0.3">
      <c r="A1341" t="s">
        <v>197</v>
      </c>
      <c r="C1341" s="16">
        <v>46190</v>
      </c>
      <c r="D1341">
        <v>0</v>
      </c>
    </row>
    <row r="1342" spans="1:4" x14ac:dyDescent="0.3">
      <c r="A1342" t="s">
        <v>198</v>
      </c>
      <c r="C1342" s="16">
        <v>46190</v>
      </c>
      <c r="D1342">
        <v>0</v>
      </c>
    </row>
    <row r="1343" spans="1:4" x14ac:dyDescent="0.3">
      <c r="A1343" t="s">
        <v>216</v>
      </c>
      <c r="C1343" s="16">
        <v>46190</v>
      </c>
      <c r="D1343">
        <v>0</v>
      </c>
    </row>
    <row r="1344" spans="1:4" x14ac:dyDescent="0.3">
      <c r="A1344" t="s">
        <v>200</v>
      </c>
      <c r="C1344" s="16">
        <v>46190</v>
      </c>
      <c r="D1344">
        <v>0</v>
      </c>
    </row>
    <row r="1345" spans="1:4" x14ac:dyDescent="0.3">
      <c r="A1345" t="s">
        <v>201</v>
      </c>
      <c r="C1345" s="16">
        <v>46190</v>
      </c>
      <c r="D1345">
        <v>0</v>
      </c>
    </row>
    <row r="1346" spans="1:4" x14ac:dyDescent="0.3">
      <c r="A1346" t="s">
        <v>17</v>
      </c>
      <c r="C1346" s="16">
        <v>46191</v>
      </c>
      <c r="D1346">
        <v>1098358.7500000002</v>
      </c>
    </row>
    <row r="1347" spans="1:4" x14ac:dyDescent="0.3">
      <c r="A1347" t="s">
        <v>18</v>
      </c>
      <c r="C1347" s="16">
        <v>46191</v>
      </c>
      <c r="D1347">
        <v>69376.390000000174</v>
      </c>
    </row>
    <row r="1348" spans="1:4" x14ac:dyDescent="0.3">
      <c r="A1348" t="s">
        <v>19</v>
      </c>
      <c r="C1348" s="16">
        <v>46191</v>
      </c>
      <c r="D1348">
        <v>1669.89</v>
      </c>
    </row>
    <row r="1349" spans="1:4" x14ac:dyDescent="0.3">
      <c r="A1349" t="s">
        <v>20</v>
      </c>
      <c r="C1349" s="16">
        <v>46191</v>
      </c>
      <c r="D1349">
        <v>503904.80999999982</v>
      </c>
    </row>
    <row r="1350" spans="1:4" x14ac:dyDescent="0.3">
      <c r="A1350" t="s">
        <v>21</v>
      </c>
      <c r="C1350" s="16">
        <v>46191</v>
      </c>
      <c r="D1350">
        <v>3326696.7299999995</v>
      </c>
    </row>
    <row r="1351" spans="1:4" x14ac:dyDescent="0.3">
      <c r="A1351" t="s">
        <v>22</v>
      </c>
      <c r="C1351" s="16">
        <v>46191</v>
      </c>
      <c r="D1351">
        <v>116496.38</v>
      </c>
    </row>
    <row r="1352" spans="1:4" x14ac:dyDescent="0.3">
      <c r="A1352" t="s">
        <v>23</v>
      </c>
      <c r="C1352" s="16">
        <v>46191</v>
      </c>
      <c r="D1352">
        <v>88090.37</v>
      </c>
    </row>
    <row r="1353" spans="1:4" x14ac:dyDescent="0.3">
      <c r="A1353" t="s">
        <v>24</v>
      </c>
      <c r="C1353" s="16">
        <v>46191</v>
      </c>
      <c r="D1353">
        <v>511.15999999999985</v>
      </c>
    </row>
    <row r="1354" spans="1:4" x14ac:dyDescent="0.3">
      <c r="A1354" t="s">
        <v>25</v>
      </c>
      <c r="C1354" s="16">
        <v>46191</v>
      </c>
      <c r="D1354">
        <v>84.35</v>
      </c>
    </row>
    <row r="1355" spans="1:4" x14ac:dyDescent="0.3">
      <c r="A1355" t="s">
        <v>26</v>
      </c>
      <c r="C1355" s="16">
        <v>46191</v>
      </c>
      <c r="D1355">
        <v>2237.77</v>
      </c>
    </row>
    <row r="1356" spans="1:4" x14ac:dyDescent="0.3">
      <c r="A1356" t="s">
        <v>27</v>
      </c>
      <c r="C1356" s="16">
        <v>46191</v>
      </c>
      <c r="D1356">
        <v>3349.94</v>
      </c>
    </row>
    <row r="1357" spans="1:4" x14ac:dyDescent="0.3">
      <c r="A1357" t="s">
        <v>28</v>
      </c>
      <c r="C1357" s="16">
        <v>46191</v>
      </c>
      <c r="D1357">
        <v>1968.99</v>
      </c>
    </row>
    <row r="1358" spans="1:4" x14ac:dyDescent="0.3">
      <c r="A1358" t="s">
        <v>29</v>
      </c>
      <c r="C1358" s="16">
        <v>46191</v>
      </c>
      <c r="D1358">
        <v>382.69000000000005</v>
      </c>
    </row>
    <row r="1359" spans="1:4" x14ac:dyDescent="0.3">
      <c r="A1359" t="s">
        <v>30</v>
      </c>
      <c r="C1359" s="16">
        <v>46191</v>
      </c>
      <c r="D1359">
        <v>1428.08</v>
      </c>
    </row>
    <row r="1360" spans="1:4" x14ac:dyDescent="0.3">
      <c r="A1360" t="s">
        <v>31</v>
      </c>
      <c r="C1360" s="16">
        <v>46191</v>
      </c>
      <c r="D1360">
        <v>29789.969999999961</v>
      </c>
    </row>
    <row r="1361" spans="1:4" x14ac:dyDescent="0.3">
      <c r="A1361" t="s">
        <v>32</v>
      </c>
      <c r="C1361" s="16">
        <v>46191</v>
      </c>
      <c r="D1361">
        <v>20321.43</v>
      </c>
    </row>
    <row r="1362" spans="1:4" x14ac:dyDescent="0.3">
      <c r="A1362" t="s">
        <v>33</v>
      </c>
      <c r="C1362" s="16">
        <v>46191</v>
      </c>
      <c r="D1362">
        <v>16681.349999999999</v>
      </c>
    </row>
    <row r="1363" spans="1:4" x14ac:dyDescent="0.3">
      <c r="A1363" t="s">
        <v>34</v>
      </c>
      <c r="C1363" s="16">
        <v>46191</v>
      </c>
      <c r="D1363">
        <v>345</v>
      </c>
    </row>
    <row r="1364" spans="1:4" x14ac:dyDescent="0.3">
      <c r="A1364" t="s">
        <v>35</v>
      </c>
      <c r="C1364" s="16">
        <v>46191</v>
      </c>
      <c r="D1364">
        <v>50334.36</v>
      </c>
    </row>
    <row r="1365" spans="1:4" x14ac:dyDescent="0.3">
      <c r="A1365" t="s">
        <v>193</v>
      </c>
      <c r="C1365" s="16">
        <v>46191</v>
      </c>
      <c r="D1365">
        <v>0</v>
      </c>
    </row>
    <row r="1366" spans="1:4" x14ac:dyDescent="0.3">
      <c r="A1366" t="s">
        <v>194</v>
      </c>
      <c r="C1366" s="16">
        <v>46191</v>
      </c>
      <c r="D1366">
        <v>0</v>
      </c>
    </row>
    <row r="1367" spans="1:4" x14ac:dyDescent="0.3">
      <c r="A1367" t="s">
        <v>195</v>
      </c>
      <c r="C1367" s="16">
        <v>46191</v>
      </c>
      <c r="D1367">
        <v>0</v>
      </c>
    </row>
    <row r="1368" spans="1:4" x14ac:dyDescent="0.3">
      <c r="A1368" t="s">
        <v>196</v>
      </c>
      <c r="C1368" s="16">
        <v>46191</v>
      </c>
      <c r="D1368">
        <v>0</v>
      </c>
    </row>
    <row r="1369" spans="1:4" x14ac:dyDescent="0.3">
      <c r="A1369" t="s">
        <v>197</v>
      </c>
      <c r="C1369" s="16">
        <v>46191</v>
      </c>
      <c r="D1369">
        <v>0</v>
      </c>
    </row>
    <row r="1370" spans="1:4" x14ac:dyDescent="0.3">
      <c r="A1370" t="s">
        <v>198</v>
      </c>
      <c r="C1370" s="16">
        <v>46191</v>
      </c>
      <c r="D1370">
        <v>0</v>
      </c>
    </row>
    <row r="1371" spans="1:4" x14ac:dyDescent="0.3">
      <c r="A1371" t="s">
        <v>216</v>
      </c>
      <c r="C1371" s="16">
        <v>46191</v>
      </c>
      <c r="D1371">
        <v>0</v>
      </c>
    </row>
    <row r="1372" spans="1:4" x14ac:dyDescent="0.3">
      <c r="A1372" t="s">
        <v>200</v>
      </c>
      <c r="C1372" s="16">
        <v>46191</v>
      </c>
      <c r="D1372">
        <v>0</v>
      </c>
    </row>
    <row r="1373" spans="1:4" x14ac:dyDescent="0.3">
      <c r="A1373" t="s">
        <v>201</v>
      </c>
      <c r="C1373" s="16">
        <v>46191</v>
      </c>
      <c r="D1373">
        <v>0</v>
      </c>
    </row>
    <row r="1374" spans="1:4" x14ac:dyDescent="0.3">
      <c r="A1374" t="s">
        <v>17</v>
      </c>
      <c r="C1374" s="16">
        <v>46192</v>
      </c>
      <c r="D1374">
        <v>1098358.7500000002</v>
      </c>
    </row>
    <row r="1375" spans="1:4" x14ac:dyDescent="0.3">
      <c r="A1375" t="s">
        <v>18</v>
      </c>
      <c r="C1375" s="16">
        <v>46192</v>
      </c>
      <c r="D1375">
        <v>69376.390000000174</v>
      </c>
    </row>
    <row r="1376" spans="1:4" x14ac:dyDescent="0.3">
      <c r="A1376" t="s">
        <v>19</v>
      </c>
      <c r="C1376" s="16">
        <v>46192</v>
      </c>
      <c r="D1376">
        <v>1669.89</v>
      </c>
    </row>
    <row r="1377" spans="1:4" x14ac:dyDescent="0.3">
      <c r="A1377" t="s">
        <v>20</v>
      </c>
      <c r="C1377" s="16">
        <v>46192</v>
      </c>
      <c r="D1377">
        <v>503904.80999999982</v>
      </c>
    </row>
    <row r="1378" spans="1:4" x14ac:dyDescent="0.3">
      <c r="A1378" t="s">
        <v>21</v>
      </c>
      <c r="C1378" s="16">
        <v>46192</v>
      </c>
      <c r="D1378">
        <v>3326696.7299999995</v>
      </c>
    </row>
    <row r="1379" spans="1:4" x14ac:dyDescent="0.3">
      <c r="A1379" t="s">
        <v>22</v>
      </c>
      <c r="C1379" s="16">
        <v>46192</v>
      </c>
      <c r="D1379">
        <v>116496.38</v>
      </c>
    </row>
    <row r="1380" spans="1:4" x14ac:dyDescent="0.3">
      <c r="A1380" t="s">
        <v>23</v>
      </c>
      <c r="C1380" s="16">
        <v>46192</v>
      </c>
      <c r="D1380">
        <v>88090.37</v>
      </c>
    </row>
    <row r="1381" spans="1:4" x14ac:dyDescent="0.3">
      <c r="A1381" t="s">
        <v>24</v>
      </c>
      <c r="C1381" s="16">
        <v>46192</v>
      </c>
      <c r="D1381">
        <v>511.15999999999985</v>
      </c>
    </row>
    <row r="1382" spans="1:4" x14ac:dyDescent="0.3">
      <c r="A1382" t="s">
        <v>25</v>
      </c>
      <c r="C1382" s="16">
        <v>46192</v>
      </c>
      <c r="D1382">
        <v>84.35</v>
      </c>
    </row>
    <row r="1383" spans="1:4" x14ac:dyDescent="0.3">
      <c r="A1383" t="s">
        <v>26</v>
      </c>
      <c r="C1383" s="16">
        <v>46192</v>
      </c>
      <c r="D1383">
        <v>2237.77</v>
      </c>
    </row>
    <row r="1384" spans="1:4" x14ac:dyDescent="0.3">
      <c r="A1384" t="s">
        <v>27</v>
      </c>
      <c r="C1384" s="16">
        <v>46192</v>
      </c>
      <c r="D1384">
        <v>3349.94</v>
      </c>
    </row>
    <row r="1385" spans="1:4" x14ac:dyDescent="0.3">
      <c r="A1385" t="s">
        <v>28</v>
      </c>
      <c r="C1385" s="16">
        <v>46192</v>
      </c>
      <c r="D1385">
        <v>1968.99</v>
      </c>
    </row>
    <row r="1386" spans="1:4" x14ac:dyDescent="0.3">
      <c r="A1386" t="s">
        <v>29</v>
      </c>
      <c r="C1386" s="16">
        <v>46192</v>
      </c>
      <c r="D1386">
        <v>382.69000000000005</v>
      </c>
    </row>
    <row r="1387" spans="1:4" x14ac:dyDescent="0.3">
      <c r="A1387" t="s">
        <v>30</v>
      </c>
      <c r="C1387" s="16">
        <v>46192</v>
      </c>
      <c r="D1387">
        <v>1428.08</v>
      </c>
    </row>
    <row r="1388" spans="1:4" x14ac:dyDescent="0.3">
      <c r="A1388" t="s">
        <v>31</v>
      </c>
      <c r="C1388" s="16">
        <v>46192</v>
      </c>
      <c r="D1388">
        <v>29789.969999999961</v>
      </c>
    </row>
    <row r="1389" spans="1:4" x14ac:dyDescent="0.3">
      <c r="A1389" t="s">
        <v>32</v>
      </c>
      <c r="C1389" s="16">
        <v>46192</v>
      </c>
      <c r="D1389">
        <v>20321.43</v>
      </c>
    </row>
    <row r="1390" spans="1:4" x14ac:dyDescent="0.3">
      <c r="A1390" t="s">
        <v>33</v>
      </c>
      <c r="C1390" s="16">
        <v>46192</v>
      </c>
      <c r="D1390">
        <v>16681.349999999999</v>
      </c>
    </row>
    <row r="1391" spans="1:4" x14ac:dyDescent="0.3">
      <c r="A1391" t="s">
        <v>34</v>
      </c>
      <c r="C1391" s="16">
        <v>46192</v>
      </c>
      <c r="D1391">
        <v>345</v>
      </c>
    </row>
    <row r="1392" spans="1:4" x14ac:dyDescent="0.3">
      <c r="A1392" t="s">
        <v>35</v>
      </c>
      <c r="C1392" s="16">
        <v>46192</v>
      </c>
      <c r="D1392">
        <v>50334.36</v>
      </c>
    </row>
    <row r="1393" spans="1:4" x14ac:dyDescent="0.3">
      <c r="A1393" t="s">
        <v>193</v>
      </c>
      <c r="C1393" s="16">
        <v>46192</v>
      </c>
      <c r="D1393">
        <v>0</v>
      </c>
    </row>
    <row r="1394" spans="1:4" x14ac:dyDescent="0.3">
      <c r="A1394" t="s">
        <v>194</v>
      </c>
      <c r="C1394" s="16">
        <v>46192</v>
      </c>
      <c r="D1394">
        <v>0</v>
      </c>
    </row>
    <row r="1395" spans="1:4" x14ac:dyDescent="0.3">
      <c r="A1395" t="s">
        <v>195</v>
      </c>
      <c r="C1395" s="16">
        <v>46192</v>
      </c>
      <c r="D1395">
        <v>0</v>
      </c>
    </row>
    <row r="1396" spans="1:4" x14ac:dyDescent="0.3">
      <c r="A1396" t="s">
        <v>196</v>
      </c>
      <c r="C1396" s="16">
        <v>46192</v>
      </c>
      <c r="D1396">
        <v>0</v>
      </c>
    </row>
    <row r="1397" spans="1:4" x14ac:dyDescent="0.3">
      <c r="A1397" t="s">
        <v>197</v>
      </c>
      <c r="C1397" s="16">
        <v>46192</v>
      </c>
      <c r="D1397">
        <v>0</v>
      </c>
    </row>
    <row r="1398" spans="1:4" x14ac:dyDescent="0.3">
      <c r="A1398" t="s">
        <v>198</v>
      </c>
      <c r="C1398" s="16">
        <v>46192</v>
      </c>
      <c r="D1398">
        <v>0</v>
      </c>
    </row>
    <row r="1399" spans="1:4" x14ac:dyDescent="0.3">
      <c r="A1399" t="s">
        <v>216</v>
      </c>
      <c r="C1399" s="16">
        <v>46192</v>
      </c>
      <c r="D1399">
        <v>0</v>
      </c>
    </row>
    <row r="1400" spans="1:4" x14ac:dyDescent="0.3">
      <c r="A1400" t="s">
        <v>200</v>
      </c>
      <c r="C1400" s="16">
        <v>46192</v>
      </c>
      <c r="D1400">
        <v>0</v>
      </c>
    </row>
    <row r="1401" spans="1:4" x14ac:dyDescent="0.3">
      <c r="A1401" t="s">
        <v>201</v>
      </c>
      <c r="C1401" s="16">
        <v>46192</v>
      </c>
      <c r="D1401">
        <v>0</v>
      </c>
    </row>
    <row r="1402" spans="1:4" x14ac:dyDescent="0.3">
      <c r="A1402" t="s">
        <v>17</v>
      </c>
      <c r="C1402" s="16">
        <v>46193</v>
      </c>
      <c r="D1402">
        <v>1098358.7500000002</v>
      </c>
    </row>
    <row r="1403" spans="1:4" x14ac:dyDescent="0.3">
      <c r="A1403" t="s">
        <v>18</v>
      </c>
      <c r="C1403" s="16">
        <v>46193</v>
      </c>
      <c r="D1403">
        <v>69376.390000000174</v>
      </c>
    </row>
    <row r="1404" spans="1:4" x14ac:dyDescent="0.3">
      <c r="A1404" t="s">
        <v>19</v>
      </c>
      <c r="C1404" s="16">
        <v>46193</v>
      </c>
      <c r="D1404">
        <v>1669.89</v>
      </c>
    </row>
    <row r="1405" spans="1:4" x14ac:dyDescent="0.3">
      <c r="A1405" t="s">
        <v>20</v>
      </c>
      <c r="C1405" s="16">
        <v>46193</v>
      </c>
      <c r="D1405">
        <v>503904.80999999982</v>
      </c>
    </row>
    <row r="1406" spans="1:4" x14ac:dyDescent="0.3">
      <c r="A1406" t="s">
        <v>21</v>
      </c>
      <c r="C1406" s="16">
        <v>46193</v>
      </c>
      <c r="D1406">
        <v>3326696.7299999995</v>
      </c>
    </row>
    <row r="1407" spans="1:4" x14ac:dyDescent="0.3">
      <c r="A1407" t="s">
        <v>22</v>
      </c>
      <c r="C1407" s="16">
        <v>46193</v>
      </c>
      <c r="D1407">
        <v>116496.38</v>
      </c>
    </row>
    <row r="1408" spans="1:4" x14ac:dyDescent="0.3">
      <c r="A1408" t="s">
        <v>23</v>
      </c>
      <c r="C1408" s="16">
        <v>46193</v>
      </c>
      <c r="D1408">
        <v>88090.37</v>
      </c>
    </row>
    <row r="1409" spans="1:4" x14ac:dyDescent="0.3">
      <c r="A1409" t="s">
        <v>24</v>
      </c>
      <c r="C1409" s="16">
        <v>46193</v>
      </c>
      <c r="D1409">
        <v>511.15999999999985</v>
      </c>
    </row>
    <row r="1410" spans="1:4" x14ac:dyDescent="0.3">
      <c r="A1410" t="s">
        <v>25</v>
      </c>
      <c r="C1410" s="16">
        <v>46193</v>
      </c>
      <c r="D1410">
        <v>84.35</v>
      </c>
    </row>
    <row r="1411" spans="1:4" x14ac:dyDescent="0.3">
      <c r="A1411" t="s">
        <v>26</v>
      </c>
      <c r="C1411" s="16">
        <v>46193</v>
      </c>
      <c r="D1411">
        <v>2237.77</v>
      </c>
    </row>
    <row r="1412" spans="1:4" x14ac:dyDescent="0.3">
      <c r="A1412" t="s">
        <v>27</v>
      </c>
      <c r="C1412" s="16">
        <v>46193</v>
      </c>
      <c r="D1412">
        <v>3349.94</v>
      </c>
    </row>
    <row r="1413" spans="1:4" x14ac:dyDescent="0.3">
      <c r="A1413" t="s">
        <v>28</v>
      </c>
      <c r="C1413" s="16">
        <v>46193</v>
      </c>
      <c r="D1413">
        <v>1968.99</v>
      </c>
    </row>
    <row r="1414" spans="1:4" x14ac:dyDescent="0.3">
      <c r="A1414" t="s">
        <v>29</v>
      </c>
      <c r="C1414" s="16">
        <v>46193</v>
      </c>
      <c r="D1414">
        <v>382.69000000000005</v>
      </c>
    </row>
    <row r="1415" spans="1:4" x14ac:dyDescent="0.3">
      <c r="A1415" t="s">
        <v>30</v>
      </c>
      <c r="C1415" s="16">
        <v>46193</v>
      </c>
      <c r="D1415">
        <v>1428.08</v>
      </c>
    </row>
    <row r="1416" spans="1:4" x14ac:dyDescent="0.3">
      <c r="A1416" t="s">
        <v>31</v>
      </c>
      <c r="C1416" s="16">
        <v>46193</v>
      </c>
      <c r="D1416">
        <v>29789.969999999961</v>
      </c>
    </row>
    <row r="1417" spans="1:4" x14ac:dyDescent="0.3">
      <c r="A1417" t="s">
        <v>32</v>
      </c>
      <c r="C1417" s="16">
        <v>46193</v>
      </c>
      <c r="D1417">
        <v>20321.43</v>
      </c>
    </row>
    <row r="1418" spans="1:4" x14ac:dyDescent="0.3">
      <c r="A1418" t="s">
        <v>33</v>
      </c>
      <c r="C1418" s="16">
        <v>46193</v>
      </c>
      <c r="D1418">
        <v>16681.349999999999</v>
      </c>
    </row>
    <row r="1419" spans="1:4" x14ac:dyDescent="0.3">
      <c r="A1419" t="s">
        <v>34</v>
      </c>
      <c r="C1419" s="16">
        <v>46193</v>
      </c>
      <c r="D1419">
        <v>345</v>
      </c>
    </row>
    <row r="1420" spans="1:4" x14ac:dyDescent="0.3">
      <c r="A1420" t="s">
        <v>35</v>
      </c>
      <c r="C1420" s="16">
        <v>46193</v>
      </c>
      <c r="D1420">
        <v>50334.36</v>
      </c>
    </row>
    <row r="1421" spans="1:4" x14ac:dyDescent="0.3">
      <c r="A1421" t="s">
        <v>193</v>
      </c>
      <c r="C1421" s="16">
        <v>46193</v>
      </c>
      <c r="D1421">
        <v>0</v>
      </c>
    </row>
    <row r="1422" spans="1:4" x14ac:dyDescent="0.3">
      <c r="A1422" t="s">
        <v>194</v>
      </c>
      <c r="C1422" s="16">
        <v>46193</v>
      </c>
      <c r="D1422">
        <v>0</v>
      </c>
    </row>
    <row r="1423" spans="1:4" x14ac:dyDescent="0.3">
      <c r="A1423" t="s">
        <v>195</v>
      </c>
      <c r="C1423" s="16">
        <v>46193</v>
      </c>
      <c r="D1423">
        <v>0</v>
      </c>
    </row>
    <row r="1424" spans="1:4" x14ac:dyDescent="0.3">
      <c r="A1424" t="s">
        <v>196</v>
      </c>
      <c r="C1424" s="16">
        <v>46193</v>
      </c>
      <c r="D1424">
        <v>0</v>
      </c>
    </row>
    <row r="1425" spans="1:4" x14ac:dyDescent="0.3">
      <c r="A1425" t="s">
        <v>197</v>
      </c>
      <c r="C1425" s="16">
        <v>46193</v>
      </c>
      <c r="D1425">
        <v>0</v>
      </c>
    </row>
    <row r="1426" spans="1:4" x14ac:dyDescent="0.3">
      <c r="A1426" t="s">
        <v>198</v>
      </c>
      <c r="C1426" s="16">
        <v>46193</v>
      </c>
      <c r="D1426">
        <v>0</v>
      </c>
    </row>
    <row r="1427" spans="1:4" x14ac:dyDescent="0.3">
      <c r="A1427" t="s">
        <v>216</v>
      </c>
      <c r="C1427" s="16">
        <v>46193</v>
      </c>
      <c r="D1427">
        <v>0</v>
      </c>
    </row>
    <row r="1428" spans="1:4" x14ac:dyDescent="0.3">
      <c r="A1428" t="s">
        <v>200</v>
      </c>
      <c r="C1428" s="16">
        <v>46193</v>
      </c>
      <c r="D1428">
        <v>0</v>
      </c>
    </row>
    <row r="1429" spans="1:4" x14ac:dyDescent="0.3">
      <c r="A1429" t="s">
        <v>201</v>
      </c>
      <c r="C1429" s="16">
        <v>46193</v>
      </c>
      <c r="D1429">
        <v>0</v>
      </c>
    </row>
    <row r="1430" spans="1:4" x14ac:dyDescent="0.3">
      <c r="A1430" t="s">
        <v>17</v>
      </c>
      <c r="C1430" s="16">
        <v>46194</v>
      </c>
      <c r="D1430">
        <v>1098358.7500000002</v>
      </c>
    </row>
    <row r="1431" spans="1:4" x14ac:dyDescent="0.3">
      <c r="A1431" t="s">
        <v>18</v>
      </c>
      <c r="C1431" s="16">
        <v>46194</v>
      </c>
      <c r="D1431">
        <v>69376.390000000174</v>
      </c>
    </row>
    <row r="1432" spans="1:4" x14ac:dyDescent="0.3">
      <c r="A1432" t="s">
        <v>19</v>
      </c>
      <c r="C1432" s="16">
        <v>46194</v>
      </c>
      <c r="D1432">
        <v>1669.89</v>
      </c>
    </row>
    <row r="1433" spans="1:4" x14ac:dyDescent="0.3">
      <c r="A1433" t="s">
        <v>20</v>
      </c>
      <c r="C1433" s="16">
        <v>46194</v>
      </c>
      <c r="D1433">
        <v>503904.80999999982</v>
      </c>
    </row>
    <row r="1434" spans="1:4" x14ac:dyDescent="0.3">
      <c r="A1434" t="s">
        <v>21</v>
      </c>
      <c r="C1434" s="16">
        <v>46194</v>
      </c>
      <c r="D1434">
        <v>3326696.7299999995</v>
      </c>
    </row>
    <row r="1435" spans="1:4" x14ac:dyDescent="0.3">
      <c r="A1435" t="s">
        <v>22</v>
      </c>
      <c r="C1435" s="16">
        <v>46194</v>
      </c>
      <c r="D1435">
        <v>116496.38</v>
      </c>
    </row>
    <row r="1436" spans="1:4" x14ac:dyDescent="0.3">
      <c r="A1436" t="s">
        <v>23</v>
      </c>
      <c r="C1436" s="16">
        <v>46194</v>
      </c>
      <c r="D1436">
        <v>88090.37</v>
      </c>
    </row>
    <row r="1437" spans="1:4" x14ac:dyDescent="0.3">
      <c r="A1437" t="s">
        <v>24</v>
      </c>
      <c r="C1437" s="16">
        <v>46194</v>
      </c>
      <c r="D1437">
        <v>511.15999999999985</v>
      </c>
    </row>
    <row r="1438" spans="1:4" x14ac:dyDescent="0.3">
      <c r="A1438" t="s">
        <v>25</v>
      </c>
      <c r="C1438" s="16">
        <v>46194</v>
      </c>
      <c r="D1438">
        <v>84.35</v>
      </c>
    </row>
    <row r="1439" spans="1:4" x14ac:dyDescent="0.3">
      <c r="A1439" t="s">
        <v>26</v>
      </c>
      <c r="C1439" s="16">
        <v>46194</v>
      </c>
      <c r="D1439">
        <v>2237.77</v>
      </c>
    </row>
    <row r="1440" spans="1:4" x14ac:dyDescent="0.3">
      <c r="A1440" t="s">
        <v>27</v>
      </c>
      <c r="C1440" s="16">
        <v>46194</v>
      </c>
      <c r="D1440">
        <v>3349.94</v>
      </c>
    </row>
    <row r="1441" spans="1:4" x14ac:dyDescent="0.3">
      <c r="A1441" t="s">
        <v>28</v>
      </c>
      <c r="C1441" s="16">
        <v>46194</v>
      </c>
      <c r="D1441">
        <v>1968.99</v>
      </c>
    </row>
    <row r="1442" spans="1:4" x14ac:dyDescent="0.3">
      <c r="A1442" t="s">
        <v>29</v>
      </c>
      <c r="C1442" s="16">
        <v>46194</v>
      </c>
      <c r="D1442">
        <v>382.69000000000005</v>
      </c>
    </row>
    <row r="1443" spans="1:4" x14ac:dyDescent="0.3">
      <c r="A1443" t="s">
        <v>30</v>
      </c>
      <c r="C1443" s="16">
        <v>46194</v>
      </c>
      <c r="D1443">
        <v>1428.08</v>
      </c>
    </row>
    <row r="1444" spans="1:4" x14ac:dyDescent="0.3">
      <c r="A1444" t="s">
        <v>31</v>
      </c>
      <c r="C1444" s="16">
        <v>46194</v>
      </c>
      <c r="D1444">
        <v>29789.969999999961</v>
      </c>
    </row>
    <row r="1445" spans="1:4" x14ac:dyDescent="0.3">
      <c r="A1445" t="s">
        <v>32</v>
      </c>
      <c r="C1445" s="16">
        <v>46194</v>
      </c>
      <c r="D1445">
        <v>20321.43</v>
      </c>
    </row>
    <row r="1446" spans="1:4" x14ac:dyDescent="0.3">
      <c r="A1446" t="s">
        <v>33</v>
      </c>
      <c r="C1446" s="16">
        <v>46194</v>
      </c>
      <c r="D1446">
        <v>16681.349999999999</v>
      </c>
    </row>
    <row r="1447" spans="1:4" x14ac:dyDescent="0.3">
      <c r="A1447" t="s">
        <v>34</v>
      </c>
      <c r="C1447" s="16">
        <v>46194</v>
      </c>
      <c r="D1447">
        <v>345</v>
      </c>
    </row>
    <row r="1448" spans="1:4" x14ac:dyDescent="0.3">
      <c r="A1448" t="s">
        <v>35</v>
      </c>
      <c r="C1448" s="16">
        <v>46194</v>
      </c>
      <c r="D1448">
        <v>50334.36</v>
      </c>
    </row>
    <row r="1449" spans="1:4" x14ac:dyDescent="0.3">
      <c r="A1449" t="s">
        <v>193</v>
      </c>
      <c r="C1449" s="16">
        <v>46194</v>
      </c>
      <c r="D1449">
        <v>0</v>
      </c>
    </row>
    <row r="1450" spans="1:4" x14ac:dyDescent="0.3">
      <c r="A1450" t="s">
        <v>194</v>
      </c>
      <c r="C1450" s="16">
        <v>46194</v>
      </c>
      <c r="D1450">
        <v>0</v>
      </c>
    </row>
    <row r="1451" spans="1:4" x14ac:dyDescent="0.3">
      <c r="A1451" t="s">
        <v>195</v>
      </c>
      <c r="C1451" s="16">
        <v>46194</v>
      </c>
      <c r="D1451">
        <v>0</v>
      </c>
    </row>
    <row r="1452" spans="1:4" x14ac:dyDescent="0.3">
      <c r="A1452" t="s">
        <v>196</v>
      </c>
      <c r="C1452" s="16">
        <v>46194</v>
      </c>
      <c r="D1452">
        <v>0</v>
      </c>
    </row>
    <row r="1453" spans="1:4" x14ac:dyDescent="0.3">
      <c r="A1453" t="s">
        <v>197</v>
      </c>
      <c r="C1453" s="16">
        <v>46194</v>
      </c>
      <c r="D1453">
        <v>0</v>
      </c>
    </row>
    <row r="1454" spans="1:4" x14ac:dyDescent="0.3">
      <c r="A1454" t="s">
        <v>198</v>
      </c>
      <c r="C1454" s="16">
        <v>46194</v>
      </c>
      <c r="D1454">
        <v>0</v>
      </c>
    </row>
    <row r="1455" spans="1:4" x14ac:dyDescent="0.3">
      <c r="A1455" t="s">
        <v>216</v>
      </c>
      <c r="C1455" s="16">
        <v>46194</v>
      </c>
      <c r="D1455">
        <v>0</v>
      </c>
    </row>
    <row r="1456" spans="1:4" x14ac:dyDescent="0.3">
      <c r="A1456" t="s">
        <v>200</v>
      </c>
      <c r="C1456" s="16">
        <v>46194</v>
      </c>
      <c r="D1456">
        <v>0</v>
      </c>
    </row>
    <row r="1457" spans="1:4" x14ac:dyDescent="0.3">
      <c r="A1457" t="s">
        <v>201</v>
      </c>
      <c r="C1457" s="16">
        <v>46194</v>
      </c>
      <c r="D1457">
        <v>0</v>
      </c>
    </row>
    <row r="1458" spans="1:4" x14ac:dyDescent="0.3">
      <c r="A1458" t="s">
        <v>17</v>
      </c>
      <c r="C1458" s="16">
        <v>46195</v>
      </c>
      <c r="D1458">
        <v>7613332.1400000006</v>
      </c>
    </row>
    <row r="1459" spans="1:4" x14ac:dyDescent="0.3">
      <c r="A1459" t="s">
        <v>18</v>
      </c>
      <c r="C1459" s="16">
        <v>46195</v>
      </c>
      <c r="D1459">
        <v>69376.390000000174</v>
      </c>
    </row>
    <row r="1460" spans="1:4" x14ac:dyDescent="0.3">
      <c r="A1460" t="s">
        <v>19</v>
      </c>
      <c r="C1460" s="16">
        <v>46195</v>
      </c>
      <c r="D1460">
        <v>1669.89</v>
      </c>
    </row>
    <row r="1461" spans="1:4" x14ac:dyDescent="0.3">
      <c r="A1461" t="s">
        <v>20</v>
      </c>
      <c r="C1461" s="16">
        <v>46195</v>
      </c>
      <c r="D1461">
        <v>503904.80999999982</v>
      </c>
    </row>
    <row r="1462" spans="1:4" x14ac:dyDescent="0.3">
      <c r="A1462" t="s">
        <v>21</v>
      </c>
      <c r="C1462" s="16">
        <v>46195</v>
      </c>
      <c r="D1462">
        <v>3325868.6899999995</v>
      </c>
    </row>
    <row r="1463" spans="1:4" x14ac:dyDescent="0.3">
      <c r="A1463" t="s">
        <v>22</v>
      </c>
      <c r="C1463" s="16">
        <v>46195</v>
      </c>
      <c r="D1463">
        <v>116496.38</v>
      </c>
    </row>
    <row r="1464" spans="1:4" x14ac:dyDescent="0.3">
      <c r="A1464" t="s">
        <v>23</v>
      </c>
      <c r="C1464" s="16">
        <v>46195</v>
      </c>
      <c r="D1464">
        <v>88090.37</v>
      </c>
    </row>
    <row r="1465" spans="1:4" x14ac:dyDescent="0.3">
      <c r="A1465" t="s">
        <v>24</v>
      </c>
      <c r="C1465" s="16">
        <v>46195</v>
      </c>
      <c r="D1465">
        <v>511.15999999999985</v>
      </c>
    </row>
    <row r="1466" spans="1:4" x14ac:dyDescent="0.3">
      <c r="A1466" t="s">
        <v>25</v>
      </c>
      <c r="C1466" s="16">
        <v>46195</v>
      </c>
      <c r="D1466">
        <v>84.35</v>
      </c>
    </row>
    <row r="1467" spans="1:4" x14ac:dyDescent="0.3">
      <c r="A1467" t="s">
        <v>26</v>
      </c>
      <c r="C1467" s="16">
        <v>46195</v>
      </c>
      <c r="D1467">
        <v>2237.77</v>
      </c>
    </row>
    <row r="1468" spans="1:4" x14ac:dyDescent="0.3">
      <c r="A1468" t="s">
        <v>27</v>
      </c>
      <c r="C1468" s="16">
        <v>46195</v>
      </c>
      <c r="D1468">
        <v>3349.94</v>
      </c>
    </row>
    <row r="1469" spans="1:4" x14ac:dyDescent="0.3">
      <c r="A1469" t="s">
        <v>28</v>
      </c>
      <c r="C1469" s="16">
        <v>46195</v>
      </c>
      <c r="D1469">
        <v>1968.99</v>
      </c>
    </row>
    <row r="1470" spans="1:4" x14ac:dyDescent="0.3">
      <c r="A1470" t="s">
        <v>29</v>
      </c>
      <c r="C1470" s="16">
        <v>46195</v>
      </c>
      <c r="D1470">
        <v>382.69000000000005</v>
      </c>
    </row>
    <row r="1471" spans="1:4" x14ac:dyDescent="0.3">
      <c r="A1471" t="s">
        <v>30</v>
      </c>
      <c r="C1471" s="16">
        <v>46195</v>
      </c>
      <c r="D1471">
        <v>1428.08</v>
      </c>
    </row>
    <row r="1472" spans="1:4" x14ac:dyDescent="0.3">
      <c r="A1472" t="s">
        <v>31</v>
      </c>
      <c r="C1472" s="16">
        <v>46195</v>
      </c>
      <c r="D1472">
        <v>31039.969999999961</v>
      </c>
    </row>
    <row r="1473" spans="1:4" x14ac:dyDescent="0.3">
      <c r="A1473" t="s">
        <v>32</v>
      </c>
      <c r="C1473" s="16">
        <v>46195</v>
      </c>
      <c r="D1473">
        <v>20321.43</v>
      </c>
    </row>
    <row r="1474" spans="1:4" x14ac:dyDescent="0.3">
      <c r="A1474" t="s">
        <v>33</v>
      </c>
      <c r="C1474" s="16">
        <v>46195</v>
      </c>
      <c r="D1474">
        <v>16681.349999999999</v>
      </c>
    </row>
    <row r="1475" spans="1:4" x14ac:dyDescent="0.3">
      <c r="A1475" t="s">
        <v>34</v>
      </c>
      <c r="C1475" s="16">
        <v>46195</v>
      </c>
      <c r="D1475">
        <v>345</v>
      </c>
    </row>
    <row r="1476" spans="1:4" x14ac:dyDescent="0.3">
      <c r="A1476" t="s">
        <v>35</v>
      </c>
      <c r="C1476" s="16">
        <v>46195</v>
      </c>
      <c r="D1476">
        <v>50109.68</v>
      </c>
    </row>
    <row r="1477" spans="1:4" x14ac:dyDescent="0.3">
      <c r="A1477" t="s">
        <v>193</v>
      </c>
      <c r="C1477" s="16">
        <v>46195</v>
      </c>
      <c r="D1477">
        <v>0</v>
      </c>
    </row>
    <row r="1478" spans="1:4" x14ac:dyDescent="0.3">
      <c r="A1478" t="s">
        <v>194</v>
      </c>
      <c r="C1478" s="16">
        <v>46195</v>
      </c>
      <c r="D1478">
        <v>0</v>
      </c>
    </row>
    <row r="1479" spans="1:4" x14ac:dyDescent="0.3">
      <c r="A1479" t="s">
        <v>195</v>
      </c>
      <c r="C1479" s="16">
        <v>46195</v>
      </c>
      <c r="D1479">
        <v>0</v>
      </c>
    </row>
    <row r="1480" spans="1:4" x14ac:dyDescent="0.3">
      <c r="A1480" t="s">
        <v>196</v>
      </c>
      <c r="C1480" s="16">
        <v>46195</v>
      </c>
      <c r="D1480">
        <v>0</v>
      </c>
    </row>
    <row r="1481" spans="1:4" x14ac:dyDescent="0.3">
      <c r="A1481" t="s">
        <v>197</v>
      </c>
      <c r="C1481" s="16">
        <v>46195</v>
      </c>
      <c r="D1481">
        <v>0</v>
      </c>
    </row>
    <row r="1482" spans="1:4" x14ac:dyDescent="0.3">
      <c r="A1482" t="s">
        <v>198</v>
      </c>
      <c r="C1482" s="16">
        <v>46195</v>
      </c>
      <c r="D1482">
        <v>0</v>
      </c>
    </row>
    <row r="1483" spans="1:4" x14ac:dyDescent="0.3">
      <c r="A1483" t="s">
        <v>216</v>
      </c>
      <c r="C1483" s="16">
        <v>46195</v>
      </c>
      <c r="D1483">
        <v>0</v>
      </c>
    </row>
    <row r="1484" spans="1:4" x14ac:dyDescent="0.3">
      <c r="A1484" t="s">
        <v>200</v>
      </c>
      <c r="C1484" s="16">
        <v>46195</v>
      </c>
      <c r="D1484">
        <v>0</v>
      </c>
    </row>
    <row r="1485" spans="1:4" x14ac:dyDescent="0.3">
      <c r="A1485" t="s">
        <v>201</v>
      </c>
      <c r="C1485" s="16">
        <v>46195</v>
      </c>
      <c r="D1485">
        <v>0</v>
      </c>
    </row>
    <row r="1486" spans="1:4" x14ac:dyDescent="0.3">
      <c r="A1486" t="s">
        <v>17</v>
      </c>
      <c r="C1486" s="16">
        <v>46196</v>
      </c>
      <c r="D1486">
        <v>7675741.5900000008</v>
      </c>
    </row>
    <row r="1487" spans="1:4" x14ac:dyDescent="0.3">
      <c r="A1487" t="s">
        <v>18</v>
      </c>
      <c r="C1487" s="16">
        <v>46196</v>
      </c>
      <c r="D1487">
        <v>69376.390000000174</v>
      </c>
    </row>
    <row r="1488" spans="1:4" x14ac:dyDescent="0.3">
      <c r="A1488" t="s">
        <v>19</v>
      </c>
      <c r="C1488" s="16">
        <v>46196</v>
      </c>
      <c r="D1488">
        <v>1669.89</v>
      </c>
    </row>
    <row r="1489" spans="1:4" x14ac:dyDescent="0.3">
      <c r="A1489" t="s">
        <v>20</v>
      </c>
      <c r="C1489" s="16">
        <v>46196</v>
      </c>
      <c r="D1489">
        <v>503904.80999999982</v>
      </c>
    </row>
    <row r="1490" spans="1:4" x14ac:dyDescent="0.3">
      <c r="A1490" t="s">
        <v>21</v>
      </c>
      <c r="C1490" s="16">
        <v>46196</v>
      </c>
      <c r="D1490">
        <v>3325868.6899999995</v>
      </c>
    </row>
    <row r="1491" spans="1:4" x14ac:dyDescent="0.3">
      <c r="A1491" t="s">
        <v>22</v>
      </c>
      <c r="C1491" s="16">
        <v>46196</v>
      </c>
      <c r="D1491">
        <v>116496.38</v>
      </c>
    </row>
    <row r="1492" spans="1:4" x14ac:dyDescent="0.3">
      <c r="A1492" t="s">
        <v>23</v>
      </c>
      <c r="C1492" s="16">
        <v>46196</v>
      </c>
      <c r="D1492">
        <v>88090.37</v>
      </c>
    </row>
    <row r="1493" spans="1:4" x14ac:dyDescent="0.3">
      <c r="A1493" t="s">
        <v>24</v>
      </c>
      <c r="C1493" s="16">
        <v>46196</v>
      </c>
      <c r="D1493">
        <v>511.15999999999985</v>
      </c>
    </row>
    <row r="1494" spans="1:4" x14ac:dyDescent="0.3">
      <c r="A1494" t="s">
        <v>25</v>
      </c>
      <c r="C1494" s="16">
        <v>46196</v>
      </c>
      <c r="D1494">
        <v>84.35</v>
      </c>
    </row>
    <row r="1495" spans="1:4" x14ac:dyDescent="0.3">
      <c r="A1495" t="s">
        <v>26</v>
      </c>
      <c r="C1495" s="16">
        <v>46196</v>
      </c>
      <c r="D1495">
        <v>2237.77</v>
      </c>
    </row>
    <row r="1496" spans="1:4" x14ac:dyDescent="0.3">
      <c r="A1496" t="s">
        <v>27</v>
      </c>
      <c r="C1496" s="16">
        <v>46196</v>
      </c>
      <c r="D1496">
        <v>3349.94</v>
      </c>
    </row>
    <row r="1497" spans="1:4" x14ac:dyDescent="0.3">
      <c r="A1497" t="s">
        <v>28</v>
      </c>
      <c r="C1497" s="16">
        <v>46196</v>
      </c>
      <c r="D1497">
        <v>1968.99</v>
      </c>
    </row>
    <row r="1498" spans="1:4" x14ac:dyDescent="0.3">
      <c r="A1498" t="s">
        <v>29</v>
      </c>
      <c r="C1498" s="16">
        <v>46196</v>
      </c>
      <c r="D1498">
        <v>382.69000000000005</v>
      </c>
    </row>
    <row r="1499" spans="1:4" x14ac:dyDescent="0.3">
      <c r="A1499" t="s">
        <v>30</v>
      </c>
      <c r="C1499" s="16">
        <v>46196</v>
      </c>
      <c r="D1499">
        <v>1428.08</v>
      </c>
    </row>
    <row r="1500" spans="1:4" x14ac:dyDescent="0.3">
      <c r="A1500" t="s">
        <v>31</v>
      </c>
      <c r="C1500" s="16">
        <v>46196</v>
      </c>
      <c r="D1500">
        <v>31039.969999999961</v>
      </c>
    </row>
    <row r="1501" spans="1:4" x14ac:dyDescent="0.3">
      <c r="A1501" t="s">
        <v>32</v>
      </c>
      <c r="C1501" s="16">
        <v>46196</v>
      </c>
      <c r="D1501">
        <v>20321.43</v>
      </c>
    </row>
    <row r="1502" spans="1:4" x14ac:dyDescent="0.3">
      <c r="A1502" t="s">
        <v>33</v>
      </c>
      <c r="C1502" s="16">
        <v>46196</v>
      </c>
      <c r="D1502">
        <v>16681.349999999999</v>
      </c>
    </row>
    <row r="1503" spans="1:4" x14ac:dyDescent="0.3">
      <c r="A1503" t="s">
        <v>34</v>
      </c>
      <c r="C1503" s="16">
        <v>46196</v>
      </c>
      <c r="D1503">
        <v>345</v>
      </c>
    </row>
    <row r="1504" spans="1:4" x14ac:dyDescent="0.3">
      <c r="A1504" t="s">
        <v>35</v>
      </c>
      <c r="C1504" s="16">
        <v>46196</v>
      </c>
      <c r="D1504">
        <v>49981.31</v>
      </c>
    </row>
    <row r="1505" spans="1:4" x14ac:dyDescent="0.3">
      <c r="A1505" t="s">
        <v>193</v>
      </c>
      <c r="C1505" s="16">
        <v>46196</v>
      </c>
      <c r="D1505">
        <v>0</v>
      </c>
    </row>
    <row r="1506" spans="1:4" x14ac:dyDescent="0.3">
      <c r="A1506" t="s">
        <v>194</v>
      </c>
      <c r="C1506" s="16">
        <v>46196</v>
      </c>
      <c r="D1506">
        <v>0</v>
      </c>
    </row>
    <row r="1507" spans="1:4" x14ac:dyDescent="0.3">
      <c r="A1507" t="s">
        <v>195</v>
      </c>
      <c r="C1507" s="16">
        <v>46196</v>
      </c>
      <c r="D1507">
        <v>0</v>
      </c>
    </row>
    <row r="1508" spans="1:4" x14ac:dyDescent="0.3">
      <c r="A1508" t="s">
        <v>196</v>
      </c>
      <c r="C1508" s="16">
        <v>46196</v>
      </c>
      <c r="D1508">
        <v>0</v>
      </c>
    </row>
    <row r="1509" spans="1:4" x14ac:dyDescent="0.3">
      <c r="A1509" t="s">
        <v>197</v>
      </c>
      <c r="C1509" s="16">
        <v>46196</v>
      </c>
      <c r="D1509">
        <v>0</v>
      </c>
    </row>
    <row r="1510" spans="1:4" x14ac:dyDescent="0.3">
      <c r="A1510" t="s">
        <v>198</v>
      </c>
      <c r="C1510" s="16">
        <v>46196</v>
      </c>
      <c r="D1510">
        <v>0</v>
      </c>
    </row>
    <row r="1511" spans="1:4" x14ac:dyDescent="0.3">
      <c r="A1511" t="s">
        <v>216</v>
      </c>
      <c r="C1511" s="16">
        <v>46196</v>
      </c>
      <c r="D1511">
        <v>0</v>
      </c>
    </row>
    <row r="1512" spans="1:4" x14ac:dyDescent="0.3">
      <c r="A1512" t="s">
        <v>200</v>
      </c>
      <c r="C1512" s="16">
        <v>46196</v>
      </c>
      <c r="D1512">
        <v>0</v>
      </c>
    </row>
    <row r="1513" spans="1:4" x14ac:dyDescent="0.3">
      <c r="A1513" t="s">
        <v>201</v>
      </c>
      <c r="C1513" s="16">
        <v>46196</v>
      </c>
      <c r="D1513">
        <v>0</v>
      </c>
    </row>
    <row r="1514" spans="1:4" x14ac:dyDescent="0.3">
      <c r="A1514" t="s">
        <v>17</v>
      </c>
      <c r="C1514" s="16">
        <v>46197</v>
      </c>
      <c r="D1514">
        <v>7742810.7100000009</v>
      </c>
    </row>
    <row r="1515" spans="1:4" x14ac:dyDescent="0.3">
      <c r="A1515" t="s">
        <v>18</v>
      </c>
      <c r="C1515" s="16">
        <v>46197</v>
      </c>
      <c r="D1515">
        <v>72386.190000000177</v>
      </c>
    </row>
    <row r="1516" spans="1:4" x14ac:dyDescent="0.3">
      <c r="A1516" t="s">
        <v>19</v>
      </c>
      <c r="C1516" s="16">
        <v>46197</v>
      </c>
      <c r="D1516">
        <v>1669.89</v>
      </c>
    </row>
    <row r="1517" spans="1:4" x14ac:dyDescent="0.3">
      <c r="A1517" t="s">
        <v>20</v>
      </c>
      <c r="C1517" s="16">
        <v>46197</v>
      </c>
      <c r="D1517">
        <v>532766.72999999986</v>
      </c>
    </row>
    <row r="1518" spans="1:4" x14ac:dyDescent="0.3">
      <c r="A1518" t="s">
        <v>21</v>
      </c>
      <c r="C1518" s="16">
        <v>46197</v>
      </c>
      <c r="D1518">
        <v>3325868.6899999995</v>
      </c>
    </row>
    <row r="1519" spans="1:4" x14ac:dyDescent="0.3">
      <c r="A1519" t="s">
        <v>22</v>
      </c>
      <c r="C1519" s="16">
        <v>46197</v>
      </c>
      <c r="D1519">
        <v>116496.38</v>
      </c>
    </row>
    <row r="1520" spans="1:4" x14ac:dyDescent="0.3">
      <c r="A1520" t="s">
        <v>23</v>
      </c>
      <c r="C1520" s="16">
        <v>46197</v>
      </c>
      <c r="D1520">
        <v>88090.37</v>
      </c>
    </row>
    <row r="1521" spans="1:4" x14ac:dyDescent="0.3">
      <c r="A1521" t="s">
        <v>24</v>
      </c>
      <c r="C1521" s="16">
        <v>46197</v>
      </c>
      <c r="D1521">
        <v>511.15999999999985</v>
      </c>
    </row>
    <row r="1522" spans="1:4" x14ac:dyDescent="0.3">
      <c r="A1522" t="s">
        <v>25</v>
      </c>
      <c r="C1522" s="16">
        <v>46197</v>
      </c>
      <c r="D1522">
        <v>84.35</v>
      </c>
    </row>
    <row r="1523" spans="1:4" x14ac:dyDescent="0.3">
      <c r="A1523" t="s">
        <v>26</v>
      </c>
      <c r="C1523" s="16">
        <v>46197</v>
      </c>
      <c r="D1523">
        <v>2237.77</v>
      </c>
    </row>
    <row r="1524" spans="1:4" x14ac:dyDescent="0.3">
      <c r="A1524" t="s">
        <v>27</v>
      </c>
      <c r="C1524" s="16">
        <v>46197</v>
      </c>
      <c r="D1524">
        <v>3349.94</v>
      </c>
    </row>
    <row r="1525" spans="1:4" x14ac:dyDescent="0.3">
      <c r="A1525" t="s">
        <v>28</v>
      </c>
      <c r="C1525" s="16">
        <v>46197</v>
      </c>
      <c r="D1525">
        <v>1968.99</v>
      </c>
    </row>
    <row r="1526" spans="1:4" x14ac:dyDescent="0.3">
      <c r="A1526" t="s">
        <v>29</v>
      </c>
      <c r="C1526" s="16">
        <v>46197</v>
      </c>
      <c r="D1526">
        <v>382.69000000000005</v>
      </c>
    </row>
    <row r="1527" spans="1:4" x14ac:dyDescent="0.3">
      <c r="A1527" t="s">
        <v>30</v>
      </c>
      <c r="C1527" s="16">
        <v>46197</v>
      </c>
      <c r="D1527">
        <v>1428.08</v>
      </c>
    </row>
    <row r="1528" spans="1:4" x14ac:dyDescent="0.3">
      <c r="A1528" t="s">
        <v>31</v>
      </c>
      <c r="C1528" s="16">
        <v>46197</v>
      </c>
      <c r="D1528">
        <v>31039.969999999961</v>
      </c>
    </row>
    <row r="1529" spans="1:4" x14ac:dyDescent="0.3">
      <c r="A1529" t="s">
        <v>32</v>
      </c>
      <c r="C1529" s="16">
        <v>46197</v>
      </c>
      <c r="D1529">
        <v>20321.43</v>
      </c>
    </row>
    <row r="1530" spans="1:4" x14ac:dyDescent="0.3">
      <c r="A1530" t="s">
        <v>33</v>
      </c>
      <c r="C1530" s="16">
        <v>46197</v>
      </c>
      <c r="D1530">
        <v>16681.349999999999</v>
      </c>
    </row>
    <row r="1531" spans="1:4" x14ac:dyDescent="0.3">
      <c r="A1531" t="s">
        <v>34</v>
      </c>
      <c r="C1531" s="16">
        <v>46197</v>
      </c>
      <c r="D1531">
        <v>345</v>
      </c>
    </row>
    <row r="1532" spans="1:4" x14ac:dyDescent="0.3">
      <c r="A1532" t="s">
        <v>35</v>
      </c>
      <c r="C1532" s="16">
        <v>46197</v>
      </c>
      <c r="D1532">
        <v>49981.31</v>
      </c>
    </row>
    <row r="1533" spans="1:4" x14ac:dyDescent="0.3">
      <c r="A1533" t="s">
        <v>193</v>
      </c>
      <c r="C1533" s="16">
        <v>46197</v>
      </c>
      <c r="D1533">
        <v>0</v>
      </c>
    </row>
    <row r="1534" spans="1:4" x14ac:dyDescent="0.3">
      <c r="A1534" t="s">
        <v>194</v>
      </c>
      <c r="C1534" s="16">
        <v>46197</v>
      </c>
      <c r="D1534">
        <v>0</v>
      </c>
    </row>
    <row r="1535" spans="1:4" x14ac:dyDescent="0.3">
      <c r="A1535" t="s">
        <v>195</v>
      </c>
      <c r="C1535" s="16">
        <v>46197</v>
      </c>
      <c r="D1535">
        <v>0</v>
      </c>
    </row>
    <row r="1536" spans="1:4" x14ac:dyDescent="0.3">
      <c r="A1536" t="s">
        <v>196</v>
      </c>
      <c r="C1536" s="16">
        <v>46197</v>
      </c>
      <c r="D1536">
        <v>0</v>
      </c>
    </row>
    <row r="1537" spans="1:4" x14ac:dyDescent="0.3">
      <c r="A1537" t="s">
        <v>197</v>
      </c>
      <c r="C1537" s="16">
        <v>46197</v>
      </c>
      <c r="D1537">
        <v>0</v>
      </c>
    </row>
    <row r="1538" spans="1:4" x14ac:dyDescent="0.3">
      <c r="A1538" t="s">
        <v>198</v>
      </c>
      <c r="C1538" s="16">
        <v>46197</v>
      </c>
      <c r="D1538">
        <v>0</v>
      </c>
    </row>
    <row r="1539" spans="1:4" x14ac:dyDescent="0.3">
      <c r="A1539" t="s">
        <v>216</v>
      </c>
      <c r="C1539" s="16">
        <v>46197</v>
      </c>
      <c r="D1539">
        <v>0</v>
      </c>
    </row>
    <row r="1540" spans="1:4" x14ac:dyDescent="0.3">
      <c r="A1540" t="s">
        <v>200</v>
      </c>
      <c r="C1540" s="16">
        <v>46197</v>
      </c>
      <c r="D1540">
        <v>0</v>
      </c>
    </row>
    <row r="1541" spans="1:4" x14ac:dyDescent="0.3">
      <c r="A1541" t="s">
        <v>201</v>
      </c>
      <c r="C1541" s="16">
        <v>46197</v>
      </c>
      <c r="D1541">
        <v>0</v>
      </c>
    </row>
    <row r="1542" spans="1:4" x14ac:dyDescent="0.3">
      <c r="A1542" t="s">
        <v>17</v>
      </c>
      <c r="C1542" s="16">
        <v>46198</v>
      </c>
      <c r="D1542">
        <v>6298935.7100000009</v>
      </c>
    </row>
    <row r="1543" spans="1:4" x14ac:dyDescent="0.3">
      <c r="A1543" t="s">
        <v>18</v>
      </c>
      <c r="C1543" s="16">
        <v>46198</v>
      </c>
      <c r="D1543">
        <v>72386.190000000177</v>
      </c>
    </row>
    <row r="1544" spans="1:4" x14ac:dyDescent="0.3">
      <c r="A1544" t="s">
        <v>19</v>
      </c>
      <c r="C1544" s="16">
        <v>46198</v>
      </c>
      <c r="D1544">
        <v>1669.89</v>
      </c>
    </row>
    <row r="1545" spans="1:4" x14ac:dyDescent="0.3">
      <c r="A1545" t="s">
        <v>20</v>
      </c>
      <c r="C1545" s="16">
        <v>46198</v>
      </c>
      <c r="D1545">
        <v>472766.72999999986</v>
      </c>
    </row>
    <row r="1546" spans="1:4" x14ac:dyDescent="0.3">
      <c r="A1546" t="s">
        <v>21</v>
      </c>
      <c r="C1546" s="16">
        <v>46198</v>
      </c>
      <c r="D1546">
        <v>1933152.7099999995</v>
      </c>
    </row>
    <row r="1547" spans="1:4" x14ac:dyDescent="0.3">
      <c r="A1547" t="s">
        <v>22</v>
      </c>
      <c r="C1547" s="16">
        <v>46198</v>
      </c>
      <c r="D1547">
        <v>1996496.38</v>
      </c>
    </row>
    <row r="1548" spans="1:4" x14ac:dyDescent="0.3">
      <c r="A1548" t="s">
        <v>23</v>
      </c>
      <c r="C1548" s="16">
        <v>46198</v>
      </c>
      <c r="D1548">
        <v>88090.37</v>
      </c>
    </row>
    <row r="1549" spans="1:4" x14ac:dyDescent="0.3">
      <c r="A1549" t="s">
        <v>24</v>
      </c>
      <c r="C1549" s="16">
        <v>46198</v>
      </c>
      <c r="D1549">
        <v>511.15999999999985</v>
      </c>
    </row>
    <row r="1550" spans="1:4" x14ac:dyDescent="0.3">
      <c r="A1550" t="s">
        <v>25</v>
      </c>
      <c r="C1550" s="16">
        <v>46198</v>
      </c>
      <c r="D1550">
        <v>84.35</v>
      </c>
    </row>
    <row r="1551" spans="1:4" x14ac:dyDescent="0.3">
      <c r="A1551" t="s">
        <v>26</v>
      </c>
      <c r="C1551" s="16">
        <v>46198</v>
      </c>
      <c r="D1551">
        <v>2237.77</v>
      </c>
    </row>
    <row r="1552" spans="1:4" x14ac:dyDescent="0.3">
      <c r="A1552" t="s">
        <v>27</v>
      </c>
      <c r="C1552" s="16">
        <v>46198</v>
      </c>
      <c r="D1552">
        <v>3349.94</v>
      </c>
    </row>
    <row r="1553" spans="1:4" x14ac:dyDescent="0.3">
      <c r="A1553" t="s">
        <v>28</v>
      </c>
      <c r="C1553" s="16">
        <v>46198</v>
      </c>
      <c r="D1553">
        <v>1968.99</v>
      </c>
    </row>
    <row r="1554" spans="1:4" x14ac:dyDescent="0.3">
      <c r="A1554" t="s">
        <v>29</v>
      </c>
      <c r="C1554" s="16">
        <v>46198</v>
      </c>
      <c r="D1554">
        <v>382.69000000000005</v>
      </c>
    </row>
    <row r="1555" spans="1:4" x14ac:dyDescent="0.3">
      <c r="A1555" t="s">
        <v>30</v>
      </c>
      <c r="C1555" s="16">
        <v>46198</v>
      </c>
      <c r="D1555">
        <v>1428.08</v>
      </c>
    </row>
    <row r="1556" spans="1:4" x14ac:dyDescent="0.3">
      <c r="A1556" t="s">
        <v>31</v>
      </c>
      <c r="C1556" s="16">
        <v>46198</v>
      </c>
      <c r="D1556">
        <v>31039.969999999961</v>
      </c>
    </row>
    <row r="1557" spans="1:4" x14ac:dyDescent="0.3">
      <c r="A1557" t="s">
        <v>32</v>
      </c>
      <c r="C1557" s="16">
        <v>46198</v>
      </c>
      <c r="D1557">
        <v>20321.43</v>
      </c>
    </row>
    <row r="1558" spans="1:4" x14ac:dyDescent="0.3">
      <c r="A1558" t="s">
        <v>33</v>
      </c>
      <c r="C1558" s="16">
        <v>46198</v>
      </c>
      <c r="D1558">
        <v>28473.599999999999</v>
      </c>
    </row>
    <row r="1559" spans="1:4" x14ac:dyDescent="0.3">
      <c r="A1559" t="s">
        <v>34</v>
      </c>
      <c r="C1559" s="16">
        <v>46198</v>
      </c>
      <c r="D1559">
        <v>345</v>
      </c>
    </row>
    <row r="1560" spans="1:4" x14ac:dyDescent="0.3">
      <c r="A1560" t="s">
        <v>35</v>
      </c>
      <c r="C1560" s="16">
        <v>46198</v>
      </c>
      <c r="D1560">
        <v>38025.43</v>
      </c>
    </row>
    <row r="1561" spans="1:4" x14ac:dyDescent="0.3">
      <c r="A1561" t="s">
        <v>193</v>
      </c>
      <c r="C1561" s="16">
        <v>46198</v>
      </c>
      <c r="D1561">
        <v>0</v>
      </c>
    </row>
    <row r="1562" spans="1:4" x14ac:dyDescent="0.3">
      <c r="A1562" t="s">
        <v>194</v>
      </c>
      <c r="C1562" s="16">
        <v>46198</v>
      </c>
      <c r="D1562">
        <v>0</v>
      </c>
    </row>
    <row r="1563" spans="1:4" x14ac:dyDescent="0.3">
      <c r="A1563" t="s">
        <v>195</v>
      </c>
      <c r="C1563" s="16">
        <v>46198</v>
      </c>
      <c r="D1563">
        <v>0</v>
      </c>
    </row>
    <row r="1564" spans="1:4" x14ac:dyDescent="0.3">
      <c r="A1564" t="s">
        <v>196</v>
      </c>
      <c r="C1564" s="16">
        <v>46198</v>
      </c>
      <c r="D1564">
        <v>0</v>
      </c>
    </row>
    <row r="1565" spans="1:4" x14ac:dyDescent="0.3">
      <c r="A1565" t="s">
        <v>197</v>
      </c>
      <c r="C1565" s="16">
        <v>46198</v>
      </c>
      <c r="D1565">
        <v>0</v>
      </c>
    </row>
    <row r="1566" spans="1:4" x14ac:dyDescent="0.3">
      <c r="A1566" t="s">
        <v>198</v>
      </c>
      <c r="C1566" s="16">
        <v>46198</v>
      </c>
      <c r="D1566">
        <v>0</v>
      </c>
    </row>
    <row r="1567" spans="1:4" x14ac:dyDescent="0.3">
      <c r="A1567" t="s">
        <v>216</v>
      </c>
      <c r="C1567" s="16">
        <v>46198</v>
      </c>
      <c r="D1567">
        <v>0</v>
      </c>
    </row>
    <row r="1568" spans="1:4" x14ac:dyDescent="0.3">
      <c r="A1568" t="s">
        <v>200</v>
      </c>
      <c r="C1568" s="16">
        <v>46198</v>
      </c>
      <c r="D1568">
        <v>0</v>
      </c>
    </row>
    <row r="1569" spans="1:4" x14ac:dyDescent="0.3">
      <c r="A1569" t="s">
        <v>201</v>
      </c>
      <c r="C1569" s="16">
        <v>46198</v>
      </c>
      <c r="D1569">
        <v>0</v>
      </c>
    </row>
    <row r="1570" spans="1:4" x14ac:dyDescent="0.3">
      <c r="A1570" t="s">
        <v>17</v>
      </c>
      <c r="C1570" s="16">
        <v>46199</v>
      </c>
      <c r="D1570">
        <v>6288055.7100000009</v>
      </c>
    </row>
    <row r="1571" spans="1:4" x14ac:dyDescent="0.3">
      <c r="A1571" t="s">
        <v>18</v>
      </c>
      <c r="C1571" s="16">
        <v>46199</v>
      </c>
      <c r="D1571">
        <v>72386.190000000177</v>
      </c>
    </row>
    <row r="1572" spans="1:4" x14ac:dyDescent="0.3">
      <c r="A1572" t="s">
        <v>19</v>
      </c>
      <c r="C1572" s="16">
        <v>46199</v>
      </c>
      <c r="D1572">
        <v>1669.89</v>
      </c>
    </row>
    <row r="1573" spans="1:4" x14ac:dyDescent="0.3">
      <c r="A1573" t="s">
        <v>20</v>
      </c>
      <c r="C1573" s="16">
        <v>46199</v>
      </c>
      <c r="D1573">
        <v>472766.72999999986</v>
      </c>
    </row>
    <row r="1574" spans="1:4" x14ac:dyDescent="0.3">
      <c r="A1574" t="s">
        <v>21</v>
      </c>
      <c r="C1574" s="16">
        <v>46199</v>
      </c>
      <c r="D1574">
        <v>1932389.7199999993</v>
      </c>
    </row>
    <row r="1575" spans="1:4" x14ac:dyDescent="0.3">
      <c r="A1575" t="s">
        <v>22</v>
      </c>
      <c r="C1575" s="16">
        <v>46199</v>
      </c>
      <c r="D1575">
        <v>1396496.38</v>
      </c>
    </row>
    <row r="1576" spans="1:4" x14ac:dyDescent="0.3">
      <c r="A1576" t="s">
        <v>23</v>
      </c>
      <c r="C1576" s="16">
        <v>46199</v>
      </c>
      <c r="D1576">
        <v>88090.37</v>
      </c>
    </row>
    <row r="1577" spans="1:4" x14ac:dyDescent="0.3">
      <c r="A1577" t="s">
        <v>24</v>
      </c>
      <c r="C1577" s="16">
        <v>46199</v>
      </c>
      <c r="D1577">
        <v>511.15999999999985</v>
      </c>
    </row>
    <row r="1578" spans="1:4" x14ac:dyDescent="0.3">
      <c r="A1578" t="s">
        <v>25</v>
      </c>
      <c r="C1578" s="16">
        <v>46199</v>
      </c>
      <c r="D1578">
        <v>84.35</v>
      </c>
    </row>
    <row r="1579" spans="1:4" x14ac:dyDescent="0.3">
      <c r="A1579" t="s">
        <v>26</v>
      </c>
      <c r="C1579" s="16">
        <v>46199</v>
      </c>
      <c r="D1579">
        <v>2237.77</v>
      </c>
    </row>
    <row r="1580" spans="1:4" x14ac:dyDescent="0.3">
      <c r="A1580" t="s">
        <v>27</v>
      </c>
      <c r="C1580" s="16">
        <v>46199</v>
      </c>
      <c r="D1580">
        <v>3349.94</v>
      </c>
    </row>
    <row r="1581" spans="1:4" x14ac:dyDescent="0.3">
      <c r="A1581" t="s">
        <v>28</v>
      </c>
      <c r="C1581" s="16">
        <v>46199</v>
      </c>
      <c r="D1581">
        <v>1968.99</v>
      </c>
    </row>
    <row r="1582" spans="1:4" x14ac:dyDescent="0.3">
      <c r="A1582" t="s">
        <v>29</v>
      </c>
      <c r="C1582" s="16">
        <v>46199</v>
      </c>
      <c r="D1582">
        <v>382.69000000000005</v>
      </c>
    </row>
    <row r="1583" spans="1:4" x14ac:dyDescent="0.3">
      <c r="A1583" t="s">
        <v>30</v>
      </c>
      <c r="C1583" s="16">
        <v>46199</v>
      </c>
      <c r="D1583">
        <v>1428.08</v>
      </c>
    </row>
    <row r="1584" spans="1:4" x14ac:dyDescent="0.3">
      <c r="A1584" t="s">
        <v>31</v>
      </c>
      <c r="C1584" s="16">
        <v>46199</v>
      </c>
      <c r="D1584">
        <v>31039.969999999961</v>
      </c>
    </row>
    <row r="1585" spans="1:4" x14ac:dyDescent="0.3">
      <c r="A1585" t="s">
        <v>32</v>
      </c>
      <c r="C1585" s="16">
        <v>46199</v>
      </c>
      <c r="D1585">
        <v>20321.43</v>
      </c>
    </row>
    <row r="1586" spans="1:4" x14ac:dyDescent="0.3">
      <c r="A1586" t="s">
        <v>33</v>
      </c>
      <c r="C1586" s="16">
        <v>46199</v>
      </c>
      <c r="D1586">
        <v>28458.6</v>
      </c>
    </row>
    <row r="1587" spans="1:4" x14ac:dyDescent="0.3">
      <c r="A1587" t="s">
        <v>34</v>
      </c>
      <c r="C1587" s="16">
        <v>46199</v>
      </c>
      <c r="D1587">
        <v>345</v>
      </c>
    </row>
    <row r="1588" spans="1:4" x14ac:dyDescent="0.3">
      <c r="A1588" t="s">
        <v>35</v>
      </c>
      <c r="C1588" s="16">
        <v>46199</v>
      </c>
      <c r="D1588">
        <v>29918.639999999999</v>
      </c>
    </row>
    <row r="1589" spans="1:4" x14ac:dyDescent="0.3">
      <c r="A1589" t="s">
        <v>193</v>
      </c>
      <c r="C1589" s="16">
        <v>46199</v>
      </c>
      <c r="D1589">
        <v>0</v>
      </c>
    </row>
    <row r="1590" spans="1:4" x14ac:dyDescent="0.3">
      <c r="A1590" t="s">
        <v>194</v>
      </c>
      <c r="C1590" s="16">
        <v>46199</v>
      </c>
      <c r="D1590">
        <v>0</v>
      </c>
    </row>
    <row r="1591" spans="1:4" x14ac:dyDescent="0.3">
      <c r="A1591" t="s">
        <v>195</v>
      </c>
      <c r="C1591" s="16">
        <v>46199</v>
      </c>
      <c r="D1591">
        <v>0</v>
      </c>
    </row>
    <row r="1592" spans="1:4" x14ac:dyDescent="0.3">
      <c r="A1592" t="s">
        <v>196</v>
      </c>
      <c r="C1592" s="16">
        <v>46199</v>
      </c>
      <c r="D1592">
        <v>0</v>
      </c>
    </row>
    <row r="1593" spans="1:4" x14ac:dyDescent="0.3">
      <c r="A1593" t="s">
        <v>197</v>
      </c>
      <c r="C1593" s="16">
        <v>46199</v>
      </c>
      <c r="D1593">
        <v>0</v>
      </c>
    </row>
    <row r="1594" spans="1:4" x14ac:dyDescent="0.3">
      <c r="A1594" t="s">
        <v>198</v>
      </c>
      <c r="C1594" s="16">
        <v>46199</v>
      </c>
      <c r="D1594">
        <v>0</v>
      </c>
    </row>
    <row r="1595" spans="1:4" x14ac:dyDescent="0.3">
      <c r="A1595" t="s">
        <v>216</v>
      </c>
      <c r="C1595" s="16">
        <v>46199</v>
      </c>
      <c r="D1595">
        <v>0</v>
      </c>
    </row>
    <row r="1596" spans="1:4" x14ac:dyDescent="0.3">
      <c r="A1596" t="s">
        <v>200</v>
      </c>
      <c r="C1596" s="16">
        <v>46199</v>
      </c>
      <c r="D1596">
        <v>0</v>
      </c>
    </row>
    <row r="1597" spans="1:4" x14ac:dyDescent="0.3">
      <c r="A1597" t="s">
        <v>201</v>
      </c>
      <c r="C1597" s="16">
        <v>46199</v>
      </c>
      <c r="D1597">
        <v>0</v>
      </c>
    </row>
    <row r="1598" spans="1:4" x14ac:dyDescent="0.3">
      <c r="A1598" t="s">
        <v>17</v>
      </c>
      <c r="C1598" s="16">
        <v>46200</v>
      </c>
      <c r="D1598">
        <v>6288055.7100000009</v>
      </c>
    </row>
    <row r="1599" spans="1:4" x14ac:dyDescent="0.3">
      <c r="A1599" t="s">
        <v>18</v>
      </c>
      <c r="C1599" s="16">
        <v>46200</v>
      </c>
      <c r="D1599">
        <v>72386.190000000177</v>
      </c>
    </row>
    <row r="1600" spans="1:4" x14ac:dyDescent="0.3">
      <c r="A1600" t="s">
        <v>19</v>
      </c>
      <c r="C1600" s="16">
        <v>46200</v>
      </c>
      <c r="D1600">
        <v>1669.89</v>
      </c>
    </row>
    <row r="1601" spans="1:4" x14ac:dyDescent="0.3">
      <c r="A1601" t="s">
        <v>20</v>
      </c>
      <c r="C1601" s="16">
        <v>46200</v>
      </c>
      <c r="D1601">
        <v>472766.72999999986</v>
      </c>
    </row>
    <row r="1602" spans="1:4" x14ac:dyDescent="0.3">
      <c r="A1602" t="s">
        <v>21</v>
      </c>
      <c r="C1602" s="16">
        <v>46200</v>
      </c>
      <c r="D1602">
        <v>1932389.7199999993</v>
      </c>
    </row>
    <row r="1603" spans="1:4" x14ac:dyDescent="0.3">
      <c r="A1603" t="s">
        <v>22</v>
      </c>
      <c r="C1603" s="16">
        <v>46200</v>
      </c>
      <c r="D1603">
        <v>1396496.38</v>
      </c>
    </row>
    <row r="1604" spans="1:4" x14ac:dyDescent="0.3">
      <c r="A1604" t="s">
        <v>23</v>
      </c>
      <c r="C1604" s="16">
        <v>46200</v>
      </c>
      <c r="D1604">
        <v>88090.37</v>
      </c>
    </row>
    <row r="1605" spans="1:4" x14ac:dyDescent="0.3">
      <c r="A1605" t="s">
        <v>24</v>
      </c>
      <c r="C1605" s="16">
        <v>46200</v>
      </c>
      <c r="D1605">
        <v>511.15999999999985</v>
      </c>
    </row>
    <row r="1606" spans="1:4" x14ac:dyDescent="0.3">
      <c r="A1606" t="s">
        <v>25</v>
      </c>
      <c r="C1606" s="16">
        <v>46200</v>
      </c>
      <c r="D1606">
        <v>84.35</v>
      </c>
    </row>
    <row r="1607" spans="1:4" x14ac:dyDescent="0.3">
      <c r="A1607" t="s">
        <v>26</v>
      </c>
      <c r="C1607" s="16">
        <v>46200</v>
      </c>
      <c r="D1607">
        <v>2237.77</v>
      </c>
    </row>
    <row r="1608" spans="1:4" x14ac:dyDescent="0.3">
      <c r="A1608" t="s">
        <v>27</v>
      </c>
      <c r="C1608" s="16">
        <v>46200</v>
      </c>
      <c r="D1608">
        <v>3349.94</v>
      </c>
    </row>
    <row r="1609" spans="1:4" x14ac:dyDescent="0.3">
      <c r="A1609" t="s">
        <v>28</v>
      </c>
      <c r="C1609" s="16">
        <v>46200</v>
      </c>
      <c r="D1609">
        <v>1968.99</v>
      </c>
    </row>
    <row r="1610" spans="1:4" x14ac:dyDescent="0.3">
      <c r="A1610" t="s">
        <v>29</v>
      </c>
      <c r="C1610" s="16">
        <v>46200</v>
      </c>
      <c r="D1610">
        <v>382.69000000000005</v>
      </c>
    </row>
    <row r="1611" spans="1:4" x14ac:dyDescent="0.3">
      <c r="A1611" t="s">
        <v>30</v>
      </c>
      <c r="C1611" s="16">
        <v>46200</v>
      </c>
      <c r="D1611">
        <v>1428.08</v>
      </c>
    </row>
    <row r="1612" spans="1:4" x14ac:dyDescent="0.3">
      <c r="A1612" t="s">
        <v>31</v>
      </c>
      <c r="C1612" s="16">
        <v>46200</v>
      </c>
      <c r="D1612">
        <v>31039.969999999961</v>
      </c>
    </row>
    <row r="1613" spans="1:4" x14ac:dyDescent="0.3">
      <c r="A1613" t="s">
        <v>32</v>
      </c>
      <c r="C1613" s="16">
        <v>46200</v>
      </c>
      <c r="D1613">
        <v>20321.43</v>
      </c>
    </row>
    <row r="1614" spans="1:4" x14ac:dyDescent="0.3">
      <c r="A1614" t="s">
        <v>33</v>
      </c>
      <c r="C1614" s="16">
        <v>46200</v>
      </c>
      <c r="D1614">
        <v>28458.6</v>
      </c>
    </row>
    <row r="1615" spans="1:4" x14ac:dyDescent="0.3">
      <c r="A1615" t="s">
        <v>34</v>
      </c>
      <c r="C1615" s="16">
        <v>46200</v>
      </c>
      <c r="D1615">
        <v>345</v>
      </c>
    </row>
    <row r="1616" spans="1:4" x14ac:dyDescent="0.3">
      <c r="A1616" t="s">
        <v>35</v>
      </c>
      <c r="C1616" s="16">
        <v>46200</v>
      </c>
      <c r="D1616">
        <v>29918.639999999999</v>
      </c>
    </row>
    <row r="1617" spans="1:4" x14ac:dyDescent="0.3">
      <c r="A1617" t="s">
        <v>193</v>
      </c>
      <c r="C1617" s="16">
        <v>46200</v>
      </c>
      <c r="D1617">
        <v>0</v>
      </c>
    </row>
    <row r="1618" spans="1:4" x14ac:dyDescent="0.3">
      <c r="A1618" t="s">
        <v>194</v>
      </c>
      <c r="C1618" s="16">
        <v>46200</v>
      </c>
      <c r="D1618">
        <v>0</v>
      </c>
    </row>
    <row r="1619" spans="1:4" x14ac:dyDescent="0.3">
      <c r="A1619" t="s">
        <v>195</v>
      </c>
      <c r="C1619" s="16">
        <v>46200</v>
      </c>
      <c r="D1619">
        <v>0</v>
      </c>
    </row>
    <row r="1620" spans="1:4" x14ac:dyDescent="0.3">
      <c r="A1620" t="s">
        <v>196</v>
      </c>
      <c r="C1620" s="16">
        <v>46200</v>
      </c>
      <c r="D1620">
        <v>0</v>
      </c>
    </row>
    <row r="1621" spans="1:4" x14ac:dyDescent="0.3">
      <c r="A1621" t="s">
        <v>197</v>
      </c>
      <c r="C1621" s="16">
        <v>46200</v>
      </c>
      <c r="D1621">
        <v>0</v>
      </c>
    </row>
    <row r="1622" spans="1:4" x14ac:dyDescent="0.3">
      <c r="A1622" t="s">
        <v>198</v>
      </c>
      <c r="C1622" s="16">
        <v>46200</v>
      </c>
      <c r="D1622">
        <v>0</v>
      </c>
    </row>
    <row r="1623" spans="1:4" x14ac:dyDescent="0.3">
      <c r="A1623" t="s">
        <v>216</v>
      </c>
      <c r="C1623" s="16">
        <v>46200</v>
      </c>
      <c r="D1623">
        <v>0</v>
      </c>
    </row>
    <row r="1624" spans="1:4" x14ac:dyDescent="0.3">
      <c r="A1624" t="s">
        <v>200</v>
      </c>
      <c r="C1624" s="16">
        <v>46200</v>
      </c>
      <c r="D1624">
        <v>0</v>
      </c>
    </row>
    <row r="1625" spans="1:4" x14ac:dyDescent="0.3">
      <c r="A1625" t="s">
        <v>201</v>
      </c>
      <c r="C1625" s="16">
        <v>46200</v>
      </c>
      <c r="D1625">
        <v>0</v>
      </c>
    </row>
    <row r="1626" spans="1:4" x14ac:dyDescent="0.3">
      <c r="A1626" t="s">
        <v>17</v>
      </c>
      <c r="C1626" s="16">
        <v>46201</v>
      </c>
      <c r="D1626">
        <v>6288055.7100000009</v>
      </c>
    </row>
    <row r="1627" spans="1:4" x14ac:dyDescent="0.3">
      <c r="A1627" t="s">
        <v>18</v>
      </c>
      <c r="C1627" s="16">
        <v>46201</v>
      </c>
      <c r="D1627">
        <v>72386.190000000177</v>
      </c>
    </row>
    <row r="1628" spans="1:4" x14ac:dyDescent="0.3">
      <c r="A1628" t="s">
        <v>19</v>
      </c>
      <c r="C1628" s="16">
        <v>46201</v>
      </c>
      <c r="D1628">
        <v>1669.89</v>
      </c>
    </row>
    <row r="1629" spans="1:4" x14ac:dyDescent="0.3">
      <c r="A1629" t="s">
        <v>20</v>
      </c>
      <c r="C1629" s="16">
        <v>46201</v>
      </c>
      <c r="D1629">
        <v>472766.72999999986</v>
      </c>
    </row>
    <row r="1630" spans="1:4" x14ac:dyDescent="0.3">
      <c r="A1630" t="s">
        <v>21</v>
      </c>
      <c r="C1630" s="16">
        <v>46201</v>
      </c>
      <c r="D1630">
        <v>1932389.7199999993</v>
      </c>
    </row>
    <row r="1631" spans="1:4" x14ac:dyDescent="0.3">
      <c r="A1631" t="s">
        <v>22</v>
      </c>
      <c r="C1631" s="16">
        <v>46201</v>
      </c>
      <c r="D1631">
        <v>1396496.38</v>
      </c>
    </row>
    <row r="1632" spans="1:4" x14ac:dyDescent="0.3">
      <c r="A1632" t="s">
        <v>23</v>
      </c>
      <c r="C1632" s="16">
        <v>46201</v>
      </c>
      <c r="D1632">
        <v>88090.37</v>
      </c>
    </row>
    <row r="1633" spans="1:4" x14ac:dyDescent="0.3">
      <c r="A1633" t="s">
        <v>24</v>
      </c>
      <c r="C1633" s="16">
        <v>46201</v>
      </c>
      <c r="D1633">
        <v>511.15999999999985</v>
      </c>
    </row>
    <row r="1634" spans="1:4" x14ac:dyDescent="0.3">
      <c r="A1634" t="s">
        <v>25</v>
      </c>
      <c r="C1634" s="16">
        <v>46201</v>
      </c>
      <c r="D1634">
        <v>84.35</v>
      </c>
    </row>
    <row r="1635" spans="1:4" x14ac:dyDescent="0.3">
      <c r="A1635" t="s">
        <v>26</v>
      </c>
      <c r="C1635" s="16">
        <v>46201</v>
      </c>
      <c r="D1635">
        <v>2237.77</v>
      </c>
    </row>
    <row r="1636" spans="1:4" x14ac:dyDescent="0.3">
      <c r="A1636" t="s">
        <v>27</v>
      </c>
      <c r="C1636" s="16">
        <v>46201</v>
      </c>
      <c r="D1636">
        <v>3349.94</v>
      </c>
    </row>
    <row r="1637" spans="1:4" x14ac:dyDescent="0.3">
      <c r="A1637" t="s">
        <v>28</v>
      </c>
      <c r="C1637" s="16">
        <v>46201</v>
      </c>
      <c r="D1637">
        <v>1968.99</v>
      </c>
    </row>
    <row r="1638" spans="1:4" x14ac:dyDescent="0.3">
      <c r="A1638" t="s">
        <v>29</v>
      </c>
      <c r="C1638" s="16">
        <v>46201</v>
      </c>
      <c r="D1638">
        <v>382.69000000000005</v>
      </c>
    </row>
    <row r="1639" spans="1:4" x14ac:dyDescent="0.3">
      <c r="A1639" t="s">
        <v>30</v>
      </c>
      <c r="C1639" s="16">
        <v>46201</v>
      </c>
      <c r="D1639">
        <v>1428.08</v>
      </c>
    </row>
    <row r="1640" spans="1:4" x14ac:dyDescent="0.3">
      <c r="A1640" t="s">
        <v>31</v>
      </c>
      <c r="C1640" s="16">
        <v>46201</v>
      </c>
      <c r="D1640">
        <v>31039.969999999961</v>
      </c>
    </row>
    <row r="1641" spans="1:4" x14ac:dyDescent="0.3">
      <c r="A1641" t="s">
        <v>32</v>
      </c>
      <c r="C1641" s="16">
        <v>46201</v>
      </c>
      <c r="D1641">
        <v>20321.43</v>
      </c>
    </row>
    <row r="1642" spans="1:4" x14ac:dyDescent="0.3">
      <c r="A1642" t="s">
        <v>33</v>
      </c>
      <c r="C1642" s="16">
        <v>46201</v>
      </c>
      <c r="D1642">
        <v>28458.6</v>
      </c>
    </row>
    <row r="1643" spans="1:4" x14ac:dyDescent="0.3">
      <c r="A1643" t="s">
        <v>34</v>
      </c>
      <c r="C1643" s="16">
        <v>46201</v>
      </c>
      <c r="D1643">
        <v>345</v>
      </c>
    </row>
    <row r="1644" spans="1:4" x14ac:dyDescent="0.3">
      <c r="A1644" t="s">
        <v>35</v>
      </c>
      <c r="C1644" s="16">
        <v>46201</v>
      </c>
      <c r="D1644">
        <v>29918.639999999999</v>
      </c>
    </row>
    <row r="1645" spans="1:4" x14ac:dyDescent="0.3">
      <c r="A1645" t="s">
        <v>193</v>
      </c>
      <c r="C1645" s="16">
        <v>46201</v>
      </c>
      <c r="D1645">
        <v>0</v>
      </c>
    </row>
    <row r="1646" spans="1:4" x14ac:dyDescent="0.3">
      <c r="A1646" t="s">
        <v>194</v>
      </c>
      <c r="C1646" s="16">
        <v>46201</v>
      </c>
      <c r="D1646">
        <v>0</v>
      </c>
    </row>
    <row r="1647" spans="1:4" x14ac:dyDescent="0.3">
      <c r="A1647" t="s">
        <v>195</v>
      </c>
      <c r="C1647" s="16">
        <v>46201</v>
      </c>
      <c r="D1647">
        <v>0</v>
      </c>
    </row>
    <row r="1648" spans="1:4" x14ac:dyDescent="0.3">
      <c r="A1648" t="s">
        <v>196</v>
      </c>
      <c r="C1648" s="16">
        <v>46201</v>
      </c>
      <c r="D1648">
        <v>0</v>
      </c>
    </row>
    <row r="1649" spans="1:4" x14ac:dyDescent="0.3">
      <c r="A1649" t="s">
        <v>197</v>
      </c>
      <c r="C1649" s="16">
        <v>46201</v>
      </c>
      <c r="D1649">
        <v>0</v>
      </c>
    </row>
    <row r="1650" spans="1:4" x14ac:dyDescent="0.3">
      <c r="A1650" t="s">
        <v>198</v>
      </c>
      <c r="C1650" s="16">
        <v>46201</v>
      </c>
      <c r="D1650">
        <v>0</v>
      </c>
    </row>
    <row r="1651" spans="1:4" x14ac:dyDescent="0.3">
      <c r="A1651" t="s">
        <v>216</v>
      </c>
      <c r="C1651" s="16">
        <v>46201</v>
      </c>
      <c r="D1651">
        <v>0</v>
      </c>
    </row>
    <row r="1652" spans="1:4" x14ac:dyDescent="0.3">
      <c r="A1652" t="s">
        <v>200</v>
      </c>
      <c r="C1652" s="16">
        <v>46201</v>
      </c>
      <c r="D1652">
        <v>0</v>
      </c>
    </row>
    <row r="1653" spans="1:4" x14ac:dyDescent="0.3">
      <c r="A1653" t="s">
        <v>201</v>
      </c>
      <c r="C1653" s="16">
        <v>46201</v>
      </c>
      <c r="D1653">
        <v>0</v>
      </c>
    </row>
    <row r="1654" spans="1:4" x14ac:dyDescent="0.3">
      <c r="A1654" t="s">
        <v>17</v>
      </c>
      <c r="C1654" s="16">
        <v>46202</v>
      </c>
      <c r="D1654">
        <v>6299174.8100000015</v>
      </c>
    </row>
    <row r="1655" spans="1:4" x14ac:dyDescent="0.3">
      <c r="A1655" t="s">
        <v>18</v>
      </c>
      <c r="C1655" s="16">
        <v>46202</v>
      </c>
      <c r="D1655">
        <v>72386.190000000177</v>
      </c>
    </row>
    <row r="1656" spans="1:4" x14ac:dyDescent="0.3">
      <c r="A1656" t="s">
        <v>19</v>
      </c>
      <c r="C1656" s="16">
        <v>46202</v>
      </c>
      <c r="D1656">
        <v>1669.89</v>
      </c>
    </row>
    <row r="1657" spans="1:4" x14ac:dyDescent="0.3">
      <c r="A1657" t="s">
        <v>20</v>
      </c>
      <c r="C1657" s="16">
        <v>46202</v>
      </c>
      <c r="D1657">
        <v>489745.62999999989</v>
      </c>
    </row>
    <row r="1658" spans="1:4" x14ac:dyDescent="0.3">
      <c r="A1658" t="s">
        <v>21</v>
      </c>
      <c r="C1658" s="16">
        <v>46202</v>
      </c>
      <c r="D1658">
        <v>1768167.9199999995</v>
      </c>
    </row>
    <row r="1659" spans="1:4" x14ac:dyDescent="0.3">
      <c r="A1659" t="s">
        <v>22</v>
      </c>
      <c r="C1659" s="16">
        <v>46202</v>
      </c>
      <c r="D1659">
        <v>396496.38</v>
      </c>
    </row>
    <row r="1660" spans="1:4" x14ac:dyDescent="0.3">
      <c r="A1660" t="s">
        <v>23</v>
      </c>
      <c r="C1660" s="16">
        <v>46202</v>
      </c>
      <c r="D1660">
        <v>88090.37</v>
      </c>
    </row>
    <row r="1661" spans="1:4" x14ac:dyDescent="0.3">
      <c r="A1661" t="s">
        <v>24</v>
      </c>
      <c r="C1661" s="16">
        <v>46202</v>
      </c>
      <c r="D1661">
        <v>511.15999999999985</v>
      </c>
    </row>
    <row r="1662" spans="1:4" x14ac:dyDescent="0.3">
      <c r="A1662" t="s">
        <v>25</v>
      </c>
      <c r="C1662" s="16">
        <v>46202</v>
      </c>
      <c r="D1662">
        <v>84.35</v>
      </c>
    </row>
    <row r="1663" spans="1:4" x14ac:dyDescent="0.3">
      <c r="A1663" t="s">
        <v>26</v>
      </c>
      <c r="C1663" s="16">
        <v>46202</v>
      </c>
      <c r="D1663">
        <v>2237.77</v>
      </c>
    </row>
    <row r="1664" spans="1:4" x14ac:dyDescent="0.3">
      <c r="A1664" t="s">
        <v>27</v>
      </c>
      <c r="C1664" s="16">
        <v>46202</v>
      </c>
      <c r="D1664">
        <v>3349.94</v>
      </c>
    </row>
    <row r="1665" spans="1:4" x14ac:dyDescent="0.3">
      <c r="A1665" t="s">
        <v>28</v>
      </c>
      <c r="C1665" s="16">
        <v>46202</v>
      </c>
      <c r="D1665">
        <v>1968.99</v>
      </c>
    </row>
    <row r="1666" spans="1:4" x14ac:dyDescent="0.3">
      <c r="A1666" t="s">
        <v>29</v>
      </c>
      <c r="C1666" s="16">
        <v>46202</v>
      </c>
      <c r="D1666">
        <v>382.69000000000005</v>
      </c>
    </row>
    <row r="1667" spans="1:4" x14ac:dyDescent="0.3">
      <c r="A1667" t="s">
        <v>30</v>
      </c>
      <c r="C1667" s="16">
        <v>46202</v>
      </c>
      <c r="D1667">
        <v>1428.08</v>
      </c>
    </row>
    <row r="1668" spans="1:4" x14ac:dyDescent="0.3">
      <c r="A1668" t="s">
        <v>31</v>
      </c>
      <c r="C1668" s="16">
        <v>46202</v>
      </c>
      <c r="D1668">
        <v>31039.969999999961</v>
      </c>
    </row>
    <row r="1669" spans="1:4" x14ac:dyDescent="0.3">
      <c r="A1669" t="s">
        <v>32</v>
      </c>
      <c r="C1669" s="16">
        <v>46202</v>
      </c>
      <c r="D1669">
        <v>20321.43</v>
      </c>
    </row>
    <row r="1670" spans="1:4" x14ac:dyDescent="0.3">
      <c r="A1670" t="s">
        <v>33</v>
      </c>
      <c r="C1670" s="16">
        <v>46202</v>
      </c>
      <c r="D1670">
        <v>28458.6</v>
      </c>
    </row>
    <row r="1671" spans="1:4" x14ac:dyDescent="0.3">
      <c r="A1671" t="s">
        <v>34</v>
      </c>
      <c r="C1671" s="16">
        <v>46202</v>
      </c>
      <c r="D1671">
        <v>345</v>
      </c>
    </row>
    <row r="1672" spans="1:4" x14ac:dyDescent="0.3">
      <c r="A1672" t="s">
        <v>35</v>
      </c>
      <c r="C1672" s="16">
        <v>46202</v>
      </c>
      <c r="D1672">
        <v>23872.78</v>
      </c>
    </row>
    <row r="1673" spans="1:4" x14ac:dyDescent="0.3">
      <c r="A1673" t="s">
        <v>193</v>
      </c>
      <c r="C1673" s="16">
        <v>46202</v>
      </c>
      <c r="D1673">
        <v>0</v>
      </c>
    </row>
    <row r="1674" spans="1:4" x14ac:dyDescent="0.3">
      <c r="A1674" t="s">
        <v>194</v>
      </c>
      <c r="C1674" s="16">
        <v>46202</v>
      </c>
      <c r="D1674">
        <v>0</v>
      </c>
    </row>
    <row r="1675" spans="1:4" x14ac:dyDescent="0.3">
      <c r="A1675" t="s">
        <v>195</v>
      </c>
      <c r="C1675" s="16">
        <v>46202</v>
      </c>
      <c r="D1675">
        <v>0</v>
      </c>
    </row>
    <row r="1676" spans="1:4" x14ac:dyDescent="0.3">
      <c r="A1676" t="s">
        <v>196</v>
      </c>
      <c r="C1676" s="16">
        <v>46202</v>
      </c>
      <c r="D1676">
        <v>0</v>
      </c>
    </row>
    <row r="1677" spans="1:4" x14ac:dyDescent="0.3">
      <c r="A1677" t="s">
        <v>197</v>
      </c>
      <c r="C1677" s="16">
        <v>46202</v>
      </c>
      <c r="D1677">
        <v>0</v>
      </c>
    </row>
    <row r="1678" spans="1:4" x14ac:dyDescent="0.3">
      <c r="A1678" t="s">
        <v>198</v>
      </c>
      <c r="C1678" s="16">
        <v>46202</v>
      </c>
      <c r="D1678">
        <v>0</v>
      </c>
    </row>
    <row r="1679" spans="1:4" x14ac:dyDescent="0.3">
      <c r="A1679" t="s">
        <v>216</v>
      </c>
      <c r="C1679" s="16">
        <v>46202</v>
      </c>
      <c r="D1679">
        <v>0</v>
      </c>
    </row>
    <row r="1680" spans="1:4" x14ac:dyDescent="0.3">
      <c r="A1680" t="s">
        <v>200</v>
      </c>
      <c r="C1680" s="16">
        <v>46202</v>
      </c>
      <c r="D1680">
        <v>0</v>
      </c>
    </row>
    <row r="1681" spans="1:4" x14ac:dyDescent="0.3">
      <c r="A1681" t="s">
        <v>201</v>
      </c>
      <c r="C1681" s="16">
        <v>46202</v>
      </c>
      <c r="D1681">
        <v>0</v>
      </c>
    </row>
    <row r="1682" spans="1:4" x14ac:dyDescent="0.3">
      <c r="A1682" t="s">
        <v>17</v>
      </c>
      <c r="C1682" s="16">
        <v>46203</v>
      </c>
      <c r="D1682">
        <v>6295585.7500000009</v>
      </c>
    </row>
    <row r="1683" spans="1:4" x14ac:dyDescent="0.3">
      <c r="A1683" t="s">
        <v>18</v>
      </c>
      <c r="C1683" s="16">
        <v>46203</v>
      </c>
      <c r="D1683">
        <v>79139.680000000168</v>
      </c>
    </row>
    <row r="1684" spans="1:4" x14ac:dyDescent="0.3">
      <c r="A1684" t="s">
        <v>19</v>
      </c>
      <c r="C1684" s="16">
        <v>46203</v>
      </c>
      <c r="D1684">
        <v>1669.89</v>
      </c>
    </row>
    <row r="1685" spans="1:4" x14ac:dyDescent="0.3">
      <c r="A1685" t="s">
        <v>20</v>
      </c>
      <c r="C1685" s="16">
        <v>46203</v>
      </c>
      <c r="D1685">
        <v>489745.62999999989</v>
      </c>
    </row>
    <row r="1686" spans="1:4" x14ac:dyDescent="0.3">
      <c r="A1686" t="s">
        <v>21</v>
      </c>
      <c r="C1686" s="16">
        <v>46203</v>
      </c>
      <c r="D1686">
        <v>1696284.7299999995</v>
      </c>
    </row>
    <row r="1687" spans="1:4" x14ac:dyDescent="0.3">
      <c r="A1687" t="s">
        <v>22</v>
      </c>
      <c r="C1687" s="16">
        <v>46203</v>
      </c>
      <c r="D1687">
        <v>390496.38</v>
      </c>
    </row>
    <row r="1688" spans="1:4" x14ac:dyDescent="0.3">
      <c r="A1688" t="s">
        <v>23</v>
      </c>
      <c r="C1688" s="16">
        <v>46203</v>
      </c>
      <c r="D1688">
        <v>88090.37</v>
      </c>
    </row>
    <row r="1689" spans="1:4" x14ac:dyDescent="0.3">
      <c r="A1689" t="s">
        <v>24</v>
      </c>
      <c r="C1689" s="16">
        <v>46203</v>
      </c>
      <c r="D1689">
        <v>511.15999999999985</v>
      </c>
    </row>
    <row r="1690" spans="1:4" x14ac:dyDescent="0.3">
      <c r="A1690" t="s">
        <v>25</v>
      </c>
      <c r="C1690" s="16">
        <v>46203</v>
      </c>
      <c r="D1690">
        <v>84.35</v>
      </c>
    </row>
    <row r="1691" spans="1:4" x14ac:dyDescent="0.3">
      <c r="A1691" t="s">
        <v>26</v>
      </c>
      <c r="C1691" s="16">
        <v>46203</v>
      </c>
      <c r="D1691">
        <v>2237.77</v>
      </c>
    </row>
    <row r="1692" spans="1:4" x14ac:dyDescent="0.3">
      <c r="A1692" t="s">
        <v>27</v>
      </c>
      <c r="C1692" s="16">
        <v>46203</v>
      </c>
      <c r="D1692">
        <v>3349.94</v>
      </c>
    </row>
    <row r="1693" spans="1:4" x14ac:dyDescent="0.3">
      <c r="A1693" t="s">
        <v>28</v>
      </c>
      <c r="C1693" s="16">
        <v>46203</v>
      </c>
      <c r="D1693">
        <v>1968.99</v>
      </c>
    </row>
    <row r="1694" spans="1:4" x14ac:dyDescent="0.3">
      <c r="A1694" t="s">
        <v>29</v>
      </c>
      <c r="C1694" s="16">
        <v>46203</v>
      </c>
      <c r="D1694">
        <v>382.69000000000005</v>
      </c>
    </row>
    <row r="1695" spans="1:4" x14ac:dyDescent="0.3">
      <c r="A1695" t="s">
        <v>30</v>
      </c>
      <c r="C1695" s="16">
        <v>46203</v>
      </c>
      <c r="D1695">
        <v>1428.08</v>
      </c>
    </row>
    <row r="1696" spans="1:4" x14ac:dyDescent="0.3">
      <c r="A1696" t="s">
        <v>31</v>
      </c>
      <c r="C1696" s="16">
        <v>46203</v>
      </c>
      <c r="D1696">
        <v>31039.969999999961</v>
      </c>
    </row>
    <row r="1697" spans="1:4" x14ac:dyDescent="0.3">
      <c r="A1697" t="s">
        <v>32</v>
      </c>
      <c r="C1697" s="16">
        <v>46203</v>
      </c>
      <c r="D1697">
        <v>20321.43</v>
      </c>
    </row>
    <row r="1698" spans="1:4" x14ac:dyDescent="0.3">
      <c r="A1698" t="s">
        <v>33</v>
      </c>
      <c r="C1698" s="16">
        <v>46203</v>
      </c>
      <c r="D1698">
        <v>28458.6</v>
      </c>
    </row>
    <row r="1699" spans="1:4" x14ac:dyDescent="0.3">
      <c r="A1699" t="s">
        <v>34</v>
      </c>
      <c r="C1699" s="16">
        <v>46203</v>
      </c>
      <c r="D1699">
        <v>345</v>
      </c>
    </row>
    <row r="1700" spans="1:4" x14ac:dyDescent="0.3">
      <c r="A1700" t="s">
        <v>35</v>
      </c>
      <c r="C1700" s="16">
        <v>46203</v>
      </c>
      <c r="D1700">
        <v>23872.78</v>
      </c>
    </row>
    <row r="1701" spans="1:4" x14ac:dyDescent="0.3">
      <c r="A1701" t="s">
        <v>193</v>
      </c>
      <c r="C1701" s="16">
        <v>46203</v>
      </c>
      <c r="D1701">
        <v>0</v>
      </c>
    </row>
    <row r="1702" spans="1:4" x14ac:dyDescent="0.3">
      <c r="A1702" t="s">
        <v>194</v>
      </c>
      <c r="C1702" s="16">
        <v>46203</v>
      </c>
      <c r="D1702">
        <v>0</v>
      </c>
    </row>
    <row r="1703" spans="1:4" x14ac:dyDescent="0.3">
      <c r="A1703" t="s">
        <v>195</v>
      </c>
      <c r="C1703" s="16">
        <v>46203</v>
      </c>
      <c r="D1703">
        <v>0</v>
      </c>
    </row>
    <row r="1704" spans="1:4" x14ac:dyDescent="0.3">
      <c r="A1704" t="s">
        <v>196</v>
      </c>
      <c r="C1704" s="16">
        <v>46203</v>
      </c>
      <c r="D1704">
        <v>0</v>
      </c>
    </row>
    <row r="1705" spans="1:4" x14ac:dyDescent="0.3">
      <c r="A1705" t="s">
        <v>197</v>
      </c>
      <c r="C1705" s="16">
        <v>46203</v>
      </c>
      <c r="D1705">
        <v>0</v>
      </c>
    </row>
    <row r="1706" spans="1:4" x14ac:dyDescent="0.3">
      <c r="A1706" t="s">
        <v>198</v>
      </c>
      <c r="C1706" s="16">
        <v>46203</v>
      </c>
      <c r="D1706">
        <v>0</v>
      </c>
    </row>
    <row r="1707" spans="1:4" x14ac:dyDescent="0.3">
      <c r="A1707" t="s">
        <v>216</v>
      </c>
      <c r="C1707" s="16">
        <v>46203</v>
      </c>
      <c r="D1707">
        <v>0</v>
      </c>
    </row>
    <row r="1708" spans="1:4" x14ac:dyDescent="0.3">
      <c r="A1708" t="s">
        <v>200</v>
      </c>
      <c r="C1708" s="16">
        <v>46203</v>
      </c>
      <c r="D1708">
        <v>0</v>
      </c>
    </row>
    <row r="1709" spans="1:4" x14ac:dyDescent="0.3">
      <c r="A1709" t="s">
        <v>201</v>
      </c>
      <c r="C1709" s="16">
        <v>46203</v>
      </c>
      <c r="D1709">
        <v>0</v>
      </c>
    </row>
    <row r="1710" spans="1:4" x14ac:dyDescent="0.3">
      <c r="A1710" t="s">
        <v>17</v>
      </c>
      <c r="C1710" s="16">
        <v>46204</v>
      </c>
      <c r="D1710">
        <v>6295585.7500000009</v>
      </c>
    </row>
    <row r="1711" spans="1:4" x14ac:dyDescent="0.3">
      <c r="A1711" t="s">
        <v>18</v>
      </c>
      <c r="C1711" s="16">
        <v>46204</v>
      </c>
      <c r="D1711">
        <v>79139.680000000168</v>
      </c>
    </row>
    <row r="1712" spans="1:4" x14ac:dyDescent="0.3">
      <c r="A1712" t="s">
        <v>19</v>
      </c>
      <c r="C1712" s="16">
        <v>46204</v>
      </c>
      <c r="D1712">
        <v>1669.89</v>
      </c>
    </row>
    <row r="1713" spans="1:4" x14ac:dyDescent="0.3">
      <c r="A1713" t="s">
        <v>20</v>
      </c>
      <c r="C1713" s="16">
        <v>46204</v>
      </c>
      <c r="D1713">
        <v>507936.37999999989</v>
      </c>
    </row>
    <row r="1714" spans="1:4" x14ac:dyDescent="0.3">
      <c r="A1714" t="s">
        <v>21</v>
      </c>
      <c r="C1714" s="16">
        <v>46204</v>
      </c>
      <c r="D1714">
        <v>1696284.7299999995</v>
      </c>
    </row>
    <row r="1715" spans="1:4" x14ac:dyDescent="0.3">
      <c r="A1715" t="s">
        <v>22</v>
      </c>
      <c r="C1715" s="16">
        <v>46204</v>
      </c>
      <c r="D1715">
        <v>390496.38</v>
      </c>
    </row>
    <row r="1716" spans="1:4" x14ac:dyDescent="0.3">
      <c r="A1716" t="s">
        <v>23</v>
      </c>
      <c r="C1716" s="16">
        <v>46204</v>
      </c>
      <c r="D1716">
        <v>88090.37</v>
      </c>
    </row>
    <row r="1717" spans="1:4" x14ac:dyDescent="0.3">
      <c r="A1717" t="s">
        <v>24</v>
      </c>
      <c r="C1717" s="16">
        <v>46204</v>
      </c>
      <c r="D1717">
        <v>511.15999999999985</v>
      </c>
    </row>
    <row r="1718" spans="1:4" x14ac:dyDescent="0.3">
      <c r="A1718" t="s">
        <v>25</v>
      </c>
      <c r="C1718" s="16">
        <v>46204</v>
      </c>
      <c r="D1718">
        <v>54.400000000000006</v>
      </c>
    </row>
    <row r="1719" spans="1:4" x14ac:dyDescent="0.3">
      <c r="A1719" t="s">
        <v>26</v>
      </c>
      <c r="C1719" s="16">
        <v>46204</v>
      </c>
      <c r="D1719">
        <v>2207.8200000000002</v>
      </c>
    </row>
    <row r="1720" spans="1:4" x14ac:dyDescent="0.3">
      <c r="A1720" t="s">
        <v>27</v>
      </c>
      <c r="C1720" s="16">
        <v>46204</v>
      </c>
      <c r="D1720">
        <v>3349.94</v>
      </c>
    </row>
    <row r="1721" spans="1:4" x14ac:dyDescent="0.3">
      <c r="A1721" t="s">
        <v>28</v>
      </c>
      <c r="C1721" s="16">
        <v>46204</v>
      </c>
      <c r="D1721">
        <v>1968.99</v>
      </c>
    </row>
    <row r="1722" spans="1:4" x14ac:dyDescent="0.3">
      <c r="A1722" t="s">
        <v>29</v>
      </c>
      <c r="C1722" s="16">
        <v>46204</v>
      </c>
      <c r="D1722">
        <v>382.69000000000005</v>
      </c>
    </row>
    <row r="1723" spans="1:4" x14ac:dyDescent="0.3">
      <c r="A1723" t="s">
        <v>30</v>
      </c>
      <c r="C1723" s="16">
        <v>46204</v>
      </c>
      <c r="D1723">
        <v>1412.08</v>
      </c>
    </row>
    <row r="1724" spans="1:4" x14ac:dyDescent="0.3">
      <c r="A1724" t="s">
        <v>31</v>
      </c>
      <c r="C1724" s="16">
        <v>46204</v>
      </c>
      <c r="D1724">
        <v>22496.639999999959</v>
      </c>
    </row>
    <row r="1725" spans="1:4" x14ac:dyDescent="0.3">
      <c r="A1725" t="s">
        <v>32</v>
      </c>
      <c r="C1725" s="16">
        <v>46204</v>
      </c>
      <c r="D1725">
        <v>10522.800000000003</v>
      </c>
    </row>
    <row r="1726" spans="1:4" x14ac:dyDescent="0.3">
      <c r="A1726" t="s">
        <v>33</v>
      </c>
      <c r="C1726" s="16">
        <v>46204</v>
      </c>
      <c r="D1726">
        <v>19685.559999999998</v>
      </c>
    </row>
    <row r="1727" spans="1:4" x14ac:dyDescent="0.3">
      <c r="A1727" t="s">
        <v>34</v>
      </c>
      <c r="C1727" s="16">
        <v>46204</v>
      </c>
      <c r="D1727">
        <v>345</v>
      </c>
    </row>
    <row r="1728" spans="1:4" x14ac:dyDescent="0.3">
      <c r="A1728" t="s">
        <v>35</v>
      </c>
      <c r="C1728" s="16">
        <v>46204</v>
      </c>
      <c r="D1728">
        <v>23439.279999999999</v>
      </c>
    </row>
    <row r="1729" spans="1:4" x14ac:dyDescent="0.3">
      <c r="A1729" t="s">
        <v>193</v>
      </c>
      <c r="C1729" s="16">
        <v>46204</v>
      </c>
      <c r="D1729">
        <v>0</v>
      </c>
    </row>
    <row r="1730" spans="1:4" x14ac:dyDescent="0.3">
      <c r="A1730" t="s">
        <v>194</v>
      </c>
      <c r="C1730" s="16">
        <v>46204</v>
      </c>
      <c r="D1730">
        <v>0</v>
      </c>
    </row>
    <row r="1731" spans="1:4" x14ac:dyDescent="0.3">
      <c r="A1731" t="s">
        <v>195</v>
      </c>
      <c r="C1731" s="16">
        <v>46204</v>
      </c>
      <c r="D1731">
        <v>0</v>
      </c>
    </row>
    <row r="1732" spans="1:4" x14ac:dyDescent="0.3">
      <c r="A1732" t="s">
        <v>196</v>
      </c>
      <c r="C1732" s="16">
        <v>46204</v>
      </c>
      <c r="D1732">
        <v>0</v>
      </c>
    </row>
    <row r="1733" spans="1:4" x14ac:dyDescent="0.3">
      <c r="A1733" t="s">
        <v>197</v>
      </c>
      <c r="C1733" s="16">
        <v>46204</v>
      </c>
      <c r="D1733">
        <v>0</v>
      </c>
    </row>
    <row r="1734" spans="1:4" x14ac:dyDescent="0.3">
      <c r="A1734" t="s">
        <v>198</v>
      </c>
      <c r="C1734" s="16">
        <v>46204</v>
      </c>
      <c r="D1734">
        <v>0</v>
      </c>
    </row>
    <row r="1735" spans="1:4" x14ac:dyDescent="0.3">
      <c r="A1735" t="s">
        <v>216</v>
      </c>
      <c r="C1735" s="16">
        <v>46204</v>
      </c>
      <c r="D1735">
        <v>0</v>
      </c>
    </row>
    <row r="1736" spans="1:4" x14ac:dyDescent="0.3">
      <c r="A1736" t="s">
        <v>200</v>
      </c>
      <c r="C1736" s="16">
        <v>46204</v>
      </c>
      <c r="D1736">
        <v>0</v>
      </c>
    </row>
    <row r="1737" spans="1:4" x14ac:dyDescent="0.3">
      <c r="A1737" t="s">
        <v>201</v>
      </c>
      <c r="C1737" s="16">
        <v>46204</v>
      </c>
      <c r="D1737">
        <v>0</v>
      </c>
    </row>
    <row r="1738" spans="1:4" x14ac:dyDescent="0.3">
      <c r="A1738" t="s">
        <v>17</v>
      </c>
      <c r="C1738" s="16">
        <v>46205</v>
      </c>
      <c r="D1738">
        <v>5592585.7500000009</v>
      </c>
    </row>
    <row r="1739" spans="1:4" x14ac:dyDescent="0.3">
      <c r="A1739" t="s">
        <v>18</v>
      </c>
      <c r="C1739" s="16">
        <v>46205</v>
      </c>
      <c r="D1739">
        <v>79139.680000000168</v>
      </c>
    </row>
    <row r="1740" spans="1:4" x14ac:dyDescent="0.3">
      <c r="A1740" t="s">
        <v>19</v>
      </c>
      <c r="C1740" s="16">
        <v>46205</v>
      </c>
      <c r="D1740">
        <v>1669.89</v>
      </c>
    </row>
    <row r="1741" spans="1:4" x14ac:dyDescent="0.3">
      <c r="A1741" t="s">
        <v>20</v>
      </c>
      <c r="C1741" s="16">
        <v>46205</v>
      </c>
      <c r="D1741">
        <v>350475.62999999989</v>
      </c>
    </row>
    <row r="1742" spans="1:4" x14ac:dyDescent="0.3">
      <c r="A1742" t="s">
        <v>21</v>
      </c>
      <c r="C1742" s="16">
        <v>46205</v>
      </c>
      <c r="D1742">
        <v>1761564.8799999994</v>
      </c>
    </row>
    <row r="1743" spans="1:4" x14ac:dyDescent="0.3">
      <c r="A1743" t="s">
        <v>22</v>
      </c>
      <c r="C1743" s="16">
        <v>46205</v>
      </c>
      <c r="D1743">
        <v>220496.38</v>
      </c>
    </row>
    <row r="1744" spans="1:4" x14ac:dyDescent="0.3">
      <c r="A1744" t="s">
        <v>23</v>
      </c>
      <c r="C1744" s="16">
        <v>46205</v>
      </c>
      <c r="D1744">
        <v>88090.37</v>
      </c>
    </row>
    <row r="1745" spans="1:4" x14ac:dyDescent="0.3">
      <c r="A1745" t="s">
        <v>24</v>
      </c>
      <c r="C1745" s="16">
        <v>46205</v>
      </c>
      <c r="D1745">
        <v>511.15999999999985</v>
      </c>
    </row>
    <row r="1746" spans="1:4" x14ac:dyDescent="0.3">
      <c r="A1746" t="s">
        <v>25</v>
      </c>
      <c r="C1746" s="16">
        <v>46205</v>
      </c>
      <c r="D1746">
        <v>54.400000000000006</v>
      </c>
    </row>
    <row r="1747" spans="1:4" x14ac:dyDescent="0.3">
      <c r="A1747" t="s">
        <v>26</v>
      </c>
      <c r="C1747" s="16">
        <v>46205</v>
      </c>
      <c r="D1747">
        <v>2207.8200000000002</v>
      </c>
    </row>
    <row r="1748" spans="1:4" x14ac:dyDescent="0.3">
      <c r="A1748" t="s">
        <v>27</v>
      </c>
      <c r="C1748" s="16">
        <v>46205</v>
      </c>
      <c r="D1748">
        <v>3349.94</v>
      </c>
    </row>
    <row r="1749" spans="1:4" x14ac:dyDescent="0.3">
      <c r="A1749" t="s">
        <v>28</v>
      </c>
      <c r="C1749" s="16">
        <v>46205</v>
      </c>
      <c r="D1749">
        <v>1968.99</v>
      </c>
    </row>
    <row r="1750" spans="1:4" x14ac:dyDescent="0.3">
      <c r="A1750" t="s">
        <v>29</v>
      </c>
      <c r="C1750" s="16">
        <v>46205</v>
      </c>
      <c r="D1750">
        <v>382.69000000000005</v>
      </c>
    </row>
    <row r="1751" spans="1:4" x14ac:dyDescent="0.3">
      <c r="A1751" t="s">
        <v>30</v>
      </c>
      <c r="C1751" s="16">
        <v>46205</v>
      </c>
      <c r="D1751">
        <v>1412.08</v>
      </c>
    </row>
    <row r="1752" spans="1:4" x14ac:dyDescent="0.3">
      <c r="A1752" t="s">
        <v>31</v>
      </c>
      <c r="C1752" s="16">
        <v>46205</v>
      </c>
      <c r="D1752">
        <v>22496.639999999959</v>
      </c>
    </row>
    <row r="1753" spans="1:4" x14ac:dyDescent="0.3">
      <c r="A1753" t="s">
        <v>32</v>
      </c>
      <c r="C1753" s="16">
        <v>46205</v>
      </c>
      <c r="D1753">
        <v>10522.800000000003</v>
      </c>
    </row>
    <row r="1754" spans="1:4" x14ac:dyDescent="0.3">
      <c r="A1754" t="s">
        <v>33</v>
      </c>
      <c r="C1754" s="16">
        <v>46205</v>
      </c>
      <c r="D1754">
        <v>28485.559999999998</v>
      </c>
    </row>
    <row r="1755" spans="1:4" x14ac:dyDescent="0.3">
      <c r="A1755" t="s">
        <v>34</v>
      </c>
      <c r="C1755" s="16">
        <v>46205</v>
      </c>
      <c r="D1755">
        <v>345</v>
      </c>
    </row>
    <row r="1756" spans="1:4" x14ac:dyDescent="0.3">
      <c r="A1756" t="s">
        <v>35</v>
      </c>
      <c r="C1756" s="16">
        <v>46205</v>
      </c>
      <c r="D1756">
        <v>36241.22</v>
      </c>
    </row>
    <row r="1757" spans="1:4" x14ac:dyDescent="0.3">
      <c r="A1757" t="s">
        <v>193</v>
      </c>
      <c r="C1757" s="16">
        <v>46205</v>
      </c>
      <c r="D1757">
        <v>0</v>
      </c>
    </row>
    <row r="1758" spans="1:4" x14ac:dyDescent="0.3">
      <c r="A1758" t="s">
        <v>194</v>
      </c>
      <c r="C1758" s="16">
        <v>46205</v>
      </c>
      <c r="D1758">
        <v>0</v>
      </c>
    </row>
    <row r="1759" spans="1:4" x14ac:dyDescent="0.3">
      <c r="A1759" t="s">
        <v>195</v>
      </c>
      <c r="C1759" s="16">
        <v>46205</v>
      </c>
      <c r="D1759">
        <v>0</v>
      </c>
    </row>
    <row r="1760" spans="1:4" x14ac:dyDescent="0.3">
      <c r="A1760" t="s">
        <v>196</v>
      </c>
      <c r="C1760" s="16">
        <v>46205</v>
      </c>
      <c r="D1760">
        <v>0</v>
      </c>
    </row>
    <row r="1761" spans="1:4" x14ac:dyDescent="0.3">
      <c r="A1761" t="s">
        <v>197</v>
      </c>
      <c r="C1761" s="16">
        <v>46205</v>
      </c>
      <c r="D1761">
        <v>0</v>
      </c>
    </row>
    <row r="1762" spans="1:4" x14ac:dyDescent="0.3">
      <c r="A1762" t="s">
        <v>198</v>
      </c>
      <c r="C1762" s="16">
        <v>46205</v>
      </c>
      <c r="D1762">
        <v>0</v>
      </c>
    </row>
    <row r="1763" spans="1:4" x14ac:dyDescent="0.3">
      <c r="A1763" t="s">
        <v>216</v>
      </c>
      <c r="C1763" s="16">
        <v>46205</v>
      </c>
      <c r="D1763">
        <v>0</v>
      </c>
    </row>
    <row r="1764" spans="1:4" x14ac:dyDescent="0.3">
      <c r="A1764" t="s">
        <v>200</v>
      </c>
      <c r="C1764" s="16">
        <v>46205</v>
      </c>
      <c r="D1764">
        <v>0</v>
      </c>
    </row>
    <row r="1765" spans="1:4" x14ac:dyDescent="0.3">
      <c r="A1765" t="s">
        <v>201</v>
      </c>
      <c r="C1765" s="16">
        <v>46205</v>
      </c>
      <c r="D1765">
        <v>0</v>
      </c>
    </row>
    <row r="1766" spans="1:4" x14ac:dyDescent="0.3">
      <c r="A1766" t="s">
        <v>17</v>
      </c>
      <c r="C1766" s="16">
        <v>46206</v>
      </c>
      <c r="D1766">
        <v>5592585.7500000009</v>
      </c>
    </row>
    <row r="1767" spans="1:4" x14ac:dyDescent="0.3">
      <c r="A1767" t="s">
        <v>18</v>
      </c>
      <c r="C1767" s="16">
        <v>46206</v>
      </c>
      <c r="D1767">
        <v>79139.680000000168</v>
      </c>
    </row>
    <row r="1768" spans="1:4" x14ac:dyDescent="0.3">
      <c r="A1768" t="s">
        <v>19</v>
      </c>
      <c r="C1768" s="16">
        <v>46206</v>
      </c>
      <c r="D1768">
        <v>1669.89</v>
      </c>
    </row>
    <row r="1769" spans="1:4" x14ac:dyDescent="0.3">
      <c r="A1769" t="s">
        <v>20</v>
      </c>
      <c r="C1769" s="16">
        <v>46206</v>
      </c>
      <c r="D1769">
        <v>350475.62999999989</v>
      </c>
    </row>
    <row r="1770" spans="1:4" x14ac:dyDescent="0.3">
      <c r="A1770" t="s">
        <v>21</v>
      </c>
      <c r="C1770" s="16">
        <v>46206</v>
      </c>
      <c r="D1770">
        <v>1761564.8799999994</v>
      </c>
    </row>
    <row r="1771" spans="1:4" x14ac:dyDescent="0.3">
      <c r="A1771" t="s">
        <v>22</v>
      </c>
      <c r="C1771" s="16">
        <v>46206</v>
      </c>
      <c r="D1771">
        <v>220496.38</v>
      </c>
    </row>
    <row r="1772" spans="1:4" x14ac:dyDescent="0.3">
      <c r="A1772" t="s">
        <v>23</v>
      </c>
      <c r="C1772" s="16">
        <v>46206</v>
      </c>
      <c r="D1772">
        <v>88090.37</v>
      </c>
    </row>
    <row r="1773" spans="1:4" x14ac:dyDescent="0.3">
      <c r="A1773" t="s">
        <v>24</v>
      </c>
      <c r="C1773" s="16">
        <v>46206</v>
      </c>
      <c r="D1773">
        <v>471.15999999999985</v>
      </c>
    </row>
    <row r="1774" spans="1:4" x14ac:dyDescent="0.3">
      <c r="A1774" t="s">
        <v>25</v>
      </c>
      <c r="C1774" s="16">
        <v>46206</v>
      </c>
      <c r="D1774">
        <v>54.400000000000006</v>
      </c>
    </row>
    <row r="1775" spans="1:4" x14ac:dyDescent="0.3">
      <c r="A1775" t="s">
        <v>26</v>
      </c>
      <c r="C1775" s="16">
        <v>46206</v>
      </c>
      <c r="D1775">
        <v>2207.8200000000002</v>
      </c>
    </row>
    <row r="1776" spans="1:4" x14ac:dyDescent="0.3">
      <c r="A1776" t="s">
        <v>27</v>
      </c>
      <c r="C1776" s="16">
        <v>46206</v>
      </c>
      <c r="D1776">
        <v>3349.94</v>
      </c>
    </row>
    <row r="1777" spans="1:4" x14ac:dyDescent="0.3">
      <c r="A1777" t="s">
        <v>28</v>
      </c>
      <c r="C1777" s="16">
        <v>46206</v>
      </c>
      <c r="D1777">
        <v>1968.99</v>
      </c>
    </row>
    <row r="1778" spans="1:4" x14ac:dyDescent="0.3">
      <c r="A1778" t="s">
        <v>29</v>
      </c>
      <c r="C1778" s="16">
        <v>46206</v>
      </c>
      <c r="D1778">
        <v>382.69000000000005</v>
      </c>
    </row>
    <row r="1779" spans="1:4" x14ac:dyDescent="0.3">
      <c r="A1779" t="s">
        <v>30</v>
      </c>
      <c r="C1779" s="16">
        <v>46206</v>
      </c>
      <c r="D1779">
        <v>1412.08</v>
      </c>
    </row>
    <row r="1780" spans="1:4" x14ac:dyDescent="0.3">
      <c r="A1780" t="s">
        <v>31</v>
      </c>
      <c r="C1780" s="16">
        <v>46206</v>
      </c>
      <c r="D1780">
        <v>22496.639999999959</v>
      </c>
    </row>
    <row r="1781" spans="1:4" x14ac:dyDescent="0.3">
      <c r="A1781" t="s">
        <v>32</v>
      </c>
      <c r="C1781" s="16">
        <v>46206</v>
      </c>
      <c r="D1781">
        <v>10522.800000000003</v>
      </c>
    </row>
    <row r="1782" spans="1:4" x14ac:dyDescent="0.3">
      <c r="A1782" t="s">
        <v>33</v>
      </c>
      <c r="C1782" s="16">
        <v>46206</v>
      </c>
      <c r="D1782">
        <v>28485.559999999998</v>
      </c>
    </row>
    <row r="1783" spans="1:4" x14ac:dyDescent="0.3">
      <c r="A1783" t="s">
        <v>34</v>
      </c>
      <c r="C1783" s="16">
        <v>46206</v>
      </c>
      <c r="D1783">
        <v>345</v>
      </c>
    </row>
    <row r="1784" spans="1:4" x14ac:dyDescent="0.3">
      <c r="A1784" t="s">
        <v>35</v>
      </c>
      <c r="C1784" s="16">
        <v>46206</v>
      </c>
      <c r="D1784">
        <v>33119.040000000001</v>
      </c>
    </row>
    <row r="1785" spans="1:4" x14ac:dyDescent="0.3">
      <c r="A1785" t="s">
        <v>193</v>
      </c>
      <c r="C1785" s="16">
        <v>46206</v>
      </c>
      <c r="D1785">
        <v>0</v>
      </c>
    </row>
    <row r="1786" spans="1:4" x14ac:dyDescent="0.3">
      <c r="A1786" t="s">
        <v>194</v>
      </c>
      <c r="C1786" s="16">
        <v>46206</v>
      </c>
      <c r="D1786">
        <v>0</v>
      </c>
    </row>
    <row r="1787" spans="1:4" x14ac:dyDescent="0.3">
      <c r="A1787" t="s">
        <v>195</v>
      </c>
      <c r="C1787" s="16">
        <v>46206</v>
      </c>
      <c r="D1787">
        <v>0</v>
      </c>
    </row>
    <row r="1788" spans="1:4" x14ac:dyDescent="0.3">
      <c r="A1788" t="s">
        <v>196</v>
      </c>
      <c r="C1788" s="16">
        <v>46206</v>
      </c>
      <c r="D1788">
        <v>0</v>
      </c>
    </row>
    <row r="1789" spans="1:4" x14ac:dyDescent="0.3">
      <c r="A1789" t="s">
        <v>197</v>
      </c>
      <c r="C1789" s="16">
        <v>46206</v>
      </c>
      <c r="D1789">
        <v>0</v>
      </c>
    </row>
    <row r="1790" spans="1:4" x14ac:dyDescent="0.3">
      <c r="A1790" t="s">
        <v>198</v>
      </c>
      <c r="C1790" s="16">
        <v>46206</v>
      </c>
      <c r="D1790">
        <v>0</v>
      </c>
    </row>
    <row r="1791" spans="1:4" x14ac:dyDescent="0.3">
      <c r="A1791" t="s">
        <v>216</v>
      </c>
      <c r="C1791" s="16">
        <v>46206</v>
      </c>
      <c r="D1791">
        <v>0</v>
      </c>
    </row>
    <row r="1792" spans="1:4" x14ac:dyDescent="0.3">
      <c r="A1792" t="s">
        <v>200</v>
      </c>
      <c r="C1792" s="16">
        <v>46206</v>
      </c>
      <c r="D1792">
        <v>0</v>
      </c>
    </row>
    <row r="1793" spans="1:4" x14ac:dyDescent="0.3">
      <c r="A1793" t="s">
        <v>201</v>
      </c>
      <c r="C1793" s="16">
        <v>46206</v>
      </c>
      <c r="D1793">
        <v>0</v>
      </c>
    </row>
    <row r="1794" spans="1:4" x14ac:dyDescent="0.3">
      <c r="A1794" t="s">
        <v>17</v>
      </c>
      <c r="C1794" s="16">
        <v>46207</v>
      </c>
      <c r="D1794">
        <v>5592585.7500000009</v>
      </c>
    </row>
    <row r="1795" spans="1:4" x14ac:dyDescent="0.3">
      <c r="A1795" t="s">
        <v>18</v>
      </c>
      <c r="C1795" s="16">
        <v>46207</v>
      </c>
      <c r="D1795">
        <v>79139.680000000168</v>
      </c>
    </row>
    <row r="1796" spans="1:4" x14ac:dyDescent="0.3">
      <c r="A1796" t="s">
        <v>19</v>
      </c>
      <c r="C1796" s="16">
        <v>46207</v>
      </c>
      <c r="D1796">
        <v>1669.89</v>
      </c>
    </row>
    <row r="1797" spans="1:4" x14ac:dyDescent="0.3">
      <c r="A1797" t="s">
        <v>20</v>
      </c>
      <c r="C1797" s="16">
        <v>46207</v>
      </c>
      <c r="D1797">
        <v>350475.62999999989</v>
      </c>
    </row>
    <row r="1798" spans="1:4" x14ac:dyDescent="0.3">
      <c r="A1798" t="s">
        <v>21</v>
      </c>
      <c r="C1798" s="16">
        <v>46207</v>
      </c>
      <c r="D1798">
        <v>1761564.8799999994</v>
      </c>
    </row>
    <row r="1799" spans="1:4" x14ac:dyDescent="0.3">
      <c r="A1799" t="s">
        <v>22</v>
      </c>
      <c r="C1799" s="16">
        <v>46207</v>
      </c>
      <c r="D1799">
        <v>220496.38</v>
      </c>
    </row>
    <row r="1800" spans="1:4" x14ac:dyDescent="0.3">
      <c r="A1800" t="s">
        <v>23</v>
      </c>
      <c r="C1800" s="16">
        <v>46207</v>
      </c>
      <c r="D1800">
        <v>88090.37</v>
      </c>
    </row>
    <row r="1801" spans="1:4" x14ac:dyDescent="0.3">
      <c r="A1801" t="s">
        <v>24</v>
      </c>
      <c r="C1801" s="16">
        <v>46207</v>
      </c>
      <c r="D1801">
        <v>471.15999999999985</v>
      </c>
    </row>
    <row r="1802" spans="1:4" x14ac:dyDescent="0.3">
      <c r="A1802" t="s">
        <v>25</v>
      </c>
      <c r="C1802" s="16">
        <v>46207</v>
      </c>
      <c r="D1802">
        <v>54.400000000000006</v>
      </c>
    </row>
    <row r="1803" spans="1:4" x14ac:dyDescent="0.3">
      <c r="A1803" t="s">
        <v>26</v>
      </c>
      <c r="C1803" s="16">
        <v>46207</v>
      </c>
      <c r="D1803">
        <v>2207.8200000000002</v>
      </c>
    </row>
    <row r="1804" spans="1:4" x14ac:dyDescent="0.3">
      <c r="A1804" t="s">
        <v>27</v>
      </c>
      <c r="C1804" s="16">
        <v>46207</v>
      </c>
      <c r="D1804">
        <v>3349.94</v>
      </c>
    </row>
    <row r="1805" spans="1:4" x14ac:dyDescent="0.3">
      <c r="A1805" t="s">
        <v>28</v>
      </c>
      <c r="C1805" s="16">
        <v>46207</v>
      </c>
      <c r="D1805">
        <v>1968.99</v>
      </c>
    </row>
    <row r="1806" spans="1:4" x14ac:dyDescent="0.3">
      <c r="A1806" t="s">
        <v>29</v>
      </c>
      <c r="C1806" s="16">
        <v>46207</v>
      </c>
      <c r="D1806">
        <v>382.69000000000005</v>
      </c>
    </row>
    <row r="1807" spans="1:4" x14ac:dyDescent="0.3">
      <c r="A1807" t="s">
        <v>30</v>
      </c>
      <c r="C1807" s="16">
        <v>46207</v>
      </c>
      <c r="D1807">
        <v>1412.08</v>
      </c>
    </row>
    <row r="1808" spans="1:4" x14ac:dyDescent="0.3">
      <c r="A1808" t="s">
        <v>31</v>
      </c>
      <c r="C1808" s="16">
        <v>46207</v>
      </c>
      <c r="D1808">
        <v>22496.639999999959</v>
      </c>
    </row>
    <row r="1809" spans="1:4" x14ac:dyDescent="0.3">
      <c r="A1809" t="s">
        <v>32</v>
      </c>
      <c r="C1809" s="16">
        <v>46207</v>
      </c>
      <c r="D1809">
        <v>10522.800000000003</v>
      </c>
    </row>
    <row r="1810" spans="1:4" x14ac:dyDescent="0.3">
      <c r="A1810" t="s">
        <v>33</v>
      </c>
      <c r="C1810" s="16">
        <v>46207</v>
      </c>
      <c r="D1810">
        <v>28485.559999999998</v>
      </c>
    </row>
    <row r="1811" spans="1:4" x14ac:dyDescent="0.3">
      <c r="A1811" t="s">
        <v>34</v>
      </c>
      <c r="C1811" s="16">
        <v>46207</v>
      </c>
      <c r="D1811">
        <v>345</v>
      </c>
    </row>
    <row r="1812" spans="1:4" x14ac:dyDescent="0.3">
      <c r="A1812" t="s">
        <v>35</v>
      </c>
      <c r="C1812" s="16">
        <v>46207</v>
      </c>
      <c r="D1812">
        <v>33119.040000000001</v>
      </c>
    </row>
    <row r="1813" spans="1:4" x14ac:dyDescent="0.3">
      <c r="A1813" t="s">
        <v>193</v>
      </c>
      <c r="C1813" s="16">
        <v>46207</v>
      </c>
      <c r="D1813">
        <v>0</v>
      </c>
    </row>
    <row r="1814" spans="1:4" x14ac:dyDescent="0.3">
      <c r="A1814" t="s">
        <v>194</v>
      </c>
      <c r="C1814" s="16">
        <v>46207</v>
      </c>
      <c r="D1814">
        <v>0</v>
      </c>
    </row>
    <row r="1815" spans="1:4" x14ac:dyDescent="0.3">
      <c r="A1815" t="s">
        <v>195</v>
      </c>
      <c r="C1815" s="16">
        <v>46207</v>
      </c>
      <c r="D1815">
        <v>0</v>
      </c>
    </row>
    <row r="1816" spans="1:4" x14ac:dyDescent="0.3">
      <c r="A1816" t="s">
        <v>196</v>
      </c>
      <c r="C1816" s="16">
        <v>46207</v>
      </c>
      <c r="D1816">
        <v>0</v>
      </c>
    </row>
    <row r="1817" spans="1:4" x14ac:dyDescent="0.3">
      <c r="A1817" t="s">
        <v>197</v>
      </c>
      <c r="C1817" s="16">
        <v>46207</v>
      </c>
      <c r="D1817">
        <v>0</v>
      </c>
    </row>
    <row r="1818" spans="1:4" x14ac:dyDescent="0.3">
      <c r="A1818" t="s">
        <v>198</v>
      </c>
      <c r="C1818" s="16">
        <v>46207</v>
      </c>
      <c r="D1818">
        <v>0</v>
      </c>
    </row>
    <row r="1819" spans="1:4" x14ac:dyDescent="0.3">
      <c r="A1819" t="s">
        <v>216</v>
      </c>
      <c r="C1819" s="16">
        <v>46207</v>
      </c>
      <c r="D1819">
        <v>0</v>
      </c>
    </row>
    <row r="1820" spans="1:4" x14ac:dyDescent="0.3">
      <c r="A1820" t="s">
        <v>200</v>
      </c>
      <c r="C1820" s="16">
        <v>46207</v>
      </c>
      <c r="D1820">
        <v>0</v>
      </c>
    </row>
    <row r="1821" spans="1:4" x14ac:dyDescent="0.3">
      <c r="A1821" t="s">
        <v>201</v>
      </c>
      <c r="C1821" s="16">
        <v>46207</v>
      </c>
      <c r="D1821">
        <v>0</v>
      </c>
    </row>
    <row r="1822" spans="1:4" x14ac:dyDescent="0.3">
      <c r="A1822" t="s">
        <v>17</v>
      </c>
      <c r="C1822" s="16">
        <v>46208</v>
      </c>
      <c r="D1822">
        <v>5592585.7500000009</v>
      </c>
    </row>
    <row r="1823" spans="1:4" x14ac:dyDescent="0.3">
      <c r="A1823" t="s">
        <v>18</v>
      </c>
      <c r="C1823" s="16">
        <v>46208</v>
      </c>
      <c r="D1823">
        <v>79139.680000000168</v>
      </c>
    </row>
    <row r="1824" spans="1:4" x14ac:dyDescent="0.3">
      <c r="A1824" t="s">
        <v>19</v>
      </c>
      <c r="C1824" s="16">
        <v>46208</v>
      </c>
      <c r="D1824">
        <v>1669.89</v>
      </c>
    </row>
    <row r="1825" spans="1:4" x14ac:dyDescent="0.3">
      <c r="A1825" t="s">
        <v>20</v>
      </c>
      <c r="C1825" s="16">
        <v>46208</v>
      </c>
      <c r="D1825">
        <v>350475.62999999989</v>
      </c>
    </row>
    <row r="1826" spans="1:4" x14ac:dyDescent="0.3">
      <c r="A1826" t="s">
        <v>21</v>
      </c>
      <c r="C1826" s="16">
        <v>46208</v>
      </c>
      <c r="D1826">
        <v>1761564.8799999994</v>
      </c>
    </row>
    <row r="1827" spans="1:4" x14ac:dyDescent="0.3">
      <c r="A1827" t="s">
        <v>22</v>
      </c>
      <c r="C1827" s="16">
        <v>46208</v>
      </c>
      <c r="D1827">
        <v>220496.38</v>
      </c>
    </row>
    <row r="1828" spans="1:4" x14ac:dyDescent="0.3">
      <c r="A1828" t="s">
        <v>23</v>
      </c>
      <c r="C1828" s="16">
        <v>46208</v>
      </c>
      <c r="D1828">
        <v>88090.37</v>
      </c>
    </row>
    <row r="1829" spans="1:4" x14ac:dyDescent="0.3">
      <c r="A1829" t="s">
        <v>24</v>
      </c>
      <c r="C1829" s="16">
        <v>46208</v>
      </c>
      <c r="D1829">
        <v>471.15999999999985</v>
      </c>
    </row>
    <row r="1830" spans="1:4" x14ac:dyDescent="0.3">
      <c r="A1830" t="s">
        <v>25</v>
      </c>
      <c r="C1830" s="16">
        <v>46208</v>
      </c>
      <c r="D1830">
        <v>54.400000000000006</v>
      </c>
    </row>
    <row r="1831" spans="1:4" x14ac:dyDescent="0.3">
      <c r="A1831" t="s">
        <v>26</v>
      </c>
      <c r="C1831" s="16">
        <v>46208</v>
      </c>
      <c r="D1831">
        <v>2207.8200000000002</v>
      </c>
    </row>
    <row r="1832" spans="1:4" x14ac:dyDescent="0.3">
      <c r="A1832" t="s">
        <v>27</v>
      </c>
      <c r="C1832" s="16">
        <v>46208</v>
      </c>
      <c r="D1832">
        <v>3349.94</v>
      </c>
    </row>
    <row r="1833" spans="1:4" x14ac:dyDescent="0.3">
      <c r="A1833" t="s">
        <v>28</v>
      </c>
      <c r="C1833" s="16">
        <v>46208</v>
      </c>
      <c r="D1833">
        <v>1968.99</v>
      </c>
    </row>
    <row r="1834" spans="1:4" x14ac:dyDescent="0.3">
      <c r="A1834" t="s">
        <v>29</v>
      </c>
      <c r="C1834" s="16">
        <v>46208</v>
      </c>
      <c r="D1834">
        <v>382.69000000000005</v>
      </c>
    </row>
    <row r="1835" spans="1:4" x14ac:dyDescent="0.3">
      <c r="A1835" t="s">
        <v>30</v>
      </c>
      <c r="C1835" s="16">
        <v>46208</v>
      </c>
      <c r="D1835">
        <v>1412.08</v>
      </c>
    </row>
    <row r="1836" spans="1:4" x14ac:dyDescent="0.3">
      <c r="A1836" t="s">
        <v>31</v>
      </c>
      <c r="C1836" s="16">
        <v>46208</v>
      </c>
      <c r="D1836">
        <v>22496.639999999959</v>
      </c>
    </row>
    <row r="1837" spans="1:4" x14ac:dyDescent="0.3">
      <c r="A1837" t="s">
        <v>32</v>
      </c>
      <c r="C1837" s="16">
        <v>46208</v>
      </c>
      <c r="D1837">
        <v>10522.800000000003</v>
      </c>
    </row>
    <row r="1838" spans="1:4" x14ac:dyDescent="0.3">
      <c r="A1838" t="s">
        <v>33</v>
      </c>
      <c r="C1838" s="16">
        <v>46208</v>
      </c>
      <c r="D1838">
        <v>28485.559999999998</v>
      </c>
    </row>
    <row r="1839" spans="1:4" x14ac:dyDescent="0.3">
      <c r="A1839" t="s">
        <v>34</v>
      </c>
      <c r="C1839" s="16">
        <v>46208</v>
      </c>
      <c r="D1839">
        <v>345</v>
      </c>
    </row>
    <row r="1840" spans="1:4" x14ac:dyDescent="0.3">
      <c r="A1840" t="s">
        <v>35</v>
      </c>
      <c r="C1840" s="16">
        <v>46208</v>
      </c>
      <c r="D1840">
        <v>33119.040000000001</v>
      </c>
    </row>
    <row r="1841" spans="1:4" x14ac:dyDescent="0.3">
      <c r="A1841" t="s">
        <v>193</v>
      </c>
      <c r="C1841" s="16">
        <v>46208</v>
      </c>
      <c r="D1841">
        <v>0</v>
      </c>
    </row>
    <row r="1842" spans="1:4" x14ac:dyDescent="0.3">
      <c r="A1842" t="s">
        <v>194</v>
      </c>
      <c r="C1842" s="16">
        <v>46208</v>
      </c>
      <c r="D1842">
        <v>0</v>
      </c>
    </row>
    <row r="1843" spans="1:4" x14ac:dyDescent="0.3">
      <c r="A1843" t="s">
        <v>195</v>
      </c>
      <c r="C1843" s="16">
        <v>46208</v>
      </c>
      <c r="D1843">
        <v>0</v>
      </c>
    </row>
    <row r="1844" spans="1:4" x14ac:dyDescent="0.3">
      <c r="A1844" t="s">
        <v>196</v>
      </c>
      <c r="C1844" s="16">
        <v>46208</v>
      </c>
      <c r="D1844">
        <v>0</v>
      </c>
    </row>
    <row r="1845" spans="1:4" x14ac:dyDescent="0.3">
      <c r="A1845" t="s">
        <v>197</v>
      </c>
      <c r="C1845" s="16">
        <v>46208</v>
      </c>
      <c r="D1845">
        <v>0</v>
      </c>
    </row>
    <row r="1846" spans="1:4" x14ac:dyDescent="0.3">
      <c r="A1846" t="s">
        <v>198</v>
      </c>
      <c r="C1846" s="16">
        <v>46208</v>
      </c>
      <c r="D1846">
        <v>0</v>
      </c>
    </row>
    <row r="1847" spans="1:4" x14ac:dyDescent="0.3">
      <c r="A1847" t="s">
        <v>216</v>
      </c>
      <c r="C1847" s="16">
        <v>46208</v>
      </c>
      <c r="D1847">
        <v>0</v>
      </c>
    </row>
    <row r="1848" spans="1:4" x14ac:dyDescent="0.3">
      <c r="A1848" t="s">
        <v>200</v>
      </c>
      <c r="C1848" s="16">
        <v>46208</v>
      </c>
      <c r="D1848">
        <v>0</v>
      </c>
    </row>
    <row r="1849" spans="1:4" x14ac:dyDescent="0.3">
      <c r="A1849" t="s">
        <v>201</v>
      </c>
      <c r="C1849" s="16">
        <v>46208</v>
      </c>
      <c r="D1849">
        <v>0</v>
      </c>
    </row>
    <row r="1850" spans="1:4" x14ac:dyDescent="0.3">
      <c r="A1850" t="s">
        <v>17</v>
      </c>
      <c r="C1850" s="16">
        <v>46209</v>
      </c>
      <c r="D1850">
        <v>5592585.7500000009</v>
      </c>
    </row>
    <row r="1851" spans="1:4" x14ac:dyDescent="0.3">
      <c r="A1851" t="s">
        <v>18</v>
      </c>
      <c r="C1851" s="16">
        <v>46209</v>
      </c>
      <c r="D1851">
        <v>79139.680000000168</v>
      </c>
    </row>
    <row r="1852" spans="1:4" x14ac:dyDescent="0.3">
      <c r="A1852" t="s">
        <v>19</v>
      </c>
      <c r="C1852" s="16">
        <v>46209</v>
      </c>
      <c r="D1852">
        <v>1669.89</v>
      </c>
    </row>
    <row r="1853" spans="1:4" x14ac:dyDescent="0.3">
      <c r="A1853" t="s">
        <v>20</v>
      </c>
      <c r="C1853" s="16">
        <v>46209</v>
      </c>
      <c r="D1853">
        <v>350475.62999999989</v>
      </c>
    </row>
    <row r="1854" spans="1:4" x14ac:dyDescent="0.3">
      <c r="A1854" t="s">
        <v>21</v>
      </c>
      <c r="C1854" s="16">
        <v>46209</v>
      </c>
      <c r="D1854">
        <v>1761026.4599999995</v>
      </c>
    </row>
    <row r="1855" spans="1:4" x14ac:dyDescent="0.3">
      <c r="A1855" t="s">
        <v>22</v>
      </c>
      <c r="C1855" s="16">
        <v>46209</v>
      </c>
      <c r="D1855">
        <v>220496.38</v>
      </c>
    </row>
    <row r="1856" spans="1:4" x14ac:dyDescent="0.3">
      <c r="A1856" t="s">
        <v>23</v>
      </c>
      <c r="C1856" s="16">
        <v>46209</v>
      </c>
      <c r="D1856">
        <v>88090.37</v>
      </c>
    </row>
    <row r="1857" spans="1:4" x14ac:dyDescent="0.3">
      <c r="A1857" t="s">
        <v>24</v>
      </c>
      <c r="C1857" s="16">
        <v>46209</v>
      </c>
      <c r="D1857">
        <v>471.15999999999985</v>
      </c>
    </row>
    <row r="1858" spans="1:4" x14ac:dyDescent="0.3">
      <c r="A1858" t="s">
        <v>25</v>
      </c>
      <c r="C1858" s="16">
        <v>46209</v>
      </c>
      <c r="D1858">
        <v>54.400000000000006</v>
      </c>
    </row>
    <row r="1859" spans="1:4" x14ac:dyDescent="0.3">
      <c r="A1859" t="s">
        <v>26</v>
      </c>
      <c r="C1859" s="16">
        <v>46209</v>
      </c>
      <c r="D1859">
        <v>2207.8200000000002</v>
      </c>
    </row>
    <row r="1860" spans="1:4" x14ac:dyDescent="0.3">
      <c r="A1860" t="s">
        <v>27</v>
      </c>
      <c r="C1860" s="16">
        <v>46209</v>
      </c>
      <c r="D1860">
        <v>3349.94</v>
      </c>
    </row>
    <row r="1861" spans="1:4" x14ac:dyDescent="0.3">
      <c r="A1861" t="s">
        <v>28</v>
      </c>
      <c r="C1861" s="16">
        <v>46209</v>
      </c>
      <c r="D1861">
        <v>1968.99</v>
      </c>
    </row>
    <row r="1862" spans="1:4" x14ac:dyDescent="0.3">
      <c r="A1862" t="s">
        <v>29</v>
      </c>
      <c r="C1862" s="16">
        <v>46209</v>
      </c>
      <c r="D1862">
        <v>382.69000000000005</v>
      </c>
    </row>
    <row r="1863" spans="1:4" x14ac:dyDescent="0.3">
      <c r="A1863" t="s">
        <v>30</v>
      </c>
      <c r="C1863" s="16">
        <v>46209</v>
      </c>
      <c r="D1863">
        <v>1412.08</v>
      </c>
    </row>
    <row r="1864" spans="1:4" x14ac:dyDescent="0.3">
      <c r="A1864" t="s">
        <v>31</v>
      </c>
      <c r="C1864" s="16">
        <v>46209</v>
      </c>
      <c r="D1864">
        <v>22496.639999999959</v>
      </c>
    </row>
    <row r="1865" spans="1:4" x14ac:dyDescent="0.3">
      <c r="A1865" t="s">
        <v>32</v>
      </c>
      <c r="C1865" s="16">
        <v>46209</v>
      </c>
      <c r="D1865">
        <v>10522.800000000003</v>
      </c>
    </row>
    <row r="1866" spans="1:4" x14ac:dyDescent="0.3">
      <c r="A1866" t="s">
        <v>33</v>
      </c>
      <c r="C1866" s="16">
        <v>46209</v>
      </c>
      <c r="D1866">
        <v>28485.559999999998</v>
      </c>
    </row>
    <row r="1867" spans="1:4" x14ac:dyDescent="0.3">
      <c r="A1867" t="s">
        <v>34</v>
      </c>
      <c r="C1867" s="16">
        <v>46209</v>
      </c>
      <c r="D1867">
        <v>345</v>
      </c>
    </row>
    <row r="1868" spans="1:4" x14ac:dyDescent="0.3">
      <c r="A1868" t="s">
        <v>35</v>
      </c>
      <c r="C1868" s="16">
        <v>46209</v>
      </c>
      <c r="D1868">
        <v>15165.34</v>
      </c>
    </row>
    <row r="1869" spans="1:4" x14ac:dyDescent="0.3">
      <c r="A1869" t="s">
        <v>193</v>
      </c>
      <c r="C1869" s="16">
        <v>46209</v>
      </c>
      <c r="D1869">
        <v>0</v>
      </c>
    </row>
    <row r="1870" spans="1:4" x14ac:dyDescent="0.3">
      <c r="A1870" t="s">
        <v>194</v>
      </c>
      <c r="C1870" s="16">
        <v>46209</v>
      </c>
      <c r="D1870">
        <v>0</v>
      </c>
    </row>
    <row r="1871" spans="1:4" x14ac:dyDescent="0.3">
      <c r="A1871" t="s">
        <v>195</v>
      </c>
      <c r="C1871" s="16">
        <v>46209</v>
      </c>
      <c r="D1871">
        <v>0</v>
      </c>
    </row>
    <row r="1872" spans="1:4" x14ac:dyDescent="0.3">
      <c r="A1872" t="s">
        <v>196</v>
      </c>
      <c r="C1872" s="16">
        <v>46209</v>
      </c>
      <c r="D1872">
        <v>0</v>
      </c>
    </row>
    <row r="1873" spans="1:4" x14ac:dyDescent="0.3">
      <c r="A1873" t="s">
        <v>197</v>
      </c>
      <c r="C1873" s="16">
        <v>46209</v>
      </c>
      <c r="D1873">
        <v>0</v>
      </c>
    </row>
    <row r="1874" spans="1:4" x14ac:dyDescent="0.3">
      <c r="A1874" t="s">
        <v>198</v>
      </c>
      <c r="C1874" s="16">
        <v>46209</v>
      </c>
      <c r="D1874">
        <v>0</v>
      </c>
    </row>
    <row r="1875" spans="1:4" x14ac:dyDescent="0.3">
      <c r="A1875" t="s">
        <v>216</v>
      </c>
      <c r="C1875" s="16">
        <v>46209</v>
      </c>
      <c r="D1875">
        <v>0</v>
      </c>
    </row>
    <row r="1876" spans="1:4" x14ac:dyDescent="0.3">
      <c r="A1876" t="s">
        <v>200</v>
      </c>
      <c r="C1876" s="16">
        <v>46209</v>
      </c>
      <c r="D1876">
        <v>0</v>
      </c>
    </row>
    <row r="1877" spans="1:4" x14ac:dyDescent="0.3">
      <c r="A1877" t="s">
        <v>201</v>
      </c>
      <c r="C1877" s="16">
        <v>46209</v>
      </c>
      <c r="D1877">
        <v>0</v>
      </c>
    </row>
    <row r="1878" spans="1:4" x14ac:dyDescent="0.3">
      <c r="A1878" t="s">
        <v>17</v>
      </c>
      <c r="C1878" s="16">
        <v>46210</v>
      </c>
      <c r="D1878">
        <v>5592585.7500000009</v>
      </c>
    </row>
    <row r="1879" spans="1:4" x14ac:dyDescent="0.3">
      <c r="A1879" t="s">
        <v>18</v>
      </c>
      <c r="C1879" s="16">
        <v>46210</v>
      </c>
      <c r="D1879">
        <v>79139.680000000168</v>
      </c>
    </row>
    <row r="1880" spans="1:4" x14ac:dyDescent="0.3">
      <c r="A1880" t="s">
        <v>19</v>
      </c>
      <c r="C1880" s="16">
        <v>46210</v>
      </c>
      <c r="D1880">
        <v>1669.89</v>
      </c>
    </row>
    <row r="1881" spans="1:4" x14ac:dyDescent="0.3">
      <c r="A1881" t="s">
        <v>20</v>
      </c>
      <c r="C1881" s="16">
        <v>46210</v>
      </c>
      <c r="D1881">
        <v>350475.62999999989</v>
      </c>
    </row>
    <row r="1882" spans="1:4" x14ac:dyDescent="0.3">
      <c r="A1882" t="s">
        <v>21</v>
      </c>
      <c r="C1882" s="16">
        <v>46210</v>
      </c>
      <c r="D1882">
        <v>1761026.4599999995</v>
      </c>
    </row>
    <row r="1883" spans="1:4" x14ac:dyDescent="0.3">
      <c r="A1883" t="s">
        <v>22</v>
      </c>
      <c r="C1883" s="16">
        <v>46210</v>
      </c>
      <c r="D1883">
        <v>220496.38</v>
      </c>
    </row>
    <row r="1884" spans="1:4" x14ac:dyDescent="0.3">
      <c r="A1884" t="s">
        <v>23</v>
      </c>
      <c r="C1884" s="16">
        <v>46210</v>
      </c>
      <c r="D1884">
        <v>88090.37</v>
      </c>
    </row>
    <row r="1885" spans="1:4" x14ac:dyDescent="0.3">
      <c r="A1885" t="s">
        <v>24</v>
      </c>
      <c r="C1885" s="16">
        <v>46210</v>
      </c>
      <c r="D1885">
        <v>471.15999999999985</v>
      </c>
    </row>
    <row r="1886" spans="1:4" x14ac:dyDescent="0.3">
      <c r="A1886" t="s">
        <v>25</v>
      </c>
      <c r="C1886" s="16">
        <v>46210</v>
      </c>
      <c r="D1886">
        <v>54.400000000000006</v>
      </c>
    </row>
    <row r="1887" spans="1:4" x14ac:dyDescent="0.3">
      <c r="A1887" t="s">
        <v>26</v>
      </c>
      <c r="C1887" s="16">
        <v>46210</v>
      </c>
      <c r="D1887">
        <v>2207.8200000000002</v>
      </c>
    </row>
    <row r="1888" spans="1:4" x14ac:dyDescent="0.3">
      <c r="A1888" t="s">
        <v>27</v>
      </c>
      <c r="C1888" s="16">
        <v>46210</v>
      </c>
      <c r="D1888">
        <v>3349.94</v>
      </c>
    </row>
    <row r="1889" spans="1:4" x14ac:dyDescent="0.3">
      <c r="A1889" t="s">
        <v>28</v>
      </c>
      <c r="C1889" s="16">
        <v>46210</v>
      </c>
      <c r="D1889">
        <v>1968.99</v>
      </c>
    </row>
    <row r="1890" spans="1:4" x14ac:dyDescent="0.3">
      <c r="A1890" t="s">
        <v>29</v>
      </c>
      <c r="C1890" s="16">
        <v>46210</v>
      </c>
      <c r="D1890">
        <v>382.69000000000005</v>
      </c>
    </row>
    <row r="1891" spans="1:4" x14ac:dyDescent="0.3">
      <c r="A1891" t="s">
        <v>30</v>
      </c>
      <c r="C1891" s="16">
        <v>46210</v>
      </c>
      <c r="D1891">
        <v>1412.08</v>
      </c>
    </row>
    <row r="1892" spans="1:4" x14ac:dyDescent="0.3">
      <c r="A1892" t="s">
        <v>31</v>
      </c>
      <c r="C1892" s="16">
        <v>46210</v>
      </c>
      <c r="D1892">
        <v>22496.639999999959</v>
      </c>
    </row>
    <row r="1893" spans="1:4" x14ac:dyDescent="0.3">
      <c r="A1893" t="s">
        <v>32</v>
      </c>
      <c r="C1893" s="16">
        <v>46210</v>
      </c>
      <c r="D1893">
        <v>10522.800000000003</v>
      </c>
    </row>
    <row r="1894" spans="1:4" x14ac:dyDescent="0.3">
      <c r="A1894" t="s">
        <v>33</v>
      </c>
      <c r="C1894" s="16">
        <v>46210</v>
      </c>
      <c r="D1894">
        <v>28485.559999999998</v>
      </c>
    </row>
    <row r="1895" spans="1:4" x14ac:dyDescent="0.3">
      <c r="A1895" t="s">
        <v>34</v>
      </c>
      <c r="C1895" s="16">
        <v>46210</v>
      </c>
      <c r="D1895">
        <v>345</v>
      </c>
    </row>
    <row r="1896" spans="1:4" x14ac:dyDescent="0.3">
      <c r="A1896" t="s">
        <v>35</v>
      </c>
      <c r="C1896" s="16">
        <v>46210</v>
      </c>
      <c r="D1896">
        <v>14498.59</v>
      </c>
    </row>
    <row r="1897" spans="1:4" x14ac:dyDescent="0.3">
      <c r="A1897" t="s">
        <v>193</v>
      </c>
      <c r="C1897" s="16">
        <v>46210</v>
      </c>
      <c r="D1897">
        <v>0</v>
      </c>
    </row>
    <row r="1898" spans="1:4" x14ac:dyDescent="0.3">
      <c r="A1898" t="s">
        <v>194</v>
      </c>
      <c r="C1898" s="16">
        <v>46210</v>
      </c>
      <c r="D1898">
        <v>0</v>
      </c>
    </row>
    <row r="1899" spans="1:4" x14ac:dyDescent="0.3">
      <c r="A1899" t="s">
        <v>195</v>
      </c>
      <c r="C1899" s="16">
        <v>46210</v>
      </c>
      <c r="D1899">
        <v>0</v>
      </c>
    </row>
    <row r="1900" spans="1:4" x14ac:dyDescent="0.3">
      <c r="A1900" t="s">
        <v>196</v>
      </c>
      <c r="C1900" s="16">
        <v>46210</v>
      </c>
      <c r="D1900">
        <v>0</v>
      </c>
    </row>
    <row r="1901" spans="1:4" x14ac:dyDescent="0.3">
      <c r="A1901" t="s">
        <v>197</v>
      </c>
      <c r="C1901" s="16">
        <v>46210</v>
      </c>
      <c r="D1901">
        <v>0</v>
      </c>
    </row>
    <row r="1902" spans="1:4" x14ac:dyDescent="0.3">
      <c r="A1902" t="s">
        <v>198</v>
      </c>
      <c r="C1902" s="16">
        <v>46210</v>
      </c>
      <c r="D1902">
        <v>0</v>
      </c>
    </row>
    <row r="1903" spans="1:4" x14ac:dyDescent="0.3">
      <c r="A1903" t="s">
        <v>216</v>
      </c>
      <c r="C1903" s="16">
        <v>46210</v>
      </c>
      <c r="D1903">
        <v>0</v>
      </c>
    </row>
    <row r="1904" spans="1:4" x14ac:dyDescent="0.3">
      <c r="A1904" t="s">
        <v>200</v>
      </c>
      <c r="C1904" s="16">
        <v>46210</v>
      </c>
      <c r="D1904">
        <v>0</v>
      </c>
    </row>
    <row r="1905" spans="1:4" x14ac:dyDescent="0.3">
      <c r="A1905" t="s">
        <v>201</v>
      </c>
      <c r="C1905" s="16">
        <v>46210</v>
      </c>
      <c r="D1905">
        <v>0</v>
      </c>
    </row>
    <row r="1906" spans="1:4" x14ac:dyDescent="0.3">
      <c r="A1906" t="s">
        <v>17</v>
      </c>
      <c r="C1906" s="16">
        <v>46211</v>
      </c>
      <c r="D1906">
        <v>5592585.7500000009</v>
      </c>
    </row>
    <row r="1907" spans="1:4" x14ac:dyDescent="0.3">
      <c r="A1907" t="s">
        <v>18</v>
      </c>
      <c r="C1907" s="16">
        <v>46211</v>
      </c>
      <c r="D1907">
        <v>79139.680000000168</v>
      </c>
    </row>
    <row r="1908" spans="1:4" x14ac:dyDescent="0.3">
      <c r="A1908" t="s">
        <v>19</v>
      </c>
      <c r="C1908" s="16">
        <v>46211</v>
      </c>
      <c r="D1908">
        <v>1669.89</v>
      </c>
    </row>
    <row r="1909" spans="1:4" x14ac:dyDescent="0.3">
      <c r="A1909" t="s">
        <v>20</v>
      </c>
      <c r="C1909" s="16">
        <v>46211</v>
      </c>
      <c r="D1909">
        <v>350475.62999999989</v>
      </c>
    </row>
    <row r="1910" spans="1:4" x14ac:dyDescent="0.3">
      <c r="A1910" t="s">
        <v>21</v>
      </c>
      <c r="C1910" s="16">
        <v>46211</v>
      </c>
      <c r="D1910">
        <v>1751695.8399999994</v>
      </c>
    </row>
    <row r="1911" spans="1:4" x14ac:dyDescent="0.3">
      <c r="A1911" t="s">
        <v>22</v>
      </c>
      <c r="C1911" s="16">
        <v>46211</v>
      </c>
      <c r="D1911">
        <v>220496.38</v>
      </c>
    </row>
    <row r="1912" spans="1:4" x14ac:dyDescent="0.3">
      <c r="A1912" t="s">
        <v>23</v>
      </c>
      <c r="C1912" s="16">
        <v>46211</v>
      </c>
      <c r="D1912">
        <v>88090.37</v>
      </c>
    </row>
    <row r="1913" spans="1:4" x14ac:dyDescent="0.3">
      <c r="A1913" t="s">
        <v>24</v>
      </c>
      <c r="C1913" s="16">
        <v>46211</v>
      </c>
      <c r="D1913">
        <v>471.15999999999985</v>
      </c>
    </row>
    <row r="1914" spans="1:4" x14ac:dyDescent="0.3">
      <c r="A1914" t="s">
        <v>25</v>
      </c>
      <c r="C1914" s="16">
        <v>46211</v>
      </c>
      <c r="D1914">
        <v>54.400000000000006</v>
      </c>
    </row>
    <row r="1915" spans="1:4" x14ac:dyDescent="0.3">
      <c r="A1915" t="s">
        <v>26</v>
      </c>
      <c r="C1915" s="16">
        <v>46211</v>
      </c>
      <c r="D1915">
        <v>2207.8200000000002</v>
      </c>
    </row>
    <row r="1916" spans="1:4" x14ac:dyDescent="0.3">
      <c r="A1916" t="s">
        <v>27</v>
      </c>
      <c r="C1916" s="16">
        <v>46211</v>
      </c>
      <c r="D1916">
        <v>3334.94</v>
      </c>
    </row>
    <row r="1917" spans="1:4" x14ac:dyDescent="0.3">
      <c r="A1917" t="s">
        <v>28</v>
      </c>
      <c r="C1917" s="16">
        <v>46211</v>
      </c>
      <c r="D1917">
        <v>1968.99</v>
      </c>
    </row>
    <row r="1918" spans="1:4" x14ac:dyDescent="0.3">
      <c r="A1918" t="s">
        <v>29</v>
      </c>
      <c r="C1918" s="16">
        <v>46211</v>
      </c>
      <c r="D1918">
        <v>382.69000000000005</v>
      </c>
    </row>
    <row r="1919" spans="1:4" x14ac:dyDescent="0.3">
      <c r="A1919" t="s">
        <v>30</v>
      </c>
      <c r="C1919" s="16">
        <v>46211</v>
      </c>
      <c r="D1919">
        <v>1412.08</v>
      </c>
    </row>
    <row r="1920" spans="1:4" x14ac:dyDescent="0.3">
      <c r="A1920" t="s">
        <v>31</v>
      </c>
      <c r="C1920" s="16">
        <v>46211</v>
      </c>
      <c r="D1920">
        <v>22496.639999999959</v>
      </c>
    </row>
    <row r="1921" spans="1:4" x14ac:dyDescent="0.3">
      <c r="A1921" t="s">
        <v>32</v>
      </c>
      <c r="C1921" s="16">
        <v>46211</v>
      </c>
      <c r="D1921">
        <v>6522.8000000000029</v>
      </c>
    </row>
    <row r="1922" spans="1:4" x14ac:dyDescent="0.3">
      <c r="A1922" t="s">
        <v>33</v>
      </c>
      <c r="C1922" s="16">
        <v>46211</v>
      </c>
      <c r="D1922">
        <v>28485.559999999998</v>
      </c>
    </row>
    <row r="1923" spans="1:4" x14ac:dyDescent="0.3">
      <c r="A1923" t="s">
        <v>34</v>
      </c>
      <c r="C1923" s="16">
        <v>46211</v>
      </c>
      <c r="D1923">
        <v>345</v>
      </c>
    </row>
    <row r="1924" spans="1:4" x14ac:dyDescent="0.3">
      <c r="A1924" t="s">
        <v>35</v>
      </c>
      <c r="C1924" s="16">
        <v>46211</v>
      </c>
      <c r="D1924">
        <v>14498.59</v>
      </c>
    </row>
    <row r="1925" spans="1:4" x14ac:dyDescent="0.3">
      <c r="A1925" t="s">
        <v>193</v>
      </c>
      <c r="C1925" s="16">
        <v>46211</v>
      </c>
      <c r="D1925">
        <v>0</v>
      </c>
    </row>
    <row r="1926" spans="1:4" x14ac:dyDescent="0.3">
      <c r="A1926" t="s">
        <v>194</v>
      </c>
      <c r="C1926" s="16">
        <v>46211</v>
      </c>
      <c r="D1926">
        <v>0</v>
      </c>
    </row>
    <row r="1927" spans="1:4" x14ac:dyDescent="0.3">
      <c r="A1927" t="s">
        <v>195</v>
      </c>
      <c r="C1927" s="16">
        <v>46211</v>
      </c>
      <c r="D1927">
        <v>0</v>
      </c>
    </row>
    <row r="1928" spans="1:4" x14ac:dyDescent="0.3">
      <c r="A1928" t="s">
        <v>196</v>
      </c>
      <c r="C1928" s="16">
        <v>46211</v>
      </c>
      <c r="D1928">
        <v>0</v>
      </c>
    </row>
    <row r="1929" spans="1:4" x14ac:dyDescent="0.3">
      <c r="A1929" t="s">
        <v>197</v>
      </c>
      <c r="C1929" s="16">
        <v>46211</v>
      </c>
      <c r="D1929">
        <v>0</v>
      </c>
    </row>
    <row r="1930" spans="1:4" x14ac:dyDescent="0.3">
      <c r="A1930" t="s">
        <v>198</v>
      </c>
      <c r="C1930" s="16">
        <v>46211</v>
      </c>
      <c r="D1930">
        <v>0</v>
      </c>
    </row>
    <row r="1931" spans="1:4" x14ac:dyDescent="0.3">
      <c r="A1931" t="s">
        <v>216</v>
      </c>
      <c r="C1931" s="16">
        <v>46211</v>
      </c>
      <c r="D1931">
        <v>0</v>
      </c>
    </row>
    <row r="1932" spans="1:4" x14ac:dyDescent="0.3">
      <c r="A1932" t="s">
        <v>200</v>
      </c>
      <c r="C1932" s="16">
        <v>46211</v>
      </c>
      <c r="D1932">
        <v>0</v>
      </c>
    </row>
    <row r="1933" spans="1:4" x14ac:dyDescent="0.3">
      <c r="A1933" t="s">
        <v>201</v>
      </c>
      <c r="C1933" s="16">
        <v>46211</v>
      </c>
      <c r="D1933">
        <v>0</v>
      </c>
    </row>
    <row r="1934" spans="1:4" x14ac:dyDescent="0.3">
      <c r="A1934" t="s">
        <v>17</v>
      </c>
      <c r="C1934" s="16">
        <v>46212</v>
      </c>
      <c r="D1934">
        <v>4377944.080000001</v>
      </c>
    </row>
    <row r="1935" spans="1:4" x14ac:dyDescent="0.3">
      <c r="A1935" t="s">
        <v>18</v>
      </c>
      <c r="C1935" s="16">
        <v>46212</v>
      </c>
      <c r="D1935">
        <v>73157.680000000168</v>
      </c>
    </row>
    <row r="1936" spans="1:4" x14ac:dyDescent="0.3">
      <c r="A1936" t="s">
        <v>19</v>
      </c>
      <c r="C1936" s="16">
        <v>46212</v>
      </c>
      <c r="D1936">
        <v>1669.89</v>
      </c>
    </row>
    <row r="1937" spans="1:4" x14ac:dyDescent="0.3">
      <c r="A1937" t="s">
        <v>20</v>
      </c>
      <c r="C1937" s="16">
        <v>46212</v>
      </c>
      <c r="D1937">
        <v>290475.62999999989</v>
      </c>
    </row>
    <row r="1938" spans="1:4" x14ac:dyDescent="0.3">
      <c r="A1938" t="s">
        <v>21</v>
      </c>
      <c r="C1938" s="16">
        <v>46212</v>
      </c>
      <c r="D1938">
        <v>2119592.9399999995</v>
      </c>
    </row>
    <row r="1939" spans="1:4" x14ac:dyDescent="0.3">
      <c r="A1939" t="s">
        <v>22</v>
      </c>
      <c r="C1939" s="16">
        <v>46212</v>
      </c>
      <c r="D1939">
        <v>200496.38</v>
      </c>
    </row>
    <row r="1940" spans="1:4" x14ac:dyDescent="0.3">
      <c r="A1940" t="s">
        <v>23</v>
      </c>
      <c r="C1940" s="16">
        <v>46212</v>
      </c>
      <c r="D1940">
        <v>88090.37</v>
      </c>
    </row>
    <row r="1941" spans="1:4" x14ac:dyDescent="0.3">
      <c r="A1941" t="s">
        <v>24</v>
      </c>
      <c r="C1941" s="16">
        <v>46212</v>
      </c>
      <c r="D1941">
        <v>15130.45</v>
      </c>
    </row>
    <row r="1942" spans="1:4" x14ac:dyDescent="0.3">
      <c r="A1942" t="s">
        <v>25</v>
      </c>
      <c r="C1942" s="16">
        <v>46212</v>
      </c>
      <c r="D1942">
        <v>54.400000000000006</v>
      </c>
    </row>
    <row r="1943" spans="1:4" x14ac:dyDescent="0.3">
      <c r="A1943" t="s">
        <v>26</v>
      </c>
      <c r="C1943" s="16">
        <v>46212</v>
      </c>
      <c r="D1943">
        <v>2207.8200000000002</v>
      </c>
    </row>
    <row r="1944" spans="1:4" x14ac:dyDescent="0.3">
      <c r="A1944" t="s">
        <v>27</v>
      </c>
      <c r="C1944" s="16">
        <v>46212</v>
      </c>
      <c r="D1944">
        <v>1454604.72</v>
      </c>
    </row>
    <row r="1945" spans="1:4" x14ac:dyDescent="0.3">
      <c r="A1945" t="s">
        <v>28</v>
      </c>
      <c r="C1945" s="16">
        <v>46212</v>
      </c>
      <c r="D1945">
        <v>1968.99</v>
      </c>
    </row>
    <row r="1946" spans="1:4" x14ac:dyDescent="0.3">
      <c r="A1946" t="s">
        <v>29</v>
      </c>
      <c r="C1946" s="16">
        <v>46212</v>
      </c>
      <c r="D1946">
        <v>382.69000000000005</v>
      </c>
    </row>
    <row r="1947" spans="1:4" x14ac:dyDescent="0.3">
      <c r="A1947" t="s">
        <v>30</v>
      </c>
      <c r="C1947" s="16">
        <v>46212</v>
      </c>
      <c r="D1947">
        <v>1412.08</v>
      </c>
    </row>
    <row r="1948" spans="1:4" x14ac:dyDescent="0.3">
      <c r="A1948" t="s">
        <v>31</v>
      </c>
      <c r="C1948" s="16">
        <v>46212</v>
      </c>
      <c r="D1948">
        <v>22496.639999999959</v>
      </c>
    </row>
    <row r="1949" spans="1:4" x14ac:dyDescent="0.3">
      <c r="A1949" t="s">
        <v>32</v>
      </c>
      <c r="C1949" s="16">
        <v>46212</v>
      </c>
      <c r="D1949">
        <v>6522.8000000000029</v>
      </c>
    </row>
    <row r="1950" spans="1:4" x14ac:dyDescent="0.3">
      <c r="A1950" t="s">
        <v>33</v>
      </c>
      <c r="C1950" s="16">
        <v>46212</v>
      </c>
      <c r="D1950">
        <v>28485.559999999998</v>
      </c>
    </row>
    <row r="1951" spans="1:4" x14ac:dyDescent="0.3">
      <c r="A1951" t="s">
        <v>34</v>
      </c>
      <c r="C1951" s="16">
        <v>46212</v>
      </c>
      <c r="D1951">
        <v>345</v>
      </c>
    </row>
    <row r="1952" spans="1:4" x14ac:dyDescent="0.3">
      <c r="A1952" t="s">
        <v>35</v>
      </c>
      <c r="C1952" s="16">
        <v>46212</v>
      </c>
      <c r="D1952">
        <v>31900.120000000003</v>
      </c>
    </row>
    <row r="1953" spans="1:4" x14ac:dyDescent="0.3">
      <c r="A1953" t="s">
        <v>193</v>
      </c>
      <c r="C1953" s="16">
        <v>46212</v>
      </c>
      <c r="D1953">
        <v>0</v>
      </c>
    </row>
    <row r="1954" spans="1:4" x14ac:dyDescent="0.3">
      <c r="A1954" t="s">
        <v>194</v>
      </c>
      <c r="C1954" s="16">
        <v>46212</v>
      </c>
      <c r="D1954">
        <v>0</v>
      </c>
    </row>
    <row r="1955" spans="1:4" x14ac:dyDescent="0.3">
      <c r="A1955" t="s">
        <v>195</v>
      </c>
      <c r="C1955" s="16">
        <v>46212</v>
      </c>
      <c r="D1955">
        <v>0</v>
      </c>
    </row>
    <row r="1956" spans="1:4" x14ac:dyDescent="0.3">
      <c r="A1956" t="s">
        <v>196</v>
      </c>
      <c r="C1956" s="16">
        <v>46212</v>
      </c>
      <c r="D1956">
        <v>0</v>
      </c>
    </row>
    <row r="1957" spans="1:4" x14ac:dyDescent="0.3">
      <c r="A1957" t="s">
        <v>197</v>
      </c>
      <c r="C1957" s="16">
        <v>46212</v>
      </c>
      <c r="D1957">
        <v>0</v>
      </c>
    </row>
    <row r="1958" spans="1:4" x14ac:dyDescent="0.3">
      <c r="A1958" t="s">
        <v>198</v>
      </c>
      <c r="C1958" s="16">
        <v>46212</v>
      </c>
      <c r="D1958">
        <v>0</v>
      </c>
    </row>
    <row r="1959" spans="1:4" x14ac:dyDescent="0.3">
      <c r="A1959" t="s">
        <v>216</v>
      </c>
      <c r="C1959" s="16">
        <v>46212</v>
      </c>
      <c r="D1959">
        <v>0</v>
      </c>
    </row>
    <row r="1960" spans="1:4" x14ac:dyDescent="0.3">
      <c r="A1960" t="s">
        <v>200</v>
      </c>
      <c r="C1960" s="16">
        <v>46212</v>
      </c>
      <c r="D1960">
        <v>0</v>
      </c>
    </row>
    <row r="1961" spans="1:4" x14ac:dyDescent="0.3">
      <c r="A1961" t="s">
        <v>201</v>
      </c>
      <c r="C1961" s="16">
        <v>46212</v>
      </c>
      <c r="D1961">
        <v>0</v>
      </c>
    </row>
    <row r="1962" spans="1:4" x14ac:dyDescent="0.3">
      <c r="A1962" t="s">
        <v>17</v>
      </c>
      <c r="C1962" s="16">
        <v>46213</v>
      </c>
      <c r="D1962">
        <v>4163755.7500000005</v>
      </c>
    </row>
    <row r="1963" spans="1:4" x14ac:dyDescent="0.3">
      <c r="A1963" t="s">
        <v>18</v>
      </c>
      <c r="C1963" s="16">
        <v>46213</v>
      </c>
      <c r="D1963">
        <v>73157.680000000168</v>
      </c>
    </row>
    <row r="1964" spans="1:4" x14ac:dyDescent="0.3">
      <c r="A1964" t="s">
        <v>19</v>
      </c>
      <c r="C1964" s="16">
        <v>46213</v>
      </c>
      <c r="D1964">
        <v>1669.89</v>
      </c>
    </row>
    <row r="1965" spans="1:4" x14ac:dyDescent="0.3">
      <c r="A1965" t="s">
        <v>20</v>
      </c>
      <c r="C1965" s="16">
        <v>46213</v>
      </c>
      <c r="D1965">
        <v>290141.62999999989</v>
      </c>
    </row>
    <row r="1966" spans="1:4" x14ac:dyDescent="0.3">
      <c r="A1966" t="s">
        <v>21</v>
      </c>
      <c r="C1966" s="16">
        <v>46213</v>
      </c>
      <c r="D1966">
        <v>1921752.2699999993</v>
      </c>
    </row>
    <row r="1967" spans="1:4" x14ac:dyDescent="0.3">
      <c r="A1967" t="s">
        <v>22</v>
      </c>
      <c r="C1967" s="16">
        <v>46213</v>
      </c>
      <c r="D1967">
        <v>200496.38</v>
      </c>
    </row>
    <row r="1968" spans="1:4" x14ac:dyDescent="0.3">
      <c r="A1968" t="s">
        <v>23</v>
      </c>
      <c r="C1968" s="16">
        <v>46213</v>
      </c>
      <c r="D1968">
        <v>88090.37</v>
      </c>
    </row>
    <row r="1969" spans="1:4" x14ac:dyDescent="0.3">
      <c r="A1969" t="s">
        <v>24</v>
      </c>
      <c r="C1969" s="16">
        <v>46213</v>
      </c>
      <c r="D1969">
        <v>14580.45</v>
      </c>
    </row>
    <row r="1970" spans="1:4" x14ac:dyDescent="0.3">
      <c r="A1970" t="s">
        <v>25</v>
      </c>
      <c r="C1970" s="16">
        <v>46213</v>
      </c>
      <c r="D1970">
        <v>54.400000000000006</v>
      </c>
    </row>
    <row r="1971" spans="1:4" x14ac:dyDescent="0.3">
      <c r="A1971" t="s">
        <v>26</v>
      </c>
      <c r="C1971" s="16">
        <v>46213</v>
      </c>
      <c r="D1971">
        <v>2207.8200000000002</v>
      </c>
    </row>
    <row r="1972" spans="1:4" x14ac:dyDescent="0.3">
      <c r="A1972" t="s">
        <v>27</v>
      </c>
      <c r="C1972" s="16">
        <v>46213</v>
      </c>
      <c r="D1972">
        <v>1454589.72</v>
      </c>
    </row>
    <row r="1973" spans="1:4" x14ac:dyDescent="0.3">
      <c r="A1973" t="s">
        <v>28</v>
      </c>
      <c r="C1973" s="16">
        <v>46213</v>
      </c>
      <c r="D1973">
        <v>1968.99</v>
      </c>
    </row>
    <row r="1974" spans="1:4" x14ac:dyDescent="0.3">
      <c r="A1974" t="s">
        <v>29</v>
      </c>
      <c r="C1974" s="16">
        <v>46213</v>
      </c>
      <c r="D1974">
        <v>382.69000000000005</v>
      </c>
    </row>
    <row r="1975" spans="1:4" x14ac:dyDescent="0.3">
      <c r="A1975" t="s">
        <v>30</v>
      </c>
      <c r="C1975" s="16">
        <v>46213</v>
      </c>
      <c r="D1975">
        <v>1412.08</v>
      </c>
    </row>
    <row r="1976" spans="1:4" x14ac:dyDescent="0.3">
      <c r="A1976" t="s">
        <v>31</v>
      </c>
      <c r="C1976" s="16">
        <v>46213</v>
      </c>
      <c r="D1976">
        <v>22496.639999999959</v>
      </c>
    </row>
    <row r="1977" spans="1:4" x14ac:dyDescent="0.3">
      <c r="A1977" t="s">
        <v>32</v>
      </c>
      <c r="C1977" s="16">
        <v>46213</v>
      </c>
      <c r="D1977">
        <v>6522.8000000000029</v>
      </c>
    </row>
    <row r="1978" spans="1:4" x14ac:dyDescent="0.3">
      <c r="A1978" t="s">
        <v>33</v>
      </c>
      <c r="C1978" s="16">
        <v>46213</v>
      </c>
      <c r="D1978">
        <v>28485.559999999998</v>
      </c>
    </row>
    <row r="1979" spans="1:4" x14ac:dyDescent="0.3">
      <c r="A1979" t="s">
        <v>34</v>
      </c>
      <c r="C1979" s="16">
        <v>46213</v>
      </c>
      <c r="D1979">
        <v>345</v>
      </c>
    </row>
    <row r="1980" spans="1:4" x14ac:dyDescent="0.3">
      <c r="A1980" t="s">
        <v>35</v>
      </c>
      <c r="C1980" s="16">
        <v>46213</v>
      </c>
      <c r="D1980">
        <v>31900.120000000003</v>
      </c>
    </row>
    <row r="1981" spans="1:4" x14ac:dyDescent="0.3">
      <c r="A1981" t="s">
        <v>193</v>
      </c>
      <c r="C1981" s="16">
        <v>46213</v>
      </c>
      <c r="D1981">
        <v>0</v>
      </c>
    </row>
    <row r="1982" spans="1:4" x14ac:dyDescent="0.3">
      <c r="A1982" t="s">
        <v>194</v>
      </c>
      <c r="C1982" s="16">
        <v>46213</v>
      </c>
      <c r="D1982">
        <v>0</v>
      </c>
    </row>
    <row r="1983" spans="1:4" x14ac:dyDescent="0.3">
      <c r="A1983" t="s">
        <v>195</v>
      </c>
      <c r="C1983" s="16">
        <v>46213</v>
      </c>
      <c r="D1983">
        <v>0</v>
      </c>
    </row>
    <row r="1984" spans="1:4" x14ac:dyDescent="0.3">
      <c r="A1984" t="s">
        <v>196</v>
      </c>
      <c r="C1984" s="16">
        <v>46213</v>
      </c>
      <c r="D1984">
        <v>0</v>
      </c>
    </row>
    <row r="1985" spans="1:4" x14ac:dyDescent="0.3">
      <c r="A1985" t="s">
        <v>197</v>
      </c>
      <c r="C1985" s="16">
        <v>46213</v>
      </c>
      <c r="D1985">
        <v>0</v>
      </c>
    </row>
    <row r="1986" spans="1:4" x14ac:dyDescent="0.3">
      <c r="A1986" t="s">
        <v>198</v>
      </c>
      <c r="C1986" s="16">
        <v>46213</v>
      </c>
      <c r="D1986">
        <v>0</v>
      </c>
    </row>
    <row r="1987" spans="1:4" x14ac:dyDescent="0.3">
      <c r="A1987" t="s">
        <v>216</v>
      </c>
      <c r="C1987" s="16">
        <v>46213</v>
      </c>
      <c r="D1987">
        <v>0</v>
      </c>
    </row>
    <row r="1988" spans="1:4" x14ac:dyDescent="0.3">
      <c r="A1988" t="s">
        <v>200</v>
      </c>
      <c r="C1988" s="16">
        <v>46213</v>
      </c>
      <c r="D1988">
        <v>0</v>
      </c>
    </row>
    <row r="1989" spans="1:4" x14ac:dyDescent="0.3">
      <c r="A1989" t="s">
        <v>201</v>
      </c>
      <c r="C1989" s="16">
        <v>46213</v>
      </c>
      <c r="D1989">
        <v>0</v>
      </c>
    </row>
    <row r="1990" spans="1:4" x14ac:dyDescent="0.3">
      <c r="A1990" t="s">
        <v>17</v>
      </c>
      <c r="C1990" s="16">
        <v>46214</v>
      </c>
      <c r="D1990">
        <v>4163755.7500000005</v>
      </c>
    </row>
    <row r="1991" spans="1:4" x14ac:dyDescent="0.3">
      <c r="A1991" t="s">
        <v>18</v>
      </c>
      <c r="C1991" s="16">
        <v>46214</v>
      </c>
      <c r="D1991">
        <v>73157.680000000168</v>
      </c>
    </row>
    <row r="1992" spans="1:4" x14ac:dyDescent="0.3">
      <c r="A1992" t="s">
        <v>19</v>
      </c>
      <c r="C1992" s="16">
        <v>46214</v>
      </c>
      <c r="D1992">
        <v>1669.89</v>
      </c>
    </row>
    <row r="1993" spans="1:4" x14ac:dyDescent="0.3">
      <c r="A1993" t="s">
        <v>20</v>
      </c>
      <c r="C1993" s="16">
        <v>46214</v>
      </c>
      <c r="D1993">
        <v>290141.62999999989</v>
      </c>
    </row>
    <row r="1994" spans="1:4" x14ac:dyDescent="0.3">
      <c r="A1994" t="s">
        <v>21</v>
      </c>
      <c r="C1994" s="16">
        <v>46214</v>
      </c>
      <c r="D1994">
        <v>1921752.2699999993</v>
      </c>
    </row>
    <row r="1995" spans="1:4" x14ac:dyDescent="0.3">
      <c r="A1995" t="s">
        <v>22</v>
      </c>
      <c r="C1995" s="16">
        <v>46214</v>
      </c>
      <c r="D1995">
        <v>200496.38</v>
      </c>
    </row>
    <row r="1996" spans="1:4" x14ac:dyDescent="0.3">
      <c r="A1996" t="s">
        <v>23</v>
      </c>
      <c r="C1996" s="16">
        <v>46214</v>
      </c>
      <c r="D1996">
        <v>88090.37</v>
      </c>
    </row>
    <row r="1997" spans="1:4" x14ac:dyDescent="0.3">
      <c r="A1997" t="s">
        <v>24</v>
      </c>
      <c r="C1997" s="16">
        <v>46214</v>
      </c>
      <c r="D1997">
        <v>14580.45</v>
      </c>
    </row>
    <row r="1998" spans="1:4" x14ac:dyDescent="0.3">
      <c r="A1998" t="s">
        <v>25</v>
      </c>
      <c r="C1998" s="16">
        <v>46214</v>
      </c>
      <c r="D1998">
        <v>54.400000000000006</v>
      </c>
    </row>
    <row r="1999" spans="1:4" x14ac:dyDescent="0.3">
      <c r="A1999" t="s">
        <v>26</v>
      </c>
      <c r="C1999" s="16">
        <v>46214</v>
      </c>
      <c r="D1999">
        <v>2207.8200000000002</v>
      </c>
    </row>
    <row r="2000" spans="1:4" x14ac:dyDescent="0.3">
      <c r="A2000" t="s">
        <v>27</v>
      </c>
      <c r="C2000" s="16">
        <v>46214</v>
      </c>
      <c r="D2000">
        <v>1454589.72</v>
      </c>
    </row>
    <row r="2001" spans="1:4" x14ac:dyDescent="0.3">
      <c r="A2001" t="s">
        <v>28</v>
      </c>
      <c r="C2001" s="16">
        <v>46214</v>
      </c>
      <c r="D2001">
        <v>1968.99</v>
      </c>
    </row>
    <row r="2002" spans="1:4" x14ac:dyDescent="0.3">
      <c r="A2002" t="s">
        <v>29</v>
      </c>
      <c r="C2002" s="16">
        <v>46214</v>
      </c>
      <c r="D2002">
        <v>382.69000000000005</v>
      </c>
    </row>
    <row r="2003" spans="1:4" x14ac:dyDescent="0.3">
      <c r="A2003" t="s">
        <v>30</v>
      </c>
      <c r="C2003" s="16">
        <v>46214</v>
      </c>
      <c r="D2003">
        <v>1412.08</v>
      </c>
    </row>
    <row r="2004" spans="1:4" x14ac:dyDescent="0.3">
      <c r="A2004" t="s">
        <v>31</v>
      </c>
      <c r="C2004" s="16">
        <v>46214</v>
      </c>
      <c r="D2004">
        <v>22496.639999999959</v>
      </c>
    </row>
    <row r="2005" spans="1:4" x14ac:dyDescent="0.3">
      <c r="A2005" t="s">
        <v>32</v>
      </c>
      <c r="C2005" s="16">
        <v>46214</v>
      </c>
      <c r="D2005">
        <v>6522.8000000000029</v>
      </c>
    </row>
    <row r="2006" spans="1:4" x14ac:dyDescent="0.3">
      <c r="A2006" t="s">
        <v>33</v>
      </c>
      <c r="C2006" s="16">
        <v>46214</v>
      </c>
      <c r="D2006">
        <v>28485.559999999998</v>
      </c>
    </row>
    <row r="2007" spans="1:4" x14ac:dyDescent="0.3">
      <c r="A2007" t="s">
        <v>34</v>
      </c>
      <c r="C2007" s="16">
        <v>46214</v>
      </c>
      <c r="D2007">
        <v>345</v>
      </c>
    </row>
    <row r="2008" spans="1:4" x14ac:dyDescent="0.3">
      <c r="A2008" t="s">
        <v>35</v>
      </c>
      <c r="C2008" s="16">
        <v>46214</v>
      </c>
      <c r="D2008">
        <v>31900.120000000003</v>
      </c>
    </row>
    <row r="2009" spans="1:4" x14ac:dyDescent="0.3">
      <c r="A2009" t="s">
        <v>193</v>
      </c>
      <c r="C2009" s="16">
        <v>46214</v>
      </c>
      <c r="D2009">
        <v>0</v>
      </c>
    </row>
    <row r="2010" spans="1:4" x14ac:dyDescent="0.3">
      <c r="A2010" t="s">
        <v>194</v>
      </c>
      <c r="C2010" s="16">
        <v>46214</v>
      </c>
      <c r="D2010">
        <v>0</v>
      </c>
    </row>
    <row r="2011" spans="1:4" x14ac:dyDescent="0.3">
      <c r="A2011" t="s">
        <v>195</v>
      </c>
      <c r="C2011" s="16">
        <v>46214</v>
      </c>
      <c r="D2011">
        <v>0</v>
      </c>
    </row>
    <row r="2012" spans="1:4" x14ac:dyDescent="0.3">
      <c r="A2012" t="s">
        <v>196</v>
      </c>
      <c r="C2012" s="16">
        <v>46214</v>
      </c>
      <c r="D2012">
        <v>0</v>
      </c>
    </row>
    <row r="2013" spans="1:4" x14ac:dyDescent="0.3">
      <c r="A2013" t="s">
        <v>197</v>
      </c>
      <c r="C2013" s="16">
        <v>46214</v>
      </c>
      <c r="D2013">
        <v>0</v>
      </c>
    </row>
    <row r="2014" spans="1:4" x14ac:dyDescent="0.3">
      <c r="A2014" t="s">
        <v>198</v>
      </c>
      <c r="C2014" s="16">
        <v>46214</v>
      </c>
      <c r="D2014">
        <v>0</v>
      </c>
    </row>
    <row r="2015" spans="1:4" x14ac:dyDescent="0.3">
      <c r="A2015" t="s">
        <v>216</v>
      </c>
      <c r="C2015" s="16">
        <v>46214</v>
      </c>
      <c r="D2015">
        <v>0</v>
      </c>
    </row>
    <row r="2016" spans="1:4" x14ac:dyDescent="0.3">
      <c r="A2016" t="s">
        <v>200</v>
      </c>
      <c r="C2016" s="16">
        <v>46214</v>
      </c>
      <c r="D2016">
        <v>0</v>
      </c>
    </row>
    <row r="2017" spans="1:4" x14ac:dyDescent="0.3">
      <c r="A2017" t="s">
        <v>201</v>
      </c>
      <c r="C2017" s="16">
        <v>46214</v>
      </c>
      <c r="D2017">
        <v>0</v>
      </c>
    </row>
    <row r="2018" spans="1:4" x14ac:dyDescent="0.3">
      <c r="A2018" t="s">
        <v>17</v>
      </c>
      <c r="C2018" s="16">
        <v>46215</v>
      </c>
      <c r="D2018">
        <v>4163755.7500000005</v>
      </c>
    </row>
    <row r="2019" spans="1:4" x14ac:dyDescent="0.3">
      <c r="A2019" t="s">
        <v>18</v>
      </c>
      <c r="C2019" s="16">
        <v>46215</v>
      </c>
      <c r="D2019">
        <v>73157.680000000168</v>
      </c>
    </row>
    <row r="2020" spans="1:4" x14ac:dyDescent="0.3">
      <c r="A2020" t="s">
        <v>19</v>
      </c>
      <c r="C2020" s="16">
        <v>46215</v>
      </c>
      <c r="D2020">
        <v>1669.89</v>
      </c>
    </row>
    <row r="2021" spans="1:4" x14ac:dyDescent="0.3">
      <c r="A2021" t="s">
        <v>20</v>
      </c>
      <c r="C2021" s="16">
        <v>46215</v>
      </c>
      <c r="D2021">
        <v>290141.62999999989</v>
      </c>
    </row>
    <row r="2022" spans="1:4" x14ac:dyDescent="0.3">
      <c r="A2022" t="s">
        <v>21</v>
      </c>
      <c r="C2022" s="16">
        <v>46215</v>
      </c>
      <c r="D2022">
        <v>1921752.2699999993</v>
      </c>
    </row>
    <row r="2023" spans="1:4" x14ac:dyDescent="0.3">
      <c r="A2023" t="s">
        <v>22</v>
      </c>
      <c r="C2023" s="16">
        <v>46215</v>
      </c>
      <c r="D2023">
        <v>200496.38</v>
      </c>
    </row>
    <row r="2024" spans="1:4" x14ac:dyDescent="0.3">
      <c r="A2024" t="s">
        <v>23</v>
      </c>
      <c r="C2024" s="16">
        <v>46215</v>
      </c>
      <c r="D2024">
        <v>88090.37</v>
      </c>
    </row>
    <row r="2025" spans="1:4" x14ac:dyDescent="0.3">
      <c r="A2025" t="s">
        <v>24</v>
      </c>
      <c r="C2025" s="16">
        <v>46215</v>
      </c>
      <c r="D2025">
        <v>14580.45</v>
      </c>
    </row>
    <row r="2026" spans="1:4" x14ac:dyDescent="0.3">
      <c r="A2026" t="s">
        <v>25</v>
      </c>
      <c r="C2026" s="16">
        <v>46215</v>
      </c>
      <c r="D2026">
        <v>54.400000000000006</v>
      </c>
    </row>
    <row r="2027" spans="1:4" x14ac:dyDescent="0.3">
      <c r="A2027" t="s">
        <v>26</v>
      </c>
      <c r="C2027" s="16">
        <v>46215</v>
      </c>
      <c r="D2027">
        <v>2207.8200000000002</v>
      </c>
    </row>
    <row r="2028" spans="1:4" x14ac:dyDescent="0.3">
      <c r="A2028" t="s">
        <v>27</v>
      </c>
      <c r="C2028" s="16">
        <v>46215</v>
      </c>
      <c r="D2028">
        <v>1454589.72</v>
      </c>
    </row>
    <row r="2029" spans="1:4" x14ac:dyDescent="0.3">
      <c r="A2029" t="s">
        <v>28</v>
      </c>
      <c r="C2029" s="16">
        <v>46215</v>
      </c>
      <c r="D2029">
        <v>1968.99</v>
      </c>
    </row>
    <row r="2030" spans="1:4" x14ac:dyDescent="0.3">
      <c r="A2030" t="s">
        <v>29</v>
      </c>
      <c r="C2030" s="16">
        <v>46215</v>
      </c>
      <c r="D2030">
        <v>382.69000000000005</v>
      </c>
    </row>
    <row r="2031" spans="1:4" x14ac:dyDescent="0.3">
      <c r="A2031" t="s">
        <v>30</v>
      </c>
      <c r="C2031" s="16">
        <v>46215</v>
      </c>
      <c r="D2031">
        <v>1412.08</v>
      </c>
    </row>
    <row r="2032" spans="1:4" x14ac:dyDescent="0.3">
      <c r="A2032" t="s">
        <v>31</v>
      </c>
      <c r="C2032" s="16">
        <v>46215</v>
      </c>
      <c r="D2032">
        <v>22496.639999999959</v>
      </c>
    </row>
    <row r="2033" spans="1:4" x14ac:dyDescent="0.3">
      <c r="A2033" t="s">
        <v>32</v>
      </c>
      <c r="C2033" s="16">
        <v>46215</v>
      </c>
      <c r="D2033">
        <v>6522.8000000000029</v>
      </c>
    </row>
    <row r="2034" spans="1:4" x14ac:dyDescent="0.3">
      <c r="A2034" t="s">
        <v>33</v>
      </c>
      <c r="C2034" s="16">
        <v>46215</v>
      </c>
      <c r="D2034">
        <v>28485.559999999998</v>
      </c>
    </row>
    <row r="2035" spans="1:4" x14ac:dyDescent="0.3">
      <c r="A2035" t="s">
        <v>34</v>
      </c>
      <c r="C2035" s="16">
        <v>46215</v>
      </c>
      <c r="D2035">
        <v>345</v>
      </c>
    </row>
    <row r="2036" spans="1:4" x14ac:dyDescent="0.3">
      <c r="A2036" t="s">
        <v>35</v>
      </c>
      <c r="C2036" s="16">
        <v>46215</v>
      </c>
      <c r="D2036">
        <v>31900.120000000003</v>
      </c>
    </row>
    <row r="2037" spans="1:4" x14ac:dyDescent="0.3">
      <c r="A2037" t="s">
        <v>193</v>
      </c>
      <c r="C2037" s="16">
        <v>46215</v>
      </c>
      <c r="D2037">
        <v>0</v>
      </c>
    </row>
    <row r="2038" spans="1:4" x14ac:dyDescent="0.3">
      <c r="A2038" t="s">
        <v>194</v>
      </c>
      <c r="C2038" s="16">
        <v>46215</v>
      </c>
      <c r="D2038">
        <v>0</v>
      </c>
    </row>
    <row r="2039" spans="1:4" x14ac:dyDescent="0.3">
      <c r="A2039" t="s">
        <v>195</v>
      </c>
      <c r="C2039" s="16">
        <v>46215</v>
      </c>
      <c r="D2039">
        <v>0</v>
      </c>
    </row>
    <row r="2040" spans="1:4" x14ac:dyDescent="0.3">
      <c r="A2040" t="s">
        <v>196</v>
      </c>
      <c r="C2040" s="16">
        <v>46215</v>
      </c>
      <c r="D2040">
        <v>0</v>
      </c>
    </row>
    <row r="2041" spans="1:4" x14ac:dyDescent="0.3">
      <c r="A2041" t="s">
        <v>197</v>
      </c>
      <c r="C2041" s="16">
        <v>46215</v>
      </c>
      <c r="D2041">
        <v>0</v>
      </c>
    </row>
    <row r="2042" spans="1:4" x14ac:dyDescent="0.3">
      <c r="A2042" t="s">
        <v>198</v>
      </c>
      <c r="C2042" s="16">
        <v>46215</v>
      </c>
      <c r="D2042">
        <v>0</v>
      </c>
    </row>
    <row r="2043" spans="1:4" x14ac:dyDescent="0.3">
      <c r="A2043" t="s">
        <v>216</v>
      </c>
      <c r="C2043" s="16">
        <v>46215</v>
      </c>
      <c r="D2043">
        <v>0</v>
      </c>
    </row>
    <row r="2044" spans="1:4" x14ac:dyDescent="0.3">
      <c r="A2044" t="s">
        <v>200</v>
      </c>
      <c r="C2044" s="16">
        <v>46215</v>
      </c>
      <c r="D2044">
        <v>0</v>
      </c>
    </row>
    <row r="2045" spans="1:4" x14ac:dyDescent="0.3">
      <c r="A2045" t="s">
        <v>201</v>
      </c>
      <c r="C2045" s="16">
        <v>46215</v>
      </c>
      <c r="D2045">
        <v>0</v>
      </c>
    </row>
    <row r="2046" spans="1:4" x14ac:dyDescent="0.3">
      <c r="A2046" t="s">
        <v>17</v>
      </c>
      <c r="C2046" s="16">
        <v>46216</v>
      </c>
      <c r="D2046">
        <v>4163755.7500000005</v>
      </c>
    </row>
    <row r="2047" spans="1:4" x14ac:dyDescent="0.3">
      <c r="A2047" t="s">
        <v>18</v>
      </c>
      <c r="C2047" s="16">
        <v>46216</v>
      </c>
      <c r="D2047">
        <v>73157.680000000168</v>
      </c>
    </row>
    <row r="2048" spans="1:4" x14ac:dyDescent="0.3">
      <c r="A2048" t="s">
        <v>19</v>
      </c>
      <c r="C2048" s="16">
        <v>46216</v>
      </c>
      <c r="D2048">
        <v>1669.89</v>
      </c>
    </row>
    <row r="2049" spans="1:4" x14ac:dyDescent="0.3">
      <c r="A2049" t="s">
        <v>20</v>
      </c>
      <c r="C2049" s="16">
        <v>46216</v>
      </c>
      <c r="D2049">
        <v>290141.62999999989</v>
      </c>
    </row>
    <row r="2050" spans="1:4" x14ac:dyDescent="0.3">
      <c r="A2050" t="s">
        <v>21</v>
      </c>
      <c r="C2050" s="16">
        <v>46216</v>
      </c>
      <c r="D2050">
        <v>1921752.2699999993</v>
      </c>
    </row>
    <row r="2051" spans="1:4" x14ac:dyDescent="0.3">
      <c r="A2051" t="s">
        <v>22</v>
      </c>
      <c r="C2051" s="16">
        <v>46216</v>
      </c>
      <c r="D2051">
        <v>200496.38</v>
      </c>
    </row>
    <row r="2052" spans="1:4" x14ac:dyDescent="0.3">
      <c r="A2052" t="s">
        <v>23</v>
      </c>
      <c r="C2052" s="16">
        <v>46216</v>
      </c>
      <c r="D2052">
        <v>88090.37</v>
      </c>
    </row>
    <row r="2053" spans="1:4" x14ac:dyDescent="0.3">
      <c r="A2053" t="s">
        <v>24</v>
      </c>
      <c r="C2053" s="16">
        <v>46216</v>
      </c>
      <c r="D2053">
        <v>14580.45</v>
      </c>
    </row>
    <row r="2054" spans="1:4" x14ac:dyDescent="0.3">
      <c r="A2054" t="s">
        <v>25</v>
      </c>
      <c r="C2054" s="16">
        <v>46216</v>
      </c>
      <c r="D2054">
        <v>54.400000000000006</v>
      </c>
    </row>
    <row r="2055" spans="1:4" x14ac:dyDescent="0.3">
      <c r="A2055" t="s">
        <v>26</v>
      </c>
      <c r="C2055" s="16">
        <v>46216</v>
      </c>
      <c r="D2055">
        <v>2207.8200000000002</v>
      </c>
    </row>
    <row r="2056" spans="1:4" x14ac:dyDescent="0.3">
      <c r="A2056" t="s">
        <v>27</v>
      </c>
      <c r="C2056" s="16">
        <v>46216</v>
      </c>
      <c r="D2056">
        <v>1454589.72</v>
      </c>
    </row>
    <row r="2057" spans="1:4" x14ac:dyDescent="0.3">
      <c r="A2057" t="s">
        <v>28</v>
      </c>
      <c r="C2057" s="16">
        <v>46216</v>
      </c>
      <c r="D2057">
        <v>1968.99</v>
      </c>
    </row>
    <row r="2058" spans="1:4" x14ac:dyDescent="0.3">
      <c r="A2058" t="s">
        <v>29</v>
      </c>
      <c r="C2058" s="16">
        <v>46216</v>
      </c>
      <c r="D2058">
        <v>901.34</v>
      </c>
    </row>
    <row r="2059" spans="1:4" x14ac:dyDescent="0.3">
      <c r="A2059" t="s">
        <v>30</v>
      </c>
      <c r="C2059" s="16">
        <v>46216</v>
      </c>
      <c r="D2059">
        <v>1412.08</v>
      </c>
    </row>
    <row r="2060" spans="1:4" x14ac:dyDescent="0.3">
      <c r="A2060" t="s">
        <v>31</v>
      </c>
      <c r="C2060" s="16">
        <v>46216</v>
      </c>
      <c r="D2060">
        <v>22496.639999999959</v>
      </c>
    </row>
    <row r="2061" spans="1:4" x14ac:dyDescent="0.3">
      <c r="A2061" t="s">
        <v>32</v>
      </c>
      <c r="C2061" s="16">
        <v>46216</v>
      </c>
      <c r="D2061">
        <v>6522.8000000000029</v>
      </c>
    </row>
    <row r="2062" spans="1:4" x14ac:dyDescent="0.3">
      <c r="A2062" t="s">
        <v>33</v>
      </c>
      <c r="C2062" s="16">
        <v>46216</v>
      </c>
      <c r="D2062">
        <v>28485.559999999998</v>
      </c>
    </row>
    <row r="2063" spans="1:4" x14ac:dyDescent="0.3">
      <c r="A2063" t="s">
        <v>34</v>
      </c>
      <c r="C2063" s="16">
        <v>46216</v>
      </c>
      <c r="D2063">
        <v>345</v>
      </c>
    </row>
    <row r="2064" spans="1:4" x14ac:dyDescent="0.3">
      <c r="A2064" t="s">
        <v>35</v>
      </c>
      <c r="C2064" s="16">
        <v>46216</v>
      </c>
      <c r="D2064">
        <v>25198.240000000002</v>
      </c>
    </row>
    <row r="2065" spans="1:4" x14ac:dyDescent="0.3">
      <c r="A2065" t="s">
        <v>193</v>
      </c>
      <c r="C2065" s="16">
        <v>46216</v>
      </c>
      <c r="D2065">
        <v>0</v>
      </c>
    </row>
    <row r="2066" spans="1:4" x14ac:dyDescent="0.3">
      <c r="A2066" t="s">
        <v>194</v>
      </c>
      <c r="C2066" s="16">
        <v>46216</v>
      </c>
      <c r="D2066">
        <v>0</v>
      </c>
    </row>
    <row r="2067" spans="1:4" x14ac:dyDescent="0.3">
      <c r="A2067" t="s">
        <v>195</v>
      </c>
      <c r="C2067" s="16">
        <v>46216</v>
      </c>
      <c r="D2067">
        <v>0</v>
      </c>
    </row>
    <row r="2068" spans="1:4" x14ac:dyDescent="0.3">
      <c r="A2068" t="s">
        <v>196</v>
      </c>
      <c r="C2068" s="16">
        <v>46216</v>
      </c>
      <c r="D2068">
        <v>0</v>
      </c>
    </row>
    <row r="2069" spans="1:4" x14ac:dyDescent="0.3">
      <c r="A2069" t="s">
        <v>197</v>
      </c>
      <c r="C2069" s="16">
        <v>46216</v>
      </c>
      <c r="D2069">
        <v>0</v>
      </c>
    </row>
    <row r="2070" spans="1:4" x14ac:dyDescent="0.3">
      <c r="A2070" t="s">
        <v>198</v>
      </c>
      <c r="C2070" s="16">
        <v>46216</v>
      </c>
      <c r="D2070">
        <v>0</v>
      </c>
    </row>
    <row r="2071" spans="1:4" x14ac:dyDescent="0.3">
      <c r="A2071" t="s">
        <v>216</v>
      </c>
      <c r="C2071" s="16">
        <v>46216</v>
      </c>
      <c r="D2071">
        <v>0</v>
      </c>
    </row>
    <row r="2072" spans="1:4" x14ac:dyDescent="0.3">
      <c r="A2072" t="s">
        <v>200</v>
      </c>
      <c r="C2072" s="16">
        <v>46216</v>
      </c>
      <c r="D2072">
        <v>0</v>
      </c>
    </row>
    <row r="2073" spans="1:4" x14ac:dyDescent="0.3">
      <c r="A2073" t="s">
        <v>201</v>
      </c>
      <c r="C2073" s="16">
        <v>46216</v>
      </c>
      <c r="D2073">
        <v>0</v>
      </c>
    </row>
    <row r="2074" spans="1:4" x14ac:dyDescent="0.3">
      <c r="A2074" t="s">
        <v>17</v>
      </c>
      <c r="C2074" s="16">
        <v>46217</v>
      </c>
      <c r="D2074">
        <v>3363755.7500000005</v>
      </c>
    </row>
    <row r="2075" spans="1:4" x14ac:dyDescent="0.3">
      <c r="A2075" t="s">
        <v>18</v>
      </c>
      <c r="C2075" s="16">
        <v>46217</v>
      </c>
      <c r="D2075">
        <v>73157.680000000168</v>
      </c>
    </row>
    <row r="2076" spans="1:4" x14ac:dyDescent="0.3">
      <c r="A2076" t="s">
        <v>19</v>
      </c>
      <c r="C2076" s="16">
        <v>46217</v>
      </c>
      <c r="D2076">
        <v>1669.89</v>
      </c>
    </row>
    <row r="2077" spans="1:4" x14ac:dyDescent="0.3">
      <c r="A2077" t="s">
        <v>20</v>
      </c>
      <c r="C2077" s="16">
        <v>46217</v>
      </c>
      <c r="D2077">
        <v>1090141.6299999999</v>
      </c>
    </row>
    <row r="2078" spans="1:4" x14ac:dyDescent="0.3">
      <c r="A2078" t="s">
        <v>21</v>
      </c>
      <c r="C2078" s="16">
        <v>46217</v>
      </c>
      <c r="D2078">
        <v>1856542.8899999992</v>
      </c>
    </row>
    <row r="2079" spans="1:4" x14ac:dyDescent="0.3">
      <c r="A2079" t="s">
        <v>22</v>
      </c>
      <c r="C2079" s="16">
        <v>46217</v>
      </c>
      <c r="D2079">
        <v>200496.38</v>
      </c>
    </row>
    <row r="2080" spans="1:4" x14ac:dyDescent="0.3">
      <c r="A2080" t="s">
        <v>23</v>
      </c>
      <c r="C2080" s="16">
        <v>46217</v>
      </c>
      <c r="D2080">
        <v>88090.37</v>
      </c>
    </row>
    <row r="2081" spans="1:4" x14ac:dyDescent="0.3">
      <c r="A2081" t="s">
        <v>24</v>
      </c>
      <c r="C2081" s="16">
        <v>46217</v>
      </c>
      <c r="D2081">
        <v>14580.45</v>
      </c>
    </row>
    <row r="2082" spans="1:4" x14ac:dyDescent="0.3">
      <c r="A2082" t="s">
        <v>25</v>
      </c>
      <c r="C2082" s="16">
        <v>46217</v>
      </c>
      <c r="D2082">
        <v>54.400000000000006</v>
      </c>
    </row>
    <row r="2083" spans="1:4" x14ac:dyDescent="0.3">
      <c r="A2083" t="s">
        <v>26</v>
      </c>
      <c r="C2083" s="16">
        <v>46217</v>
      </c>
      <c r="D2083">
        <v>2207.8200000000002</v>
      </c>
    </row>
    <row r="2084" spans="1:4" x14ac:dyDescent="0.3">
      <c r="A2084" t="s">
        <v>27</v>
      </c>
      <c r="C2084" s="16">
        <v>46217</v>
      </c>
      <c r="D2084">
        <v>1454589.72</v>
      </c>
    </row>
    <row r="2085" spans="1:4" x14ac:dyDescent="0.3">
      <c r="A2085" t="s">
        <v>28</v>
      </c>
      <c r="C2085" s="16">
        <v>46217</v>
      </c>
      <c r="D2085">
        <v>1968.99</v>
      </c>
    </row>
    <row r="2086" spans="1:4" x14ac:dyDescent="0.3">
      <c r="A2086" t="s">
        <v>29</v>
      </c>
      <c r="C2086" s="16">
        <v>46217</v>
      </c>
      <c r="D2086">
        <v>901.34</v>
      </c>
    </row>
    <row r="2087" spans="1:4" x14ac:dyDescent="0.3">
      <c r="A2087" t="s">
        <v>30</v>
      </c>
      <c r="C2087" s="16">
        <v>46217</v>
      </c>
      <c r="D2087">
        <v>1412.08</v>
      </c>
    </row>
    <row r="2088" spans="1:4" x14ac:dyDescent="0.3">
      <c r="A2088" t="s">
        <v>31</v>
      </c>
      <c r="C2088" s="16">
        <v>46217</v>
      </c>
      <c r="D2088">
        <v>22347.56999999996</v>
      </c>
    </row>
    <row r="2089" spans="1:4" x14ac:dyDescent="0.3">
      <c r="A2089" t="s">
        <v>32</v>
      </c>
      <c r="C2089" s="16">
        <v>46217</v>
      </c>
      <c r="D2089">
        <v>6522.8000000000029</v>
      </c>
    </row>
    <row r="2090" spans="1:4" x14ac:dyDescent="0.3">
      <c r="A2090" t="s">
        <v>33</v>
      </c>
      <c r="C2090" s="16">
        <v>46217</v>
      </c>
      <c r="D2090">
        <v>28485.559999999998</v>
      </c>
    </row>
    <row r="2091" spans="1:4" x14ac:dyDescent="0.3">
      <c r="A2091" t="s">
        <v>34</v>
      </c>
      <c r="C2091" s="16">
        <v>46217</v>
      </c>
      <c r="D2091">
        <v>345</v>
      </c>
    </row>
    <row r="2092" spans="1:4" x14ac:dyDescent="0.3">
      <c r="A2092" t="s">
        <v>35</v>
      </c>
      <c r="C2092" s="16">
        <v>46217</v>
      </c>
      <c r="D2092">
        <v>25198.240000000002</v>
      </c>
    </row>
    <row r="2093" spans="1:4" x14ac:dyDescent="0.3">
      <c r="A2093" t="s">
        <v>193</v>
      </c>
      <c r="C2093" s="16">
        <v>46217</v>
      </c>
      <c r="D2093">
        <v>0</v>
      </c>
    </row>
    <row r="2094" spans="1:4" x14ac:dyDescent="0.3">
      <c r="A2094" t="s">
        <v>194</v>
      </c>
      <c r="C2094" s="16">
        <v>46217</v>
      </c>
      <c r="D2094">
        <v>0</v>
      </c>
    </row>
    <row r="2095" spans="1:4" x14ac:dyDescent="0.3">
      <c r="A2095" t="s">
        <v>195</v>
      </c>
      <c r="C2095" s="16">
        <v>46217</v>
      </c>
      <c r="D2095">
        <v>0</v>
      </c>
    </row>
    <row r="2096" spans="1:4" x14ac:dyDescent="0.3">
      <c r="A2096" t="s">
        <v>196</v>
      </c>
      <c r="C2096" s="16">
        <v>46217</v>
      </c>
      <c r="D2096">
        <v>0</v>
      </c>
    </row>
    <row r="2097" spans="1:4" x14ac:dyDescent="0.3">
      <c r="A2097" t="s">
        <v>197</v>
      </c>
      <c r="C2097" s="16">
        <v>46217</v>
      </c>
      <c r="D2097">
        <v>0</v>
      </c>
    </row>
    <row r="2098" spans="1:4" x14ac:dyDescent="0.3">
      <c r="A2098" t="s">
        <v>198</v>
      </c>
      <c r="C2098" s="16">
        <v>46217</v>
      </c>
      <c r="D2098">
        <v>0</v>
      </c>
    </row>
    <row r="2099" spans="1:4" x14ac:dyDescent="0.3">
      <c r="A2099" t="s">
        <v>216</v>
      </c>
      <c r="C2099" s="16">
        <v>46217</v>
      </c>
      <c r="D2099">
        <v>0</v>
      </c>
    </row>
    <row r="2100" spans="1:4" x14ac:dyDescent="0.3">
      <c r="A2100" t="s">
        <v>200</v>
      </c>
      <c r="C2100" s="16">
        <v>46217</v>
      </c>
      <c r="D2100">
        <v>0</v>
      </c>
    </row>
    <row r="2101" spans="1:4" x14ac:dyDescent="0.3">
      <c r="A2101" t="s">
        <v>201</v>
      </c>
      <c r="C2101" s="16">
        <v>46217</v>
      </c>
      <c r="D2101">
        <v>0</v>
      </c>
    </row>
    <row r="2102" spans="1:4" x14ac:dyDescent="0.3">
      <c r="A2102" t="s">
        <v>17</v>
      </c>
      <c r="C2102" s="16">
        <v>46218</v>
      </c>
      <c r="D2102">
        <v>3363755.7500000005</v>
      </c>
    </row>
    <row r="2103" spans="1:4" x14ac:dyDescent="0.3">
      <c r="A2103" t="s">
        <v>18</v>
      </c>
      <c r="C2103" s="16">
        <v>46218</v>
      </c>
      <c r="D2103">
        <v>73157.680000000168</v>
      </c>
    </row>
    <row r="2104" spans="1:4" x14ac:dyDescent="0.3">
      <c r="A2104" t="s">
        <v>19</v>
      </c>
      <c r="C2104" s="16">
        <v>46218</v>
      </c>
      <c r="D2104">
        <v>1669.89</v>
      </c>
    </row>
    <row r="2105" spans="1:4" x14ac:dyDescent="0.3">
      <c r="A2105" t="s">
        <v>20</v>
      </c>
      <c r="C2105" s="16">
        <v>46218</v>
      </c>
      <c r="D2105">
        <v>1089804.7499999998</v>
      </c>
    </row>
    <row r="2106" spans="1:4" x14ac:dyDescent="0.3">
      <c r="A2106" t="s">
        <v>21</v>
      </c>
      <c r="C2106" s="16">
        <v>46218</v>
      </c>
      <c r="D2106">
        <v>1856513.4499999993</v>
      </c>
    </row>
    <row r="2107" spans="1:4" x14ac:dyDescent="0.3">
      <c r="A2107" t="s">
        <v>22</v>
      </c>
      <c r="C2107" s="16">
        <v>46218</v>
      </c>
      <c r="D2107">
        <v>200496.38</v>
      </c>
    </row>
    <row r="2108" spans="1:4" x14ac:dyDescent="0.3">
      <c r="A2108" t="s">
        <v>23</v>
      </c>
      <c r="C2108" s="16">
        <v>46218</v>
      </c>
      <c r="D2108">
        <v>88090.37</v>
      </c>
    </row>
    <row r="2109" spans="1:4" x14ac:dyDescent="0.3">
      <c r="A2109" t="s">
        <v>24</v>
      </c>
      <c r="C2109" s="16">
        <v>46218</v>
      </c>
      <c r="D2109">
        <v>14580.45</v>
      </c>
    </row>
    <row r="2110" spans="1:4" x14ac:dyDescent="0.3">
      <c r="A2110" t="s">
        <v>25</v>
      </c>
      <c r="C2110" s="16">
        <v>46218</v>
      </c>
      <c r="D2110">
        <v>54.400000000000006</v>
      </c>
    </row>
    <row r="2111" spans="1:4" x14ac:dyDescent="0.3">
      <c r="A2111" t="s">
        <v>26</v>
      </c>
      <c r="C2111" s="16">
        <v>46218</v>
      </c>
      <c r="D2111">
        <v>2207.8200000000002</v>
      </c>
    </row>
    <row r="2112" spans="1:4" x14ac:dyDescent="0.3">
      <c r="A2112" t="s">
        <v>27</v>
      </c>
      <c r="C2112" s="16">
        <v>46218</v>
      </c>
      <c r="D2112">
        <v>1454589.72</v>
      </c>
    </row>
    <row r="2113" spans="1:4" x14ac:dyDescent="0.3">
      <c r="A2113" t="s">
        <v>28</v>
      </c>
      <c r="C2113" s="16">
        <v>46218</v>
      </c>
      <c r="D2113">
        <v>1968.99</v>
      </c>
    </row>
    <row r="2114" spans="1:4" x14ac:dyDescent="0.3">
      <c r="A2114" t="s">
        <v>29</v>
      </c>
      <c r="C2114" s="16">
        <v>46218</v>
      </c>
      <c r="D2114">
        <v>901.34</v>
      </c>
    </row>
    <row r="2115" spans="1:4" x14ac:dyDescent="0.3">
      <c r="A2115" t="s">
        <v>30</v>
      </c>
      <c r="C2115" s="16">
        <v>46218</v>
      </c>
      <c r="D2115">
        <v>1412.08</v>
      </c>
    </row>
    <row r="2116" spans="1:4" x14ac:dyDescent="0.3">
      <c r="A2116" t="s">
        <v>31</v>
      </c>
      <c r="C2116" s="16">
        <v>46218</v>
      </c>
      <c r="D2116">
        <v>22347.56999999996</v>
      </c>
    </row>
    <row r="2117" spans="1:4" x14ac:dyDescent="0.3">
      <c r="A2117" t="s">
        <v>32</v>
      </c>
      <c r="C2117" s="16">
        <v>46218</v>
      </c>
      <c r="D2117">
        <v>6522.8000000000029</v>
      </c>
    </row>
    <row r="2118" spans="1:4" x14ac:dyDescent="0.3">
      <c r="A2118" t="s">
        <v>33</v>
      </c>
      <c r="C2118" s="16">
        <v>46218</v>
      </c>
      <c r="D2118">
        <v>28485.559999999998</v>
      </c>
    </row>
    <row r="2119" spans="1:4" x14ac:dyDescent="0.3">
      <c r="A2119" t="s">
        <v>34</v>
      </c>
      <c r="C2119" s="16">
        <v>46218</v>
      </c>
      <c r="D2119">
        <v>345</v>
      </c>
    </row>
    <row r="2120" spans="1:4" x14ac:dyDescent="0.3">
      <c r="A2120" t="s">
        <v>35</v>
      </c>
      <c r="C2120" s="16">
        <v>46218</v>
      </c>
      <c r="D2120">
        <v>25023.24</v>
      </c>
    </row>
    <row r="2121" spans="1:4" x14ac:dyDescent="0.3">
      <c r="A2121" t="s">
        <v>193</v>
      </c>
      <c r="C2121" s="16">
        <v>46218</v>
      </c>
      <c r="D2121">
        <v>0</v>
      </c>
    </row>
    <row r="2122" spans="1:4" x14ac:dyDescent="0.3">
      <c r="A2122" t="s">
        <v>194</v>
      </c>
      <c r="C2122" s="16">
        <v>46218</v>
      </c>
      <c r="D2122">
        <v>0</v>
      </c>
    </row>
    <row r="2123" spans="1:4" x14ac:dyDescent="0.3">
      <c r="A2123" t="s">
        <v>195</v>
      </c>
      <c r="C2123" s="16">
        <v>46218</v>
      </c>
      <c r="D2123">
        <v>0</v>
      </c>
    </row>
    <row r="2124" spans="1:4" x14ac:dyDescent="0.3">
      <c r="A2124" t="s">
        <v>196</v>
      </c>
      <c r="C2124" s="16">
        <v>46218</v>
      </c>
      <c r="D2124">
        <v>0</v>
      </c>
    </row>
    <row r="2125" spans="1:4" x14ac:dyDescent="0.3">
      <c r="A2125" t="s">
        <v>197</v>
      </c>
      <c r="C2125" s="16">
        <v>46218</v>
      </c>
      <c r="D2125">
        <v>0</v>
      </c>
    </row>
    <row r="2126" spans="1:4" x14ac:dyDescent="0.3">
      <c r="A2126" t="s">
        <v>198</v>
      </c>
      <c r="C2126" s="16">
        <v>46218</v>
      </c>
      <c r="D2126">
        <v>0</v>
      </c>
    </row>
    <row r="2127" spans="1:4" x14ac:dyDescent="0.3">
      <c r="A2127" t="s">
        <v>216</v>
      </c>
      <c r="C2127" s="16">
        <v>46218</v>
      </c>
      <c r="D2127">
        <v>0</v>
      </c>
    </row>
    <row r="2128" spans="1:4" x14ac:dyDescent="0.3">
      <c r="A2128" t="s">
        <v>200</v>
      </c>
      <c r="C2128" s="16">
        <v>46218</v>
      </c>
      <c r="D2128">
        <v>0</v>
      </c>
    </row>
    <row r="2129" spans="1:4" x14ac:dyDescent="0.3">
      <c r="A2129" t="s">
        <v>201</v>
      </c>
      <c r="C2129" s="16">
        <v>46218</v>
      </c>
      <c r="D2129">
        <v>0</v>
      </c>
    </row>
    <row r="2130" spans="1:4" x14ac:dyDescent="0.3">
      <c r="A2130" t="s">
        <v>17</v>
      </c>
      <c r="C2130" s="16">
        <v>46219</v>
      </c>
      <c r="D2130">
        <v>3110339.0700000008</v>
      </c>
    </row>
    <row r="2131" spans="1:4" x14ac:dyDescent="0.3">
      <c r="A2131" t="s">
        <v>18</v>
      </c>
      <c r="C2131" s="16">
        <v>46219</v>
      </c>
      <c r="D2131">
        <v>73157.680000000168</v>
      </c>
    </row>
    <row r="2132" spans="1:4" x14ac:dyDescent="0.3">
      <c r="A2132" t="s">
        <v>19</v>
      </c>
      <c r="C2132" s="16">
        <v>46219</v>
      </c>
      <c r="D2132">
        <v>1669.89</v>
      </c>
    </row>
    <row r="2133" spans="1:4" x14ac:dyDescent="0.3">
      <c r="A2133" t="s">
        <v>20</v>
      </c>
      <c r="C2133" s="16">
        <v>46219</v>
      </c>
      <c r="D2133">
        <v>1029804.7499999998</v>
      </c>
    </row>
    <row r="2134" spans="1:4" x14ac:dyDescent="0.3">
      <c r="A2134" t="s">
        <v>21</v>
      </c>
      <c r="C2134" s="16">
        <v>46219</v>
      </c>
      <c r="D2134">
        <v>1678189.7499999995</v>
      </c>
    </row>
    <row r="2135" spans="1:4" x14ac:dyDescent="0.3">
      <c r="A2135" t="s">
        <v>22</v>
      </c>
      <c r="C2135" s="16">
        <v>46219</v>
      </c>
      <c r="D2135">
        <v>200496.38</v>
      </c>
    </row>
    <row r="2136" spans="1:4" x14ac:dyDescent="0.3">
      <c r="A2136" t="s">
        <v>23</v>
      </c>
      <c r="C2136" s="16">
        <v>46219</v>
      </c>
      <c r="D2136">
        <v>88090.37</v>
      </c>
    </row>
    <row r="2137" spans="1:4" x14ac:dyDescent="0.3">
      <c r="A2137" t="s">
        <v>24</v>
      </c>
      <c r="C2137" s="16">
        <v>46219</v>
      </c>
      <c r="D2137">
        <v>14580.45</v>
      </c>
    </row>
    <row r="2138" spans="1:4" x14ac:dyDescent="0.3">
      <c r="A2138" t="s">
        <v>25</v>
      </c>
      <c r="C2138" s="16">
        <v>46219</v>
      </c>
      <c r="D2138">
        <v>54.400000000000006</v>
      </c>
    </row>
    <row r="2139" spans="1:4" x14ac:dyDescent="0.3">
      <c r="A2139" t="s">
        <v>26</v>
      </c>
      <c r="C2139" s="16">
        <v>46219</v>
      </c>
      <c r="D2139">
        <v>2207.8200000000002</v>
      </c>
    </row>
    <row r="2140" spans="1:4" x14ac:dyDescent="0.3">
      <c r="A2140" t="s">
        <v>27</v>
      </c>
      <c r="C2140" s="16">
        <v>46219</v>
      </c>
      <c r="D2140">
        <v>1454589.72</v>
      </c>
    </row>
    <row r="2141" spans="1:4" x14ac:dyDescent="0.3">
      <c r="A2141" t="s">
        <v>28</v>
      </c>
      <c r="C2141" s="16">
        <v>46219</v>
      </c>
      <c r="D2141">
        <v>1968.99</v>
      </c>
    </row>
    <row r="2142" spans="1:4" x14ac:dyDescent="0.3">
      <c r="A2142" t="s">
        <v>29</v>
      </c>
      <c r="C2142" s="16">
        <v>46219</v>
      </c>
      <c r="D2142">
        <v>901.34</v>
      </c>
    </row>
    <row r="2143" spans="1:4" x14ac:dyDescent="0.3">
      <c r="A2143" t="s">
        <v>30</v>
      </c>
      <c r="C2143" s="16">
        <v>46219</v>
      </c>
      <c r="D2143">
        <v>1412.08</v>
      </c>
    </row>
    <row r="2144" spans="1:4" x14ac:dyDescent="0.3">
      <c r="A2144" t="s">
        <v>31</v>
      </c>
      <c r="C2144" s="16">
        <v>46219</v>
      </c>
      <c r="D2144">
        <v>22347.56999999996</v>
      </c>
    </row>
    <row r="2145" spans="1:4" x14ac:dyDescent="0.3">
      <c r="A2145" t="s">
        <v>32</v>
      </c>
      <c r="C2145" s="16">
        <v>46219</v>
      </c>
      <c r="D2145">
        <v>3522.8000000000029</v>
      </c>
    </row>
    <row r="2146" spans="1:4" x14ac:dyDescent="0.3">
      <c r="A2146" t="s">
        <v>33</v>
      </c>
      <c r="C2146" s="16">
        <v>46219</v>
      </c>
      <c r="D2146">
        <v>28485.559999999998</v>
      </c>
    </row>
    <row r="2147" spans="1:4" x14ac:dyDescent="0.3">
      <c r="A2147" t="s">
        <v>34</v>
      </c>
      <c r="C2147" s="16">
        <v>46219</v>
      </c>
      <c r="D2147">
        <v>345</v>
      </c>
    </row>
    <row r="2148" spans="1:4" x14ac:dyDescent="0.3">
      <c r="A2148" t="s">
        <v>35</v>
      </c>
      <c r="C2148" s="16">
        <v>46219</v>
      </c>
      <c r="D2148">
        <v>23978.850000000002</v>
      </c>
    </row>
    <row r="2149" spans="1:4" x14ac:dyDescent="0.3">
      <c r="A2149" t="s">
        <v>193</v>
      </c>
      <c r="C2149" s="16">
        <v>46219</v>
      </c>
      <c r="D2149">
        <v>0</v>
      </c>
    </row>
    <row r="2150" spans="1:4" x14ac:dyDescent="0.3">
      <c r="A2150" t="s">
        <v>194</v>
      </c>
      <c r="C2150" s="16">
        <v>46219</v>
      </c>
      <c r="D2150">
        <v>0</v>
      </c>
    </row>
    <row r="2151" spans="1:4" x14ac:dyDescent="0.3">
      <c r="A2151" t="s">
        <v>195</v>
      </c>
      <c r="C2151" s="16">
        <v>46219</v>
      </c>
      <c r="D2151">
        <v>0</v>
      </c>
    </row>
    <row r="2152" spans="1:4" x14ac:dyDescent="0.3">
      <c r="A2152" t="s">
        <v>196</v>
      </c>
      <c r="C2152" s="16">
        <v>46219</v>
      </c>
      <c r="D2152">
        <v>0</v>
      </c>
    </row>
    <row r="2153" spans="1:4" x14ac:dyDescent="0.3">
      <c r="A2153" t="s">
        <v>197</v>
      </c>
      <c r="C2153" s="16">
        <v>46219</v>
      </c>
      <c r="D2153">
        <v>0</v>
      </c>
    </row>
    <row r="2154" spans="1:4" x14ac:dyDescent="0.3">
      <c r="A2154" t="s">
        <v>198</v>
      </c>
      <c r="C2154" s="16">
        <v>46219</v>
      </c>
      <c r="D2154">
        <v>0</v>
      </c>
    </row>
    <row r="2155" spans="1:4" x14ac:dyDescent="0.3">
      <c r="A2155" t="s">
        <v>216</v>
      </c>
      <c r="C2155" s="16">
        <v>46219</v>
      </c>
      <c r="D2155">
        <v>0</v>
      </c>
    </row>
    <row r="2156" spans="1:4" x14ac:dyDescent="0.3">
      <c r="A2156" t="s">
        <v>200</v>
      </c>
      <c r="C2156" s="16">
        <v>46219</v>
      </c>
      <c r="D2156">
        <v>0</v>
      </c>
    </row>
    <row r="2157" spans="1:4" x14ac:dyDescent="0.3">
      <c r="A2157" t="s">
        <v>201</v>
      </c>
      <c r="C2157" s="16">
        <v>46219</v>
      </c>
      <c r="D2157">
        <v>0</v>
      </c>
    </row>
    <row r="2158" spans="1:4" x14ac:dyDescent="0.3">
      <c r="A2158" t="s">
        <v>17</v>
      </c>
      <c r="C2158" s="16">
        <v>46220</v>
      </c>
      <c r="D2158">
        <v>3110339.0700000008</v>
      </c>
    </row>
    <row r="2159" spans="1:4" x14ac:dyDescent="0.3">
      <c r="A2159" t="s">
        <v>18</v>
      </c>
      <c r="C2159" s="16">
        <v>46220</v>
      </c>
      <c r="D2159">
        <v>73157.680000000168</v>
      </c>
    </row>
    <row r="2160" spans="1:4" x14ac:dyDescent="0.3">
      <c r="A2160" t="s">
        <v>19</v>
      </c>
      <c r="C2160" s="16">
        <v>46220</v>
      </c>
      <c r="D2160">
        <v>1669.89</v>
      </c>
    </row>
    <row r="2161" spans="1:4" x14ac:dyDescent="0.3">
      <c r="A2161" t="s">
        <v>20</v>
      </c>
      <c r="C2161" s="16">
        <v>46220</v>
      </c>
      <c r="D2161">
        <v>1029804.7499999998</v>
      </c>
    </row>
    <row r="2162" spans="1:4" x14ac:dyDescent="0.3">
      <c r="A2162" t="s">
        <v>21</v>
      </c>
      <c r="C2162" s="16">
        <v>46220</v>
      </c>
      <c r="D2162">
        <v>1748189.7499999995</v>
      </c>
    </row>
    <row r="2163" spans="1:4" x14ac:dyDescent="0.3">
      <c r="A2163" t="s">
        <v>22</v>
      </c>
      <c r="C2163" s="16">
        <v>46220</v>
      </c>
      <c r="D2163">
        <v>200496.38</v>
      </c>
    </row>
    <row r="2164" spans="1:4" x14ac:dyDescent="0.3">
      <c r="A2164" t="s">
        <v>23</v>
      </c>
      <c r="C2164" s="16">
        <v>46220</v>
      </c>
      <c r="D2164">
        <v>88090.37</v>
      </c>
    </row>
    <row r="2165" spans="1:4" x14ac:dyDescent="0.3">
      <c r="A2165" t="s">
        <v>24</v>
      </c>
      <c r="C2165" s="16">
        <v>46220</v>
      </c>
      <c r="D2165">
        <v>14580.45</v>
      </c>
    </row>
    <row r="2166" spans="1:4" x14ac:dyDescent="0.3">
      <c r="A2166" t="s">
        <v>25</v>
      </c>
      <c r="C2166" s="16">
        <v>46220</v>
      </c>
      <c r="D2166">
        <v>54.400000000000006</v>
      </c>
    </row>
    <row r="2167" spans="1:4" x14ac:dyDescent="0.3">
      <c r="A2167" t="s">
        <v>26</v>
      </c>
      <c r="C2167" s="16">
        <v>46220</v>
      </c>
      <c r="D2167">
        <v>2207.8200000000002</v>
      </c>
    </row>
    <row r="2168" spans="1:4" x14ac:dyDescent="0.3">
      <c r="A2168" t="s">
        <v>27</v>
      </c>
      <c r="C2168" s="16">
        <v>46220</v>
      </c>
      <c r="D2168">
        <v>1454589.72</v>
      </c>
    </row>
    <row r="2169" spans="1:4" x14ac:dyDescent="0.3">
      <c r="A2169" t="s">
        <v>28</v>
      </c>
      <c r="C2169" s="16">
        <v>46220</v>
      </c>
      <c r="D2169">
        <v>1968.99</v>
      </c>
    </row>
    <row r="2170" spans="1:4" x14ac:dyDescent="0.3">
      <c r="A2170" t="s">
        <v>29</v>
      </c>
      <c r="C2170" s="16">
        <v>46220</v>
      </c>
      <c r="D2170">
        <v>901.34</v>
      </c>
    </row>
    <row r="2171" spans="1:4" x14ac:dyDescent="0.3">
      <c r="A2171" t="s">
        <v>30</v>
      </c>
      <c r="C2171" s="16">
        <v>46220</v>
      </c>
      <c r="D2171">
        <v>1412.08</v>
      </c>
    </row>
    <row r="2172" spans="1:4" x14ac:dyDescent="0.3">
      <c r="A2172" t="s">
        <v>31</v>
      </c>
      <c r="C2172" s="16">
        <v>46220</v>
      </c>
      <c r="D2172">
        <v>22347.56999999996</v>
      </c>
    </row>
    <row r="2173" spans="1:4" x14ac:dyDescent="0.3">
      <c r="A2173" t="s">
        <v>32</v>
      </c>
      <c r="C2173" s="16">
        <v>46220</v>
      </c>
      <c r="D2173">
        <v>3522.8000000000029</v>
      </c>
    </row>
    <row r="2174" spans="1:4" x14ac:dyDescent="0.3">
      <c r="A2174" t="s">
        <v>33</v>
      </c>
      <c r="C2174" s="16">
        <v>46220</v>
      </c>
      <c r="D2174">
        <v>28485.559999999998</v>
      </c>
    </row>
    <row r="2175" spans="1:4" x14ac:dyDescent="0.3">
      <c r="A2175" t="s">
        <v>34</v>
      </c>
      <c r="C2175" s="16">
        <v>46220</v>
      </c>
      <c r="D2175">
        <v>345</v>
      </c>
    </row>
    <row r="2176" spans="1:4" x14ac:dyDescent="0.3">
      <c r="A2176" t="s">
        <v>35</v>
      </c>
      <c r="C2176" s="16">
        <v>46220</v>
      </c>
      <c r="D2176">
        <v>16230.620000000003</v>
      </c>
    </row>
    <row r="2177" spans="1:4" x14ac:dyDescent="0.3">
      <c r="A2177" t="s">
        <v>193</v>
      </c>
      <c r="C2177" s="16">
        <v>46220</v>
      </c>
      <c r="D2177">
        <v>0</v>
      </c>
    </row>
    <row r="2178" spans="1:4" x14ac:dyDescent="0.3">
      <c r="A2178" t="s">
        <v>194</v>
      </c>
      <c r="C2178" s="16">
        <v>46220</v>
      </c>
      <c r="D2178">
        <v>0</v>
      </c>
    </row>
    <row r="2179" spans="1:4" x14ac:dyDescent="0.3">
      <c r="A2179" t="s">
        <v>195</v>
      </c>
      <c r="C2179" s="16">
        <v>46220</v>
      </c>
      <c r="D2179">
        <v>0</v>
      </c>
    </row>
    <row r="2180" spans="1:4" x14ac:dyDescent="0.3">
      <c r="A2180" t="s">
        <v>196</v>
      </c>
      <c r="C2180" s="16">
        <v>46220</v>
      </c>
      <c r="D2180">
        <v>0</v>
      </c>
    </row>
    <row r="2181" spans="1:4" x14ac:dyDescent="0.3">
      <c r="A2181" t="s">
        <v>197</v>
      </c>
      <c r="C2181" s="16">
        <v>46220</v>
      </c>
      <c r="D2181">
        <v>0</v>
      </c>
    </row>
    <row r="2182" spans="1:4" x14ac:dyDescent="0.3">
      <c r="A2182" t="s">
        <v>198</v>
      </c>
      <c r="C2182" s="16">
        <v>46220</v>
      </c>
      <c r="D2182">
        <v>0</v>
      </c>
    </row>
    <row r="2183" spans="1:4" x14ac:dyDescent="0.3">
      <c r="A2183" t="s">
        <v>216</v>
      </c>
      <c r="C2183" s="16">
        <v>46220</v>
      </c>
      <c r="D2183">
        <v>0</v>
      </c>
    </row>
    <row r="2184" spans="1:4" x14ac:dyDescent="0.3">
      <c r="A2184" t="s">
        <v>200</v>
      </c>
      <c r="C2184" s="16">
        <v>46220</v>
      </c>
      <c r="D2184">
        <v>0</v>
      </c>
    </row>
    <row r="2185" spans="1:4" x14ac:dyDescent="0.3">
      <c r="A2185" t="s">
        <v>201</v>
      </c>
      <c r="C2185" s="16">
        <v>46220</v>
      </c>
      <c r="D2185">
        <v>0</v>
      </c>
    </row>
    <row r="2186" spans="1:4" x14ac:dyDescent="0.3">
      <c r="A2186" t="s">
        <v>17</v>
      </c>
      <c r="C2186" s="16">
        <v>46221</v>
      </c>
      <c r="D2186">
        <v>3110339.0700000008</v>
      </c>
    </row>
    <row r="2187" spans="1:4" x14ac:dyDescent="0.3">
      <c r="A2187" t="s">
        <v>18</v>
      </c>
      <c r="C2187" s="16">
        <v>46221</v>
      </c>
      <c r="D2187">
        <v>73157.680000000168</v>
      </c>
    </row>
    <row r="2188" spans="1:4" x14ac:dyDescent="0.3">
      <c r="A2188" t="s">
        <v>19</v>
      </c>
      <c r="C2188" s="16">
        <v>46221</v>
      </c>
      <c r="D2188">
        <v>1669.89</v>
      </c>
    </row>
    <row r="2189" spans="1:4" x14ac:dyDescent="0.3">
      <c r="A2189" t="s">
        <v>20</v>
      </c>
      <c r="C2189" s="16">
        <v>46221</v>
      </c>
      <c r="D2189">
        <v>1029804.7499999998</v>
      </c>
    </row>
    <row r="2190" spans="1:4" x14ac:dyDescent="0.3">
      <c r="A2190" t="s">
        <v>21</v>
      </c>
      <c r="C2190" s="16">
        <v>46221</v>
      </c>
      <c r="D2190">
        <v>1748189.7499999995</v>
      </c>
    </row>
    <row r="2191" spans="1:4" x14ac:dyDescent="0.3">
      <c r="A2191" t="s">
        <v>22</v>
      </c>
      <c r="C2191" s="16">
        <v>46221</v>
      </c>
      <c r="D2191">
        <v>200496.38</v>
      </c>
    </row>
    <row r="2192" spans="1:4" x14ac:dyDescent="0.3">
      <c r="A2192" t="s">
        <v>23</v>
      </c>
      <c r="C2192" s="16">
        <v>46221</v>
      </c>
      <c r="D2192">
        <v>88090.37</v>
      </c>
    </row>
    <row r="2193" spans="1:4" x14ac:dyDescent="0.3">
      <c r="A2193" t="s">
        <v>24</v>
      </c>
      <c r="C2193" s="16">
        <v>46221</v>
      </c>
      <c r="D2193">
        <v>14580.45</v>
      </c>
    </row>
    <row r="2194" spans="1:4" x14ac:dyDescent="0.3">
      <c r="A2194" t="s">
        <v>25</v>
      </c>
      <c r="C2194" s="16">
        <v>46221</v>
      </c>
      <c r="D2194">
        <v>54.400000000000006</v>
      </c>
    </row>
    <row r="2195" spans="1:4" x14ac:dyDescent="0.3">
      <c r="A2195" t="s">
        <v>26</v>
      </c>
      <c r="C2195" s="16">
        <v>46221</v>
      </c>
      <c r="D2195">
        <v>2207.8200000000002</v>
      </c>
    </row>
    <row r="2196" spans="1:4" x14ac:dyDescent="0.3">
      <c r="A2196" t="s">
        <v>27</v>
      </c>
      <c r="C2196" s="16">
        <v>46221</v>
      </c>
      <c r="D2196">
        <v>1454589.72</v>
      </c>
    </row>
    <row r="2197" spans="1:4" x14ac:dyDescent="0.3">
      <c r="A2197" t="s">
        <v>28</v>
      </c>
      <c r="C2197" s="16">
        <v>46221</v>
      </c>
      <c r="D2197">
        <v>1968.99</v>
      </c>
    </row>
    <row r="2198" spans="1:4" x14ac:dyDescent="0.3">
      <c r="A2198" t="s">
        <v>29</v>
      </c>
      <c r="C2198" s="16">
        <v>46221</v>
      </c>
      <c r="D2198">
        <v>901.34</v>
      </c>
    </row>
    <row r="2199" spans="1:4" x14ac:dyDescent="0.3">
      <c r="A2199" t="s">
        <v>30</v>
      </c>
      <c r="C2199" s="16">
        <v>46221</v>
      </c>
      <c r="D2199">
        <v>1412.08</v>
      </c>
    </row>
    <row r="2200" spans="1:4" x14ac:dyDescent="0.3">
      <c r="A2200" t="s">
        <v>31</v>
      </c>
      <c r="C2200" s="16">
        <v>46221</v>
      </c>
      <c r="D2200">
        <v>22347.56999999996</v>
      </c>
    </row>
    <row r="2201" spans="1:4" x14ac:dyDescent="0.3">
      <c r="A2201" t="s">
        <v>32</v>
      </c>
      <c r="C2201" s="16">
        <v>46221</v>
      </c>
      <c r="D2201">
        <v>3522.8000000000029</v>
      </c>
    </row>
    <row r="2202" spans="1:4" x14ac:dyDescent="0.3">
      <c r="A2202" t="s">
        <v>33</v>
      </c>
      <c r="C2202" s="16">
        <v>46221</v>
      </c>
      <c r="D2202">
        <v>28485.559999999998</v>
      </c>
    </row>
    <row r="2203" spans="1:4" x14ac:dyDescent="0.3">
      <c r="A2203" t="s">
        <v>34</v>
      </c>
      <c r="C2203" s="16">
        <v>46221</v>
      </c>
      <c r="D2203">
        <v>345</v>
      </c>
    </row>
    <row r="2204" spans="1:4" x14ac:dyDescent="0.3">
      <c r="A2204" t="s">
        <v>35</v>
      </c>
      <c r="C2204" s="16">
        <v>46221</v>
      </c>
      <c r="D2204">
        <v>16230.620000000003</v>
      </c>
    </row>
    <row r="2205" spans="1:4" x14ac:dyDescent="0.3">
      <c r="A2205" t="s">
        <v>193</v>
      </c>
      <c r="C2205" s="16">
        <v>46221</v>
      </c>
      <c r="D2205">
        <v>0</v>
      </c>
    </row>
    <row r="2206" spans="1:4" x14ac:dyDescent="0.3">
      <c r="A2206" t="s">
        <v>194</v>
      </c>
      <c r="C2206" s="16">
        <v>46221</v>
      </c>
      <c r="D2206">
        <v>0</v>
      </c>
    </row>
    <row r="2207" spans="1:4" x14ac:dyDescent="0.3">
      <c r="A2207" t="s">
        <v>195</v>
      </c>
      <c r="C2207" s="16">
        <v>46221</v>
      </c>
      <c r="D2207">
        <v>0</v>
      </c>
    </row>
    <row r="2208" spans="1:4" x14ac:dyDescent="0.3">
      <c r="A2208" t="s">
        <v>196</v>
      </c>
      <c r="C2208" s="16">
        <v>46221</v>
      </c>
      <c r="D2208">
        <v>0</v>
      </c>
    </row>
    <row r="2209" spans="1:4" x14ac:dyDescent="0.3">
      <c r="A2209" t="s">
        <v>197</v>
      </c>
      <c r="C2209" s="16">
        <v>46221</v>
      </c>
      <c r="D2209">
        <v>0</v>
      </c>
    </row>
    <row r="2210" spans="1:4" x14ac:dyDescent="0.3">
      <c r="A2210" t="s">
        <v>198</v>
      </c>
      <c r="C2210" s="16">
        <v>46221</v>
      </c>
      <c r="D2210">
        <v>0</v>
      </c>
    </row>
    <row r="2211" spans="1:4" x14ac:dyDescent="0.3">
      <c r="A2211" t="s">
        <v>216</v>
      </c>
      <c r="C2211" s="16">
        <v>46221</v>
      </c>
      <c r="D2211">
        <v>0</v>
      </c>
    </row>
    <row r="2212" spans="1:4" x14ac:dyDescent="0.3">
      <c r="A2212" t="s">
        <v>200</v>
      </c>
      <c r="C2212" s="16">
        <v>46221</v>
      </c>
      <c r="D2212">
        <v>0</v>
      </c>
    </row>
    <row r="2213" spans="1:4" x14ac:dyDescent="0.3">
      <c r="A2213" t="s">
        <v>201</v>
      </c>
      <c r="C2213" s="16">
        <v>46221</v>
      </c>
      <c r="D2213">
        <v>0</v>
      </c>
    </row>
    <row r="2214" spans="1:4" x14ac:dyDescent="0.3">
      <c r="A2214" t="s">
        <v>17</v>
      </c>
      <c r="C2214" s="16">
        <v>46222</v>
      </c>
      <c r="D2214">
        <v>3110339.0700000008</v>
      </c>
    </row>
    <row r="2215" spans="1:4" x14ac:dyDescent="0.3">
      <c r="A2215" t="s">
        <v>18</v>
      </c>
      <c r="C2215" s="16">
        <v>46222</v>
      </c>
      <c r="D2215">
        <v>73157.680000000168</v>
      </c>
    </row>
    <row r="2216" spans="1:4" x14ac:dyDescent="0.3">
      <c r="A2216" t="s">
        <v>19</v>
      </c>
      <c r="C2216" s="16">
        <v>46222</v>
      </c>
      <c r="D2216">
        <v>1669.89</v>
      </c>
    </row>
    <row r="2217" spans="1:4" x14ac:dyDescent="0.3">
      <c r="A2217" t="s">
        <v>20</v>
      </c>
      <c r="C2217" s="16">
        <v>46222</v>
      </c>
      <c r="D2217">
        <v>1029804.7499999998</v>
      </c>
    </row>
    <row r="2218" spans="1:4" x14ac:dyDescent="0.3">
      <c r="A2218" t="s">
        <v>21</v>
      </c>
      <c r="C2218" s="16">
        <v>46222</v>
      </c>
      <c r="D2218">
        <v>1748189.7499999995</v>
      </c>
    </row>
    <row r="2219" spans="1:4" x14ac:dyDescent="0.3">
      <c r="A2219" t="s">
        <v>22</v>
      </c>
      <c r="C2219" s="16">
        <v>46222</v>
      </c>
      <c r="D2219">
        <v>200496.38</v>
      </c>
    </row>
    <row r="2220" spans="1:4" x14ac:dyDescent="0.3">
      <c r="A2220" t="s">
        <v>23</v>
      </c>
      <c r="C2220" s="16">
        <v>46222</v>
      </c>
      <c r="D2220">
        <v>88090.37</v>
      </c>
    </row>
    <row r="2221" spans="1:4" x14ac:dyDescent="0.3">
      <c r="A2221" t="s">
        <v>24</v>
      </c>
      <c r="C2221" s="16">
        <v>46222</v>
      </c>
      <c r="D2221">
        <v>14580.45</v>
      </c>
    </row>
    <row r="2222" spans="1:4" x14ac:dyDescent="0.3">
      <c r="A2222" t="s">
        <v>25</v>
      </c>
      <c r="C2222" s="16">
        <v>46222</v>
      </c>
      <c r="D2222">
        <v>54.400000000000006</v>
      </c>
    </row>
    <row r="2223" spans="1:4" x14ac:dyDescent="0.3">
      <c r="A2223" t="s">
        <v>26</v>
      </c>
      <c r="C2223" s="16">
        <v>46222</v>
      </c>
      <c r="D2223">
        <v>2207.8200000000002</v>
      </c>
    </row>
    <row r="2224" spans="1:4" x14ac:dyDescent="0.3">
      <c r="A2224" t="s">
        <v>27</v>
      </c>
      <c r="C2224" s="16">
        <v>46222</v>
      </c>
      <c r="D2224">
        <v>1454589.72</v>
      </c>
    </row>
    <row r="2225" spans="1:4" x14ac:dyDescent="0.3">
      <c r="A2225" t="s">
        <v>28</v>
      </c>
      <c r="C2225" s="16">
        <v>46222</v>
      </c>
      <c r="D2225">
        <v>1968.99</v>
      </c>
    </row>
    <row r="2226" spans="1:4" x14ac:dyDescent="0.3">
      <c r="A2226" t="s">
        <v>29</v>
      </c>
      <c r="C2226" s="16">
        <v>46222</v>
      </c>
      <c r="D2226">
        <v>901.34</v>
      </c>
    </row>
    <row r="2227" spans="1:4" x14ac:dyDescent="0.3">
      <c r="A2227" t="s">
        <v>30</v>
      </c>
      <c r="C2227" s="16">
        <v>46222</v>
      </c>
      <c r="D2227">
        <v>1412.08</v>
      </c>
    </row>
    <row r="2228" spans="1:4" x14ac:dyDescent="0.3">
      <c r="A2228" t="s">
        <v>31</v>
      </c>
      <c r="C2228" s="16">
        <v>46222</v>
      </c>
      <c r="D2228">
        <v>22347.56999999996</v>
      </c>
    </row>
    <row r="2229" spans="1:4" x14ac:dyDescent="0.3">
      <c r="A2229" t="s">
        <v>32</v>
      </c>
      <c r="C2229" s="16">
        <v>46222</v>
      </c>
      <c r="D2229">
        <v>3522.8000000000029</v>
      </c>
    </row>
    <row r="2230" spans="1:4" x14ac:dyDescent="0.3">
      <c r="A2230" t="s">
        <v>33</v>
      </c>
      <c r="C2230" s="16">
        <v>46222</v>
      </c>
      <c r="D2230">
        <v>28485.559999999998</v>
      </c>
    </row>
    <row r="2231" spans="1:4" x14ac:dyDescent="0.3">
      <c r="A2231" t="s">
        <v>34</v>
      </c>
      <c r="C2231" s="16">
        <v>46222</v>
      </c>
      <c r="D2231">
        <v>345</v>
      </c>
    </row>
    <row r="2232" spans="1:4" x14ac:dyDescent="0.3">
      <c r="A2232" t="s">
        <v>35</v>
      </c>
      <c r="C2232" s="16">
        <v>46222</v>
      </c>
      <c r="D2232">
        <v>16230.620000000003</v>
      </c>
    </row>
    <row r="2233" spans="1:4" x14ac:dyDescent="0.3">
      <c r="A2233" t="s">
        <v>193</v>
      </c>
      <c r="C2233" s="16">
        <v>46222</v>
      </c>
      <c r="D2233">
        <v>0</v>
      </c>
    </row>
    <row r="2234" spans="1:4" x14ac:dyDescent="0.3">
      <c r="A2234" t="s">
        <v>194</v>
      </c>
      <c r="C2234" s="16">
        <v>46222</v>
      </c>
      <c r="D2234">
        <v>0</v>
      </c>
    </row>
    <row r="2235" spans="1:4" x14ac:dyDescent="0.3">
      <c r="A2235" t="s">
        <v>195</v>
      </c>
      <c r="C2235" s="16">
        <v>46222</v>
      </c>
      <c r="D2235">
        <v>0</v>
      </c>
    </row>
    <row r="2236" spans="1:4" x14ac:dyDescent="0.3">
      <c r="A2236" t="s">
        <v>196</v>
      </c>
      <c r="C2236" s="16">
        <v>46222</v>
      </c>
      <c r="D2236">
        <v>0</v>
      </c>
    </row>
    <row r="2237" spans="1:4" x14ac:dyDescent="0.3">
      <c r="A2237" t="s">
        <v>197</v>
      </c>
      <c r="C2237" s="16">
        <v>46222</v>
      </c>
      <c r="D2237">
        <v>0</v>
      </c>
    </row>
    <row r="2238" spans="1:4" x14ac:dyDescent="0.3">
      <c r="A2238" t="s">
        <v>198</v>
      </c>
      <c r="C2238" s="16">
        <v>46222</v>
      </c>
      <c r="D2238">
        <v>0</v>
      </c>
    </row>
    <row r="2239" spans="1:4" x14ac:dyDescent="0.3">
      <c r="A2239" t="s">
        <v>216</v>
      </c>
      <c r="C2239" s="16">
        <v>46222</v>
      </c>
      <c r="D2239">
        <v>0</v>
      </c>
    </row>
    <row r="2240" spans="1:4" x14ac:dyDescent="0.3">
      <c r="A2240" t="s">
        <v>200</v>
      </c>
      <c r="C2240" s="16">
        <v>46222</v>
      </c>
      <c r="D2240">
        <v>0</v>
      </c>
    </row>
    <row r="2241" spans="1:4" x14ac:dyDescent="0.3">
      <c r="A2241" t="s">
        <v>201</v>
      </c>
      <c r="C2241" s="16">
        <v>46222</v>
      </c>
      <c r="D2241">
        <v>0</v>
      </c>
    </row>
    <row r="2242" spans="1:4" x14ac:dyDescent="0.3">
      <c r="A2242" t="s">
        <v>17</v>
      </c>
      <c r="C2242" s="16">
        <v>46223</v>
      </c>
      <c r="D2242">
        <v>3110339.0700000008</v>
      </c>
    </row>
    <row r="2243" spans="1:4" x14ac:dyDescent="0.3">
      <c r="A2243" t="s">
        <v>18</v>
      </c>
      <c r="C2243" s="16">
        <v>46223</v>
      </c>
      <c r="D2243">
        <v>73157.680000000168</v>
      </c>
    </row>
    <row r="2244" spans="1:4" x14ac:dyDescent="0.3">
      <c r="A2244" t="s">
        <v>19</v>
      </c>
      <c r="C2244" s="16">
        <v>46223</v>
      </c>
      <c r="D2244">
        <v>1669.89</v>
      </c>
    </row>
    <row r="2245" spans="1:4" x14ac:dyDescent="0.3">
      <c r="A2245" t="s">
        <v>20</v>
      </c>
      <c r="C2245" s="16">
        <v>46223</v>
      </c>
      <c r="D2245">
        <v>1029804.7499999998</v>
      </c>
    </row>
    <row r="2246" spans="1:4" x14ac:dyDescent="0.3">
      <c r="A2246" t="s">
        <v>21</v>
      </c>
      <c r="C2246" s="16">
        <v>46223</v>
      </c>
      <c r="D2246">
        <v>1744257.8699999994</v>
      </c>
    </row>
    <row r="2247" spans="1:4" x14ac:dyDescent="0.3">
      <c r="A2247" t="s">
        <v>22</v>
      </c>
      <c r="C2247" s="16">
        <v>46223</v>
      </c>
      <c r="D2247">
        <v>200496.38</v>
      </c>
    </row>
    <row r="2248" spans="1:4" x14ac:dyDescent="0.3">
      <c r="A2248" t="s">
        <v>23</v>
      </c>
      <c r="C2248" s="16">
        <v>46223</v>
      </c>
      <c r="D2248">
        <v>88090.37</v>
      </c>
    </row>
    <row r="2249" spans="1:4" x14ac:dyDescent="0.3">
      <c r="A2249" t="s">
        <v>24</v>
      </c>
      <c r="C2249" s="16">
        <v>46223</v>
      </c>
      <c r="D2249">
        <v>14580.45</v>
      </c>
    </row>
    <row r="2250" spans="1:4" x14ac:dyDescent="0.3">
      <c r="A2250" t="s">
        <v>25</v>
      </c>
      <c r="C2250" s="16">
        <v>46223</v>
      </c>
      <c r="D2250">
        <v>54.400000000000006</v>
      </c>
    </row>
    <row r="2251" spans="1:4" x14ac:dyDescent="0.3">
      <c r="A2251" t="s">
        <v>26</v>
      </c>
      <c r="C2251" s="16">
        <v>46223</v>
      </c>
      <c r="D2251">
        <v>2207.8200000000002</v>
      </c>
    </row>
    <row r="2252" spans="1:4" x14ac:dyDescent="0.3">
      <c r="A2252" t="s">
        <v>27</v>
      </c>
      <c r="C2252" s="16">
        <v>46223</v>
      </c>
      <c r="D2252">
        <v>1454589.72</v>
      </c>
    </row>
    <row r="2253" spans="1:4" x14ac:dyDescent="0.3">
      <c r="A2253" t="s">
        <v>28</v>
      </c>
      <c r="C2253" s="16">
        <v>46223</v>
      </c>
      <c r="D2253">
        <v>1968.99</v>
      </c>
    </row>
    <row r="2254" spans="1:4" x14ac:dyDescent="0.3">
      <c r="A2254" t="s">
        <v>29</v>
      </c>
      <c r="C2254" s="16">
        <v>46223</v>
      </c>
      <c r="D2254">
        <v>901.34</v>
      </c>
    </row>
    <row r="2255" spans="1:4" x14ac:dyDescent="0.3">
      <c r="A2255" t="s">
        <v>30</v>
      </c>
      <c r="C2255" s="16">
        <v>46223</v>
      </c>
      <c r="D2255">
        <v>1412.08</v>
      </c>
    </row>
    <row r="2256" spans="1:4" x14ac:dyDescent="0.3">
      <c r="A2256" t="s">
        <v>31</v>
      </c>
      <c r="C2256" s="16">
        <v>46223</v>
      </c>
      <c r="D2256">
        <v>22347.56999999996</v>
      </c>
    </row>
    <row r="2257" spans="1:4" x14ac:dyDescent="0.3">
      <c r="A2257" t="s">
        <v>32</v>
      </c>
      <c r="C2257" s="16">
        <v>46223</v>
      </c>
      <c r="D2257">
        <v>3522.8000000000029</v>
      </c>
    </row>
    <row r="2258" spans="1:4" x14ac:dyDescent="0.3">
      <c r="A2258" t="s">
        <v>33</v>
      </c>
      <c r="C2258" s="16">
        <v>46223</v>
      </c>
      <c r="D2258">
        <v>28485.559999999998</v>
      </c>
    </row>
    <row r="2259" spans="1:4" x14ac:dyDescent="0.3">
      <c r="A2259" t="s">
        <v>34</v>
      </c>
      <c r="C2259" s="16">
        <v>46223</v>
      </c>
      <c r="D2259">
        <v>345</v>
      </c>
    </row>
    <row r="2260" spans="1:4" x14ac:dyDescent="0.3">
      <c r="A2260" t="s">
        <v>35</v>
      </c>
      <c r="C2260" s="16">
        <v>46223</v>
      </c>
      <c r="D2260">
        <v>14097.480000000003</v>
      </c>
    </row>
    <row r="2261" spans="1:4" x14ac:dyDescent="0.3">
      <c r="A2261" t="s">
        <v>193</v>
      </c>
      <c r="C2261" s="16">
        <v>46223</v>
      </c>
      <c r="D2261">
        <v>0</v>
      </c>
    </row>
    <row r="2262" spans="1:4" x14ac:dyDescent="0.3">
      <c r="A2262" t="s">
        <v>194</v>
      </c>
      <c r="C2262" s="16">
        <v>46223</v>
      </c>
      <c r="D2262">
        <v>0</v>
      </c>
    </row>
    <row r="2263" spans="1:4" x14ac:dyDescent="0.3">
      <c r="A2263" t="s">
        <v>195</v>
      </c>
      <c r="C2263" s="16">
        <v>46223</v>
      </c>
      <c r="D2263">
        <v>0</v>
      </c>
    </row>
    <row r="2264" spans="1:4" x14ac:dyDescent="0.3">
      <c r="A2264" t="s">
        <v>196</v>
      </c>
      <c r="C2264" s="16">
        <v>46223</v>
      </c>
      <c r="D2264">
        <v>0</v>
      </c>
    </row>
    <row r="2265" spans="1:4" x14ac:dyDescent="0.3">
      <c r="A2265" t="s">
        <v>197</v>
      </c>
      <c r="C2265" s="16">
        <v>46223</v>
      </c>
      <c r="D2265">
        <v>0</v>
      </c>
    </row>
    <row r="2266" spans="1:4" x14ac:dyDescent="0.3">
      <c r="A2266" t="s">
        <v>198</v>
      </c>
      <c r="C2266" s="16">
        <v>46223</v>
      </c>
      <c r="D2266">
        <v>0</v>
      </c>
    </row>
    <row r="2267" spans="1:4" x14ac:dyDescent="0.3">
      <c r="A2267" t="s">
        <v>216</v>
      </c>
      <c r="C2267" s="16">
        <v>46223</v>
      </c>
      <c r="D2267">
        <v>0</v>
      </c>
    </row>
    <row r="2268" spans="1:4" x14ac:dyDescent="0.3">
      <c r="A2268" t="s">
        <v>200</v>
      </c>
      <c r="C2268" s="16">
        <v>46223</v>
      </c>
      <c r="D2268">
        <v>0</v>
      </c>
    </row>
    <row r="2269" spans="1:4" x14ac:dyDescent="0.3">
      <c r="A2269" t="s">
        <v>201</v>
      </c>
      <c r="C2269" s="16">
        <v>46223</v>
      </c>
      <c r="D2269">
        <v>0</v>
      </c>
    </row>
    <row r="2270" spans="1:4" x14ac:dyDescent="0.3">
      <c r="A2270" t="s">
        <v>17</v>
      </c>
      <c r="C2270" s="16">
        <v>46224</v>
      </c>
      <c r="D2270">
        <v>3110339.0700000008</v>
      </c>
    </row>
    <row r="2271" spans="1:4" x14ac:dyDescent="0.3">
      <c r="A2271" t="s">
        <v>18</v>
      </c>
      <c r="C2271" s="16">
        <v>46224</v>
      </c>
      <c r="D2271">
        <v>73157.680000000168</v>
      </c>
    </row>
    <row r="2272" spans="1:4" x14ac:dyDescent="0.3">
      <c r="A2272" t="s">
        <v>19</v>
      </c>
      <c r="C2272" s="16">
        <v>46224</v>
      </c>
      <c r="D2272">
        <v>1669.89</v>
      </c>
    </row>
    <row r="2273" spans="1:4" x14ac:dyDescent="0.3">
      <c r="A2273" t="s">
        <v>20</v>
      </c>
      <c r="C2273" s="16">
        <v>46224</v>
      </c>
      <c r="D2273">
        <v>1029804.7499999998</v>
      </c>
    </row>
    <row r="2274" spans="1:4" x14ac:dyDescent="0.3">
      <c r="A2274" t="s">
        <v>21</v>
      </c>
      <c r="C2274" s="16">
        <v>46224</v>
      </c>
      <c r="D2274">
        <v>1744257.8699999994</v>
      </c>
    </row>
    <row r="2275" spans="1:4" x14ac:dyDescent="0.3">
      <c r="A2275" t="s">
        <v>22</v>
      </c>
      <c r="C2275" s="16">
        <v>46224</v>
      </c>
      <c r="D2275">
        <v>200496.38</v>
      </c>
    </row>
    <row r="2276" spans="1:4" x14ac:dyDescent="0.3">
      <c r="A2276" t="s">
        <v>23</v>
      </c>
      <c r="C2276" s="16">
        <v>46224</v>
      </c>
      <c r="D2276">
        <v>88090.37</v>
      </c>
    </row>
    <row r="2277" spans="1:4" x14ac:dyDescent="0.3">
      <c r="A2277" t="s">
        <v>24</v>
      </c>
      <c r="C2277" s="16">
        <v>46224</v>
      </c>
      <c r="D2277">
        <v>14580.45</v>
      </c>
    </row>
    <row r="2278" spans="1:4" x14ac:dyDescent="0.3">
      <c r="A2278" t="s">
        <v>25</v>
      </c>
      <c r="C2278" s="16">
        <v>46224</v>
      </c>
      <c r="D2278">
        <v>54.400000000000006</v>
      </c>
    </row>
    <row r="2279" spans="1:4" x14ac:dyDescent="0.3">
      <c r="A2279" t="s">
        <v>26</v>
      </c>
      <c r="C2279" s="16">
        <v>46224</v>
      </c>
      <c r="D2279">
        <v>2207.8200000000002</v>
      </c>
    </row>
    <row r="2280" spans="1:4" x14ac:dyDescent="0.3">
      <c r="A2280" t="s">
        <v>27</v>
      </c>
      <c r="C2280" s="16">
        <v>46224</v>
      </c>
      <c r="D2280">
        <v>1454589.72</v>
      </c>
    </row>
    <row r="2281" spans="1:4" x14ac:dyDescent="0.3">
      <c r="A2281" t="s">
        <v>28</v>
      </c>
      <c r="C2281" s="16">
        <v>46224</v>
      </c>
      <c r="D2281">
        <v>1968.99</v>
      </c>
    </row>
    <row r="2282" spans="1:4" x14ac:dyDescent="0.3">
      <c r="A2282" t="s">
        <v>29</v>
      </c>
      <c r="C2282" s="16">
        <v>46224</v>
      </c>
      <c r="D2282">
        <v>901.34</v>
      </c>
    </row>
    <row r="2283" spans="1:4" x14ac:dyDescent="0.3">
      <c r="A2283" t="s">
        <v>30</v>
      </c>
      <c r="C2283" s="16">
        <v>46224</v>
      </c>
      <c r="D2283">
        <v>1412.08</v>
      </c>
    </row>
    <row r="2284" spans="1:4" x14ac:dyDescent="0.3">
      <c r="A2284" t="s">
        <v>31</v>
      </c>
      <c r="C2284" s="16">
        <v>46224</v>
      </c>
      <c r="D2284">
        <v>22347.56999999996</v>
      </c>
    </row>
    <row r="2285" spans="1:4" x14ac:dyDescent="0.3">
      <c r="A2285" t="s">
        <v>32</v>
      </c>
      <c r="C2285" s="16">
        <v>46224</v>
      </c>
      <c r="D2285">
        <v>3522.8000000000029</v>
      </c>
    </row>
    <row r="2286" spans="1:4" x14ac:dyDescent="0.3">
      <c r="A2286" t="s">
        <v>33</v>
      </c>
      <c r="C2286" s="16">
        <v>46224</v>
      </c>
      <c r="D2286">
        <v>28485.559999999998</v>
      </c>
    </row>
    <row r="2287" spans="1:4" x14ac:dyDescent="0.3">
      <c r="A2287" t="s">
        <v>34</v>
      </c>
      <c r="C2287" s="16">
        <v>46224</v>
      </c>
      <c r="D2287">
        <v>345</v>
      </c>
    </row>
    <row r="2288" spans="1:4" x14ac:dyDescent="0.3">
      <c r="A2288" t="s">
        <v>35</v>
      </c>
      <c r="C2288" s="16">
        <v>46224</v>
      </c>
      <c r="D2288">
        <v>13745.850000000002</v>
      </c>
    </row>
    <row r="2289" spans="1:4" x14ac:dyDescent="0.3">
      <c r="A2289" t="s">
        <v>193</v>
      </c>
      <c r="C2289" s="16">
        <v>46224</v>
      </c>
      <c r="D2289">
        <v>0</v>
      </c>
    </row>
    <row r="2290" spans="1:4" x14ac:dyDescent="0.3">
      <c r="A2290" t="s">
        <v>194</v>
      </c>
      <c r="C2290" s="16">
        <v>46224</v>
      </c>
      <c r="D2290">
        <v>0</v>
      </c>
    </row>
    <row r="2291" spans="1:4" x14ac:dyDescent="0.3">
      <c r="A2291" t="s">
        <v>195</v>
      </c>
      <c r="C2291" s="16">
        <v>46224</v>
      </c>
      <c r="D2291">
        <v>0</v>
      </c>
    </row>
    <row r="2292" spans="1:4" x14ac:dyDescent="0.3">
      <c r="A2292" t="s">
        <v>196</v>
      </c>
      <c r="C2292" s="16">
        <v>46224</v>
      </c>
      <c r="D2292">
        <v>0</v>
      </c>
    </row>
    <row r="2293" spans="1:4" x14ac:dyDescent="0.3">
      <c r="A2293" t="s">
        <v>197</v>
      </c>
      <c r="C2293" s="16">
        <v>46224</v>
      </c>
      <c r="D2293">
        <v>0</v>
      </c>
    </row>
    <row r="2294" spans="1:4" x14ac:dyDescent="0.3">
      <c r="A2294" t="s">
        <v>198</v>
      </c>
      <c r="C2294" s="16">
        <v>46224</v>
      </c>
      <c r="D2294">
        <v>0</v>
      </c>
    </row>
    <row r="2295" spans="1:4" x14ac:dyDescent="0.3">
      <c r="A2295" t="s">
        <v>216</v>
      </c>
      <c r="C2295" s="16">
        <v>46224</v>
      </c>
      <c r="D2295">
        <v>0</v>
      </c>
    </row>
    <row r="2296" spans="1:4" x14ac:dyDescent="0.3">
      <c r="A2296" t="s">
        <v>200</v>
      </c>
      <c r="C2296" s="16">
        <v>46224</v>
      </c>
      <c r="D2296">
        <v>0</v>
      </c>
    </row>
    <row r="2297" spans="1:4" x14ac:dyDescent="0.3">
      <c r="A2297" t="s">
        <v>201</v>
      </c>
      <c r="C2297" s="16">
        <v>46224</v>
      </c>
      <c r="D2297">
        <v>0</v>
      </c>
    </row>
    <row r="2298" spans="1:4" x14ac:dyDescent="0.3">
      <c r="A2298" t="s">
        <v>17</v>
      </c>
      <c r="C2298" s="16">
        <v>46225</v>
      </c>
      <c r="D2298">
        <v>2255755.7400000007</v>
      </c>
    </row>
    <row r="2299" spans="1:4" x14ac:dyDescent="0.3">
      <c r="A2299" t="s">
        <v>18</v>
      </c>
      <c r="C2299" s="16">
        <v>46225</v>
      </c>
      <c r="D2299">
        <v>73157.680000000168</v>
      </c>
    </row>
    <row r="2300" spans="1:4" x14ac:dyDescent="0.3">
      <c r="A2300" t="s">
        <v>19</v>
      </c>
      <c r="C2300" s="16">
        <v>46225</v>
      </c>
      <c r="D2300">
        <v>1669.89</v>
      </c>
    </row>
    <row r="2301" spans="1:4" x14ac:dyDescent="0.3">
      <c r="A2301" t="s">
        <v>20</v>
      </c>
      <c r="C2301" s="16">
        <v>46225</v>
      </c>
      <c r="D2301">
        <v>1002754.9899999998</v>
      </c>
    </row>
    <row r="2302" spans="1:4" x14ac:dyDescent="0.3">
      <c r="A2302" t="s">
        <v>21</v>
      </c>
      <c r="C2302" s="16">
        <v>46225</v>
      </c>
      <c r="D2302">
        <v>2022877.8699999996</v>
      </c>
    </row>
    <row r="2303" spans="1:4" x14ac:dyDescent="0.3">
      <c r="A2303" t="s">
        <v>22</v>
      </c>
      <c r="C2303" s="16">
        <v>46225</v>
      </c>
      <c r="D2303">
        <v>200496.38</v>
      </c>
    </row>
    <row r="2304" spans="1:4" x14ac:dyDescent="0.3">
      <c r="A2304" t="s">
        <v>23</v>
      </c>
      <c r="C2304" s="16">
        <v>46225</v>
      </c>
      <c r="D2304">
        <v>88090.37</v>
      </c>
    </row>
    <row r="2305" spans="1:4" x14ac:dyDescent="0.3">
      <c r="A2305" t="s">
        <v>24</v>
      </c>
      <c r="C2305" s="16">
        <v>46225</v>
      </c>
      <c r="D2305">
        <v>14580.45</v>
      </c>
    </row>
    <row r="2306" spans="1:4" x14ac:dyDescent="0.3">
      <c r="A2306" t="s">
        <v>25</v>
      </c>
      <c r="C2306" s="16">
        <v>46225</v>
      </c>
      <c r="D2306">
        <v>54.400000000000006</v>
      </c>
    </row>
    <row r="2307" spans="1:4" x14ac:dyDescent="0.3">
      <c r="A2307" t="s">
        <v>26</v>
      </c>
      <c r="C2307" s="16">
        <v>46225</v>
      </c>
      <c r="D2307">
        <v>2207.8200000000002</v>
      </c>
    </row>
    <row r="2308" spans="1:4" x14ac:dyDescent="0.3">
      <c r="A2308" t="s">
        <v>27</v>
      </c>
      <c r="C2308" s="16">
        <v>46225</v>
      </c>
      <c r="D2308">
        <v>1454589.72</v>
      </c>
    </row>
    <row r="2309" spans="1:4" x14ac:dyDescent="0.3">
      <c r="A2309" t="s">
        <v>28</v>
      </c>
      <c r="C2309" s="16">
        <v>46225</v>
      </c>
      <c r="D2309">
        <v>1968.99</v>
      </c>
    </row>
    <row r="2310" spans="1:4" x14ac:dyDescent="0.3">
      <c r="A2310" t="s">
        <v>29</v>
      </c>
      <c r="C2310" s="16">
        <v>46225</v>
      </c>
      <c r="D2310">
        <v>901.34</v>
      </c>
    </row>
    <row r="2311" spans="1:4" x14ac:dyDescent="0.3">
      <c r="A2311" t="s">
        <v>30</v>
      </c>
      <c r="C2311" s="16">
        <v>46225</v>
      </c>
      <c r="D2311">
        <v>1412.08</v>
      </c>
    </row>
    <row r="2312" spans="1:4" x14ac:dyDescent="0.3">
      <c r="A2312" t="s">
        <v>31</v>
      </c>
      <c r="C2312" s="16">
        <v>46225</v>
      </c>
      <c r="D2312">
        <v>22347.56999999996</v>
      </c>
    </row>
    <row r="2313" spans="1:4" x14ac:dyDescent="0.3">
      <c r="A2313" t="s">
        <v>32</v>
      </c>
      <c r="C2313" s="16">
        <v>46225</v>
      </c>
      <c r="D2313">
        <v>3522.8000000000029</v>
      </c>
    </row>
    <row r="2314" spans="1:4" x14ac:dyDescent="0.3">
      <c r="A2314" t="s">
        <v>33</v>
      </c>
      <c r="C2314" s="16">
        <v>46225</v>
      </c>
      <c r="D2314">
        <v>28485.559999999998</v>
      </c>
    </row>
    <row r="2315" spans="1:4" x14ac:dyDescent="0.3">
      <c r="A2315" t="s">
        <v>34</v>
      </c>
      <c r="C2315" s="16">
        <v>46225</v>
      </c>
      <c r="D2315">
        <v>345</v>
      </c>
    </row>
    <row r="2316" spans="1:4" x14ac:dyDescent="0.3">
      <c r="A2316" t="s">
        <v>35</v>
      </c>
      <c r="C2316" s="16">
        <v>46225</v>
      </c>
      <c r="D2316">
        <v>10252.290000000003</v>
      </c>
    </row>
    <row r="2317" spans="1:4" x14ac:dyDescent="0.3">
      <c r="A2317" t="s">
        <v>193</v>
      </c>
      <c r="C2317" s="16">
        <v>46225</v>
      </c>
      <c r="D2317">
        <v>0</v>
      </c>
    </row>
    <row r="2318" spans="1:4" x14ac:dyDescent="0.3">
      <c r="A2318" t="s">
        <v>194</v>
      </c>
      <c r="C2318" s="16">
        <v>46225</v>
      </c>
      <c r="D2318">
        <v>0</v>
      </c>
    </row>
    <row r="2319" spans="1:4" x14ac:dyDescent="0.3">
      <c r="A2319" t="s">
        <v>195</v>
      </c>
      <c r="C2319" s="16">
        <v>46225</v>
      </c>
      <c r="D2319">
        <v>0</v>
      </c>
    </row>
    <row r="2320" spans="1:4" x14ac:dyDescent="0.3">
      <c r="A2320" t="s">
        <v>196</v>
      </c>
      <c r="C2320" s="16">
        <v>46225</v>
      </c>
      <c r="D2320">
        <v>0</v>
      </c>
    </row>
    <row r="2321" spans="1:4" x14ac:dyDescent="0.3">
      <c r="A2321" t="s">
        <v>197</v>
      </c>
      <c r="C2321" s="16">
        <v>46225</v>
      </c>
      <c r="D2321">
        <v>0</v>
      </c>
    </row>
    <row r="2322" spans="1:4" x14ac:dyDescent="0.3">
      <c r="A2322" t="s">
        <v>198</v>
      </c>
      <c r="C2322" s="16">
        <v>46225</v>
      </c>
      <c r="D2322">
        <v>0</v>
      </c>
    </row>
    <row r="2323" spans="1:4" x14ac:dyDescent="0.3">
      <c r="A2323" t="s">
        <v>216</v>
      </c>
      <c r="C2323" s="16">
        <v>46225</v>
      </c>
      <c r="D2323">
        <v>0</v>
      </c>
    </row>
    <row r="2324" spans="1:4" x14ac:dyDescent="0.3">
      <c r="A2324" t="s">
        <v>200</v>
      </c>
      <c r="C2324" s="16">
        <v>46225</v>
      </c>
      <c r="D2324">
        <v>0</v>
      </c>
    </row>
    <row r="2325" spans="1:4" x14ac:dyDescent="0.3">
      <c r="A2325" t="s">
        <v>201</v>
      </c>
      <c r="C2325" s="16">
        <v>46225</v>
      </c>
      <c r="D2325">
        <v>0</v>
      </c>
    </row>
    <row r="2326" spans="1:4" x14ac:dyDescent="0.3">
      <c r="A2326" t="s">
        <v>17</v>
      </c>
      <c r="C2326" s="16">
        <v>46226</v>
      </c>
      <c r="D2326">
        <v>2255750.7400000007</v>
      </c>
    </row>
    <row r="2327" spans="1:4" x14ac:dyDescent="0.3">
      <c r="A2327" t="s">
        <v>18</v>
      </c>
      <c r="C2327" s="16">
        <v>46226</v>
      </c>
      <c r="D2327">
        <v>73157.680000000168</v>
      </c>
    </row>
    <row r="2328" spans="1:4" x14ac:dyDescent="0.3">
      <c r="A2328" t="s">
        <v>19</v>
      </c>
      <c r="C2328" s="16">
        <v>46226</v>
      </c>
      <c r="D2328">
        <v>1669.89</v>
      </c>
    </row>
    <row r="2329" spans="1:4" x14ac:dyDescent="0.3">
      <c r="A2329" t="s">
        <v>20</v>
      </c>
      <c r="C2329" s="16">
        <v>46226</v>
      </c>
      <c r="D2329">
        <v>1042744.6899999997</v>
      </c>
    </row>
    <row r="2330" spans="1:4" x14ac:dyDescent="0.3">
      <c r="A2330" t="s">
        <v>21</v>
      </c>
      <c r="C2330" s="16">
        <v>46226</v>
      </c>
      <c r="D2330">
        <v>2022877.8699999996</v>
      </c>
    </row>
    <row r="2331" spans="1:4" x14ac:dyDescent="0.3">
      <c r="A2331" t="s">
        <v>22</v>
      </c>
      <c r="C2331" s="16">
        <v>46226</v>
      </c>
      <c r="D2331">
        <v>200496.38</v>
      </c>
    </row>
    <row r="2332" spans="1:4" x14ac:dyDescent="0.3">
      <c r="A2332" t="s">
        <v>23</v>
      </c>
      <c r="C2332" s="16">
        <v>46226</v>
      </c>
      <c r="D2332">
        <v>88090.37</v>
      </c>
    </row>
    <row r="2333" spans="1:4" x14ac:dyDescent="0.3">
      <c r="A2333" t="s">
        <v>24</v>
      </c>
      <c r="C2333" s="16">
        <v>46226</v>
      </c>
      <c r="D2333">
        <v>14580.45</v>
      </c>
    </row>
    <row r="2334" spans="1:4" x14ac:dyDescent="0.3">
      <c r="A2334" t="s">
        <v>25</v>
      </c>
      <c r="C2334" s="16">
        <v>46226</v>
      </c>
      <c r="D2334">
        <v>54.400000000000006</v>
      </c>
    </row>
    <row r="2335" spans="1:4" x14ac:dyDescent="0.3">
      <c r="A2335" t="s">
        <v>26</v>
      </c>
      <c r="C2335" s="16">
        <v>46226</v>
      </c>
      <c r="D2335">
        <v>2207.8200000000002</v>
      </c>
    </row>
    <row r="2336" spans="1:4" x14ac:dyDescent="0.3">
      <c r="A2336" t="s">
        <v>27</v>
      </c>
      <c r="C2336" s="16">
        <v>46226</v>
      </c>
      <c r="D2336">
        <v>1454589.72</v>
      </c>
    </row>
    <row r="2337" spans="1:4" x14ac:dyDescent="0.3">
      <c r="A2337" t="s">
        <v>28</v>
      </c>
      <c r="C2337" s="16">
        <v>46226</v>
      </c>
      <c r="D2337">
        <v>1968.99</v>
      </c>
    </row>
    <row r="2338" spans="1:4" x14ac:dyDescent="0.3">
      <c r="A2338" t="s">
        <v>29</v>
      </c>
      <c r="C2338" s="16">
        <v>46226</v>
      </c>
      <c r="D2338">
        <v>901.34</v>
      </c>
    </row>
    <row r="2339" spans="1:4" x14ac:dyDescent="0.3">
      <c r="A2339" t="s">
        <v>30</v>
      </c>
      <c r="C2339" s="16">
        <v>46226</v>
      </c>
      <c r="D2339">
        <v>1412.08</v>
      </c>
    </row>
    <row r="2340" spans="1:4" x14ac:dyDescent="0.3">
      <c r="A2340" t="s">
        <v>31</v>
      </c>
      <c r="C2340" s="16">
        <v>46226</v>
      </c>
      <c r="D2340">
        <v>22347.56999999996</v>
      </c>
    </row>
    <row r="2341" spans="1:4" x14ac:dyDescent="0.3">
      <c r="A2341" t="s">
        <v>32</v>
      </c>
      <c r="C2341" s="16">
        <v>46226</v>
      </c>
      <c r="D2341">
        <v>18522.800000000003</v>
      </c>
    </row>
    <row r="2342" spans="1:4" x14ac:dyDescent="0.3">
      <c r="A2342" t="s">
        <v>33</v>
      </c>
      <c r="C2342" s="16">
        <v>46226</v>
      </c>
      <c r="D2342">
        <v>28485.559999999998</v>
      </c>
    </row>
    <row r="2343" spans="1:4" x14ac:dyDescent="0.3">
      <c r="A2343" t="s">
        <v>34</v>
      </c>
      <c r="C2343" s="16">
        <v>46226</v>
      </c>
      <c r="D2343">
        <v>345</v>
      </c>
    </row>
    <row r="2344" spans="1:4" x14ac:dyDescent="0.3">
      <c r="A2344" t="s">
        <v>35</v>
      </c>
      <c r="C2344" s="16">
        <v>46226</v>
      </c>
      <c r="D2344">
        <v>9958.7100000000028</v>
      </c>
    </row>
    <row r="2345" spans="1:4" x14ac:dyDescent="0.3">
      <c r="A2345" t="s">
        <v>193</v>
      </c>
      <c r="C2345" s="16">
        <v>46226</v>
      </c>
      <c r="D2345">
        <v>0</v>
      </c>
    </row>
    <row r="2346" spans="1:4" x14ac:dyDescent="0.3">
      <c r="A2346" t="s">
        <v>194</v>
      </c>
      <c r="C2346" s="16">
        <v>46226</v>
      </c>
      <c r="D2346">
        <v>0</v>
      </c>
    </row>
    <row r="2347" spans="1:4" x14ac:dyDescent="0.3">
      <c r="A2347" t="s">
        <v>195</v>
      </c>
      <c r="C2347" s="16">
        <v>46226</v>
      </c>
      <c r="D2347">
        <v>0</v>
      </c>
    </row>
    <row r="2348" spans="1:4" x14ac:dyDescent="0.3">
      <c r="A2348" t="s">
        <v>196</v>
      </c>
      <c r="C2348" s="16">
        <v>46226</v>
      </c>
      <c r="D2348">
        <v>0</v>
      </c>
    </row>
    <row r="2349" spans="1:4" x14ac:dyDescent="0.3">
      <c r="A2349" t="s">
        <v>197</v>
      </c>
      <c r="C2349" s="16">
        <v>46226</v>
      </c>
      <c r="D2349">
        <v>0</v>
      </c>
    </row>
    <row r="2350" spans="1:4" x14ac:dyDescent="0.3">
      <c r="A2350" t="s">
        <v>198</v>
      </c>
      <c r="C2350" s="16">
        <v>46226</v>
      </c>
      <c r="D2350">
        <v>0</v>
      </c>
    </row>
    <row r="2351" spans="1:4" x14ac:dyDescent="0.3">
      <c r="A2351" t="s">
        <v>216</v>
      </c>
      <c r="C2351" s="16">
        <v>46226</v>
      </c>
      <c r="D2351">
        <v>0</v>
      </c>
    </row>
    <row r="2352" spans="1:4" x14ac:dyDescent="0.3">
      <c r="A2352" t="s">
        <v>200</v>
      </c>
      <c r="C2352" s="16">
        <v>46226</v>
      </c>
      <c r="D2352">
        <v>0</v>
      </c>
    </row>
    <row r="2353" spans="1:4" x14ac:dyDescent="0.3">
      <c r="A2353" t="s">
        <v>201</v>
      </c>
      <c r="C2353" s="16">
        <v>46226</v>
      </c>
      <c r="D2353">
        <v>0</v>
      </c>
    </row>
    <row r="2354" spans="1:4" x14ac:dyDescent="0.3">
      <c r="A2354" t="s">
        <v>17</v>
      </c>
      <c r="C2354" s="16">
        <v>46227</v>
      </c>
      <c r="D2354">
        <v>2255750.7400000007</v>
      </c>
    </row>
    <row r="2355" spans="1:4" x14ac:dyDescent="0.3">
      <c r="A2355" t="s">
        <v>18</v>
      </c>
      <c r="C2355" s="16">
        <v>46227</v>
      </c>
      <c r="D2355">
        <v>73157.680000000168</v>
      </c>
    </row>
    <row r="2356" spans="1:4" x14ac:dyDescent="0.3">
      <c r="A2356" t="s">
        <v>19</v>
      </c>
      <c r="C2356" s="16">
        <v>46227</v>
      </c>
      <c r="D2356">
        <v>1669.89</v>
      </c>
    </row>
    <row r="2357" spans="1:4" x14ac:dyDescent="0.3">
      <c r="A2357" t="s">
        <v>20</v>
      </c>
      <c r="C2357" s="16">
        <v>46227</v>
      </c>
      <c r="D2357">
        <v>1042744.6899999997</v>
      </c>
    </row>
    <row r="2358" spans="1:4" x14ac:dyDescent="0.3">
      <c r="A2358" t="s">
        <v>21</v>
      </c>
      <c r="C2358" s="16">
        <v>46227</v>
      </c>
      <c r="D2358">
        <v>2022877.8699999996</v>
      </c>
    </row>
    <row r="2359" spans="1:4" x14ac:dyDescent="0.3">
      <c r="A2359" t="s">
        <v>22</v>
      </c>
      <c r="C2359" s="16">
        <v>46227</v>
      </c>
      <c r="D2359">
        <v>200496.38</v>
      </c>
    </row>
    <row r="2360" spans="1:4" x14ac:dyDescent="0.3">
      <c r="A2360" t="s">
        <v>23</v>
      </c>
      <c r="C2360" s="16">
        <v>46227</v>
      </c>
      <c r="D2360">
        <v>88090.37</v>
      </c>
    </row>
    <row r="2361" spans="1:4" x14ac:dyDescent="0.3">
      <c r="A2361" t="s">
        <v>24</v>
      </c>
      <c r="C2361" s="16">
        <v>46227</v>
      </c>
      <c r="D2361">
        <v>14580.45</v>
      </c>
    </row>
    <row r="2362" spans="1:4" x14ac:dyDescent="0.3">
      <c r="A2362" t="s">
        <v>25</v>
      </c>
      <c r="C2362" s="16">
        <v>46227</v>
      </c>
      <c r="D2362">
        <v>54.400000000000006</v>
      </c>
    </row>
    <row r="2363" spans="1:4" x14ac:dyDescent="0.3">
      <c r="A2363" t="s">
        <v>26</v>
      </c>
      <c r="C2363" s="16">
        <v>46227</v>
      </c>
      <c r="D2363">
        <v>2207.8200000000002</v>
      </c>
    </row>
    <row r="2364" spans="1:4" x14ac:dyDescent="0.3">
      <c r="A2364" t="s">
        <v>27</v>
      </c>
      <c r="C2364" s="16">
        <v>46227</v>
      </c>
      <c r="D2364">
        <v>1454589.72</v>
      </c>
    </row>
    <row r="2365" spans="1:4" x14ac:dyDescent="0.3">
      <c r="A2365" t="s">
        <v>28</v>
      </c>
      <c r="C2365" s="16">
        <v>46227</v>
      </c>
      <c r="D2365">
        <v>1968.99</v>
      </c>
    </row>
    <row r="2366" spans="1:4" x14ac:dyDescent="0.3">
      <c r="A2366" t="s">
        <v>29</v>
      </c>
      <c r="C2366" s="16">
        <v>46227</v>
      </c>
      <c r="D2366">
        <v>901.34</v>
      </c>
    </row>
    <row r="2367" spans="1:4" x14ac:dyDescent="0.3">
      <c r="A2367" t="s">
        <v>30</v>
      </c>
      <c r="C2367" s="16">
        <v>46227</v>
      </c>
      <c r="D2367">
        <v>1412.08</v>
      </c>
    </row>
    <row r="2368" spans="1:4" x14ac:dyDescent="0.3">
      <c r="A2368" t="s">
        <v>31</v>
      </c>
      <c r="C2368" s="16">
        <v>46227</v>
      </c>
      <c r="D2368">
        <v>22347.56999999996</v>
      </c>
    </row>
    <row r="2369" spans="1:4" x14ac:dyDescent="0.3">
      <c r="A2369" t="s">
        <v>32</v>
      </c>
      <c r="C2369" s="16">
        <v>46227</v>
      </c>
      <c r="D2369">
        <v>18522.800000000003</v>
      </c>
    </row>
    <row r="2370" spans="1:4" x14ac:dyDescent="0.3">
      <c r="A2370" t="s">
        <v>33</v>
      </c>
      <c r="C2370" s="16">
        <v>46227</v>
      </c>
      <c r="D2370">
        <v>28485.559999999998</v>
      </c>
    </row>
    <row r="2371" spans="1:4" x14ac:dyDescent="0.3">
      <c r="A2371" t="s">
        <v>34</v>
      </c>
      <c r="C2371" s="16">
        <v>46227</v>
      </c>
      <c r="D2371">
        <v>345</v>
      </c>
    </row>
    <row r="2372" spans="1:4" x14ac:dyDescent="0.3">
      <c r="A2372" t="s">
        <v>35</v>
      </c>
      <c r="C2372" s="16">
        <v>46227</v>
      </c>
      <c r="D2372">
        <v>9557.6300000000028</v>
      </c>
    </row>
    <row r="2373" spans="1:4" x14ac:dyDescent="0.3">
      <c r="A2373" t="s">
        <v>193</v>
      </c>
      <c r="C2373" s="16">
        <v>46227</v>
      </c>
      <c r="D2373">
        <v>0</v>
      </c>
    </row>
    <row r="2374" spans="1:4" x14ac:dyDescent="0.3">
      <c r="A2374" t="s">
        <v>194</v>
      </c>
      <c r="C2374" s="16">
        <v>46227</v>
      </c>
      <c r="D2374">
        <v>0</v>
      </c>
    </row>
    <row r="2375" spans="1:4" x14ac:dyDescent="0.3">
      <c r="A2375" t="s">
        <v>195</v>
      </c>
      <c r="C2375" s="16">
        <v>46227</v>
      </c>
      <c r="D2375">
        <v>0</v>
      </c>
    </row>
    <row r="2376" spans="1:4" x14ac:dyDescent="0.3">
      <c r="A2376" t="s">
        <v>196</v>
      </c>
      <c r="C2376" s="16">
        <v>46227</v>
      </c>
      <c r="D2376">
        <v>0</v>
      </c>
    </row>
    <row r="2377" spans="1:4" x14ac:dyDescent="0.3">
      <c r="A2377" t="s">
        <v>197</v>
      </c>
      <c r="C2377" s="16">
        <v>46227</v>
      </c>
      <c r="D2377">
        <v>0</v>
      </c>
    </row>
    <row r="2378" spans="1:4" x14ac:dyDescent="0.3">
      <c r="A2378" t="s">
        <v>198</v>
      </c>
      <c r="C2378" s="16">
        <v>46227</v>
      </c>
      <c r="D2378">
        <v>0</v>
      </c>
    </row>
    <row r="2379" spans="1:4" x14ac:dyDescent="0.3">
      <c r="A2379" t="s">
        <v>216</v>
      </c>
      <c r="C2379" s="16">
        <v>46227</v>
      </c>
      <c r="D2379">
        <v>0</v>
      </c>
    </row>
    <row r="2380" spans="1:4" x14ac:dyDescent="0.3">
      <c r="A2380" t="s">
        <v>200</v>
      </c>
      <c r="C2380" s="16">
        <v>46227</v>
      </c>
      <c r="D2380">
        <v>0</v>
      </c>
    </row>
    <row r="2381" spans="1:4" x14ac:dyDescent="0.3">
      <c r="A2381" t="s">
        <v>201</v>
      </c>
      <c r="C2381" s="16">
        <v>46227</v>
      </c>
      <c r="D2381">
        <v>0</v>
      </c>
    </row>
    <row r="2382" spans="1:4" x14ac:dyDescent="0.3">
      <c r="A2382" t="s">
        <v>17</v>
      </c>
      <c r="C2382" s="16">
        <v>46228</v>
      </c>
      <c r="D2382">
        <v>2255750.7400000007</v>
      </c>
    </row>
    <row r="2383" spans="1:4" x14ac:dyDescent="0.3">
      <c r="A2383" t="s">
        <v>18</v>
      </c>
      <c r="C2383" s="16">
        <v>46228</v>
      </c>
      <c r="D2383">
        <v>73157.680000000168</v>
      </c>
    </row>
    <row r="2384" spans="1:4" x14ac:dyDescent="0.3">
      <c r="A2384" t="s">
        <v>19</v>
      </c>
      <c r="C2384" s="16">
        <v>46228</v>
      </c>
      <c r="D2384">
        <v>1669.89</v>
      </c>
    </row>
    <row r="2385" spans="1:4" x14ac:dyDescent="0.3">
      <c r="A2385" t="s">
        <v>20</v>
      </c>
      <c r="C2385" s="16">
        <v>46228</v>
      </c>
      <c r="D2385">
        <v>1042744.6899999997</v>
      </c>
    </row>
    <row r="2386" spans="1:4" x14ac:dyDescent="0.3">
      <c r="A2386" t="s">
        <v>21</v>
      </c>
      <c r="C2386" s="16">
        <v>46228</v>
      </c>
      <c r="D2386">
        <v>2022877.8699999996</v>
      </c>
    </row>
    <row r="2387" spans="1:4" x14ac:dyDescent="0.3">
      <c r="A2387" t="s">
        <v>22</v>
      </c>
      <c r="C2387" s="16">
        <v>46228</v>
      </c>
      <c r="D2387">
        <v>200496.38</v>
      </c>
    </row>
    <row r="2388" spans="1:4" x14ac:dyDescent="0.3">
      <c r="A2388" t="s">
        <v>23</v>
      </c>
      <c r="C2388" s="16">
        <v>46228</v>
      </c>
      <c r="D2388">
        <v>88090.37</v>
      </c>
    </row>
    <row r="2389" spans="1:4" x14ac:dyDescent="0.3">
      <c r="A2389" t="s">
        <v>24</v>
      </c>
      <c r="C2389" s="16">
        <v>46228</v>
      </c>
      <c r="D2389">
        <v>14580.45</v>
      </c>
    </row>
    <row r="2390" spans="1:4" x14ac:dyDescent="0.3">
      <c r="A2390" t="s">
        <v>25</v>
      </c>
      <c r="C2390" s="16">
        <v>46228</v>
      </c>
      <c r="D2390">
        <v>54.400000000000006</v>
      </c>
    </row>
    <row r="2391" spans="1:4" x14ac:dyDescent="0.3">
      <c r="A2391" t="s">
        <v>26</v>
      </c>
      <c r="C2391" s="16">
        <v>46228</v>
      </c>
      <c r="D2391">
        <v>2207.8200000000002</v>
      </c>
    </row>
    <row r="2392" spans="1:4" x14ac:dyDescent="0.3">
      <c r="A2392" t="s">
        <v>27</v>
      </c>
      <c r="C2392" s="16">
        <v>46228</v>
      </c>
      <c r="D2392">
        <v>1454589.72</v>
      </c>
    </row>
    <row r="2393" spans="1:4" x14ac:dyDescent="0.3">
      <c r="A2393" t="s">
        <v>28</v>
      </c>
      <c r="C2393" s="16">
        <v>46228</v>
      </c>
      <c r="D2393">
        <v>1968.99</v>
      </c>
    </row>
    <row r="2394" spans="1:4" x14ac:dyDescent="0.3">
      <c r="A2394" t="s">
        <v>29</v>
      </c>
      <c r="C2394" s="16">
        <v>46228</v>
      </c>
      <c r="D2394">
        <v>901.34</v>
      </c>
    </row>
    <row r="2395" spans="1:4" x14ac:dyDescent="0.3">
      <c r="A2395" t="s">
        <v>30</v>
      </c>
      <c r="C2395" s="16">
        <v>46228</v>
      </c>
      <c r="D2395">
        <v>1412.08</v>
      </c>
    </row>
    <row r="2396" spans="1:4" x14ac:dyDescent="0.3">
      <c r="A2396" t="s">
        <v>31</v>
      </c>
      <c r="C2396" s="16">
        <v>46228</v>
      </c>
      <c r="D2396">
        <v>22347.56999999996</v>
      </c>
    </row>
    <row r="2397" spans="1:4" x14ac:dyDescent="0.3">
      <c r="A2397" t="s">
        <v>32</v>
      </c>
      <c r="C2397" s="16">
        <v>46228</v>
      </c>
      <c r="D2397">
        <v>18522.800000000003</v>
      </c>
    </row>
    <row r="2398" spans="1:4" x14ac:dyDescent="0.3">
      <c r="A2398" t="s">
        <v>33</v>
      </c>
      <c r="C2398" s="16">
        <v>46228</v>
      </c>
      <c r="D2398">
        <v>28485.559999999998</v>
      </c>
    </row>
    <row r="2399" spans="1:4" x14ac:dyDescent="0.3">
      <c r="A2399" t="s">
        <v>34</v>
      </c>
      <c r="C2399" s="16">
        <v>46228</v>
      </c>
      <c r="D2399">
        <v>345</v>
      </c>
    </row>
    <row r="2400" spans="1:4" x14ac:dyDescent="0.3">
      <c r="A2400" t="s">
        <v>35</v>
      </c>
      <c r="C2400" s="16">
        <v>46228</v>
      </c>
      <c r="D2400">
        <v>9557.6300000000028</v>
      </c>
    </row>
    <row r="2401" spans="1:4" x14ac:dyDescent="0.3">
      <c r="A2401" t="s">
        <v>193</v>
      </c>
      <c r="C2401" s="16">
        <v>46228</v>
      </c>
      <c r="D2401">
        <v>0</v>
      </c>
    </row>
    <row r="2402" spans="1:4" x14ac:dyDescent="0.3">
      <c r="A2402" t="s">
        <v>194</v>
      </c>
      <c r="C2402" s="16">
        <v>46228</v>
      </c>
      <c r="D2402">
        <v>0</v>
      </c>
    </row>
    <row r="2403" spans="1:4" x14ac:dyDescent="0.3">
      <c r="A2403" t="s">
        <v>195</v>
      </c>
      <c r="C2403" s="16">
        <v>46228</v>
      </c>
      <c r="D2403">
        <v>0</v>
      </c>
    </row>
    <row r="2404" spans="1:4" x14ac:dyDescent="0.3">
      <c r="A2404" t="s">
        <v>196</v>
      </c>
      <c r="C2404" s="16">
        <v>46228</v>
      </c>
      <c r="D2404">
        <v>0</v>
      </c>
    </row>
    <row r="2405" spans="1:4" x14ac:dyDescent="0.3">
      <c r="A2405" t="s">
        <v>197</v>
      </c>
      <c r="C2405" s="16">
        <v>46228</v>
      </c>
      <c r="D2405">
        <v>0</v>
      </c>
    </row>
    <row r="2406" spans="1:4" x14ac:dyDescent="0.3">
      <c r="A2406" t="s">
        <v>198</v>
      </c>
      <c r="C2406" s="16">
        <v>46228</v>
      </c>
      <c r="D2406">
        <v>0</v>
      </c>
    </row>
    <row r="2407" spans="1:4" x14ac:dyDescent="0.3">
      <c r="A2407" t="s">
        <v>216</v>
      </c>
      <c r="C2407" s="16">
        <v>46228</v>
      </c>
      <c r="D2407">
        <v>0</v>
      </c>
    </row>
    <row r="2408" spans="1:4" x14ac:dyDescent="0.3">
      <c r="A2408" t="s">
        <v>200</v>
      </c>
      <c r="C2408" s="16">
        <v>46228</v>
      </c>
      <c r="D2408">
        <v>0</v>
      </c>
    </row>
    <row r="2409" spans="1:4" x14ac:dyDescent="0.3">
      <c r="A2409" t="s">
        <v>201</v>
      </c>
      <c r="C2409" s="16">
        <v>46228</v>
      </c>
      <c r="D2409">
        <v>0</v>
      </c>
    </row>
    <row r="2410" spans="1:4" x14ac:dyDescent="0.3">
      <c r="A2410" t="s">
        <v>17</v>
      </c>
      <c r="C2410" s="16">
        <v>46229</v>
      </c>
      <c r="D2410">
        <v>2255750.7400000007</v>
      </c>
    </row>
    <row r="2411" spans="1:4" x14ac:dyDescent="0.3">
      <c r="A2411" t="s">
        <v>18</v>
      </c>
      <c r="C2411" s="16">
        <v>46229</v>
      </c>
      <c r="D2411">
        <v>73157.680000000168</v>
      </c>
    </row>
    <row r="2412" spans="1:4" x14ac:dyDescent="0.3">
      <c r="A2412" t="s">
        <v>19</v>
      </c>
      <c r="C2412" s="16">
        <v>46229</v>
      </c>
      <c r="D2412">
        <v>1669.89</v>
      </c>
    </row>
    <row r="2413" spans="1:4" x14ac:dyDescent="0.3">
      <c r="A2413" t="s">
        <v>20</v>
      </c>
      <c r="C2413" s="16">
        <v>46229</v>
      </c>
      <c r="D2413">
        <v>1042744.6899999997</v>
      </c>
    </row>
    <row r="2414" spans="1:4" x14ac:dyDescent="0.3">
      <c r="A2414" t="s">
        <v>21</v>
      </c>
      <c r="C2414" s="16">
        <v>46229</v>
      </c>
      <c r="D2414">
        <v>2022877.8699999996</v>
      </c>
    </row>
    <row r="2415" spans="1:4" x14ac:dyDescent="0.3">
      <c r="A2415" t="s">
        <v>22</v>
      </c>
      <c r="C2415" s="16">
        <v>46229</v>
      </c>
      <c r="D2415">
        <v>200496.38</v>
      </c>
    </row>
    <row r="2416" spans="1:4" x14ac:dyDescent="0.3">
      <c r="A2416" t="s">
        <v>23</v>
      </c>
      <c r="C2416" s="16">
        <v>46229</v>
      </c>
      <c r="D2416">
        <v>88090.37</v>
      </c>
    </row>
    <row r="2417" spans="1:4" x14ac:dyDescent="0.3">
      <c r="A2417" t="s">
        <v>24</v>
      </c>
      <c r="C2417" s="16">
        <v>46229</v>
      </c>
      <c r="D2417">
        <v>14580.45</v>
      </c>
    </row>
    <row r="2418" spans="1:4" x14ac:dyDescent="0.3">
      <c r="A2418" t="s">
        <v>25</v>
      </c>
      <c r="C2418" s="16">
        <v>46229</v>
      </c>
      <c r="D2418">
        <v>54.400000000000006</v>
      </c>
    </row>
    <row r="2419" spans="1:4" x14ac:dyDescent="0.3">
      <c r="A2419" t="s">
        <v>26</v>
      </c>
      <c r="C2419" s="16">
        <v>46229</v>
      </c>
      <c r="D2419">
        <v>2207.8200000000002</v>
      </c>
    </row>
    <row r="2420" spans="1:4" x14ac:dyDescent="0.3">
      <c r="A2420" t="s">
        <v>27</v>
      </c>
      <c r="C2420" s="16">
        <v>46229</v>
      </c>
      <c r="D2420">
        <v>1454589.72</v>
      </c>
    </row>
    <row r="2421" spans="1:4" x14ac:dyDescent="0.3">
      <c r="A2421" t="s">
        <v>28</v>
      </c>
      <c r="C2421" s="16">
        <v>46229</v>
      </c>
      <c r="D2421">
        <v>1968.99</v>
      </c>
    </row>
    <row r="2422" spans="1:4" x14ac:dyDescent="0.3">
      <c r="A2422" t="s">
        <v>29</v>
      </c>
      <c r="C2422" s="16">
        <v>46229</v>
      </c>
      <c r="D2422">
        <v>901.34</v>
      </c>
    </row>
    <row r="2423" spans="1:4" x14ac:dyDescent="0.3">
      <c r="A2423" t="s">
        <v>30</v>
      </c>
      <c r="C2423" s="16">
        <v>46229</v>
      </c>
      <c r="D2423">
        <v>1412.08</v>
      </c>
    </row>
    <row r="2424" spans="1:4" x14ac:dyDescent="0.3">
      <c r="A2424" t="s">
        <v>31</v>
      </c>
      <c r="C2424" s="16">
        <v>46229</v>
      </c>
      <c r="D2424">
        <v>22347.56999999996</v>
      </c>
    </row>
    <row r="2425" spans="1:4" x14ac:dyDescent="0.3">
      <c r="A2425" t="s">
        <v>32</v>
      </c>
      <c r="C2425" s="16">
        <v>46229</v>
      </c>
      <c r="D2425">
        <v>18522.800000000003</v>
      </c>
    </row>
    <row r="2426" spans="1:4" x14ac:dyDescent="0.3">
      <c r="A2426" t="s">
        <v>33</v>
      </c>
      <c r="C2426" s="16">
        <v>46229</v>
      </c>
      <c r="D2426">
        <v>28485.559999999998</v>
      </c>
    </row>
    <row r="2427" spans="1:4" x14ac:dyDescent="0.3">
      <c r="A2427" t="s">
        <v>34</v>
      </c>
      <c r="C2427" s="16">
        <v>46229</v>
      </c>
      <c r="D2427">
        <v>345</v>
      </c>
    </row>
    <row r="2428" spans="1:4" x14ac:dyDescent="0.3">
      <c r="A2428" t="s">
        <v>35</v>
      </c>
      <c r="C2428" s="16">
        <v>46229</v>
      </c>
      <c r="D2428">
        <v>9557.6300000000028</v>
      </c>
    </row>
    <row r="2429" spans="1:4" x14ac:dyDescent="0.3">
      <c r="A2429" t="s">
        <v>193</v>
      </c>
      <c r="C2429" s="16">
        <v>46229</v>
      </c>
      <c r="D2429">
        <v>0</v>
      </c>
    </row>
    <row r="2430" spans="1:4" x14ac:dyDescent="0.3">
      <c r="A2430" t="s">
        <v>194</v>
      </c>
      <c r="C2430" s="16">
        <v>46229</v>
      </c>
      <c r="D2430">
        <v>0</v>
      </c>
    </row>
    <row r="2431" spans="1:4" x14ac:dyDescent="0.3">
      <c r="A2431" t="s">
        <v>195</v>
      </c>
      <c r="C2431" s="16">
        <v>46229</v>
      </c>
      <c r="D2431">
        <v>0</v>
      </c>
    </row>
    <row r="2432" spans="1:4" x14ac:dyDescent="0.3">
      <c r="A2432" t="s">
        <v>196</v>
      </c>
      <c r="C2432" s="16">
        <v>46229</v>
      </c>
      <c r="D2432">
        <v>0</v>
      </c>
    </row>
    <row r="2433" spans="1:4" x14ac:dyDescent="0.3">
      <c r="A2433" t="s">
        <v>197</v>
      </c>
      <c r="C2433" s="16">
        <v>46229</v>
      </c>
      <c r="D2433">
        <v>0</v>
      </c>
    </row>
    <row r="2434" spans="1:4" x14ac:dyDescent="0.3">
      <c r="A2434" t="s">
        <v>198</v>
      </c>
      <c r="C2434" s="16">
        <v>46229</v>
      </c>
      <c r="D2434">
        <v>0</v>
      </c>
    </row>
    <row r="2435" spans="1:4" x14ac:dyDescent="0.3">
      <c r="A2435" t="s">
        <v>216</v>
      </c>
      <c r="C2435" s="16">
        <v>46229</v>
      </c>
      <c r="D2435">
        <v>0</v>
      </c>
    </row>
    <row r="2436" spans="1:4" x14ac:dyDescent="0.3">
      <c r="A2436" t="s">
        <v>200</v>
      </c>
      <c r="C2436" s="16">
        <v>46229</v>
      </c>
      <c r="D2436">
        <v>0</v>
      </c>
    </row>
    <row r="2437" spans="1:4" x14ac:dyDescent="0.3">
      <c r="A2437" t="s">
        <v>201</v>
      </c>
      <c r="C2437" s="16">
        <v>46229</v>
      </c>
      <c r="D2437">
        <v>0</v>
      </c>
    </row>
    <row r="2438" spans="1:4" x14ac:dyDescent="0.3">
      <c r="A2438" t="s">
        <v>17</v>
      </c>
      <c r="C2438" s="16">
        <v>46230</v>
      </c>
      <c r="D2438">
        <v>2255750.7400000007</v>
      </c>
    </row>
    <row r="2439" spans="1:4" x14ac:dyDescent="0.3">
      <c r="A2439" t="s">
        <v>18</v>
      </c>
      <c r="C2439" s="16">
        <v>46230</v>
      </c>
      <c r="D2439">
        <v>73157.680000000168</v>
      </c>
    </row>
    <row r="2440" spans="1:4" x14ac:dyDescent="0.3">
      <c r="A2440" t="s">
        <v>19</v>
      </c>
      <c r="C2440" s="16">
        <v>46230</v>
      </c>
      <c r="D2440">
        <v>1669.89</v>
      </c>
    </row>
    <row r="2441" spans="1:4" x14ac:dyDescent="0.3">
      <c r="A2441" t="s">
        <v>20</v>
      </c>
      <c r="C2441" s="16">
        <v>46230</v>
      </c>
      <c r="D2441">
        <v>1392744.6899999997</v>
      </c>
    </row>
    <row r="2442" spans="1:4" x14ac:dyDescent="0.3">
      <c r="A2442" t="s">
        <v>21</v>
      </c>
      <c r="C2442" s="16">
        <v>46230</v>
      </c>
      <c r="D2442">
        <v>2022877.8699999996</v>
      </c>
    </row>
    <row r="2443" spans="1:4" x14ac:dyDescent="0.3">
      <c r="A2443" t="s">
        <v>22</v>
      </c>
      <c r="C2443" s="16">
        <v>46230</v>
      </c>
      <c r="D2443">
        <v>190496.38</v>
      </c>
    </row>
    <row r="2444" spans="1:4" x14ac:dyDescent="0.3">
      <c r="A2444" t="s">
        <v>23</v>
      </c>
      <c r="C2444" s="16">
        <v>46230</v>
      </c>
      <c r="D2444">
        <v>88090.37</v>
      </c>
    </row>
    <row r="2445" spans="1:4" x14ac:dyDescent="0.3">
      <c r="A2445" t="s">
        <v>24</v>
      </c>
      <c r="C2445" s="16">
        <v>46230</v>
      </c>
      <c r="D2445">
        <v>14580.45</v>
      </c>
    </row>
    <row r="2446" spans="1:4" x14ac:dyDescent="0.3">
      <c r="A2446" t="s">
        <v>25</v>
      </c>
      <c r="C2446" s="16">
        <v>46230</v>
      </c>
      <c r="D2446">
        <v>54.400000000000006</v>
      </c>
    </row>
    <row r="2447" spans="1:4" x14ac:dyDescent="0.3">
      <c r="A2447" t="s">
        <v>26</v>
      </c>
      <c r="C2447" s="16">
        <v>46230</v>
      </c>
      <c r="D2447">
        <v>2207.8200000000002</v>
      </c>
    </row>
    <row r="2448" spans="1:4" x14ac:dyDescent="0.3">
      <c r="A2448" t="s">
        <v>27</v>
      </c>
      <c r="C2448" s="16">
        <v>46230</v>
      </c>
      <c r="D2448">
        <v>1454589.72</v>
      </c>
    </row>
    <row r="2449" spans="1:4" x14ac:dyDescent="0.3">
      <c r="A2449" t="s">
        <v>28</v>
      </c>
      <c r="C2449" s="16">
        <v>46230</v>
      </c>
      <c r="D2449">
        <v>1968.99</v>
      </c>
    </row>
    <row r="2450" spans="1:4" x14ac:dyDescent="0.3">
      <c r="A2450" t="s">
        <v>29</v>
      </c>
      <c r="C2450" s="16">
        <v>46230</v>
      </c>
      <c r="D2450">
        <v>901.34</v>
      </c>
    </row>
    <row r="2451" spans="1:4" x14ac:dyDescent="0.3">
      <c r="A2451" t="s">
        <v>30</v>
      </c>
      <c r="C2451" s="16">
        <v>46230</v>
      </c>
      <c r="D2451">
        <v>1412.08</v>
      </c>
    </row>
    <row r="2452" spans="1:4" x14ac:dyDescent="0.3">
      <c r="A2452" t="s">
        <v>31</v>
      </c>
      <c r="C2452" s="16">
        <v>46230</v>
      </c>
      <c r="D2452">
        <v>22347.56999999996</v>
      </c>
    </row>
    <row r="2453" spans="1:4" x14ac:dyDescent="0.3">
      <c r="A2453" t="s">
        <v>32</v>
      </c>
      <c r="C2453" s="16">
        <v>46230</v>
      </c>
      <c r="D2453">
        <v>18522.800000000003</v>
      </c>
    </row>
    <row r="2454" spans="1:4" x14ac:dyDescent="0.3">
      <c r="A2454" t="s">
        <v>33</v>
      </c>
      <c r="C2454" s="16">
        <v>46230</v>
      </c>
      <c r="D2454">
        <v>28485.559999999998</v>
      </c>
    </row>
    <row r="2455" spans="1:4" x14ac:dyDescent="0.3">
      <c r="A2455" t="s">
        <v>34</v>
      </c>
      <c r="C2455" s="16">
        <v>46230</v>
      </c>
      <c r="D2455">
        <v>345</v>
      </c>
    </row>
    <row r="2456" spans="1:4" x14ac:dyDescent="0.3">
      <c r="A2456" t="s">
        <v>35</v>
      </c>
      <c r="C2456" s="16">
        <v>46230</v>
      </c>
      <c r="D2456">
        <v>15418.180000000004</v>
      </c>
    </row>
    <row r="2457" spans="1:4" x14ac:dyDescent="0.3">
      <c r="A2457" t="s">
        <v>193</v>
      </c>
      <c r="C2457" s="16">
        <v>46230</v>
      </c>
      <c r="D2457">
        <v>0</v>
      </c>
    </row>
    <row r="2458" spans="1:4" x14ac:dyDescent="0.3">
      <c r="A2458" t="s">
        <v>194</v>
      </c>
      <c r="C2458" s="16">
        <v>46230</v>
      </c>
      <c r="D2458">
        <v>0</v>
      </c>
    </row>
    <row r="2459" spans="1:4" x14ac:dyDescent="0.3">
      <c r="A2459" t="s">
        <v>195</v>
      </c>
      <c r="C2459" s="16">
        <v>46230</v>
      </c>
      <c r="D2459">
        <v>0</v>
      </c>
    </row>
    <row r="2460" spans="1:4" x14ac:dyDescent="0.3">
      <c r="A2460" t="s">
        <v>196</v>
      </c>
      <c r="C2460" s="16">
        <v>46230</v>
      </c>
      <c r="D2460">
        <v>0</v>
      </c>
    </row>
    <row r="2461" spans="1:4" x14ac:dyDescent="0.3">
      <c r="A2461" t="s">
        <v>197</v>
      </c>
      <c r="C2461" s="16">
        <v>46230</v>
      </c>
      <c r="D2461">
        <v>0</v>
      </c>
    </row>
    <row r="2462" spans="1:4" x14ac:dyDescent="0.3">
      <c r="A2462" t="s">
        <v>198</v>
      </c>
      <c r="C2462" s="16">
        <v>46230</v>
      </c>
      <c r="D2462">
        <v>0</v>
      </c>
    </row>
    <row r="2463" spans="1:4" x14ac:dyDescent="0.3">
      <c r="A2463" t="s">
        <v>216</v>
      </c>
      <c r="C2463" s="16">
        <v>46230</v>
      </c>
      <c r="D2463">
        <v>0</v>
      </c>
    </row>
    <row r="2464" spans="1:4" x14ac:dyDescent="0.3">
      <c r="A2464" t="s">
        <v>200</v>
      </c>
      <c r="C2464" s="16">
        <v>46230</v>
      </c>
      <c r="D2464">
        <v>0</v>
      </c>
    </row>
    <row r="2465" spans="1:4" x14ac:dyDescent="0.3">
      <c r="A2465" t="s">
        <v>201</v>
      </c>
      <c r="C2465" s="16">
        <v>46230</v>
      </c>
      <c r="D2465">
        <v>0</v>
      </c>
    </row>
    <row r="2466" spans="1:4" x14ac:dyDescent="0.3">
      <c r="A2466" t="s">
        <v>17</v>
      </c>
      <c r="C2466" s="16">
        <v>46231</v>
      </c>
      <c r="D2466">
        <v>2255750.7400000007</v>
      </c>
    </row>
    <row r="2467" spans="1:4" x14ac:dyDescent="0.3">
      <c r="A2467" t="s">
        <v>18</v>
      </c>
      <c r="C2467" s="16">
        <v>46231</v>
      </c>
      <c r="D2467">
        <v>80574.12000000017</v>
      </c>
    </row>
    <row r="2468" spans="1:4" x14ac:dyDescent="0.3">
      <c r="A2468" t="s">
        <v>19</v>
      </c>
      <c r="C2468" s="16">
        <v>46231</v>
      </c>
      <c r="D2468">
        <v>1669.89</v>
      </c>
    </row>
    <row r="2469" spans="1:4" x14ac:dyDescent="0.3">
      <c r="A2469" t="s">
        <v>20</v>
      </c>
      <c r="C2469" s="16">
        <v>46231</v>
      </c>
      <c r="D2469">
        <v>1415636.7399999998</v>
      </c>
    </row>
    <row r="2470" spans="1:4" x14ac:dyDescent="0.3">
      <c r="A2470" t="s">
        <v>21</v>
      </c>
      <c r="C2470" s="16">
        <v>46231</v>
      </c>
      <c r="D2470">
        <v>1857997.0999999996</v>
      </c>
    </row>
    <row r="2471" spans="1:4" x14ac:dyDescent="0.3">
      <c r="A2471" t="s">
        <v>22</v>
      </c>
      <c r="C2471" s="16">
        <v>46231</v>
      </c>
      <c r="D2471">
        <v>190496.38</v>
      </c>
    </row>
    <row r="2472" spans="1:4" x14ac:dyDescent="0.3">
      <c r="A2472" t="s">
        <v>23</v>
      </c>
      <c r="C2472" s="16">
        <v>46231</v>
      </c>
      <c r="D2472">
        <v>88090.37</v>
      </c>
    </row>
    <row r="2473" spans="1:4" x14ac:dyDescent="0.3">
      <c r="A2473" t="s">
        <v>24</v>
      </c>
      <c r="C2473" s="16">
        <v>46231</v>
      </c>
      <c r="D2473">
        <v>14580.45</v>
      </c>
    </row>
    <row r="2474" spans="1:4" x14ac:dyDescent="0.3">
      <c r="A2474" t="s">
        <v>25</v>
      </c>
      <c r="C2474" s="16">
        <v>46231</v>
      </c>
      <c r="D2474">
        <v>54.400000000000006</v>
      </c>
    </row>
    <row r="2475" spans="1:4" x14ac:dyDescent="0.3">
      <c r="A2475" t="s">
        <v>26</v>
      </c>
      <c r="C2475" s="16">
        <v>46231</v>
      </c>
      <c r="D2475">
        <v>2207.8200000000002</v>
      </c>
    </row>
    <row r="2476" spans="1:4" x14ac:dyDescent="0.3">
      <c r="A2476" t="s">
        <v>27</v>
      </c>
      <c r="C2476" s="16">
        <v>46231</v>
      </c>
      <c r="D2476">
        <v>1454589.72</v>
      </c>
    </row>
    <row r="2477" spans="1:4" x14ac:dyDescent="0.3">
      <c r="A2477" t="s">
        <v>28</v>
      </c>
      <c r="C2477" s="16">
        <v>46231</v>
      </c>
      <c r="D2477">
        <v>1968.99</v>
      </c>
    </row>
    <row r="2478" spans="1:4" x14ac:dyDescent="0.3">
      <c r="A2478" t="s">
        <v>29</v>
      </c>
      <c r="C2478" s="16">
        <v>46231</v>
      </c>
      <c r="D2478">
        <v>901.34</v>
      </c>
    </row>
    <row r="2479" spans="1:4" x14ac:dyDescent="0.3">
      <c r="A2479" t="s">
        <v>30</v>
      </c>
      <c r="C2479" s="16">
        <v>46231</v>
      </c>
      <c r="D2479">
        <v>1412.08</v>
      </c>
    </row>
    <row r="2480" spans="1:4" x14ac:dyDescent="0.3">
      <c r="A2480" t="s">
        <v>31</v>
      </c>
      <c r="C2480" s="16">
        <v>46231</v>
      </c>
      <c r="D2480">
        <v>22347.56999999996</v>
      </c>
    </row>
    <row r="2481" spans="1:4" x14ac:dyDescent="0.3">
      <c r="A2481" t="s">
        <v>32</v>
      </c>
      <c r="C2481" s="16">
        <v>46231</v>
      </c>
      <c r="D2481">
        <v>18522.800000000003</v>
      </c>
    </row>
    <row r="2482" spans="1:4" x14ac:dyDescent="0.3">
      <c r="A2482" t="s">
        <v>33</v>
      </c>
      <c r="C2482" s="16">
        <v>46231</v>
      </c>
      <c r="D2482">
        <v>28485.559999999998</v>
      </c>
    </row>
    <row r="2483" spans="1:4" x14ac:dyDescent="0.3">
      <c r="A2483" t="s">
        <v>34</v>
      </c>
      <c r="C2483" s="16">
        <v>46231</v>
      </c>
      <c r="D2483">
        <v>345</v>
      </c>
    </row>
    <row r="2484" spans="1:4" x14ac:dyDescent="0.3">
      <c r="A2484" t="s">
        <v>35</v>
      </c>
      <c r="C2484" s="16">
        <v>46231</v>
      </c>
      <c r="D2484">
        <v>15094.090000000004</v>
      </c>
    </row>
    <row r="2485" spans="1:4" x14ac:dyDescent="0.3">
      <c r="A2485" t="s">
        <v>193</v>
      </c>
      <c r="C2485" s="16">
        <v>46231</v>
      </c>
      <c r="D2485">
        <v>0</v>
      </c>
    </row>
    <row r="2486" spans="1:4" x14ac:dyDescent="0.3">
      <c r="A2486" t="s">
        <v>194</v>
      </c>
      <c r="C2486" s="16">
        <v>46231</v>
      </c>
      <c r="D2486">
        <v>0</v>
      </c>
    </row>
    <row r="2487" spans="1:4" x14ac:dyDescent="0.3">
      <c r="A2487" t="s">
        <v>195</v>
      </c>
      <c r="C2487" s="16">
        <v>46231</v>
      </c>
      <c r="D2487">
        <v>0</v>
      </c>
    </row>
    <row r="2488" spans="1:4" x14ac:dyDescent="0.3">
      <c r="A2488" t="s">
        <v>196</v>
      </c>
      <c r="C2488" s="16">
        <v>46231</v>
      </c>
      <c r="D2488">
        <v>0</v>
      </c>
    </row>
    <row r="2489" spans="1:4" x14ac:dyDescent="0.3">
      <c r="A2489" t="s">
        <v>197</v>
      </c>
      <c r="C2489" s="16">
        <v>46231</v>
      </c>
      <c r="D2489">
        <v>0</v>
      </c>
    </row>
    <row r="2490" spans="1:4" x14ac:dyDescent="0.3">
      <c r="A2490" t="s">
        <v>198</v>
      </c>
      <c r="C2490" s="16">
        <v>46231</v>
      </c>
      <c r="D2490">
        <v>0</v>
      </c>
    </row>
    <row r="2491" spans="1:4" x14ac:dyDescent="0.3">
      <c r="A2491" t="s">
        <v>216</v>
      </c>
      <c r="C2491" s="16">
        <v>46231</v>
      </c>
      <c r="D2491">
        <v>0</v>
      </c>
    </row>
    <row r="2492" spans="1:4" x14ac:dyDescent="0.3">
      <c r="A2492" t="s">
        <v>200</v>
      </c>
      <c r="C2492" s="16">
        <v>46231</v>
      </c>
      <c r="D2492">
        <v>0</v>
      </c>
    </row>
    <row r="2493" spans="1:4" x14ac:dyDescent="0.3">
      <c r="A2493" t="s">
        <v>201</v>
      </c>
      <c r="C2493" s="16">
        <v>46231</v>
      </c>
      <c r="D2493">
        <v>0</v>
      </c>
    </row>
    <row r="2494" spans="1:4" x14ac:dyDescent="0.3">
      <c r="A2494" t="s">
        <v>17</v>
      </c>
      <c r="C2494" s="16">
        <v>46232</v>
      </c>
      <c r="D2494">
        <v>2270539.1300000008</v>
      </c>
    </row>
    <row r="2495" spans="1:4" x14ac:dyDescent="0.3">
      <c r="A2495" t="s">
        <v>18</v>
      </c>
      <c r="C2495" s="16">
        <v>46232</v>
      </c>
      <c r="D2495">
        <v>83211.250000000175</v>
      </c>
    </row>
    <row r="2496" spans="1:4" x14ac:dyDescent="0.3">
      <c r="A2496" t="s">
        <v>19</v>
      </c>
      <c r="C2496" s="16">
        <v>46232</v>
      </c>
      <c r="D2496">
        <v>1669.89</v>
      </c>
    </row>
    <row r="2497" spans="1:4" x14ac:dyDescent="0.3">
      <c r="A2497" t="s">
        <v>20</v>
      </c>
      <c r="C2497" s="16">
        <v>46232</v>
      </c>
      <c r="D2497">
        <v>1434634.5999999999</v>
      </c>
    </row>
    <row r="2498" spans="1:4" x14ac:dyDescent="0.3">
      <c r="A2498" t="s">
        <v>21</v>
      </c>
      <c r="C2498" s="16">
        <v>46232</v>
      </c>
      <c r="D2498">
        <v>1857997.0999999996</v>
      </c>
    </row>
    <row r="2499" spans="1:4" x14ac:dyDescent="0.3">
      <c r="A2499" t="s">
        <v>22</v>
      </c>
      <c r="C2499" s="16">
        <v>46232</v>
      </c>
      <c r="D2499">
        <v>190496.38</v>
      </c>
    </row>
    <row r="2500" spans="1:4" x14ac:dyDescent="0.3">
      <c r="A2500" t="s">
        <v>23</v>
      </c>
      <c r="C2500" s="16">
        <v>46232</v>
      </c>
      <c r="D2500">
        <v>88090.37</v>
      </c>
    </row>
    <row r="2501" spans="1:4" x14ac:dyDescent="0.3">
      <c r="A2501" t="s">
        <v>24</v>
      </c>
      <c r="C2501" s="16">
        <v>46232</v>
      </c>
      <c r="D2501">
        <v>14580.45</v>
      </c>
    </row>
    <row r="2502" spans="1:4" x14ac:dyDescent="0.3">
      <c r="A2502" t="s">
        <v>25</v>
      </c>
      <c r="C2502" s="16">
        <v>46232</v>
      </c>
      <c r="D2502">
        <v>54.400000000000006</v>
      </c>
    </row>
    <row r="2503" spans="1:4" x14ac:dyDescent="0.3">
      <c r="A2503" t="s">
        <v>26</v>
      </c>
      <c r="C2503" s="16">
        <v>46232</v>
      </c>
      <c r="D2503">
        <v>2207.8200000000002</v>
      </c>
    </row>
    <row r="2504" spans="1:4" x14ac:dyDescent="0.3">
      <c r="A2504" t="s">
        <v>27</v>
      </c>
      <c r="C2504" s="16">
        <v>46232</v>
      </c>
      <c r="D2504">
        <v>1454589.72</v>
      </c>
    </row>
    <row r="2505" spans="1:4" x14ac:dyDescent="0.3">
      <c r="A2505" t="s">
        <v>28</v>
      </c>
      <c r="C2505" s="16">
        <v>46232</v>
      </c>
      <c r="D2505">
        <v>1968.99</v>
      </c>
    </row>
    <row r="2506" spans="1:4" x14ac:dyDescent="0.3">
      <c r="A2506" t="s">
        <v>29</v>
      </c>
      <c r="C2506" s="16">
        <v>46232</v>
      </c>
      <c r="D2506">
        <v>901.34</v>
      </c>
    </row>
    <row r="2507" spans="1:4" x14ac:dyDescent="0.3">
      <c r="A2507" t="s">
        <v>30</v>
      </c>
      <c r="C2507" s="16">
        <v>46232</v>
      </c>
      <c r="D2507">
        <v>1412.08</v>
      </c>
    </row>
    <row r="2508" spans="1:4" x14ac:dyDescent="0.3">
      <c r="A2508" t="s">
        <v>31</v>
      </c>
      <c r="C2508" s="16">
        <v>46232</v>
      </c>
      <c r="D2508">
        <v>22347.56999999996</v>
      </c>
    </row>
    <row r="2509" spans="1:4" x14ac:dyDescent="0.3">
      <c r="A2509" t="s">
        <v>32</v>
      </c>
      <c r="C2509" s="16">
        <v>46232</v>
      </c>
      <c r="D2509">
        <v>18522.800000000003</v>
      </c>
    </row>
    <row r="2510" spans="1:4" x14ac:dyDescent="0.3">
      <c r="A2510" t="s">
        <v>33</v>
      </c>
      <c r="C2510" s="16">
        <v>46232</v>
      </c>
      <c r="D2510">
        <v>28485.559999999998</v>
      </c>
    </row>
    <row r="2511" spans="1:4" x14ac:dyDescent="0.3">
      <c r="A2511" t="s">
        <v>34</v>
      </c>
      <c r="C2511" s="16">
        <v>46232</v>
      </c>
      <c r="D2511">
        <v>345</v>
      </c>
    </row>
    <row r="2512" spans="1:4" x14ac:dyDescent="0.3">
      <c r="A2512" t="s">
        <v>35</v>
      </c>
      <c r="C2512" s="16">
        <v>46232</v>
      </c>
      <c r="D2512">
        <v>13469.780000000002</v>
      </c>
    </row>
    <row r="2513" spans="1:4" x14ac:dyDescent="0.3">
      <c r="A2513" t="s">
        <v>193</v>
      </c>
      <c r="C2513" s="16">
        <v>46232</v>
      </c>
      <c r="D2513">
        <v>0</v>
      </c>
    </row>
    <row r="2514" spans="1:4" x14ac:dyDescent="0.3">
      <c r="A2514" t="s">
        <v>194</v>
      </c>
      <c r="C2514" s="16">
        <v>46232</v>
      </c>
      <c r="D2514">
        <v>0</v>
      </c>
    </row>
    <row r="2515" spans="1:4" x14ac:dyDescent="0.3">
      <c r="A2515" t="s">
        <v>195</v>
      </c>
      <c r="C2515" s="16">
        <v>46232</v>
      </c>
      <c r="D2515">
        <v>0</v>
      </c>
    </row>
    <row r="2516" spans="1:4" x14ac:dyDescent="0.3">
      <c r="A2516" t="s">
        <v>196</v>
      </c>
      <c r="C2516" s="16">
        <v>46232</v>
      </c>
      <c r="D2516">
        <v>0</v>
      </c>
    </row>
    <row r="2517" spans="1:4" x14ac:dyDescent="0.3">
      <c r="A2517" t="s">
        <v>197</v>
      </c>
      <c r="C2517" s="16">
        <v>46232</v>
      </c>
      <c r="D2517">
        <v>0</v>
      </c>
    </row>
    <row r="2518" spans="1:4" x14ac:dyDescent="0.3">
      <c r="A2518" t="s">
        <v>198</v>
      </c>
      <c r="C2518" s="16">
        <v>46232</v>
      </c>
      <c r="D2518">
        <v>0</v>
      </c>
    </row>
    <row r="2519" spans="1:4" x14ac:dyDescent="0.3">
      <c r="A2519" t="s">
        <v>216</v>
      </c>
      <c r="C2519" s="16">
        <v>46232</v>
      </c>
      <c r="D2519">
        <v>0</v>
      </c>
    </row>
    <row r="2520" spans="1:4" x14ac:dyDescent="0.3">
      <c r="A2520" t="s">
        <v>200</v>
      </c>
      <c r="C2520" s="16">
        <v>46232</v>
      </c>
      <c r="D2520">
        <v>0</v>
      </c>
    </row>
    <row r="2521" spans="1:4" x14ac:dyDescent="0.3">
      <c r="A2521" t="s">
        <v>201</v>
      </c>
      <c r="C2521" s="16">
        <v>46232</v>
      </c>
      <c r="D2521">
        <v>0</v>
      </c>
    </row>
    <row r="2522" spans="1:4" x14ac:dyDescent="0.3">
      <c r="A2522" t="s">
        <v>17</v>
      </c>
      <c r="C2522" s="16">
        <v>46233</v>
      </c>
      <c r="D2522">
        <v>2470350.7000000002</v>
      </c>
    </row>
    <row r="2523" spans="1:4" x14ac:dyDescent="0.3">
      <c r="A2523" t="s">
        <v>18</v>
      </c>
      <c r="C2523" s="16">
        <v>46233</v>
      </c>
      <c r="D2523">
        <v>83211.250000000175</v>
      </c>
    </row>
    <row r="2524" spans="1:4" x14ac:dyDescent="0.3">
      <c r="A2524" t="s">
        <v>19</v>
      </c>
      <c r="C2524" s="16">
        <v>46233</v>
      </c>
      <c r="D2524">
        <v>1669.89</v>
      </c>
    </row>
    <row r="2525" spans="1:4" x14ac:dyDescent="0.3">
      <c r="A2525" t="s">
        <v>20</v>
      </c>
      <c r="C2525" s="16">
        <v>46233</v>
      </c>
      <c r="D2525">
        <v>1458426.0399999998</v>
      </c>
    </row>
    <row r="2526" spans="1:4" x14ac:dyDescent="0.3">
      <c r="A2526" t="s">
        <v>21</v>
      </c>
      <c r="C2526" s="16">
        <v>46233</v>
      </c>
      <c r="D2526">
        <v>1857993.8499999996</v>
      </c>
    </row>
    <row r="2527" spans="1:4" x14ac:dyDescent="0.3">
      <c r="A2527" t="s">
        <v>22</v>
      </c>
      <c r="C2527" s="16">
        <v>46233</v>
      </c>
      <c r="D2527">
        <v>190496.38</v>
      </c>
    </row>
    <row r="2528" spans="1:4" x14ac:dyDescent="0.3">
      <c r="A2528" t="s">
        <v>23</v>
      </c>
      <c r="C2528" s="16">
        <v>46233</v>
      </c>
      <c r="D2528">
        <v>88090.37</v>
      </c>
    </row>
    <row r="2529" spans="1:4" x14ac:dyDescent="0.3">
      <c r="A2529" t="s">
        <v>24</v>
      </c>
      <c r="C2529" s="16">
        <v>46233</v>
      </c>
      <c r="D2529">
        <v>14580.45</v>
      </c>
    </row>
    <row r="2530" spans="1:4" x14ac:dyDescent="0.3">
      <c r="A2530" t="s">
        <v>25</v>
      </c>
      <c r="C2530" s="16">
        <v>46233</v>
      </c>
      <c r="D2530">
        <v>54.400000000000006</v>
      </c>
    </row>
    <row r="2531" spans="1:4" x14ac:dyDescent="0.3">
      <c r="A2531" t="s">
        <v>26</v>
      </c>
      <c r="C2531" s="16">
        <v>46233</v>
      </c>
      <c r="D2531">
        <v>2207.8200000000002</v>
      </c>
    </row>
    <row r="2532" spans="1:4" x14ac:dyDescent="0.3">
      <c r="A2532" t="s">
        <v>27</v>
      </c>
      <c r="C2532" s="16">
        <v>46233</v>
      </c>
      <c r="D2532">
        <v>1454589.72</v>
      </c>
    </row>
    <row r="2533" spans="1:4" x14ac:dyDescent="0.3">
      <c r="A2533" t="s">
        <v>28</v>
      </c>
      <c r="C2533" s="16">
        <v>46233</v>
      </c>
      <c r="D2533">
        <v>1968.99</v>
      </c>
    </row>
    <row r="2534" spans="1:4" x14ac:dyDescent="0.3">
      <c r="A2534" t="s">
        <v>29</v>
      </c>
      <c r="C2534" s="16">
        <v>46233</v>
      </c>
      <c r="D2534">
        <v>901.34</v>
      </c>
    </row>
    <row r="2535" spans="1:4" x14ac:dyDescent="0.3">
      <c r="A2535" t="s">
        <v>30</v>
      </c>
      <c r="C2535" s="16">
        <v>46233</v>
      </c>
      <c r="D2535">
        <v>1412.08</v>
      </c>
    </row>
    <row r="2536" spans="1:4" x14ac:dyDescent="0.3">
      <c r="A2536" t="s">
        <v>31</v>
      </c>
      <c r="C2536" s="16">
        <v>46233</v>
      </c>
      <c r="D2536">
        <v>22347.56999999996</v>
      </c>
    </row>
    <row r="2537" spans="1:4" x14ac:dyDescent="0.3">
      <c r="A2537" t="s">
        <v>32</v>
      </c>
      <c r="C2537" s="16">
        <v>46233</v>
      </c>
      <c r="D2537">
        <v>18522.800000000003</v>
      </c>
    </row>
    <row r="2538" spans="1:4" x14ac:dyDescent="0.3">
      <c r="A2538" t="s">
        <v>33</v>
      </c>
      <c r="C2538" s="16">
        <v>46233</v>
      </c>
      <c r="D2538">
        <v>28485.559999999998</v>
      </c>
    </row>
    <row r="2539" spans="1:4" x14ac:dyDescent="0.3">
      <c r="A2539" t="s">
        <v>34</v>
      </c>
      <c r="C2539" s="16">
        <v>46233</v>
      </c>
      <c r="D2539">
        <v>345</v>
      </c>
    </row>
    <row r="2540" spans="1:4" x14ac:dyDescent="0.3">
      <c r="A2540" t="s">
        <v>35</v>
      </c>
      <c r="C2540" s="16">
        <v>46233</v>
      </c>
      <c r="D2540">
        <v>11634.930000000004</v>
      </c>
    </row>
    <row r="2541" spans="1:4" x14ac:dyDescent="0.3">
      <c r="A2541" t="s">
        <v>193</v>
      </c>
      <c r="C2541" s="16">
        <v>46233</v>
      </c>
      <c r="D2541">
        <v>0</v>
      </c>
    </row>
    <row r="2542" spans="1:4" x14ac:dyDescent="0.3">
      <c r="A2542" t="s">
        <v>194</v>
      </c>
      <c r="C2542" s="16">
        <v>46233</v>
      </c>
      <c r="D2542">
        <v>0</v>
      </c>
    </row>
    <row r="2543" spans="1:4" x14ac:dyDescent="0.3">
      <c r="A2543" t="s">
        <v>195</v>
      </c>
      <c r="C2543" s="16">
        <v>46233</v>
      </c>
      <c r="D2543">
        <v>0</v>
      </c>
    </row>
    <row r="2544" spans="1:4" x14ac:dyDescent="0.3">
      <c r="A2544" t="s">
        <v>196</v>
      </c>
      <c r="C2544" s="16">
        <v>46233</v>
      </c>
      <c r="D2544">
        <v>0</v>
      </c>
    </row>
    <row r="2545" spans="1:4" x14ac:dyDescent="0.3">
      <c r="A2545" t="s">
        <v>197</v>
      </c>
      <c r="C2545" s="16">
        <v>46233</v>
      </c>
      <c r="D2545">
        <v>0</v>
      </c>
    </row>
    <row r="2546" spans="1:4" x14ac:dyDescent="0.3">
      <c r="A2546" t="s">
        <v>198</v>
      </c>
      <c r="C2546" s="16">
        <v>46233</v>
      </c>
      <c r="D2546">
        <v>0</v>
      </c>
    </row>
    <row r="2547" spans="1:4" x14ac:dyDescent="0.3">
      <c r="A2547" t="s">
        <v>216</v>
      </c>
      <c r="C2547" s="16">
        <v>46233</v>
      </c>
      <c r="D2547">
        <v>0</v>
      </c>
    </row>
    <row r="2548" spans="1:4" x14ac:dyDescent="0.3">
      <c r="A2548" t="s">
        <v>200</v>
      </c>
      <c r="C2548" s="16">
        <v>46233</v>
      </c>
      <c r="D2548">
        <v>0</v>
      </c>
    </row>
    <row r="2549" spans="1:4" x14ac:dyDescent="0.3">
      <c r="A2549" t="s">
        <v>201</v>
      </c>
      <c r="C2549" s="16">
        <v>46233</v>
      </c>
      <c r="D2549">
        <v>0</v>
      </c>
    </row>
    <row r="2550" spans="1:4" x14ac:dyDescent="0.3">
      <c r="A2550" t="s">
        <v>17</v>
      </c>
      <c r="C2550" s="16">
        <v>46234</v>
      </c>
      <c r="D2550">
        <v>2468032.08</v>
      </c>
    </row>
    <row r="2551" spans="1:4" x14ac:dyDescent="0.3">
      <c r="A2551" t="s">
        <v>18</v>
      </c>
      <c r="C2551" s="16">
        <v>46234</v>
      </c>
      <c r="D2551">
        <v>83211.250000000175</v>
      </c>
    </row>
    <row r="2552" spans="1:4" x14ac:dyDescent="0.3">
      <c r="A2552" t="s">
        <v>19</v>
      </c>
      <c r="C2552" s="16">
        <v>46234</v>
      </c>
      <c r="D2552">
        <v>1669.89</v>
      </c>
    </row>
    <row r="2553" spans="1:4" x14ac:dyDescent="0.3">
      <c r="A2553" t="s">
        <v>20</v>
      </c>
      <c r="C2553" s="16">
        <v>46234</v>
      </c>
      <c r="D2553">
        <v>1458426.0399999998</v>
      </c>
    </row>
    <row r="2554" spans="1:4" x14ac:dyDescent="0.3">
      <c r="A2554" t="s">
        <v>21</v>
      </c>
      <c r="C2554" s="16">
        <v>46234</v>
      </c>
      <c r="D2554">
        <v>1514477.1199999996</v>
      </c>
    </row>
    <row r="2555" spans="1:4" x14ac:dyDescent="0.3">
      <c r="A2555" t="s">
        <v>22</v>
      </c>
      <c r="C2555" s="16">
        <v>46234</v>
      </c>
      <c r="D2555">
        <v>190496.38</v>
      </c>
    </row>
    <row r="2556" spans="1:4" x14ac:dyDescent="0.3">
      <c r="A2556" t="s">
        <v>23</v>
      </c>
      <c r="C2556" s="16">
        <v>46234</v>
      </c>
      <c r="D2556">
        <v>88090.37</v>
      </c>
    </row>
    <row r="2557" spans="1:4" x14ac:dyDescent="0.3">
      <c r="A2557" t="s">
        <v>24</v>
      </c>
      <c r="C2557" s="16">
        <v>46234</v>
      </c>
      <c r="D2557">
        <v>14580.45</v>
      </c>
    </row>
    <row r="2558" spans="1:4" x14ac:dyDescent="0.3">
      <c r="A2558" t="s">
        <v>25</v>
      </c>
      <c r="C2558" s="16">
        <v>46234</v>
      </c>
      <c r="D2558">
        <v>54.400000000000006</v>
      </c>
    </row>
    <row r="2559" spans="1:4" x14ac:dyDescent="0.3">
      <c r="A2559" t="s">
        <v>26</v>
      </c>
      <c r="C2559" s="16">
        <v>46234</v>
      </c>
      <c r="D2559">
        <v>2207.8200000000002</v>
      </c>
    </row>
    <row r="2560" spans="1:4" x14ac:dyDescent="0.3">
      <c r="A2560" t="s">
        <v>27</v>
      </c>
      <c r="C2560" s="16">
        <v>46234</v>
      </c>
      <c r="D2560">
        <v>1454589.72</v>
      </c>
    </row>
    <row r="2561" spans="1:4" x14ac:dyDescent="0.3">
      <c r="A2561" t="s">
        <v>28</v>
      </c>
      <c r="C2561" s="16">
        <v>46234</v>
      </c>
      <c r="D2561">
        <v>1968.99</v>
      </c>
    </row>
    <row r="2562" spans="1:4" x14ac:dyDescent="0.3">
      <c r="A2562" t="s">
        <v>29</v>
      </c>
      <c r="C2562" s="16">
        <v>46234</v>
      </c>
      <c r="D2562">
        <v>901.34</v>
      </c>
    </row>
    <row r="2563" spans="1:4" x14ac:dyDescent="0.3">
      <c r="A2563" t="s">
        <v>30</v>
      </c>
      <c r="C2563" s="16">
        <v>46234</v>
      </c>
      <c r="D2563">
        <v>1412.08</v>
      </c>
    </row>
    <row r="2564" spans="1:4" x14ac:dyDescent="0.3">
      <c r="A2564" t="s">
        <v>31</v>
      </c>
      <c r="C2564" s="16">
        <v>46234</v>
      </c>
      <c r="D2564">
        <v>22347.56999999996</v>
      </c>
    </row>
    <row r="2565" spans="1:4" x14ac:dyDescent="0.3">
      <c r="A2565" t="s">
        <v>32</v>
      </c>
      <c r="C2565" s="16">
        <v>46234</v>
      </c>
      <c r="D2565">
        <v>18522.800000000003</v>
      </c>
    </row>
    <row r="2566" spans="1:4" x14ac:dyDescent="0.3">
      <c r="A2566" t="s">
        <v>33</v>
      </c>
      <c r="C2566" s="16">
        <v>46234</v>
      </c>
      <c r="D2566">
        <v>28485.559999999998</v>
      </c>
    </row>
    <row r="2567" spans="1:4" x14ac:dyDescent="0.3">
      <c r="A2567" t="s">
        <v>34</v>
      </c>
      <c r="C2567" s="16">
        <v>46234</v>
      </c>
      <c r="D2567">
        <v>345</v>
      </c>
    </row>
    <row r="2568" spans="1:4" x14ac:dyDescent="0.3">
      <c r="A2568" t="s">
        <v>35</v>
      </c>
      <c r="C2568" s="16">
        <v>46234</v>
      </c>
      <c r="D2568">
        <v>11634.930000000004</v>
      </c>
    </row>
    <row r="2569" spans="1:4" x14ac:dyDescent="0.3">
      <c r="A2569" t="s">
        <v>193</v>
      </c>
      <c r="C2569" s="16">
        <v>46234</v>
      </c>
      <c r="D2569">
        <v>0</v>
      </c>
    </row>
    <row r="2570" spans="1:4" x14ac:dyDescent="0.3">
      <c r="A2570" t="s">
        <v>194</v>
      </c>
      <c r="C2570" s="16">
        <v>46234</v>
      </c>
      <c r="D2570">
        <v>0</v>
      </c>
    </row>
    <row r="2571" spans="1:4" x14ac:dyDescent="0.3">
      <c r="A2571" t="s">
        <v>195</v>
      </c>
      <c r="C2571" s="16">
        <v>46234</v>
      </c>
      <c r="D2571">
        <v>0</v>
      </c>
    </row>
    <row r="2572" spans="1:4" x14ac:dyDescent="0.3">
      <c r="A2572" t="s">
        <v>196</v>
      </c>
      <c r="C2572" s="16">
        <v>46234</v>
      </c>
      <c r="D2572">
        <v>0</v>
      </c>
    </row>
    <row r="2573" spans="1:4" x14ac:dyDescent="0.3">
      <c r="A2573" t="s">
        <v>197</v>
      </c>
      <c r="C2573" s="16">
        <v>46234</v>
      </c>
      <c r="D2573">
        <v>0</v>
      </c>
    </row>
    <row r="2574" spans="1:4" x14ac:dyDescent="0.3">
      <c r="A2574" t="s">
        <v>198</v>
      </c>
      <c r="C2574" s="16">
        <v>46234</v>
      </c>
      <c r="D2574">
        <v>0</v>
      </c>
    </row>
    <row r="2575" spans="1:4" x14ac:dyDescent="0.3">
      <c r="A2575" t="s">
        <v>216</v>
      </c>
      <c r="C2575" s="16">
        <v>46234</v>
      </c>
      <c r="D2575">
        <v>0</v>
      </c>
    </row>
    <row r="2576" spans="1:4" x14ac:dyDescent="0.3">
      <c r="A2576" t="s">
        <v>200</v>
      </c>
      <c r="C2576" s="16">
        <v>46234</v>
      </c>
      <c r="D2576">
        <v>0</v>
      </c>
    </row>
    <row r="2577" spans="1:4" x14ac:dyDescent="0.3">
      <c r="A2577" t="s">
        <v>201</v>
      </c>
      <c r="C2577" s="16">
        <v>46234</v>
      </c>
      <c r="D2577">
        <v>0</v>
      </c>
    </row>
    <row r="2578" spans="1:4" x14ac:dyDescent="0.3">
      <c r="A2578" t="s">
        <v>17</v>
      </c>
      <c r="C2578" s="16">
        <v>46235</v>
      </c>
      <c r="D2578">
        <v>2468032.08</v>
      </c>
    </row>
    <row r="2579" spans="1:4" x14ac:dyDescent="0.3">
      <c r="A2579" t="s">
        <v>18</v>
      </c>
      <c r="C2579" s="16">
        <v>46235</v>
      </c>
      <c r="D2579">
        <v>83211.250000000175</v>
      </c>
    </row>
    <row r="2580" spans="1:4" x14ac:dyDescent="0.3">
      <c r="A2580" t="s">
        <v>19</v>
      </c>
      <c r="C2580" s="16">
        <v>46235</v>
      </c>
      <c r="D2580">
        <v>1669.89</v>
      </c>
    </row>
    <row r="2581" spans="1:4" x14ac:dyDescent="0.3">
      <c r="A2581" t="s">
        <v>20</v>
      </c>
      <c r="C2581" s="16">
        <v>46235</v>
      </c>
      <c r="D2581">
        <v>1458426.0399999998</v>
      </c>
    </row>
    <row r="2582" spans="1:4" x14ac:dyDescent="0.3">
      <c r="A2582" t="s">
        <v>21</v>
      </c>
      <c r="C2582" s="16">
        <v>46235</v>
      </c>
      <c r="D2582">
        <v>1514477.1199999996</v>
      </c>
    </row>
    <row r="2583" spans="1:4" x14ac:dyDescent="0.3">
      <c r="A2583" t="s">
        <v>22</v>
      </c>
      <c r="C2583" s="16">
        <v>46235</v>
      </c>
      <c r="D2583">
        <v>190496.38</v>
      </c>
    </row>
    <row r="2584" spans="1:4" x14ac:dyDescent="0.3">
      <c r="A2584" t="s">
        <v>23</v>
      </c>
      <c r="C2584" s="16">
        <v>46235</v>
      </c>
      <c r="D2584">
        <v>88090.37</v>
      </c>
    </row>
    <row r="2585" spans="1:4" x14ac:dyDescent="0.3">
      <c r="A2585" t="s">
        <v>24</v>
      </c>
      <c r="C2585" s="16">
        <v>46235</v>
      </c>
      <c r="D2585">
        <v>14580.45</v>
      </c>
    </row>
    <row r="2586" spans="1:4" x14ac:dyDescent="0.3">
      <c r="A2586" t="s">
        <v>25</v>
      </c>
      <c r="C2586" s="16">
        <v>46235</v>
      </c>
      <c r="D2586">
        <v>54.400000000000006</v>
      </c>
    </row>
    <row r="2587" spans="1:4" x14ac:dyDescent="0.3">
      <c r="A2587" t="s">
        <v>26</v>
      </c>
      <c r="C2587" s="16">
        <v>46235</v>
      </c>
      <c r="D2587">
        <v>2207.8200000000002</v>
      </c>
    </row>
    <row r="2588" spans="1:4" x14ac:dyDescent="0.3">
      <c r="A2588" t="s">
        <v>27</v>
      </c>
      <c r="C2588" s="16">
        <v>46235</v>
      </c>
      <c r="D2588">
        <v>1454589.72</v>
      </c>
    </row>
    <row r="2589" spans="1:4" x14ac:dyDescent="0.3">
      <c r="A2589" t="s">
        <v>28</v>
      </c>
      <c r="C2589" s="16">
        <v>46235</v>
      </c>
      <c r="D2589">
        <v>1968.99</v>
      </c>
    </row>
    <row r="2590" spans="1:4" x14ac:dyDescent="0.3">
      <c r="A2590" t="s">
        <v>29</v>
      </c>
      <c r="C2590" s="16">
        <v>46235</v>
      </c>
      <c r="D2590">
        <v>901.34</v>
      </c>
    </row>
    <row r="2591" spans="1:4" x14ac:dyDescent="0.3">
      <c r="A2591" t="s">
        <v>30</v>
      </c>
      <c r="C2591" s="16">
        <v>46235</v>
      </c>
      <c r="D2591">
        <v>1412.08</v>
      </c>
    </row>
    <row r="2592" spans="1:4" x14ac:dyDescent="0.3">
      <c r="A2592" t="s">
        <v>31</v>
      </c>
      <c r="C2592" s="16">
        <v>46235</v>
      </c>
      <c r="D2592">
        <v>22347.56999999996</v>
      </c>
    </row>
    <row r="2593" spans="1:4" x14ac:dyDescent="0.3">
      <c r="A2593" t="s">
        <v>32</v>
      </c>
      <c r="C2593" s="16">
        <v>46235</v>
      </c>
      <c r="D2593">
        <v>18522.800000000003</v>
      </c>
    </row>
    <row r="2594" spans="1:4" x14ac:dyDescent="0.3">
      <c r="A2594" t="s">
        <v>33</v>
      </c>
      <c r="C2594" s="16">
        <v>46235</v>
      </c>
      <c r="D2594">
        <v>28485.559999999998</v>
      </c>
    </row>
    <row r="2595" spans="1:4" x14ac:dyDescent="0.3">
      <c r="A2595" t="s">
        <v>34</v>
      </c>
      <c r="C2595" s="16">
        <v>46235</v>
      </c>
      <c r="D2595">
        <v>345</v>
      </c>
    </row>
    <row r="2596" spans="1:4" x14ac:dyDescent="0.3">
      <c r="A2596" t="s">
        <v>35</v>
      </c>
      <c r="C2596" s="16">
        <v>46235</v>
      </c>
      <c r="D2596">
        <v>11634.930000000004</v>
      </c>
    </row>
    <row r="2597" spans="1:4" x14ac:dyDescent="0.3">
      <c r="A2597" t="s">
        <v>193</v>
      </c>
      <c r="C2597" s="16">
        <v>46235</v>
      </c>
      <c r="D2597">
        <v>0</v>
      </c>
    </row>
    <row r="2598" spans="1:4" x14ac:dyDescent="0.3">
      <c r="A2598" t="s">
        <v>194</v>
      </c>
      <c r="C2598" s="16">
        <v>46235</v>
      </c>
      <c r="D2598">
        <v>0</v>
      </c>
    </row>
    <row r="2599" spans="1:4" x14ac:dyDescent="0.3">
      <c r="A2599" t="s">
        <v>195</v>
      </c>
      <c r="C2599" s="16">
        <v>46235</v>
      </c>
      <c r="D2599">
        <v>0</v>
      </c>
    </row>
    <row r="2600" spans="1:4" x14ac:dyDescent="0.3">
      <c r="A2600" t="s">
        <v>196</v>
      </c>
      <c r="C2600" s="16">
        <v>46235</v>
      </c>
      <c r="D2600">
        <v>0</v>
      </c>
    </row>
    <row r="2601" spans="1:4" x14ac:dyDescent="0.3">
      <c r="A2601" t="s">
        <v>197</v>
      </c>
      <c r="C2601" s="16">
        <v>46235</v>
      </c>
      <c r="D2601">
        <v>0</v>
      </c>
    </row>
    <row r="2602" spans="1:4" x14ac:dyDescent="0.3">
      <c r="A2602" t="s">
        <v>198</v>
      </c>
      <c r="C2602" s="16">
        <v>46235</v>
      </c>
      <c r="D2602">
        <v>0</v>
      </c>
    </row>
    <row r="2603" spans="1:4" x14ac:dyDescent="0.3">
      <c r="A2603" t="s">
        <v>216</v>
      </c>
      <c r="C2603" s="16">
        <v>46235</v>
      </c>
      <c r="D2603">
        <v>0</v>
      </c>
    </row>
    <row r="2604" spans="1:4" x14ac:dyDescent="0.3">
      <c r="A2604" t="s">
        <v>200</v>
      </c>
      <c r="C2604" s="16">
        <v>46235</v>
      </c>
      <c r="D2604">
        <v>0</v>
      </c>
    </row>
    <row r="2605" spans="1:4" x14ac:dyDescent="0.3">
      <c r="A2605" t="s">
        <v>201</v>
      </c>
      <c r="C2605" s="16">
        <v>46235</v>
      </c>
      <c r="D2605">
        <v>0</v>
      </c>
    </row>
    <row r="2606" spans="1:4" x14ac:dyDescent="0.3">
      <c r="A2606" t="s">
        <v>17</v>
      </c>
      <c r="C2606" s="16">
        <v>46236</v>
      </c>
      <c r="D2606">
        <v>2468032.08</v>
      </c>
    </row>
    <row r="2607" spans="1:4" x14ac:dyDescent="0.3">
      <c r="A2607" t="s">
        <v>18</v>
      </c>
      <c r="C2607" s="16">
        <v>46236</v>
      </c>
      <c r="D2607">
        <v>83211.250000000175</v>
      </c>
    </row>
    <row r="2608" spans="1:4" x14ac:dyDescent="0.3">
      <c r="A2608" t="s">
        <v>19</v>
      </c>
      <c r="C2608" s="16">
        <v>46236</v>
      </c>
      <c r="D2608">
        <v>1669.89</v>
      </c>
    </row>
    <row r="2609" spans="1:4" x14ac:dyDescent="0.3">
      <c r="A2609" t="s">
        <v>20</v>
      </c>
      <c r="C2609" s="16">
        <v>46236</v>
      </c>
      <c r="D2609">
        <v>1458426.0399999998</v>
      </c>
    </row>
    <row r="2610" spans="1:4" x14ac:dyDescent="0.3">
      <c r="A2610" t="s">
        <v>21</v>
      </c>
      <c r="C2610" s="16">
        <v>46236</v>
      </c>
      <c r="D2610">
        <v>1514477.1199999996</v>
      </c>
    </row>
    <row r="2611" spans="1:4" x14ac:dyDescent="0.3">
      <c r="A2611" t="s">
        <v>22</v>
      </c>
      <c r="C2611" s="16">
        <v>46236</v>
      </c>
      <c r="D2611">
        <v>190496.38</v>
      </c>
    </row>
    <row r="2612" spans="1:4" x14ac:dyDescent="0.3">
      <c r="A2612" t="s">
        <v>23</v>
      </c>
      <c r="C2612" s="16">
        <v>46236</v>
      </c>
      <c r="D2612">
        <v>88090.37</v>
      </c>
    </row>
    <row r="2613" spans="1:4" x14ac:dyDescent="0.3">
      <c r="A2613" t="s">
        <v>24</v>
      </c>
      <c r="C2613" s="16">
        <v>46236</v>
      </c>
      <c r="D2613">
        <v>14580.45</v>
      </c>
    </row>
    <row r="2614" spans="1:4" x14ac:dyDescent="0.3">
      <c r="A2614" t="s">
        <v>25</v>
      </c>
      <c r="C2614" s="16">
        <v>46236</v>
      </c>
      <c r="D2614">
        <v>54.400000000000006</v>
      </c>
    </row>
    <row r="2615" spans="1:4" x14ac:dyDescent="0.3">
      <c r="A2615" t="s">
        <v>26</v>
      </c>
      <c r="C2615" s="16">
        <v>46236</v>
      </c>
      <c r="D2615">
        <v>2207.8200000000002</v>
      </c>
    </row>
    <row r="2616" spans="1:4" x14ac:dyDescent="0.3">
      <c r="A2616" t="s">
        <v>27</v>
      </c>
      <c r="C2616" s="16">
        <v>46236</v>
      </c>
      <c r="D2616">
        <v>1454589.72</v>
      </c>
    </row>
    <row r="2617" spans="1:4" x14ac:dyDescent="0.3">
      <c r="A2617" t="s">
        <v>28</v>
      </c>
      <c r="C2617" s="16">
        <v>46236</v>
      </c>
      <c r="D2617">
        <v>1968.99</v>
      </c>
    </row>
    <row r="2618" spans="1:4" x14ac:dyDescent="0.3">
      <c r="A2618" t="s">
        <v>29</v>
      </c>
      <c r="C2618" s="16">
        <v>46236</v>
      </c>
      <c r="D2618">
        <v>901.34</v>
      </c>
    </row>
    <row r="2619" spans="1:4" x14ac:dyDescent="0.3">
      <c r="A2619" t="s">
        <v>30</v>
      </c>
      <c r="C2619" s="16">
        <v>46236</v>
      </c>
      <c r="D2619">
        <v>1412.08</v>
      </c>
    </row>
    <row r="2620" spans="1:4" x14ac:dyDescent="0.3">
      <c r="A2620" t="s">
        <v>31</v>
      </c>
      <c r="C2620" s="16">
        <v>46236</v>
      </c>
      <c r="D2620">
        <v>22347.56999999996</v>
      </c>
    </row>
    <row r="2621" spans="1:4" x14ac:dyDescent="0.3">
      <c r="A2621" t="s">
        <v>32</v>
      </c>
      <c r="C2621" s="16">
        <v>46236</v>
      </c>
      <c r="D2621">
        <v>18522.800000000003</v>
      </c>
    </row>
    <row r="2622" spans="1:4" x14ac:dyDescent="0.3">
      <c r="A2622" t="s">
        <v>33</v>
      </c>
      <c r="C2622" s="16">
        <v>46236</v>
      </c>
      <c r="D2622">
        <v>28485.559999999998</v>
      </c>
    </row>
    <row r="2623" spans="1:4" x14ac:dyDescent="0.3">
      <c r="A2623" t="s">
        <v>34</v>
      </c>
      <c r="C2623" s="16">
        <v>46236</v>
      </c>
      <c r="D2623">
        <v>345</v>
      </c>
    </row>
    <row r="2624" spans="1:4" x14ac:dyDescent="0.3">
      <c r="A2624" t="s">
        <v>35</v>
      </c>
      <c r="C2624" s="16">
        <v>46236</v>
      </c>
      <c r="D2624">
        <v>11634.930000000004</v>
      </c>
    </row>
    <row r="2625" spans="1:4" x14ac:dyDescent="0.3">
      <c r="A2625" t="s">
        <v>193</v>
      </c>
      <c r="C2625" s="16">
        <v>46236</v>
      </c>
      <c r="D2625">
        <v>0</v>
      </c>
    </row>
    <row r="2626" spans="1:4" x14ac:dyDescent="0.3">
      <c r="A2626" t="s">
        <v>194</v>
      </c>
      <c r="C2626" s="16">
        <v>46236</v>
      </c>
      <c r="D2626">
        <v>0</v>
      </c>
    </row>
    <row r="2627" spans="1:4" x14ac:dyDescent="0.3">
      <c r="A2627" t="s">
        <v>195</v>
      </c>
      <c r="C2627" s="16">
        <v>46236</v>
      </c>
      <c r="D2627">
        <v>0</v>
      </c>
    </row>
    <row r="2628" spans="1:4" x14ac:dyDescent="0.3">
      <c r="A2628" t="s">
        <v>196</v>
      </c>
      <c r="C2628" s="16">
        <v>46236</v>
      </c>
      <c r="D2628">
        <v>0</v>
      </c>
    </row>
    <row r="2629" spans="1:4" x14ac:dyDescent="0.3">
      <c r="A2629" t="s">
        <v>197</v>
      </c>
      <c r="C2629" s="16">
        <v>46236</v>
      </c>
      <c r="D2629">
        <v>0</v>
      </c>
    </row>
    <row r="2630" spans="1:4" x14ac:dyDescent="0.3">
      <c r="A2630" t="s">
        <v>198</v>
      </c>
      <c r="C2630" s="16">
        <v>46236</v>
      </c>
      <c r="D2630">
        <v>0</v>
      </c>
    </row>
    <row r="2631" spans="1:4" x14ac:dyDescent="0.3">
      <c r="A2631" t="s">
        <v>216</v>
      </c>
      <c r="C2631" s="16">
        <v>46236</v>
      </c>
      <c r="D2631">
        <v>0</v>
      </c>
    </row>
    <row r="2632" spans="1:4" x14ac:dyDescent="0.3">
      <c r="A2632" t="s">
        <v>200</v>
      </c>
      <c r="C2632" s="16">
        <v>46236</v>
      </c>
      <c r="D2632">
        <v>0</v>
      </c>
    </row>
    <row r="2633" spans="1:4" x14ac:dyDescent="0.3">
      <c r="A2633" t="s">
        <v>201</v>
      </c>
      <c r="C2633" s="16">
        <v>46236</v>
      </c>
      <c r="D2633">
        <v>0</v>
      </c>
    </row>
    <row r="2634" spans="1:4" x14ac:dyDescent="0.3">
      <c r="A2634" t="s">
        <v>17</v>
      </c>
      <c r="C2634" s="16">
        <v>46237</v>
      </c>
      <c r="D2634">
        <v>2468032.08</v>
      </c>
    </row>
    <row r="2635" spans="1:4" x14ac:dyDescent="0.3">
      <c r="A2635" t="s">
        <v>18</v>
      </c>
      <c r="C2635" s="16">
        <v>46237</v>
      </c>
      <c r="D2635">
        <v>83211.250000000175</v>
      </c>
    </row>
    <row r="2636" spans="1:4" x14ac:dyDescent="0.3">
      <c r="A2636" t="s">
        <v>19</v>
      </c>
      <c r="C2636" s="16">
        <v>46237</v>
      </c>
      <c r="D2636">
        <v>1669.89</v>
      </c>
    </row>
    <row r="2637" spans="1:4" x14ac:dyDescent="0.3">
      <c r="A2637" t="s">
        <v>20</v>
      </c>
      <c r="C2637" s="16">
        <v>46237</v>
      </c>
      <c r="D2637">
        <v>1458426.0399999998</v>
      </c>
    </row>
    <row r="2638" spans="1:4" x14ac:dyDescent="0.3">
      <c r="A2638" t="s">
        <v>21</v>
      </c>
      <c r="C2638" s="16">
        <v>46237</v>
      </c>
      <c r="D2638">
        <v>1514477.1199999996</v>
      </c>
    </row>
    <row r="2639" spans="1:4" x14ac:dyDescent="0.3">
      <c r="A2639" t="s">
        <v>22</v>
      </c>
      <c r="C2639" s="16">
        <v>46237</v>
      </c>
      <c r="D2639">
        <v>190496.38</v>
      </c>
    </row>
    <row r="2640" spans="1:4" x14ac:dyDescent="0.3">
      <c r="A2640" t="s">
        <v>23</v>
      </c>
      <c r="C2640" s="16">
        <v>46237</v>
      </c>
      <c r="D2640">
        <v>88090.37</v>
      </c>
    </row>
    <row r="2641" spans="1:4" x14ac:dyDescent="0.3">
      <c r="A2641" t="s">
        <v>24</v>
      </c>
      <c r="C2641" s="16">
        <v>46237</v>
      </c>
      <c r="D2641">
        <v>14580.45</v>
      </c>
    </row>
    <row r="2642" spans="1:4" x14ac:dyDescent="0.3">
      <c r="A2642" t="s">
        <v>25</v>
      </c>
      <c r="C2642" s="16">
        <v>46237</v>
      </c>
      <c r="D2642">
        <v>24.450000000000003</v>
      </c>
    </row>
    <row r="2643" spans="1:4" x14ac:dyDescent="0.3">
      <c r="A2643" t="s">
        <v>26</v>
      </c>
      <c r="C2643" s="16">
        <v>46237</v>
      </c>
      <c r="D2643">
        <v>2177.87</v>
      </c>
    </row>
    <row r="2644" spans="1:4" x14ac:dyDescent="0.3">
      <c r="A2644" t="s">
        <v>27</v>
      </c>
      <c r="C2644" s="16">
        <v>46237</v>
      </c>
      <c r="D2644">
        <v>1454589.72</v>
      </c>
    </row>
    <row r="2645" spans="1:4" x14ac:dyDescent="0.3">
      <c r="A2645" t="s">
        <v>28</v>
      </c>
      <c r="C2645" s="16">
        <v>46237</v>
      </c>
      <c r="D2645">
        <v>1968.99</v>
      </c>
    </row>
    <row r="2646" spans="1:4" x14ac:dyDescent="0.3">
      <c r="A2646" t="s">
        <v>29</v>
      </c>
      <c r="C2646" s="16">
        <v>46237</v>
      </c>
      <c r="D2646">
        <v>901.34</v>
      </c>
    </row>
    <row r="2647" spans="1:4" x14ac:dyDescent="0.3">
      <c r="A2647" t="s">
        <v>30</v>
      </c>
      <c r="C2647" s="16">
        <v>46237</v>
      </c>
      <c r="D2647">
        <v>1396.08</v>
      </c>
    </row>
    <row r="2648" spans="1:4" x14ac:dyDescent="0.3">
      <c r="A2648" t="s">
        <v>31</v>
      </c>
      <c r="C2648" s="16">
        <v>46237</v>
      </c>
      <c r="D2648">
        <v>13804.239999999962</v>
      </c>
    </row>
    <row r="2649" spans="1:4" x14ac:dyDescent="0.3">
      <c r="A2649" t="s">
        <v>32</v>
      </c>
      <c r="C2649" s="16">
        <v>46237</v>
      </c>
      <c r="D2649">
        <v>8724.1700000000037</v>
      </c>
    </row>
    <row r="2650" spans="1:4" x14ac:dyDescent="0.3">
      <c r="A2650" t="s">
        <v>33</v>
      </c>
      <c r="C2650" s="16">
        <v>46237</v>
      </c>
      <c r="D2650">
        <v>15106.099999999997</v>
      </c>
    </row>
    <row r="2651" spans="1:4" x14ac:dyDescent="0.3">
      <c r="A2651" t="s">
        <v>34</v>
      </c>
      <c r="C2651" s="16">
        <v>46237</v>
      </c>
      <c r="D2651">
        <v>345</v>
      </c>
    </row>
    <row r="2652" spans="1:4" x14ac:dyDescent="0.3">
      <c r="A2652" t="s">
        <v>35</v>
      </c>
      <c r="C2652" s="16">
        <v>46237</v>
      </c>
      <c r="D2652">
        <v>8270.3500000000022</v>
      </c>
    </row>
    <row r="2653" spans="1:4" x14ac:dyDescent="0.3">
      <c r="A2653" t="s">
        <v>193</v>
      </c>
      <c r="C2653" s="16">
        <v>46237</v>
      </c>
      <c r="D2653">
        <v>0</v>
      </c>
    </row>
    <row r="2654" spans="1:4" x14ac:dyDescent="0.3">
      <c r="A2654" t="s">
        <v>194</v>
      </c>
      <c r="C2654" s="16">
        <v>46237</v>
      </c>
      <c r="D2654">
        <v>0</v>
      </c>
    </row>
    <row r="2655" spans="1:4" x14ac:dyDescent="0.3">
      <c r="A2655" t="s">
        <v>195</v>
      </c>
      <c r="C2655" s="16">
        <v>46237</v>
      </c>
      <c r="D2655">
        <v>0</v>
      </c>
    </row>
    <row r="2656" spans="1:4" x14ac:dyDescent="0.3">
      <c r="A2656" t="s">
        <v>196</v>
      </c>
      <c r="C2656" s="16">
        <v>46237</v>
      </c>
      <c r="D2656">
        <v>0</v>
      </c>
    </row>
    <row r="2657" spans="1:4" x14ac:dyDescent="0.3">
      <c r="A2657" t="s">
        <v>197</v>
      </c>
      <c r="C2657" s="16">
        <v>46237</v>
      </c>
      <c r="D2657">
        <v>0</v>
      </c>
    </row>
    <row r="2658" spans="1:4" x14ac:dyDescent="0.3">
      <c r="A2658" t="s">
        <v>198</v>
      </c>
      <c r="C2658" s="16">
        <v>46237</v>
      </c>
      <c r="D2658">
        <v>0</v>
      </c>
    </row>
    <row r="2659" spans="1:4" x14ac:dyDescent="0.3">
      <c r="A2659" t="s">
        <v>216</v>
      </c>
      <c r="C2659" s="16">
        <v>46237</v>
      </c>
      <c r="D2659">
        <v>0</v>
      </c>
    </row>
    <row r="2660" spans="1:4" x14ac:dyDescent="0.3">
      <c r="A2660" t="s">
        <v>200</v>
      </c>
      <c r="C2660" s="16">
        <v>46237</v>
      </c>
      <c r="D2660">
        <v>0</v>
      </c>
    </row>
    <row r="2661" spans="1:4" x14ac:dyDescent="0.3">
      <c r="A2661" t="s">
        <v>201</v>
      </c>
      <c r="C2661" s="16">
        <v>46237</v>
      </c>
      <c r="D2661">
        <v>0</v>
      </c>
    </row>
    <row r="2662" spans="1:4" x14ac:dyDescent="0.3">
      <c r="A2662" t="s">
        <v>17</v>
      </c>
      <c r="C2662" s="16">
        <v>46238</v>
      </c>
      <c r="D2662">
        <v>2468032.08</v>
      </c>
    </row>
    <row r="2663" spans="1:4" x14ac:dyDescent="0.3">
      <c r="A2663" t="s">
        <v>18</v>
      </c>
      <c r="C2663" s="16">
        <v>46238</v>
      </c>
      <c r="D2663">
        <v>83211.250000000175</v>
      </c>
    </row>
    <row r="2664" spans="1:4" x14ac:dyDescent="0.3">
      <c r="A2664" t="s">
        <v>19</v>
      </c>
      <c r="C2664" s="16">
        <v>46238</v>
      </c>
      <c r="D2664">
        <v>1669.89</v>
      </c>
    </row>
    <row r="2665" spans="1:4" x14ac:dyDescent="0.3">
      <c r="A2665" t="s">
        <v>20</v>
      </c>
      <c r="C2665" s="16">
        <v>46238</v>
      </c>
      <c r="D2665">
        <v>1458426.0399999998</v>
      </c>
    </row>
    <row r="2666" spans="1:4" x14ac:dyDescent="0.3">
      <c r="A2666" t="s">
        <v>21</v>
      </c>
      <c r="C2666" s="16">
        <v>46238</v>
      </c>
      <c r="D2666">
        <v>1513867.4199999995</v>
      </c>
    </row>
    <row r="2667" spans="1:4" x14ac:dyDescent="0.3">
      <c r="A2667" t="s">
        <v>22</v>
      </c>
      <c r="C2667" s="16">
        <v>46238</v>
      </c>
      <c r="D2667">
        <v>184496.38</v>
      </c>
    </row>
    <row r="2668" spans="1:4" x14ac:dyDescent="0.3">
      <c r="A2668" t="s">
        <v>23</v>
      </c>
      <c r="C2668" s="16">
        <v>46238</v>
      </c>
      <c r="D2668">
        <v>88090.37</v>
      </c>
    </row>
    <row r="2669" spans="1:4" x14ac:dyDescent="0.3">
      <c r="A2669" t="s">
        <v>24</v>
      </c>
      <c r="C2669" s="16">
        <v>46238</v>
      </c>
      <c r="D2669">
        <v>14580.45</v>
      </c>
    </row>
    <row r="2670" spans="1:4" x14ac:dyDescent="0.3">
      <c r="A2670" t="s">
        <v>25</v>
      </c>
      <c r="C2670" s="16">
        <v>46238</v>
      </c>
      <c r="D2670">
        <v>24.450000000000003</v>
      </c>
    </row>
    <row r="2671" spans="1:4" x14ac:dyDescent="0.3">
      <c r="A2671" t="s">
        <v>26</v>
      </c>
      <c r="C2671" s="16">
        <v>46238</v>
      </c>
      <c r="D2671">
        <v>2177.87</v>
      </c>
    </row>
    <row r="2672" spans="1:4" x14ac:dyDescent="0.3">
      <c r="A2672" t="s">
        <v>27</v>
      </c>
      <c r="C2672" s="16">
        <v>46238</v>
      </c>
      <c r="D2672">
        <v>1454589.72</v>
      </c>
    </row>
    <row r="2673" spans="1:4" x14ac:dyDescent="0.3">
      <c r="A2673" t="s">
        <v>28</v>
      </c>
      <c r="C2673" s="16">
        <v>46238</v>
      </c>
      <c r="D2673">
        <v>1968.99</v>
      </c>
    </row>
    <row r="2674" spans="1:4" x14ac:dyDescent="0.3">
      <c r="A2674" t="s">
        <v>29</v>
      </c>
      <c r="C2674" s="16">
        <v>46238</v>
      </c>
      <c r="D2674">
        <v>901.34</v>
      </c>
    </row>
    <row r="2675" spans="1:4" x14ac:dyDescent="0.3">
      <c r="A2675" t="s">
        <v>30</v>
      </c>
      <c r="C2675" s="16">
        <v>46238</v>
      </c>
      <c r="D2675">
        <v>1396.08</v>
      </c>
    </row>
    <row r="2676" spans="1:4" x14ac:dyDescent="0.3">
      <c r="A2676" t="s">
        <v>31</v>
      </c>
      <c r="C2676" s="16">
        <v>46238</v>
      </c>
      <c r="D2676">
        <v>13804.239999999962</v>
      </c>
    </row>
    <row r="2677" spans="1:4" x14ac:dyDescent="0.3">
      <c r="A2677" t="s">
        <v>32</v>
      </c>
      <c r="C2677" s="16">
        <v>46238</v>
      </c>
      <c r="D2677">
        <v>8724.1700000000037</v>
      </c>
    </row>
    <row r="2678" spans="1:4" x14ac:dyDescent="0.3">
      <c r="A2678" t="s">
        <v>33</v>
      </c>
      <c r="C2678" s="16">
        <v>46238</v>
      </c>
      <c r="D2678">
        <v>15106.099999999997</v>
      </c>
    </row>
    <row r="2679" spans="1:4" x14ac:dyDescent="0.3">
      <c r="A2679" t="s">
        <v>34</v>
      </c>
      <c r="C2679" s="16">
        <v>46238</v>
      </c>
      <c r="D2679">
        <v>345</v>
      </c>
    </row>
    <row r="2680" spans="1:4" x14ac:dyDescent="0.3">
      <c r="A2680" t="s">
        <v>35</v>
      </c>
      <c r="C2680" s="16">
        <v>46238</v>
      </c>
      <c r="D2680">
        <v>7879.4200000000019</v>
      </c>
    </row>
    <row r="2681" spans="1:4" x14ac:dyDescent="0.3">
      <c r="A2681" t="s">
        <v>193</v>
      </c>
      <c r="C2681" s="16">
        <v>46238</v>
      </c>
      <c r="D2681">
        <v>0</v>
      </c>
    </row>
    <row r="2682" spans="1:4" x14ac:dyDescent="0.3">
      <c r="A2682" t="s">
        <v>194</v>
      </c>
      <c r="C2682" s="16">
        <v>46238</v>
      </c>
      <c r="D2682">
        <v>0</v>
      </c>
    </row>
    <row r="2683" spans="1:4" x14ac:dyDescent="0.3">
      <c r="A2683" t="s">
        <v>195</v>
      </c>
      <c r="C2683" s="16">
        <v>46238</v>
      </c>
      <c r="D2683">
        <v>0</v>
      </c>
    </row>
    <row r="2684" spans="1:4" x14ac:dyDescent="0.3">
      <c r="A2684" t="s">
        <v>196</v>
      </c>
      <c r="C2684" s="16">
        <v>46238</v>
      </c>
      <c r="D2684">
        <v>0</v>
      </c>
    </row>
    <row r="2685" spans="1:4" x14ac:dyDescent="0.3">
      <c r="A2685" t="s">
        <v>197</v>
      </c>
      <c r="C2685" s="16">
        <v>46238</v>
      </c>
      <c r="D2685">
        <v>0</v>
      </c>
    </row>
    <row r="2686" spans="1:4" x14ac:dyDescent="0.3">
      <c r="A2686" t="s">
        <v>198</v>
      </c>
      <c r="C2686" s="16">
        <v>46238</v>
      </c>
      <c r="D2686">
        <v>0</v>
      </c>
    </row>
    <row r="2687" spans="1:4" x14ac:dyDescent="0.3">
      <c r="A2687" t="s">
        <v>216</v>
      </c>
      <c r="C2687" s="16">
        <v>46238</v>
      </c>
      <c r="D2687">
        <v>0</v>
      </c>
    </row>
    <row r="2688" spans="1:4" x14ac:dyDescent="0.3">
      <c r="A2688" t="s">
        <v>200</v>
      </c>
      <c r="C2688" s="16">
        <v>46238</v>
      </c>
      <c r="D2688">
        <v>0</v>
      </c>
    </row>
    <row r="2689" spans="1:4" x14ac:dyDescent="0.3">
      <c r="A2689" t="s">
        <v>201</v>
      </c>
      <c r="C2689" s="16">
        <v>46238</v>
      </c>
      <c r="D2689">
        <v>0</v>
      </c>
    </row>
    <row r="2690" spans="1:4" x14ac:dyDescent="0.3">
      <c r="A2690" t="s">
        <v>17</v>
      </c>
      <c r="C2690" s="16">
        <v>46239</v>
      </c>
      <c r="D2690">
        <v>2468032.08</v>
      </c>
    </row>
    <row r="2691" spans="1:4" x14ac:dyDescent="0.3">
      <c r="A2691" t="s">
        <v>18</v>
      </c>
      <c r="C2691" s="16">
        <v>46239</v>
      </c>
      <c r="D2691">
        <v>83211.250000000175</v>
      </c>
    </row>
    <row r="2692" spans="1:4" x14ac:dyDescent="0.3">
      <c r="A2692" t="s">
        <v>19</v>
      </c>
      <c r="C2692" s="16">
        <v>46239</v>
      </c>
      <c r="D2692">
        <v>1669.89</v>
      </c>
    </row>
    <row r="2693" spans="1:4" x14ac:dyDescent="0.3">
      <c r="A2693" t="s">
        <v>20</v>
      </c>
      <c r="C2693" s="16">
        <v>46239</v>
      </c>
      <c r="D2693">
        <v>1452426.0399999998</v>
      </c>
    </row>
    <row r="2694" spans="1:4" x14ac:dyDescent="0.3">
      <c r="A2694" t="s">
        <v>21</v>
      </c>
      <c r="C2694" s="16">
        <v>46239</v>
      </c>
      <c r="D2694">
        <v>1512187.6399999997</v>
      </c>
    </row>
    <row r="2695" spans="1:4" x14ac:dyDescent="0.3">
      <c r="A2695" t="s">
        <v>22</v>
      </c>
      <c r="C2695" s="16">
        <v>46239</v>
      </c>
      <c r="D2695">
        <v>184496.38</v>
      </c>
    </row>
    <row r="2696" spans="1:4" x14ac:dyDescent="0.3">
      <c r="A2696" t="s">
        <v>23</v>
      </c>
      <c r="C2696" s="16">
        <v>46239</v>
      </c>
      <c r="D2696">
        <v>88090.37</v>
      </c>
    </row>
    <row r="2697" spans="1:4" x14ac:dyDescent="0.3">
      <c r="A2697" t="s">
        <v>24</v>
      </c>
      <c r="C2697" s="16">
        <v>46239</v>
      </c>
      <c r="D2697">
        <v>14540.45</v>
      </c>
    </row>
    <row r="2698" spans="1:4" x14ac:dyDescent="0.3">
      <c r="A2698" t="s">
        <v>25</v>
      </c>
      <c r="C2698" s="16">
        <v>46239</v>
      </c>
      <c r="D2698">
        <v>24.450000000000003</v>
      </c>
    </row>
    <row r="2699" spans="1:4" x14ac:dyDescent="0.3">
      <c r="A2699" t="s">
        <v>26</v>
      </c>
      <c r="C2699" s="16">
        <v>46239</v>
      </c>
      <c r="D2699">
        <v>2177.87</v>
      </c>
    </row>
    <row r="2700" spans="1:4" x14ac:dyDescent="0.3">
      <c r="A2700" t="s">
        <v>27</v>
      </c>
      <c r="C2700" s="16">
        <v>46239</v>
      </c>
      <c r="D2700">
        <v>1454589.72</v>
      </c>
    </row>
    <row r="2701" spans="1:4" x14ac:dyDescent="0.3">
      <c r="A2701" t="s">
        <v>28</v>
      </c>
      <c r="C2701" s="16">
        <v>46239</v>
      </c>
      <c r="D2701">
        <v>1968.99</v>
      </c>
    </row>
    <row r="2702" spans="1:4" x14ac:dyDescent="0.3">
      <c r="A2702" t="s">
        <v>29</v>
      </c>
      <c r="C2702" s="16">
        <v>46239</v>
      </c>
      <c r="D2702">
        <v>901.34</v>
      </c>
    </row>
    <row r="2703" spans="1:4" x14ac:dyDescent="0.3">
      <c r="A2703" t="s">
        <v>30</v>
      </c>
      <c r="C2703" s="16">
        <v>46239</v>
      </c>
      <c r="D2703">
        <v>1396.08</v>
      </c>
    </row>
    <row r="2704" spans="1:4" x14ac:dyDescent="0.3">
      <c r="A2704" t="s">
        <v>31</v>
      </c>
      <c r="C2704" s="16">
        <v>46239</v>
      </c>
      <c r="D2704">
        <v>13804.239999999962</v>
      </c>
    </row>
    <row r="2705" spans="1:4" x14ac:dyDescent="0.3">
      <c r="A2705" t="s">
        <v>32</v>
      </c>
      <c r="C2705" s="16">
        <v>46239</v>
      </c>
      <c r="D2705">
        <v>8724.1700000000037</v>
      </c>
    </row>
    <row r="2706" spans="1:4" x14ac:dyDescent="0.3">
      <c r="A2706" t="s">
        <v>33</v>
      </c>
      <c r="C2706" s="16">
        <v>46239</v>
      </c>
      <c r="D2706">
        <v>15106.099999999997</v>
      </c>
    </row>
    <row r="2707" spans="1:4" x14ac:dyDescent="0.3">
      <c r="A2707" t="s">
        <v>34</v>
      </c>
      <c r="C2707" s="16">
        <v>46239</v>
      </c>
      <c r="D2707">
        <v>345</v>
      </c>
    </row>
    <row r="2708" spans="1:4" x14ac:dyDescent="0.3">
      <c r="A2708" t="s">
        <v>35</v>
      </c>
      <c r="C2708" s="16">
        <v>46239</v>
      </c>
      <c r="D2708">
        <v>7879.4200000000019</v>
      </c>
    </row>
    <row r="2709" spans="1:4" x14ac:dyDescent="0.3">
      <c r="A2709" t="s">
        <v>193</v>
      </c>
      <c r="C2709" s="16">
        <v>46239</v>
      </c>
      <c r="D2709">
        <v>0</v>
      </c>
    </row>
    <row r="2710" spans="1:4" x14ac:dyDescent="0.3">
      <c r="A2710" t="s">
        <v>194</v>
      </c>
      <c r="C2710" s="16">
        <v>46239</v>
      </c>
      <c r="D2710">
        <v>0</v>
      </c>
    </row>
    <row r="2711" spans="1:4" x14ac:dyDescent="0.3">
      <c r="A2711" t="s">
        <v>195</v>
      </c>
      <c r="C2711" s="16">
        <v>46239</v>
      </c>
      <c r="D2711">
        <v>0</v>
      </c>
    </row>
    <row r="2712" spans="1:4" x14ac:dyDescent="0.3">
      <c r="A2712" t="s">
        <v>196</v>
      </c>
      <c r="C2712" s="16">
        <v>46239</v>
      </c>
      <c r="D2712">
        <v>0</v>
      </c>
    </row>
    <row r="2713" spans="1:4" x14ac:dyDescent="0.3">
      <c r="A2713" t="s">
        <v>197</v>
      </c>
      <c r="C2713" s="16">
        <v>46239</v>
      </c>
      <c r="D2713">
        <v>0</v>
      </c>
    </row>
    <row r="2714" spans="1:4" x14ac:dyDescent="0.3">
      <c r="A2714" t="s">
        <v>198</v>
      </c>
      <c r="C2714" s="16">
        <v>46239</v>
      </c>
      <c r="D2714">
        <v>0</v>
      </c>
    </row>
    <row r="2715" spans="1:4" x14ac:dyDescent="0.3">
      <c r="A2715" t="s">
        <v>216</v>
      </c>
      <c r="C2715" s="16">
        <v>46239</v>
      </c>
      <c r="D2715">
        <v>0</v>
      </c>
    </row>
    <row r="2716" spans="1:4" x14ac:dyDescent="0.3">
      <c r="A2716" t="s">
        <v>200</v>
      </c>
      <c r="C2716" s="16">
        <v>46239</v>
      </c>
      <c r="D2716">
        <v>0</v>
      </c>
    </row>
    <row r="2717" spans="1:4" x14ac:dyDescent="0.3">
      <c r="A2717" t="s">
        <v>201</v>
      </c>
      <c r="C2717" s="16">
        <v>46239</v>
      </c>
      <c r="D2717">
        <v>0</v>
      </c>
    </row>
    <row r="2718" spans="1:4" x14ac:dyDescent="0.3">
      <c r="A2718" t="s">
        <v>17</v>
      </c>
      <c r="C2718" s="16">
        <v>46240</v>
      </c>
      <c r="D2718">
        <v>1153390.4100000001</v>
      </c>
    </row>
    <row r="2719" spans="1:4" x14ac:dyDescent="0.3">
      <c r="A2719" t="s">
        <v>18</v>
      </c>
      <c r="C2719" s="16">
        <v>46240</v>
      </c>
      <c r="D2719">
        <v>83211.250000000175</v>
      </c>
    </row>
    <row r="2720" spans="1:4" x14ac:dyDescent="0.3">
      <c r="A2720" t="s">
        <v>19</v>
      </c>
      <c r="C2720" s="16">
        <v>46240</v>
      </c>
      <c r="D2720">
        <v>1669.89</v>
      </c>
    </row>
    <row r="2721" spans="1:4" x14ac:dyDescent="0.3">
      <c r="A2721" t="s">
        <v>20</v>
      </c>
      <c r="C2721" s="16">
        <v>46240</v>
      </c>
      <c r="D2721">
        <v>1349451.94</v>
      </c>
    </row>
    <row r="2722" spans="1:4" x14ac:dyDescent="0.3">
      <c r="A2722" t="s">
        <v>21</v>
      </c>
      <c r="C2722" s="16">
        <v>46240</v>
      </c>
      <c r="D2722">
        <v>2102073.7899999996</v>
      </c>
    </row>
    <row r="2723" spans="1:4" x14ac:dyDescent="0.3">
      <c r="A2723" t="s">
        <v>22</v>
      </c>
      <c r="C2723" s="16">
        <v>46240</v>
      </c>
      <c r="D2723">
        <v>171496.38</v>
      </c>
    </row>
    <row r="2724" spans="1:4" x14ac:dyDescent="0.3">
      <c r="A2724" t="s">
        <v>23</v>
      </c>
      <c r="C2724" s="16">
        <v>46240</v>
      </c>
      <c r="D2724">
        <v>88067.39</v>
      </c>
    </row>
    <row r="2725" spans="1:4" x14ac:dyDescent="0.3">
      <c r="A2725" t="s">
        <v>24</v>
      </c>
      <c r="C2725" s="16">
        <v>46240</v>
      </c>
      <c r="D2725">
        <v>13270.02</v>
      </c>
    </row>
    <row r="2726" spans="1:4" x14ac:dyDescent="0.3">
      <c r="A2726" t="s">
        <v>25</v>
      </c>
      <c r="C2726" s="16">
        <v>46240</v>
      </c>
      <c r="D2726">
        <v>24.450000000000003</v>
      </c>
    </row>
    <row r="2727" spans="1:4" x14ac:dyDescent="0.3">
      <c r="A2727" t="s">
        <v>26</v>
      </c>
      <c r="C2727" s="16">
        <v>46240</v>
      </c>
      <c r="D2727">
        <v>2177.87</v>
      </c>
    </row>
    <row r="2728" spans="1:4" x14ac:dyDescent="0.3">
      <c r="A2728" t="s">
        <v>27</v>
      </c>
      <c r="C2728" s="16">
        <v>46240</v>
      </c>
      <c r="D2728">
        <v>1454589.72</v>
      </c>
    </row>
    <row r="2729" spans="1:4" x14ac:dyDescent="0.3">
      <c r="A2729" t="s">
        <v>28</v>
      </c>
      <c r="C2729" s="16">
        <v>46240</v>
      </c>
      <c r="D2729">
        <v>1968.99</v>
      </c>
    </row>
    <row r="2730" spans="1:4" x14ac:dyDescent="0.3">
      <c r="A2730" t="s">
        <v>29</v>
      </c>
      <c r="C2730" s="16">
        <v>46240</v>
      </c>
      <c r="D2730">
        <v>901.34</v>
      </c>
    </row>
    <row r="2731" spans="1:4" x14ac:dyDescent="0.3">
      <c r="A2731" t="s">
        <v>30</v>
      </c>
      <c r="C2731" s="16">
        <v>46240</v>
      </c>
      <c r="D2731">
        <v>1396.08</v>
      </c>
    </row>
    <row r="2732" spans="1:4" x14ac:dyDescent="0.3">
      <c r="A2732" t="s">
        <v>31</v>
      </c>
      <c r="C2732" s="16">
        <v>46240</v>
      </c>
      <c r="D2732">
        <v>13804.239999999962</v>
      </c>
    </row>
    <row r="2733" spans="1:4" x14ac:dyDescent="0.3">
      <c r="A2733" t="s">
        <v>32</v>
      </c>
      <c r="C2733" s="16">
        <v>46240</v>
      </c>
      <c r="D2733">
        <v>8724.1700000000037</v>
      </c>
    </row>
    <row r="2734" spans="1:4" x14ac:dyDescent="0.3">
      <c r="A2734" t="s">
        <v>33</v>
      </c>
      <c r="C2734" s="16">
        <v>46240</v>
      </c>
      <c r="D2734">
        <v>15106.099999999997</v>
      </c>
    </row>
    <row r="2735" spans="1:4" x14ac:dyDescent="0.3">
      <c r="A2735" t="s">
        <v>34</v>
      </c>
      <c r="C2735" s="16">
        <v>46240</v>
      </c>
      <c r="D2735">
        <v>345</v>
      </c>
    </row>
    <row r="2736" spans="1:4" x14ac:dyDescent="0.3">
      <c r="A2736" t="s">
        <v>35</v>
      </c>
      <c r="C2736" s="16">
        <v>46240</v>
      </c>
      <c r="D2736">
        <v>12470.040000000003</v>
      </c>
    </row>
    <row r="2737" spans="1:4" x14ac:dyDescent="0.3">
      <c r="A2737" t="s">
        <v>193</v>
      </c>
      <c r="C2737" s="16">
        <v>46240</v>
      </c>
      <c r="D2737">
        <v>0</v>
      </c>
    </row>
    <row r="2738" spans="1:4" x14ac:dyDescent="0.3">
      <c r="A2738" t="s">
        <v>194</v>
      </c>
      <c r="C2738" s="16">
        <v>46240</v>
      </c>
      <c r="D2738">
        <v>0</v>
      </c>
    </row>
    <row r="2739" spans="1:4" x14ac:dyDescent="0.3">
      <c r="A2739" t="s">
        <v>195</v>
      </c>
      <c r="C2739" s="16">
        <v>46240</v>
      </c>
      <c r="D2739">
        <v>0</v>
      </c>
    </row>
    <row r="2740" spans="1:4" x14ac:dyDescent="0.3">
      <c r="A2740" t="s">
        <v>196</v>
      </c>
      <c r="C2740" s="16">
        <v>46240</v>
      </c>
      <c r="D2740">
        <v>0</v>
      </c>
    </row>
    <row r="2741" spans="1:4" x14ac:dyDescent="0.3">
      <c r="A2741" t="s">
        <v>197</v>
      </c>
      <c r="C2741" s="16">
        <v>46240</v>
      </c>
      <c r="D2741">
        <v>0</v>
      </c>
    </row>
    <row r="2742" spans="1:4" x14ac:dyDescent="0.3">
      <c r="A2742" t="s">
        <v>198</v>
      </c>
      <c r="C2742" s="16">
        <v>46240</v>
      </c>
      <c r="D2742">
        <v>0</v>
      </c>
    </row>
    <row r="2743" spans="1:4" x14ac:dyDescent="0.3">
      <c r="A2743" t="s">
        <v>216</v>
      </c>
      <c r="C2743" s="16">
        <v>46240</v>
      </c>
      <c r="D2743">
        <v>0</v>
      </c>
    </row>
    <row r="2744" spans="1:4" x14ac:dyDescent="0.3">
      <c r="A2744" t="s">
        <v>200</v>
      </c>
      <c r="C2744" s="16">
        <v>46240</v>
      </c>
      <c r="D2744">
        <v>0</v>
      </c>
    </row>
    <row r="2745" spans="1:4" x14ac:dyDescent="0.3">
      <c r="A2745" t="s">
        <v>201</v>
      </c>
      <c r="C2745" s="16">
        <v>46240</v>
      </c>
      <c r="D2745">
        <v>0</v>
      </c>
    </row>
    <row r="2746" spans="1:4" x14ac:dyDescent="0.3">
      <c r="A2746" t="s">
        <v>17</v>
      </c>
      <c r="C2746" s="16">
        <v>46241</v>
      </c>
      <c r="D2746">
        <v>1153390.4100000001</v>
      </c>
    </row>
    <row r="2747" spans="1:4" x14ac:dyDescent="0.3">
      <c r="A2747" t="s">
        <v>18</v>
      </c>
      <c r="C2747" s="16">
        <v>46241</v>
      </c>
      <c r="D2747">
        <v>83211.250000000175</v>
      </c>
    </row>
    <row r="2748" spans="1:4" x14ac:dyDescent="0.3">
      <c r="A2748" t="s">
        <v>19</v>
      </c>
      <c r="C2748" s="16">
        <v>46241</v>
      </c>
      <c r="D2748">
        <v>1669.89</v>
      </c>
    </row>
    <row r="2749" spans="1:4" x14ac:dyDescent="0.3">
      <c r="A2749" t="s">
        <v>20</v>
      </c>
      <c r="C2749" s="16">
        <v>46241</v>
      </c>
      <c r="D2749">
        <v>1349451.94</v>
      </c>
    </row>
    <row r="2750" spans="1:4" x14ac:dyDescent="0.3">
      <c r="A2750" t="s">
        <v>21</v>
      </c>
      <c r="C2750" s="16">
        <v>46241</v>
      </c>
      <c r="D2750">
        <v>2102073.7899999996</v>
      </c>
    </row>
    <row r="2751" spans="1:4" x14ac:dyDescent="0.3">
      <c r="A2751" t="s">
        <v>22</v>
      </c>
      <c r="C2751" s="16">
        <v>46241</v>
      </c>
      <c r="D2751">
        <v>171496.38</v>
      </c>
    </row>
    <row r="2752" spans="1:4" x14ac:dyDescent="0.3">
      <c r="A2752" t="s">
        <v>23</v>
      </c>
      <c r="C2752" s="16">
        <v>46241</v>
      </c>
      <c r="D2752">
        <v>88067.39</v>
      </c>
    </row>
    <row r="2753" spans="1:4" x14ac:dyDescent="0.3">
      <c r="A2753" t="s">
        <v>24</v>
      </c>
      <c r="C2753" s="16">
        <v>46241</v>
      </c>
      <c r="D2753">
        <v>13270.02</v>
      </c>
    </row>
    <row r="2754" spans="1:4" x14ac:dyDescent="0.3">
      <c r="A2754" t="s">
        <v>25</v>
      </c>
      <c r="C2754" s="16">
        <v>46241</v>
      </c>
      <c r="D2754">
        <v>24.450000000000003</v>
      </c>
    </row>
    <row r="2755" spans="1:4" x14ac:dyDescent="0.3">
      <c r="A2755" t="s">
        <v>26</v>
      </c>
      <c r="C2755" s="16">
        <v>46241</v>
      </c>
      <c r="D2755">
        <v>2177.87</v>
      </c>
    </row>
    <row r="2756" spans="1:4" x14ac:dyDescent="0.3">
      <c r="A2756" t="s">
        <v>27</v>
      </c>
      <c r="C2756" s="16">
        <v>46241</v>
      </c>
      <c r="D2756">
        <v>1454589.72</v>
      </c>
    </row>
    <row r="2757" spans="1:4" x14ac:dyDescent="0.3">
      <c r="A2757" t="s">
        <v>28</v>
      </c>
      <c r="C2757" s="16">
        <v>46241</v>
      </c>
      <c r="D2757">
        <v>1968.99</v>
      </c>
    </row>
    <row r="2758" spans="1:4" x14ac:dyDescent="0.3">
      <c r="A2758" t="s">
        <v>29</v>
      </c>
      <c r="C2758" s="16">
        <v>46241</v>
      </c>
      <c r="D2758">
        <v>901.34</v>
      </c>
    </row>
    <row r="2759" spans="1:4" x14ac:dyDescent="0.3">
      <c r="A2759" t="s">
        <v>30</v>
      </c>
      <c r="C2759" s="16">
        <v>46241</v>
      </c>
      <c r="D2759">
        <v>1396.08</v>
      </c>
    </row>
    <row r="2760" spans="1:4" x14ac:dyDescent="0.3">
      <c r="A2760" t="s">
        <v>31</v>
      </c>
      <c r="C2760" s="16">
        <v>46241</v>
      </c>
      <c r="D2760">
        <v>11259.639999999961</v>
      </c>
    </row>
    <row r="2761" spans="1:4" x14ac:dyDescent="0.3">
      <c r="A2761" t="s">
        <v>32</v>
      </c>
      <c r="C2761" s="16">
        <v>46241</v>
      </c>
      <c r="D2761">
        <v>8724.1700000000037</v>
      </c>
    </row>
    <row r="2762" spans="1:4" x14ac:dyDescent="0.3">
      <c r="A2762" t="s">
        <v>33</v>
      </c>
      <c r="C2762" s="16">
        <v>46241</v>
      </c>
      <c r="D2762">
        <v>20106.099999999999</v>
      </c>
    </row>
    <row r="2763" spans="1:4" x14ac:dyDescent="0.3">
      <c r="A2763" t="s">
        <v>34</v>
      </c>
      <c r="C2763" s="16">
        <v>46241</v>
      </c>
      <c r="D2763">
        <v>345</v>
      </c>
    </row>
    <row r="2764" spans="1:4" x14ac:dyDescent="0.3">
      <c r="A2764" t="s">
        <v>35</v>
      </c>
      <c r="C2764" s="16">
        <v>46241</v>
      </c>
      <c r="D2764">
        <v>12470.040000000003</v>
      </c>
    </row>
    <row r="2765" spans="1:4" x14ac:dyDescent="0.3">
      <c r="A2765" t="s">
        <v>193</v>
      </c>
      <c r="C2765" s="16">
        <v>46241</v>
      </c>
      <c r="D2765">
        <v>0</v>
      </c>
    </row>
    <row r="2766" spans="1:4" x14ac:dyDescent="0.3">
      <c r="A2766" t="s">
        <v>194</v>
      </c>
      <c r="C2766" s="16">
        <v>46241</v>
      </c>
      <c r="D2766">
        <v>0</v>
      </c>
    </row>
    <row r="2767" spans="1:4" x14ac:dyDescent="0.3">
      <c r="A2767" t="s">
        <v>195</v>
      </c>
      <c r="C2767" s="16">
        <v>46241</v>
      </c>
      <c r="D2767">
        <v>0</v>
      </c>
    </row>
    <row r="2768" spans="1:4" x14ac:dyDescent="0.3">
      <c r="A2768" t="s">
        <v>196</v>
      </c>
      <c r="C2768" s="16">
        <v>46241</v>
      </c>
      <c r="D2768">
        <v>0</v>
      </c>
    </row>
    <row r="2769" spans="1:4" x14ac:dyDescent="0.3">
      <c r="A2769" t="s">
        <v>197</v>
      </c>
      <c r="C2769" s="16">
        <v>46241</v>
      </c>
      <c r="D2769">
        <v>0</v>
      </c>
    </row>
    <row r="2770" spans="1:4" x14ac:dyDescent="0.3">
      <c r="A2770" t="s">
        <v>198</v>
      </c>
      <c r="C2770" s="16">
        <v>46241</v>
      </c>
      <c r="D2770">
        <v>0</v>
      </c>
    </row>
    <row r="2771" spans="1:4" x14ac:dyDescent="0.3">
      <c r="A2771" t="s">
        <v>216</v>
      </c>
      <c r="C2771" s="16">
        <v>46241</v>
      </c>
      <c r="D2771">
        <v>0</v>
      </c>
    </row>
    <row r="2772" spans="1:4" x14ac:dyDescent="0.3">
      <c r="A2772" t="s">
        <v>200</v>
      </c>
      <c r="C2772" s="16">
        <v>46241</v>
      </c>
      <c r="D2772">
        <v>0</v>
      </c>
    </row>
    <row r="2773" spans="1:4" x14ac:dyDescent="0.3">
      <c r="A2773" t="s">
        <v>201</v>
      </c>
      <c r="C2773" s="16">
        <v>46241</v>
      </c>
      <c r="D2773">
        <v>0</v>
      </c>
    </row>
    <row r="2774" spans="1:4" x14ac:dyDescent="0.3">
      <c r="A2774" t="s">
        <v>17</v>
      </c>
      <c r="C2774" s="16">
        <v>46242</v>
      </c>
      <c r="D2774">
        <v>1153390.4100000001</v>
      </c>
    </row>
    <row r="2775" spans="1:4" x14ac:dyDescent="0.3">
      <c r="A2775" t="s">
        <v>18</v>
      </c>
      <c r="C2775" s="16">
        <v>46242</v>
      </c>
      <c r="D2775">
        <v>83211.250000000175</v>
      </c>
    </row>
    <row r="2776" spans="1:4" x14ac:dyDescent="0.3">
      <c r="A2776" t="s">
        <v>19</v>
      </c>
      <c r="C2776" s="16">
        <v>46242</v>
      </c>
      <c r="D2776">
        <v>1669.89</v>
      </c>
    </row>
    <row r="2777" spans="1:4" x14ac:dyDescent="0.3">
      <c r="A2777" t="s">
        <v>20</v>
      </c>
      <c r="C2777" s="16">
        <v>46242</v>
      </c>
      <c r="D2777">
        <v>1349451.94</v>
      </c>
    </row>
    <row r="2778" spans="1:4" x14ac:dyDescent="0.3">
      <c r="A2778" t="s">
        <v>21</v>
      </c>
      <c r="C2778" s="16">
        <v>46242</v>
      </c>
      <c r="D2778">
        <v>2102073.7899999996</v>
      </c>
    </row>
    <row r="2779" spans="1:4" x14ac:dyDescent="0.3">
      <c r="A2779" t="s">
        <v>22</v>
      </c>
      <c r="C2779" s="16">
        <v>46242</v>
      </c>
      <c r="D2779">
        <v>171496.38</v>
      </c>
    </row>
    <row r="2780" spans="1:4" x14ac:dyDescent="0.3">
      <c r="A2780" t="s">
        <v>23</v>
      </c>
      <c r="C2780" s="16">
        <v>46242</v>
      </c>
      <c r="D2780">
        <v>88067.39</v>
      </c>
    </row>
    <row r="2781" spans="1:4" x14ac:dyDescent="0.3">
      <c r="A2781" t="s">
        <v>24</v>
      </c>
      <c r="C2781" s="16">
        <v>46242</v>
      </c>
      <c r="D2781">
        <v>13270.02</v>
      </c>
    </row>
    <row r="2782" spans="1:4" x14ac:dyDescent="0.3">
      <c r="A2782" t="s">
        <v>25</v>
      </c>
      <c r="C2782" s="16">
        <v>46242</v>
      </c>
      <c r="D2782">
        <v>24.450000000000003</v>
      </c>
    </row>
    <row r="2783" spans="1:4" x14ac:dyDescent="0.3">
      <c r="A2783" t="s">
        <v>26</v>
      </c>
      <c r="C2783" s="16">
        <v>46242</v>
      </c>
      <c r="D2783">
        <v>2177.87</v>
      </c>
    </row>
    <row r="2784" spans="1:4" x14ac:dyDescent="0.3">
      <c r="A2784" t="s">
        <v>27</v>
      </c>
      <c r="C2784" s="16">
        <v>46242</v>
      </c>
      <c r="D2784">
        <v>1454589.72</v>
      </c>
    </row>
    <row r="2785" spans="1:4" x14ac:dyDescent="0.3">
      <c r="A2785" t="s">
        <v>28</v>
      </c>
      <c r="C2785" s="16">
        <v>46242</v>
      </c>
      <c r="D2785">
        <v>1968.99</v>
      </c>
    </row>
    <row r="2786" spans="1:4" x14ac:dyDescent="0.3">
      <c r="A2786" t="s">
        <v>29</v>
      </c>
      <c r="C2786" s="16">
        <v>46242</v>
      </c>
      <c r="D2786">
        <v>901.34</v>
      </c>
    </row>
    <row r="2787" spans="1:4" x14ac:dyDescent="0.3">
      <c r="A2787" t="s">
        <v>30</v>
      </c>
      <c r="C2787" s="16">
        <v>46242</v>
      </c>
      <c r="D2787">
        <v>1396.08</v>
      </c>
    </row>
    <row r="2788" spans="1:4" x14ac:dyDescent="0.3">
      <c r="A2788" t="s">
        <v>31</v>
      </c>
      <c r="C2788" s="16">
        <v>46242</v>
      </c>
      <c r="D2788">
        <v>11259.639999999961</v>
      </c>
    </row>
    <row r="2789" spans="1:4" x14ac:dyDescent="0.3">
      <c r="A2789" t="s">
        <v>32</v>
      </c>
      <c r="C2789" s="16">
        <v>46242</v>
      </c>
      <c r="D2789">
        <v>8724.1700000000037</v>
      </c>
    </row>
    <row r="2790" spans="1:4" x14ac:dyDescent="0.3">
      <c r="A2790" t="s">
        <v>33</v>
      </c>
      <c r="C2790" s="16">
        <v>46242</v>
      </c>
      <c r="D2790">
        <v>20106.099999999999</v>
      </c>
    </row>
    <row r="2791" spans="1:4" x14ac:dyDescent="0.3">
      <c r="A2791" t="s">
        <v>34</v>
      </c>
      <c r="C2791" s="16">
        <v>46242</v>
      </c>
      <c r="D2791">
        <v>345</v>
      </c>
    </row>
    <row r="2792" spans="1:4" x14ac:dyDescent="0.3">
      <c r="A2792" t="s">
        <v>35</v>
      </c>
      <c r="C2792" s="16">
        <v>46242</v>
      </c>
      <c r="D2792">
        <v>12470.040000000003</v>
      </c>
    </row>
    <row r="2793" spans="1:4" x14ac:dyDescent="0.3">
      <c r="A2793" t="s">
        <v>193</v>
      </c>
      <c r="C2793" s="16">
        <v>46242</v>
      </c>
      <c r="D2793">
        <v>0</v>
      </c>
    </row>
    <row r="2794" spans="1:4" x14ac:dyDescent="0.3">
      <c r="A2794" t="s">
        <v>194</v>
      </c>
      <c r="C2794" s="16">
        <v>46242</v>
      </c>
      <c r="D2794">
        <v>0</v>
      </c>
    </row>
    <row r="2795" spans="1:4" x14ac:dyDescent="0.3">
      <c r="A2795" t="s">
        <v>195</v>
      </c>
      <c r="C2795" s="16">
        <v>46242</v>
      </c>
      <c r="D2795">
        <v>0</v>
      </c>
    </row>
    <row r="2796" spans="1:4" x14ac:dyDescent="0.3">
      <c r="A2796" t="s">
        <v>196</v>
      </c>
      <c r="C2796" s="16">
        <v>46242</v>
      </c>
      <c r="D2796">
        <v>0</v>
      </c>
    </row>
    <row r="2797" spans="1:4" x14ac:dyDescent="0.3">
      <c r="A2797" t="s">
        <v>197</v>
      </c>
      <c r="C2797" s="16">
        <v>46242</v>
      </c>
      <c r="D2797">
        <v>0</v>
      </c>
    </row>
    <row r="2798" spans="1:4" x14ac:dyDescent="0.3">
      <c r="A2798" t="s">
        <v>198</v>
      </c>
      <c r="C2798" s="16">
        <v>46242</v>
      </c>
      <c r="D2798">
        <v>0</v>
      </c>
    </row>
    <row r="2799" spans="1:4" x14ac:dyDescent="0.3">
      <c r="A2799" t="s">
        <v>216</v>
      </c>
      <c r="C2799" s="16">
        <v>46242</v>
      </c>
      <c r="D2799">
        <v>0</v>
      </c>
    </row>
    <row r="2800" spans="1:4" x14ac:dyDescent="0.3">
      <c r="A2800" t="s">
        <v>200</v>
      </c>
      <c r="C2800" s="16">
        <v>46242</v>
      </c>
      <c r="D2800">
        <v>0</v>
      </c>
    </row>
    <row r="2801" spans="1:4" x14ac:dyDescent="0.3">
      <c r="A2801" t="s">
        <v>201</v>
      </c>
      <c r="C2801" s="16">
        <v>46242</v>
      </c>
      <c r="D2801">
        <v>0</v>
      </c>
    </row>
    <row r="2802" spans="1:4" x14ac:dyDescent="0.3">
      <c r="A2802" t="s">
        <v>17</v>
      </c>
      <c r="C2802" s="16">
        <v>46243</v>
      </c>
      <c r="D2802">
        <v>1153390.4100000001</v>
      </c>
    </row>
    <row r="2803" spans="1:4" x14ac:dyDescent="0.3">
      <c r="A2803" t="s">
        <v>18</v>
      </c>
      <c r="C2803" s="16">
        <v>46243</v>
      </c>
      <c r="D2803">
        <v>83211.250000000175</v>
      </c>
    </row>
    <row r="2804" spans="1:4" x14ac:dyDescent="0.3">
      <c r="A2804" t="s">
        <v>19</v>
      </c>
      <c r="C2804" s="16">
        <v>46243</v>
      </c>
      <c r="D2804">
        <v>1669.89</v>
      </c>
    </row>
    <row r="2805" spans="1:4" x14ac:dyDescent="0.3">
      <c r="A2805" t="s">
        <v>20</v>
      </c>
      <c r="C2805" s="16">
        <v>46243</v>
      </c>
      <c r="D2805">
        <v>1349451.94</v>
      </c>
    </row>
    <row r="2806" spans="1:4" x14ac:dyDescent="0.3">
      <c r="A2806" t="s">
        <v>21</v>
      </c>
      <c r="C2806" s="16">
        <v>46243</v>
      </c>
      <c r="D2806">
        <v>2102073.7899999996</v>
      </c>
    </row>
    <row r="2807" spans="1:4" x14ac:dyDescent="0.3">
      <c r="A2807" t="s">
        <v>22</v>
      </c>
      <c r="C2807" s="16">
        <v>46243</v>
      </c>
      <c r="D2807">
        <v>171496.38</v>
      </c>
    </row>
    <row r="2808" spans="1:4" x14ac:dyDescent="0.3">
      <c r="A2808" t="s">
        <v>23</v>
      </c>
      <c r="C2808" s="16">
        <v>46243</v>
      </c>
      <c r="D2808">
        <v>88067.39</v>
      </c>
    </row>
    <row r="2809" spans="1:4" x14ac:dyDescent="0.3">
      <c r="A2809" t="s">
        <v>24</v>
      </c>
      <c r="C2809" s="16">
        <v>46243</v>
      </c>
      <c r="D2809">
        <v>13270.02</v>
      </c>
    </row>
    <row r="2810" spans="1:4" x14ac:dyDescent="0.3">
      <c r="A2810" t="s">
        <v>25</v>
      </c>
      <c r="C2810" s="16">
        <v>46243</v>
      </c>
      <c r="D2810">
        <v>24.450000000000003</v>
      </c>
    </row>
    <row r="2811" spans="1:4" x14ac:dyDescent="0.3">
      <c r="A2811" t="s">
        <v>26</v>
      </c>
      <c r="C2811" s="16">
        <v>46243</v>
      </c>
      <c r="D2811">
        <v>2177.87</v>
      </c>
    </row>
    <row r="2812" spans="1:4" x14ac:dyDescent="0.3">
      <c r="A2812" t="s">
        <v>27</v>
      </c>
      <c r="C2812" s="16">
        <v>46243</v>
      </c>
      <c r="D2812">
        <v>1454589.72</v>
      </c>
    </row>
    <row r="2813" spans="1:4" x14ac:dyDescent="0.3">
      <c r="A2813" t="s">
        <v>28</v>
      </c>
      <c r="C2813" s="16">
        <v>46243</v>
      </c>
      <c r="D2813">
        <v>1968.99</v>
      </c>
    </row>
    <row r="2814" spans="1:4" x14ac:dyDescent="0.3">
      <c r="A2814" t="s">
        <v>29</v>
      </c>
      <c r="C2814" s="16">
        <v>46243</v>
      </c>
      <c r="D2814">
        <v>901.34</v>
      </c>
    </row>
    <row r="2815" spans="1:4" x14ac:dyDescent="0.3">
      <c r="A2815" t="s">
        <v>30</v>
      </c>
      <c r="C2815" s="16">
        <v>46243</v>
      </c>
      <c r="D2815">
        <v>1396.08</v>
      </c>
    </row>
    <row r="2816" spans="1:4" x14ac:dyDescent="0.3">
      <c r="A2816" t="s">
        <v>31</v>
      </c>
      <c r="C2816" s="16">
        <v>46243</v>
      </c>
      <c r="D2816">
        <v>11259.639999999961</v>
      </c>
    </row>
    <row r="2817" spans="1:4" x14ac:dyDescent="0.3">
      <c r="A2817" t="s">
        <v>32</v>
      </c>
      <c r="C2817" s="16">
        <v>46243</v>
      </c>
      <c r="D2817">
        <v>8724.1700000000037</v>
      </c>
    </row>
    <row r="2818" spans="1:4" x14ac:dyDescent="0.3">
      <c r="A2818" t="s">
        <v>33</v>
      </c>
      <c r="C2818" s="16">
        <v>46243</v>
      </c>
      <c r="D2818">
        <v>20106.099999999999</v>
      </c>
    </row>
    <row r="2819" spans="1:4" x14ac:dyDescent="0.3">
      <c r="A2819" t="s">
        <v>34</v>
      </c>
      <c r="C2819" s="16">
        <v>46243</v>
      </c>
      <c r="D2819">
        <v>345</v>
      </c>
    </row>
    <row r="2820" spans="1:4" x14ac:dyDescent="0.3">
      <c r="A2820" t="s">
        <v>35</v>
      </c>
      <c r="C2820" s="16">
        <v>46243</v>
      </c>
      <c r="D2820">
        <v>12470.040000000003</v>
      </c>
    </row>
    <row r="2821" spans="1:4" x14ac:dyDescent="0.3">
      <c r="A2821" t="s">
        <v>193</v>
      </c>
      <c r="C2821" s="16">
        <v>46243</v>
      </c>
      <c r="D2821">
        <v>0</v>
      </c>
    </row>
    <row r="2822" spans="1:4" x14ac:dyDescent="0.3">
      <c r="A2822" t="s">
        <v>194</v>
      </c>
      <c r="C2822" s="16">
        <v>46243</v>
      </c>
      <c r="D2822">
        <v>0</v>
      </c>
    </row>
    <row r="2823" spans="1:4" x14ac:dyDescent="0.3">
      <c r="A2823" t="s">
        <v>195</v>
      </c>
      <c r="C2823" s="16">
        <v>46243</v>
      </c>
      <c r="D2823">
        <v>0</v>
      </c>
    </row>
    <row r="2824" spans="1:4" x14ac:dyDescent="0.3">
      <c r="A2824" t="s">
        <v>196</v>
      </c>
      <c r="C2824" s="16">
        <v>46243</v>
      </c>
      <c r="D2824">
        <v>0</v>
      </c>
    </row>
    <row r="2825" spans="1:4" x14ac:dyDescent="0.3">
      <c r="A2825" t="s">
        <v>197</v>
      </c>
      <c r="C2825" s="16">
        <v>46243</v>
      </c>
      <c r="D2825">
        <v>0</v>
      </c>
    </row>
    <row r="2826" spans="1:4" x14ac:dyDescent="0.3">
      <c r="A2826" t="s">
        <v>198</v>
      </c>
      <c r="C2826" s="16">
        <v>46243</v>
      </c>
      <c r="D2826">
        <v>0</v>
      </c>
    </row>
    <row r="2827" spans="1:4" x14ac:dyDescent="0.3">
      <c r="A2827" t="s">
        <v>216</v>
      </c>
      <c r="C2827" s="16">
        <v>46243</v>
      </c>
      <c r="D2827">
        <v>0</v>
      </c>
    </row>
    <row r="2828" spans="1:4" x14ac:dyDescent="0.3">
      <c r="A2828" t="s">
        <v>200</v>
      </c>
      <c r="C2828" s="16">
        <v>46243</v>
      </c>
      <c r="D2828">
        <v>0</v>
      </c>
    </row>
    <row r="2829" spans="1:4" x14ac:dyDescent="0.3">
      <c r="A2829" t="s">
        <v>201</v>
      </c>
      <c r="C2829" s="16">
        <v>46243</v>
      </c>
      <c r="D2829">
        <v>0</v>
      </c>
    </row>
    <row r="2830" spans="1:4" x14ac:dyDescent="0.3">
      <c r="A2830" t="s">
        <v>17</v>
      </c>
      <c r="C2830" s="16">
        <v>46244</v>
      </c>
      <c r="D2830">
        <v>1260076.9800000002</v>
      </c>
    </row>
    <row r="2831" spans="1:4" x14ac:dyDescent="0.3">
      <c r="A2831" t="s">
        <v>18</v>
      </c>
      <c r="C2831" s="16">
        <v>46244</v>
      </c>
      <c r="D2831">
        <v>83211.250000000175</v>
      </c>
    </row>
    <row r="2832" spans="1:4" x14ac:dyDescent="0.3">
      <c r="A2832" t="s">
        <v>19</v>
      </c>
      <c r="C2832" s="16">
        <v>46244</v>
      </c>
      <c r="D2832">
        <v>1669.89</v>
      </c>
    </row>
    <row r="2833" spans="1:4" x14ac:dyDescent="0.3">
      <c r="A2833" t="s">
        <v>20</v>
      </c>
      <c r="C2833" s="16">
        <v>46244</v>
      </c>
      <c r="D2833">
        <v>1349451.94</v>
      </c>
    </row>
    <row r="2834" spans="1:4" x14ac:dyDescent="0.3">
      <c r="A2834" t="s">
        <v>21</v>
      </c>
      <c r="C2834" s="16">
        <v>46244</v>
      </c>
      <c r="D2834">
        <v>2098801.8999999994</v>
      </c>
    </row>
    <row r="2835" spans="1:4" x14ac:dyDescent="0.3">
      <c r="A2835" t="s">
        <v>22</v>
      </c>
      <c r="C2835" s="16">
        <v>46244</v>
      </c>
      <c r="D2835">
        <v>171496.38</v>
      </c>
    </row>
    <row r="2836" spans="1:4" x14ac:dyDescent="0.3">
      <c r="A2836" t="s">
        <v>23</v>
      </c>
      <c r="C2836" s="16">
        <v>46244</v>
      </c>
      <c r="D2836">
        <v>88067.39</v>
      </c>
    </row>
    <row r="2837" spans="1:4" x14ac:dyDescent="0.3">
      <c r="A2837" t="s">
        <v>24</v>
      </c>
      <c r="C2837" s="16">
        <v>46244</v>
      </c>
      <c r="D2837">
        <v>13270.02</v>
      </c>
    </row>
    <row r="2838" spans="1:4" x14ac:dyDescent="0.3">
      <c r="A2838" t="s">
        <v>25</v>
      </c>
      <c r="C2838" s="16">
        <v>46244</v>
      </c>
      <c r="D2838">
        <v>24.450000000000003</v>
      </c>
    </row>
    <row r="2839" spans="1:4" x14ac:dyDescent="0.3">
      <c r="A2839" t="s">
        <v>26</v>
      </c>
      <c r="C2839" s="16">
        <v>46244</v>
      </c>
      <c r="D2839">
        <v>2177.87</v>
      </c>
    </row>
    <row r="2840" spans="1:4" x14ac:dyDescent="0.3">
      <c r="A2840" t="s">
        <v>27</v>
      </c>
      <c r="C2840" s="16">
        <v>46244</v>
      </c>
      <c r="D2840">
        <v>1454589.72</v>
      </c>
    </row>
    <row r="2841" spans="1:4" x14ac:dyDescent="0.3">
      <c r="A2841" t="s">
        <v>28</v>
      </c>
      <c r="C2841" s="16">
        <v>46244</v>
      </c>
      <c r="D2841">
        <v>1968.99</v>
      </c>
    </row>
    <row r="2842" spans="1:4" x14ac:dyDescent="0.3">
      <c r="A2842" t="s">
        <v>29</v>
      </c>
      <c r="C2842" s="16">
        <v>46244</v>
      </c>
      <c r="D2842">
        <v>901.34</v>
      </c>
    </row>
    <row r="2843" spans="1:4" x14ac:dyDescent="0.3">
      <c r="A2843" t="s">
        <v>30</v>
      </c>
      <c r="C2843" s="16">
        <v>46244</v>
      </c>
      <c r="D2843">
        <v>1396.08</v>
      </c>
    </row>
    <row r="2844" spans="1:4" x14ac:dyDescent="0.3">
      <c r="A2844" t="s">
        <v>31</v>
      </c>
      <c r="C2844" s="16">
        <v>46244</v>
      </c>
      <c r="D2844">
        <v>3700.7099999999591</v>
      </c>
    </row>
    <row r="2845" spans="1:4" x14ac:dyDescent="0.3">
      <c r="A2845" t="s">
        <v>32</v>
      </c>
      <c r="C2845" s="16">
        <v>46244</v>
      </c>
      <c r="D2845">
        <v>8724.1700000000037</v>
      </c>
    </row>
    <row r="2846" spans="1:4" x14ac:dyDescent="0.3">
      <c r="A2846" t="s">
        <v>33</v>
      </c>
      <c r="C2846" s="16">
        <v>46244</v>
      </c>
      <c r="D2846">
        <v>20106.099999999999</v>
      </c>
    </row>
    <row r="2847" spans="1:4" x14ac:dyDescent="0.3">
      <c r="A2847" t="s">
        <v>34</v>
      </c>
      <c r="C2847" s="16">
        <v>46244</v>
      </c>
      <c r="D2847">
        <v>345</v>
      </c>
    </row>
    <row r="2848" spans="1:4" x14ac:dyDescent="0.3">
      <c r="A2848" t="s">
        <v>35</v>
      </c>
      <c r="C2848" s="16">
        <v>46244</v>
      </c>
      <c r="D2848">
        <v>12470.040000000003</v>
      </c>
    </row>
    <row r="2849" spans="1:4" x14ac:dyDescent="0.3">
      <c r="A2849" t="s">
        <v>193</v>
      </c>
      <c r="C2849" s="16">
        <v>46244</v>
      </c>
      <c r="D2849">
        <v>0</v>
      </c>
    </row>
    <row r="2850" spans="1:4" x14ac:dyDescent="0.3">
      <c r="A2850" t="s">
        <v>194</v>
      </c>
      <c r="C2850" s="16">
        <v>46244</v>
      </c>
      <c r="D2850">
        <v>0</v>
      </c>
    </row>
    <row r="2851" spans="1:4" x14ac:dyDescent="0.3">
      <c r="A2851" t="s">
        <v>195</v>
      </c>
      <c r="C2851" s="16">
        <v>46244</v>
      </c>
      <c r="D2851">
        <v>0</v>
      </c>
    </row>
    <row r="2852" spans="1:4" x14ac:dyDescent="0.3">
      <c r="A2852" t="s">
        <v>196</v>
      </c>
      <c r="C2852" s="16">
        <v>46244</v>
      </c>
      <c r="D2852">
        <v>0</v>
      </c>
    </row>
    <row r="2853" spans="1:4" x14ac:dyDescent="0.3">
      <c r="A2853" t="s">
        <v>197</v>
      </c>
      <c r="C2853" s="16">
        <v>46244</v>
      </c>
      <c r="D2853">
        <v>0</v>
      </c>
    </row>
    <row r="2854" spans="1:4" x14ac:dyDescent="0.3">
      <c r="A2854" t="s">
        <v>198</v>
      </c>
      <c r="C2854" s="16">
        <v>46244</v>
      </c>
      <c r="D2854">
        <v>0</v>
      </c>
    </row>
    <row r="2855" spans="1:4" x14ac:dyDescent="0.3">
      <c r="A2855" t="s">
        <v>216</v>
      </c>
      <c r="C2855" s="16">
        <v>46244</v>
      </c>
      <c r="D2855">
        <v>0</v>
      </c>
    </row>
    <row r="2856" spans="1:4" x14ac:dyDescent="0.3">
      <c r="A2856" t="s">
        <v>200</v>
      </c>
      <c r="C2856" s="16">
        <v>46244</v>
      </c>
      <c r="D2856">
        <v>0</v>
      </c>
    </row>
    <row r="2857" spans="1:4" x14ac:dyDescent="0.3">
      <c r="A2857" t="s">
        <v>201</v>
      </c>
      <c r="C2857" s="16">
        <v>46244</v>
      </c>
      <c r="D2857">
        <v>0</v>
      </c>
    </row>
    <row r="2858" spans="1:4" x14ac:dyDescent="0.3">
      <c r="A2858" t="s">
        <v>17</v>
      </c>
      <c r="C2858" s="16">
        <v>46245</v>
      </c>
      <c r="D2858">
        <v>1260076.9800000002</v>
      </c>
    </row>
    <row r="2859" spans="1:4" x14ac:dyDescent="0.3">
      <c r="A2859" t="s">
        <v>18</v>
      </c>
      <c r="C2859" s="16">
        <v>46245</v>
      </c>
      <c r="D2859">
        <v>83211.250000000175</v>
      </c>
    </row>
    <row r="2860" spans="1:4" x14ac:dyDescent="0.3">
      <c r="A2860" t="s">
        <v>19</v>
      </c>
      <c r="C2860" s="16">
        <v>46245</v>
      </c>
      <c r="D2860">
        <v>1669.89</v>
      </c>
    </row>
    <row r="2861" spans="1:4" x14ac:dyDescent="0.3">
      <c r="A2861" t="s">
        <v>20</v>
      </c>
      <c r="C2861" s="16">
        <v>46245</v>
      </c>
      <c r="D2861">
        <v>1349451.94</v>
      </c>
    </row>
    <row r="2862" spans="1:4" x14ac:dyDescent="0.3">
      <c r="A2862" t="s">
        <v>21</v>
      </c>
      <c r="C2862" s="16">
        <v>46245</v>
      </c>
      <c r="D2862">
        <v>1622920.8199999996</v>
      </c>
    </row>
    <row r="2863" spans="1:4" x14ac:dyDescent="0.3">
      <c r="A2863" t="s">
        <v>22</v>
      </c>
      <c r="C2863" s="16">
        <v>46245</v>
      </c>
      <c r="D2863">
        <v>171496.38</v>
      </c>
    </row>
    <row r="2864" spans="1:4" x14ac:dyDescent="0.3">
      <c r="A2864" t="s">
        <v>23</v>
      </c>
      <c r="C2864" s="16">
        <v>46245</v>
      </c>
      <c r="D2864">
        <v>88067.39</v>
      </c>
    </row>
    <row r="2865" spans="1:4" x14ac:dyDescent="0.3">
      <c r="A2865" t="s">
        <v>24</v>
      </c>
      <c r="C2865" s="16">
        <v>46245</v>
      </c>
      <c r="D2865">
        <v>13270.02</v>
      </c>
    </row>
    <row r="2866" spans="1:4" x14ac:dyDescent="0.3">
      <c r="A2866" t="s">
        <v>25</v>
      </c>
      <c r="C2866" s="16">
        <v>46245</v>
      </c>
      <c r="D2866">
        <v>24.450000000000003</v>
      </c>
    </row>
    <row r="2867" spans="1:4" x14ac:dyDescent="0.3">
      <c r="A2867" t="s">
        <v>26</v>
      </c>
      <c r="C2867" s="16">
        <v>46245</v>
      </c>
      <c r="D2867">
        <v>2177.87</v>
      </c>
    </row>
    <row r="2868" spans="1:4" x14ac:dyDescent="0.3">
      <c r="A2868" t="s">
        <v>27</v>
      </c>
      <c r="C2868" s="16">
        <v>46245</v>
      </c>
      <c r="D2868">
        <v>1454589.72</v>
      </c>
    </row>
    <row r="2869" spans="1:4" x14ac:dyDescent="0.3">
      <c r="A2869" t="s">
        <v>28</v>
      </c>
      <c r="C2869" s="16">
        <v>46245</v>
      </c>
      <c r="D2869">
        <v>1968.99</v>
      </c>
    </row>
    <row r="2870" spans="1:4" x14ac:dyDescent="0.3">
      <c r="A2870" t="s">
        <v>29</v>
      </c>
      <c r="C2870" s="16">
        <v>46245</v>
      </c>
      <c r="D2870">
        <v>901.34</v>
      </c>
    </row>
    <row r="2871" spans="1:4" x14ac:dyDescent="0.3">
      <c r="A2871" t="s">
        <v>30</v>
      </c>
      <c r="C2871" s="16">
        <v>46245</v>
      </c>
      <c r="D2871">
        <v>1396.08</v>
      </c>
    </row>
    <row r="2872" spans="1:4" x14ac:dyDescent="0.3">
      <c r="A2872" t="s">
        <v>31</v>
      </c>
      <c r="C2872" s="16">
        <v>46245</v>
      </c>
      <c r="D2872">
        <v>3700.7099999999591</v>
      </c>
    </row>
    <row r="2873" spans="1:4" x14ac:dyDescent="0.3">
      <c r="A2873" t="s">
        <v>32</v>
      </c>
      <c r="C2873" s="16">
        <v>46245</v>
      </c>
      <c r="D2873">
        <v>8724.1700000000037</v>
      </c>
    </row>
    <row r="2874" spans="1:4" x14ac:dyDescent="0.3">
      <c r="A2874" t="s">
        <v>33</v>
      </c>
      <c r="C2874" s="16">
        <v>46245</v>
      </c>
      <c r="D2874">
        <v>19442.439999999995</v>
      </c>
    </row>
    <row r="2875" spans="1:4" x14ac:dyDescent="0.3">
      <c r="A2875" t="s">
        <v>34</v>
      </c>
      <c r="C2875" s="16">
        <v>46245</v>
      </c>
      <c r="D2875">
        <v>345</v>
      </c>
    </row>
    <row r="2876" spans="1:4" x14ac:dyDescent="0.3">
      <c r="A2876" t="s">
        <v>35</v>
      </c>
      <c r="C2876" s="16">
        <v>46245</v>
      </c>
      <c r="D2876">
        <v>12470.040000000003</v>
      </c>
    </row>
    <row r="2877" spans="1:4" x14ac:dyDescent="0.3">
      <c r="A2877" t="s">
        <v>193</v>
      </c>
      <c r="C2877" s="16">
        <v>46245</v>
      </c>
      <c r="D2877">
        <v>0</v>
      </c>
    </row>
    <row r="2878" spans="1:4" x14ac:dyDescent="0.3">
      <c r="A2878" t="s">
        <v>194</v>
      </c>
      <c r="C2878" s="16">
        <v>46245</v>
      </c>
      <c r="D2878">
        <v>0</v>
      </c>
    </row>
    <row r="2879" spans="1:4" x14ac:dyDescent="0.3">
      <c r="A2879" t="s">
        <v>195</v>
      </c>
      <c r="C2879" s="16">
        <v>46245</v>
      </c>
      <c r="D2879">
        <v>0</v>
      </c>
    </row>
    <row r="2880" spans="1:4" x14ac:dyDescent="0.3">
      <c r="A2880" t="s">
        <v>196</v>
      </c>
      <c r="C2880" s="16">
        <v>46245</v>
      </c>
      <c r="D2880">
        <v>0</v>
      </c>
    </row>
    <row r="2881" spans="1:4" x14ac:dyDescent="0.3">
      <c r="A2881" t="s">
        <v>197</v>
      </c>
      <c r="C2881" s="16">
        <v>46245</v>
      </c>
      <c r="D2881">
        <v>0</v>
      </c>
    </row>
    <row r="2882" spans="1:4" x14ac:dyDescent="0.3">
      <c r="A2882" t="s">
        <v>198</v>
      </c>
      <c r="C2882" s="16">
        <v>46245</v>
      </c>
      <c r="D2882">
        <v>0</v>
      </c>
    </row>
    <row r="2883" spans="1:4" x14ac:dyDescent="0.3">
      <c r="A2883" t="s">
        <v>216</v>
      </c>
      <c r="C2883" s="16">
        <v>46245</v>
      </c>
      <c r="D2883">
        <v>0</v>
      </c>
    </row>
    <row r="2884" spans="1:4" x14ac:dyDescent="0.3">
      <c r="A2884" t="s">
        <v>200</v>
      </c>
      <c r="C2884" s="16">
        <v>46245</v>
      </c>
      <c r="D2884">
        <v>0</v>
      </c>
    </row>
    <row r="2885" spans="1:4" x14ac:dyDescent="0.3">
      <c r="A2885" t="s">
        <v>201</v>
      </c>
      <c r="C2885" s="16">
        <v>46245</v>
      </c>
      <c r="D2885">
        <v>0</v>
      </c>
    </row>
    <row r="2886" spans="1:4" x14ac:dyDescent="0.3">
      <c r="A2886" t="s">
        <v>17</v>
      </c>
      <c r="C2886" s="16">
        <v>46246</v>
      </c>
      <c r="D2886">
        <v>1260076.9800000002</v>
      </c>
    </row>
    <row r="2887" spans="1:4" x14ac:dyDescent="0.3">
      <c r="A2887" t="s">
        <v>18</v>
      </c>
      <c r="C2887" s="16">
        <v>46246</v>
      </c>
      <c r="D2887">
        <v>83211.250000000175</v>
      </c>
    </row>
    <row r="2888" spans="1:4" x14ac:dyDescent="0.3">
      <c r="A2888" t="s">
        <v>19</v>
      </c>
      <c r="C2888" s="16">
        <v>46246</v>
      </c>
      <c r="D2888">
        <v>1669.89</v>
      </c>
    </row>
    <row r="2889" spans="1:4" x14ac:dyDescent="0.3">
      <c r="A2889" t="s">
        <v>20</v>
      </c>
      <c r="C2889" s="16">
        <v>46246</v>
      </c>
      <c r="D2889">
        <v>1349451.94</v>
      </c>
    </row>
    <row r="2890" spans="1:4" x14ac:dyDescent="0.3">
      <c r="A2890" t="s">
        <v>21</v>
      </c>
      <c r="C2890" s="16">
        <v>46246</v>
      </c>
      <c r="D2890">
        <v>1622914.8199999996</v>
      </c>
    </row>
    <row r="2891" spans="1:4" x14ac:dyDescent="0.3">
      <c r="A2891" t="s">
        <v>22</v>
      </c>
      <c r="C2891" s="16">
        <v>46246</v>
      </c>
      <c r="D2891">
        <v>731496.38</v>
      </c>
    </row>
    <row r="2892" spans="1:4" x14ac:dyDescent="0.3">
      <c r="A2892" t="s">
        <v>23</v>
      </c>
      <c r="C2892" s="16">
        <v>46246</v>
      </c>
      <c r="D2892">
        <v>158067.38999999998</v>
      </c>
    </row>
    <row r="2893" spans="1:4" x14ac:dyDescent="0.3">
      <c r="A2893" t="s">
        <v>24</v>
      </c>
      <c r="C2893" s="16">
        <v>46246</v>
      </c>
      <c r="D2893">
        <v>13270.02</v>
      </c>
    </row>
    <row r="2894" spans="1:4" x14ac:dyDescent="0.3">
      <c r="A2894" t="s">
        <v>25</v>
      </c>
      <c r="C2894" s="16">
        <v>46246</v>
      </c>
      <c r="D2894">
        <v>24.450000000000003</v>
      </c>
    </row>
    <row r="2895" spans="1:4" x14ac:dyDescent="0.3">
      <c r="A2895" t="s">
        <v>26</v>
      </c>
      <c r="C2895" s="16">
        <v>46246</v>
      </c>
      <c r="D2895">
        <v>2177.87</v>
      </c>
    </row>
    <row r="2896" spans="1:4" x14ac:dyDescent="0.3">
      <c r="A2896" t="s">
        <v>27</v>
      </c>
      <c r="C2896" s="16">
        <v>46246</v>
      </c>
      <c r="D2896">
        <v>754424.72</v>
      </c>
    </row>
    <row r="2897" spans="1:4" x14ac:dyDescent="0.3">
      <c r="A2897" t="s">
        <v>28</v>
      </c>
      <c r="C2897" s="16">
        <v>46246</v>
      </c>
      <c r="D2897">
        <v>1968.99</v>
      </c>
    </row>
    <row r="2898" spans="1:4" x14ac:dyDescent="0.3">
      <c r="A2898" t="s">
        <v>29</v>
      </c>
      <c r="C2898" s="16">
        <v>46246</v>
      </c>
      <c r="D2898">
        <v>901.34</v>
      </c>
    </row>
    <row r="2899" spans="1:4" x14ac:dyDescent="0.3">
      <c r="A2899" t="s">
        <v>30</v>
      </c>
      <c r="C2899" s="16">
        <v>46246</v>
      </c>
      <c r="D2899">
        <v>1396.08</v>
      </c>
    </row>
    <row r="2900" spans="1:4" x14ac:dyDescent="0.3">
      <c r="A2900" t="s">
        <v>31</v>
      </c>
      <c r="C2900" s="16">
        <v>46246</v>
      </c>
      <c r="D2900">
        <v>3700.7099999999591</v>
      </c>
    </row>
    <row r="2901" spans="1:4" x14ac:dyDescent="0.3">
      <c r="A2901" t="s">
        <v>32</v>
      </c>
      <c r="C2901" s="16">
        <v>46246</v>
      </c>
      <c r="D2901">
        <v>8724.1700000000037</v>
      </c>
    </row>
    <row r="2902" spans="1:4" x14ac:dyDescent="0.3">
      <c r="A2902" t="s">
        <v>33</v>
      </c>
      <c r="C2902" s="16">
        <v>46246</v>
      </c>
      <c r="D2902">
        <v>19336.039999999997</v>
      </c>
    </row>
    <row r="2903" spans="1:4" x14ac:dyDescent="0.3">
      <c r="A2903" t="s">
        <v>34</v>
      </c>
      <c r="C2903" s="16">
        <v>46246</v>
      </c>
      <c r="D2903">
        <v>345</v>
      </c>
    </row>
    <row r="2904" spans="1:4" x14ac:dyDescent="0.3">
      <c r="A2904" t="s">
        <v>35</v>
      </c>
      <c r="C2904" s="16">
        <v>46246</v>
      </c>
      <c r="D2904">
        <v>12470.040000000003</v>
      </c>
    </row>
    <row r="2905" spans="1:4" x14ac:dyDescent="0.3">
      <c r="A2905" t="s">
        <v>193</v>
      </c>
      <c r="C2905" s="16">
        <v>46246</v>
      </c>
      <c r="D2905">
        <v>0</v>
      </c>
    </row>
    <row r="2906" spans="1:4" x14ac:dyDescent="0.3">
      <c r="A2906" t="s">
        <v>194</v>
      </c>
      <c r="C2906" s="16">
        <v>46246</v>
      </c>
      <c r="D2906">
        <v>0</v>
      </c>
    </row>
    <row r="2907" spans="1:4" x14ac:dyDescent="0.3">
      <c r="A2907" t="s">
        <v>195</v>
      </c>
      <c r="C2907" s="16">
        <v>46246</v>
      </c>
      <c r="D2907">
        <v>0</v>
      </c>
    </row>
    <row r="2908" spans="1:4" x14ac:dyDescent="0.3">
      <c r="A2908" t="s">
        <v>196</v>
      </c>
      <c r="C2908" s="16">
        <v>46246</v>
      </c>
      <c r="D2908">
        <v>0</v>
      </c>
    </row>
    <row r="2909" spans="1:4" x14ac:dyDescent="0.3">
      <c r="A2909" t="s">
        <v>197</v>
      </c>
      <c r="C2909" s="16">
        <v>46246</v>
      </c>
      <c r="D2909">
        <v>0</v>
      </c>
    </row>
    <row r="2910" spans="1:4" x14ac:dyDescent="0.3">
      <c r="A2910" t="s">
        <v>198</v>
      </c>
      <c r="C2910" s="16">
        <v>46246</v>
      </c>
      <c r="D2910">
        <v>0</v>
      </c>
    </row>
    <row r="2911" spans="1:4" x14ac:dyDescent="0.3">
      <c r="A2911" t="s">
        <v>216</v>
      </c>
      <c r="C2911" s="16">
        <v>46246</v>
      </c>
      <c r="D2911">
        <v>0</v>
      </c>
    </row>
    <row r="2912" spans="1:4" x14ac:dyDescent="0.3">
      <c r="A2912" t="s">
        <v>200</v>
      </c>
      <c r="C2912" s="16">
        <v>46246</v>
      </c>
      <c r="D2912">
        <v>0</v>
      </c>
    </row>
    <row r="2913" spans="1:4" x14ac:dyDescent="0.3">
      <c r="A2913" t="s">
        <v>201</v>
      </c>
      <c r="C2913" s="16">
        <v>46246</v>
      </c>
      <c r="D2913">
        <v>0</v>
      </c>
    </row>
    <row r="2914" spans="1:4" x14ac:dyDescent="0.3">
      <c r="A2914" t="s">
        <v>17</v>
      </c>
      <c r="C2914" s="16">
        <v>46247</v>
      </c>
      <c r="D2914">
        <v>1041223.5800000004</v>
      </c>
    </row>
    <row r="2915" spans="1:4" x14ac:dyDescent="0.3">
      <c r="A2915" t="s">
        <v>18</v>
      </c>
      <c r="C2915" s="16">
        <v>46247</v>
      </c>
      <c r="D2915">
        <v>83211.250000000175</v>
      </c>
    </row>
    <row r="2916" spans="1:4" x14ac:dyDescent="0.3">
      <c r="A2916" t="s">
        <v>19</v>
      </c>
      <c r="C2916" s="16">
        <v>46247</v>
      </c>
      <c r="D2916">
        <v>1669.89</v>
      </c>
    </row>
    <row r="2917" spans="1:4" x14ac:dyDescent="0.3">
      <c r="A2917" t="s">
        <v>20</v>
      </c>
      <c r="C2917" s="16">
        <v>46247</v>
      </c>
      <c r="D2917">
        <v>1289451.94</v>
      </c>
    </row>
    <row r="2918" spans="1:4" x14ac:dyDescent="0.3">
      <c r="A2918" t="s">
        <v>21</v>
      </c>
      <c r="C2918" s="16">
        <v>46247</v>
      </c>
      <c r="D2918">
        <v>1418808.6399999997</v>
      </c>
    </row>
    <row r="2919" spans="1:4" x14ac:dyDescent="0.3">
      <c r="A2919" t="s">
        <v>22</v>
      </c>
      <c r="C2919" s="16">
        <v>46247</v>
      </c>
      <c r="D2919">
        <v>221496.38</v>
      </c>
    </row>
    <row r="2920" spans="1:4" x14ac:dyDescent="0.3">
      <c r="A2920" t="s">
        <v>23</v>
      </c>
      <c r="C2920" s="16">
        <v>46247</v>
      </c>
      <c r="D2920">
        <v>158067.38999999998</v>
      </c>
    </row>
    <row r="2921" spans="1:4" x14ac:dyDescent="0.3">
      <c r="A2921" t="s">
        <v>24</v>
      </c>
      <c r="C2921" s="16">
        <v>46247</v>
      </c>
      <c r="D2921">
        <v>13270.02</v>
      </c>
    </row>
    <row r="2922" spans="1:4" x14ac:dyDescent="0.3">
      <c r="A2922" t="s">
        <v>25</v>
      </c>
      <c r="C2922" s="16">
        <v>46247</v>
      </c>
      <c r="D2922">
        <v>24.450000000000003</v>
      </c>
    </row>
    <row r="2923" spans="1:4" x14ac:dyDescent="0.3">
      <c r="A2923" t="s">
        <v>26</v>
      </c>
      <c r="C2923" s="16">
        <v>46247</v>
      </c>
      <c r="D2923">
        <v>2177.87</v>
      </c>
    </row>
    <row r="2924" spans="1:4" x14ac:dyDescent="0.3">
      <c r="A2924" t="s">
        <v>27</v>
      </c>
      <c r="C2924" s="16">
        <v>46247</v>
      </c>
      <c r="D2924">
        <v>754424.72</v>
      </c>
    </row>
    <row r="2925" spans="1:4" x14ac:dyDescent="0.3">
      <c r="A2925" t="s">
        <v>28</v>
      </c>
      <c r="C2925" s="16">
        <v>46247</v>
      </c>
      <c r="D2925">
        <v>1968.99</v>
      </c>
    </row>
    <row r="2926" spans="1:4" x14ac:dyDescent="0.3">
      <c r="A2926" t="s">
        <v>29</v>
      </c>
      <c r="C2926" s="16">
        <v>46247</v>
      </c>
      <c r="D2926">
        <v>901.34</v>
      </c>
    </row>
    <row r="2927" spans="1:4" x14ac:dyDescent="0.3">
      <c r="A2927" t="s">
        <v>30</v>
      </c>
      <c r="C2927" s="16">
        <v>46247</v>
      </c>
      <c r="D2927">
        <v>1396.08</v>
      </c>
    </row>
    <row r="2928" spans="1:4" x14ac:dyDescent="0.3">
      <c r="A2928" t="s">
        <v>31</v>
      </c>
      <c r="C2928" s="16">
        <v>46247</v>
      </c>
      <c r="D2928">
        <v>13700.709999999959</v>
      </c>
    </row>
    <row r="2929" spans="1:4" x14ac:dyDescent="0.3">
      <c r="A2929" t="s">
        <v>32</v>
      </c>
      <c r="C2929" s="16">
        <v>46247</v>
      </c>
      <c r="D2929">
        <v>8724.1700000000037</v>
      </c>
    </row>
    <row r="2930" spans="1:4" x14ac:dyDescent="0.3">
      <c r="A2930" t="s">
        <v>33</v>
      </c>
      <c r="C2930" s="16">
        <v>46247</v>
      </c>
      <c r="D2930">
        <v>19336.039999999997</v>
      </c>
    </row>
    <row r="2931" spans="1:4" x14ac:dyDescent="0.3">
      <c r="A2931" t="s">
        <v>34</v>
      </c>
      <c r="C2931" s="16">
        <v>46247</v>
      </c>
      <c r="D2931">
        <v>345</v>
      </c>
    </row>
    <row r="2932" spans="1:4" x14ac:dyDescent="0.3">
      <c r="A2932" t="s">
        <v>35</v>
      </c>
      <c r="C2932" s="16">
        <v>46247</v>
      </c>
      <c r="D2932">
        <v>14740.900000000001</v>
      </c>
    </row>
    <row r="2933" spans="1:4" x14ac:dyDescent="0.3">
      <c r="A2933" t="s">
        <v>193</v>
      </c>
      <c r="C2933" s="16">
        <v>46247</v>
      </c>
      <c r="D2933">
        <v>0</v>
      </c>
    </row>
    <row r="2934" spans="1:4" x14ac:dyDescent="0.3">
      <c r="A2934" t="s">
        <v>194</v>
      </c>
      <c r="C2934" s="16">
        <v>46247</v>
      </c>
      <c r="D2934">
        <v>0</v>
      </c>
    </row>
    <row r="2935" spans="1:4" x14ac:dyDescent="0.3">
      <c r="A2935" t="s">
        <v>195</v>
      </c>
      <c r="C2935" s="16">
        <v>46247</v>
      </c>
      <c r="D2935">
        <v>0</v>
      </c>
    </row>
    <row r="2936" spans="1:4" x14ac:dyDescent="0.3">
      <c r="A2936" t="s">
        <v>196</v>
      </c>
      <c r="C2936" s="16">
        <v>46247</v>
      </c>
      <c r="D2936">
        <v>0</v>
      </c>
    </row>
    <row r="2937" spans="1:4" x14ac:dyDescent="0.3">
      <c r="A2937" t="s">
        <v>197</v>
      </c>
      <c r="C2937" s="16">
        <v>46247</v>
      </c>
      <c r="D2937">
        <v>0</v>
      </c>
    </row>
    <row r="2938" spans="1:4" x14ac:dyDescent="0.3">
      <c r="A2938" t="s">
        <v>198</v>
      </c>
      <c r="C2938" s="16">
        <v>46247</v>
      </c>
      <c r="D2938">
        <v>0</v>
      </c>
    </row>
    <row r="2939" spans="1:4" x14ac:dyDescent="0.3">
      <c r="A2939" t="s">
        <v>216</v>
      </c>
      <c r="C2939" s="16">
        <v>46247</v>
      </c>
      <c r="D2939">
        <v>0</v>
      </c>
    </row>
    <row r="2940" spans="1:4" x14ac:dyDescent="0.3">
      <c r="A2940" t="s">
        <v>200</v>
      </c>
      <c r="C2940" s="16">
        <v>46247</v>
      </c>
      <c r="D2940">
        <v>0</v>
      </c>
    </row>
    <row r="2941" spans="1:4" x14ac:dyDescent="0.3">
      <c r="A2941" t="s">
        <v>201</v>
      </c>
      <c r="C2941" s="16">
        <v>46247</v>
      </c>
      <c r="D2941">
        <v>0</v>
      </c>
    </row>
    <row r="2942" spans="1:4" x14ac:dyDescent="0.3">
      <c r="A2942" t="s">
        <v>17</v>
      </c>
      <c r="C2942" s="16">
        <v>46248</v>
      </c>
      <c r="D2942">
        <v>941223.58000000042</v>
      </c>
    </row>
    <row r="2943" spans="1:4" x14ac:dyDescent="0.3">
      <c r="A2943" t="s">
        <v>18</v>
      </c>
      <c r="C2943" s="16">
        <v>46248</v>
      </c>
      <c r="D2943">
        <v>83211.250000000175</v>
      </c>
    </row>
    <row r="2944" spans="1:4" x14ac:dyDescent="0.3">
      <c r="A2944" t="s">
        <v>19</v>
      </c>
      <c r="C2944" s="16">
        <v>46248</v>
      </c>
      <c r="D2944">
        <v>1669.89</v>
      </c>
    </row>
    <row r="2945" spans="1:4" x14ac:dyDescent="0.3">
      <c r="A2945" t="s">
        <v>20</v>
      </c>
      <c r="C2945" s="16">
        <v>46248</v>
      </c>
      <c r="D2945">
        <v>1289451.94</v>
      </c>
    </row>
    <row r="2946" spans="1:4" x14ac:dyDescent="0.3">
      <c r="A2946" t="s">
        <v>21</v>
      </c>
      <c r="C2946" s="16">
        <v>46248</v>
      </c>
      <c r="D2946">
        <v>1418808.6399999997</v>
      </c>
    </row>
    <row r="2947" spans="1:4" x14ac:dyDescent="0.3">
      <c r="A2947" t="s">
        <v>22</v>
      </c>
      <c r="C2947" s="16">
        <v>46248</v>
      </c>
      <c r="D2947">
        <v>221496.38</v>
      </c>
    </row>
    <row r="2948" spans="1:4" x14ac:dyDescent="0.3">
      <c r="A2948" t="s">
        <v>23</v>
      </c>
      <c r="C2948" s="16">
        <v>46248</v>
      </c>
      <c r="D2948">
        <v>158071.25999999998</v>
      </c>
    </row>
    <row r="2949" spans="1:4" x14ac:dyDescent="0.3">
      <c r="A2949" t="s">
        <v>24</v>
      </c>
      <c r="C2949" s="16">
        <v>46248</v>
      </c>
      <c r="D2949">
        <v>13270.02</v>
      </c>
    </row>
    <row r="2950" spans="1:4" x14ac:dyDescent="0.3">
      <c r="A2950" t="s">
        <v>25</v>
      </c>
      <c r="C2950" s="16">
        <v>46248</v>
      </c>
      <c r="D2950">
        <v>24.450000000000003</v>
      </c>
    </row>
    <row r="2951" spans="1:4" x14ac:dyDescent="0.3">
      <c r="A2951" t="s">
        <v>26</v>
      </c>
      <c r="C2951" s="16">
        <v>46248</v>
      </c>
      <c r="D2951">
        <v>2177.87</v>
      </c>
    </row>
    <row r="2952" spans="1:4" x14ac:dyDescent="0.3">
      <c r="A2952" t="s">
        <v>27</v>
      </c>
      <c r="C2952" s="16">
        <v>46248</v>
      </c>
      <c r="D2952">
        <v>754424.72</v>
      </c>
    </row>
    <row r="2953" spans="1:4" x14ac:dyDescent="0.3">
      <c r="A2953" t="s">
        <v>28</v>
      </c>
      <c r="C2953" s="16">
        <v>46248</v>
      </c>
      <c r="D2953">
        <v>1968.99</v>
      </c>
    </row>
    <row r="2954" spans="1:4" x14ac:dyDescent="0.3">
      <c r="A2954" t="s">
        <v>29</v>
      </c>
      <c r="C2954" s="16">
        <v>46248</v>
      </c>
      <c r="D2954">
        <v>901.34</v>
      </c>
    </row>
    <row r="2955" spans="1:4" x14ac:dyDescent="0.3">
      <c r="A2955" t="s">
        <v>30</v>
      </c>
      <c r="C2955" s="16">
        <v>46248</v>
      </c>
      <c r="D2955">
        <v>1396.08</v>
      </c>
    </row>
    <row r="2956" spans="1:4" x14ac:dyDescent="0.3">
      <c r="A2956" t="s">
        <v>31</v>
      </c>
      <c r="C2956" s="16">
        <v>46248</v>
      </c>
      <c r="D2956">
        <v>13685.709999999959</v>
      </c>
    </row>
    <row r="2957" spans="1:4" x14ac:dyDescent="0.3">
      <c r="A2957" t="s">
        <v>32</v>
      </c>
      <c r="C2957" s="16">
        <v>46248</v>
      </c>
      <c r="D2957">
        <v>8724.1700000000037</v>
      </c>
    </row>
    <row r="2958" spans="1:4" x14ac:dyDescent="0.3">
      <c r="A2958" t="s">
        <v>33</v>
      </c>
      <c r="C2958" s="16">
        <v>46248</v>
      </c>
      <c r="D2958">
        <v>19336.039999999997</v>
      </c>
    </row>
    <row r="2959" spans="1:4" x14ac:dyDescent="0.3">
      <c r="A2959" t="s">
        <v>34</v>
      </c>
      <c r="C2959" s="16">
        <v>46248</v>
      </c>
      <c r="D2959">
        <v>345</v>
      </c>
    </row>
    <row r="2960" spans="1:4" x14ac:dyDescent="0.3">
      <c r="A2960" t="s">
        <v>35</v>
      </c>
      <c r="C2960" s="16">
        <v>46248</v>
      </c>
      <c r="D2960">
        <v>14740.900000000001</v>
      </c>
    </row>
    <row r="2961" spans="1:4" x14ac:dyDescent="0.3">
      <c r="A2961" t="s">
        <v>193</v>
      </c>
      <c r="C2961" s="16">
        <v>46248</v>
      </c>
      <c r="D2961">
        <v>0</v>
      </c>
    </row>
    <row r="2962" spans="1:4" x14ac:dyDescent="0.3">
      <c r="A2962" t="s">
        <v>194</v>
      </c>
      <c r="C2962" s="16">
        <v>46248</v>
      </c>
      <c r="D2962">
        <v>0</v>
      </c>
    </row>
    <row r="2963" spans="1:4" x14ac:dyDescent="0.3">
      <c r="A2963" t="s">
        <v>195</v>
      </c>
      <c r="C2963" s="16">
        <v>46248</v>
      </c>
      <c r="D2963">
        <v>0</v>
      </c>
    </row>
    <row r="2964" spans="1:4" x14ac:dyDescent="0.3">
      <c r="A2964" t="s">
        <v>196</v>
      </c>
      <c r="C2964" s="16">
        <v>46248</v>
      </c>
      <c r="D2964">
        <v>0</v>
      </c>
    </row>
    <row r="2965" spans="1:4" x14ac:dyDescent="0.3">
      <c r="A2965" t="s">
        <v>197</v>
      </c>
      <c r="C2965" s="16">
        <v>46248</v>
      </c>
      <c r="D2965">
        <v>0</v>
      </c>
    </row>
    <row r="2966" spans="1:4" x14ac:dyDescent="0.3">
      <c r="A2966" t="s">
        <v>198</v>
      </c>
      <c r="C2966" s="16">
        <v>46248</v>
      </c>
      <c r="D2966">
        <v>0</v>
      </c>
    </row>
    <row r="2967" spans="1:4" x14ac:dyDescent="0.3">
      <c r="A2967" t="s">
        <v>216</v>
      </c>
      <c r="C2967" s="16">
        <v>46248</v>
      </c>
      <c r="D2967">
        <v>0</v>
      </c>
    </row>
    <row r="2968" spans="1:4" x14ac:dyDescent="0.3">
      <c r="A2968" t="s">
        <v>200</v>
      </c>
      <c r="C2968" s="16">
        <v>46248</v>
      </c>
      <c r="D2968">
        <v>0</v>
      </c>
    </row>
    <row r="2969" spans="1:4" x14ac:dyDescent="0.3">
      <c r="A2969" t="s">
        <v>201</v>
      </c>
      <c r="C2969" s="16">
        <v>46248</v>
      </c>
      <c r="D2969">
        <v>0</v>
      </c>
    </row>
    <row r="2970" spans="1:4" x14ac:dyDescent="0.3">
      <c r="A2970" t="s">
        <v>17</v>
      </c>
      <c r="C2970" s="16">
        <v>46249</v>
      </c>
      <c r="D2970">
        <v>941223.58000000042</v>
      </c>
    </row>
    <row r="2971" spans="1:4" x14ac:dyDescent="0.3">
      <c r="A2971" t="s">
        <v>18</v>
      </c>
      <c r="C2971" s="16">
        <v>46249</v>
      </c>
      <c r="D2971">
        <v>83211.250000000175</v>
      </c>
    </row>
    <row r="2972" spans="1:4" x14ac:dyDescent="0.3">
      <c r="A2972" t="s">
        <v>19</v>
      </c>
      <c r="C2972" s="16">
        <v>46249</v>
      </c>
      <c r="D2972">
        <v>1669.89</v>
      </c>
    </row>
    <row r="2973" spans="1:4" x14ac:dyDescent="0.3">
      <c r="A2973" t="s">
        <v>20</v>
      </c>
      <c r="C2973" s="16">
        <v>46249</v>
      </c>
      <c r="D2973">
        <v>1289451.94</v>
      </c>
    </row>
    <row r="2974" spans="1:4" x14ac:dyDescent="0.3">
      <c r="A2974" t="s">
        <v>21</v>
      </c>
      <c r="C2974" s="16">
        <v>46249</v>
      </c>
      <c r="D2974">
        <v>1418808.6399999997</v>
      </c>
    </row>
    <row r="2975" spans="1:4" x14ac:dyDescent="0.3">
      <c r="A2975" t="s">
        <v>22</v>
      </c>
      <c r="C2975" s="16">
        <v>46249</v>
      </c>
      <c r="D2975">
        <v>221496.38</v>
      </c>
    </row>
    <row r="2976" spans="1:4" x14ac:dyDescent="0.3">
      <c r="A2976" t="s">
        <v>23</v>
      </c>
      <c r="C2976" s="16">
        <v>46249</v>
      </c>
      <c r="D2976">
        <v>158071.25999999998</v>
      </c>
    </row>
    <row r="2977" spans="1:4" x14ac:dyDescent="0.3">
      <c r="A2977" t="s">
        <v>24</v>
      </c>
      <c r="C2977" s="16">
        <v>46249</v>
      </c>
      <c r="D2977">
        <v>13270.02</v>
      </c>
    </row>
    <row r="2978" spans="1:4" x14ac:dyDescent="0.3">
      <c r="A2978" t="s">
        <v>25</v>
      </c>
      <c r="C2978" s="16">
        <v>46249</v>
      </c>
      <c r="D2978">
        <v>24.450000000000003</v>
      </c>
    </row>
    <row r="2979" spans="1:4" x14ac:dyDescent="0.3">
      <c r="A2979" t="s">
        <v>26</v>
      </c>
      <c r="C2979" s="16">
        <v>46249</v>
      </c>
      <c r="D2979">
        <v>2177.87</v>
      </c>
    </row>
    <row r="2980" spans="1:4" x14ac:dyDescent="0.3">
      <c r="A2980" t="s">
        <v>27</v>
      </c>
      <c r="C2980" s="16">
        <v>46249</v>
      </c>
      <c r="D2980">
        <v>754424.72</v>
      </c>
    </row>
    <row r="2981" spans="1:4" x14ac:dyDescent="0.3">
      <c r="A2981" t="s">
        <v>28</v>
      </c>
      <c r="C2981" s="16">
        <v>46249</v>
      </c>
      <c r="D2981">
        <v>1968.99</v>
      </c>
    </row>
    <row r="2982" spans="1:4" x14ac:dyDescent="0.3">
      <c r="A2982" t="s">
        <v>29</v>
      </c>
      <c r="C2982" s="16">
        <v>46249</v>
      </c>
      <c r="D2982">
        <v>901.34</v>
      </c>
    </row>
    <row r="2983" spans="1:4" x14ac:dyDescent="0.3">
      <c r="A2983" t="s">
        <v>30</v>
      </c>
      <c r="C2983" s="16">
        <v>46249</v>
      </c>
      <c r="D2983">
        <v>1396.08</v>
      </c>
    </row>
    <row r="2984" spans="1:4" x14ac:dyDescent="0.3">
      <c r="A2984" t="s">
        <v>31</v>
      </c>
      <c r="C2984" s="16">
        <v>46249</v>
      </c>
      <c r="D2984">
        <v>13685.709999999959</v>
      </c>
    </row>
    <row r="2985" spans="1:4" x14ac:dyDescent="0.3">
      <c r="A2985" t="s">
        <v>32</v>
      </c>
      <c r="C2985" s="16">
        <v>46249</v>
      </c>
      <c r="D2985">
        <v>8724.1700000000037</v>
      </c>
    </row>
    <row r="2986" spans="1:4" x14ac:dyDescent="0.3">
      <c r="A2986" t="s">
        <v>33</v>
      </c>
      <c r="C2986" s="16">
        <v>46249</v>
      </c>
      <c r="D2986">
        <v>19336.039999999997</v>
      </c>
    </row>
    <row r="2987" spans="1:4" x14ac:dyDescent="0.3">
      <c r="A2987" t="s">
        <v>34</v>
      </c>
      <c r="C2987" s="16">
        <v>46249</v>
      </c>
      <c r="D2987">
        <v>345</v>
      </c>
    </row>
    <row r="2988" spans="1:4" x14ac:dyDescent="0.3">
      <c r="A2988" t="s">
        <v>35</v>
      </c>
      <c r="C2988" s="16">
        <v>46249</v>
      </c>
      <c r="D2988">
        <v>14740.900000000001</v>
      </c>
    </row>
    <row r="2989" spans="1:4" x14ac:dyDescent="0.3">
      <c r="A2989" t="s">
        <v>193</v>
      </c>
      <c r="C2989" s="16">
        <v>46249</v>
      </c>
      <c r="D2989">
        <v>0</v>
      </c>
    </row>
    <row r="2990" spans="1:4" x14ac:dyDescent="0.3">
      <c r="A2990" t="s">
        <v>194</v>
      </c>
      <c r="C2990" s="16">
        <v>46249</v>
      </c>
      <c r="D2990">
        <v>0</v>
      </c>
    </row>
    <row r="2991" spans="1:4" x14ac:dyDescent="0.3">
      <c r="A2991" t="s">
        <v>195</v>
      </c>
      <c r="C2991" s="16">
        <v>46249</v>
      </c>
      <c r="D2991">
        <v>0</v>
      </c>
    </row>
    <row r="2992" spans="1:4" x14ac:dyDescent="0.3">
      <c r="A2992" t="s">
        <v>196</v>
      </c>
      <c r="C2992" s="16">
        <v>46249</v>
      </c>
      <c r="D2992">
        <v>0</v>
      </c>
    </row>
    <row r="2993" spans="1:4" x14ac:dyDescent="0.3">
      <c r="A2993" t="s">
        <v>197</v>
      </c>
      <c r="C2993" s="16">
        <v>46249</v>
      </c>
      <c r="D2993">
        <v>0</v>
      </c>
    </row>
    <row r="2994" spans="1:4" x14ac:dyDescent="0.3">
      <c r="A2994" t="s">
        <v>198</v>
      </c>
      <c r="C2994" s="16">
        <v>46249</v>
      </c>
      <c r="D2994">
        <v>0</v>
      </c>
    </row>
    <row r="2995" spans="1:4" x14ac:dyDescent="0.3">
      <c r="A2995" t="s">
        <v>216</v>
      </c>
      <c r="C2995" s="16">
        <v>46249</v>
      </c>
      <c r="D2995">
        <v>0</v>
      </c>
    </row>
    <row r="2996" spans="1:4" x14ac:dyDescent="0.3">
      <c r="A2996" t="s">
        <v>200</v>
      </c>
      <c r="C2996" s="16">
        <v>46249</v>
      </c>
      <c r="D2996">
        <v>0</v>
      </c>
    </row>
    <row r="2997" spans="1:4" x14ac:dyDescent="0.3">
      <c r="A2997" t="s">
        <v>201</v>
      </c>
      <c r="C2997" s="16">
        <v>46249</v>
      </c>
      <c r="D2997">
        <v>0</v>
      </c>
    </row>
    <row r="2998" spans="1:4" x14ac:dyDescent="0.3">
      <c r="A2998" t="s">
        <v>17</v>
      </c>
      <c r="C2998" s="16">
        <v>46250</v>
      </c>
      <c r="D2998">
        <v>941223.58000000042</v>
      </c>
    </row>
    <row r="2999" spans="1:4" x14ac:dyDescent="0.3">
      <c r="A2999" t="s">
        <v>18</v>
      </c>
      <c r="C2999" s="16">
        <v>46250</v>
      </c>
      <c r="D2999">
        <v>83211.250000000175</v>
      </c>
    </row>
    <row r="3000" spans="1:4" x14ac:dyDescent="0.3">
      <c r="A3000" t="s">
        <v>19</v>
      </c>
      <c r="C3000" s="16">
        <v>46250</v>
      </c>
      <c r="D3000">
        <v>1669.89</v>
      </c>
    </row>
    <row r="3001" spans="1:4" x14ac:dyDescent="0.3">
      <c r="A3001" t="s">
        <v>20</v>
      </c>
      <c r="C3001" s="16">
        <v>46250</v>
      </c>
      <c r="D3001">
        <v>1289451.94</v>
      </c>
    </row>
    <row r="3002" spans="1:4" x14ac:dyDescent="0.3">
      <c r="A3002" t="s">
        <v>21</v>
      </c>
      <c r="C3002" s="16">
        <v>46250</v>
      </c>
      <c r="D3002">
        <v>1418808.6399999997</v>
      </c>
    </row>
    <row r="3003" spans="1:4" x14ac:dyDescent="0.3">
      <c r="A3003" t="s">
        <v>22</v>
      </c>
      <c r="C3003" s="16">
        <v>46250</v>
      </c>
      <c r="D3003">
        <v>221496.38</v>
      </c>
    </row>
    <row r="3004" spans="1:4" x14ac:dyDescent="0.3">
      <c r="A3004" t="s">
        <v>23</v>
      </c>
      <c r="C3004" s="16">
        <v>46250</v>
      </c>
      <c r="D3004">
        <v>158071.25999999998</v>
      </c>
    </row>
    <row r="3005" spans="1:4" x14ac:dyDescent="0.3">
      <c r="A3005" t="s">
        <v>24</v>
      </c>
      <c r="C3005" s="16">
        <v>46250</v>
      </c>
      <c r="D3005">
        <v>13270.02</v>
      </c>
    </row>
    <row r="3006" spans="1:4" x14ac:dyDescent="0.3">
      <c r="A3006" t="s">
        <v>25</v>
      </c>
      <c r="C3006" s="16">
        <v>46250</v>
      </c>
      <c r="D3006">
        <v>24.450000000000003</v>
      </c>
    </row>
    <row r="3007" spans="1:4" x14ac:dyDescent="0.3">
      <c r="A3007" t="s">
        <v>26</v>
      </c>
      <c r="C3007" s="16">
        <v>46250</v>
      </c>
      <c r="D3007">
        <v>2177.87</v>
      </c>
    </row>
    <row r="3008" spans="1:4" x14ac:dyDescent="0.3">
      <c r="A3008" t="s">
        <v>27</v>
      </c>
      <c r="C3008" s="16">
        <v>46250</v>
      </c>
      <c r="D3008">
        <v>754424.72</v>
      </c>
    </row>
    <row r="3009" spans="1:4" x14ac:dyDescent="0.3">
      <c r="A3009" t="s">
        <v>28</v>
      </c>
      <c r="C3009" s="16">
        <v>46250</v>
      </c>
      <c r="D3009">
        <v>1968.99</v>
      </c>
    </row>
    <row r="3010" spans="1:4" x14ac:dyDescent="0.3">
      <c r="A3010" t="s">
        <v>29</v>
      </c>
      <c r="C3010" s="16">
        <v>46250</v>
      </c>
      <c r="D3010">
        <v>901.34</v>
      </c>
    </row>
    <row r="3011" spans="1:4" x14ac:dyDescent="0.3">
      <c r="A3011" t="s">
        <v>30</v>
      </c>
      <c r="C3011" s="16">
        <v>46250</v>
      </c>
      <c r="D3011">
        <v>1396.08</v>
      </c>
    </row>
    <row r="3012" spans="1:4" x14ac:dyDescent="0.3">
      <c r="A3012" t="s">
        <v>31</v>
      </c>
      <c r="C3012" s="16">
        <v>46250</v>
      </c>
      <c r="D3012">
        <v>13685.709999999959</v>
      </c>
    </row>
    <row r="3013" spans="1:4" x14ac:dyDescent="0.3">
      <c r="A3013" t="s">
        <v>32</v>
      </c>
      <c r="C3013" s="16">
        <v>46250</v>
      </c>
      <c r="D3013">
        <v>8724.1700000000037</v>
      </c>
    </row>
    <row r="3014" spans="1:4" x14ac:dyDescent="0.3">
      <c r="A3014" t="s">
        <v>33</v>
      </c>
      <c r="C3014" s="16">
        <v>46250</v>
      </c>
      <c r="D3014">
        <v>19336.039999999997</v>
      </c>
    </row>
    <row r="3015" spans="1:4" x14ac:dyDescent="0.3">
      <c r="A3015" t="s">
        <v>34</v>
      </c>
      <c r="C3015" s="16">
        <v>46250</v>
      </c>
      <c r="D3015">
        <v>345</v>
      </c>
    </row>
    <row r="3016" spans="1:4" x14ac:dyDescent="0.3">
      <c r="A3016" t="s">
        <v>35</v>
      </c>
      <c r="C3016" s="16">
        <v>46250</v>
      </c>
      <c r="D3016">
        <v>14740.900000000001</v>
      </c>
    </row>
    <row r="3017" spans="1:4" x14ac:dyDescent="0.3">
      <c r="A3017" t="s">
        <v>193</v>
      </c>
      <c r="C3017" s="16">
        <v>46250</v>
      </c>
      <c r="D3017">
        <v>0</v>
      </c>
    </row>
    <row r="3018" spans="1:4" x14ac:dyDescent="0.3">
      <c r="A3018" t="s">
        <v>194</v>
      </c>
      <c r="C3018" s="16">
        <v>46250</v>
      </c>
      <c r="D3018">
        <v>0</v>
      </c>
    </row>
    <row r="3019" spans="1:4" x14ac:dyDescent="0.3">
      <c r="A3019" t="s">
        <v>195</v>
      </c>
      <c r="C3019" s="16">
        <v>46250</v>
      </c>
      <c r="D3019">
        <v>0</v>
      </c>
    </row>
    <row r="3020" spans="1:4" x14ac:dyDescent="0.3">
      <c r="A3020" t="s">
        <v>196</v>
      </c>
      <c r="C3020" s="16">
        <v>46250</v>
      </c>
      <c r="D3020">
        <v>0</v>
      </c>
    </row>
    <row r="3021" spans="1:4" x14ac:dyDescent="0.3">
      <c r="A3021" t="s">
        <v>197</v>
      </c>
      <c r="C3021" s="16">
        <v>46250</v>
      </c>
      <c r="D3021">
        <v>0</v>
      </c>
    </row>
    <row r="3022" spans="1:4" x14ac:dyDescent="0.3">
      <c r="A3022" t="s">
        <v>198</v>
      </c>
      <c r="C3022" s="16">
        <v>46250</v>
      </c>
      <c r="D3022">
        <v>0</v>
      </c>
    </row>
    <row r="3023" spans="1:4" x14ac:dyDescent="0.3">
      <c r="A3023" t="s">
        <v>216</v>
      </c>
      <c r="C3023" s="16">
        <v>46250</v>
      </c>
      <c r="D3023">
        <v>0</v>
      </c>
    </row>
    <row r="3024" spans="1:4" x14ac:dyDescent="0.3">
      <c r="A3024" t="s">
        <v>200</v>
      </c>
      <c r="C3024" s="16">
        <v>46250</v>
      </c>
      <c r="D3024">
        <v>0</v>
      </c>
    </row>
    <row r="3025" spans="1:4" x14ac:dyDescent="0.3">
      <c r="A3025" t="s">
        <v>201</v>
      </c>
      <c r="C3025" s="16">
        <v>46250</v>
      </c>
      <c r="D3025">
        <v>0</v>
      </c>
    </row>
    <row r="3026" spans="1:4" x14ac:dyDescent="0.3">
      <c r="A3026" t="s">
        <v>17</v>
      </c>
      <c r="C3026" s="16">
        <v>46251</v>
      </c>
      <c r="D3026">
        <v>941223.58000000042</v>
      </c>
    </row>
    <row r="3027" spans="1:4" x14ac:dyDescent="0.3">
      <c r="A3027" t="s">
        <v>18</v>
      </c>
      <c r="C3027" s="16">
        <v>46251</v>
      </c>
      <c r="D3027">
        <v>83211.250000000175</v>
      </c>
    </row>
    <row r="3028" spans="1:4" x14ac:dyDescent="0.3">
      <c r="A3028" t="s">
        <v>19</v>
      </c>
      <c r="C3028" s="16">
        <v>46251</v>
      </c>
      <c r="D3028">
        <v>1669.89</v>
      </c>
    </row>
    <row r="3029" spans="1:4" x14ac:dyDescent="0.3">
      <c r="A3029" t="s">
        <v>20</v>
      </c>
      <c r="C3029" s="16">
        <v>46251</v>
      </c>
      <c r="D3029">
        <v>1289031.3399999999</v>
      </c>
    </row>
    <row r="3030" spans="1:4" x14ac:dyDescent="0.3">
      <c r="A3030" t="s">
        <v>21</v>
      </c>
      <c r="C3030" s="16">
        <v>46251</v>
      </c>
      <c r="D3030">
        <v>1383977.5499999996</v>
      </c>
    </row>
    <row r="3031" spans="1:4" x14ac:dyDescent="0.3">
      <c r="A3031" t="s">
        <v>22</v>
      </c>
      <c r="C3031" s="16">
        <v>46251</v>
      </c>
      <c r="D3031">
        <v>221496.38</v>
      </c>
    </row>
    <row r="3032" spans="1:4" x14ac:dyDescent="0.3">
      <c r="A3032" t="s">
        <v>23</v>
      </c>
      <c r="C3032" s="16">
        <v>46251</v>
      </c>
      <c r="D3032">
        <v>158071.25999999998</v>
      </c>
    </row>
    <row r="3033" spans="1:4" x14ac:dyDescent="0.3">
      <c r="A3033" t="s">
        <v>24</v>
      </c>
      <c r="C3033" s="16">
        <v>46251</v>
      </c>
      <c r="D3033">
        <v>13270.02</v>
      </c>
    </row>
    <row r="3034" spans="1:4" x14ac:dyDescent="0.3">
      <c r="A3034" t="s">
        <v>25</v>
      </c>
      <c r="C3034" s="16">
        <v>46251</v>
      </c>
      <c r="D3034">
        <v>24.450000000000003</v>
      </c>
    </row>
    <row r="3035" spans="1:4" x14ac:dyDescent="0.3">
      <c r="A3035" t="s">
        <v>26</v>
      </c>
      <c r="C3035" s="16">
        <v>46251</v>
      </c>
      <c r="D3035">
        <v>2177.87</v>
      </c>
    </row>
    <row r="3036" spans="1:4" x14ac:dyDescent="0.3">
      <c r="A3036" t="s">
        <v>27</v>
      </c>
      <c r="C3036" s="16">
        <v>46251</v>
      </c>
      <c r="D3036">
        <v>754424.72</v>
      </c>
    </row>
    <row r="3037" spans="1:4" x14ac:dyDescent="0.3">
      <c r="A3037" t="s">
        <v>28</v>
      </c>
      <c r="C3037" s="16">
        <v>46251</v>
      </c>
      <c r="D3037">
        <v>1968.99</v>
      </c>
    </row>
    <row r="3038" spans="1:4" x14ac:dyDescent="0.3">
      <c r="A3038" t="s">
        <v>29</v>
      </c>
      <c r="C3038" s="16">
        <v>46251</v>
      </c>
      <c r="D3038">
        <v>901.34</v>
      </c>
    </row>
    <row r="3039" spans="1:4" x14ac:dyDescent="0.3">
      <c r="A3039" t="s">
        <v>30</v>
      </c>
      <c r="C3039" s="16">
        <v>46251</v>
      </c>
      <c r="D3039">
        <v>1396.08</v>
      </c>
    </row>
    <row r="3040" spans="1:4" x14ac:dyDescent="0.3">
      <c r="A3040" t="s">
        <v>31</v>
      </c>
      <c r="C3040" s="16">
        <v>46251</v>
      </c>
      <c r="D3040">
        <v>13685.709999999959</v>
      </c>
    </row>
    <row r="3041" spans="1:4" x14ac:dyDescent="0.3">
      <c r="A3041" t="s">
        <v>32</v>
      </c>
      <c r="C3041" s="16">
        <v>46251</v>
      </c>
      <c r="D3041">
        <v>8724.1700000000037</v>
      </c>
    </row>
    <row r="3042" spans="1:4" x14ac:dyDescent="0.3">
      <c r="A3042" t="s">
        <v>33</v>
      </c>
      <c r="C3042" s="16">
        <v>46251</v>
      </c>
      <c r="D3042">
        <v>19336.039999999997</v>
      </c>
    </row>
    <row r="3043" spans="1:4" x14ac:dyDescent="0.3">
      <c r="A3043" t="s">
        <v>34</v>
      </c>
      <c r="C3043" s="16">
        <v>46251</v>
      </c>
      <c r="D3043">
        <v>345</v>
      </c>
    </row>
    <row r="3044" spans="1:4" x14ac:dyDescent="0.3">
      <c r="A3044" t="s">
        <v>35</v>
      </c>
      <c r="C3044" s="16">
        <v>46251</v>
      </c>
      <c r="D3044">
        <v>14565.900000000001</v>
      </c>
    </row>
    <row r="3045" spans="1:4" x14ac:dyDescent="0.3">
      <c r="A3045" t="s">
        <v>193</v>
      </c>
      <c r="C3045" s="16">
        <v>46251</v>
      </c>
      <c r="D3045">
        <v>0</v>
      </c>
    </row>
    <row r="3046" spans="1:4" x14ac:dyDescent="0.3">
      <c r="A3046" t="s">
        <v>194</v>
      </c>
      <c r="C3046" s="16">
        <v>46251</v>
      </c>
      <c r="D3046">
        <v>0</v>
      </c>
    </row>
    <row r="3047" spans="1:4" x14ac:dyDescent="0.3">
      <c r="A3047" t="s">
        <v>195</v>
      </c>
      <c r="C3047" s="16">
        <v>46251</v>
      </c>
      <c r="D3047">
        <v>0</v>
      </c>
    </row>
    <row r="3048" spans="1:4" x14ac:dyDescent="0.3">
      <c r="A3048" t="s">
        <v>196</v>
      </c>
      <c r="C3048" s="16">
        <v>46251</v>
      </c>
      <c r="D3048">
        <v>0</v>
      </c>
    </row>
    <row r="3049" spans="1:4" x14ac:dyDescent="0.3">
      <c r="A3049" t="s">
        <v>197</v>
      </c>
      <c r="C3049" s="16">
        <v>46251</v>
      </c>
      <c r="D3049">
        <v>0</v>
      </c>
    </row>
    <row r="3050" spans="1:4" x14ac:dyDescent="0.3">
      <c r="A3050" t="s">
        <v>198</v>
      </c>
      <c r="C3050" s="16">
        <v>46251</v>
      </c>
      <c r="D3050">
        <v>0</v>
      </c>
    </row>
    <row r="3051" spans="1:4" x14ac:dyDescent="0.3">
      <c r="A3051" t="s">
        <v>216</v>
      </c>
      <c r="C3051" s="16">
        <v>46251</v>
      </c>
      <c r="D3051">
        <v>0</v>
      </c>
    </row>
    <row r="3052" spans="1:4" x14ac:dyDescent="0.3">
      <c r="A3052" t="s">
        <v>200</v>
      </c>
      <c r="C3052" s="16">
        <v>46251</v>
      </c>
      <c r="D3052">
        <v>0</v>
      </c>
    </row>
    <row r="3053" spans="1:4" x14ac:dyDescent="0.3">
      <c r="A3053" t="s">
        <v>201</v>
      </c>
      <c r="C3053" s="16">
        <v>46251</v>
      </c>
      <c r="D3053">
        <v>0</v>
      </c>
    </row>
    <row r="3054" spans="1:4" x14ac:dyDescent="0.3">
      <c r="A3054" t="s">
        <v>17</v>
      </c>
      <c r="C3054" s="16">
        <v>46252</v>
      </c>
      <c r="D3054">
        <v>1047085.3600000005</v>
      </c>
    </row>
    <row r="3055" spans="1:4" x14ac:dyDescent="0.3">
      <c r="A3055" t="s">
        <v>18</v>
      </c>
      <c r="C3055" s="16">
        <v>46252</v>
      </c>
      <c r="D3055">
        <v>83211.250000000175</v>
      </c>
    </row>
    <row r="3056" spans="1:4" x14ac:dyDescent="0.3">
      <c r="A3056" t="s">
        <v>19</v>
      </c>
      <c r="C3056" s="16">
        <v>46252</v>
      </c>
      <c r="D3056">
        <v>1669.89</v>
      </c>
    </row>
    <row r="3057" spans="1:4" x14ac:dyDescent="0.3">
      <c r="A3057" t="s">
        <v>20</v>
      </c>
      <c r="C3057" s="16">
        <v>46252</v>
      </c>
      <c r="D3057">
        <v>1289031.3399999999</v>
      </c>
    </row>
    <row r="3058" spans="1:4" x14ac:dyDescent="0.3">
      <c r="A3058" t="s">
        <v>21</v>
      </c>
      <c r="C3058" s="16">
        <v>46252</v>
      </c>
      <c r="D3058">
        <v>1381487.1899999995</v>
      </c>
    </row>
    <row r="3059" spans="1:4" x14ac:dyDescent="0.3">
      <c r="A3059" t="s">
        <v>22</v>
      </c>
      <c r="C3059" s="16">
        <v>46252</v>
      </c>
      <c r="D3059">
        <v>221496.38</v>
      </c>
    </row>
    <row r="3060" spans="1:4" x14ac:dyDescent="0.3">
      <c r="A3060" t="s">
        <v>23</v>
      </c>
      <c r="C3060" s="16">
        <v>46252</v>
      </c>
      <c r="D3060">
        <v>158071.25999999998</v>
      </c>
    </row>
    <row r="3061" spans="1:4" x14ac:dyDescent="0.3">
      <c r="A3061" t="s">
        <v>24</v>
      </c>
      <c r="C3061" s="16">
        <v>46252</v>
      </c>
      <c r="D3061">
        <v>13270.02</v>
      </c>
    </row>
    <row r="3062" spans="1:4" x14ac:dyDescent="0.3">
      <c r="A3062" t="s">
        <v>25</v>
      </c>
      <c r="C3062" s="16">
        <v>46252</v>
      </c>
      <c r="D3062">
        <v>24.450000000000003</v>
      </c>
    </row>
    <row r="3063" spans="1:4" x14ac:dyDescent="0.3">
      <c r="A3063" t="s">
        <v>26</v>
      </c>
      <c r="C3063" s="16">
        <v>46252</v>
      </c>
      <c r="D3063">
        <v>2177.87</v>
      </c>
    </row>
    <row r="3064" spans="1:4" x14ac:dyDescent="0.3">
      <c r="A3064" t="s">
        <v>27</v>
      </c>
      <c r="C3064" s="16">
        <v>46252</v>
      </c>
      <c r="D3064">
        <v>754424.72</v>
      </c>
    </row>
    <row r="3065" spans="1:4" x14ac:dyDescent="0.3">
      <c r="A3065" t="s">
        <v>28</v>
      </c>
      <c r="C3065" s="16">
        <v>46252</v>
      </c>
      <c r="D3065">
        <v>1968.99</v>
      </c>
    </row>
    <row r="3066" spans="1:4" x14ac:dyDescent="0.3">
      <c r="A3066" t="s">
        <v>29</v>
      </c>
      <c r="C3066" s="16">
        <v>46252</v>
      </c>
      <c r="D3066">
        <v>901.34</v>
      </c>
    </row>
    <row r="3067" spans="1:4" x14ac:dyDescent="0.3">
      <c r="A3067" t="s">
        <v>30</v>
      </c>
      <c r="C3067" s="16">
        <v>46252</v>
      </c>
      <c r="D3067">
        <v>1396.08</v>
      </c>
    </row>
    <row r="3068" spans="1:4" x14ac:dyDescent="0.3">
      <c r="A3068" t="s">
        <v>31</v>
      </c>
      <c r="C3068" s="16">
        <v>46252</v>
      </c>
      <c r="D3068">
        <v>13685.709999999959</v>
      </c>
    </row>
    <row r="3069" spans="1:4" x14ac:dyDescent="0.3">
      <c r="A3069" t="s">
        <v>32</v>
      </c>
      <c r="C3069" s="16">
        <v>46252</v>
      </c>
      <c r="D3069">
        <v>8724.1700000000037</v>
      </c>
    </row>
    <row r="3070" spans="1:4" x14ac:dyDescent="0.3">
      <c r="A3070" t="s">
        <v>33</v>
      </c>
      <c r="C3070" s="16">
        <v>46252</v>
      </c>
      <c r="D3070">
        <v>19336.039999999997</v>
      </c>
    </row>
    <row r="3071" spans="1:4" x14ac:dyDescent="0.3">
      <c r="A3071" t="s">
        <v>34</v>
      </c>
      <c r="C3071" s="16">
        <v>46252</v>
      </c>
      <c r="D3071">
        <v>345</v>
      </c>
    </row>
    <row r="3072" spans="1:4" x14ac:dyDescent="0.3">
      <c r="A3072" t="s">
        <v>35</v>
      </c>
      <c r="C3072" s="16">
        <v>46252</v>
      </c>
      <c r="D3072">
        <v>14565.900000000001</v>
      </c>
    </row>
    <row r="3073" spans="1:4" x14ac:dyDescent="0.3">
      <c r="A3073" t="s">
        <v>193</v>
      </c>
      <c r="C3073" s="16">
        <v>46252</v>
      </c>
      <c r="D3073">
        <v>0</v>
      </c>
    </row>
    <row r="3074" spans="1:4" x14ac:dyDescent="0.3">
      <c r="A3074" t="s">
        <v>194</v>
      </c>
      <c r="C3074" s="16">
        <v>46252</v>
      </c>
      <c r="D3074">
        <v>0</v>
      </c>
    </row>
    <row r="3075" spans="1:4" x14ac:dyDescent="0.3">
      <c r="A3075" t="s">
        <v>195</v>
      </c>
      <c r="C3075" s="16">
        <v>46252</v>
      </c>
      <c r="D3075">
        <v>0</v>
      </c>
    </row>
    <row r="3076" spans="1:4" x14ac:dyDescent="0.3">
      <c r="A3076" t="s">
        <v>196</v>
      </c>
      <c r="C3076" s="16">
        <v>46252</v>
      </c>
      <c r="D3076">
        <v>0</v>
      </c>
    </row>
    <row r="3077" spans="1:4" x14ac:dyDescent="0.3">
      <c r="A3077" t="s">
        <v>197</v>
      </c>
      <c r="C3077" s="16">
        <v>46252</v>
      </c>
      <c r="D3077">
        <v>0</v>
      </c>
    </row>
    <row r="3078" spans="1:4" x14ac:dyDescent="0.3">
      <c r="A3078" t="s">
        <v>198</v>
      </c>
      <c r="C3078" s="16">
        <v>46252</v>
      </c>
      <c r="D3078">
        <v>0</v>
      </c>
    </row>
    <row r="3079" spans="1:4" x14ac:dyDescent="0.3">
      <c r="A3079" t="s">
        <v>216</v>
      </c>
      <c r="C3079" s="16">
        <v>46252</v>
      </c>
      <c r="D3079">
        <v>0</v>
      </c>
    </row>
    <row r="3080" spans="1:4" x14ac:dyDescent="0.3">
      <c r="A3080" t="s">
        <v>200</v>
      </c>
      <c r="C3080" s="16">
        <v>46252</v>
      </c>
      <c r="D3080">
        <v>0</v>
      </c>
    </row>
    <row r="3081" spans="1:4" x14ac:dyDescent="0.3">
      <c r="A3081" t="s">
        <v>201</v>
      </c>
      <c r="C3081" s="16">
        <v>46252</v>
      </c>
      <c r="D3081">
        <v>0</v>
      </c>
    </row>
    <row r="3082" spans="1:4" x14ac:dyDescent="0.3">
      <c r="A3082" t="s">
        <v>17</v>
      </c>
      <c r="C3082" s="16">
        <v>46253</v>
      </c>
      <c r="D3082">
        <v>1047085.3600000005</v>
      </c>
    </row>
    <row r="3083" spans="1:4" x14ac:dyDescent="0.3">
      <c r="A3083" t="s">
        <v>18</v>
      </c>
      <c r="C3083" s="16">
        <v>46253</v>
      </c>
      <c r="D3083">
        <v>83211.250000000175</v>
      </c>
    </row>
    <row r="3084" spans="1:4" x14ac:dyDescent="0.3">
      <c r="A3084" t="s">
        <v>19</v>
      </c>
      <c r="C3084" s="16">
        <v>46253</v>
      </c>
      <c r="D3084">
        <v>1669.89</v>
      </c>
    </row>
    <row r="3085" spans="1:4" x14ac:dyDescent="0.3">
      <c r="A3085" t="s">
        <v>20</v>
      </c>
      <c r="C3085" s="16">
        <v>46253</v>
      </c>
      <c r="D3085">
        <v>1289031.3399999999</v>
      </c>
    </row>
    <row r="3086" spans="1:4" x14ac:dyDescent="0.3">
      <c r="A3086" t="s">
        <v>21</v>
      </c>
      <c r="C3086" s="16">
        <v>46253</v>
      </c>
      <c r="D3086">
        <v>1880583.4899999998</v>
      </c>
    </row>
    <row r="3087" spans="1:4" x14ac:dyDescent="0.3">
      <c r="A3087" t="s">
        <v>22</v>
      </c>
      <c r="C3087" s="16">
        <v>46253</v>
      </c>
      <c r="D3087">
        <v>221496.38</v>
      </c>
    </row>
    <row r="3088" spans="1:4" x14ac:dyDescent="0.3">
      <c r="A3088" t="s">
        <v>23</v>
      </c>
      <c r="C3088" s="16">
        <v>46253</v>
      </c>
      <c r="D3088">
        <v>158071.25999999998</v>
      </c>
    </row>
    <row r="3089" spans="1:4" x14ac:dyDescent="0.3">
      <c r="A3089" t="s">
        <v>24</v>
      </c>
      <c r="C3089" s="16">
        <v>46253</v>
      </c>
      <c r="D3089">
        <v>13270.02</v>
      </c>
    </row>
    <row r="3090" spans="1:4" x14ac:dyDescent="0.3">
      <c r="A3090" t="s">
        <v>25</v>
      </c>
      <c r="C3090" s="16">
        <v>46253</v>
      </c>
      <c r="D3090">
        <v>24.450000000000003</v>
      </c>
    </row>
    <row r="3091" spans="1:4" x14ac:dyDescent="0.3">
      <c r="A3091" t="s">
        <v>26</v>
      </c>
      <c r="C3091" s="16">
        <v>46253</v>
      </c>
      <c r="D3091">
        <v>2177.87</v>
      </c>
    </row>
    <row r="3092" spans="1:4" x14ac:dyDescent="0.3">
      <c r="A3092" t="s">
        <v>27</v>
      </c>
      <c r="C3092" s="16">
        <v>46253</v>
      </c>
      <c r="D3092">
        <v>754424.72</v>
      </c>
    </row>
    <row r="3093" spans="1:4" x14ac:dyDescent="0.3">
      <c r="A3093" t="s">
        <v>28</v>
      </c>
      <c r="C3093" s="16">
        <v>46253</v>
      </c>
      <c r="D3093">
        <v>1968.99</v>
      </c>
    </row>
    <row r="3094" spans="1:4" x14ac:dyDescent="0.3">
      <c r="A3094" t="s">
        <v>29</v>
      </c>
      <c r="C3094" s="16">
        <v>46253</v>
      </c>
      <c r="D3094">
        <v>901.34</v>
      </c>
    </row>
    <row r="3095" spans="1:4" x14ac:dyDescent="0.3">
      <c r="A3095" t="s">
        <v>30</v>
      </c>
      <c r="C3095" s="16">
        <v>46253</v>
      </c>
      <c r="D3095">
        <v>1396.08</v>
      </c>
    </row>
    <row r="3096" spans="1:4" x14ac:dyDescent="0.3">
      <c r="A3096" t="s">
        <v>31</v>
      </c>
      <c r="C3096" s="16">
        <v>46253</v>
      </c>
      <c r="D3096">
        <v>13685.709999999959</v>
      </c>
    </row>
    <row r="3097" spans="1:4" x14ac:dyDescent="0.3">
      <c r="A3097" t="s">
        <v>32</v>
      </c>
      <c r="C3097" s="16">
        <v>46253</v>
      </c>
      <c r="D3097">
        <v>8724.1700000000037</v>
      </c>
    </row>
    <row r="3098" spans="1:4" x14ac:dyDescent="0.3">
      <c r="A3098" t="s">
        <v>33</v>
      </c>
      <c r="C3098" s="16">
        <v>46253</v>
      </c>
      <c r="D3098">
        <v>19336.039999999997</v>
      </c>
    </row>
    <row r="3099" spans="1:4" x14ac:dyDescent="0.3">
      <c r="A3099" t="s">
        <v>34</v>
      </c>
      <c r="C3099" s="16">
        <v>46253</v>
      </c>
      <c r="D3099">
        <v>345</v>
      </c>
    </row>
    <row r="3100" spans="1:4" x14ac:dyDescent="0.3">
      <c r="A3100" t="s">
        <v>35</v>
      </c>
      <c r="C3100" s="16">
        <v>46253</v>
      </c>
      <c r="D3100">
        <v>14565.900000000001</v>
      </c>
    </row>
    <row r="3101" spans="1:4" x14ac:dyDescent="0.3">
      <c r="A3101" t="s">
        <v>193</v>
      </c>
      <c r="C3101" s="16">
        <v>46253</v>
      </c>
      <c r="D3101">
        <v>0</v>
      </c>
    </row>
    <row r="3102" spans="1:4" x14ac:dyDescent="0.3">
      <c r="A3102" t="s">
        <v>194</v>
      </c>
      <c r="C3102" s="16">
        <v>46253</v>
      </c>
      <c r="D3102">
        <v>0</v>
      </c>
    </row>
    <row r="3103" spans="1:4" x14ac:dyDescent="0.3">
      <c r="A3103" t="s">
        <v>195</v>
      </c>
      <c r="C3103" s="16">
        <v>46253</v>
      </c>
      <c r="D3103">
        <v>0</v>
      </c>
    </row>
    <row r="3104" spans="1:4" x14ac:dyDescent="0.3">
      <c r="A3104" t="s">
        <v>196</v>
      </c>
      <c r="C3104" s="16">
        <v>46253</v>
      </c>
      <c r="D3104">
        <v>0</v>
      </c>
    </row>
    <row r="3105" spans="1:4" x14ac:dyDescent="0.3">
      <c r="A3105" t="s">
        <v>197</v>
      </c>
      <c r="C3105" s="16">
        <v>46253</v>
      </c>
      <c r="D3105">
        <v>0</v>
      </c>
    </row>
    <row r="3106" spans="1:4" x14ac:dyDescent="0.3">
      <c r="A3106" t="s">
        <v>198</v>
      </c>
      <c r="C3106" s="16">
        <v>46253</v>
      </c>
      <c r="D3106">
        <v>0</v>
      </c>
    </row>
    <row r="3107" spans="1:4" x14ac:dyDescent="0.3">
      <c r="A3107" t="s">
        <v>216</v>
      </c>
      <c r="C3107" s="16">
        <v>46253</v>
      </c>
      <c r="D3107">
        <v>0</v>
      </c>
    </row>
    <row r="3108" spans="1:4" x14ac:dyDescent="0.3">
      <c r="A3108" t="s">
        <v>200</v>
      </c>
      <c r="C3108" s="16">
        <v>46253</v>
      </c>
      <c r="D3108">
        <v>0</v>
      </c>
    </row>
    <row r="3109" spans="1:4" x14ac:dyDescent="0.3">
      <c r="A3109" t="s">
        <v>201</v>
      </c>
      <c r="C3109" s="16">
        <v>46253</v>
      </c>
      <c r="D3109">
        <v>0</v>
      </c>
    </row>
    <row r="3110" spans="1:4" x14ac:dyDescent="0.3">
      <c r="A3110" t="s">
        <v>17</v>
      </c>
      <c r="C3110" s="16">
        <v>46254</v>
      </c>
      <c r="D3110">
        <v>702210.36000000045</v>
      </c>
    </row>
    <row r="3111" spans="1:4" x14ac:dyDescent="0.3">
      <c r="A3111" t="s">
        <v>18</v>
      </c>
      <c r="C3111" s="16">
        <v>46254</v>
      </c>
      <c r="D3111">
        <v>83211.250000000175</v>
      </c>
    </row>
    <row r="3112" spans="1:4" x14ac:dyDescent="0.3">
      <c r="A3112" t="s">
        <v>19</v>
      </c>
      <c r="C3112" s="16">
        <v>46254</v>
      </c>
      <c r="D3112">
        <v>1669.89</v>
      </c>
    </row>
    <row r="3113" spans="1:4" x14ac:dyDescent="0.3">
      <c r="A3113" t="s">
        <v>20</v>
      </c>
      <c r="C3113" s="16">
        <v>46254</v>
      </c>
      <c r="D3113">
        <v>1229031.3399999999</v>
      </c>
    </row>
    <row r="3114" spans="1:4" x14ac:dyDescent="0.3">
      <c r="A3114" t="s">
        <v>21</v>
      </c>
      <c r="C3114" s="16">
        <v>46254</v>
      </c>
      <c r="D3114">
        <v>1744052.5799999996</v>
      </c>
    </row>
    <row r="3115" spans="1:4" x14ac:dyDescent="0.3">
      <c r="A3115" t="s">
        <v>22</v>
      </c>
      <c r="C3115" s="16">
        <v>46254</v>
      </c>
      <c r="D3115">
        <v>221496.38</v>
      </c>
    </row>
    <row r="3116" spans="1:4" x14ac:dyDescent="0.3">
      <c r="A3116" t="s">
        <v>23</v>
      </c>
      <c r="C3116" s="16">
        <v>46254</v>
      </c>
      <c r="D3116">
        <v>158071.25999999998</v>
      </c>
    </row>
    <row r="3117" spans="1:4" x14ac:dyDescent="0.3">
      <c r="A3117" t="s">
        <v>24</v>
      </c>
      <c r="C3117" s="16">
        <v>46254</v>
      </c>
      <c r="D3117">
        <v>13270.02</v>
      </c>
    </row>
    <row r="3118" spans="1:4" x14ac:dyDescent="0.3">
      <c r="A3118" t="s">
        <v>25</v>
      </c>
      <c r="C3118" s="16">
        <v>46254</v>
      </c>
      <c r="D3118">
        <v>24.450000000000003</v>
      </c>
    </row>
    <row r="3119" spans="1:4" x14ac:dyDescent="0.3">
      <c r="A3119" t="s">
        <v>26</v>
      </c>
      <c r="C3119" s="16">
        <v>46254</v>
      </c>
      <c r="D3119">
        <v>2177.87</v>
      </c>
    </row>
    <row r="3120" spans="1:4" x14ac:dyDescent="0.3">
      <c r="A3120" t="s">
        <v>27</v>
      </c>
      <c r="C3120" s="16">
        <v>46254</v>
      </c>
      <c r="D3120">
        <v>754424.72</v>
      </c>
    </row>
    <row r="3121" spans="1:4" x14ac:dyDescent="0.3">
      <c r="A3121" t="s">
        <v>28</v>
      </c>
      <c r="C3121" s="16">
        <v>46254</v>
      </c>
      <c r="D3121">
        <v>1968.99</v>
      </c>
    </row>
    <row r="3122" spans="1:4" x14ac:dyDescent="0.3">
      <c r="A3122" t="s">
        <v>29</v>
      </c>
      <c r="C3122" s="16">
        <v>46254</v>
      </c>
      <c r="D3122">
        <v>901.34</v>
      </c>
    </row>
    <row r="3123" spans="1:4" x14ac:dyDescent="0.3">
      <c r="A3123" t="s">
        <v>30</v>
      </c>
      <c r="C3123" s="16">
        <v>46254</v>
      </c>
      <c r="D3123">
        <v>1396.08</v>
      </c>
    </row>
    <row r="3124" spans="1:4" x14ac:dyDescent="0.3">
      <c r="A3124" t="s">
        <v>31</v>
      </c>
      <c r="C3124" s="16">
        <v>46254</v>
      </c>
      <c r="D3124">
        <v>13685.709999999959</v>
      </c>
    </row>
    <row r="3125" spans="1:4" x14ac:dyDescent="0.3">
      <c r="A3125" t="s">
        <v>32</v>
      </c>
      <c r="C3125" s="16">
        <v>46254</v>
      </c>
      <c r="D3125">
        <v>8724.1700000000037</v>
      </c>
    </row>
    <row r="3126" spans="1:4" x14ac:dyDescent="0.3">
      <c r="A3126" t="s">
        <v>33</v>
      </c>
      <c r="C3126" s="16">
        <v>46254</v>
      </c>
      <c r="D3126">
        <v>19336.039999999997</v>
      </c>
    </row>
    <row r="3127" spans="1:4" x14ac:dyDescent="0.3">
      <c r="A3127" t="s">
        <v>34</v>
      </c>
      <c r="C3127" s="16">
        <v>46254</v>
      </c>
      <c r="D3127">
        <v>345</v>
      </c>
    </row>
    <row r="3128" spans="1:4" x14ac:dyDescent="0.3">
      <c r="A3128" t="s">
        <v>35</v>
      </c>
      <c r="C3128" s="16">
        <v>46254</v>
      </c>
      <c r="D3128">
        <v>12741.780000000002</v>
      </c>
    </row>
    <row r="3129" spans="1:4" x14ac:dyDescent="0.3">
      <c r="A3129" t="s">
        <v>193</v>
      </c>
      <c r="C3129" s="16">
        <v>46254</v>
      </c>
      <c r="D3129">
        <v>0</v>
      </c>
    </row>
    <row r="3130" spans="1:4" x14ac:dyDescent="0.3">
      <c r="A3130" t="s">
        <v>194</v>
      </c>
      <c r="C3130" s="16">
        <v>46254</v>
      </c>
      <c r="D3130">
        <v>0</v>
      </c>
    </row>
    <row r="3131" spans="1:4" x14ac:dyDescent="0.3">
      <c r="A3131" t="s">
        <v>195</v>
      </c>
      <c r="C3131" s="16">
        <v>46254</v>
      </c>
      <c r="D3131">
        <v>0</v>
      </c>
    </row>
    <row r="3132" spans="1:4" x14ac:dyDescent="0.3">
      <c r="A3132" t="s">
        <v>196</v>
      </c>
      <c r="C3132" s="16">
        <v>46254</v>
      </c>
      <c r="D3132">
        <v>0</v>
      </c>
    </row>
    <row r="3133" spans="1:4" x14ac:dyDescent="0.3">
      <c r="A3133" t="s">
        <v>197</v>
      </c>
      <c r="C3133" s="16">
        <v>46254</v>
      </c>
      <c r="D3133">
        <v>0</v>
      </c>
    </row>
    <row r="3134" spans="1:4" x14ac:dyDescent="0.3">
      <c r="A3134" t="s">
        <v>198</v>
      </c>
      <c r="C3134" s="16">
        <v>46254</v>
      </c>
      <c r="D3134">
        <v>0</v>
      </c>
    </row>
    <row r="3135" spans="1:4" x14ac:dyDescent="0.3">
      <c r="A3135" t="s">
        <v>216</v>
      </c>
      <c r="C3135" s="16">
        <v>46254</v>
      </c>
      <c r="D3135">
        <v>0</v>
      </c>
    </row>
    <row r="3136" spans="1:4" x14ac:dyDescent="0.3">
      <c r="A3136" t="s">
        <v>200</v>
      </c>
      <c r="C3136" s="16">
        <v>46254</v>
      </c>
      <c r="D3136">
        <v>0</v>
      </c>
    </row>
    <row r="3137" spans="1:4" x14ac:dyDescent="0.3">
      <c r="A3137" t="s">
        <v>201</v>
      </c>
      <c r="C3137" s="16">
        <v>46254</v>
      </c>
      <c r="D3137">
        <v>0</v>
      </c>
    </row>
    <row r="3138" spans="1:4" x14ac:dyDescent="0.3">
      <c r="A3138" t="s">
        <v>17</v>
      </c>
      <c r="C3138" s="16">
        <v>46255</v>
      </c>
      <c r="D3138">
        <v>702210.36000000045</v>
      </c>
    </row>
    <row r="3139" spans="1:4" x14ac:dyDescent="0.3">
      <c r="A3139" t="s">
        <v>18</v>
      </c>
      <c r="C3139" s="16">
        <v>46255</v>
      </c>
      <c r="D3139">
        <v>83211.250000000175</v>
      </c>
    </row>
    <row r="3140" spans="1:4" x14ac:dyDescent="0.3">
      <c r="A3140" t="s">
        <v>19</v>
      </c>
      <c r="C3140" s="16">
        <v>46255</v>
      </c>
      <c r="D3140">
        <v>1669.89</v>
      </c>
    </row>
    <row r="3141" spans="1:4" x14ac:dyDescent="0.3">
      <c r="A3141" t="s">
        <v>20</v>
      </c>
      <c r="C3141" s="16">
        <v>46255</v>
      </c>
      <c r="D3141">
        <v>1229031.3399999999</v>
      </c>
    </row>
    <row r="3142" spans="1:4" x14ac:dyDescent="0.3">
      <c r="A3142" t="s">
        <v>21</v>
      </c>
      <c r="C3142" s="16">
        <v>46255</v>
      </c>
      <c r="D3142">
        <v>1744052.5799999996</v>
      </c>
    </row>
    <row r="3143" spans="1:4" x14ac:dyDescent="0.3">
      <c r="A3143" t="s">
        <v>22</v>
      </c>
      <c r="C3143" s="16">
        <v>46255</v>
      </c>
      <c r="D3143">
        <v>221496.38</v>
      </c>
    </row>
    <row r="3144" spans="1:4" x14ac:dyDescent="0.3">
      <c r="A3144" t="s">
        <v>23</v>
      </c>
      <c r="C3144" s="16">
        <v>46255</v>
      </c>
      <c r="D3144">
        <v>158071.25999999998</v>
      </c>
    </row>
    <row r="3145" spans="1:4" x14ac:dyDescent="0.3">
      <c r="A3145" t="s">
        <v>24</v>
      </c>
      <c r="C3145" s="16">
        <v>46255</v>
      </c>
      <c r="D3145">
        <v>13270.02</v>
      </c>
    </row>
    <row r="3146" spans="1:4" x14ac:dyDescent="0.3">
      <c r="A3146" t="s">
        <v>25</v>
      </c>
      <c r="C3146" s="16">
        <v>46255</v>
      </c>
      <c r="D3146">
        <v>24.450000000000003</v>
      </c>
    </row>
    <row r="3147" spans="1:4" x14ac:dyDescent="0.3">
      <c r="A3147" t="s">
        <v>26</v>
      </c>
      <c r="C3147" s="16">
        <v>46255</v>
      </c>
      <c r="D3147">
        <v>2177.87</v>
      </c>
    </row>
    <row r="3148" spans="1:4" x14ac:dyDescent="0.3">
      <c r="A3148" t="s">
        <v>27</v>
      </c>
      <c r="C3148" s="16">
        <v>46255</v>
      </c>
      <c r="D3148">
        <v>754424.72</v>
      </c>
    </row>
    <row r="3149" spans="1:4" x14ac:dyDescent="0.3">
      <c r="A3149" t="s">
        <v>28</v>
      </c>
      <c r="C3149" s="16">
        <v>46255</v>
      </c>
      <c r="D3149">
        <v>1968.99</v>
      </c>
    </row>
    <row r="3150" spans="1:4" x14ac:dyDescent="0.3">
      <c r="A3150" t="s">
        <v>29</v>
      </c>
      <c r="C3150" s="16">
        <v>46255</v>
      </c>
      <c r="D3150">
        <v>901.34</v>
      </c>
    </row>
    <row r="3151" spans="1:4" x14ac:dyDescent="0.3">
      <c r="A3151" t="s">
        <v>30</v>
      </c>
      <c r="C3151" s="16">
        <v>46255</v>
      </c>
      <c r="D3151">
        <v>1396.08</v>
      </c>
    </row>
    <row r="3152" spans="1:4" x14ac:dyDescent="0.3">
      <c r="A3152" t="s">
        <v>31</v>
      </c>
      <c r="C3152" s="16">
        <v>46255</v>
      </c>
      <c r="D3152">
        <v>13685.709999999959</v>
      </c>
    </row>
    <row r="3153" spans="1:4" x14ac:dyDescent="0.3">
      <c r="A3153" t="s">
        <v>32</v>
      </c>
      <c r="C3153" s="16">
        <v>46255</v>
      </c>
      <c r="D3153">
        <v>8724.1700000000037</v>
      </c>
    </row>
    <row r="3154" spans="1:4" x14ac:dyDescent="0.3">
      <c r="A3154" t="s">
        <v>33</v>
      </c>
      <c r="C3154" s="16">
        <v>46255</v>
      </c>
      <c r="D3154">
        <v>19336.039999999997</v>
      </c>
    </row>
    <row r="3155" spans="1:4" x14ac:dyDescent="0.3">
      <c r="A3155" t="s">
        <v>34</v>
      </c>
      <c r="C3155" s="16">
        <v>46255</v>
      </c>
      <c r="D3155">
        <v>345</v>
      </c>
    </row>
    <row r="3156" spans="1:4" x14ac:dyDescent="0.3">
      <c r="A3156" t="s">
        <v>35</v>
      </c>
      <c r="C3156" s="16">
        <v>46255</v>
      </c>
      <c r="D3156">
        <v>12541.790000000003</v>
      </c>
    </row>
    <row r="3157" spans="1:4" x14ac:dyDescent="0.3">
      <c r="A3157" t="s">
        <v>193</v>
      </c>
      <c r="C3157" s="16">
        <v>46255</v>
      </c>
      <c r="D3157">
        <v>0</v>
      </c>
    </row>
    <row r="3158" spans="1:4" x14ac:dyDescent="0.3">
      <c r="A3158" t="s">
        <v>194</v>
      </c>
      <c r="C3158" s="16">
        <v>46255</v>
      </c>
      <c r="D3158">
        <v>0</v>
      </c>
    </row>
    <row r="3159" spans="1:4" x14ac:dyDescent="0.3">
      <c r="A3159" t="s">
        <v>195</v>
      </c>
      <c r="C3159" s="16">
        <v>46255</v>
      </c>
      <c r="D3159">
        <v>0</v>
      </c>
    </row>
    <row r="3160" spans="1:4" x14ac:dyDescent="0.3">
      <c r="A3160" t="s">
        <v>196</v>
      </c>
      <c r="C3160" s="16">
        <v>46255</v>
      </c>
      <c r="D3160">
        <v>0</v>
      </c>
    </row>
    <row r="3161" spans="1:4" x14ac:dyDescent="0.3">
      <c r="A3161" t="s">
        <v>197</v>
      </c>
      <c r="C3161" s="16">
        <v>46255</v>
      </c>
      <c r="D3161">
        <v>0</v>
      </c>
    </row>
    <row r="3162" spans="1:4" x14ac:dyDescent="0.3">
      <c r="A3162" t="s">
        <v>198</v>
      </c>
      <c r="C3162" s="16">
        <v>46255</v>
      </c>
      <c r="D3162">
        <v>0</v>
      </c>
    </row>
    <row r="3163" spans="1:4" x14ac:dyDescent="0.3">
      <c r="A3163" t="s">
        <v>216</v>
      </c>
      <c r="C3163" s="16">
        <v>46255</v>
      </c>
      <c r="D3163">
        <v>0</v>
      </c>
    </row>
    <row r="3164" spans="1:4" x14ac:dyDescent="0.3">
      <c r="A3164" t="s">
        <v>200</v>
      </c>
      <c r="C3164" s="16">
        <v>46255</v>
      </c>
      <c r="D3164">
        <v>0</v>
      </c>
    </row>
    <row r="3165" spans="1:4" x14ac:dyDescent="0.3">
      <c r="A3165" t="s">
        <v>201</v>
      </c>
      <c r="C3165" s="16">
        <v>46255</v>
      </c>
      <c r="D3165">
        <v>0</v>
      </c>
    </row>
    <row r="3166" spans="1:4" x14ac:dyDescent="0.3">
      <c r="A3166" t="s">
        <v>17</v>
      </c>
      <c r="C3166" s="16">
        <v>46256</v>
      </c>
      <c r="D3166">
        <v>702210.36000000045</v>
      </c>
    </row>
    <row r="3167" spans="1:4" x14ac:dyDescent="0.3">
      <c r="A3167" t="s">
        <v>18</v>
      </c>
      <c r="C3167" s="16">
        <v>46256</v>
      </c>
      <c r="D3167">
        <v>83211.250000000175</v>
      </c>
    </row>
    <row r="3168" spans="1:4" x14ac:dyDescent="0.3">
      <c r="A3168" t="s">
        <v>19</v>
      </c>
      <c r="C3168" s="16">
        <v>46256</v>
      </c>
      <c r="D3168">
        <v>1669.89</v>
      </c>
    </row>
    <row r="3169" spans="1:4" x14ac:dyDescent="0.3">
      <c r="A3169" t="s">
        <v>20</v>
      </c>
      <c r="C3169" s="16">
        <v>46256</v>
      </c>
      <c r="D3169">
        <v>1229031.3399999999</v>
      </c>
    </row>
    <row r="3170" spans="1:4" x14ac:dyDescent="0.3">
      <c r="A3170" t="s">
        <v>21</v>
      </c>
      <c r="C3170" s="16">
        <v>46256</v>
      </c>
      <c r="D3170">
        <v>1744052.5799999996</v>
      </c>
    </row>
    <row r="3171" spans="1:4" x14ac:dyDescent="0.3">
      <c r="A3171" t="s">
        <v>22</v>
      </c>
      <c r="C3171" s="16">
        <v>46256</v>
      </c>
      <c r="D3171">
        <v>221496.38</v>
      </c>
    </row>
    <row r="3172" spans="1:4" x14ac:dyDescent="0.3">
      <c r="A3172" t="s">
        <v>23</v>
      </c>
      <c r="C3172" s="16">
        <v>46256</v>
      </c>
      <c r="D3172">
        <v>158071.25999999998</v>
      </c>
    </row>
    <row r="3173" spans="1:4" x14ac:dyDescent="0.3">
      <c r="A3173" t="s">
        <v>24</v>
      </c>
      <c r="C3173" s="16">
        <v>46256</v>
      </c>
      <c r="D3173">
        <v>13270.02</v>
      </c>
    </row>
    <row r="3174" spans="1:4" x14ac:dyDescent="0.3">
      <c r="A3174" t="s">
        <v>25</v>
      </c>
      <c r="C3174" s="16">
        <v>46256</v>
      </c>
      <c r="D3174">
        <v>24.450000000000003</v>
      </c>
    </row>
    <row r="3175" spans="1:4" x14ac:dyDescent="0.3">
      <c r="A3175" t="s">
        <v>26</v>
      </c>
      <c r="C3175" s="16">
        <v>46256</v>
      </c>
      <c r="D3175">
        <v>2177.87</v>
      </c>
    </row>
    <row r="3176" spans="1:4" x14ac:dyDescent="0.3">
      <c r="A3176" t="s">
        <v>27</v>
      </c>
      <c r="C3176" s="16">
        <v>46256</v>
      </c>
      <c r="D3176">
        <v>754424.72</v>
      </c>
    </row>
    <row r="3177" spans="1:4" x14ac:dyDescent="0.3">
      <c r="A3177" t="s">
        <v>28</v>
      </c>
      <c r="C3177" s="16">
        <v>46256</v>
      </c>
      <c r="D3177">
        <v>1968.99</v>
      </c>
    </row>
    <row r="3178" spans="1:4" x14ac:dyDescent="0.3">
      <c r="A3178" t="s">
        <v>29</v>
      </c>
      <c r="C3178" s="16">
        <v>46256</v>
      </c>
      <c r="D3178">
        <v>901.34</v>
      </c>
    </row>
    <row r="3179" spans="1:4" x14ac:dyDescent="0.3">
      <c r="A3179" t="s">
        <v>30</v>
      </c>
      <c r="C3179" s="16">
        <v>46256</v>
      </c>
      <c r="D3179">
        <v>1396.08</v>
      </c>
    </row>
    <row r="3180" spans="1:4" x14ac:dyDescent="0.3">
      <c r="A3180" t="s">
        <v>31</v>
      </c>
      <c r="C3180" s="16">
        <v>46256</v>
      </c>
      <c r="D3180">
        <v>13685.709999999959</v>
      </c>
    </row>
    <row r="3181" spans="1:4" x14ac:dyDescent="0.3">
      <c r="A3181" t="s">
        <v>32</v>
      </c>
      <c r="C3181" s="16">
        <v>46256</v>
      </c>
      <c r="D3181">
        <v>8724.1700000000037</v>
      </c>
    </row>
    <row r="3182" spans="1:4" x14ac:dyDescent="0.3">
      <c r="A3182" t="s">
        <v>33</v>
      </c>
      <c r="C3182" s="16">
        <v>46256</v>
      </c>
      <c r="D3182">
        <v>19336.039999999997</v>
      </c>
    </row>
    <row r="3183" spans="1:4" x14ac:dyDescent="0.3">
      <c r="A3183" t="s">
        <v>34</v>
      </c>
      <c r="C3183" s="16">
        <v>46256</v>
      </c>
      <c r="D3183">
        <v>345</v>
      </c>
    </row>
    <row r="3184" spans="1:4" x14ac:dyDescent="0.3">
      <c r="A3184" t="s">
        <v>35</v>
      </c>
      <c r="C3184" s="16">
        <v>46256</v>
      </c>
      <c r="D3184">
        <v>12541.790000000003</v>
      </c>
    </row>
    <row r="3185" spans="1:4" x14ac:dyDescent="0.3">
      <c r="A3185" t="s">
        <v>193</v>
      </c>
      <c r="C3185" s="16">
        <v>46256</v>
      </c>
      <c r="D3185">
        <v>0</v>
      </c>
    </row>
    <row r="3186" spans="1:4" x14ac:dyDescent="0.3">
      <c r="A3186" t="s">
        <v>194</v>
      </c>
      <c r="C3186" s="16">
        <v>46256</v>
      </c>
      <c r="D3186">
        <v>0</v>
      </c>
    </row>
    <row r="3187" spans="1:4" x14ac:dyDescent="0.3">
      <c r="A3187" t="s">
        <v>195</v>
      </c>
      <c r="C3187" s="16">
        <v>46256</v>
      </c>
      <c r="D3187">
        <v>0</v>
      </c>
    </row>
    <row r="3188" spans="1:4" x14ac:dyDescent="0.3">
      <c r="A3188" t="s">
        <v>196</v>
      </c>
      <c r="C3188" s="16">
        <v>46256</v>
      </c>
      <c r="D3188">
        <v>0</v>
      </c>
    </row>
    <row r="3189" spans="1:4" x14ac:dyDescent="0.3">
      <c r="A3189" t="s">
        <v>197</v>
      </c>
      <c r="C3189" s="16">
        <v>46256</v>
      </c>
      <c r="D3189">
        <v>0</v>
      </c>
    </row>
    <row r="3190" spans="1:4" x14ac:dyDescent="0.3">
      <c r="A3190" t="s">
        <v>198</v>
      </c>
      <c r="C3190" s="16">
        <v>46256</v>
      </c>
      <c r="D3190">
        <v>0</v>
      </c>
    </row>
    <row r="3191" spans="1:4" x14ac:dyDescent="0.3">
      <c r="A3191" t="s">
        <v>216</v>
      </c>
      <c r="C3191" s="16">
        <v>46256</v>
      </c>
      <c r="D3191">
        <v>0</v>
      </c>
    </row>
    <row r="3192" spans="1:4" x14ac:dyDescent="0.3">
      <c r="A3192" t="s">
        <v>200</v>
      </c>
      <c r="C3192" s="16">
        <v>46256</v>
      </c>
      <c r="D3192">
        <v>0</v>
      </c>
    </row>
    <row r="3193" spans="1:4" x14ac:dyDescent="0.3">
      <c r="A3193" t="s">
        <v>201</v>
      </c>
      <c r="C3193" s="16">
        <v>46256</v>
      </c>
      <c r="D3193">
        <v>0</v>
      </c>
    </row>
    <row r="3194" spans="1:4" x14ac:dyDescent="0.3">
      <c r="A3194" t="s">
        <v>17</v>
      </c>
      <c r="C3194" s="16">
        <v>46257</v>
      </c>
      <c r="D3194">
        <v>702210.36000000045</v>
      </c>
    </row>
    <row r="3195" spans="1:4" x14ac:dyDescent="0.3">
      <c r="A3195" t="s">
        <v>18</v>
      </c>
      <c r="C3195" s="16">
        <v>46257</v>
      </c>
      <c r="D3195">
        <v>83211.250000000175</v>
      </c>
    </row>
    <row r="3196" spans="1:4" x14ac:dyDescent="0.3">
      <c r="A3196" t="s">
        <v>19</v>
      </c>
      <c r="C3196" s="16">
        <v>46257</v>
      </c>
      <c r="D3196">
        <v>1669.89</v>
      </c>
    </row>
    <row r="3197" spans="1:4" x14ac:dyDescent="0.3">
      <c r="A3197" t="s">
        <v>20</v>
      </c>
      <c r="C3197" s="16">
        <v>46257</v>
      </c>
      <c r="D3197">
        <v>1229031.3399999999</v>
      </c>
    </row>
    <row r="3198" spans="1:4" x14ac:dyDescent="0.3">
      <c r="A3198" t="s">
        <v>21</v>
      </c>
      <c r="C3198" s="16">
        <v>46257</v>
      </c>
      <c r="D3198">
        <v>1744052.5799999996</v>
      </c>
    </row>
    <row r="3199" spans="1:4" x14ac:dyDescent="0.3">
      <c r="A3199" t="s">
        <v>22</v>
      </c>
      <c r="C3199" s="16">
        <v>46257</v>
      </c>
      <c r="D3199">
        <v>221496.38</v>
      </c>
    </row>
    <row r="3200" spans="1:4" x14ac:dyDescent="0.3">
      <c r="A3200" t="s">
        <v>23</v>
      </c>
      <c r="C3200" s="16">
        <v>46257</v>
      </c>
      <c r="D3200">
        <v>158071.25999999998</v>
      </c>
    </row>
    <row r="3201" spans="1:4" x14ac:dyDescent="0.3">
      <c r="A3201" t="s">
        <v>24</v>
      </c>
      <c r="C3201" s="16">
        <v>46257</v>
      </c>
      <c r="D3201">
        <v>13270.02</v>
      </c>
    </row>
    <row r="3202" spans="1:4" x14ac:dyDescent="0.3">
      <c r="A3202" t="s">
        <v>25</v>
      </c>
      <c r="C3202" s="16">
        <v>46257</v>
      </c>
      <c r="D3202">
        <v>24.450000000000003</v>
      </c>
    </row>
    <row r="3203" spans="1:4" x14ac:dyDescent="0.3">
      <c r="A3203" t="s">
        <v>26</v>
      </c>
      <c r="C3203" s="16">
        <v>46257</v>
      </c>
      <c r="D3203">
        <v>2177.87</v>
      </c>
    </row>
    <row r="3204" spans="1:4" x14ac:dyDescent="0.3">
      <c r="A3204" t="s">
        <v>27</v>
      </c>
      <c r="C3204" s="16">
        <v>46257</v>
      </c>
      <c r="D3204">
        <v>754424.72</v>
      </c>
    </row>
    <row r="3205" spans="1:4" x14ac:dyDescent="0.3">
      <c r="A3205" t="s">
        <v>28</v>
      </c>
      <c r="C3205" s="16">
        <v>46257</v>
      </c>
      <c r="D3205">
        <v>1968.99</v>
      </c>
    </row>
    <row r="3206" spans="1:4" x14ac:dyDescent="0.3">
      <c r="A3206" t="s">
        <v>29</v>
      </c>
      <c r="C3206" s="16">
        <v>46257</v>
      </c>
      <c r="D3206">
        <v>901.34</v>
      </c>
    </row>
    <row r="3207" spans="1:4" x14ac:dyDescent="0.3">
      <c r="A3207" t="s">
        <v>30</v>
      </c>
      <c r="C3207" s="16">
        <v>46257</v>
      </c>
      <c r="D3207">
        <v>1396.08</v>
      </c>
    </row>
    <row r="3208" spans="1:4" x14ac:dyDescent="0.3">
      <c r="A3208" t="s">
        <v>31</v>
      </c>
      <c r="C3208" s="16">
        <v>46257</v>
      </c>
      <c r="D3208">
        <v>13685.709999999959</v>
      </c>
    </row>
    <row r="3209" spans="1:4" x14ac:dyDescent="0.3">
      <c r="A3209" t="s">
        <v>32</v>
      </c>
      <c r="C3209" s="16">
        <v>46257</v>
      </c>
      <c r="D3209">
        <v>8724.1700000000037</v>
      </c>
    </row>
    <row r="3210" spans="1:4" x14ac:dyDescent="0.3">
      <c r="A3210" t="s">
        <v>33</v>
      </c>
      <c r="C3210" s="16">
        <v>46257</v>
      </c>
      <c r="D3210">
        <v>19336.039999999997</v>
      </c>
    </row>
    <row r="3211" spans="1:4" x14ac:dyDescent="0.3">
      <c r="A3211" t="s">
        <v>34</v>
      </c>
      <c r="C3211" s="16">
        <v>46257</v>
      </c>
      <c r="D3211">
        <v>345</v>
      </c>
    </row>
    <row r="3212" spans="1:4" x14ac:dyDescent="0.3">
      <c r="A3212" t="s">
        <v>35</v>
      </c>
      <c r="C3212" s="16">
        <v>46257</v>
      </c>
      <c r="D3212">
        <v>12541.790000000003</v>
      </c>
    </row>
    <row r="3213" spans="1:4" x14ac:dyDescent="0.3">
      <c r="A3213" t="s">
        <v>193</v>
      </c>
      <c r="C3213" s="16">
        <v>46257</v>
      </c>
      <c r="D3213">
        <v>0</v>
      </c>
    </row>
    <row r="3214" spans="1:4" x14ac:dyDescent="0.3">
      <c r="A3214" t="s">
        <v>194</v>
      </c>
      <c r="C3214" s="16">
        <v>46257</v>
      </c>
      <c r="D3214">
        <v>0</v>
      </c>
    </row>
    <row r="3215" spans="1:4" x14ac:dyDescent="0.3">
      <c r="A3215" t="s">
        <v>195</v>
      </c>
      <c r="C3215" s="16">
        <v>46257</v>
      </c>
      <c r="D3215">
        <v>0</v>
      </c>
    </row>
    <row r="3216" spans="1:4" x14ac:dyDescent="0.3">
      <c r="A3216" t="s">
        <v>196</v>
      </c>
      <c r="C3216" s="16">
        <v>46257</v>
      </c>
      <c r="D3216">
        <v>0</v>
      </c>
    </row>
    <row r="3217" spans="1:4" x14ac:dyDescent="0.3">
      <c r="A3217" t="s">
        <v>197</v>
      </c>
      <c r="C3217" s="16">
        <v>46257</v>
      </c>
      <c r="D3217">
        <v>0</v>
      </c>
    </row>
    <row r="3218" spans="1:4" x14ac:dyDescent="0.3">
      <c r="A3218" t="s">
        <v>198</v>
      </c>
      <c r="C3218" s="16">
        <v>46257</v>
      </c>
      <c r="D3218">
        <v>0</v>
      </c>
    </row>
    <row r="3219" spans="1:4" x14ac:dyDescent="0.3">
      <c r="A3219" t="s">
        <v>216</v>
      </c>
      <c r="C3219" s="16">
        <v>46257</v>
      </c>
      <c r="D3219">
        <v>0</v>
      </c>
    </row>
    <row r="3220" spans="1:4" x14ac:dyDescent="0.3">
      <c r="A3220" t="s">
        <v>200</v>
      </c>
      <c r="C3220" s="16">
        <v>46257</v>
      </c>
      <c r="D3220">
        <v>0</v>
      </c>
    </row>
    <row r="3221" spans="1:4" x14ac:dyDescent="0.3">
      <c r="A3221" t="s">
        <v>201</v>
      </c>
      <c r="C3221" s="16">
        <v>46257</v>
      </c>
      <c r="D3221">
        <v>0</v>
      </c>
    </row>
    <row r="3222" spans="1:4" x14ac:dyDescent="0.3">
      <c r="A3222" t="s">
        <v>17</v>
      </c>
      <c r="C3222" s="16">
        <v>46258</v>
      </c>
      <c r="D3222">
        <v>372210.36000000045</v>
      </c>
    </row>
    <row r="3223" spans="1:4" x14ac:dyDescent="0.3">
      <c r="A3223" t="s">
        <v>18</v>
      </c>
      <c r="C3223" s="16">
        <v>46258</v>
      </c>
      <c r="D3223">
        <v>83668.990000000165</v>
      </c>
    </row>
    <row r="3224" spans="1:4" x14ac:dyDescent="0.3">
      <c r="A3224" t="s">
        <v>19</v>
      </c>
      <c r="C3224" s="16">
        <v>46258</v>
      </c>
      <c r="D3224">
        <v>1669.89</v>
      </c>
    </row>
    <row r="3225" spans="1:4" x14ac:dyDescent="0.3">
      <c r="A3225" t="s">
        <v>20</v>
      </c>
      <c r="C3225" s="16">
        <v>46258</v>
      </c>
      <c r="D3225">
        <v>1234763.3299999998</v>
      </c>
    </row>
    <row r="3226" spans="1:4" x14ac:dyDescent="0.3">
      <c r="A3226" t="s">
        <v>21</v>
      </c>
      <c r="C3226" s="16">
        <v>46258</v>
      </c>
      <c r="D3226">
        <v>1743289.5899999996</v>
      </c>
    </row>
    <row r="3227" spans="1:4" x14ac:dyDescent="0.3">
      <c r="A3227" t="s">
        <v>22</v>
      </c>
      <c r="C3227" s="16">
        <v>46258</v>
      </c>
      <c r="D3227">
        <v>221496.38</v>
      </c>
    </row>
    <row r="3228" spans="1:4" x14ac:dyDescent="0.3">
      <c r="A3228" t="s">
        <v>23</v>
      </c>
      <c r="C3228" s="16">
        <v>46258</v>
      </c>
      <c r="D3228">
        <v>158071.25999999998</v>
      </c>
    </row>
    <row r="3229" spans="1:4" x14ac:dyDescent="0.3">
      <c r="A3229" t="s">
        <v>24</v>
      </c>
      <c r="C3229" s="16">
        <v>46258</v>
      </c>
      <c r="D3229">
        <v>13270.02</v>
      </c>
    </row>
    <row r="3230" spans="1:4" x14ac:dyDescent="0.3">
      <c r="A3230" t="s">
        <v>25</v>
      </c>
      <c r="C3230" s="16">
        <v>46258</v>
      </c>
      <c r="D3230">
        <v>24.450000000000003</v>
      </c>
    </row>
    <row r="3231" spans="1:4" x14ac:dyDescent="0.3">
      <c r="A3231" t="s">
        <v>26</v>
      </c>
      <c r="C3231" s="16">
        <v>46258</v>
      </c>
      <c r="D3231">
        <v>2177.87</v>
      </c>
    </row>
    <row r="3232" spans="1:4" x14ac:dyDescent="0.3">
      <c r="A3232" t="s">
        <v>27</v>
      </c>
      <c r="C3232" s="16">
        <v>46258</v>
      </c>
      <c r="D3232">
        <v>754424.72</v>
      </c>
    </row>
    <row r="3233" spans="1:4" x14ac:dyDescent="0.3">
      <c r="A3233" t="s">
        <v>28</v>
      </c>
      <c r="C3233" s="16">
        <v>46258</v>
      </c>
      <c r="D3233">
        <v>1968.99</v>
      </c>
    </row>
    <row r="3234" spans="1:4" x14ac:dyDescent="0.3">
      <c r="A3234" t="s">
        <v>29</v>
      </c>
      <c r="C3234" s="16">
        <v>46258</v>
      </c>
      <c r="D3234">
        <v>901.34</v>
      </c>
    </row>
    <row r="3235" spans="1:4" x14ac:dyDescent="0.3">
      <c r="A3235" t="s">
        <v>30</v>
      </c>
      <c r="C3235" s="16">
        <v>46258</v>
      </c>
      <c r="D3235">
        <v>1396.08</v>
      </c>
    </row>
    <row r="3236" spans="1:4" x14ac:dyDescent="0.3">
      <c r="A3236" t="s">
        <v>31</v>
      </c>
      <c r="C3236" s="16">
        <v>46258</v>
      </c>
      <c r="D3236">
        <v>13685.709999999959</v>
      </c>
    </row>
    <row r="3237" spans="1:4" x14ac:dyDescent="0.3">
      <c r="A3237" t="s">
        <v>32</v>
      </c>
      <c r="C3237" s="16">
        <v>46258</v>
      </c>
      <c r="D3237">
        <v>8724.1700000000037</v>
      </c>
    </row>
    <row r="3238" spans="1:4" x14ac:dyDescent="0.3">
      <c r="A3238" t="s">
        <v>33</v>
      </c>
      <c r="C3238" s="16">
        <v>46258</v>
      </c>
      <c r="D3238">
        <v>19336.039999999997</v>
      </c>
    </row>
    <row r="3239" spans="1:4" x14ac:dyDescent="0.3">
      <c r="A3239" t="s">
        <v>34</v>
      </c>
      <c r="C3239" s="16">
        <v>46258</v>
      </c>
      <c r="D3239">
        <v>345</v>
      </c>
    </row>
    <row r="3240" spans="1:4" x14ac:dyDescent="0.3">
      <c r="A3240" t="s">
        <v>35</v>
      </c>
      <c r="C3240" s="16">
        <v>46258</v>
      </c>
      <c r="D3240">
        <v>12519.840000000004</v>
      </c>
    </row>
    <row r="3241" spans="1:4" x14ac:dyDescent="0.3">
      <c r="A3241" t="s">
        <v>193</v>
      </c>
      <c r="C3241" s="16">
        <v>46258</v>
      </c>
      <c r="D3241">
        <v>0</v>
      </c>
    </row>
    <row r="3242" spans="1:4" x14ac:dyDescent="0.3">
      <c r="A3242" t="s">
        <v>194</v>
      </c>
      <c r="C3242" s="16">
        <v>46258</v>
      </c>
      <c r="D3242">
        <v>0</v>
      </c>
    </row>
    <row r="3243" spans="1:4" x14ac:dyDescent="0.3">
      <c r="A3243" t="s">
        <v>195</v>
      </c>
      <c r="C3243" s="16">
        <v>46258</v>
      </c>
      <c r="D3243">
        <v>0</v>
      </c>
    </row>
    <row r="3244" spans="1:4" x14ac:dyDescent="0.3">
      <c r="A3244" t="s">
        <v>196</v>
      </c>
      <c r="C3244" s="16">
        <v>46258</v>
      </c>
      <c r="D3244">
        <v>0</v>
      </c>
    </row>
    <row r="3245" spans="1:4" x14ac:dyDescent="0.3">
      <c r="A3245" t="s">
        <v>197</v>
      </c>
      <c r="C3245" s="16">
        <v>46258</v>
      </c>
      <c r="D3245">
        <v>0</v>
      </c>
    </row>
    <row r="3246" spans="1:4" x14ac:dyDescent="0.3">
      <c r="A3246" t="s">
        <v>198</v>
      </c>
      <c r="C3246" s="16">
        <v>46258</v>
      </c>
      <c r="D3246">
        <v>0</v>
      </c>
    </row>
    <row r="3247" spans="1:4" x14ac:dyDescent="0.3">
      <c r="A3247" t="s">
        <v>216</v>
      </c>
      <c r="C3247" s="16">
        <v>46258</v>
      </c>
      <c r="D3247">
        <v>0</v>
      </c>
    </row>
    <row r="3248" spans="1:4" x14ac:dyDescent="0.3">
      <c r="A3248" t="s">
        <v>200</v>
      </c>
      <c r="C3248" s="16">
        <v>46258</v>
      </c>
      <c r="D3248">
        <v>0</v>
      </c>
    </row>
    <row r="3249" spans="1:4" x14ac:dyDescent="0.3">
      <c r="A3249" t="s">
        <v>201</v>
      </c>
      <c r="C3249" s="16">
        <v>46258</v>
      </c>
      <c r="D3249">
        <v>0</v>
      </c>
    </row>
    <row r="3250" spans="1:4" x14ac:dyDescent="0.3">
      <c r="A3250" t="s">
        <v>17</v>
      </c>
      <c r="C3250" s="16">
        <v>46259</v>
      </c>
      <c r="D3250">
        <v>526096.53000000049</v>
      </c>
    </row>
    <row r="3251" spans="1:4" x14ac:dyDescent="0.3">
      <c r="A3251" t="s">
        <v>18</v>
      </c>
      <c r="C3251" s="16">
        <v>46259</v>
      </c>
      <c r="D3251">
        <v>90643.10000000018</v>
      </c>
    </row>
    <row r="3252" spans="1:4" x14ac:dyDescent="0.3">
      <c r="A3252" t="s">
        <v>19</v>
      </c>
      <c r="C3252" s="16">
        <v>46259</v>
      </c>
      <c r="D3252">
        <v>1669.89</v>
      </c>
    </row>
    <row r="3253" spans="1:4" x14ac:dyDescent="0.3">
      <c r="A3253" t="s">
        <v>20</v>
      </c>
      <c r="C3253" s="16">
        <v>46259</v>
      </c>
      <c r="D3253">
        <v>1252108.94</v>
      </c>
    </row>
    <row r="3254" spans="1:4" x14ac:dyDescent="0.3">
      <c r="A3254" t="s">
        <v>21</v>
      </c>
      <c r="C3254" s="16">
        <v>46259</v>
      </c>
      <c r="D3254">
        <v>1743289.5899999996</v>
      </c>
    </row>
    <row r="3255" spans="1:4" x14ac:dyDescent="0.3">
      <c r="A3255" t="s">
        <v>22</v>
      </c>
      <c r="C3255" s="16">
        <v>46259</v>
      </c>
      <c r="D3255">
        <v>221496.38</v>
      </c>
    </row>
    <row r="3256" spans="1:4" x14ac:dyDescent="0.3">
      <c r="A3256" t="s">
        <v>23</v>
      </c>
      <c r="C3256" s="16">
        <v>46259</v>
      </c>
      <c r="D3256">
        <v>158071.25999999998</v>
      </c>
    </row>
    <row r="3257" spans="1:4" x14ac:dyDescent="0.3">
      <c r="A3257" t="s">
        <v>24</v>
      </c>
      <c r="C3257" s="16">
        <v>46259</v>
      </c>
      <c r="D3257">
        <v>13270.02</v>
      </c>
    </row>
    <row r="3258" spans="1:4" x14ac:dyDescent="0.3">
      <c r="A3258" t="s">
        <v>25</v>
      </c>
      <c r="C3258" s="16">
        <v>46259</v>
      </c>
      <c r="D3258">
        <v>24.450000000000003</v>
      </c>
    </row>
    <row r="3259" spans="1:4" x14ac:dyDescent="0.3">
      <c r="A3259" t="s">
        <v>26</v>
      </c>
      <c r="C3259" s="16">
        <v>46259</v>
      </c>
      <c r="D3259">
        <v>2177.87</v>
      </c>
    </row>
    <row r="3260" spans="1:4" x14ac:dyDescent="0.3">
      <c r="A3260" t="s">
        <v>27</v>
      </c>
      <c r="C3260" s="16">
        <v>46259</v>
      </c>
      <c r="D3260">
        <v>754424.72</v>
      </c>
    </row>
    <row r="3261" spans="1:4" x14ac:dyDescent="0.3">
      <c r="A3261" t="s">
        <v>28</v>
      </c>
      <c r="C3261" s="16">
        <v>46259</v>
      </c>
      <c r="D3261">
        <v>1968.99</v>
      </c>
    </row>
    <row r="3262" spans="1:4" x14ac:dyDescent="0.3">
      <c r="A3262" t="s">
        <v>29</v>
      </c>
      <c r="C3262" s="16">
        <v>46259</v>
      </c>
      <c r="D3262">
        <v>901.34</v>
      </c>
    </row>
    <row r="3263" spans="1:4" x14ac:dyDescent="0.3">
      <c r="A3263" t="s">
        <v>30</v>
      </c>
      <c r="C3263" s="16">
        <v>46259</v>
      </c>
      <c r="D3263">
        <v>1396.08</v>
      </c>
    </row>
    <row r="3264" spans="1:4" x14ac:dyDescent="0.3">
      <c r="A3264" t="s">
        <v>31</v>
      </c>
      <c r="C3264" s="16">
        <v>46259</v>
      </c>
      <c r="D3264">
        <v>13685.709999999959</v>
      </c>
    </row>
    <row r="3265" spans="1:4" x14ac:dyDescent="0.3">
      <c r="A3265" t="s">
        <v>32</v>
      </c>
      <c r="C3265" s="16">
        <v>46259</v>
      </c>
      <c r="D3265">
        <v>8724.1700000000037</v>
      </c>
    </row>
    <row r="3266" spans="1:4" x14ac:dyDescent="0.3">
      <c r="A3266" t="s">
        <v>33</v>
      </c>
      <c r="C3266" s="16">
        <v>46259</v>
      </c>
      <c r="D3266">
        <v>19336.039999999997</v>
      </c>
    </row>
    <row r="3267" spans="1:4" x14ac:dyDescent="0.3">
      <c r="A3267" t="s">
        <v>34</v>
      </c>
      <c r="C3267" s="16">
        <v>46259</v>
      </c>
      <c r="D3267">
        <v>345</v>
      </c>
    </row>
    <row r="3268" spans="1:4" x14ac:dyDescent="0.3">
      <c r="A3268" t="s">
        <v>35</v>
      </c>
      <c r="C3268" s="16">
        <v>46259</v>
      </c>
      <c r="D3268">
        <v>12519.840000000004</v>
      </c>
    </row>
    <row r="3269" spans="1:4" x14ac:dyDescent="0.3">
      <c r="A3269" t="s">
        <v>193</v>
      </c>
      <c r="C3269" s="16">
        <v>46259</v>
      </c>
      <c r="D3269">
        <v>0</v>
      </c>
    </row>
    <row r="3270" spans="1:4" x14ac:dyDescent="0.3">
      <c r="A3270" t="s">
        <v>194</v>
      </c>
      <c r="C3270" s="16">
        <v>46259</v>
      </c>
      <c r="D3270">
        <v>0</v>
      </c>
    </row>
    <row r="3271" spans="1:4" x14ac:dyDescent="0.3">
      <c r="A3271" t="s">
        <v>195</v>
      </c>
      <c r="C3271" s="16">
        <v>46259</v>
      </c>
      <c r="D3271">
        <v>0</v>
      </c>
    </row>
    <row r="3272" spans="1:4" x14ac:dyDescent="0.3">
      <c r="A3272" t="s">
        <v>196</v>
      </c>
      <c r="C3272" s="16">
        <v>46259</v>
      </c>
      <c r="D3272">
        <v>0</v>
      </c>
    </row>
    <row r="3273" spans="1:4" x14ac:dyDescent="0.3">
      <c r="A3273" t="s">
        <v>197</v>
      </c>
      <c r="C3273" s="16">
        <v>46259</v>
      </c>
      <c r="D3273">
        <v>0</v>
      </c>
    </row>
    <row r="3274" spans="1:4" x14ac:dyDescent="0.3">
      <c r="A3274" t="s">
        <v>198</v>
      </c>
      <c r="C3274" s="16">
        <v>46259</v>
      </c>
      <c r="D3274">
        <v>0</v>
      </c>
    </row>
    <row r="3275" spans="1:4" x14ac:dyDescent="0.3">
      <c r="A3275" t="s">
        <v>216</v>
      </c>
      <c r="C3275" s="16">
        <v>46259</v>
      </c>
      <c r="D3275">
        <v>0</v>
      </c>
    </row>
    <row r="3276" spans="1:4" x14ac:dyDescent="0.3">
      <c r="A3276" t="s">
        <v>200</v>
      </c>
      <c r="C3276" s="16">
        <v>46259</v>
      </c>
      <c r="D3276">
        <v>0</v>
      </c>
    </row>
    <row r="3277" spans="1:4" x14ac:dyDescent="0.3">
      <c r="A3277" t="s">
        <v>201</v>
      </c>
      <c r="C3277" s="16">
        <v>46259</v>
      </c>
      <c r="D3277">
        <v>0</v>
      </c>
    </row>
    <row r="3278" spans="1:4" x14ac:dyDescent="0.3">
      <c r="A3278" t="s">
        <v>17</v>
      </c>
      <c r="C3278" s="16">
        <v>46260</v>
      </c>
      <c r="D3278">
        <v>526096.53000000049</v>
      </c>
    </row>
    <row r="3279" spans="1:4" x14ac:dyDescent="0.3">
      <c r="A3279" t="s">
        <v>18</v>
      </c>
      <c r="C3279" s="16">
        <v>46260</v>
      </c>
      <c r="D3279">
        <v>90643.10000000018</v>
      </c>
    </row>
    <row r="3280" spans="1:4" x14ac:dyDescent="0.3">
      <c r="A3280" t="s">
        <v>19</v>
      </c>
      <c r="C3280" s="16">
        <v>46260</v>
      </c>
      <c r="D3280">
        <v>1669.89</v>
      </c>
    </row>
    <row r="3281" spans="1:4" x14ac:dyDescent="0.3">
      <c r="A3281" t="s">
        <v>20</v>
      </c>
      <c r="C3281" s="16">
        <v>46260</v>
      </c>
      <c r="D3281">
        <v>1269654.47</v>
      </c>
    </row>
    <row r="3282" spans="1:4" x14ac:dyDescent="0.3">
      <c r="A3282" t="s">
        <v>21</v>
      </c>
      <c r="C3282" s="16">
        <v>46260</v>
      </c>
      <c r="D3282">
        <v>1743289.5899999996</v>
      </c>
    </row>
    <row r="3283" spans="1:4" x14ac:dyDescent="0.3">
      <c r="A3283" t="s">
        <v>22</v>
      </c>
      <c r="C3283" s="16">
        <v>46260</v>
      </c>
      <c r="D3283">
        <v>221496.38</v>
      </c>
    </row>
    <row r="3284" spans="1:4" x14ac:dyDescent="0.3">
      <c r="A3284" t="s">
        <v>23</v>
      </c>
      <c r="C3284" s="16">
        <v>46260</v>
      </c>
      <c r="D3284">
        <v>158071.25999999998</v>
      </c>
    </row>
    <row r="3285" spans="1:4" x14ac:dyDescent="0.3">
      <c r="A3285" t="s">
        <v>24</v>
      </c>
      <c r="C3285" s="16">
        <v>46260</v>
      </c>
      <c r="D3285">
        <v>13270.02</v>
      </c>
    </row>
    <row r="3286" spans="1:4" x14ac:dyDescent="0.3">
      <c r="A3286" t="s">
        <v>25</v>
      </c>
      <c r="C3286" s="16">
        <v>46260</v>
      </c>
      <c r="D3286">
        <v>24.450000000000003</v>
      </c>
    </row>
    <row r="3287" spans="1:4" x14ac:dyDescent="0.3">
      <c r="A3287" t="s">
        <v>26</v>
      </c>
      <c r="C3287" s="16">
        <v>46260</v>
      </c>
      <c r="D3287">
        <v>2177.87</v>
      </c>
    </row>
    <row r="3288" spans="1:4" x14ac:dyDescent="0.3">
      <c r="A3288" t="s">
        <v>27</v>
      </c>
      <c r="C3288" s="16">
        <v>46260</v>
      </c>
      <c r="D3288">
        <v>754424.72</v>
      </c>
    </row>
    <row r="3289" spans="1:4" x14ac:dyDescent="0.3">
      <c r="A3289" t="s">
        <v>28</v>
      </c>
      <c r="C3289" s="16">
        <v>46260</v>
      </c>
      <c r="D3289">
        <v>1968.99</v>
      </c>
    </row>
    <row r="3290" spans="1:4" x14ac:dyDescent="0.3">
      <c r="A3290" t="s">
        <v>29</v>
      </c>
      <c r="C3290" s="16">
        <v>46260</v>
      </c>
      <c r="D3290">
        <v>901.34</v>
      </c>
    </row>
    <row r="3291" spans="1:4" x14ac:dyDescent="0.3">
      <c r="A3291" t="s">
        <v>30</v>
      </c>
      <c r="C3291" s="16">
        <v>46260</v>
      </c>
      <c r="D3291">
        <v>1396.08</v>
      </c>
    </row>
    <row r="3292" spans="1:4" x14ac:dyDescent="0.3">
      <c r="A3292" t="s">
        <v>31</v>
      </c>
      <c r="C3292" s="16">
        <v>46260</v>
      </c>
      <c r="D3292">
        <v>13685.709999999959</v>
      </c>
    </row>
    <row r="3293" spans="1:4" x14ac:dyDescent="0.3">
      <c r="A3293" t="s">
        <v>32</v>
      </c>
      <c r="C3293" s="16">
        <v>46260</v>
      </c>
      <c r="D3293">
        <v>8724.1700000000037</v>
      </c>
    </row>
    <row r="3294" spans="1:4" x14ac:dyDescent="0.3">
      <c r="A3294" t="s">
        <v>33</v>
      </c>
      <c r="C3294" s="16">
        <v>46260</v>
      </c>
      <c r="D3294">
        <v>19336.039999999997</v>
      </c>
    </row>
    <row r="3295" spans="1:4" x14ac:dyDescent="0.3">
      <c r="A3295" t="s">
        <v>34</v>
      </c>
      <c r="C3295" s="16">
        <v>46260</v>
      </c>
      <c r="D3295">
        <v>345</v>
      </c>
    </row>
    <row r="3296" spans="1:4" x14ac:dyDescent="0.3">
      <c r="A3296" t="s">
        <v>35</v>
      </c>
      <c r="C3296" s="16">
        <v>46260</v>
      </c>
      <c r="D3296">
        <v>12519.840000000004</v>
      </c>
    </row>
    <row r="3297" spans="1:4" x14ac:dyDescent="0.3">
      <c r="A3297" t="s">
        <v>193</v>
      </c>
      <c r="C3297" s="16">
        <v>46260</v>
      </c>
      <c r="D3297">
        <v>0</v>
      </c>
    </row>
    <row r="3298" spans="1:4" x14ac:dyDescent="0.3">
      <c r="A3298" t="s">
        <v>194</v>
      </c>
      <c r="C3298" s="16">
        <v>46260</v>
      </c>
      <c r="D3298">
        <v>0</v>
      </c>
    </row>
    <row r="3299" spans="1:4" x14ac:dyDescent="0.3">
      <c r="A3299" t="s">
        <v>195</v>
      </c>
      <c r="C3299" s="16">
        <v>46260</v>
      </c>
      <c r="D3299">
        <v>0</v>
      </c>
    </row>
    <row r="3300" spans="1:4" x14ac:dyDescent="0.3">
      <c r="A3300" t="s">
        <v>196</v>
      </c>
      <c r="C3300" s="16">
        <v>46260</v>
      </c>
      <c r="D3300">
        <v>0</v>
      </c>
    </row>
    <row r="3301" spans="1:4" x14ac:dyDescent="0.3">
      <c r="A3301" t="s">
        <v>197</v>
      </c>
      <c r="C3301" s="16">
        <v>46260</v>
      </c>
      <c r="D3301">
        <v>0</v>
      </c>
    </row>
    <row r="3302" spans="1:4" x14ac:dyDescent="0.3">
      <c r="A3302" t="s">
        <v>198</v>
      </c>
      <c r="C3302" s="16">
        <v>46260</v>
      </c>
      <c r="D3302">
        <v>0</v>
      </c>
    </row>
    <row r="3303" spans="1:4" x14ac:dyDescent="0.3">
      <c r="A3303" t="s">
        <v>216</v>
      </c>
      <c r="C3303" s="16">
        <v>46260</v>
      </c>
      <c r="D3303">
        <v>0</v>
      </c>
    </row>
    <row r="3304" spans="1:4" x14ac:dyDescent="0.3">
      <c r="A3304" t="s">
        <v>200</v>
      </c>
      <c r="C3304" s="16">
        <v>46260</v>
      </c>
      <c r="D3304">
        <v>0</v>
      </c>
    </row>
    <row r="3305" spans="1:4" x14ac:dyDescent="0.3">
      <c r="A3305" t="s">
        <v>201</v>
      </c>
      <c r="C3305" s="16">
        <v>46260</v>
      </c>
      <c r="D3305">
        <v>0</v>
      </c>
    </row>
    <row r="3306" spans="1:4" x14ac:dyDescent="0.3">
      <c r="A3306" t="s">
        <v>17</v>
      </c>
      <c r="C3306" s="16">
        <v>46261</v>
      </c>
      <c r="D3306">
        <v>578093.59000000043</v>
      </c>
    </row>
    <row r="3307" spans="1:4" x14ac:dyDescent="0.3">
      <c r="A3307" t="s">
        <v>18</v>
      </c>
      <c r="C3307" s="16">
        <v>46261</v>
      </c>
      <c r="D3307">
        <v>90643.10000000018</v>
      </c>
    </row>
    <row r="3308" spans="1:4" x14ac:dyDescent="0.3">
      <c r="A3308" t="s">
        <v>19</v>
      </c>
      <c r="C3308" s="16">
        <v>46261</v>
      </c>
      <c r="D3308">
        <v>1669.89</v>
      </c>
    </row>
    <row r="3309" spans="1:4" x14ac:dyDescent="0.3">
      <c r="A3309" t="s">
        <v>20</v>
      </c>
      <c r="C3309" s="16">
        <v>46261</v>
      </c>
      <c r="D3309">
        <v>1394654.47</v>
      </c>
    </row>
    <row r="3310" spans="1:4" x14ac:dyDescent="0.3">
      <c r="A3310" t="s">
        <v>21</v>
      </c>
      <c r="C3310" s="16">
        <v>46261</v>
      </c>
      <c r="D3310">
        <v>1719364.7199999997</v>
      </c>
    </row>
    <row r="3311" spans="1:4" x14ac:dyDescent="0.3">
      <c r="A3311" t="s">
        <v>22</v>
      </c>
      <c r="C3311" s="16">
        <v>46261</v>
      </c>
      <c r="D3311">
        <v>221496.38</v>
      </c>
    </row>
    <row r="3312" spans="1:4" x14ac:dyDescent="0.3">
      <c r="A3312" t="s">
        <v>23</v>
      </c>
      <c r="C3312" s="16">
        <v>46261</v>
      </c>
      <c r="D3312">
        <v>158071.25999999998</v>
      </c>
    </row>
    <row r="3313" spans="1:4" x14ac:dyDescent="0.3">
      <c r="A3313" t="s">
        <v>24</v>
      </c>
      <c r="C3313" s="16">
        <v>46261</v>
      </c>
      <c r="D3313">
        <v>13270.02</v>
      </c>
    </row>
    <row r="3314" spans="1:4" x14ac:dyDescent="0.3">
      <c r="A3314" t="s">
        <v>25</v>
      </c>
      <c r="C3314" s="16">
        <v>46261</v>
      </c>
      <c r="D3314">
        <v>124.45</v>
      </c>
    </row>
    <row r="3315" spans="1:4" x14ac:dyDescent="0.3">
      <c r="A3315" t="s">
        <v>26</v>
      </c>
      <c r="C3315" s="16">
        <v>46261</v>
      </c>
      <c r="D3315">
        <v>2177.87</v>
      </c>
    </row>
    <row r="3316" spans="1:4" x14ac:dyDescent="0.3">
      <c r="A3316" t="s">
        <v>27</v>
      </c>
      <c r="C3316" s="16">
        <v>46261</v>
      </c>
      <c r="D3316">
        <v>754424.72</v>
      </c>
    </row>
    <row r="3317" spans="1:4" x14ac:dyDescent="0.3">
      <c r="A3317" t="s">
        <v>28</v>
      </c>
      <c r="C3317" s="16">
        <v>46261</v>
      </c>
      <c r="D3317">
        <v>1968.99</v>
      </c>
    </row>
    <row r="3318" spans="1:4" x14ac:dyDescent="0.3">
      <c r="A3318" t="s">
        <v>29</v>
      </c>
      <c r="C3318" s="16">
        <v>46261</v>
      </c>
      <c r="D3318">
        <v>901.34</v>
      </c>
    </row>
    <row r="3319" spans="1:4" x14ac:dyDescent="0.3">
      <c r="A3319" t="s">
        <v>30</v>
      </c>
      <c r="C3319" s="16">
        <v>46261</v>
      </c>
      <c r="D3319">
        <v>1396.08</v>
      </c>
    </row>
    <row r="3320" spans="1:4" x14ac:dyDescent="0.3">
      <c r="A3320" t="s">
        <v>31</v>
      </c>
      <c r="C3320" s="16">
        <v>46261</v>
      </c>
      <c r="D3320">
        <v>33685.709999999963</v>
      </c>
    </row>
    <row r="3321" spans="1:4" x14ac:dyDescent="0.3">
      <c r="A3321" t="s">
        <v>32</v>
      </c>
      <c r="C3321" s="16">
        <v>46261</v>
      </c>
      <c r="D3321">
        <v>29724.170000000006</v>
      </c>
    </row>
    <row r="3322" spans="1:4" x14ac:dyDescent="0.3">
      <c r="A3322" t="s">
        <v>33</v>
      </c>
      <c r="C3322" s="16">
        <v>46261</v>
      </c>
      <c r="D3322">
        <v>19336.039999999997</v>
      </c>
    </row>
    <row r="3323" spans="1:4" x14ac:dyDescent="0.3">
      <c r="A3323" t="s">
        <v>34</v>
      </c>
      <c r="C3323" s="16">
        <v>46261</v>
      </c>
      <c r="D3323">
        <v>345</v>
      </c>
    </row>
    <row r="3324" spans="1:4" x14ac:dyDescent="0.3">
      <c r="A3324" t="s">
        <v>35</v>
      </c>
      <c r="C3324" s="16">
        <v>46261</v>
      </c>
      <c r="D3324">
        <v>9608.7000000000025</v>
      </c>
    </row>
    <row r="3325" spans="1:4" x14ac:dyDescent="0.3">
      <c r="A3325" t="s">
        <v>193</v>
      </c>
      <c r="C3325" s="16">
        <v>46261</v>
      </c>
      <c r="D3325">
        <v>0</v>
      </c>
    </row>
    <row r="3326" spans="1:4" x14ac:dyDescent="0.3">
      <c r="A3326" t="s">
        <v>194</v>
      </c>
      <c r="C3326" s="16">
        <v>46261</v>
      </c>
      <c r="D3326">
        <v>0</v>
      </c>
    </row>
    <row r="3327" spans="1:4" x14ac:dyDescent="0.3">
      <c r="A3327" t="s">
        <v>195</v>
      </c>
      <c r="C3327" s="16">
        <v>46261</v>
      </c>
      <c r="D3327">
        <v>0</v>
      </c>
    </row>
    <row r="3328" spans="1:4" x14ac:dyDescent="0.3">
      <c r="A3328" t="s">
        <v>196</v>
      </c>
      <c r="C3328" s="16">
        <v>46261</v>
      </c>
      <c r="D3328">
        <v>0</v>
      </c>
    </row>
    <row r="3329" spans="1:4" x14ac:dyDescent="0.3">
      <c r="A3329" t="s">
        <v>197</v>
      </c>
      <c r="C3329" s="16">
        <v>46261</v>
      </c>
      <c r="D3329">
        <v>0</v>
      </c>
    </row>
    <row r="3330" spans="1:4" x14ac:dyDescent="0.3">
      <c r="A3330" t="s">
        <v>198</v>
      </c>
      <c r="C3330" s="16">
        <v>46261</v>
      </c>
      <c r="D3330">
        <v>0</v>
      </c>
    </row>
    <row r="3331" spans="1:4" x14ac:dyDescent="0.3">
      <c r="A3331" t="s">
        <v>216</v>
      </c>
      <c r="C3331" s="16">
        <v>46261</v>
      </c>
      <c r="D3331">
        <v>0</v>
      </c>
    </row>
    <row r="3332" spans="1:4" x14ac:dyDescent="0.3">
      <c r="A3332" t="s">
        <v>200</v>
      </c>
      <c r="C3332" s="16">
        <v>46261</v>
      </c>
      <c r="D3332">
        <v>0</v>
      </c>
    </row>
    <row r="3333" spans="1:4" x14ac:dyDescent="0.3">
      <c r="A3333" t="s">
        <v>201</v>
      </c>
      <c r="C3333" s="16">
        <v>46261</v>
      </c>
      <c r="D3333">
        <v>0</v>
      </c>
    </row>
    <row r="3334" spans="1:4" x14ac:dyDescent="0.3">
      <c r="A3334" t="s">
        <v>17</v>
      </c>
      <c r="C3334" s="16">
        <v>46262</v>
      </c>
      <c r="D3334">
        <v>743430.83000000054</v>
      </c>
    </row>
    <row r="3335" spans="1:4" x14ac:dyDescent="0.3">
      <c r="A3335" t="s">
        <v>18</v>
      </c>
      <c r="C3335" s="16">
        <v>46262</v>
      </c>
      <c r="D3335">
        <v>93280.230000000171</v>
      </c>
    </row>
    <row r="3336" spans="1:4" x14ac:dyDescent="0.3">
      <c r="A3336" t="s">
        <v>19</v>
      </c>
      <c r="C3336" s="16">
        <v>46262</v>
      </c>
      <c r="D3336">
        <v>1669.89</v>
      </c>
    </row>
    <row r="3337" spans="1:4" x14ac:dyDescent="0.3">
      <c r="A3337" t="s">
        <v>20</v>
      </c>
      <c r="C3337" s="16">
        <v>46262</v>
      </c>
      <c r="D3337">
        <v>1418445.91</v>
      </c>
    </row>
    <row r="3338" spans="1:4" x14ac:dyDescent="0.3">
      <c r="A3338" t="s">
        <v>21</v>
      </c>
      <c r="C3338" s="16">
        <v>46262</v>
      </c>
      <c r="D3338">
        <v>1553167.1899999995</v>
      </c>
    </row>
    <row r="3339" spans="1:4" x14ac:dyDescent="0.3">
      <c r="A3339" t="s">
        <v>22</v>
      </c>
      <c r="C3339" s="16">
        <v>46262</v>
      </c>
      <c r="D3339">
        <v>221496.38</v>
      </c>
    </row>
    <row r="3340" spans="1:4" x14ac:dyDescent="0.3">
      <c r="A3340" t="s">
        <v>23</v>
      </c>
      <c r="C3340" s="16">
        <v>46262</v>
      </c>
      <c r="D3340">
        <v>98169.25999999998</v>
      </c>
    </row>
    <row r="3341" spans="1:4" x14ac:dyDescent="0.3">
      <c r="A3341" t="s">
        <v>24</v>
      </c>
      <c r="C3341" s="16">
        <v>46262</v>
      </c>
      <c r="D3341">
        <v>13270.02</v>
      </c>
    </row>
    <row r="3342" spans="1:4" x14ac:dyDescent="0.3">
      <c r="A3342" t="s">
        <v>25</v>
      </c>
      <c r="C3342" s="16">
        <v>46262</v>
      </c>
      <c r="D3342">
        <v>124.45</v>
      </c>
    </row>
    <row r="3343" spans="1:4" x14ac:dyDescent="0.3">
      <c r="A3343" t="s">
        <v>26</v>
      </c>
      <c r="C3343" s="16">
        <v>46262</v>
      </c>
      <c r="D3343">
        <v>2177.87</v>
      </c>
    </row>
    <row r="3344" spans="1:4" x14ac:dyDescent="0.3">
      <c r="A3344" t="s">
        <v>27</v>
      </c>
      <c r="C3344" s="16">
        <v>46262</v>
      </c>
      <c r="D3344">
        <v>754424.72</v>
      </c>
    </row>
    <row r="3345" spans="1:4" x14ac:dyDescent="0.3">
      <c r="A3345" t="s">
        <v>28</v>
      </c>
      <c r="C3345" s="16">
        <v>46262</v>
      </c>
      <c r="D3345">
        <v>1968.99</v>
      </c>
    </row>
    <row r="3346" spans="1:4" x14ac:dyDescent="0.3">
      <c r="A3346" t="s">
        <v>29</v>
      </c>
      <c r="C3346" s="16">
        <v>46262</v>
      </c>
      <c r="D3346">
        <v>901.34</v>
      </c>
    </row>
    <row r="3347" spans="1:4" x14ac:dyDescent="0.3">
      <c r="A3347" t="s">
        <v>30</v>
      </c>
      <c r="C3347" s="16">
        <v>46262</v>
      </c>
      <c r="D3347">
        <v>1396.08</v>
      </c>
    </row>
    <row r="3348" spans="1:4" x14ac:dyDescent="0.3">
      <c r="A3348" t="s">
        <v>31</v>
      </c>
      <c r="C3348" s="16">
        <v>46262</v>
      </c>
      <c r="D3348">
        <v>33670.709999999963</v>
      </c>
    </row>
    <row r="3349" spans="1:4" x14ac:dyDescent="0.3">
      <c r="A3349" t="s">
        <v>32</v>
      </c>
      <c r="C3349" s="16">
        <v>46262</v>
      </c>
      <c r="D3349">
        <v>29709.170000000006</v>
      </c>
    </row>
    <row r="3350" spans="1:4" x14ac:dyDescent="0.3">
      <c r="A3350" t="s">
        <v>33</v>
      </c>
      <c r="C3350" s="16">
        <v>46262</v>
      </c>
      <c r="D3350">
        <v>19336.039999999997</v>
      </c>
    </row>
    <row r="3351" spans="1:4" x14ac:dyDescent="0.3">
      <c r="A3351" t="s">
        <v>34</v>
      </c>
      <c r="C3351" s="16">
        <v>46262</v>
      </c>
      <c r="D3351">
        <v>345</v>
      </c>
    </row>
    <row r="3352" spans="1:4" x14ac:dyDescent="0.3">
      <c r="A3352" t="s">
        <v>35</v>
      </c>
      <c r="C3352" s="16">
        <v>46262</v>
      </c>
      <c r="D3352">
        <v>9560.0000000000018</v>
      </c>
    </row>
    <row r="3353" spans="1:4" x14ac:dyDescent="0.3">
      <c r="A3353" t="s">
        <v>193</v>
      </c>
      <c r="C3353" s="16">
        <v>46262</v>
      </c>
      <c r="D3353">
        <v>0</v>
      </c>
    </row>
    <row r="3354" spans="1:4" x14ac:dyDescent="0.3">
      <c r="A3354" t="s">
        <v>194</v>
      </c>
      <c r="C3354" s="16">
        <v>46262</v>
      </c>
      <c r="D3354">
        <v>0</v>
      </c>
    </row>
    <row r="3355" spans="1:4" x14ac:dyDescent="0.3">
      <c r="A3355" t="s">
        <v>195</v>
      </c>
      <c r="C3355" s="16">
        <v>46262</v>
      </c>
      <c r="D3355">
        <v>0</v>
      </c>
    </row>
    <row r="3356" spans="1:4" x14ac:dyDescent="0.3">
      <c r="A3356" t="s">
        <v>196</v>
      </c>
      <c r="C3356" s="16">
        <v>46262</v>
      </c>
      <c r="D3356">
        <v>0</v>
      </c>
    </row>
    <row r="3357" spans="1:4" x14ac:dyDescent="0.3">
      <c r="A3357" t="s">
        <v>197</v>
      </c>
      <c r="C3357" s="16">
        <v>46262</v>
      </c>
      <c r="D3357">
        <v>0</v>
      </c>
    </row>
    <row r="3358" spans="1:4" x14ac:dyDescent="0.3">
      <c r="A3358" t="s">
        <v>198</v>
      </c>
      <c r="C3358" s="16">
        <v>46262</v>
      </c>
      <c r="D3358">
        <v>0</v>
      </c>
    </row>
    <row r="3359" spans="1:4" x14ac:dyDescent="0.3">
      <c r="A3359" t="s">
        <v>216</v>
      </c>
      <c r="C3359" s="16">
        <v>46262</v>
      </c>
      <c r="D3359">
        <v>0</v>
      </c>
    </row>
    <row r="3360" spans="1:4" x14ac:dyDescent="0.3">
      <c r="A3360" t="s">
        <v>200</v>
      </c>
      <c r="C3360" s="16">
        <v>46262</v>
      </c>
      <c r="D3360">
        <v>0</v>
      </c>
    </row>
    <row r="3361" spans="1:4" x14ac:dyDescent="0.3">
      <c r="A3361" t="s">
        <v>201</v>
      </c>
      <c r="C3361" s="16">
        <v>46262</v>
      </c>
      <c r="D3361">
        <v>0</v>
      </c>
    </row>
    <row r="3362" spans="1:4" x14ac:dyDescent="0.3">
      <c r="A3362" t="s">
        <v>17</v>
      </c>
      <c r="C3362" s="16">
        <v>46263</v>
      </c>
      <c r="D3362">
        <v>743430.83000000054</v>
      </c>
    </row>
    <row r="3363" spans="1:4" x14ac:dyDescent="0.3">
      <c r="A3363" t="s">
        <v>18</v>
      </c>
      <c r="C3363" s="16">
        <v>46263</v>
      </c>
      <c r="D3363">
        <v>93280.230000000171</v>
      </c>
    </row>
    <row r="3364" spans="1:4" x14ac:dyDescent="0.3">
      <c r="A3364" t="s">
        <v>19</v>
      </c>
      <c r="C3364" s="16">
        <v>46263</v>
      </c>
      <c r="D3364">
        <v>1669.89</v>
      </c>
    </row>
    <row r="3365" spans="1:4" x14ac:dyDescent="0.3">
      <c r="A3365" t="s">
        <v>20</v>
      </c>
      <c r="C3365" s="16">
        <v>46263</v>
      </c>
      <c r="D3365">
        <v>1418445.91</v>
      </c>
    </row>
    <row r="3366" spans="1:4" x14ac:dyDescent="0.3">
      <c r="A3366" t="s">
        <v>21</v>
      </c>
      <c r="C3366" s="16">
        <v>46263</v>
      </c>
      <c r="D3366">
        <v>1553167.1899999995</v>
      </c>
    </row>
    <row r="3367" spans="1:4" x14ac:dyDescent="0.3">
      <c r="A3367" t="s">
        <v>22</v>
      </c>
      <c r="C3367" s="16">
        <v>46263</v>
      </c>
      <c r="D3367">
        <v>221496.38</v>
      </c>
    </row>
    <row r="3368" spans="1:4" x14ac:dyDescent="0.3">
      <c r="A3368" t="s">
        <v>23</v>
      </c>
      <c r="C3368" s="16">
        <v>46263</v>
      </c>
      <c r="D3368">
        <v>98169.25999999998</v>
      </c>
    </row>
    <row r="3369" spans="1:4" x14ac:dyDescent="0.3">
      <c r="A3369" t="s">
        <v>24</v>
      </c>
      <c r="C3369" s="16">
        <v>46263</v>
      </c>
      <c r="D3369">
        <v>13270.02</v>
      </c>
    </row>
    <row r="3370" spans="1:4" x14ac:dyDescent="0.3">
      <c r="A3370" t="s">
        <v>25</v>
      </c>
      <c r="C3370" s="16">
        <v>46263</v>
      </c>
      <c r="D3370">
        <v>124.45</v>
      </c>
    </row>
    <row r="3371" spans="1:4" x14ac:dyDescent="0.3">
      <c r="A3371" t="s">
        <v>26</v>
      </c>
      <c r="C3371" s="16">
        <v>46263</v>
      </c>
      <c r="D3371">
        <v>2177.87</v>
      </c>
    </row>
    <row r="3372" spans="1:4" x14ac:dyDescent="0.3">
      <c r="A3372" t="s">
        <v>27</v>
      </c>
      <c r="C3372" s="16">
        <v>46263</v>
      </c>
      <c r="D3372">
        <v>754424.72</v>
      </c>
    </row>
    <row r="3373" spans="1:4" x14ac:dyDescent="0.3">
      <c r="A3373" t="s">
        <v>28</v>
      </c>
      <c r="C3373" s="16">
        <v>46263</v>
      </c>
      <c r="D3373">
        <v>1968.99</v>
      </c>
    </row>
    <row r="3374" spans="1:4" x14ac:dyDescent="0.3">
      <c r="A3374" t="s">
        <v>29</v>
      </c>
      <c r="C3374" s="16">
        <v>46263</v>
      </c>
      <c r="D3374">
        <v>901.34</v>
      </c>
    </row>
    <row r="3375" spans="1:4" x14ac:dyDescent="0.3">
      <c r="A3375" t="s">
        <v>30</v>
      </c>
      <c r="C3375" s="16">
        <v>46263</v>
      </c>
      <c r="D3375">
        <v>1396.08</v>
      </c>
    </row>
    <row r="3376" spans="1:4" x14ac:dyDescent="0.3">
      <c r="A3376" t="s">
        <v>31</v>
      </c>
      <c r="C3376" s="16">
        <v>46263</v>
      </c>
      <c r="D3376">
        <v>33670.709999999963</v>
      </c>
    </row>
    <row r="3377" spans="1:4" x14ac:dyDescent="0.3">
      <c r="A3377" t="s">
        <v>32</v>
      </c>
      <c r="C3377" s="16">
        <v>46263</v>
      </c>
      <c r="D3377">
        <v>29709.170000000006</v>
      </c>
    </row>
    <row r="3378" spans="1:4" x14ac:dyDescent="0.3">
      <c r="A3378" t="s">
        <v>33</v>
      </c>
      <c r="C3378" s="16">
        <v>46263</v>
      </c>
      <c r="D3378">
        <v>19336.039999999997</v>
      </c>
    </row>
    <row r="3379" spans="1:4" x14ac:dyDescent="0.3">
      <c r="A3379" t="s">
        <v>34</v>
      </c>
      <c r="C3379" s="16">
        <v>46263</v>
      </c>
      <c r="D3379">
        <v>345</v>
      </c>
    </row>
    <row r="3380" spans="1:4" x14ac:dyDescent="0.3">
      <c r="A3380" t="s">
        <v>35</v>
      </c>
      <c r="C3380" s="16">
        <v>46263</v>
      </c>
      <c r="D3380">
        <v>9560.0000000000018</v>
      </c>
    </row>
    <row r="3381" spans="1:4" x14ac:dyDescent="0.3">
      <c r="A3381" t="s">
        <v>193</v>
      </c>
      <c r="C3381" s="16">
        <v>46263</v>
      </c>
      <c r="D3381">
        <v>0</v>
      </c>
    </row>
    <row r="3382" spans="1:4" x14ac:dyDescent="0.3">
      <c r="A3382" t="s">
        <v>194</v>
      </c>
      <c r="C3382" s="16">
        <v>46263</v>
      </c>
      <c r="D3382">
        <v>0</v>
      </c>
    </row>
    <row r="3383" spans="1:4" x14ac:dyDescent="0.3">
      <c r="A3383" t="s">
        <v>195</v>
      </c>
      <c r="C3383" s="16">
        <v>46263</v>
      </c>
      <c r="D3383">
        <v>0</v>
      </c>
    </row>
    <row r="3384" spans="1:4" x14ac:dyDescent="0.3">
      <c r="A3384" t="s">
        <v>196</v>
      </c>
      <c r="C3384" s="16">
        <v>46263</v>
      </c>
      <c r="D3384">
        <v>0</v>
      </c>
    </row>
    <row r="3385" spans="1:4" x14ac:dyDescent="0.3">
      <c r="A3385" t="s">
        <v>197</v>
      </c>
      <c r="C3385" s="16">
        <v>46263</v>
      </c>
      <c r="D3385">
        <v>0</v>
      </c>
    </row>
    <row r="3386" spans="1:4" x14ac:dyDescent="0.3">
      <c r="A3386" t="s">
        <v>198</v>
      </c>
      <c r="C3386" s="16">
        <v>46263</v>
      </c>
      <c r="D3386">
        <v>0</v>
      </c>
    </row>
    <row r="3387" spans="1:4" x14ac:dyDescent="0.3">
      <c r="A3387" t="s">
        <v>216</v>
      </c>
      <c r="C3387" s="16">
        <v>46263</v>
      </c>
      <c r="D3387">
        <v>0</v>
      </c>
    </row>
    <row r="3388" spans="1:4" x14ac:dyDescent="0.3">
      <c r="A3388" t="s">
        <v>200</v>
      </c>
      <c r="C3388" s="16">
        <v>46263</v>
      </c>
      <c r="D3388">
        <v>0</v>
      </c>
    </row>
    <row r="3389" spans="1:4" x14ac:dyDescent="0.3">
      <c r="A3389" t="s">
        <v>201</v>
      </c>
      <c r="C3389" s="16">
        <v>46263</v>
      </c>
      <c r="D3389">
        <v>0</v>
      </c>
    </row>
    <row r="3390" spans="1:4" x14ac:dyDescent="0.3">
      <c r="A3390" t="s">
        <v>17</v>
      </c>
      <c r="C3390" s="16">
        <v>46264</v>
      </c>
      <c r="D3390">
        <v>743430.83000000054</v>
      </c>
    </row>
    <row r="3391" spans="1:4" x14ac:dyDescent="0.3">
      <c r="A3391" t="s">
        <v>18</v>
      </c>
      <c r="C3391" s="16">
        <v>46264</v>
      </c>
      <c r="D3391">
        <v>93280.230000000171</v>
      </c>
    </row>
    <row r="3392" spans="1:4" x14ac:dyDescent="0.3">
      <c r="A3392" t="s">
        <v>19</v>
      </c>
      <c r="C3392" s="16">
        <v>46264</v>
      </c>
      <c r="D3392">
        <v>1669.89</v>
      </c>
    </row>
    <row r="3393" spans="1:4" x14ac:dyDescent="0.3">
      <c r="A3393" t="s">
        <v>20</v>
      </c>
      <c r="C3393" s="16">
        <v>46264</v>
      </c>
      <c r="D3393">
        <v>1418445.91</v>
      </c>
    </row>
    <row r="3394" spans="1:4" x14ac:dyDescent="0.3">
      <c r="A3394" t="s">
        <v>21</v>
      </c>
      <c r="C3394" s="16">
        <v>46264</v>
      </c>
      <c r="D3394">
        <v>1553167.1899999995</v>
      </c>
    </row>
    <row r="3395" spans="1:4" x14ac:dyDescent="0.3">
      <c r="A3395" t="s">
        <v>22</v>
      </c>
      <c r="C3395" s="16">
        <v>46264</v>
      </c>
      <c r="D3395">
        <v>221496.38</v>
      </c>
    </row>
    <row r="3396" spans="1:4" x14ac:dyDescent="0.3">
      <c r="A3396" t="s">
        <v>23</v>
      </c>
      <c r="C3396" s="16">
        <v>46264</v>
      </c>
      <c r="D3396">
        <v>98169.25999999998</v>
      </c>
    </row>
    <row r="3397" spans="1:4" x14ac:dyDescent="0.3">
      <c r="A3397" t="s">
        <v>24</v>
      </c>
      <c r="C3397" s="16">
        <v>46264</v>
      </c>
      <c r="D3397">
        <v>13270.02</v>
      </c>
    </row>
    <row r="3398" spans="1:4" x14ac:dyDescent="0.3">
      <c r="A3398" t="s">
        <v>25</v>
      </c>
      <c r="C3398" s="16">
        <v>46264</v>
      </c>
      <c r="D3398">
        <v>124.45</v>
      </c>
    </row>
    <row r="3399" spans="1:4" x14ac:dyDescent="0.3">
      <c r="A3399" t="s">
        <v>26</v>
      </c>
      <c r="C3399" s="16">
        <v>46264</v>
      </c>
      <c r="D3399">
        <v>2177.87</v>
      </c>
    </row>
    <row r="3400" spans="1:4" x14ac:dyDescent="0.3">
      <c r="A3400" t="s">
        <v>27</v>
      </c>
      <c r="C3400" s="16">
        <v>46264</v>
      </c>
      <c r="D3400">
        <v>754424.72</v>
      </c>
    </row>
    <row r="3401" spans="1:4" x14ac:dyDescent="0.3">
      <c r="A3401" t="s">
        <v>28</v>
      </c>
      <c r="C3401" s="16">
        <v>46264</v>
      </c>
      <c r="D3401">
        <v>1968.99</v>
      </c>
    </row>
    <row r="3402" spans="1:4" x14ac:dyDescent="0.3">
      <c r="A3402" t="s">
        <v>29</v>
      </c>
      <c r="C3402" s="16">
        <v>46264</v>
      </c>
      <c r="D3402">
        <v>901.34</v>
      </c>
    </row>
    <row r="3403" spans="1:4" x14ac:dyDescent="0.3">
      <c r="A3403" t="s">
        <v>30</v>
      </c>
      <c r="C3403" s="16">
        <v>46264</v>
      </c>
      <c r="D3403">
        <v>1396.08</v>
      </c>
    </row>
    <row r="3404" spans="1:4" x14ac:dyDescent="0.3">
      <c r="A3404" t="s">
        <v>31</v>
      </c>
      <c r="C3404" s="16">
        <v>46264</v>
      </c>
      <c r="D3404">
        <v>33670.709999999963</v>
      </c>
    </row>
    <row r="3405" spans="1:4" x14ac:dyDescent="0.3">
      <c r="A3405" t="s">
        <v>32</v>
      </c>
      <c r="C3405" s="16">
        <v>46264</v>
      </c>
      <c r="D3405">
        <v>29709.170000000006</v>
      </c>
    </row>
    <row r="3406" spans="1:4" x14ac:dyDescent="0.3">
      <c r="A3406" t="s">
        <v>33</v>
      </c>
      <c r="C3406" s="16">
        <v>46264</v>
      </c>
      <c r="D3406">
        <v>19336.039999999997</v>
      </c>
    </row>
    <row r="3407" spans="1:4" x14ac:dyDescent="0.3">
      <c r="A3407" t="s">
        <v>34</v>
      </c>
      <c r="C3407" s="16">
        <v>46264</v>
      </c>
      <c r="D3407">
        <v>345</v>
      </c>
    </row>
    <row r="3408" spans="1:4" x14ac:dyDescent="0.3">
      <c r="A3408" t="s">
        <v>35</v>
      </c>
      <c r="C3408" s="16">
        <v>46264</v>
      </c>
      <c r="D3408">
        <v>9560.0000000000018</v>
      </c>
    </row>
    <row r="3409" spans="1:4" x14ac:dyDescent="0.3">
      <c r="A3409" t="s">
        <v>193</v>
      </c>
      <c r="C3409" s="16">
        <v>46264</v>
      </c>
      <c r="D3409">
        <v>0</v>
      </c>
    </row>
    <row r="3410" spans="1:4" x14ac:dyDescent="0.3">
      <c r="A3410" t="s">
        <v>194</v>
      </c>
      <c r="C3410" s="16">
        <v>46264</v>
      </c>
      <c r="D3410">
        <v>0</v>
      </c>
    </row>
    <row r="3411" spans="1:4" x14ac:dyDescent="0.3">
      <c r="A3411" t="s">
        <v>195</v>
      </c>
      <c r="C3411" s="16">
        <v>46264</v>
      </c>
      <c r="D3411">
        <v>0</v>
      </c>
    </row>
    <row r="3412" spans="1:4" x14ac:dyDescent="0.3">
      <c r="A3412" t="s">
        <v>196</v>
      </c>
      <c r="C3412" s="16">
        <v>46264</v>
      </c>
      <c r="D3412">
        <v>0</v>
      </c>
    </row>
    <row r="3413" spans="1:4" x14ac:dyDescent="0.3">
      <c r="A3413" t="s">
        <v>197</v>
      </c>
      <c r="C3413" s="16">
        <v>46264</v>
      </c>
      <c r="D3413">
        <v>0</v>
      </c>
    </row>
    <row r="3414" spans="1:4" x14ac:dyDescent="0.3">
      <c r="A3414" t="s">
        <v>198</v>
      </c>
      <c r="C3414" s="16">
        <v>46264</v>
      </c>
      <c r="D3414">
        <v>0</v>
      </c>
    </row>
    <row r="3415" spans="1:4" x14ac:dyDescent="0.3">
      <c r="A3415" t="s">
        <v>216</v>
      </c>
      <c r="C3415" s="16">
        <v>46264</v>
      </c>
      <c r="D3415">
        <v>0</v>
      </c>
    </row>
    <row r="3416" spans="1:4" x14ac:dyDescent="0.3">
      <c r="A3416" t="s">
        <v>200</v>
      </c>
      <c r="C3416" s="16">
        <v>46264</v>
      </c>
      <c r="D3416">
        <v>0</v>
      </c>
    </row>
    <row r="3417" spans="1:4" x14ac:dyDescent="0.3">
      <c r="A3417" t="s">
        <v>201</v>
      </c>
      <c r="C3417" s="16">
        <v>46264</v>
      </c>
      <c r="D3417">
        <v>0</v>
      </c>
    </row>
    <row r="3418" spans="1:4" x14ac:dyDescent="0.3">
      <c r="A3418" t="s">
        <v>17</v>
      </c>
      <c r="C3418" s="16">
        <v>46265</v>
      </c>
      <c r="D3418">
        <v>740452.88000000059</v>
      </c>
    </row>
    <row r="3419" spans="1:4" x14ac:dyDescent="0.3">
      <c r="A3419" t="s">
        <v>18</v>
      </c>
      <c r="C3419" s="16">
        <v>46265</v>
      </c>
      <c r="D3419">
        <v>93280.230000000171</v>
      </c>
    </row>
    <row r="3420" spans="1:4" x14ac:dyDescent="0.3">
      <c r="A3420" t="s">
        <v>19</v>
      </c>
      <c r="C3420" s="16">
        <v>46265</v>
      </c>
      <c r="D3420">
        <v>1669.89</v>
      </c>
    </row>
    <row r="3421" spans="1:4" x14ac:dyDescent="0.3">
      <c r="A3421" t="s">
        <v>20</v>
      </c>
      <c r="C3421" s="16">
        <v>46265</v>
      </c>
      <c r="D3421">
        <v>1419898.24</v>
      </c>
    </row>
    <row r="3422" spans="1:4" x14ac:dyDescent="0.3">
      <c r="A3422" t="s">
        <v>21</v>
      </c>
      <c r="C3422" s="16">
        <v>46265</v>
      </c>
      <c r="D3422">
        <v>1555601.2099999995</v>
      </c>
    </row>
    <row r="3423" spans="1:4" x14ac:dyDescent="0.3">
      <c r="A3423" t="s">
        <v>22</v>
      </c>
      <c r="C3423" s="16">
        <v>46265</v>
      </c>
      <c r="D3423">
        <v>221496.38</v>
      </c>
    </row>
    <row r="3424" spans="1:4" x14ac:dyDescent="0.3">
      <c r="A3424" t="s">
        <v>23</v>
      </c>
      <c r="C3424" s="16">
        <v>46265</v>
      </c>
      <c r="D3424">
        <v>98169.25999999998</v>
      </c>
    </row>
    <row r="3425" spans="1:4" x14ac:dyDescent="0.3">
      <c r="A3425" t="s">
        <v>24</v>
      </c>
      <c r="C3425" s="16">
        <v>46265</v>
      </c>
      <c r="D3425">
        <v>13270.02</v>
      </c>
    </row>
    <row r="3426" spans="1:4" x14ac:dyDescent="0.3">
      <c r="A3426" t="s">
        <v>25</v>
      </c>
      <c r="C3426" s="16">
        <v>46265</v>
      </c>
      <c r="D3426">
        <v>124.45</v>
      </c>
    </row>
    <row r="3427" spans="1:4" x14ac:dyDescent="0.3">
      <c r="A3427" t="s">
        <v>26</v>
      </c>
      <c r="C3427" s="16">
        <v>46265</v>
      </c>
      <c r="D3427">
        <v>2177.87</v>
      </c>
    </row>
    <row r="3428" spans="1:4" x14ac:dyDescent="0.3">
      <c r="A3428" t="s">
        <v>27</v>
      </c>
      <c r="C3428" s="16">
        <v>46265</v>
      </c>
      <c r="D3428">
        <v>754424.72</v>
      </c>
    </row>
    <row r="3429" spans="1:4" x14ac:dyDescent="0.3">
      <c r="A3429" t="s">
        <v>28</v>
      </c>
      <c r="C3429" s="16">
        <v>46265</v>
      </c>
      <c r="D3429">
        <v>1968.99</v>
      </c>
    </row>
    <row r="3430" spans="1:4" x14ac:dyDescent="0.3">
      <c r="A3430" t="s">
        <v>29</v>
      </c>
      <c r="C3430" s="16">
        <v>46265</v>
      </c>
      <c r="D3430">
        <v>901.34</v>
      </c>
    </row>
    <row r="3431" spans="1:4" x14ac:dyDescent="0.3">
      <c r="A3431" t="s">
        <v>30</v>
      </c>
      <c r="C3431" s="16">
        <v>46265</v>
      </c>
      <c r="D3431">
        <v>1396.08</v>
      </c>
    </row>
    <row r="3432" spans="1:4" x14ac:dyDescent="0.3">
      <c r="A3432" t="s">
        <v>31</v>
      </c>
      <c r="C3432" s="16">
        <v>46265</v>
      </c>
      <c r="D3432">
        <v>33570.709999999963</v>
      </c>
    </row>
    <row r="3433" spans="1:4" x14ac:dyDescent="0.3">
      <c r="A3433" t="s">
        <v>32</v>
      </c>
      <c r="C3433" s="16">
        <v>46265</v>
      </c>
      <c r="D3433">
        <v>26559.170000000006</v>
      </c>
    </row>
    <row r="3434" spans="1:4" x14ac:dyDescent="0.3">
      <c r="A3434" t="s">
        <v>33</v>
      </c>
      <c r="C3434" s="16">
        <v>46265</v>
      </c>
      <c r="D3434">
        <v>23736.039999999997</v>
      </c>
    </row>
    <row r="3435" spans="1:4" x14ac:dyDescent="0.3">
      <c r="A3435" t="s">
        <v>34</v>
      </c>
      <c r="C3435" s="16">
        <v>46265</v>
      </c>
      <c r="D3435">
        <v>345</v>
      </c>
    </row>
    <row r="3436" spans="1:4" x14ac:dyDescent="0.3">
      <c r="A3436" t="s">
        <v>35</v>
      </c>
      <c r="C3436" s="16">
        <v>46265</v>
      </c>
      <c r="D3436">
        <v>9560.0000000000018</v>
      </c>
    </row>
    <row r="3437" spans="1:4" x14ac:dyDescent="0.3">
      <c r="A3437" t="s">
        <v>193</v>
      </c>
      <c r="C3437" s="16">
        <v>46265</v>
      </c>
      <c r="D3437">
        <v>0</v>
      </c>
    </row>
    <row r="3438" spans="1:4" x14ac:dyDescent="0.3">
      <c r="A3438" t="s">
        <v>194</v>
      </c>
      <c r="C3438" s="16">
        <v>46265</v>
      </c>
      <c r="D3438">
        <v>0</v>
      </c>
    </row>
    <row r="3439" spans="1:4" x14ac:dyDescent="0.3">
      <c r="A3439" t="s">
        <v>195</v>
      </c>
      <c r="C3439" s="16">
        <v>46265</v>
      </c>
      <c r="D3439">
        <v>0</v>
      </c>
    </row>
    <row r="3440" spans="1:4" x14ac:dyDescent="0.3">
      <c r="A3440" t="s">
        <v>196</v>
      </c>
      <c r="C3440" s="16">
        <v>46265</v>
      </c>
      <c r="D3440">
        <v>0</v>
      </c>
    </row>
    <row r="3441" spans="1:4" x14ac:dyDescent="0.3">
      <c r="A3441" t="s">
        <v>197</v>
      </c>
      <c r="C3441" s="16">
        <v>46265</v>
      </c>
      <c r="D3441">
        <v>0</v>
      </c>
    </row>
    <row r="3442" spans="1:4" x14ac:dyDescent="0.3">
      <c r="A3442" t="s">
        <v>198</v>
      </c>
      <c r="C3442" s="16">
        <v>46265</v>
      </c>
      <c r="D3442">
        <v>0</v>
      </c>
    </row>
    <row r="3443" spans="1:4" x14ac:dyDescent="0.3">
      <c r="A3443" t="s">
        <v>216</v>
      </c>
      <c r="C3443" s="16">
        <v>46265</v>
      </c>
      <c r="D3443">
        <v>0</v>
      </c>
    </row>
    <row r="3444" spans="1:4" x14ac:dyDescent="0.3">
      <c r="A3444" t="s">
        <v>200</v>
      </c>
      <c r="C3444" s="16">
        <v>46265</v>
      </c>
      <c r="D3444">
        <v>0</v>
      </c>
    </row>
    <row r="3445" spans="1:4" x14ac:dyDescent="0.3">
      <c r="A3445" t="s">
        <v>201</v>
      </c>
      <c r="C3445" s="16">
        <v>46265</v>
      </c>
      <c r="D3445">
        <v>0</v>
      </c>
    </row>
    <row r="3446" spans="1:4" x14ac:dyDescent="0.3">
      <c r="A3446" t="s">
        <v>17</v>
      </c>
      <c r="C3446" s="16">
        <v>46266</v>
      </c>
      <c r="D3446">
        <v>757677.3900000006</v>
      </c>
    </row>
    <row r="3447" spans="1:4" x14ac:dyDescent="0.3">
      <c r="A3447" t="s">
        <v>18</v>
      </c>
      <c r="C3447" s="16">
        <v>46266</v>
      </c>
      <c r="D3447">
        <v>93280.230000000171</v>
      </c>
    </row>
    <row r="3448" spans="1:4" x14ac:dyDescent="0.3">
      <c r="A3448" t="s">
        <v>19</v>
      </c>
      <c r="C3448" s="16">
        <v>46266</v>
      </c>
      <c r="D3448">
        <v>1669.89</v>
      </c>
    </row>
    <row r="3449" spans="1:4" x14ac:dyDescent="0.3">
      <c r="A3449" t="s">
        <v>20</v>
      </c>
      <c r="C3449" s="16">
        <v>46266</v>
      </c>
      <c r="D3449">
        <v>1419898.24</v>
      </c>
    </row>
    <row r="3450" spans="1:4" x14ac:dyDescent="0.3">
      <c r="A3450" t="s">
        <v>21</v>
      </c>
      <c r="C3450" s="16">
        <v>46266</v>
      </c>
      <c r="D3450">
        <v>1484962.6199999996</v>
      </c>
    </row>
    <row r="3451" spans="1:4" x14ac:dyDescent="0.3">
      <c r="A3451" t="s">
        <v>22</v>
      </c>
      <c r="C3451" s="16">
        <v>46266</v>
      </c>
      <c r="D3451">
        <v>215496.38</v>
      </c>
    </row>
    <row r="3452" spans="1:4" x14ac:dyDescent="0.3">
      <c r="A3452" t="s">
        <v>23</v>
      </c>
      <c r="C3452" s="16">
        <v>46266</v>
      </c>
      <c r="D3452">
        <v>98169.25999999998</v>
      </c>
    </row>
    <row r="3453" spans="1:4" x14ac:dyDescent="0.3">
      <c r="A3453" t="s">
        <v>24</v>
      </c>
      <c r="C3453" s="16">
        <v>46266</v>
      </c>
      <c r="D3453">
        <v>13270.02</v>
      </c>
    </row>
    <row r="3454" spans="1:4" x14ac:dyDescent="0.3">
      <c r="A3454" t="s">
        <v>25</v>
      </c>
      <c r="C3454" s="16">
        <v>46266</v>
      </c>
      <c r="D3454">
        <v>94.5</v>
      </c>
    </row>
    <row r="3455" spans="1:4" x14ac:dyDescent="0.3">
      <c r="A3455" t="s">
        <v>26</v>
      </c>
      <c r="C3455" s="16">
        <v>46266</v>
      </c>
      <c r="D3455">
        <v>2147.92</v>
      </c>
    </row>
    <row r="3456" spans="1:4" x14ac:dyDescent="0.3">
      <c r="A3456" t="s">
        <v>27</v>
      </c>
      <c r="C3456" s="16">
        <v>46266</v>
      </c>
      <c r="D3456">
        <v>754424.72</v>
      </c>
    </row>
    <row r="3457" spans="1:4" x14ac:dyDescent="0.3">
      <c r="A3457" t="s">
        <v>28</v>
      </c>
      <c r="C3457" s="16">
        <v>46266</v>
      </c>
      <c r="D3457">
        <v>1968.99</v>
      </c>
    </row>
    <row r="3458" spans="1:4" x14ac:dyDescent="0.3">
      <c r="A3458" t="s">
        <v>29</v>
      </c>
      <c r="C3458" s="16">
        <v>46266</v>
      </c>
      <c r="D3458">
        <v>901.34</v>
      </c>
    </row>
    <row r="3459" spans="1:4" x14ac:dyDescent="0.3">
      <c r="A3459" t="s">
        <v>30</v>
      </c>
      <c r="C3459" s="16">
        <v>46266</v>
      </c>
      <c r="D3459">
        <v>1380.08</v>
      </c>
    </row>
    <row r="3460" spans="1:4" x14ac:dyDescent="0.3">
      <c r="A3460" t="s">
        <v>31</v>
      </c>
      <c r="C3460" s="16">
        <v>46266</v>
      </c>
      <c r="D3460">
        <v>25027.379999999961</v>
      </c>
    </row>
    <row r="3461" spans="1:4" x14ac:dyDescent="0.3">
      <c r="A3461" t="s">
        <v>32</v>
      </c>
      <c r="C3461" s="16">
        <v>46266</v>
      </c>
      <c r="D3461">
        <v>16760.540000000008</v>
      </c>
    </row>
    <row r="3462" spans="1:4" x14ac:dyDescent="0.3">
      <c r="A3462" t="s">
        <v>33</v>
      </c>
      <c r="C3462" s="16">
        <v>46266</v>
      </c>
      <c r="D3462">
        <v>14962.999999999996</v>
      </c>
    </row>
    <row r="3463" spans="1:4" x14ac:dyDescent="0.3">
      <c r="A3463" t="s">
        <v>34</v>
      </c>
      <c r="C3463" s="16">
        <v>46266</v>
      </c>
      <c r="D3463">
        <v>345</v>
      </c>
    </row>
    <row r="3464" spans="1:4" x14ac:dyDescent="0.3">
      <c r="A3464" t="s">
        <v>35</v>
      </c>
      <c r="C3464" s="16">
        <v>46266</v>
      </c>
      <c r="D3464">
        <v>9549.7500000000018</v>
      </c>
    </row>
    <row r="3465" spans="1:4" x14ac:dyDescent="0.3">
      <c r="A3465" t="s">
        <v>193</v>
      </c>
      <c r="C3465" s="16">
        <v>46266</v>
      </c>
      <c r="D3465">
        <v>301167.45</v>
      </c>
    </row>
    <row r="3466" spans="1:4" x14ac:dyDescent="0.3">
      <c r="A3466" t="s">
        <v>194</v>
      </c>
      <c r="C3466" s="16">
        <v>46266</v>
      </c>
      <c r="D3466">
        <v>20642.07</v>
      </c>
    </row>
    <row r="3467" spans="1:4" x14ac:dyDescent="0.3">
      <c r="A3467" t="s">
        <v>195</v>
      </c>
      <c r="C3467" s="16">
        <v>46266</v>
      </c>
      <c r="D3467">
        <v>3631.96</v>
      </c>
    </row>
    <row r="3468" spans="1:4" x14ac:dyDescent="0.3">
      <c r="A3468" t="s">
        <v>196</v>
      </c>
      <c r="C3468" s="16">
        <v>46266</v>
      </c>
      <c r="D3468">
        <v>2301.3000000000002</v>
      </c>
    </row>
    <row r="3469" spans="1:4" x14ac:dyDescent="0.3">
      <c r="A3469" t="s">
        <v>197</v>
      </c>
      <c r="C3469" s="16">
        <v>46266</v>
      </c>
      <c r="D3469">
        <v>92112.919999999969</v>
      </c>
    </row>
    <row r="3470" spans="1:4" x14ac:dyDescent="0.3">
      <c r="A3470" t="s">
        <v>198</v>
      </c>
      <c r="C3470" s="16">
        <v>46266</v>
      </c>
      <c r="D3470">
        <v>794.01</v>
      </c>
    </row>
    <row r="3471" spans="1:4" x14ac:dyDescent="0.3">
      <c r="A3471" t="s">
        <v>216</v>
      </c>
      <c r="C3471" s="16">
        <v>46266</v>
      </c>
      <c r="D3471">
        <v>5445.57</v>
      </c>
    </row>
    <row r="3472" spans="1:4" x14ac:dyDescent="0.3">
      <c r="A3472" t="s">
        <v>200</v>
      </c>
      <c r="C3472" s="16">
        <v>46266</v>
      </c>
      <c r="D3472">
        <v>2.129999999999999</v>
      </c>
    </row>
    <row r="3473" spans="1:4" x14ac:dyDescent="0.3">
      <c r="A3473" t="s">
        <v>201</v>
      </c>
      <c r="C3473" s="16">
        <v>46266</v>
      </c>
      <c r="D3473">
        <v>241342.91999999998</v>
      </c>
    </row>
    <row r="3474" spans="1:4" x14ac:dyDescent="0.3">
      <c r="A3474" t="s">
        <v>17</v>
      </c>
      <c r="C3474" s="16">
        <v>46267</v>
      </c>
      <c r="D3474">
        <v>1468396.1200000006</v>
      </c>
    </row>
    <row r="3475" spans="1:4" x14ac:dyDescent="0.3">
      <c r="A3475" t="s">
        <v>18</v>
      </c>
      <c r="C3475" s="16">
        <v>46267</v>
      </c>
      <c r="D3475">
        <v>93280.230000000171</v>
      </c>
    </row>
    <row r="3476" spans="1:4" x14ac:dyDescent="0.3">
      <c r="A3476" t="s">
        <v>19</v>
      </c>
      <c r="C3476" s="16">
        <v>46267</v>
      </c>
      <c r="D3476">
        <v>1669.89</v>
      </c>
    </row>
    <row r="3477" spans="1:4" x14ac:dyDescent="0.3">
      <c r="A3477" t="s">
        <v>20</v>
      </c>
      <c r="C3477" s="16">
        <v>46267</v>
      </c>
      <c r="D3477">
        <v>1419898.24</v>
      </c>
    </row>
    <row r="3478" spans="1:4" x14ac:dyDescent="0.3">
      <c r="A3478" t="s">
        <v>21</v>
      </c>
      <c r="C3478" s="16">
        <v>46267</v>
      </c>
      <c r="D3478">
        <v>1484962.6199999996</v>
      </c>
    </row>
    <row r="3479" spans="1:4" x14ac:dyDescent="0.3">
      <c r="A3479" t="s">
        <v>22</v>
      </c>
      <c r="C3479" s="16">
        <v>46267</v>
      </c>
      <c r="D3479">
        <v>249778.14</v>
      </c>
    </row>
    <row r="3480" spans="1:4" x14ac:dyDescent="0.3">
      <c r="A3480" t="s">
        <v>23</v>
      </c>
      <c r="C3480" s="16">
        <v>46267</v>
      </c>
      <c r="D3480">
        <v>98169.25999999998</v>
      </c>
    </row>
    <row r="3481" spans="1:4" x14ac:dyDescent="0.3">
      <c r="A3481" t="s">
        <v>24</v>
      </c>
      <c r="C3481" s="16">
        <v>46267</v>
      </c>
      <c r="D3481">
        <v>13270.02</v>
      </c>
    </row>
    <row r="3482" spans="1:4" x14ac:dyDescent="0.3">
      <c r="A3482" t="s">
        <v>25</v>
      </c>
      <c r="C3482" s="16">
        <v>46267</v>
      </c>
      <c r="D3482">
        <v>94.5</v>
      </c>
    </row>
    <row r="3483" spans="1:4" x14ac:dyDescent="0.3">
      <c r="A3483" t="s">
        <v>26</v>
      </c>
      <c r="C3483" s="16">
        <v>46267</v>
      </c>
      <c r="D3483">
        <v>2147.92</v>
      </c>
    </row>
    <row r="3484" spans="1:4" x14ac:dyDescent="0.3">
      <c r="A3484" t="s">
        <v>27</v>
      </c>
      <c r="C3484" s="16">
        <v>46267</v>
      </c>
      <c r="D3484">
        <v>18005.290000000015</v>
      </c>
    </row>
    <row r="3485" spans="1:4" x14ac:dyDescent="0.3">
      <c r="A3485" t="s">
        <v>28</v>
      </c>
      <c r="C3485" s="16">
        <v>46267</v>
      </c>
      <c r="D3485">
        <v>1968.99</v>
      </c>
    </row>
    <row r="3486" spans="1:4" x14ac:dyDescent="0.3">
      <c r="A3486" t="s">
        <v>29</v>
      </c>
      <c r="C3486" s="16">
        <v>46267</v>
      </c>
      <c r="D3486">
        <v>901.34</v>
      </c>
    </row>
    <row r="3487" spans="1:4" x14ac:dyDescent="0.3">
      <c r="A3487" t="s">
        <v>30</v>
      </c>
      <c r="C3487" s="16">
        <v>46267</v>
      </c>
      <c r="D3487">
        <v>1380.08</v>
      </c>
    </row>
    <row r="3488" spans="1:4" x14ac:dyDescent="0.3">
      <c r="A3488" t="s">
        <v>31</v>
      </c>
      <c r="C3488" s="16">
        <v>46267</v>
      </c>
      <c r="D3488">
        <v>25027.379999999961</v>
      </c>
    </row>
    <row r="3489" spans="1:4" x14ac:dyDescent="0.3">
      <c r="A3489" t="s">
        <v>32</v>
      </c>
      <c r="C3489" s="16">
        <v>46267</v>
      </c>
      <c r="D3489">
        <v>16760.540000000008</v>
      </c>
    </row>
    <row r="3490" spans="1:4" x14ac:dyDescent="0.3">
      <c r="A3490" t="s">
        <v>33</v>
      </c>
      <c r="C3490" s="16">
        <v>46267</v>
      </c>
      <c r="D3490">
        <v>14162.999999999996</v>
      </c>
    </row>
    <row r="3491" spans="1:4" x14ac:dyDescent="0.3">
      <c r="A3491" t="s">
        <v>34</v>
      </c>
      <c r="C3491" s="16">
        <v>46267</v>
      </c>
      <c r="D3491">
        <v>345</v>
      </c>
    </row>
    <row r="3492" spans="1:4" x14ac:dyDescent="0.3">
      <c r="A3492" t="s">
        <v>35</v>
      </c>
      <c r="C3492" s="16">
        <v>46267</v>
      </c>
      <c r="D3492">
        <v>5861.1200000000026</v>
      </c>
    </row>
    <row r="3493" spans="1:4" x14ac:dyDescent="0.3">
      <c r="A3493" t="s">
        <v>193</v>
      </c>
      <c r="C3493" s="16">
        <v>46267</v>
      </c>
      <c r="D3493">
        <v>301167.45</v>
      </c>
    </row>
    <row r="3494" spans="1:4" x14ac:dyDescent="0.3">
      <c r="A3494" t="s">
        <v>194</v>
      </c>
      <c r="C3494" s="16">
        <v>46267</v>
      </c>
      <c r="D3494">
        <v>20642.07</v>
      </c>
    </row>
    <row r="3495" spans="1:4" x14ac:dyDescent="0.3">
      <c r="A3495" t="s">
        <v>195</v>
      </c>
      <c r="C3495" s="16">
        <v>46267</v>
      </c>
      <c r="D3495">
        <v>3631.96</v>
      </c>
    </row>
    <row r="3496" spans="1:4" x14ac:dyDescent="0.3">
      <c r="A3496" t="s">
        <v>196</v>
      </c>
      <c r="C3496" s="16">
        <v>46267</v>
      </c>
      <c r="D3496">
        <v>2301.3000000000002</v>
      </c>
    </row>
    <row r="3497" spans="1:4" x14ac:dyDescent="0.3">
      <c r="A3497" t="s">
        <v>197</v>
      </c>
      <c r="C3497" s="16">
        <v>46267</v>
      </c>
      <c r="D3497">
        <v>92112.919999999969</v>
      </c>
    </row>
    <row r="3498" spans="1:4" x14ac:dyDescent="0.3">
      <c r="A3498" t="s">
        <v>198</v>
      </c>
      <c r="C3498" s="16">
        <v>46267</v>
      </c>
      <c r="D3498">
        <v>794.01</v>
      </c>
    </row>
    <row r="3499" spans="1:4" x14ac:dyDescent="0.3">
      <c r="A3499" t="s">
        <v>216</v>
      </c>
      <c r="C3499" s="16">
        <v>46267</v>
      </c>
      <c r="D3499">
        <v>5445.57</v>
      </c>
    </row>
    <row r="3500" spans="1:4" x14ac:dyDescent="0.3">
      <c r="A3500" t="s">
        <v>200</v>
      </c>
      <c r="C3500" s="16">
        <v>46267</v>
      </c>
      <c r="D3500">
        <v>2.129999999999999</v>
      </c>
    </row>
    <row r="3501" spans="1:4" x14ac:dyDescent="0.3">
      <c r="A3501" t="s">
        <v>201</v>
      </c>
      <c r="C3501" s="16">
        <v>46267</v>
      </c>
      <c r="D3501">
        <v>241674.28999999998</v>
      </c>
    </row>
    <row r="3502" spans="1:4" x14ac:dyDescent="0.3">
      <c r="A3502" t="s">
        <v>17</v>
      </c>
      <c r="C3502" s="16">
        <v>46268</v>
      </c>
      <c r="D3502">
        <v>1053254.4500000007</v>
      </c>
    </row>
    <row r="3503" spans="1:4" x14ac:dyDescent="0.3">
      <c r="A3503" t="s">
        <v>18</v>
      </c>
      <c r="C3503" s="16">
        <v>46268</v>
      </c>
      <c r="D3503">
        <v>93280.230000000171</v>
      </c>
    </row>
    <row r="3504" spans="1:4" x14ac:dyDescent="0.3">
      <c r="A3504" t="s">
        <v>19</v>
      </c>
      <c r="C3504" s="16">
        <v>46268</v>
      </c>
      <c r="D3504">
        <v>1669.89</v>
      </c>
    </row>
    <row r="3505" spans="1:4" x14ac:dyDescent="0.3">
      <c r="A3505" t="s">
        <v>20</v>
      </c>
      <c r="C3505" s="16">
        <v>46268</v>
      </c>
      <c r="D3505">
        <v>1250938</v>
      </c>
    </row>
    <row r="3506" spans="1:4" x14ac:dyDescent="0.3">
      <c r="A3506" t="s">
        <v>21</v>
      </c>
      <c r="C3506" s="16">
        <v>46268</v>
      </c>
      <c r="D3506">
        <v>1500228.9099999997</v>
      </c>
    </row>
    <row r="3507" spans="1:4" x14ac:dyDescent="0.3">
      <c r="A3507" t="s">
        <v>22</v>
      </c>
      <c r="C3507" s="16">
        <v>46268</v>
      </c>
      <c r="D3507">
        <v>249778.14</v>
      </c>
    </row>
    <row r="3508" spans="1:4" x14ac:dyDescent="0.3">
      <c r="A3508" t="s">
        <v>23</v>
      </c>
      <c r="C3508" s="16">
        <v>46268</v>
      </c>
      <c r="D3508">
        <v>98169.25999999998</v>
      </c>
    </row>
    <row r="3509" spans="1:4" x14ac:dyDescent="0.3">
      <c r="A3509" t="s">
        <v>24</v>
      </c>
      <c r="C3509" s="16">
        <v>46268</v>
      </c>
      <c r="D3509">
        <v>13270.02</v>
      </c>
    </row>
    <row r="3510" spans="1:4" x14ac:dyDescent="0.3">
      <c r="A3510" t="s">
        <v>25</v>
      </c>
      <c r="C3510" s="16">
        <v>46268</v>
      </c>
      <c r="D3510">
        <v>94.5</v>
      </c>
    </row>
    <row r="3511" spans="1:4" x14ac:dyDescent="0.3">
      <c r="A3511" t="s">
        <v>26</v>
      </c>
      <c r="C3511" s="16">
        <v>46268</v>
      </c>
      <c r="D3511">
        <v>2147.92</v>
      </c>
    </row>
    <row r="3512" spans="1:4" x14ac:dyDescent="0.3">
      <c r="A3512" t="s">
        <v>27</v>
      </c>
      <c r="C3512" s="16">
        <v>46268</v>
      </c>
      <c r="D3512">
        <v>18005.290000000015</v>
      </c>
    </row>
    <row r="3513" spans="1:4" x14ac:dyDescent="0.3">
      <c r="A3513" t="s">
        <v>28</v>
      </c>
      <c r="C3513" s="16">
        <v>46268</v>
      </c>
      <c r="D3513">
        <v>1968.99</v>
      </c>
    </row>
    <row r="3514" spans="1:4" x14ac:dyDescent="0.3">
      <c r="A3514" t="s">
        <v>29</v>
      </c>
      <c r="C3514" s="16">
        <v>46268</v>
      </c>
      <c r="D3514">
        <v>901.34</v>
      </c>
    </row>
    <row r="3515" spans="1:4" x14ac:dyDescent="0.3">
      <c r="A3515" t="s">
        <v>30</v>
      </c>
      <c r="C3515" s="16">
        <v>46268</v>
      </c>
      <c r="D3515">
        <v>1380.08</v>
      </c>
    </row>
    <row r="3516" spans="1:4" x14ac:dyDescent="0.3">
      <c r="A3516" t="s">
        <v>31</v>
      </c>
      <c r="C3516" s="16">
        <v>46268</v>
      </c>
      <c r="D3516">
        <v>25027.379999999961</v>
      </c>
    </row>
    <row r="3517" spans="1:4" x14ac:dyDescent="0.3">
      <c r="A3517" t="s">
        <v>32</v>
      </c>
      <c r="C3517" s="16">
        <v>46268</v>
      </c>
      <c r="D3517">
        <v>16760.540000000008</v>
      </c>
    </row>
    <row r="3518" spans="1:4" x14ac:dyDescent="0.3">
      <c r="A3518" t="s">
        <v>33</v>
      </c>
      <c r="C3518" s="16">
        <v>46268</v>
      </c>
      <c r="D3518">
        <v>14162.999999999996</v>
      </c>
    </row>
    <row r="3519" spans="1:4" x14ac:dyDescent="0.3">
      <c r="A3519" t="s">
        <v>34</v>
      </c>
      <c r="C3519" s="16">
        <v>46268</v>
      </c>
      <c r="D3519">
        <v>345</v>
      </c>
    </row>
    <row r="3520" spans="1:4" x14ac:dyDescent="0.3">
      <c r="A3520" t="s">
        <v>35</v>
      </c>
      <c r="C3520" s="16">
        <v>46268</v>
      </c>
      <c r="D3520">
        <v>5861.1200000000026</v>
      </c>
    </row>
    <row r="3521" spans="1:4" x14ac:dyDescent="0.3">
      <c r="A3521" t="s">
        <v>193</v>
      </c>
      <c r="C3521" s="16">
        <v>46268</v>
      </c>
      <c r="D3521">
        <v>299174.44</v>
      </c>
    </row>
    <row r="3522" spans="1:4" x14ac:dyDescent="0.3">
      <c r="A3522" t="s">
        <v>194</v>
      </c>
      <c r="C3522" s="16">
        <v>46268</v>
      </c>
      <c r="D3522">
        <v>20547.07</v>
      </c>
    </row>
    <row r="3523" spans="1:4" x14ac:dyDescent="0.3">
      <c r="A3523" t="s">
        <v>195</v>
      </c>
      <c r="C3523" s="16">
        <v>46268</v>
      </c>
      <c r="D3523">
        <v>3631.96</v>
      </c>
    </row>
    <row r="3524" spans="1:4" x14ac:dyDescent="0.3">
      <c r="A3524" t="s">
        <v>196</v>
      </c>
      <c r="C3524" s="16">
        <v>46268</v>
      </c>
      <c r="D3524">
        <v>602.67000000000007</v>
      </c>
    </row>
    <row r="3525" spans="1:4" x14ac:dyDescent="0.3">
      <c r="A3525" t="s">
        <v>197</v>
      </c>
      <c r="C3525" s="16">
        <v>46268</v>
      </c>
      <c r="D3525">
        <v>92112.919999999969</v>
      </c>
    </row>
    <row r="3526" spans="1:4" x14ac:dyDescent="0.3">
      <c r="A3526" t="s">
        <v>198</v>
      </c>
      <c r="C3526" s="16">
        <v>46268</v>
      </c>
      <c r="D3526">
        <v>794.01</v>
      </c>
    </row>
    <row r="3527" spans="1:4" x14ac:dyDescent="0.3">
      <c r="A3527" t="s">
        <v>216</v>
      </c>
      <c r="C3527" s="16">
        <v>46268</v>
      </c>
      <c r="D3527">
        <v>5445.57</v>
      </c>
    </row>
    <row r="3528" spans="1:4" x14ac:dyDescent="0.3">
      <c r="A3528" t="s">
        <v>200</v>
      </c>
      <c r="C3528" s="16">
        <v>46268</v>
      </c>
      <c r="D3528">
        <v>2.129999999999999</v>
      </c>
    </row>
    <row r="3529" spans="1:4" x14ac:dyDescent="0.3">
      <c r="A3529" t="s">
        <v>201</v>
      </c>
      <c r="C3529" s="16">
        <v>46268</v>
      </c>
      <c r="D3529">
        <v>241819.28999999998</v>
      </c>
    </row>
    <row r="3530" spans="1:4" x14ac:dyDescent="0.3">
      <c r="A3530" t="s">
        <v>17</v>
      </c>
      <c r="C3530" s="16">
        <v>46269</v>
      </c>
      <c r="D3530">
        <v>1549729.4500000007</v>
      </c>
    </row>
    <row r="3531" spans="1:4" x14ac:dyDescent="0.3">
      <c r="A3531" t="s">
        <v>18</v>
      </c>
      <c r="C3531" s="16">
        <v>46269</v>
      </c>
      <c r="D3531">
        <v>93280.230000000171</v>
      </c>
    </row>
    <row r="3532" spans="1:4" x14ac:dyDescent="0.3">
      <c r="A3532" t="s">
        <v>19</v>
      </c>
      <c r="C3532" s="16">
        <v>46269</v>
      </c>
      <c r="D3532">
        <v>1669.89</v>
      </c>
    </row>
    <row r="3533" spans="1:4" x14ac:dyDescent="0.3">
      <c r="A3533" t="s">
        <v>20</v>
      </c>
      <c r="C3533" s="16">
        <v>46269</v>
      </c>
      <c r="D3533">
        <v>1250938</v>
      </c>
    </row>
    <row r="3534" spans="1:4" x14ac:dyDescent="0.3">
      <c r="A3534" t="s">
        <v>21</v>
      </c>
      <c r="C3534" s="16">
        <v>46269</v>
      </c>
      <c r="D3534">
        <v>1499204.7399999998</v>
      </c>
    </row>
    <row r="3535" spans="1:4" x14ac:dyDescent="0.3">
      <c r="A3535" t="s">
        <v>22</v>
      </c>
      <c r="C3535" s="16">
        <v>46269</v>
      </c>
      <c r="D3535">
        <v>249778.14</v>
      </c>
    </row>
    <row r="3536" spans="1:4" x14ac:dyDescent="0.3">
      <c r="A3536" t="s">
        <v>23</v>
      </c>
      <c r="C3536" s="16">
        <v>46269</v>
      </c>
      <c r="D3536">
        <v>98169.25999999998</v>
      </c>
    </row>
    <row r="3537" spans="1:4" x14ac:dyDescent="0.3">
      <c r="A3537" t="s">
        <v>24</v>
      </c>
      <c r="C3537" s="16">
        <v>46269</v>
      </c>
      <c r="D3537">
        <v>13270.02</v>
      </c>
    </row>
    <row r="3538" spans="1:4" x14ac:dyDescent="0.3">
      <c r="A3538" t="s">
        <v>25</v>
      </c>
      <c r="C3538" s="16">
        <v>46269</v>
      </c>
      <c r="D3538">
        <v>94.5</v>
      </c>
    </row>
    <row r="3539" spans="1:4" x14ac:dyDescent="0.3">
      <c r="A3539" t="s">
        <v>26</v>
      </c>
      <c r="C3539" s="16">
        <v>46269</v>
      </c>
      <c r="D3539">
        <v>2147.92</v>
      </c>
    </row>
    <row r="3540" spans="1:4" x14ac:dyDescent="0.3">
      <c r="A3540" t="s">
        <v>27</v>
      </c>
      <c r="C3540" s="16">
        <v>46269</v>
      </c>
      <c r="D3540">
        <v>18005.290000000015</v>
      </c>
    </row>
    <row r="3541" spans="1:4" x14ac:dyDescent="0.3">
      <c r="A3541" t="s">
        <v>28</v>
      </c>
      <c r="C3541" s="16">
        <v>46269</v>
      </c>
      <c r="D3541">
        <v>1968.99</v>
      </c>
    </row>
    <row r="3542" spans="1:4" x14ac:dyDescent="0.3">
      <c r="A3542" t="s">
        <v>29</v>
      </c>
      <c r="C3542" s="16">
        <v>46269</v>
      </c>
      <c r="D3542">
        <v>901.34</v>
      </c>
    </row>
    <row r="3543" spans="1:4" x14ac:dyDescent="0.3">
      <c r="A3543" t="s">
        <v>30</v>
      </c>
      <c r="C3543" s="16">
        <v>46269</v>
      </c>
      <c r="D3543">
        <v>1380.08</v>
      </c>
    </row>
    <row r="3544" spans="1:4" x14ac:dyDescent="0.3">
      <c r="A3544" t="s">
        <v>31</v>
      </c>
      <c r="C3544" s="16">
        <v>46269</v>
      </c>
      <c r="D3544">
        <v>25027.379999999961</v>
      </c>
    </row>
    <row r="3545" spans="1:4" x14ac:dyDescent="0.3">
      <c r="A3545" t="s">
        <v>32</v>
      </c>
      <c r="C3545" s="16">
        <v>46269</v>
      </c>
      <c r="D3545">
        <v>16760.540000000008</v>
      </c>
    </row>
    <row r="3546" spans="1:4" x14ac:dyDescent="0.3">
      <c r="A3546" t="s">
        <v>33</v>
      </c>
      <c r="C3546" s="16">
        <v>46269</v>
      </c>
      <c r="D3546">
        <v>14162.999999999996</v>
      </c>
    </row>
    <row r="3547" spans="1:4" x14ac:dyDescent="0.3">
      <c r="A3547" t="s">
        <v>34</v>
      </c>
      <c r="C3547" s="16">
        <v>46269</v>
      </c>
      <c r="D3547">
        <v>345</v>
      </c>
    </row>
    <row r="3548" spans="1:4" x14ac:dyDescent="0.3">
      <c r="A3548" t="s">
        <v>35</v>
      </c>
      <c r="C3548" s="16">
        <v>46269</v>
      </c>
      <c r="D3548">
        <v>5861.1200000000026</v>
      </c>
    </row>
    <row r="3549" spans="1:4" x14ac:dyDescent="0.3">
      <c r="A3549" t="s">
        <v>193</v>
      </c>
      <c r="C3549" s="16">
        <v>46269</v>
      </c>
      <c r="D3549">
        <v>299174.44</v>
      </c>
    </row>
    <row r="3550" spans="1:4" x14ac:dyDescent="0.3">
      <c r="A3550" t="s">
        <v>194</v>
      </c>
      <c r="C3550" s="16">
        <v>46269</v>
      </c>
      <c r="D3550">
        <v>20467.07</v>
      </c>
    </row>
    <row r="3551" spans="1:4" x14ac:dyDescent="0.3">
      <c r="A3551" t="s">
        <v>195</v>
      </c>
      <c r="C3551" s="16">
        <v>46269</v>
      </c>
      <c r="D3551">
        <v>3631.96</v>
      </c>
    </row>
    <row r="3552" spans="1:4" x14ac:dyDescent="0.3">
      <c r="A3552" t="s">
        <v>196</v>
      </c>
      <c r="C3552" s="16">
        <v>46269</v>
      </c>
      <c r="D3552">
        <v>602.67000000000007</v>
      </c>
    </row>
    <row r="3553" spans="1:4" x14ac:dyDescent="0.3">
      <c r="A3553" t="s">
        <v>197</v>
      </c>
      <c r="C3553" s="16">
        <v>46269</v>
      </c>
      <c r="D3553">
        <v>32112.919999999976</v>
      </c>
    </row>
    <row r="3554" spans="1:4" x14ac:dyDescent="0.3">
      <c r="A3554" t="s">
        <v>198</v>
      </c>
      <c r="C3554" s="16">
        <v>46269</v>
      </c>
      <c r="D3554">
        <v>794.01</v>
      </c>
    </row>
    <row r="3555" spans="1:4" x14ac:dyDescent="0.3">
      <c r="A3555" t="s">
        <v>216</v>
      </c>
      <c r="C3555" s="16">
        <v>46269</v>
      </c>
      <c r="D3555">
        <v>5445.57</v>
      </c>
    </row>
    <row r="3556" spans="1:4" x14ac:dyDescent="0.3">
      <c r="A3556" t="s">
        <v>200</v>
      </c>
      <c r="C3556" s="16">
        <v>46269</v>
      </c>
      <c r="D3556">
        <v>2.129999999999999</v>
      </c>
    </row>
    <row r="3557" spans="1:4" x14ac:dyDescent="0.3">
      <c r="A3557" t="s">
        <v>201</v>
      </c>
      <c r="C3557" s="16">
        <v>46269</v>
      </c>
      <c r="D3557">
        <v>242034.28999999998</v>
      </c>
    </row>
    <row r="3558" spans="1:4" x14ac:dyDescent="0.3">
      <c r="A3558" t="s">
        <v>17</v>
      </c>
      <c r="C3558" s="16">
        <v>46270</v>
      </c>
      <c r="D3558">
        <v>1549729.4500000007</v>
      </c>
    </row>
    <row r="3559" spans="1:4" x14ac:dyDescent="0.3">
      <c r="A3559" t="s">
        <v>18</v>
      </c>
      <c r="C3559" s="16">
        <v>46270</v>
      </c>
      <c r="D3559">
        <v>93280.230000000171</v>
      </c>
    </row>
    <row r="3560" spans="1:4" x14ac:dyDescent="0.3">
      <c r="A3560" t="s">
        <v>19</v>
      </c>
      <c r="C3560" s="16">
        <v>46270</v>
      </c>
      <c r="D3560">
        <v>1669.89</v>
      </c>
    </row>
    <row r="3561" spans="1:4" x14ac:dyDescent="0.3">
      <c r="A3561" t="s">
        <v>20</v>
      </c>
      <c r="C3561" s="16">
        <v>46270</v>
      </c>
      <c r="D3561">
        <v>1250938</v>
      </c>
    </row>
    <row r="3562" spans="1:4" x14ac:dyDescent="0.3">
      <c r="A3562" t="s">
        <v>21</v>
      </c>
      <c r="C3562" s="16">
        <v>46270</v>
      </c>
      <c r="D3562">
        <v>1499204.7399999998</v>
      </c>
    </row>
    <row r="3563" spans="1:4" x14ac:dyDescent="0.3">
      <c r="A3563" t="s">
        <v>22</v>
      </c>
      <c r="C3563" s="16">
        <v>46270</v>
      </c>
      <c r="D3563">
        <v>249778.14</v>
      </c>
    </row>
    <row r="3564" spans="1:4" x14ac:dyDescent="0.3">
      <c r="A3564" t="s">
        <v>23</v>
      </c>
      <c r="C3564" s="16">
        <v>46270</v>
      </c>
      <c r="D3564">
        <v>98169.25999999998</v>
      </c>
    </row>
    <row r="3565" spans="1:4" x14ac:dyDescent="0.3">
      <c r="A3565" t="s">
        <v>24</v>
      </c>
      <c r="C3565" s="16">
        <v>46270</v>
      </c>
      <c r="D3565">
        <v>13270.02</v>
      </c>
    </row>
    <row r="3566" spans="1:4" x14ac:dyDescent="0.3">
      <c r="A3566" t="s">
        <v>25</v>
      </c>
      <c r="C3566" s="16">
        <v>46270</v>
      </c>
      <c r="D3566">
        <v>94.5</v>
      </c>
    </row>
    <row r="3567" spans="1:4" x14ac:dyDescent="0.3">
      <c r="A3567" t="s">
        <v>26</v>
      </c>
      <c r="C3567" s="16">
        <v>46270</v>
      </c>
      <c r="D3567">
        <v>2147.92</v>
      </c>
    </row>
    <row r="3568" spans="1:4" x14ac:dyDescent="0.3">
      <c r="A3568" t="s">
        <v>27</v>
      </c>
      <c r="C3568" s="16">
        <v>46270</v>
      </c>
      <c r="D3568">
        <v>18005.290000000015</v>
      </c>
    </row>
    <row r="3569" spans="1:4" x14ac:dyDescent="0.3">
      <c r="A3569" t="s">
        <v>28</v>
      </c>
      <c r="C3569" s="16">
        <v>46270</v>
      </c>
      <c r="D3569">
        <v>1968.99</v>
      </c>
    </row>
    <row r="3570" spans="1:4" x14ac:dyDescent="0.3">
      <c r="A3570" t="s">
        <v>29</v>
      </c>
      <c r="C3570" s="16">
        <v>46270</v>
      </c>
      <c r="D3570">
        <v>901.34</v>
      </c>
    </row>
    <row r="3571" spans="1:4" x14ac:dyDescent="0.3">
      <c r="A3571" t="s">
        <v>30</v>
      </c>
      <c r="C3571" s="16">
        <v>46270</v>
      </c>
      <c r="D3571">
        <v>1380.08</v>
      </c>
    </row>
    <row r="3572" spans="1:4" x14ac:dyDescent="0.3">
      <c r="A3572" t="s">
        <v>31</v>
      </c>
      <c r="C3572" s="16">
        <v>46270</v>
      </c>
      <c r="D3572">
        <v>25027.379999999961</v>
      </c>
    </row>
    <row r="3573" spans="1:4" x14ac:dyDescent="0.3">
      <c r="A3573" t="s">
        <v>32</v>
      </c>
      <c r="C3573" s="16">
        <v>46270</v>
      </c>
      <c r="D3573">
        <v>16760.540000000008</v>
      </c>
    </row>
    <row r="3574" spans="1:4" x14ac:dyDescent="0.3">
      <c r="A3574" t="s">
        <v>33</v>
      </c>
      <c r="C3574" s="16">
        <v>46270</v>
      </c>
      <c r="D3574">
        <v>14162.999999999996</v>
      </c>
    </row>
    <row r="3575" spans="1:4" x14ac:dyDescent="0.3">
      <c r="A3575" t="s">
        <v>34</v>
      </c>
      <c r="C3575" s="16">
        <v>46270</v>
      </c>
      <c r="D3575">
        <v>345</v>
      </c>
    </row>
    <row r="3576" spans="1:4" x14ac:dyDescent="0.3">
      <c r="A3576" t="s">
        <v>35</v>
      </c>
      <c r="C3576" s="16">
        <v>46270</v>
      </c>
      <c r="D3576">
        <v>5861.1200000000026</v>
      </c>
    </row>
    <row r="3577" spans="1:4" x14ac:dyDescent="0.3">
      <c r="A3577" t="s">
        <v>193</v>
      </c>
      <c r="C3577" s="16">
        <v>46270</v>
      </c>
      <c r="D3577">
        <v>299174.44</v>
      </c>
    </row>
    <row r="3578" spans="1:4" x14ac:dyDescent="0.3">
      <c r="A3578" t="s">
        <v>194</v>
      </c>
      <c r="C3578" s="16">
        <v>46270</v>
      </c>
      <c r="D3578">
        <v>20467.07</v>
      </c>
    </row>
    <row r="3579" spans="1:4" x14ac:dyDescent="0.3">
      <c r="A3579" t="s">
        <v>195</v>
      </c>
      <c r="C3579" s="16">
        <v>46270</v>
      </c>
      <c r="D3579">
        <v>3631.96</v>
      </c>
    </row>
    <row r="3580" spans="1:4" x14ac:dyDescent="0.3">
      <c r="A3580" t="s">
        <v>196</v>
      </c>
      <c r="C3580" s="16">
        <v>46270</v>
      </c>
      <c r="D3580">
        <v>602.67000000000007</v>
      </c>
    </row>
    <row r="3581" spans="1:4" x14ac:dyDescent="0.3">
      <c r="A3581" t="s">
        <v>197</v>
      </c>
      <c r="C3581" s="16">
        <v>46270</v>
      </c>
      <c r="D3581">
        <v>32112.919999999976</v>
      </c>
    </row>
    <row r="3582" spans="1:4" x14ac:dyDescent="0.3">
      <c r="A3582" t="s">
        <v>198</v>
      </c>
      <c r="C3582" s="16">
        <v>46270</v>
      </c>
      <c r="D3582">
        <v>794.01</v>
      </c>
    </row>
    <row r="3583" spans="1:4" x14ac:dyDescent="0.3">
      <c r="A3583" t="s">
        <v>216</v>
      </c>
      <c r="C3583" s="16">
        <v>46270</v>
      </c>
      <c r="D3583">
        <v>5445.57</v>
      </c>
    </row>
    <row r="3584" spans="1:4" x14ac:dyDescent="0.3">
      <c r="A3584" t="s">
        <v>200</v>
      </c>
      <c r="C3584" s="16">
        <v>46270</v>
      </c>
      <c r="D3584">
        <v>2.129999999999999</v>
      </c>
    </row>
    <row r="3585" spans="1:4" x14ac:dyDescent="0.3">
      <c r="A3585" t="s">
        <v>201</v>
      </c>
      <c r="C3585" s="16">
        <v>46270</v>
      </c>
      <c r="D3585">
        <v>242034.28999999998</v>
      </c>
    </row>
    <row r="3586" spans="1:4" x14ac:dyDescent="0.3">
      <c r="A3586" t="s">
        <v>17</v>
      </c>
      <c r="C3586" s="16">
        <v>46271</v>
      </c>
      <c r="D3586">
        <v>1549729.4500000007</v>
      </c>
    </row>
    <row r="3587" spans="1:4" x14ac:dyDescent="0.3">
      <c r="A3587" t="s">
        <v>18</v>
      </c>
      <c r="C3587" s="16">
        <v>46271</v>
      </c>
      <c r="D3587">
        <v>93280.230000000171</v>
      </c>
    </row>
    <row r="3588" spans="1:4" x14ac:dyDescent="0.3">
      <c r="A3588" t="s">
        <v>19</v>
      </c>
      <c r="C3588" s="16">
        <v>46271</v>
      </c>
      <c r="D3588">
        <v>1669.89</v>
      </c>
    </row>
    <row r="3589" spans="1:4" x14ac:dyDescent="0.3">
      <c r="A3589" t="s">
        <v>20</v>
      </c>
      <c r="C3589" s="16">
        <v>46271</v>
      </c>
      <c r="D3589">
        <v>1250938</v>
      </c>
    </row>
    <row r="3590" spans="1:4" x14ac:dyDescent="0.3">
      <c r="A3590" t="s">
        <v>21</v>
      </c>
      <c r="C3590" s="16">
        <v>46271</v>
      </c>
      <c r="D3590">
        <v>1499204.7399999998</v>
      </c>
    </row>
    <row r="3591" spans="1:4" x14ac:dyDescent="0.3">
      <c r="A3591" t="s">
        <v>22</v>
      </c>
      <c r="C3591" s="16">
        <v>46271</v>
      </c>
      <c r="D3591">
        <v>249778.14</v>
      </c>
    </row>
    <row r="3592" spans="1:4" x14ac:dyDescent="0.3">
      <c r="A3592" t="s">
        <v>23</v>
      </c>
      <c r="C3592" s="16">
        <v>46271</v>
      </c>
      <c r="D3592">
        <v>98169.25999999998</v>
      </c>
    </row>
    <row r="3593" spans="1:4" x14ac:dyDescent="0.3">
      <c r="A3593" t="s">
        <v>24</v>
      </c>
      <c r="C3593" s="16">
        <v>46271</v>
      </c>
      <c r="D3593">
        <v>13270.02</v>
      </c>
    </row>
    <row r="3594" spans="1:4" x14ac:dyDescent="0.3">
      <c r="A3594" t="s">
        <v>25</v>
      </c>
      <c r="C3594" s="16">
        <v>46271</v>
      </c>
      <c r="D3594">
        <v>94.5</v>
      </c>
    </row>
    <row r="3595" spans="1:4" x14ac:dyDescent="0.3">
      <c r="A3595" t="s">
        <v>26</v>
      </c>
      <c r="C3595" s="16">
        <v>46271</v>
      </c>
      <c r="D3595">
        <v>2147.92</v>
      </c>
    </row>
    <row r="3596" spans="1:4" x14ac:dyDescent="0.3">
      <c r="A3596" t="s">
        <v>27</v>
      </c>
      <c r="C3596" s="16">
        <v>46271</v>
      </c>
      <c r="D3596">
        <v>18005.290000000015</v>
      </c>
    </row>
    <row r="3597" spans="1:4" x14ac:dyDescent="0.3">
      <c r="A3597" t="s">
        <v>28</v>
      </c>
      <c r="C3597" s="16">
        <v>46271</v>
      </c>
      <c r="D3597">
        <v>1968.99</v>
      </c>
    </row>
    <row r="3598" spans="1:4" x14ac:dyDescent="0.3">
      <c r="A3598" t="s">
        <v>29</v>
      </c>
      <c r="C3598" s="16">
        <v>46271</v>
      </c>
      <c r="D3598">
        <v>901.34</v>
      </c>
    </row>
    <row r="3599" spans="1:4" x14ac:dyDescent="0.3">
      <c r="A3599" t="s">
        <v>30</v>
      </c>
      <c r="C3599" s="16">
        <v>46271</v>
      </c>
      <c r="D3599">
        <v>1380.08</v>
      </c>
    </row>
    <row r="3600" spans="1:4" x14ac:dyDescent="0.3">
      <c r="A3600" t="s">
        <v>31</v>
      </c>
      <c r="C3600" s="16">
        <v>46271</v>
      </c>
      <c r="D3600">
        <v>25027.379999999961</v>
      </c>
    </row>
    <row r="3601" spans="1:4" x14ac:dyDescent="0.3">
      <c r="A3601" t="s">
        <v>32</v>
      </c>
      <c r="C3601" s="16">
        <v>46271</v>
      </c>
      <c r="D3601">
        <v>16760.540000000008</v>
      </c>
    </row>
    <row r="3602" spans="1:4" x14ac:dyDescent="0.3">
      <c r="A3602" t="s">
        <v>33</v>
      </c>
      <c r="C3602" s="16">
        <v>46271</v>
      </c>
      <c r="D3602">
        <v>14162.999999999996</v>
      </c>
    </row>
    <row r="3603" spans="1:4" x14ac:dyDescent="0.3">
      <c r="A3603" t="s">
        <v>34</v>
      </c>
      <c r="C3603" s="16">
        <v>46271</v>
      </c>
      <c r="D3603">
        <v>345</v>
      </c>
    </row>
    <row r="3604" spans="1:4" x14ac:dyDescent="0.3">
      <c r="A3604" t="s">
        <v>35</v>
      </c>
      <c r="C3604" s="16">
        <v>46271</v>
      </c>
      <c r="D3604">
        <v>5861.1200000000026</v>
      </c>
    </row>
    <row r="3605" spans="1:4" x14ac:dyDescent="0.3">
      <c r="A3605" t="s">
        <v>193</v>
      </c>
      <c r="C3605" s="16">
        <v>46271</v>
      </c>
      <c r="D3605">
        <v>299174.44</v>
      </c>
    </row>
    <row r="3606" spans="1:4" x14ac:dyDescent="0.3">
      <c r="A3606" t="s">
        <v>194</v>
      </c>
      <c r="C3606" s="16">
        <v>46271</v>
      </c>
      <c r="D3606">
        <v>20467.07</v>
      </c>
    </row>
    <row r="3607" spans="1:4" x14ac:dyDescent="0.3">
      <c r="A3607" t="s">
        <v>195</v>
      </c>
      <c r="C3607" s="16">
        <v>46271</v>
      </c>
      <c r="D3607">
        <v>3631.96</v>
      </c>
    </row>
    <row r="3608" spans="1:4" x14ac:dyDescent="0.3">
      <c r="A3608" t="s">
        <v>196</v>
      </c>
      <c r="C3608" s="16">
        <v>46271</v>
      </c>
      <c r="D3608">
        <v>602.67000000000007</v>
      </c>
    </row>
    <row r="3609" spans="1:4" x14ac:dyDescent="0.3">
      <c r="A3609" t="s">
        <v>197</v>
      </c>
      <c r="C3609" s="16">
        <v>46271</v>
      </c>
      <c r="D3609">
        <v>32112.919999999976</v>
      </c>
    </row>
    <row r="3610" spans="1:4" x14ac:dyDescent="0.3">
      <c r="A3610" t="s">
        <v>198</v>
      </c>
      <c r="C3610" s="16">
        <v>46271</v>
      </c>
      <c r="D3610">
        <v>794.01</v>
      </c>
    </row>
    <row r="3611" spans="1:4" x14ac:dyDescent="0.3">
      <c r="A3611" t="s">
        <v>216</v>
      </c>
      <c r="C3611" s="16">
        <v>46271</v>
      </c>
      <c r="D3611">
        <v>5445.57</v>
      </c>
    </row>
    <row r="3612" spans="1:4" x14ac:dyDescent="0.3">
      <c r="A3612" t="s">
        <v>200</v>
      </c>
      <c r="C3612" s="16">
        <v>46271</v>
      </c>
      <c r="D3612">
        <v>2.129999999999999</v>
      </c>
    </row>
    <row r="3613" spans="1:4" x14ac:dyDescent="0.3">
      <c r="A3613" t="s">
        <v>201</v>
      </c>
      <c r="C3613" s="16">
        <v>46271</v>
      </c>
      <c r="D3613">
        <v>242034.28999999998</v>
      </c>
    </row>
    <row r="3614" spans="1:4" x14ac:dyDescent="0.3">
      <c r="A3614" t="s">
        <v>17</v>
      </c>
      <c r="C3614" s="16">
        <v>46272</v>
      </c>
      <c r="D3614">
        <v>1549729.4500000007</v>
      </c>
    </row>
    <row r="3615" spans="1:4" x14ac:dyDescent="0.3">
      <c r="A3615" t="s">
        <v>18</v>
      </c>
      <c r="C3615" s="16">
        <v>46272</v>
      </c>
      <c r="D3615">
        <v>93280.230000000171</v>
      </c>
    </row>
    <row r="3616" spans="1:4" x14ac:dyDescent="0.3">
      <c r="A3616" t="s">
        <v>19</v>
      </c>
      <c r="C3616" s="16">
        <v>46272</v>
      </c>
      <c r="D3616">
        <v>1669.89</v>
      </c>
    </row>
    <row r="3617" spans="1:4" x14ac:dyDescent="0.3">
      <c r="A3617" t="s">
        <v>20</v>
      </c>
      <c r="C3617" s="16">
        <v>46272</v>
      </c>
      <c r="D3617">
        <v>1250938</v>
      </c>
    </row>
    <row r="3618" spans="1:4" x14ac:dyDescent="0.3">
      <c r="A3618" t="s">
        <v>21</v>
      </c>
      <c r="C3618" s="16">
        <v>46272</v>
      </c>
      <c r="D3618">
        <v>1499204.7399999998</v>
      </c>
    </row>
    <row r="3619" spans="1:4" x14ac:dyDescent="0.3">
      <c r="A3619" t="s">
        <v>22</v>
      </c>
      <c r="C3619" s="16">
        <v>46272</v>
      </c>
      <c r="D3619">
        <v>249778.14</v>
      </c>
    </row>
    <row r="3620" spans="1:4" x14ac:dyDescent="0.3">
      <c r="A3620" t="s">
        <v>23</v>
      </c>
      <c r="C3620" s="16">
        <v>46272</v>
      </c>
      <c r="D3620">
        <v>98169.25999999998</v>
      </c>
    </row>
    <row r="3621" spans="1:4" x14ac:dyDescent="0.3">
      <c r="A3621" t="s">
        <v>24</v>
      </c>
      <c r="C3621" s="16">
        <v>46272</v>
      </c>
      <c r="D3621">
        <v>13270.02</v>
      </c>
    </row>
    <row r="3622" spans="1:4" x14ac:dyDescent="0.3">
      <c r="A3622" t="s">
        <v>25</v>
      </c>
      <c r="C3622" s="16">
        <v>46272</v>
      </c>
      <c r="D3622">
        <v>94.5</v>
      </c>
    </row>
    <row r="3623" spans="1:4" x14ac:dyDescent="0.3">
      <c r="A3623" t="s">
        <v>26</v>
      </c>
      <c r="C3623" s="16">
        <v>46272</v>
      </c>
      <c r="D3623">
        <v>2147.92</v>
      </c>
    </row>
    <row r="3624" spans="1:4" x14ac:dyDescent="0.3">
      <c r="A3624" t="s">
        <v>27</v>
      </c>
      <c r="C3624" s="16">
        <v>46272</v>
      </c>
      <c r="D3624">
        <v>18005.290000000015</v>
      </c>
    </row>
    <row r="3625" spans="1:4" x14ac:dyDescent="0.3">
      <c r="A3625" t="s">
        <v>28</v>
      </c>
      <c r="C3625" s="16">
        <v>46272</v>
      </c>
      <c r="D3625">
        <v>1968.99</v>
      </c>
    </row>
    <row r="3626" spans="1:4" x14ac:dyDescent="0.3">
      <c r="A3626" t="s">
        <v>29</v>
      </c>
      <c r="C3626" s="16">
        <v>46272</v>
      </c>
      <c r="D3626">
        <v>901.34</v>
      </c>
    </row>
    <row r="3627" spans="1:4" x14ac:dyDescent="0.3">
      <c r="A3627" t="s">
        <v>30</v>
      </c>
      <c r="C3627" s="16">
        <v>46272</v>
      </c>
      <c r="D3627">
        <v>1380.08</v>
      </c>
    </row>
    <row r="3628" spans="1:4" x14ac:dyDescent="0.3">
      <c r="A3628" t="s">
        <v>31</v>
      </c>
      <c r="C3628" s="16">
        <v>46272</v>
      </c>
      <c r="D3628">
        <v>25027.379999999961</v>
      </c>
    </row>
    <row r="3629" spans="1:4" x14ac:dyDescent="0.3">
      <c r="A3629" t="s">
        <v>32</v>
      </c>
      <c r="C3629" s="16">
        <v>46272</v>
      </c>
      <c r="D3629">
        <v>16760.540000000008</v>
      </c>
    </row>
    <row r="3630" spans="1:4" x14ac:dyDescent="0.3">
      <c r="A3630" t="s">
        <v>33</v>
      </c>
      <c r="C3630" s="16">
        <v>46272</v>
      </c>
      <c r="D3630">
        <v>14162.999999999996</v>
      </c>
    </row>
    <row r="3631" spans="1:4" x14ac:dyDescent="0.3">
      <c r="A3631" t="s">
        <v>34</v>
      </c>
      <c r="C3631" s="16">
        <v>46272</v>
      </c>
      <c r="D3631">
        <v>345</v>
      </c>
    </row>
    <row r="3632" spans="1:4" x14ac:dyDescent="0.3">
      <c r="A3632" t="s">
        <v>35</v>
      </c>
      <c r="C3632" s="16">
        <v>46272</v>
      </c>
      <c r="D3632">
        <v>5861.1200000000026</v>
      </c>
    </row>
    <row r="3633" spans="1:4" x14ac:dyDescent="0.3">
      <c r="A3633" t="s">
        <v>193</v>
      </c>
      <c r="C3633" s="16">
        <v>46272</v>
      </c>
      <c r="D3633">
        <v>299174.44</v>
      </c>
    </row>
    <row r="3634" spans="1:4" x14ac:dyDescent="0.3">
      <c r="A3634" t="s">
        <v>194</v>
      </c>
      <c r="C3634" s="16">
        <v>46272</v>
      </c>
      <c r="D3634">
        <v>20467.07</v>
      </c>
    </row>
    <row r="3635" spans="1:4" x14ac:dyDescent="0.3">
      <c r="A3635" t="s">
        <v>195</v>
      </c>
      <c r="C3635" s="16">
        <v>46272</v>
      </c>
      <c r="D3635">
        <v>3631.96</v>
      </c>
    </row>
    <row r="3636" spans="1:4" x14ac:dyDescent="0.3">
      <c r="A3636" t="s">
        <v>196</v>
      </c>
      <c r="C3636" s="16">
        <v>46272</v>
      </c>
      <c r="D3636">
        <v>602.67000000000007</v>
      </c>
    </row>
    <row r="3637" spans="1:4" x14ac:dyDescent="0.3">
      <c r="A3637" t="s">
        <v>197</v>
      </c>
      <c r="C3637" s="16">
        <v>46272</v>
      </c>
      <c r="D3637">
        <v>32112.919999999976</v>
      </c>
    </row>
    <row r="3638" spans="1:4" x14ac:dyDescent="0.3">
      <c r="A3638" t="s">
        <v>198</v>
      </c>
      <c r="C3638" s="16">
        <v>46272</v>
      </c>
      <c r="D3638">
        <v>794.01</v>
      </c>
    </row>
    <row r="3639" spans="1:4" x14ac:dyDescent="0.3">
      <c r="A3639" t="s">
        <v>216</v>
      </c>
      <c r="C3639" s="16">
        <v>46272</v>
      </c>
      <c r="D3639">
        <v>5445.57</v>
      </c>
    </row>
    <row r="3640" spans="1:4" x14ac:dyDescent="0.3">
      <c r="A3640" t="s">
        <v>200</v>
      </c>
      <c r="C3640" s="16">
        <v>46272</v>
      </c>
      <c r="D3640">
        <v>2.129999999999999</v>
      </c>
    </row>
    <row r="3641" spans="1:4" x14ac:dyDescent="0.3">
      <c r="A3641" t="s">
        <v>201</v>
      </c>
      <c r="C3641" s="16">
        <v>46272</v>
      </c>
      <c r="D3641">
        <v>242034.28999999998</v>
      </c>
    </row>
    <row r="3642" spans="1:4" x14ac:dyDescent="0.3">
      <c r="A3642" t="s">
        <v>17</v>
      </c>
      <c r="C3642" s="16">
        <v>46273</v>
      </c>
      <c r="D3642">
        <v>1805955.2800000007</v>
      </c>
    </row>
    <row r="3643" spans="1:4" x14ac:dyDescent="0.3">
      <c r="A3643" t="s">
        <v>18</v>
      </c>
      <c r="C3643" s="16">
        <v>46273</v>
      </c>
      <c r="D3643">
        <v>93737.970000000176</v>
      </c>
    </row>
    <row r="3644" spans="1:4" x14ac:dyDescent="0.3">
      <c r="A3644" t="s">
        <v>19</v>
      </c>
      <c r="C3644" s="16">
        <v>46273</v>
      </c>
      <c r="D3644">
        <v>1669.89</v>
      </c>
    </row>
    <row r="3645" spans="1:4" x14ac:dyDescent="0.3">
      <c r="A3645" t="s">
        <v>20</v>
      </c>
      <c r="C3645" s="16">
        <v>46273</v>
      </c>
      <c r="D3645">
        <v>1256669.99</v>
      </c>
    </row>
    <row r="3646" spans="1:4" x14ac:dyDescent="0.3">
      <c r="A3646" t="s">
        <v>21</v>
      </c>
      <c r="C3646" s="16">
        <v>46273</v>
      </c>
      <c r="D3646">
        <v>1490233.3099999996</v>
      </c>
    </row>
    <row r="3647" spans="1:4" x14ac:dyDescent="0.3">
      <c r="A3647" t="s">
        <v>22</v>
      </c>
      <c r="C3647" s="16">
        <v>46273</v>
      </c>
      <c r="D3647">
        <v>249778.14</v>
      </c>
    </row>
    <row r="3648" spans="1:4" x14ac:dyDescent="0.3">
      <c r="A3648" t="s">
        <v>23</v>
      </c>
      <c r="C3648" s="16">
        <v>46273</v>
      </c>
      <c r="D3648">
        <v>98169.25999999998</v>
      </c>
    </row>
    <row r="3649" spans="1:4" x14ac:dyDescent="0.3">
      <c r="A3649" t="s">
        <v>24</v>
      </c>
      <c r="C3649" s="16">
        <v>46273</v>
      </c>
      <c r="D3649">
        <v>13270.02</v>
      </c>
    </row>
    <row r="3650" spans="1:4" x14ac:dyDescent="0.3">
      <c r="A3650" t="s">
        <v>25</v>
      </c>
      <c r="C3650" s="16">
        <v>46273</v>
      </c>
      <c r="D3650">
        <v>94.5</v>
      </c>
    </row>
    <row r="3651" spans="1:4" x14ac:dyDescent="0.3">
      <c r="A3651" t="s">
        <v>26</v>
      </c>
      <c r="C3651" s="16">
        <v>46273</v>
      </c>
      <c r="D3651">
        <v>2147.92</v>
      </c>
    </row>
    <row r="3652" spans="1:4" x14ac:dyDescent="0.3">
      <c r="A3652" t="s">
        <v>27</v>
      </c>
      <c r="C3652" s="16">
        <v>46273</v>
      </c>
      <c r="D3652">
        <v>18005.290000000015</v>
      </c>
    </row>
    <row r="3653" spans="1:4" x14ac:dyDescent="0.3">
      <c r="A3653" t="s">
        <v>28</v>
      </c>
      <c r="C3653" s="16">
        <v>46273</v>
      </c>
      <c r="D3653">
        <v>1968.99</v>
      </c>
    </row>
    <row r="3654" spans="1:4" x14ac:dyDescent="0.3">
      <c r="A3654" t="s">
        <v>29</v>
      </c>
      <c r="C3654" s="16">
        <v>46273</v>
      </c>
      <c r="D3654">
        <v>901.34</v>
      </c>
    </row>
    <row r="3655" spans="1:4" x14ac:dyDescent="0.3">
      <c r="A3655" t="s">
        <v>30</v>
      </c>
      <c r="C3655" s="16">
        <v>46273</v>
      </c>
      <c r="D3655">
        <v>1380.08</v>
      </c>
    </row>
    <row r="3656" spans="1:4" x14ac:dyDescent="0.3">
      <c r="A3656" t="s">
        <v>31</v>
      </c>
      <c r="C3656" s="16">
        <v>46273</v>
      </c>
      <c r="D3656">
        <v>25027.379999999961</v>
      </c>
    </row>
    <row r="3657" spans="1:4" x14ac:dyDescent="0.3">
      <c r="A3657" t="s">
        <v>32</v>
      </c>
      <c r="C3657" s="16">
        <v>46273</v>
      </c>
      <c r="D3657">
        <v>16760.540000000008</v>
      </c>
    </row>
    <row r="3658" spans="1:4" x14ac:dyDescent="0.3">
      <c r="A3658" t="s">
        <v>33</v>
      </c>
      <c r="C3658" s="16">
        <v>46273</v>
      </c>
      <c r="D3658">
        <v>14162.999999999996</v>
      </c>
    </row>
    <row r="3659" spans="1:4" x14ac:dyDescent="0.3">
      <c r="A3659" t="s">
        <v>34</v>
      </c>
      <c r="C3659" s="16">
        <v>46273</v>
      </c>
      <c r="D3659">
        <v>345</v>
      </c>
    </row>
    <row r="3660" spans="1:4" x14ac:dyDescent="0.3">
      <c r="A3660" t="s">
        <v>35</v>
      </c>
      <c r="C3660" s="16">
        <v>46273</v>
      </c>
      <c r="D3660">
        <v>5861.1200000000026</v>
      </c>
    </row>
    <row r="3661" spans="1:4" x14ac:dyDescent="0.3">
      <c r="A3661" t="s">
        <v>193</v>
      </c>
      <c r="C3661" s="16">
        <v>46273</v>
      </c>
      <c r="D3661">
        <v>298843.33</v>
      </c>
    </row>
    <row r="3662" spans="1:4" x14ac:dyDescent="0.3">
      <c r="A3662" t="s">
        <v>194</v>
      </c>
      <c r="C3662" s="16">
        <v>46273</v>
      </c>
      <c r="D3662">
        <v>19563.12</v>
      </c>
    </row>
    <row r="3663" spans="1:4" x14ac:dyDescent="0.3">
      <c r="A3663" t="s">
        <v>195</v>
      </c>
      <c r="C3663" s="16">
        <v>46273</v>
      </c>
      <c r="D3663">
        <v>3631.96</v>
      </c>
    </row>
    <row r="3664" spans="1:4" x14ac:dyDescent="0.3">
      <c r="A3664" t="s">
        <v>196</v>
      </c>
      <c r="C3664" s="16">
        <v>46273</v>
      </c>
      <c r="D3664">
        <v>602.67000000000007</v>
      </c>
    </row>
    <row r="3665" spans="1:4" x14ac:dyDescent="0.3">
      <c r="A3665" t="s">
        <v>197</v>
      </c>
      <c r="C3665" s="16">
        <v>46273</v>
      </c>
      <c r="D3665">
        <v>32112.919999999976</v>
      </c>
    </row>
    <row r="3666" spans="1:4" x14ac:dyDescent="0.3">
      <c r="A3666" t="s">
        <v>198</v>
      </c>
      <c r="C3666" s="16">
        <v>46273</v>
      </c>
      <c r="D3666">
        <v>794.01</v>
      </c>
    </row>
    <row r="3667" spans="1:4" x14ac:dyDescent="0.3">
      <c r="A3667" t="s">
        <v>216</v>
      </c>
      <c r="C3667" s="16">
        <v>46273</v>
      </c>
      <c r="D3667">
        <v>5445.57</v>
      </c>
    </row>
    <row r="3668" spans="1:4" x14ac:dyDescent="0.3">
      <c r="A3668" t="s">
        <v>200</v>
      </c>
      <c r="C3668" s="16">
        <v>46273</v>
      </c>
      <c r="D3668">
        <v>2.129999999999999</v>
      </c>
    </row>
    <row r="3669" spans="1:4" x14ac:dyDescent="0.3">
      <c r="A3669" t="s">
        <v>201</v>
      </c>
      <c r="C3669" s="16">
        <v>46273</v>
      </c>
      <c r="D3669">
        <v>241987.22999999998</v>
      </c>
    </row>
    <row r="3670" spans="1:4" x14ac:dyDescent="0.3">
      <c r="A3670" t="s">
        <v>17</v>
      </c>
      <c r="C3670" s="16">
        <v>46274</v>
      </c>
      <c r="D3670">
        <v>1805355.2800000007</v>
      </c>
    </row>
    <row r="3671" spans="1:4" x14ac:dyDescent="0.3">
      <c r="A3671" t="s">
        <v>18</v>
      </c>
      <c r="C3671" s="16">
        <v>46274</v>
      </c>
      <c r="D3671">
        <v>93737.970000000176</v>
      </c>
    </row>
    <row r="3672" spans="1:4" x14ac:dyDescent="0.3">
      <c r="A3672" t="s">
        <v>19</v>
      </c>
      <c r="C3672" s="16">
        <v>46274</v>
      </c>
      <c r="D3672">
        <v>1669.89</v>
      </c>
    </row>
    <row r="3673" spans="1:4" x14ac:dyDescent="0.3">
      <c r="A3673" t="s">
        <v>20</v>
      </c>
      <c r="C3673" s="16">
        <v>46274</v>
      </c>
      <c r="D3673">
        <v>1256669.99</v>
      </c>
    </row>
    <row r="3674" spans="1:4" x14ac:dyDescent="0.3">
      <c r="A3674" t="s">
        <v>21</v>
      </c>
      <c r="C3674" s="16">
        <v>46274</v>
      </c>
      <c r="D3674">
        <v>1487787.1299999997</v>
      </c>
    </row>
    <row r="3675" spans="1:4" x14ac:dyDescent="0.3">
      <c r="A3675" t="s">
        <v>22</v>
      </c>
      <c r="C3675" s="16">
        <v>46274</v>
      </c>
      <c r="D3675">
        <v>229778.14</v>
      </c>
    </row>
    <row r="3676" spans="1:4" x14ac:dyDescent="0.3">
      <c r="A3676" t="s">
        <v>23</v>
      </c>
      <c r="C3676" s="16">
        <v>46274</v>
      </c>
      <c r="D3676">
        <v>98169.25999999998</v>
      </c>
    </row>
    <row r="3677" spans="1:4" x14ac:dyDescent="0.3">
      <c r="A3677" t="s">
        <v>24</v>
      </c>
      <c r="C3677" s="16">
        <v>46274</v>
      </c>
      <c r="D3677">
        <v>13270.02</v>
      </c>
    </row>
    <row r="3678" spans="1:4" x14ac:dyDescent="0.3">
      <c r="A3678" t="s">
        <v>25</v>
      </c>
      <c r="C3678" s="16">
        <v>46274</v>
      </c>
      <c r="D3678">
        <v>94.5</v>
      </c>
    </row>
    <row r="3679" spans="1:4" x14ac:dyDescent="0.3">
      <c r="A3679" t="s">
        <v>26</v>
      </c>
      <c r="C3679" s="16">
        <v>46274</v>
      </c>
      <c r="D3679">
        <v>2147.92</v>
      </c>
    </row>
    <row r="3680" spans="1:4" x14ac:dyDescent="0.3">
      <c r="A3680" t="s">
        <v>27</v>
      </c>
      <c r="C3680" s="16">
        <v>46274</v>
      </c>
      <c r="D3680">
        <v>18005.290000000015</v>
      </c>
    </row>
    <row r="3681" spans="1:4" x14ac:dyDescent="0.3">
      <c r="A3681" t="s">
        <v>28</v>
      </c>
      <c r="C3681" s="16">
        <v>46274</v>
      </c>
      <c r="D3681">
        <v>1968.99</v>
      </c>
    </row>
    <row r="3682" spans="1:4" x14ac:dyDescent="0.3">
      <c r="A3682" t="s">
        <v>29</v>
      </c>
      <c r="C3682" s="16">
        <v>46274</v>
      </c>
      <c r="D3682">
        <v>901.34</v>
      </c>
    </row>
    <row r="3683" spans="1:4" x14ac:dyDescent="0.3">
      <c r="A3683" t="s">
        <v>30</v>
      </c>
      <c r="C3683" s="16">
        <v>46274</v>
      </c>
      <c r="D3683">
        <v>1380.08</v>
      </c>
    </row>
    <row r="3684" spans="1:4" x14ac:dyDescent="0.3">
      <c r="A3684" t="s">
        <v>31</v>
      </c>
      <c r="C3684" s="16">
        <v>46274</v>
      </c>
      <c r="D3684">
        <v>25027.379999999961</v>
      </c>
    </row>
    <row r="3685" spans="1:4" x14ac:dyDescent="0.3">
      <c r="A3685" t="s">
        <v>32</v>
      </c>
      <c r="C3685" s="16">
        <v>46274</v>
      </c>
      <c r="D3685">
        <v>16760.540000000008</v>
      </c>
    </row>
    <row r="3686" spans="1:4" x14ac:dyDescent="0.3">
      <c r="A3686" t="s">
        <v>33</v>
      </c>
      <c r="C3686" s="16">
        <v>46274</v>
      </c>
      <c r="D3686">
        <v>14162.999999999996</v>
      </c>
    </row>
    <row r="3687" spans="1:4" x14ac:dyDescent="0.3">
      <c r="A3687" t="s">
        <v>34</v>
      </c>
      <c r="C3687" s="16">
        <v>46274</v>
      </c>
      <c r="D3687">
        <v>345</v>
      </c>
    </row>
    <row r="3688" spans="1:4" x14ac:dyDescent="0.3">
      <c r="A3688" t="s">
        <v>35</v>
      </c>
      <c r="C3688" s="16">
        <v>46274</v>
      </c>
      <c r="D3688">
        <v>25812.570000000003</v>
      </c>
    </row>
    <row r="3689" spans="1:4" x14ac:dyDescent="0.3">
      <c r="A3689" t="s">
        <v>193</v>
      </c>
      <c r="C3689" s="16">
        <v>46274</v>
      </c>
      <c r="D3689">
        <v>298792.34000000003</v>
      </c>
    </row>
    <row r="3690" spans="1:4" x14ac:dyDescent="0.3">
      <c r="A3690" t="s">
        <v>194</v>
      </c>
      <c r="C3690" s="16">
        <v>46274</v>
      </c>
      <c r="D3690">
        <v>18649.980000000003</v>
      </c>
    </row>
    <row r="3691" spans="1:4" x14ac:dyDescent="0.3">
      <c r="A3691" t="s">
        <v>195</v>
      </c>
      <c r="C3691" s="16">
        <v>46274</v>
      </c>
      <c r="D3691">
        <v>3631.96</v>
      </c>
    </row>
    <row r="3692" spans="1:4" x14ac:dyDescent="0.3">
      <c r="A3692" t="s">
        <v>196</v>
      </c>
      <c r="C3692" s="16">
        <v>46274</v>
      </c>
      <c r="D3692">
        <v>602.67000000000007</v>
      </c>
    </row>
    <row r="3693" spans="1:4" x14ac:dyDescent="0.3">
      <c r="A3693" t="s">
        <v>197</v>
      </c>
      <c r="C3693" s="16">
        <v>46274</v>
      </c>
      <c r="D3693">
        <v>32112.919999999976</v>
      </c>
    </row>
    <row r="3694" spans="1:4" x14ac:dyDescent="0.3">
      <c r="A3694" t="s">
        <v>198</v>
      </c>
      <c r="C3694" s="16">
        <v>46274</v>
      </c>
      <c r="D3694">
        <v>794.01</v>
      </c>
    </row>
    <row r="3695" spans="1:4" x14ac:dyDescent="0.3">
      <c r="A3695" t="s">
        <v>216</v>
      </c>
      <c r="C3695" s="16">
        <v>46274</v>
      </c>
      <c r="D3695">
        <v>5445.57</v>
      </c>
    </row>
    <row r="3696" spans="1:4" x14ac:dyDescent="0.3">
      <c r="A3696" t="s">
        <v>200</v>
      </c>
      <c r="C3696" s="16">
        <v>46274</v>
      </c>
      <c r="D3696">
        <v>2.129999999999999</v>
      </c>
    </row>
    <row r="3697" spans="1:4" x14ac:dyDescent="0.3">
      <c r="A3697" t="s">
        <v>201</v>
      </c>
      <c r="C3697" s="16">
        <v>46274</v>
      </c>
      <c r="D3697">
        <v>241987.22999999998</v>
      </c>
    </row>
    <row r="3698" spans="1:4" x14ac:dyDescent="0.3">
      <c r="A3698" t="s">
        <v>17</v>
      </c>
      <c r="C3698" s="16">
        <v>46275</v>
      </c>
      <c r="D3698">
        <v>1338116.3900000008</v>
      </c>
    </row>
    <row r="3699" spans="1:4" x14ac:dyDescent="0.3">
      <c r="A3699" t="s">
        <v>18</v>
      </c>
      <c r="C3699" s="16">
        <v>46275</v>
      </c>
      <c r="D3699">
        <v>93737.970000000176</v>
      </c>
    </row>
    <row r="3700" spans="1:4" x14ac:dyDescent="0.3">
      <c r="A3700" t="s">
        <v>19</v>
      </c>
      <c r="C3700" s="16">
        <v>46275</v>
      </c>
      <c r="D3700">
        <v>1669.89</v>
      </c>
    </row>
    <row r="3701" spans="1:4" x14ac:dyDescent="0.3">
      <c r="A3701" t="s">
        <v>20</v>
      </c>
      <c r="C3701" s="16">
        <v>46275</v>
      </c>
      <c r="D3701">
        <v>1089169.99</v>
      </c>
    </row>
    <row r="3702" spans="1:4" x14ac:dyDescent="0.3">
      <c r="A3702" t="s">
        <v>21</v>
      </c>
      <c r="C3702" s="16">
        <v>46275</v>
      </c>
      <c r="D3702">
        <v>1233789.9099999997</v>
      </c>
    </row>
    <row r="3703" spans="1:4" x14ac:dyDescent="0.3">
      <c r="A3703" t="s">
        <v>22</v>
      </c>
      <c r="C3703" s="16">
        <v>46275</v>
      </c>
      <c r="D3703">
        <v>229778.14</v>
      </c>
    </row>
    <row r="3704" spans="1:4" x14ac:dyDescent="0.3">
      <c r="A3704" t="s">
        <v>23</v>
      </c>
      <c r="C3704" s="16">
        <v>46275</v>
      </c>
      <c r="D3704">
        <v>98169.25999999998</v>
      </c>
    </row>
    <row r="3705" spans="1:4" x14ac:dyDescent="0.3">
      <c r="A3705" t="s">
        <v>24</v>
      </c>
      <c r="C3705" s="16">
        <v>46275</v>
      </c>
      <c r="D3705">
        <v>13270.02</v>
      </c>
    </row>
    <row r="3706" spans="1:4" x14ac:dyDescent="0.3">
      <c r="A3706" t="s">
        <v>25</v>
      </c>
      <c r="C3706" s="16">
        <v>46275</v>
      </c>
      <c r="D3706">
        <v>94.5</v>
      </c>
    </row>
    <row r="3707" spans="1:4" x14ac:dyDescent="0.3">
      <c r="A3707" t="s">
        <v>26</v>
      </c>
      <c r="C3707" s="16">
        <v>46275</v>
      </c>
      <c r="D3707">
        <v>2147.92</v>
      </c>
    </row>
    <row r="3708" spans="1:4" x14ac:dyDescent="0.3">
      <c r="A3708" t="s">
        <v>27</v>
      </c>
      <c r="C3708" s="16">
        <v>46275</v>
      </c>
      <c r="D3708">
        <v>18005.290000000015</v>
      </c>
    </row>
    <row r="3709" spans="1:4" x14ac:dyDescent="0.3">
      <c r="A3709" t="s">
        <v>28</v>
      </c>
      <c r="C3709" s="16">
        <v>46275</v>
      </c>
      <c r="D3709">
        <v>1968.99</v>
      </c>
    </row>
    <row r="3710" spans="1:4" x14ac:dyDescent="0.3">
      <c r="A3710" t="s">
        <v>29</v>
      </c>
      <c r="C3710" s="16">
        <v>46275</v>
      </c>
      <c r="D3710">
        <v>901.34</v>
      </c>
    </row>
    <row r="3711" spans="1:4" x14ac:dyDescent="0.3">
      <c r="A3711" t="s">
        <v>30</v>
      </c>
      <c r="C3711" s="16">
        <v>46275</v>
      </c>
      <c r="D3711">
        <v>1380.08</v>
      </c>
    </row>
    <row r="3712" spans="1:4" x14ac:dyDescent="0.3">
      <c r="A3712" t="s">
        <v>31</v>
      </c>
      <c r="C3712" s="16">
        <v>46275</v>
      </c>
      <c r="D3712">
        <v>25027.379999999961</v>
      </c>
    </row>
    <row r="3713" spans="1:4" x14ac:dyDescent="0.3">
      <c r="A3713" t="s">
        <v>32</v>
      </c>
      <c r="C3713" s="16">
        <v>46275</v>
      </c>
      <c r="D3713">
        <v>16760.540000000008</v>
      </c>
    </row>
    <row r="3714" spans="1:4" x14ac:dyDescent="0.3">
      <c r="A3714" t="s">
        <v>33</v>
      </c>
      <c r="C3714" s="16">
        <v>46275</v>
      </c>
      <c r="D3714">
        <v>14162.999999999996</v>
      </c>
    </row>
    <row r="3715" spans="1:4" x14ac:dyDescent="0.3">
      <c r="A3715" t="s">
        <v>34</v>
      </c>
      <c r="C3715" s="16">
        <v>46275</v>
      </c>
      <c r="D3715">
        <v>345</v>
      </c>
    </row>
    <row r="3716" spans="1:4" x14ac:dyDescent="0.3">
      <c r="A3716" t="s">
        <v>35</v>
      </c>
      <c r="C3716" s="16">
        <v>46275</v>
      </c>
      <c r="D3716">
        <v>23159.510000000002</v>
      </c>
    </row>
    <row r="3717" spans="1:4" x14ac:dyDescent="0.3">
      <c r="A3717" t="s">
        <v>193</v>
      </c>
      <c r="C3717" s="16">
        <v>46275</v>
      </c>
      <c r="D3717">
        <v>298792.34000000003</v>
      </c>
    </row>
    <row r="3718" spans="1:4" x14ac:dyDescent="0.3">
      <c r="A3718" t="s">
        <v>194</v>
      </c>
      <c r="C3718" s="16">
        <v>46275</v>
      </c>
      <c r="D3718">
        <v>28004.970000000005</v>
      </c>
    </row>
    <row r="3719" spans="1:4" x14ac:dyDescent="0.3">
      <c r="A3719" t="s">
        <v>195</v>
      </c>
      <c r="C3719" s="16">
        <v>46275</v>
      </c>
      <c r="D3719">
        <v>3631.96</v>
      </c>
    </row>
    <row r="3720" spans="1:4" x14ac:dyDescent="0.3">
      <c r="A3720" t="s">
        <v>196</v>
      </c>
      <c r="C3720" s="16">
        <v>46275</v>
      </c>
      <c r="D3720">
        <v>602.67000000000007</v>
      </c>
    </row>
    <row r="3721" spans="1:4" x14ac:dyDescent="0.3">
      <c r="A3721" t="s">
        <v>197</v>
      </c>
      <c r="C3721" s="16">
        <v>46275</v>
      </c>
      <c r="D3721">
        <v>32112.919999999976</v>
      </c>
    </row>
    <row r="3722" spans="1:4" x14ac:dyDescent="0.3">
      <c r="A3722" t="s">
        <v>198</v>
      </c>
      <c r="C3722" s="16">
        <v>46275</v>
      </c>
      <c r="D3722">
        <v>794.01</v>
      </c>
    </row>
    <row r="3723" spans="1:4" x14ac:dyDescent="0.3">
      <c r="A3723" t="s">
        <v>216</v>
      </c>
      <c r="C3723" s="16">
        <v>46275</v>
      </c>
      <c r="D3723">
        <v>5445.57</v>
      </c>
    </row>
    <row r="3724" spans="1:4" x14ac:dyDescent="0.3">
      <c r="A3724" t="s">
        <v>200</v>
      </c>
      <c r="C3724" s="16">
        <v>46275</v>
      </c>
      <c r="D3724">
        <v>2.129999999999999</v>
      </c>
    </row>
    <row r="3725" spans="1:4" x14ac:dyDescent="0.3">
      <c r="A3725" t="s">
        <v>201</v>
      </c>
      <c r="C3725" s="16">
        <v>46275</v>
      </c>
      <c r="D3725">
        <v>241889.38999999998</v>
      </c>
    </row>
    <row r="3726" spans="1:4" x14ac:dyDescent="0.3">
      <c r="A3726" t="s">
        <v>17</v>
      </c>
      <c r="C3726" s="16">
        <v>46276</v>
      </c>
      <c r="D3726">
        <v>1892967.3900000008</v>
      </c>
    </row>
    <row r="3727" spans="1:4" x14ac:dyDescent="0.3">
      <c r="A3727" t="s">
        <v>18</v>
      </c>
      <c r="C3727" s="16">
        <v>46276</v>
      </c>
      <c r="D3727">
        <v>93737.970000000176</v>
      </c>
    </row>
    <row r="3728" spans="1:4" x14ac:dyDescent="0.3">
      <c r="A3728" t="s">
        <v>19</v>
      </c>
      <c r="C3728" s="16">
        <v>46276</v>
      </c>
      <c r="D3728">
        <v>1669.89</v>
      </c>
    </row>
    <row r="3729" spans="1:4" x14ac:dyDescent="0.3">
      <c r="A3729" t="s">
        <v>20</v>
      </c>
      <c r="C3729" s="16">
        <v>46276</v>
      </c>
      <c r="D3729">
        <v>1089124.99</v>
      </c>
    </row>
    <row r="3730" spans="1:4" x14ac:dyDescent="0.3">
      <c r="A3730" t="s">
        <v>21</v>
      </c>
      <c r="C3730" s="16">
        <v>46276</v>
      </c>
      <c r="D3730">
        <v>1233789.9099999997</v>
      </c>
    </row>
    <row r="3731" spans="1:4" x14ac:dyDescent="0.3">
      <c r="A3731" t="s">
        <v>22</v>
      </c>
      <c r="C3731" s="16">
        <v>46276</v>
      </c>
      <c r="D3731">
        <v>229778.14</v>
      </c>
    </row>
    <row r="3732" spans="1:4" x14ac:dyDescent="0.3">
      <c r="A3732" t="s">
        <v>23</v>
      </c>
      <c r="C3732" s="16">
        <v>46276</v>
      </c>
      <c r="D3732">
        <v>98169.25999999998</v>
      </c>
    </row>
    <row r="3733" spans="1:4" x14ac:dyDescent="0.3">
      <c r="A3733" t="s">
        <v>24</v>
      </c>
      <c r="C3733" s="16">
        <v>46276</v>
      </c>
      <c r="D3733">
        <v>13270.02</v>
      </c>
    </row>
    <row r="3734" spans="1:4" x14ac:dyDescent="0.3">
      <c r="A3734" t="s">
        <v>25</v>
      </c>
      <c r="C3734" s="16">
        <v>46276</v>
      </c>
      <c r="D3734">
        <v>94.5</v>
      </c>
    </row>
    <row r="3735" spans="1:4" x14ac:dyDescent="0.3">
      <c r="A3735" t="s">
        <v>26</v>
      </c>
      <c r="C3735" s="16">
        <v>46276</v>
      </c>
      <c r="D3735">
        <v>2147.92</v>
      </c>
    </row>
    <row r="3736" spans="1:4" x14ac:dyDescent="0.3">
      <c r="A3736" t="s">
        <v>27</v>
      </c>
      <c r="C3736" s="16">
        <v>46276</v>
      </c>
      <c r="D3736">
        <v>18005.290000000015</v>
      </c>
    </row>
    <row r="3737" spans="1:4" x14ac:dyDescent="0.3">
      <c r="A3737" t="s">
        <v>28</v>
      </c>
      <c r="C3737" s="16">
        <v>46276</v>
      </c>
      <c r="D3737">
        <v>1968.99</v>
      </c>
    </row>
    <row r="3738" spans="1:4" x14ac:dyDescent="0.3">
      <c r="A3738" t="s">
        <v>29</v>
      </c>
      <c r="C3738" s="16">
        <v>46276</v>
      </c>
      <c r="D3738">
        <v>901.34</v>
      </c>
    </row>
    <row r="3739" spans="1:4" x14ac:dyDescent="0.3">
      <c r="A3739" t="s">
        <v>30</v>
      </c>
      <c r="C3739" s="16">
        <v>46276</v>
      </c>
      <c r="D3739">
        <v>1380.08</v>
      </c>
    </row>
    <row r="3740" spans="1:4" x14ac:dyDescent="0.3">
      <c r="A3740" t="s">
        <v>31</v>
      </c>
      <c r="C3740" s="16">
        <v>46276</v>
      </c>
      <c r="D3740">
        <v>25027.379999999961</v>
      </c>
    </row>
    <row r="3741" spans="1:4" x14ac:dyDescent="0.3">
      <c r="A3741" t="s">
        <v>32</v>
      </c>
      <c r="C3741" s="16">
        <v>46276</v>
      </c>
      <c r="D3741">
        <v>16282.630000000006</v>
      </c>
    </row>
    <row r="3742" spans="1:4" x14ac:dyDescent="0.3">
      <c r="A3742" t="s">
        <v>33</v>
      </c>
      <c r="C3742" s="16">
        <v>46276</v>
      </c>
      <c r="D3742">
        <v>13339.389999999996</v>
      </c>
    </row>
    <row r="3743" spans="1:4" x14ac:dyDescent="0.3">
      <c r="A3743" t="s">
        <v>34</v>
      </c>
      <c r="C3743" s="16">
        <v>46276</v>
      </c>
      <c r="D3743">
        <v>345</v>
      </c>
    </row>
    <row r="3744" spans="1:4" x14ac:dyDescent="0.3">
      <c r="A3744" t="s">
        <v>35</v>
      </c>
      <c r="C3744" s="16">
        <v>46276</v>
      </c>
      <c r="D3744">
        <v>23057.24</v>
      </c>
    </row>
    <row r="3745" spans="1:4" x14ac:dyDescent="0.3">
      <c r="A3745" t="s">
        <v>193</v>
      </c>
      <c r="C3745" s="16">
        <v>46276</v>
      </c>
      <c r="D3745">
        <v>298792.34000000003</v>
      </c>
    </row>
    <row r="3746" spans="1:4" x14ac:dyDescent="0.3">
      <c r="A3746" t="s">
        <v>194</v>
      </c>
      <c r="C3746" s="16">
        <v>46276</v>
      </c>
      <c r="D3746">
        <v>28004.970000000005</v>
      </c>
    </row>
    <row r="3747" spans="1:4" x14ac:dyDescent="0.3">
      <c r="A3747" t="s">
        <v>195</v>
      </c>
      <c r="C3747" s="16">
        <v>46276</v>
      </c>
      <c r="D3747">
        <v>3631.96</v>
      </c>
    </row>
    <row r="3748" spans="1:4" x14ac:dyDescent="0.3">
      <c r="A3748" t="s">
        <v>196</v>
      </c>
      <c r="C3748" s="16">
        <v>46276</v>
      </c>
      <c r="D3748">
        <v>602.67000000000007</v>
      </c>
    </row>
    <row r="3749" spans="1:4" x14ac:dyDescent="0.3">
      <c r="A3749" t="s">
        <v>197</v>
      </c>
      <c r="C3749" s="16">
        <v>46276</v>
      </c>
      <c r="D3749">
        <v>31621.50999999998</v>
      </c>
    </row>
    <row r="3750" spans="1:4" x14ac:dyDescent="0.3">
      <c r="A3750" t="s">
        <v>198</v>
      </c>
      <c r="C3750" s="16">
        <v>46276</v>
      </c>
      <c r="D3750">
        <v>794.01</v>
      </c>
    </row>
    <row r="3751" spans="1:4" x14ac:dyDescent="0.3">
      <c r="A3751" t="s">
        <v>216</v>
      </c>
      <c r="C3751" s="16">
        <v>46276</v>
      </c>
      <c r="D3751">
        <v>5445.57</v>
      </c>
    </row>
    <row r="3752" spans="1:4" x14ac:dyDescent="0.3">
      <c r="A3752" t="s">
        <v>200</v>
      </c>
      <c r="C3752" s="16">
        <v>46276</v>
      </c>
      <c r="D3752">
        <v>2.129999999999999</v>
      </c>
    </row>
    <row r="3753" spans="1:4" x14ac:dyDescent="0.3">
      <c r="A3753" t="s">
        <v>201</v>
      </c>
      <c r="C3753" s="16">
        <v>46276</v>
      </c>
      <c r="D3753">
        <v>240458.22999999998</v>
      </c>
    </row>
    <row r="3754" spans="1:4" x14ac:dyDescent="0.3">
      <c r="A3754" t="s">
        <v>17</v>
      </c>
      <c r="C3754" s="16">
        <v>46277</v>
      </c>
      <c r="D3754">
        <v>1892967.3900000008</v>
      </c>
    </row>
    <row r="3755" spans="1:4" x14ac:dyDescent="0.3">
      <c r="A3755" t="s">
        <v>18</v>
      </c>
      <c r="C3755" s="16">
        <v>46277</v>
      </c>
      <c r="D3755">
        <v>93737.970000000176</v>
      </c>
    </row>
    <row r="3756" spans="1:4" x14ac:dyDescent="0.3">
      <c r="A3756" t="s">
        <v>19</v>
      </c>
      <c r="C3756" s="16">
        <v>46277</v>
      </c>
      <c r="D3756">
        <v>1669.89</v>
      </c>
    </row>
    <row r="3757" spans="1:4" x14ac:dyDescent="0.3">
      <c r="A3757" t="s">
        <v>20</v>
      </c>
      <c r="C3757" s="16">
        <v>46277</v>
      </c>
      <c r="D3757">
        <v>1089124.99</v>
      </c>
    </row>
    <row r="3758" spans="1:4" x14ac:dyDescent="0.3">
      <c r="A3758" t="s">
        <v>21</v>
      </c>
      <c r="C3758" s="16">
        <v>46277</v>
      </c>
      <c r="D3758">
        <v>1233789.9099999997</v>
      </c>
    </row>
    <row r="3759" spans="1:4" x14ac:dyDescent="0.3">
      <c r="A3759" t="s">
        <v>22</v>
      </c>
      <c r="C3759" s="16">
        <v>46277</v>
      </c>
      <c r="D3759">
        <v>229778.14</v>
      </c>
    </row>
    <row r="3760" spans="1:4" x14ac:dyDescent="0.3">
      <c r="A3760" t="s">
        <v>23</v>
      </c>
      <c r="C3760" s="16">
        <v>46277</v>
      </c>
      <c r="D3760">
        <v>98169.25999999998</v>
      </c>
    </row>
    <row r="3761" spans="1:4" x14ac:dyDescent="0.3">
      <c r="A3761" t="s">
        <v>24</v>
      </c>
      <c r="C3761" s="16">
        <v>46277</v>
      </c>
      <c r="D3761">
        <v>13270.02</v>
      </c>
    </row>
    <row r="3762" spans="1:4" x14ac:dyDescent="0.3">
      <c r="A3762" t="s">
        <v>25</v>
      </c>
      <c r="C3762" s="16">
        <v>46277</v>
      </c>
      <c r="D3762">
        <v>94.5</v>
      </c>
    </row>
    <row r="3763" spans="1:4" x14ac:dyDescent="0.3">
      <c r="A3763" t="s">
        <v>26</v>
      </c>
      <c r="C3763" s="16">
        <v>46277</v>
      </c>
      <c r="D3763">
        <v>2147.92</v>
      </c>
    </row>
    <row r="3764" spans="1:4" x14ac:dyDescent="0.3">
      <c r="A3764" t="s">
        <v>27</v>
      </c>
      <c r="C3764" s="16">
        <v>46277</v>
      </c>
      <c r="D3764">
        <v>18005.290000000015</v>
      </c>
    </row>
    <row r="3765" spans="1:4" x14ac:dyDescent="0.3">
      <c r="A3765" t="s">
        <v>28</v>
      </c>
      <c r="C3765" s="16">
        <v>46277</v>
      </c>
      <c r="D3765">
        <v>1968.99</v>
      </c>
    </row>
    <row r="3766" spans="1:4" x14ac:dyDescent="0.3">
      <c r="A3766" t="s">
        <v>29</v>
      </c>
      <c r="C3766" s="16">
        <v>46277</v>
      </c>
      <c r="D3766">
        <v>901.34</v>
      </c>
    </row>
    <row r="3767" spans="1:4" x14ac:dyDescent="0.3">
      <c r="A3767" t="s">
        <v>30</v>
      </c>
      <c r="C3767" s="16">
        <v>46277</v>
      </c>
      <c r="D3767">
        <v>1380.08</v>
      </c>
    </row>
    <row r="3768" spans="1:4" x14ac:dyDescent="0.3">
      <c r="A3768" t="s">
        <v>31</v>
      </c>
      <c r="C3768" s="16">
        <v>46277</v>
      </c>
      <c r="D3768">
        <v>25027.379999999961</v>
      </c>
    </row>
    <row r="3769" spans="1:4" x14ac:dyDescent="0.3">
      <c r="A3769" t="s">
        <v>32</v>
      </c>
      <c r="C3769" s="16">
        <v>46277</v>
      </c>
      <c r="D3769">
        <v>16282.630000000006</v>
      </c>
    </row>
    <row r="3770" spans="1:4" x14ac:dyDescent="0.3">
      <c r="A3770" t="s">
        <v>33</v>
      </c>
      <c r="C3770" s="16">
        <v>46277</v>
      </c>
      <c r="D3770">
        <v>13339.389999999996</v>
      </c>
    </row>
    <row r="3771" spans="1:4" x14ac:dyDescent="0.3">
      <c r="A3771" t="s">
        <v>34</v>
      </c>
      <c r="C3771" s="16">
        <v>46277</v>
      </c>
      <c r="D3771">
        <v>345</v>
      </c>
    </row>
    <row r="3772" spans="1:4" x14ac:dyDescent="0.3">
      <c r="A3772" t="s">
        <v>35</v>
      </c>
      <c r="C3772" s="16">
        <v>46277</v>
      </c>
      <c r="D3772">
        <v>23057.24</v>
      </c>
    </row>
    <row r="3773" spans="1:4" x14ac:dyDescent="0.3">
      <c r="A3773" t="s">
        <v>193</v>
      </c>
      <c r="C3773" s="16">
        <v>46277</v>
      </c>
      <c r="D3773">
        <v>298792.34000000003</v>
      </c>
    </row>
    <row r="3774" spans="1:4" x14ac:dyDescent="0.3">
      <c r="A3774" t="s">
        <v>194</v>
      </c>
      <c r="C3774" s="16">
        <v>46277</v>
      </c>
      <c r="D3774">
        <v>28004.970000000005</v>
      </c>
    </row>
    <row r="3775" spans="1:4" x14ac:dyDescent="0.3">
      <c r="A3775" t="s">
        <v>195</v>
      </c>
      <c r="C3775" s="16">
        <v>46277</v>
      </c>
      <c r="D3775">
        <v>3631.96</v>
      </c>
    </row>
    <row r="3776" spans="1:4" x14ac:dyDescent="0.3">
      <c r="A3776" t="s">
        <v>196</v>
      </c>
      <c r="C3776" s="16">
        <v>46277</v>
      </c>
      <c r="D3776">
        <v>602.67000000000007</v>
      </c>
    </row>
    <row r="3777" spans="1:4" x14ac:dyDescent="0.3">
      <c r="A3777" t="s">
        <v>197</v>
      </c>
      <c r="C3777" s="16">
        <v>46277</v>
      </c>
      <c r="D3777">
        <v>31621.50999999998</v>
      </c>
    </row>
    <row r="3778" spans="1:4" x14ac:dyDescent="0.3">
      <c r="A3778" t="s">
        <v>198</v>
      </c>
      <c r="C3778" s="16">
        <v>46277</v>
      </c>
      <c r="D3778">
        <v>794.01</v>
      </c>
    </row>
    <row r="3779" spans="1:4" x14ac:dyDescent="0.3">
      <c r="A3779" t="s">
        <v>216</v>
      </c>
      <c r="C3779" s="16">
        <v>46277</v>
      </c>
      <c r="D3779">
        <v>5445.57</v>
      </c>
    </row>
    <row r="3780" spans="1:4" x14ac:dyDescent="0.3">
      <c r="A3780" t="s">
        <v>200</v>
      </c>
      <c r="C3780" s="16">
        <v>46277</v>
      </c>
      <c r="D3780">
        <v>2.129999999999999</v>
      </c>
    </row>
    <row r="3781" spans="1:4" x14ac:dyDescent="0.3">
      <c r="A3781" t="s">
        <v>201</v>
      </c>
      <c r="C3781" s="16">
        <v>46277</v>
      </c>
      <c r="D3781">
        <v>240458.22999999998</v>
      </c>
    </row>
    <row r="3782" spans="1:4" x14ac:dyDescent="0.3">
      <c r="A3782" t="s">
        <v>17</v>
      </c>
      <c r="C3782" s="16">
        <v>46278</v>
      </c>
      <c r="D3782">
        <v>1892967.3900000008</v>
      </c>
    </row>
    <row r="3783" spans="1:4" x14ac:dyDescent="0.3">
      <c r="A3783" t="s">
        <v>18</v>
      </c>
      <c r="C3783" s="16">
        <v>46278</v>
      </c>
      <c r="D3783">
        <v>93737.970000000176</v>
      </c>
    </row>
    <row r="3784" spans="1:4" x14ac:dyDescent="0.3">
      <c r="A3784" t="s">
        <v>19</v>
      </c>
      <c r="C3784" s="16">
        <v>46278</v>
      </c>
      <c r="D3784">
        <v>1669.89</v>
      </c>
    </row>
    <row r="3785" spans="1:4" x14ac:dyDescent="0.3">
      <c r="A3785" t="s">
        <v>20</v>
      </c>
      <c r="C3785" s="16">
        <v>46278</v>
      </c>
      <c r="D3785">
        <v>1089124.99</v>
      </c>
    </row>
    <row r="3786" spans="1:4" x14ac:dyDescent="0.3">
      <c r="A3786" t="s">
        <v>21</v>
      </c>
      <c r="C3786" s="16">
        <v>46278</v>
      </c>
      <c r="D3786">
        <v>1233789.9099999997</v>
      </c>
    </row>
    <row r="3787" spans="1:4" x14ac:dyDescent="0.3">
      <c r="A3787" t="s">
        <v>22</v>
      </c>
      <c r="C3787" s="16">
        <v>46278</v>
      </c>
      <c r="D3787">
        <v>229778.14</v>
      </c>
    </row>
    <row r="3788" spans="1:4" x14ac:dyDescent="0.3">
      <c r="A3788" t="s">
        <v>23</v>
      </c>
      <c r="C3788" s="16">
        <v>46278</v>
      </c>
      <c r="D3788">
        <v>98169.25999999998</v>
      </c>
    </row>
    <row r="3789" spans="1:4" x14ac:dyDescent="0.3">
      <c r="A3789" t="s">
        <v>24</v>
      </c>
      <c r="C3789" s="16">
        <v>46278</v>
      </c>
      <c r="D3789">
        <v>13270.02</v>
      </c>
    </row>
    <row r="3790" spans="1:4" x14ac:dyDescent="0.3">
      <c r="A3790" t="s">
        <v>25</v>
      </c>
      <c r="C3790" s="16">
        <v>46278</v>
      </c>
      <c r="D3790">
        <v>94.5</v>
      </c>
    </row>
    <row r="3791" spans="1:4" x14ac:dyDescent="0.3">
      <c r="A3791" t="s">
        <v>26</v>
      </c>
      <c r="C3791" s="16">
        <v>46278</v>
      </c>
      <c r="D3791">
        <v>2147.92</v>
      </c>
    </row>
    <row r="3792" spans="1:4" x14ac:dyDescent="0.3">
      <c r="A3792" t="s">
        <v>27</v>
      </c>
      <c r="C3792" s="16">
        <v>46278</v>
      </c>
      <c r="D3792">
        <v>18005.290000000015</v>
      </c>
    </row>
    <row r="3793" spans="1:4" x14ac:dyDescent="0.3">
      <c r="A3793" t="s">
        <v>28</v>
      </c>
      <c r="C3793" s="16">
        <v>46278</v>
      </c>
      <c r="D3793">
        <v>1968.99</v>
      </c>
    </row>
    <row r="3794" spans="1:4" x14ac:dyDescent="0.3">
      <c r="A3794" t="s">
        <v>29</v>
      </c>
      <c r="C3794" s="16">
        <v>46278</v>
      </c>
      <c r="D3794">
        <v>901.34</v>
      </c>
    </row>
    <row r="3795" spans="1:4" x14ac:dyDescent="0.3">
      <c r="A3795" t="s">
        <v>30</v>
      </c>
      <c r="C3795" s="16">
        <v>46278</v>
      </c>
      <c r="D3795">
        <v>1380.08</v>
      </c>
    </row>
    <row r="3796" spans="1:4" x14ac:dyDescent="0.3">
      <c r="A3796" t="s">
        <v>31</v>
      </c>
      <c r="C3796" s="16">
        <v>46278</v>
      </c>
      <c r="D3796">
        <v>25027.379999999961</v>
      </c>
    </row>
    <row r="3797" spans="1:4" x14ac:dyDescent="0.3">
      <c r="A3797" t="s">
        <v>32</v>
      </c>
      <c r="C3797" s="16">
        <v>46278</v>
      </c>
      <c r="D3797">
        <v>16282.630000000006</v>
      </c>
    </row>
    <row r="3798" spans="1:4" x14ac:dyDescent="0.3">
      <c r="A3798" t="s">
        <v>33</v>
      </c>
      <c r="C3798" s="16">
        <v>46278</v>
      </c>
      <c r="D3798">
        <v>13339.389999999996</v>
      </c>
    </row>
    <row r="3799" spans="1:4" x14ac:dyDescent="0.3">
      <c r="A3799" t="s">
        <v>34</v>
      </c>
      <c r="C3799" s="16">
        <v>46278</v>
      </c>
      <c r="D3799">
        <v>345</v>
      </c>
    </row>
    <row r="3800" spans="1:4" x14ac:dyDescent="0.3">
      <c r="A3800" t="s">
        <v>35</v>
      </c>
      <c r="C3800" s="16">
        <v>46278</v>
      </c>
      <c r="D3800">
        <v>23057.24</v>
      </c>
    </row>
    <row r="3801" spans="1:4" x14ac:dyDescent="0.3">
      <c r="A3801" t="s">
        <v>193</v>
      </c>
      <c r="C3801" s="16">
        <v>46278</v>
      </c>
      <c r="D3801">
        <v>298792.34000000003</v>
      </c>
    </row>
    <row r="3802" spans="1:4" x14ac:dyDescent="0.3">
      <c r="A3802" t="s">
        <v>194</v>
      </c>
      <c r="C3802" s="16">
        <v>46278</v>
      </c>
      <c r="D3802">
        <v>28004.970000000005</v>
      </c>
    </row>
    <row r="3803" spans="1:4" x14ac:dyDescent="0.3">
      <c r="A3803" t="s">
        <v>195</v>
      </c>
      <c r="C3803" s="16">
        <v>46278</v>
      </c>
      <c r="D3803">
        <v>3631.96</v>
      </c>
    </row>
    <row r="3804" spans="1:4" x14ac:dyDescent="0.3">
      <c r="A3804" t="s">
        <v>196</v>
      </c>
      <c r="C3804" s="16">
        <v>46278</v>
      </c>
      <c r="D3804">
        <v>602.67000000000007</v>
      </c>
    </row>
    <row r="3805" spans="1:4" x14ac:dyDescent="0.3">
      <c r="A3805" t="s">
        <v>197</v>
      </c>
      <c r="C3805" s="16">
        <v>46278</v>
      </c>
      <c r="D3805">
        <v>31621.50999999998</v>
      </c>
    </row>
    <row r="3806" spans="1:4" x14ac:dyDescent="0.3">
      <c r="A3806" t="s">
        <v>198</v>
      </c>
      <c r="C3806" s="16">
        <v>46278</v>
      </c>
      <c r="D3806">
        <v>794.01</v>
      </c>
    </row>
    <row r="3807" spans="1:4" x14ac:dyDescent="0.3">
      <c r="A3807" t="s">
        <v>216</v>
      </c>
      <c r="C3807" s="16">
        <v>46278</v>
      </c>
      <c r="D3807">
        <v>5445.57</v>
      </c>
    </row>
    <row r="3808" spans="1:4" x14ac:dyDescent="0.3">
      <c r="A3808" t="s">
        <v>200</v>
      </c>
      <c r="C3808" s="16">
        <v>46278</v>
      </c>
      <c r="D3808">
        <v>2.129999999999999</v>
      </c>
    </row>
    <row r="3809" spans="1:4" x14ac:dyDescent="0.3">
      <c r="A3809" t="s">
        <v>201</v>
      </c>
      <c r="C3809" s="16">
        <v>46278</v>
      </c>
      <c r="D3809">
        <v>240458.22999999998</v>
      </c>
    </row>
    <row r="3810" spans="1:4" x14ac:dyDescent="0.3">
      <c r="A3810" t="s">
        <v>17</v>
      </c>
      <c r="C3810" s="16">
        <v>46279</v>
      </c>
      <c r="D3810">
        <v>2042967.3900000008</v>
      </c>
    </row>
    <row r="3811" spans="1:4" x14ac:dyDescent="0.3">
      <c r="A3811" t="s">
        <v>18</v>
      </c>
      <c r="C3811" s="16">
        <v>46279</v>
      </c>
      <c r="D3811">
        <v>93737.970000000176</v>
      </c>
    </row>
    <row r="3812" spans="1:4" x14ac:dyDescent="0.3">
      <c r="A3812" t="s">
        <v>19</v>
      </c>
      <c r="C3812" s="16">
        <v>46279</v>
      </c>
      <c r="D3812">
        <v>1669.89</v>
      </c>
    </row>
    <row r="3813" spans="1:4" x14ac:dyDescent="0.3">
      <c r="A3813" t="s">
        <v>20</v>
      </c>
      <c r="C3813" s="16">
        <v>46279</v>
      </c>
      <c r="D3813">
        <v>1105910.26</v>
      </c>
    </row>
    <row r="3814" spans="1:4" x14ac:dyDescent="0.3">
      <c r="A3814" t="s">
        <v>21</v>
      </c>
      <c r="C3814" s="16">
        <v>46279</v>
      </c>
      <c r="D3814">
        <v>1192065.5999999996</v>
      </c>
    </row>
    <row r="3815" spans="1:4" x14ac:dyDescent="0.3">
      <c r="A3815" t="s">
        <v>22</v>
      </c>
      <c r="C3815" s="16">
        <v>46279</v>
      </c>
      <c r="D3815">
        <v>229778.14</v>
      </c>
    </row>
    <row r="3816" spans="1:4" x14ac:dyDescent="0.3">
      <c r="A3816" t="s">
        <v>23</v>
      </c>
      <c r="C3816" s="16">
        <v>46279</v>
      </c>
      <c r="D3816">
        <v>98169.25999999998</v>
      </c>
    </row>
    <row r="3817" spans="1:4" x14ac:dyDescent="0.3">
      <c r="A3817" t="s">
        <v>24</v>
      </c>
      <c r="C3817" s="16">
        <v>46279</v>
      </c>
      <c r="D3817">
        <v>13270.02</v>
      </c>
    </row>
    <row r="3818" spans="1:4" x14ac:dyDescent="0.3">
      <c r="A3818" t="s">
        <v>25</v>
      </c>
      <c r="C3818" s="16">
        <v>46279</v>
      </c>
      <c r="D3818">
        <v>94.5</v>
      </c>
    </row>
    <row r="3819" spans="1:4" x14ac:dyDescent="0.3">
      <c r="A3819" t="s">
        <v>26</v>
      </c>
      <c r="C3819" s="16">
        <v>46279</v>
      </c>
      <c r="D3819">
        <v>2147.92</v>
      </c>
    </row>
    <row r="3820" spans="1:4" x14ac:dyDescent="0.3">
      <c r="A3820" t="s">
        <v>27</v>
      </c>
      <c r="C3820" s="16">
        <v>46279</v>
      </c>
      <c r="D3820">
        <v>18005.290000000015</v>
      </c>
    </row>
    <row r="3821" spans="1:4" x14ac:dyDescent="0.3">
      <c r="A3821" t="s">
        <v>28</v>
      </c>
      <c r="C3821" s="16">
        <v>46279</v>
      </c>
      <c r="D3821">
        <v>1968.99</v>
      </c>
    </row>
    <row r="3822" spans="1:4" x14ac:dyDescent="0.3">
      <c r="A3822" t="s">
        <v>29</v>
      </c>
      <c r="C3822" s="16">
        <v>46279</v>
      </c>
      <c r="D3822">
        <v>901.34</v>
      </c>
    </row>
    <row r="3823" spans="1:4" x14ac:dyDescent="0.3">
      <c r="A3823" t="s">
        <v>30</v>
      </c>
      <c r="C3823" s="16">
        <v>46279</v>
      </c>
      <c r="D3823">
        <v>1380.08</v>
      </c>
    </row>
    <row r="3824" spans="1:4" x14ac:dyDescent="0.3">
      <c r="A3824" t="s">
        <v>31</v>
      </c>
      <c r="C3824" s="16">
        <v>46279</v>
      </c>
      <c r="D3824">
        <v>25027.379999999961</v>
      </c>
    </row>
    <row r="3825" spans="1:4" x14ac:dyDescent="0.3">
      <c r="A3825" t="s">
        <v>32</v>
      </c>
      <c r="C3825" s="16">
        <v>46279</v>
      </c>
      <c r="D3825">
        <v>16282.630000000006</v>
      </c>
    </row>
    <row r="3826" spans="1:4" x14ac:dyDescent="0.3">
      <c r="A3826" t="s">
        <v>33</v>
      </c>
      <c r="C3826" s="16">
        <v>46279</v>
      </c>
      <c r="D3826">
        <v>13685.999999999996</v>
      </c>
    </row>
    <row r="3827" spans="1:4" x14ac:dyDescent="0.3">
      <c r="A3827" t="s">
        <v>34</v>
      </c>
      <c r="C3827" s="16">
        <v>46279</v>
      </c>
      <c r="D3827">
        <v>345</v>
      </c>
    </row>
    <row r="3828" spans="1:4" x14ac:dyDescent="0.3">
      <c r="A3828" t="s">
        <v>35</v>
      </c>
      <c r="C3828" s="16">
        <v>46279</v>
      </c>
      <c r="D3828">
        <v>16762.45</v>
      </c>
    </row>
    <row r="3829" spans="1:4" x14ac:dyDescent="0.3">
      <c r="A3829" t="s">
        <v>193</v>
      </c>
      <c r="C3829" s="16">
        <v>46279</v>
      </c>
      <c r="D3829">
        <v>298792.34000000003</v>
      </c>
    </row>
    <row r="3830" spans="1:4" x14ac:dyDescent="0.3">
      <c r="A3830" t="s">
        <v>194</v>
      </c>
      <c r="C3830" s="16">
        <v>46279</v>
      </c>
      <c r="D3830">
        <v>26893.080000000005</v>
      </c>
    </row>
    <row r="3831" spans="1:4" x14ac:dyDescent="0.3">
      <c r="A3831" t="s">
        <v>195</v>
      </c>
      <c r="C3831" s="16">
        <v>46279</v>
      </c>
      <c r="D3831">
        <v>3631.96</v>
      </c>
    </row>
    <row r="3832" spans="1:4" x14ac:dyDescent="0.3">
      <c r="A3832" t="s">
        <v>196</v>
      </c>
      <c r="C3832" s="16">
        <v>46279</v>
      </c>
      <c r="D3832">
        <v>602.67000000000007</v>
      </c>
    </row>
    <row r="3833" spans="1:4" x14ac:dyDescent="0.3">
      <c r="A3833" t="s">
        <v>197</v>
      </c>
      <c r="C3833" s="16">
        <v>46279</v>
      </c>
      <c r="D3833">
        <v>31107.189999999981</v>
      </c>
    </row>
    <row r="3834" spans="1:4" x14ac:dyDescent="0.3">
      <c r="A3834" t="s">
        <v>198</v>
      </c>
      <c r="C3834" s="16">
        <v>46279</v>
      </c>
      <c r="D3834">
        <v>794.01</v>
      </c>
    </row>
    <row r="3835" spans="1:4" x14ac:dyDescent="0.3">
      <c r="A3835" t="s">
        <v>216</v>
      </c>
      <c r="C3835" s="16">
        <v>46279</v>
      </c>
      <c r="D3835">
        <v>5445.57</v>
      </c>
    </row>
    <row r="3836" spans="1:4" x14ac:dyDescent="0.3">
      <c r="A3836" t="s">
        <v>200</v>
      </c>
      <c r="C3836" s="16">
        <v>46279</v>
      </c>
      <c r="D3836">
        <v>2.129999999999999</v>
      </c>
    </row>
    <row r="3837" spans="1:4" x14ac:dyDescent="0.3">
      <c r="A3837" t="s">
        <v>201</v>
      </c>
      <c r="C3837" s="16">
        <v>46279</v>
      </c>
      <c r="D3837">
        <v>240356.58</v>
      </c>
    </row>
    <row r="3838" spans="1:4" x14ac:dyDescent="0.3">
      <c r="A3838" t="s">
        <v>17</v>
      </c>
      <c r="C3838" s="16">
        <v>46280</v>
      </c>
      <c r="D3838">
        <v>2042967.3900000008</v>
      </c>
    </row>
    <row r="3839" spans="1:4" x14ac:dyDescent="0.3">
      <c r="A3839" t="s">
        <v>18</v>
      </c>
      <c r="C3839" s="16">
        <v>46280</v>
      </c>
      <c r="D3839">
        <v>100486.46000000017</v>
      </c>
    </row>
    <row r="3840" spans="1:4" x14ac:dyDescent="0.3">
      <c r="A3840" t="s">
        <v>19</v>
      </c>
      <c r="C3840" s="16">
        <v>46280</v>
      </c>
      <c r="D3840">
        <v>1669.89</v>
      </c>
    </row>
    <row r="3841" spans="1:4" x14ac:dyDescent="0.3">
      <c r="A3841" t="s">
        <v>20</v>
      </c>
      <c r="C3841" s="16">
        <v>46280</v>
      </c>
      <c r="D3841">
        <v>1105534.6399999999</v>
      </c>
    </row>
    <row r="3842" spans="1:4" x14ac:dyDescent="0.3">
      <c r="A3842" t="s">
        <v>21</v>
      </c>
      <c r="C3842" s="16">
        <v>46280</v>
      </c>
      <c r="D3842">
        <v>1192036.1899999995</v>
      </c>
    </row>
    <row r="3843" spans="1:4" x14ac:dyDescent="0.3">
      <c r="A3843" t="s">
        <v>22</v>
      </c>
      <c r="C3843" s="16">
        <v>46280</v>
      </c>
      <c r="D3843">
        <v>229778.14</v>
      </c>
    </row>
    <row r="3844" spans="1:4" x14ac:dyDescent="0.3">
      <c r="A3844" t="s">
        <v>23</v>
      </c>
      <c r="C3844" s="16">
        <v>46280</v>
      </c>
      <c r="D3844">
        <v>98169.25999999998</v>
      </c>
    </row>
    <row r="3845" spans="1:4" x14ac:dyDescent="0.3">
      <c r="A3845" t="s">
        <v>24</v>
      </c>
      <c r="C3845" s="16">
        <v>46280</v>
      </c>
      <c r="D3845">
        <v>13270.02</v>
      </c>
    </row>
    <row r="3846" spans="1:4" x14ac:dyDescent="0.3">
      <c r="A3846" t="s">
        <v>25</v>
      </c>
      <c r="C3846" s="16">
        <v>46280</v>
      </c>
      <c r="D3846">
        <v>94.5</v>
      </c>
    </row>
    <row r="3847" spans="1:4" x14ac:dyDescent="0.3">
      <c r="A3847" t="s">
        <v>26</v>
      </c>
      <c r="C3847" s="16">
        <v>46280</v>
      </c>
      <c r="D3847">
        <v>2147.92</v>
      </c>
    </row>
    <row r="3848" spans="1:4" x14ac:dyDescent="0.3">
      <c r="A3848" t="s">
        <v>27</v>
      </c>
      <c r="C3848" s="16">
        <v>46280</v>
      </c>
      <c r="D3848">
        <v>18005.290000000015</v>
      </c>
    </row>
    <row r="3849" spans="1:4" x14ac:dyDescent="0.3">
      <c r="A3849" t="s">
        <v>28</v>
      </c>
      <c r="C3849" s="16">
        <v>46280</v>
      </c>
      <c r="D3849">
        <v>1968.99</v>
      </c>
    </row>
    <row r="3850" spans="1:4" x14ac:dyDescent="0.3">
      <c r="A3850" t="s">
        <v>29</v>
      </c>
      <c r="C3850" s="16">
        <v>46280</v>
      </c>
      <c r="D3850">
        <v>901.34</v>
      </c>
    </row>
    <row r="3851" spans="1:4" x14ac:dyDescent="0.3">
      <c r="A3851" t="s">
        <v>30</v>
      </c>
      <c r="C3851" s="16">
        <v>46280</v>
      </c>
      <c r="D3851">
        <v>1380.08</v>
      </c>
    </row>
    <row r="3852" spans="1:4" x14ac:dyDescent="0.3">
      <c r="A3852" t="s">
        <v>31</v>
      </c>
      <c r="C3852" s="16">
        <v>46280</v>
      </c>
      <c r="D3852">
        <v>25027.379999999961</v>
      </c>
    </row>
    <row r="3853" spans="1:4" x14ac:dyDescent="0.3">
      <c r="A3853" t="s">
        <v>32</v>
      </c>
      <c r="C3853" s="16">
        <v>46280</v>
      </c>
      <c r="D3853">
        <v>16282.630000000006</v>
      </c>
    </row>
    <row r="3854" spans="1:4" x14ac:dyDescent="0.3">
      <c r="A3854" t="s">
        <v>33</v>
      </c>
      <c r="C3854" s="16">
        <v>46280</v>
      </c>
      <c r="D3854">
        <v>13685.999999999996</v>
      </c>
    </row>
    <row r="3855" spans="1:4" x14ac:dyDescent="0.3">
      <c r="A3855" t="s">
        <v>34</v>
      </c>
      <c r="C3855" s="16">
        <v>46280</v>
      </c>
      <c r="D3855">
        <v>345</v>
      </c>
    </row>
    <row r="3856" spans="1:4" x14ac:dyDescent="0.3">
      <c r="A3856" t="s">
        <v>35</v>
      </c>
      <c r="C3856" s="16">
        <v>46280</v>
      </c>
      <c r="D3856">
        <v>16587.45</v>
      </c>
    </row>
    <row r="3857" spans="1:4" x14ac:dyDescent="0.3">
      <c r="A3857" t="s">
        <v>193</v>
      </c>
      <c r="C3857" s="16">
        <v>46280</v>
      </c>
      <c r="D3857">
        <v>298792.34000000003</v>
      </c>
    </row>
    <row r="3858" spans="1:4" x14ac:dyDescent="0.3">
      <c r="A3858" t="s">
        <v>194</v>
      </c>
      <c r="C3858" s="16">
        <v>46280</v>
      </c>
      <c r="D3858">
        <v>26893.080000000005</v>
      </c>
    </row>
    <row r="3859" spans="1:4" x14ac:dyDescent="0.3">
      <c r="A3859" t="s">
        <v>195</v>
      </c>
      <c r="C3859" s="16">
        <v>46280</v>
      </c>
      <c r="D3859">
        <v>3631.96</v>
      </c>
    </row>
    <row r="3860" spans="1:4" x14ac:dyDescent="0.3">
      <c r="A3860" t="s">
        <v>196</v>
      </c>
      <c r="C3860" s="16">
        <v>46280</v>
      </c>
      <c r="D3860">
        <v>602.67000000000007</v>
      </c>
    </row>
    <row r="3861" spans="1:4" x14ac:dyDescent="0.3">
      <c r="A3861" t="s">
        <v>197</v>
      </c>
      <c r="C3861" s="16">
        <v>46280</v>
      </c>
      <c r="D3861">
        <v>30592.869999999981</v>
      </c>
    </row>
    <row r="3862" spans="1:4" x14ac:dyDescent="0.3">
      <c r="A3862" t="s">
        <v>198</v>
      </c>
      <c r="C3862" s="16">
        <v>46280</v>
      </c>
      <c r="D3862">
        <v>794.01</v>
      </c>
    </row>
    <row r="3863" spans="1:4" x14ac:dyDescent="0.3">
      <c r="A3863" t="s">
        <v>216</v>
      </c>
      <c r="C3863" s="16">
        <v>46280</v>
      </c>
      <c r="D3863">
        <v>5445.57</v>
      </c>
    </row>
    <row r="3864" spans="1:4" x14ac:dyDescent="0.3">
      <c r="A3864" t="s">
        <v>200</v>
      </c>
      <c r="C3864" s="16">
        <v>46280</v>
      </c>
      <c r="D3864">
        <v>2.129999999999999</v>
      </c>
    </row>
    <row r="3865" spans="1:4" x14ac:dyDescent="0.3">
      <c r="A3865" t="s">
        <v>201</v>
      </c>
      <c r="C3865" s="16">
        <v>46280</v>
      </c>
      <c r="D3865">
        <v>240356.58</v>
      </c>
    </row>
    <row r="3866" spans="1:4" x14ac:dyDescent="0.3">
      <c r="A3866" t="s">
        <v>17</v>
      </c>
      <c r="C3866" s="16">
        <v>46281</v>
      </c>
      <c r="D3866">
        <v>2042967.3900000008</v>
      </c>
    </row>
    <row r="3867" spans="1:4" x14ac:dyDescent="0.3">
      <c r="A3867" t="s">
        <v>18</v>
      </c>
      <c r="C3867" s="16">
        <v>46281</v>
      </c>
      <c r="D3867">
        <v>100486.46000000017</v>
      </c>
    </row>
    <row r="3868" spans="1:4" x14ac:dyDescent="0.3">
      <c r="A3868" t="s">
        <v>19</v>
      </c>
      <c r="C3868" s="16">
        <v>46281</v>
      </c>
      <c r="D3868">
        <v>1669.89</v>
      </c>
    </row>
    <row r="3869" spans="1:4" x14ac:dyDescent="0.3">
      <c r="A3869" t="s">
        <v>20</v>
      </c>
      <c r="C3869" s="16">
        <v>46281</v>
      </c>
      <c r="D3869">
        <v>1105534.6399999999</v>
      </c>
    </row>
    <row r="3870" spans="1:4" x14ac:dyDescent="0.3">
      <c r="A3870" t="s">
        <v>21</v>
      </c>
      <c r="C3870" s="16">
        <v>46281</v>
      </c>
      <c r="D3870">
        <v>1189545.8299999996</v>
      </c>
    </row>
    <row r="3871" spans="1:4" x14ac:dyDescent="0.3">
      <c r="A3871" t="s">
        <v>22</v>
      </c>
      <c r="C3871" s="16">
        <v>46281</v>
      </c>
      <c r="D3871">
        <v>229778.14</v>
      </c>
    </row>
    <row r="3872" spans="1:4" x14ac:dyDescent="0.3">
      <c r="A3872" t="s">
        <v>23</v>
      </c>
      <c r="C3872" s="16">
        <v>46281</v>
      </c>
      <c r="D3872">
        <v>98169.25999999998</v>
      </c>
    </row>
    <row r="3873" spans="1:4" x14ac:dyDescent="0.3">
      <c r="A3873" t="s">
        <v>24</v>
      </c>
      <c r="C3873" s="16">
        <v>46281</v>
      </c>
      <c r="D3873">
        <v>13270.02</v>
      </c>
    </row>
    <row r="3874" spans="1:4" x14ac:dyDescent="0.3">
      <c r="A3874" t="s">
        <v>25</v>
      </c>
      <c r="C3874" s="16">
        <v>46281</v>
      </c>
      <c r="D3874">
        <v>94.5</v>
      </c>
    </row>
    <row r="3875" spans="1:4" x14ac:dyDescent="0.3">
      <c r="A3875" t="s">
        <v>26</v>
      </c>
      <c r="C3875" s="16">
        <v>46281</v>
      </c>
      <c r="D3875">
        <v>2147.92</v>
      </c>
    </row>
    <row r="3876" spans="1:4" x14ac:dyDescent="0.3">
      <c r="A3876" t="s">
        <v>27</v>
      </c>
      <c r="C3876" s="16">
        <v>46281</v>
      </c>
      <c r="D3876">
        <v>18005.290000000015</v>
      </c>
    </row>
    <row r="3877" spans="1:4" x14ac:dyDescent="0.3">
      <c r="A3877" t="s">
        <v>28</v>
      </c>
      <c r="C3877" s="16">
        <v>46281</v>
      </c>
      <c r="D3877">
        <v>1968.99</v>
      </c>
    </row>
    <row r="3878" spans="1:4" x14ac:dyDescent="0.3">
      <c r="A3878" t="s">
        <v>29</v>
      </c>
      <c r="C3878" s="16">
        <v>46281</v>
      </c>
      <c r="D3878">
        <v>901.34</v>
      </c>
    </row>
    <row r="3879" spans="1:4" x14ac:dyDescent="0.3">
      <c r="A3879" t="s">
        <v>30</v>
      </c>
      <c r="C3879" s="16">
        <v>46281</v>
      </c>
      <c r="D3879">
        <v>1380.08</v>
      </c>
    </row>
    <row r="3880" spans="1:4" x14ac:dyDescent="0.3">
      <c r="A3880" t="s">
        <v>31</v>
      </c>
      <c r="C3880" s="16">
        <v>46281</v>
      </c>
      <c r="D3880">
        <v>25027.379999999961</v>
      </c>
    </row>
    <row r="3881" spans="1:4" x14ac:dyDescent="0.3">
      <c r="A3881" t="s">
        <v>32</v>
      </c>
      <c r="C3881" s="16">
        <v>46281</v>
      </c>
      <c r="D3881">
        <v>16282.630000000006</v>
      </c>
    </row>
    <row r="3882" spans="1:4" x14ac:dyDescent="0.3">
      <c r="A3882" t="s">
        <v>33</v>
      </c>
      <c r="C3882" s="16">
        <v>46281</v>
      </c>
      <c r="D3882">
        <v>13685.999999999996</v>
      </c>
    </row>
    <row r="3883" spans="1:4" x14ac:dyDescent="0.3">
      <c r="A3883" t="s">
        <v>34</v>
      </c>
      <c r="C3883" s="16">
        <v>46281</v>
      </c>
      <c r="D3883">
        <v>345</v>
      </c>
    </row>
    <row r="3884" spans="1:4" x14ac:dyDescent="0.3">
      <c r="A3884" t="s">
        <v>35</v>
      </c>
      <c r="C3884" s="16">
        <v>46281</v>
      </c>
      <c r="D3884">
        <v>16384.45</v>
      </c>
    </row>
    <row r="3885" spans="1:4" x14ac:dyDescent="0.3">
      <c r="A3885" t="s">
        <v>193</v>
      </c>
      <c r="C3885" s="16">
        <v>46281</v>
      </c>
      <c r="D3885">
        <v>298792.34000000003</v>
      </c>
    </row>
    <row r="3886" spans="1:4" x14ac:dyDescent="0.3">
      <c r="A3886" t="s">
        <v>194</v>
      </c>
      <c r="C3886" s="16">
        <v>46281</v>
      </c>
      <c r="D3886">
        <v>26893.080000000005</v>
      </c>
    </row>
    <row r="3887" spans="1:4" x14ac:dyDescent="0.3">
      <c r="A3887" t="s">
        <v>195</v>
      </c>
      <c r="C3887" s="16">
        <v>46281</v>
      </c>
      <c r="D3887">
        <v>3631.96</v>
      </c>
    </row>
    <row r="3888" spans="1:4" x14ac:dyDescent="0.3">
      <c r="A3888" t="s">
        <v>196</v>
      </c>
      <c r="C3888" s="16">
        <v>46281</v>
      </c>
      <c r="D3888">
        <v>602.67000000000007</v>
      </c>
    </row>
    <row r="3889" spans="1:4" x14ac:dyDescent="0.3">
      <c r="A3889" t="s">
        <v>197</v>
      </c>
      <c r="C3889" s="16">
        <v>46281</v>
      </c>
      <c r="D3889">
        <v>29877.869999999981</v>
      </c>
    </row>
    <row r="3890" spans="1:4" x14ac:dyDescent="0.3">
      <c r="A3890" t="s">
        <v>198</v>
      </c>
      <c r="C3890" s="16">
        <v>46281</v>
      </c>
      <c r="D3890">
        <v>794.01</v>
      </c>
    </row>
    <row r="3891" spans="1:4" x14ac:dyDescent="0.3">
      <c r="A3891" t="s">
        <v>216</v>
      </c>
      <c r="C3891" s="16">
        <v>46281</v>
      </c>
      <c r="D3891">
        <v>5445.57</v>
      </c>
    </row>
    <row r="3892" spans="1:4" x14ac:dyDescent="0.3">
      <c r="A3892" t="s">
        <v>200</v>
      </c>
      <c r="C3892" s="16">
        <v>46281</v>
      </c>
      <c r="D3892">
        <v>2.129999999999999</v>
      </c>
    </row>
    <row r="3893" spans="1:4" x14ac:dyDescent="0.3">
      <c r="A3893" t="s">
        <v>201</v>
      </c>
      <c r="C3893" s="16">
        <v>46281</v>
      </c>
      <c r="D3893">
        <v>240356.58</v>
      </c>
    </row>
    <row r="3894" spans="1:4" x14ac:dyDescent="0.3">
      <c r="A3894" t="s">
        <v>17</v>
      </c>
      <c r="C3894" s="16">
        <v>46282</v>
      </c>
      <c r="D3894">
        <v>1912339.0500000007</v>
      </c>
    </row>
    <row r="3895" spans="1:4" x14ac:dyDescent="0.3">
      <c r="A3895" t="s">
        <v>18</v>
      </c>
      <c r="C3895" s="16">
        <v>46282</v>
      </c>
      <c r="D3895">
        <v>100486.46000000017</v>
      </c>
    </row>
    <row r="3896" spans="1:4" x14ac:dyDescent="0.3">
      <c r="A3896" t="s">
        <v>19</v>
      </c>
      <c r="C3896" s="16">
        <v>46282</v>
      </c>
      <c r="D3896">
        <v>1669.89</v>
      </c>
    </row>
    <row r="3897" spans="1:4" x14ac:dyDescent="0.3">
      <c r="A3897" t="s">
        <v>20</v>
      </c>
      <c r="C3897" s="16">
        <v>46282</v>
      </c>
      <c r="D3897">
        <v>975534.6399999999</v>
      </c>
    </row>
    <row r="3898" spans="1:4" x14ac:dyDescent="0.3">
      <c r="A3898" t="s">
        <v>21</v>
      </c>
      <c r="C3898" s="16">
        <v>46282</v>
      </c>
      <c r="D3898">
        <v>1070754.1599999997</v>
      </c>
    </row>
    <row r="3899" spans="1:4" x14ac:dyDescent="0.3">
      <c r="A3899" t="s">
        <v>22</v>
      </c>
      <c r="C3899" s="16">
        <v>46282</v>
      </c>
      <c r="D3899">
        <v>229778.14</v>
      </c>
    </row>
    <row r="3900" spans="1:4" x14ac:dyDescent="0.3">
      <c r="A3900" t="s">
        <v>23</v>
      </c>
      <c r="C3900" s="16">
        <v>46282</v>
      </c>
      <c r="D3900">
        <v>98169.25999999998</v>
      </c>
    </row>
    <row r="3901" spans="1:4" x14ac:dyDescent="0.3">
      <c r="A3901" t="s">
        <v>24</v>
      </c>
      <c r="C3901" s="16">
        <v>46282</v>
      </c>
      <c r="D3901">
        <v>13270.02</v>
      </c>
    </row>
    <row r="3902" spans="1:4" x14ac:dyDescent="0.3">
      <c r="A3902" t="s">
        <v>25</v>
      </c>
      <c r="C3902" s="16">
        <v>46282</v>
      </c>
      <c r="D3902">
        <v>94.5</v>
      </c>
    </row>
    <row r="3903" spans="1:4" x14ac:dyDescent="0.3">
      <c r="A3903" t="s">
        <v>26</v>
      </c>
      <c r="C3903" s="16">
        <v>46282</v>
      </c>
      <c r="D3903">
        <v>2147.92</v>
      </c>
    </row>
    <row r="3904" spans="1:4" x14ac:dyDescent="0.3">
      <c r="A3904" t="s">
        <v>27</v>
      </c>
      <c r="C3904" s="16">
        <v>46282</v>
      </c>
      <c r="D3904">
        <v>18005.290000000015</v>
      </c>
    </row>
    <row r="3905" spans="1:4" x14ac:dyDescent="0.3">
      <c r="A3905" t="s">
        <v>28</v>
      </c>
      <c r="C3905" s="16">
        <v>46282</v>
      </c>
      <c r="D3905">
        <v>1968.99</v>
      </c>
    </row>
    <row r="3906" spans="1:4" x14ac:dyDescent="0.3">
      <c r="A3906" t="s">
        <v>29</v>
      </c>
      <c r="C3906" s="16">
        <v>46282</v>
      </c>
      <c r="D3906">
        <v>901.34</v>
      </c>
    </row>
    <row r="3907" spans="1:4" x14ac:dyDescent="0.3">
      <c r="A3907" t="s">
        <v>30</v>
      </c>
      <c r="C3907" s="16">
        <v>46282</v>
      </c>
      <c r="D3907">
        <v>1380.08</v>
      </c>
    </row>
    <row r="3908" spans="1:4" x14ac:dyDescent="0.3">
      <c r="A3908" t="s">
        <v>31</v>
      </c>
      <c r="C3908" s="16">
        <v>46282</v>
      </c>
      <c r="D3908">
        <v>25027.379999999961</v>
      </c>
    </row>
    <row r="3909" spans="1:4" x14ac:dyDescent="0.3">
      <c r="A3909" t="s">
        <v>32</v>
      </c>
      <c r="C3909" s="16">
        <v>46282</v>
      </c>
      <c r="D3909">
        <v>16282.630000000006</v>
      </c>
    </row>
    <row r="3910" spans="1:4" x14ac:dyDescent="0.3">
      <c r="A3910" t="s">
        <v>33</v>
      </c>
      <c r="C3910" s="16">
        <v>46282</v>
      </c>
      <c r="D3910">
        <v>13685.999999999996</v>
      </c>
    </row>
    <row r="3911" spans="1:4" x14ac:dyDescent="0.3">
      <c r="A3911" t="s">
        <v>34</v>
      </c>
      <c r="C3911" s="16">
        <v>46282</v>
      </c>
      <c r="D3911">
        <v>345</v>
      </c>
    </row>
    <row r="3912" spans="1:4" x14ac:dyDescent="0.3">
      <c r="A3912" t="s">
        <v>35</v>
      </c>
      <c r="C3912" s="16">
        <v>46282</v>
      </c>
      <c r="D3912">
        <v>16164.440000000002</v>
      </c>
    </row>
    <row r="3913" spans="1:4" x14ac:dyDescent="0.3">
      <c r="A3913" t="s">
        <v>193</v>
      </c>
      <c r="C3913" s="16">
        <v>46282</v>
      </c>
      <c r="D3913">
        <v>312415.12000000005</v>
      </c>
    </row>
    <row r="3914" spans="1:4" x14ac:dyDescent="0.3">
      <c r="A3914" t="s">
        <v>194</v>
      </c>
      <c r="C3914" s="16">
        <v>46282</v>
      </c>
      <c r="D3914">
        <v>17125.350000000006</v>
      </c>
    </row>
    <row r="3915" spans="1:4" x14ac:dyDescent="0.3">
      <c r="A3915" t="s">
        <v>195</v>
      </c>
      <c r="C3915" s="16">
        <v>46282</v>
      </c>
      <c r="D3915">
        <v>3631.96</v>
      </c>
    </row>
    <row r="3916" spans="1:4" x14ac:dyDescent="0.3">
      <c r="A3916" t="s">
        <v>196</v>
      </c>
      <c r="C3916" s="16">
        <v>46282</v>
      </c>
      <c r="D3916">
        <v>602.67000000000007</v>
      </c>
    </row>
    <row r="3917" spans="1:4" x14ac:dyDescent="0.3">
      <c r="A3917" t="s">
        <v>197</v>
      </c>
      <c r="C3917" s="16">
        <v>46282</v>
      </c>
      <c r="D3917">
        <v>26755.729999999981</v>
      </c>
    </row>
    <row r="3918" spans="1:4" x14ac:dyDescent="0.3">
      <c r="A3918" t="s">
        <v>198</v>
      </c>
      <c r="C3918" s="16">
        <v>46282</v>
      </c>
      <c r="D3918">
        <v>794.01</v>
      </c>
    </row>
    <row r="3919" spans="1:4" x14ac:dyDescent="0.3">
      <c r="A3919" t="s">
        <v>216</v>
      </c>
      <c r="C3919" s="16">
        <v>46282</v>
      </c>
      <c r="D3919">
        <v>5445.57</v>
      </c>
    </row>
    <row r="3920" spans="1:4" x14ac:dyDescent="0.3">
      <c r="A3920" t="s">
        <v>200</v>
      </c>
      <c r="C3920" s="16">
        <v>46282</v>
      </c>
      <c r="D3920">
        <v>2.129999999999999</v>
      </c>
    </row>
    <row r="3921" spans="1:4" x14ac:dyDescent="0.3">
      <c r="A3921" t="s">
        <v>201</v>
      </c>
      <c r="C3921" s="16">
        <v>46282</v>
      </c>
      <c r="D3921">
        <v>240356.58</v>
      </c>
    </row>
    <row r="3922" spans="1:4" x14ac:dyDescent="0.3">
      <c r="A3922" t="s">
        <v>17</v>
      </c>
      <c r="C3922" s="16">
        <v>46283</v>
      </c>
      <c r="D3922">
        <v>2322339.0500000007</v>
      </c>
    </row>
    <row r="3923" spans="1:4" x14ac:dyDescent="0.3">
      <c r="A3923" t="s">
        <v>18</v>
      </c>
      <c r="C3923" s="16">
        <v>46283</v>
      </c>
      <c r="D3923">
        <v>100486.46000000017</v>
      </c>
    </row>
    <row r="3924" spans="1:4" x14ac:dyDescent="0.3">
      <c r="A3924" t="s">
        <v>19</v>
      </c>
      <c r="C3924" s="16">
        <v>46283</v>
      </c>
      <c r="D3924">
        <v>1669.89</v>
      </c>
    </row>
    <row r="3925" spans="1:4" x14ac:dyDescent="0.3">
      <c r="A3925" t="s">
        <v>20</v>
      </c>
      <c r="C3925" s="16">
        <v>46283</v>
      </c>
      <c r="D3925">
        <v>1425534.64</v>
      </c>
    </row>
    <row r="3926" spans="1:4" x14ac:dyDescent="0.3">
      <c r="A3926" t="s">
        <v>21</v>
      </c>
      <c r="C3926" s="16">
        <v>46283</v>
      </c>
      <c r="D3926">
        <v>1070587.4999999995</v>
      </c>
    </row>
    <row r="3927" spans="1:4" x14ac:dyDescent="0.3">
      <c r="A3927" t="s">
        <v>22</v>
      </c>
      <c r="C3927" s="16">
        <v>46283</v>
      </c>
      <c r="D3927">
        <v>229778.14</v>
      </c>
    </row>
    <row r="3928" spans="1:4" x14ac:dyDescent="0.3">
      <c r="A3928" t="s">
        <v>23</v>
      </c>
      <c r="C3928" s="16">
        <v>46283</v>
      </c>
      <c r="D3928">
        <v>98169.25999999998</v>
      </c>
    </row>
    <row r="3929" spans="1:4" x14ac:dyDescent="0.3">
      <c r="A3929" t="s">
        <v>24</v>
      </c>
      <c r="C3929" s="16">
        <v>46283</v>
      </c>
      <c r="D3929">
        <v>13270.02</v>
      </c>
    </row>
    <row r="3930" spans="1:4" x14ac:dyDescent="0.3">
      <c r="A3930" t="s">
        <v>25</v>
      </c>
      <c r="C3930" s="16">
        <v>46283</v>
      </c>
      <c r="D3930">
        <v>94.5</v>
      </c>
    </row>
    <row r="3931" spans="1:4" x14ac:dyDescent="0.3">
      <c r="A3931" t="s">
        <v>26</v>
      </c>
      <c r="C3931" s="16">
        <v>46283</v>
      </c>
      <c r="D3931">
        <v>2147.92</v>
      </c>
    </row>
    <row r="3932" spans="1:4" x14ac:dyDescent="0.3">
      <c r="A3932" t="s">
        <v>27</v>
      </c>
      <c r="C3932" s="16">
        <v>46283</v>
      </c>
      <c r="D3932">
        <v>18005.290000000015</v>
      </c>
    </row>
    <row r="3933" spans="1:4" x14ac:dyDescent="0.3">
      <c r="A3933" t="s">
        <v>28</v>
      </c>
      <c r="C3933" s="16">
        <v>46283</v>
      </c>
      <c r="D3933">
        <v>1968.99</v>
      </c>
    </row>
    <row r="3934" spans="1:4" x14ac:dyDescent="0.3">
      <c r="A3934" t="s">
        <v>29</v>
      </c>
      <c r="C3934" s="16">
        <v>46283</v>
      </c>
      <c r="D3934">
        <v>901.34</v>
      </c>
    </row>
    <row r="3935" spans="1:4" x14ac:dyDescent="0.3">
      <c r="A3935" t="s">
        <v>30</v>
      </c>
      <c r="C3935" s="16">
        <v>46283</v>
      </c>
      <c r="D3935">
        <v>1380.08</v>
      </c>
    </row>
    <row r="3936" spans="1:4" x14ac:dyDescent="0.3">
      <c r="A3936" t="s">
        <v>31</v>
      </c>
      <c r="C3936" s="16">
        <v>46283</v>
      </c>
      <c r="D3936">
        <v>30277.379999999961</v>
      </c>
    </row>
    <row r="3937" spans="1:4" x14ac:dyDescent="0.3">
      <c r="A3937" t="s">
        <v>32</v>
      </c>
      <c r="C3937" s="16">
        <v>46283</v>
      </c>
      <c r="D3937">
        <v>16282.630000000006</v>
      </c>
    </row>
    <row r="3938" spans="1:4" x14ac:dyDescent="0.3">
      <c r="A3938" t="s">
        <v>33</v>
      </c>
      <c r="C3938" s="16">
        <v>46283</v>
      </c>
      <c r="D3938">
        <v>13685.999999999996</v>
      </c>
    </row>
    <row r="3939" spans="1:4" x14ac:dyDescent="0.3">
      <c r="A3939" t="s">
        <v>34</v>
      </c>
      <c r="C3939" s="16">
        <v>46283</v>
      </c>
      <c r="D3939">
        <v>345</v>
      </c>
    </row>
    <row r="3940" spans="1:4" x14ac:dyDescent="0.3">
      <c r="A3940" t="s">
        <v>35</v>
      </c>
      <c r="C3940" s="16">
        <v>46283</v>
      </c>
      <c r="D3940">
        <v>16164.440000000002</v>
      </c>
    </row>
    <row r="3941" spans="1:4" x14ac:dyDescent="0.3">
      <c r="A3941" t="s">
        <v>193</v>
      </c>
      <c r="C3941" s="16">
        <v>46283</v>
      </c>
      <c r="D3941">
        <v>312415.12000000005</v>
      </c>
    </row>
    <row r="3942" spans="1:4" x14ac:dyDescent="0.3">
      <c r="A3942" t="s">
        <v>194</v>
      </c>
      <c r="C3942" s="16">
        <v>46283</v>
      </c>
      <c r="D3942">
        <v>103560.93000000001</v>
      </c>
    </row>
    <row r="3943" spans="1:4" x14ac:dyDescent="0.3">
      <c r="A3943" t="s">
        <v>195</v>
      </c>
      <c r="C3943" s="16">
        <v>46283</v>
      </c>
      <c r="D3943">
        <v>3631.96</v>
      </c>
    </row>
    <row r="3944" spans="1:4" x14ac:dyDescent="0.3">
      <c r="A3944" t="s">
        <v>196</v>
      </c>
      <c r="C3944" s="16">
        <v>46283</v>
      </c>
      <c r="D3944">
        <v>602.67000000000007</v>
      </c>
    </row>
    <row r="3945" spans="1:4" x14ac:dyDescent="0.3">
      <c r="A3945" t="s">
        <v>197</v>
      </c>
      <c r="C3945" s="16">
        <v>46283</v>
      </c>
      <c r="D3945">
        <v>26755.729999999981</v>
      </c>
    </row>
    <row r="3946" spans="1:4" x14ac:dyDescent="0.3">
      <c r="A3946" t="s">
        <v>198</v>
      </c>
      <c r="C3946" s="16">
        <v>46283</v>
      </c>
      <c r="D3946">
        <v>794.01</v>
      </c>
    </row>
    <row r="3947" spans="1:4" x14ac:dyDescent="0.3">
      <c r="A3947" t="s">
        <v>216</v>
      </c>
      <c r="C3947" s="16">
        <v>46283</v>
      </c>
      <c r="D3947">
        <v>5445.57</v>
      </c>
    </row>
    <row r="3948" spans="1:4" x14ac:dyDescent="0.3">
      <c r="A3948" t="s">
        <v>200</v>
      </c>
      <c r="C3948" s="16">
        <v>46283</v>
      </c>
      <c r="D3948">
        <v>2.129999999999999</v>
      </c>
    </row>
    <row r="3949" spans="1:4" x14ac:dyDescent="0.3">
      <c r="A3949" t="s">
        <v>201</v>
      </c>
      <c r="C3949" s="16">
        <v>46283</v>
      </c>
      <c r="D3949">
        <v>240356.58</v>
      </c>
    </row>
    <row r="3950" spans="1:4" x14ac:dyDescent="0.3">
      <c r="A3950" t="s">
        <v>17</v>
      </c>
      <c r="C3950" s="16">
        <v>46284</v>
      </c>
      <c r="D3950">
        <v>2322339.0500000007</v>
      </c>
    </row>
    <row r="3951" spans="1:4" x14ac:dyDescent="0.3">
      <c r="A3951" t="s">
        <v>18</v>
      </c>
      <c r="C3951" s="16">
        <v>46284</v>
      </c>
      <c r="D3951">
        <v>100486.46000000017</v>
      </c>
    </row>
    <row r="3952" spans="1:4" x14ac:dyDescent="0.3">
      <c r="A3952" t="s">
        <v>19</v>
      </c>
      <c r="C3952" s="16">
        <v>46284</v>
      </c>
      <c r="D3952">
        <v>1669.89</v>
      </c>
    </row>
    <row r="3953" spans="1:4" x14ac:dyDescent="0.3">
      <c r="A3953" t="s">
        <v>20</v>
      </c>
      <c r="C3953" s="16">
        <v>46284</v>
      </c>
      <c r="D3953">
        <v>1425534.64</v>
      </c>
    </row>
    <row r="3954" spans="1:4" x14ac:dyDescent="0.3">
      <c r="A3954" t="s">
        <v>21</v>
      </c>
      <c r="C3954" s="16">
        <v>46284</v>
      </c>
      <c r="D3954">
        <v>1070587.4999999995</v>
      </c>
    </row>
    <row r="3955" spans="1:4" x14ac:dyDescent="0.3">
      <c r="A3955" t="s">
        <v>22</v>
      </c>
      <c r="C3955" s="16">
        <v>46284</v>
      </c>
      <c r="D3955">
        <v>229778.14</v>
      </c>
    </row>
    <row r="3956" spans="1:4" x14ac:dyDescent="0.3">
      <c r="A3956" t="s">
        <v>23</v>
      </c>
      <c r="C3956" s="16">
        <v>46284</v>
      </c>
      <c r="D3956">
        <v>98169.25999999998</v>
      </c>
    </row>
    <row r="3957" spans="1:4" x14ac:dyDescent="0.3">
      <c r="A3957" t="s">
        <v>24</v>
      </c>
      <c r="C3957" s="16">
        <v>46284</v>
      </c>
      <c r="D3957">
        <v>13270.02</v>
      </c>
    </row>
    <row r="3958" spans="1:4" x14ac:dyDescent="0.3">
      <c r="A3958" t="s">
        <v>25</v>
      </c>
      <c r="C3958" s="16">
        <v>46284</v>
      </c>
      <c r="D3958">
        <v>94.5</v>
      </c>
    </row>
    <row r="3959" spans="1:4" x14ac:dyDescent="0.3">
      <c r="A3959" t="s">
        <v>26</v>
      </c>
      <c r="C3959" s="16">
        <v>46284</v>
      </c>
      <c r="D3959">
        <v>2147.92</v>
      </c>
    </row>
    <row r="3960" spans="1:4" x14ac:dyDescent="0.3">
      <c r="A3960" t="s">
        <v>27</v>
      </c>
      <c r="C3960" s="16">
        <v>46284</v>
      </c>
      <c r="D3960">
        <v>18005.290000000015</v>
      </c>
    </row>
    <row r="3961" spans="1:4" x14ac:dyDescent="0.3">
      <c r="A3961" t="s">
        <v>28</v>
      </c>
      <c r="C3961" s="16">
        <v>46284</v>
      </c>
      <c r="D3961">
        <v>1968.99</v>
      </c>
    </row>
    <row r="3962" spans="1:4" x14ac:dyDescent="0.3">
      <c r="A3962" t="s">
        <v>29</v>
      </c>
      <c r="C3962" s="16">
        <v>46284</v>
      </c>
      <c r="D3962">
        <v>901.34</v>
      </c>
    </row>
    <row r="3963" spans="1:4" x14ac:dyDescent="0.3">
      <c r="A3963" t="s">
        <v>30</v>
      </c>
      <c r="C3963" s="16">
        <v>46284</v>
      </c>
      <c r="D3963">
        <v>1380.08</v>
      </c>
    </row>
    <row r="3964" spans="1:4" x14ac:dyDescent="0.3">
      <c r="A3964" t="s">
        <v>31</v>
      </c>
      <c r="C3964" s="16">
        <v>46284</v>
      </c>
      <c r="D3964">
        <v>30277.379999999961</v>
      </c>
    </row>
    <row r="3965" spans="1:4" x14ac:dyDescent="0.3">
      <c r="A3965" t="s">
        <v>32</v>
      </c>
      <c r="C3965" s="16">
        <v>46284</v>
      </c>
      <c r="D3965">
        <v>16282.630000000006</v>
      </c>
    </row>
    <row r="3966" spans="1:4" x14ac:dyDescent="0.3">
      <c r="A3966" t="s">
        <v>33</v>
      </c>
      <c r="C3966" s="16">
        <v>46284</v>
      </c>
      <c r="D3966">
        <v>13685.999999999996</v>
      </c>
    </row>
    <row r="3967" spans="1:4" x14ac:dyDescent="0.3">
      <c r="A3967" t="s">
        <v>34</v>
      </c>
      <c r="C3967" s="16">
        <v>46284</v>
      </c>
      <c r="D3967">
        <v>345</v>
      </c>
    </row>
    <row r="3968" spans="1:4" x14ac:dyDescent="0.3">
      <c r="A3968" t="s">
        <v>35</v>
      </c>
      <c r="C3968" s="16">
        <v>46284</v>
      </c>
      <c r="D3968">
        <v>16164.440000000002</v>
      </c>
    </row>
    <row r="3969" spans="1:4" x14ac:dyDescent="0.3">
      <c r="A3969" t="s">
        <v>193</v>
      </c>
      <c r="C3969" s="16">
        <v>46284</v>
      </c>
      <c r="D3969">
        <v>312415.12000000005</v>
      </c>
    </row>
    <row r="3970" spans="1:4" x14ac:dyDescent="0.3">
      <c r="A3970" t="s">
        <v>194</v>
      </c>
      <c r="C3970" s="16">
        <v>46284</v>
      </c>
      <c r="D3970">
        <v>103560.93000000001</v>
      </c>
    </row>
    <row r="3971" spans="1:4" x14ac:dyDescent="0.3">
      <c r="A3971" t="s">
        <v>195</v>
      </c>
      <c r="C3971" s="16">
        <v>46284</v>
      </c>
      <c r="D3971">
        <v>3631.96</v>
      </c>
    </row>
    <row r="3972" spans="1:4" x14ac:dyDescent="0.3">
      <c r="A3972" t="s">
        <v>196</v>
      </c>
      <c r="C3972" s="16">
        <v>46284</v>
      </c>
      <c r="D3972">
        <v>602.67000000000007</v>
      </c>
    </row>
    <row r="3973" spans="1:4" x14ac:dyDescent="0.3">
      <c r="A3973" t="s">
        <v>197</v>
      </c>
      <c r="C3973" s="16">
        <v>46284</v>
      </c>
      <c r="D3973">
        <v>26755.729999999981</v>
      </c>
    </row>
    <row r="3974" spans="1:4" x14ac:dyDescent="0.3">
      <c r="A3974" t="s">
        <v>198</v>
      </c>
      <c r="C3974" s="16">
        <v>46284</v>
      </c>
      <c r="D3974">
        <v>794.01</v>
      </c>
    </row>
    <row r="3975" spans="1:4" x14ac:dyDescent="0.3">
      <c r="A3975" t="s">
        <v>216</v>
      </c>
      <c r="C3975" s="16">
        <v>46284</v>
      </c>
      <c r="D3975">
        <v>5445.57</v>
      </c>
    </row>
    <row r="3976" spans="1:4" x14ac:dyDescent="0.3">
      <c r="A3976" t="s">
        <v>200</v>
      </c>
      <c r="C3976" s="16">
        <v>46284</v>
      </c>
      <c r="D3976">
        <v>2.129999999999999</v>
      </c>
    </row>
    <row r="3977" spans="1:4" x14ac:dyDescent="0.3">
      <c r="A3977" t="s">
        <v>201</v>
      </c>
      <c r="C3977" s="16">
        <v>46284</v>
      </c>
      <c r="D3977">
        <v>240356.58</v>
      </c>
    </row>
    <row r="3978" spans="1:4" x14ac:dyDescent="0.3">
      <c r="A3978" t="s">
        <v>17</v>
      </c>
      <c r="C3978" s="16">
        <v>46285</v>
      </c>
      <c r="D3978">
        <v>2322339.0500000007</v>
      </c>
    </row>
    <row r="3979" spans="1:4" x14ac:dyDescent="0.3">
      <c r="A3979" t="s">
        <v>18</v>
      </c>
      <c r="C3979" s="16">
        <v>46285</v>
      </c>
      <c r="D3979">
        <v>100486.46000000017</v>
      </c>
    </row>
    <row r="3980" spans="1:4" x14ac:dyDescent="0.3">
      <c r="A3980" t="s">
        <v>19</v>
      </c>
      <c r="C3980" s="16">
        <v>46285</v>
      </c>
      <c r="D3980">
        <v>1669.89</v>
      </c>
    </row>
    <row r="3981" spans="1:4" x14ac:dyDescent="0.3">
      <c r="A3981" t="s">
        <v>20</v>
      </c>
      <c r="C3981" s="16">
        <v>46285</v>
      </c>
      <c r="D3981">
        <v>1425534.64</v>
      </c>
    </row>
    <row r="3982" spans="1:4" x14ac:dyDescent="0.3">
      <c r="A3982" t="s">
        <v>21</v>
      </c>
      <c r="C3982" s="16">
        <v>46285</v>
      </c>
      <c r="D3982">
        <v>1070587.4999999995</v>
      </c>
    </row>
    <row r="3983" spans="1:4" x14ac:dyDescent="0.3">
      <c r="A3983" t="s">
        <v>22</v>
      </c>
      <c r="C3983" s="16">
        <v>46285</v>
      </c>
      <c r="D3983">
        <v>229778.14</v>
      </c>
    </row>
    <row r="3984" spans="1:4" x14ac:dyDescent="0.3">
      <c r="A3984" t="s">
        <v>23</v>
      </c>
      <c r="C3984" s="16">
        <v>46285</v>
      </c>
      <c r="D3984">
        <v>98169.25999999998</v>
      </c>
    </row>
    <row r="3985" spans="1:4" x14ac:dyDescent="0.3">
      <c r="A3985" t="s">
        <v>24</v>
      </c>
      <c r="C3985" s="16">
        <v>46285</v>
      </c>
      <c r="D3985">
        <v>13270.02</v>
      </c>
    </row>
    <row r="3986" spans="1:4" x14ac:dyDescent="0.3">
      <c r="A3986" t="s">
        <v>25</v>
      </c>
      <c r="C3986" s="16">
        <v>46285</v>
      </c>
      <c r="D3986">
        <v>94.5</v>
      </c>
    </row>
    <row r="3987" spans="1:4" x14ac:dyDescent="0.3">
      <c r="A3987" t="s">
        <v>26</v>
      </c>
      <c r="C3987" s="16">
        <v>46285</v>
      </c>
      <c r="D3987">
        <v>2147.92</v>
      </c>
    </row>
    <row r="3988" spans="1:4" x14ac:dyDescent="0.3">
      <c r="A3988" t="s">
        <v>27</v>
      </c>
      <c r="C3988" s="16">
        <v>46285</v>
      </c>
      <c r="D3988">
        <v>18005.290000000015</v>
      </c>
    </row>
    <row r="3989" spans="1:4" x14ac:dyDescent="0.3">
      <c r="A3989" t="s">
        <v>28</v>
      </c>
      <c r="C3989" s="16">
        <v>46285</v>
      </c>
      <c r="D3989">
        <v>1968.99</v>
      </c>
    </row>
    <row r="3990" spans="1:4" x14ac:dyDescent="0.3">
      <c r="A3990" t="s">
        <v>29</v>
      </c>
      <c r="C3990" s="16">
        <v>46285</v>
      </c>
      <c r="D3990">
        <v>901.34</v>
      </c>
    </row>
    <row r="3991" spans="1:4" x14ac:dyDescent="0.3">
      <c r="A3991" t="s">
        <v>30</v>
      </c>
      <c r="C3991" s="16">
        <v>46285</v>
      </c>
      <c r="D3991">
        <v>1380.08</v>
      </c>
    </row>
    <row r="3992" spans="1:4" x14ac:dyDescent="0.3">
      <c r="A3992" t="s">
        <v>31</v>
      </c>
      <c r="C3992" s="16">
        <v>46285</v>
      </c>
      <c r="D3992">
        <v>30277.379999999961</v>
      </c>
    </row>
    <row r="3993" spans="1:4" x14ac:dyDescent="0.3">
      <c r="A3993" t="s">
        <v>32</v>
      </c>
      <c r="C3993" s="16">
        <v>46285</v>
      </c>
      <c r="D3993">
        <v>16282.630000000006</v>
      </c>
    </row>
    <row r="3994" spans="1:4" x14ac:dyDescent="0.3">
      <c r="A3994" t="s">
        <v>33</v>
      </c>
      <c r="C3994" s="16">
        <v>46285</v>
      </c>
      <c r="D3994">
        <v>13685.999999999996</v>
      </c>
    </row>
    <row r="3995" spans="1:4" x14ac:dyDescent="0.3">
      <c r="A3995" t="s">
        <v>34</v>
      </c>
      <c r="C3995" s="16">
        <v>46285</v>
      </c>
      <c r="D3995">
        <v>345</v>
      </c>
    </row>
    <row r="3996" spans="1:4" x14ac:dyDescent="0.3">
      <c r="A3996" t="s">
        <v>35</v>
      </c>
      <c r="C3996" s="16">
        <v>46285</v>
      </c>
      <c r="D3996">
        <v>16164.440000000002</v>
      </c>
    </row>
    <row r="3997" spans="1:4" x14ac:dyDescent="0.3">
      <c r="A3997" t="s">
        <v>193</v>
      </c>
      <c r="C3997" s="16">
        <v>46285</v>
      </c>
      <c r="D3997">
        <v>312415.12000000005</v>
      </c>
    </row>
    <row r="3998" spans="1:4" x14ac:dyDescent="0.3">
      <c r="A3998" t="s">
        <v>194</v>
      </c>
      <c r="C3998" s="16">
        <v>46285</v>
      </c>
      <c r="D3998">
        <v>103560.93000000001</v>
      </c>
    </row>
    <row r="3999" spans="1:4" x14ac:dyDescent="0.3">
      <c r="A3999" t="s">
        <v>195</v>
      </c>
      <c r="C3999" s="16">
        <v>46285</v>
      </c>
      <c r="D3999">
        <v>3631.96</v>
      </c>
    </row>
    <row r="4000" spans="1:4" x14ac:dyDescent="0.3">
      <c r="A4000" t="s">
        <v>196</v>
      </c>
      <c r="C4000" s="16">
        <v>46285</v>
      </c>
      <c r="D4000">
        <v>602.67000000000007</v>
      </c>
    </row>
    <row r="4001" spans="1:4" x14ac:dyDescent="0.3">
      <c r="A4001" t="s">
        <v>197</v>
      </c>
      <c r="C4001" s="16">
        <v>46285</v>
      </c>
      <c r="D4001">
        <v>26755.729999999981</v>
      </c>
    </row>
    <row r="4002" spans="1:4" x14ac:dyDescent="0.3">
      <c r="A4002" t="s">
        <v>198</v>
      </c>
      <c r="C4002" s="16">
        <v>46285</v>
      </c>
      <c r="D4002">
        <v>794.01</v>
      </c>
    </row>
    <row r="4003" spans="1:4" x14ac:dyDescent="0.3">
      <c r="A4003" t="s">
        <v>216</v>
      </c>
      <c r="C4003" s="16">
        <v>46285</v>
      </c>
      <c r="D4003">
        <v>5445.57</v>
      </c>
    </row>
    <row r="4004" spans="1:4" x14ac:dyDescent="0.3">
      <c r="A4004" t="s">
        <v>200</v>
      </c>
      <c r="C4004" s="16">
        <v>46285</v>
      </c>
      <c r="D4004">
        <v>2.129999999999999</v>
      </c>
    </row>
    <row r="4005" spans="1:4" x14ac:dyDescent="0.3">
      <c r="A4005" t="s">
        <v>201</v>
      </c>
      <c r="C4005" s="16">
        <v>46285</v>
      </c>
      <c r="D4005">
        <v>240356.58</v>
      </c>
    </row>
    <row r="4006" spans="1:4" x14ac:dyDescent="0.3">
      <c r="A4006" t="s">
        <v>17</v>
      </c>
      <c r="C4006" s="16">
        <v>46286</v>
      </c>
      <c r="D4006">
        <v>2322339.0500000007</v>
      </c>
    </row>
    <row r="4007" spans="1:4" x14ac:dyDescent="0.3">
      <c r="A4007" t="s">
        <v>18</v>
      </c>
      <c r="C4007" s="16">
        <v>46286</v>
      </c>
      <c r="D4007">
        <v>100486.46000000017</v>
      </c>
    </row>
    <row r="4008" spans="1:4" x14ac:dyDescent="0.3">
      <c r="A4008" t="s">
        <v>19</v>
      </c>
      <c r="C4008" s="16">
        <v>46286</v>
      </c>
      <c r="D4008">
        <v>1669.89</v>
      </c>
    </row>
    <row r="4009" spans="1:4" x14ac:dyDescent="0.3">
      <c r="A4009" t="s">
        <v>20</v>
      </c>
      <c r="C4009" s="16">
        <v>46286</v>
      </c>
      <c r="D4009">
        <v>1453603.3599999999</v>
      </c>
    </row>
    <row r="4010" spans="1:4" x14ac:dyDescent="0.3">
      <c r="A4010" t="s">
        <v>21</v>
      </c>
      <c r="C4010" s="16">
        <v>46286</v>
      </c>
      <c r="D4010">
        <v>1066605.7599999995</v>
      </c>
    </row>
    <row r="4011" spans="1:4" x14ac:dyDescent="0.3">
      <c r="A4011" t="s">
        <v>22</v>
      </c>
      <c r="C4011" s="16">
        <v>46286</v>
      </c>
      <c r="D4011">
        <v>229778.14</v>
      </c>
    </row>
    <row r="4012" spans="1:4" x14ac:dyDescent="0.3">
      <c r="A4012" t="s">
        <v>23</v>
      </c>
      <c r="C4012" s="16">
        <v>46286</v>
      </c>
      <c r="D4012">
        <v>98169.25999999998</v>
      </c>
    </row>
    <row r="4013" spans="1:4" x14ac:dyDescent="0.3">
      <c r="A4013" t="s">
        <v>24</v>
      </c>
      <c r="C4013" s="16">
        <v>46286</v>
      </c>
      <c r="D4013">
        <v>13270.02</v>
      </c>
    </row>
    <row r="4014" spans="1:4" x14ac:dyDescent="0.3">
      <c r="A4014" t="s">
        <v>25</v>
      </c>
      <c r="C4014" s="16">
        <v>46286</v>
      </c>
      <c r="D4014">
        <v>94.5</v>
      </c>
    </row>
    <row r="4015" spans="1:4" x14ac:dyDescent="0.3">
      <c r="A4015" t="s">
        <v>26</v>
      </c>
      <c r="C4015" s="16">
        <v>46286</v>
      </c>
      <c r="D4015">
        <v>2147.92</v>
      </c>
    </row>
    <row r="4016" spans="1:4" x14ac:dyDescent="0.3">
      <c r="A4016" t="s">
        <v>27</v>
      </c>
      <c r="C4016" s="16">
        <v>46286</v>
      </c>
      <c r="D4016">
        <v>18005.290000000015</v>
      </c>
    </row>
    <row r="4017" spans="1:4" x14ac:dyDescent="0.3">
      <c r="A4017" t="s">
        <v>28</v>
      </c>
      <c r="C4017" s="16">
        <v>46286</v>
      </c>
      <c r="D4017">
        <v>1968.99</v>
      </c>
    </row>
    <row r="4018" spans="1:4" x14ac:dyDescent="0.3">
      <c r="A4018" t="s">
        <v>29</v>
      </c>
      <c r="C4018" s="16">
        <v>46286</v>
      </c>
      <c r="D4018">
        <v>901.34</v>
      </c>
    </row>
    <row r="4019" spans="1:4" x14ac:dyDescent="0.3">
      <c r="A4019" t="s">
        <v>30</v>
      </c>
      <c r="C4019" s="16">
        <v>46286</v>
      </c>
      <c r="D4019">
        <v>1380.08</v>
      </c>
    </row>
    <row r="4020" spans="1:4" x14ac:dyDescent="0.3">
      <c r="A4020" t="s">
        <v>31</v>
      </c>
      <c r="C4020" s="16">
        <v>46286</v>
      </c>
      <c r="D4020">
        <v>30277.379999999961</v>
      </c>
    </row>
    <row r="4021" spans="1:4" x14ac:dyDescent="0.3">
      <c r="A4021" t="s">
        <v>32</v>
      </c>
      <c r="C4021" s="16">
        <v>46286</v>
      </c>
      <c r="D4021">
        <v>16282.630000000006</v>
      </c>
    </row>
    <row r="4022" spans="1:4" x14ac:dyDescent="0.3">
      <c r="A4022" t="s">
        <v>33</v>
      </c>
      <c r="C4022" s="16">
        <v>46286</v>
      </c>
      <c r="D4022">
        <v>13685.999999999996</v>
      </c>
    </row>
    <row r="4023" spans="1:4" x14ac:dyDescent="0.3">
      <c r="A4023" t="s">
        <v>34</v>
      </c>
      <c r="C4023" s="16">
        <v>46286</v>
      </c>
      <c r="D4023">
        <v>345</v>
      </c>
    </row>
    <row r="4024" spans="1:4" x14ac:dyDescent="0.3">
      <c r="A4024" t="s">
        <v>35</v>
      </c>
      <c r="C4024" s="16">
        <v>46286</v>
      </c>
      <c r="D4024">
        <v>15392.970000000001</v>
      </c>
    </row>
    <row r="4025" spans="1:4" x14ac:dyDescent="0.3">
      <c r="A4025" t="s">
        <v>193</v>
      </c>
      <c r="C4025" s="16">
        <v>46286</v>
      </c>
      <c r="D4025">
        <v>312415.12000000005</v>
      </c>
    </row>
    <row r="4026" spans="1:4" x14ac:dyDescent="0.3">
      <c r="A4026" t="s">
        <v>194</v>
      </c>
      <c r="C4026" s="16">
        <v>46286</v>
      </c>
      <c r="D4026">
        <v>103560.93000000001</v>
      </c>
    </row>
    <row r="4027" spans="1:4" x14ac:dyDescent="0.3">
      <c r="A4027" t="s">
        <v>195</v>
      </c>
      <c r="C4027" s="16">
        <v>46286</v>
      </c>
      <c r="D4027">
        <v>3631.96</v>
      </c>
    </row>
    <row r="4028" spans="1:4" x14ac:dyDescent="0.3">
      <c r="A4028" t="s">
        <v>196</v>
      </c>
      <c r="C4028" s="16">
        <v>46286</v>
      </c>
      <c r="D4028">
        <v>602.67000000000007</v>
      </c>
    </row>
    <row r="4029" spans="1:4" x14ac:dyDescent="0.3">
      <c r="A4029" t="s">
        <v>197</v>
      </c>
      <c r="C4029" s="16">
        <v>46286</v>
      </c>
      <c r="D4029">
        <v>25507.15999999996</v>
      </c>
    </row>
    <row r="4030" spans="1:4" x14ac:dyDescent="0.3">
      <c r="A4030" t="s">
        <v>198</v>
      </c>
      <c r="C4030" s="16">
        <v>46286</v>
      </c>
      <c r="D4030">
        <v>794.01</v>
      </c>
    </row>
    <row r="4031" spans="1:4" x14ac:dyDescent="0.3">
      <c r="A4031" t="s">
        <v>216</v>
      </c>
      <c r="C4031" s="16">
        <v>46286</v>
      </c>
      <c r="D4031">
        <v>5445.57</v>
      </c>
    </row>
    <row r="4032" spans="1:4" x14ac:dyDescent="0.3">
      <c r="A4032" t="s">
        <v>200</v>
      </c>
      <c r="C4032" s="16">
        <v>46286</v>
      </c>
      <c r="D4032">
        <v>2.129999999999999</v>
      </c>
    </row>
    <row r="4033" spans="1:4" x14ac:dyDescent="0.3">
      <c r="A4033" t="s">
        <v>201</v>
      </c>
      <c r="C4033" s="16">
        <v>46286</v>
      </c>
      <c r="D4033">
        <v>239950.84</v>
      </c>
    </row>
    <row r="4034" spans="1:4" x14ac:dyDescent="0.3">
      <c r="A4034" t="s">
        <v>17</v>
      </c>
      <c r="C4034" s="16">
        <v>46287</v>
      </c>
      <c r="D4034">
        <v>2322339.0500000007</v>
      </c>
    </row>
    <row r="4035" spans="1:4" x14ac:dyDescent="0.3">
      <c r="A4035" t="s">
        <v>18</v>
      </c>
      <c r="C4035" s="16">
        <v>46287</v>
      </c>
      <c r="D4035">
        <v>100486.46000000017</v>
      </c>
    </row>
    <row r="4036" spans="1:4" x14ac:dyDescent="0.3">
      <c r="A4036" t="s">
        <v>19</v>
      </c>
      <c r="C4036" s="16">
        <v>46287</v>
      </c>
      <c r="D4036">
        <v>1669.89</v>
      </c>
    </row>
    <row r="4037" spans="1:4" x14ac:dyDescent="0.3">
      <c r="A4037" t="s">
        <v>20</v>
      </c>
      <c r="C4037" s="16">
        <v>46287</v>
      </c>
      <c r="D4037">
        <v>1453603.3599999999</v>
      </c>
    </row>
    <row r="4038" spans="1:4" x14ac:dyDescent="0.3">
      <c r="A4038" t="s">
        <v>21</v>
      </c>
      <c r="C4038" s="16">
        <v>46287</v>
      </c>
      <c r="D4038">
        <v>1065842.7699999996</v>
      </c>
    </row>
    <row r="4039" spans="1:4" x14ac:dyDescent="0.3">
      <c r="A4039" t="s">
        <v>22</v>
      </c>
      <c r="C4039" s="16">
        <v>46287</v>
      </c>
      <c r="D4039">
        <v>229778.14</v>
      </c>
    </row>
    <row r="4040" spans="1:4" x14ac:dyDescent="0.3">
      <c r="A4040" t="s">
        <v>23</v>
      </c>
      <c r="C4040" s="16">
        <v>46287</v>
      </c>
      <c r="D4040">
        <v>98169.25999999998</v>
      </c>
    </row>
    <row r="4041" spans="1:4" x14ac:dyDescent="0.3">
      <c r="A4041" t="s">
        <v>24</v>
      </c>
      <c r="C4041" s="16">
        <v>46287</v>
      </c>
      <c r="D4041">
        <v>13270.02</v>
      </c>
    </row>
    <row r="4042" spans="1:4" x14ac:dyDescent="0.3">
      <c r="A4042" t="s">
        <v>25</v>
      </c>
      <c r="C4042" s="16">
        <v>46287</v>
      </c>
      <c r="D4042">
        <v>94.5</v>
      </c>
    </row>
    <row r="4043" spans="1:4" x14ac:dyDescent="0.3">
      <c r="A4043" t="s">
        <v>26</v>
      </c>
      <c r="C4043" s="16">
        <v>46287</v>
      </c>
      <c r="D4043">
        <v>2147.92</v>
      </c>
    </row>
    <row r="4044" spans="1:4" x14ac:dyDescent="0.3">
      <c r="A4044" t="s">
        <v>27</v>
      </c>
      <c r="C4044" s="16">
        <v>46287</v>
      </c>
      <c r="D4044">
        <v>18005.290000000015</v>
      </c>
    </row>
    <row r="4045" spans="1:4" x14ac:dyDescent="0.3">
      <c r="A4045" t="s">
        <v>28</v>
      </c>
      <c r="C4045" s="16">
        <v>46287</v>
      </c>
      <c r="D4045">
        <v>1968.99</v>
      </c>
    </row>
    <row r="4046" spans="1:4" x14ac:dyDescent="0.3">
      <c r="A4046" t="s">
        <v>29</v>
      </c>
      <c r="C4046" s="16">
        <v>46287</v>
      </c>
      <c r="D4046">
        <v>901.34</v>
      </c>
    </row>
    <row r="4047" spans="1:4" x14ac:dyDescent="0.3">
      <c r="A4047" t="s">
        <v>30</v>
      </c>
      <c r="C4047" s="16">
        <v>46287</v>
      </c>
      <c r="D4047">
        <v>1380.08</v>
      </c>
    </row>
    <row r="4048" spans="1:4" x14ac:dyDescent="0.3">
      <c r="A4048" t="s">
        <v>31</v>
      </c>
      <c r="C4048" s="16">
        <v>46287</v>
      </c>
      <c r="D4048">
        <v>28714.879999999961</v>
      </c>
    </row>
    <row r="4049" spans="1:4" x14ac:dyDescent="0.3">
      <c r="A4049" t="s">
        <v>32</v>
      </c>
      <c r="C4049" s="16">
        <v>46287</v>
      </c>
      <c r="D4049">
        <v>15162.600000000006</v>
      </c>
    </row>
    <row r="4050" spans="1:4" x14ac:dyDescent="0.3">
      <c r="A4050" t="s">
        <v>33</v>
      </c>
      <c r="C4050" s="16">
        <v>46287</v>
      </c>
      <c r="D4050">
        <v>12937.859999999997</v>
      </c>
    </row>
    <row r="4051" spans="1:4" x14ac:dyDescent="0.3">
      <c r="A4051" t="s">
        <v>34</v>
      </c>
      <c r="C4051" s="16">
        <v>46287</v>
      </c>
      <c r="D4051">
        <v>345</v>
      </c>
    </row>
    <row r="4052" spans="1:4" x14ac:dyDescent="0.3">
      <c r="A4052" t="s">
        <v>35</v>
      </c>
      <c r="C4052" s="16">
        <v>46287</v>
      </c>
      <c r="D4052">
        <v>15392.970000000001</v>
      </c>
    </row>
    <row r="4053" spans="1:4" x14ac:dyDescent="0.3">
      <c r="A4053" t="s">
        <v>193</v>
      </c>
      <c r="C4053" s="16">
        <v>46287</v>
      </c>
      <c r="D4053">
        <v>312415.12000000005</v>
      </c>
    </row>
    <row r="4054" spans="1:4" x14ac:dyDescent="0.3">
      <c r="A4054" t="s">
        <v>194</v>
      </c>
      <c r="C4054" s="16">
        <v>46287</v>
      </c>
      <c r="D4054">
        <v>103560.93000000001</v>
      </c>
    </row>
    <row r="4055" spans="1:4" x14ac:dyDescent="0.3">
      <c r="A4055" t="s">
        <v>195</v>
      </c>
      <c r="C4055" s="16">
        <v>46287</v>
      </c>
      <c r="D4055">
        <v>3631.96</v>
      </c>
    </row>
    <row r="4056" spans="1:4" x14ac:dyDescent="0.3">
      <c r="A4056" t="s">
        <v>196</v>
      </c>
      <c r="C4056" s="16">
        <v>46287</v>
      </c>
      <c r="D4056">
        <v>602.67000000000007</v>
      </c>
    </row>
    <row r="4057" spans="1:4" x14ac:dyDescent="0.3">
      <c r="A4057" t="s">
        <v>197</v>
      </c>
      <c r="C4057" s="16">
        <v>46287</v>
      </c>
      <c r="D4057">
        <v>24944.219999999972</v>
      </c>
    </row>
    <row r="4058" spans="1:4" x14ac:dyDescent="0.3">
      <c r="A4058" t="s">
        <v>198</v>
      </c>
      <c r="C4058" s="16">
        <v>46287</v>
      </c>
      <c r="D4058">
        <v>794.01</v>
      </c>
    </row>
    <row r="4059" spans="1:4" x14ac:dyDescent="0.3">
      <c r="A4059" t="s">
        <v>216</v>
      </c>
      <c r="C4059" s="16">
        <v>46287</v>
      </c>
      <c r="D4059">
        <v>5445.57</v>
      </c>
    </row>
    <row r="4060" spans="1:4" x14ac:dyDescent="0.3">
      <c r="A4060" t="s">
        <v>200</v>
      </c>
      <c r="C4060" s="16">
        <v>46287</v>
      </c>
      <c r="D4060">
        <v>2.129999999999999</v>
      </c>
    </row>
    <row r="4061" spans="1:4" x14ac:dyDescent="0.3">
      <c r="A4061" t="s">
        <v>201</v>
      </c>
      <c r="C4061" s="16">
        <v>46287</v>
      </c>
      <c r="D4061">
        <v>234193.16999999998</v>
      </c>
    </row>
    <row r="4062" spans="1:4" x14ac:dyDescent="0.3">
      <c r="A4062" t="s">
        <v>17</v>
      </c>
      <c r="C4062" s="16">
        <v>46288</v>
      </c>
      <c r="D4062">
        <v>2322339.0500000007</v>
      </c>
    </row>
    <row r="4063" spans="1:4" x14ac:dyDescent="0.3">
      <c r="A4063" t="s">
        <v>18</v>
      </c>
      <c r="C4063" s="16">
        <v>46288</v>
      </c>
      <c r="D4063">
        <v>100486.46000000017</v>
      </c>
    </row>
    <row r="4064" spans="1:4" x14ac:dyDescent="0.3">
      <c r="A4064" t="s">
        <v>19</v>
      </c>
      <c r="C4064" s="16">
        <v>46288</v>
      </c>
      <c r="D4064">
        <v>1669.89</v>
      </c>
    </row>
    <row r="4065" spans="1:4" x14ac:dyDescent="0.3">
      <c r="A4065" t="s">
        <v>20</v>
      </c>
      <c r="C4065" s="16">
        <v>46288</v>
      </c>
      <c r="D4065">
        <v>1453603.3599999999</v>
      </c>
    </row>
    <row r="4066" spans="1:4" x14ac:dyDescent="0.3">
      <c r="A4066" t="s">
        <v>21</v>
      </c>
      <c r="C4066" s="16">
        <v>46288</v>
      </c>
      <c r="D4066">
        <v>1065842.7699999996</v>
      </c>
    </row>
    <row r="4067" spans="1:4" x14ac:dyDescent="0.3">
      <c r="A4067" t="s">
        <v>22</v>
      </c>
      <c r="C4067" s="16">
        <v>46288</v>
      </c>
      <c r="D4067">
        <v>229778.14</v>
      </c>
    </row>
    <row r="4068" spans="1:4" x14ac:dyDescent="0.3">
      <c r="A4068" t="s">
        <v>23</v>
      </c>
      <c r="C4068" s="16">
        <v>46288</v>
      </c>
      <c r="D4068">
        <v>98169.25999999998</v>
      </c>
    </row>
    <row r="4069" spans="1:4" x14ac:dyDescent="0.3">
      <c r="A4069" t="s">
        <v>24</v>
      </c>
      <c r="C4069" s="16">
        <v>46288</v>
      </c>
      <c r="D4069">
        <v>13270.02</v>
      </c>
    </row>
    <row r="4070" spans="1:4" x14ac:dyDescent="0.3">
      <c r="A4070" t="s">
        <v>25</v>
      </c>
      <c r="C4070" s="16">
        <v>46288</v>
      </c>
      <c r="D4070">
        <v>94.5</v>
      </c>
    </row>
    <row r="4071" spans="1:4" x14ac:dyDescent="0.3">
      <c r="A4071" t="s">
        <v>26</v>
      </c>
      <c r="C4071" s="16">
        <v>46288</v>
      </c>
      <c r="D4071">
        <v>2147.92</v>
      </c>
    </row>
    <row r="4072" spans="1:4" x14ac:dyDescent="0.3">
      <c r="A4072" t="s">
        <v>27</v>
      </c>
      <c r="C4072" s="16">
        <v>46288</v>
      </c>
      <c r="D4072">
        <v>18005.290000000015</v>
      </c>
    </row>
    <row r="4073" spans="1:4" x14ac:dyDescent="0.3">
      <c r="A4073" t="s">
        <v>28</v>
      </c>
      <c r="C4073" s="16">
        <v>46288</v>
      </c>
      <c r="D4073">
        <v>1968.99</v>
      </c>
    </row>
    <row r="4074" spans="1:4" x14ac:dyDescent="0.3">
      <c r="A4074" t="s">
        <v>29</v>
      </c>
      <c r="C4074" s="16">
        <v>46288</v>
      </c>
      <c r="D4074">
        <v>901.34</v>
      </c>
    </row>
    <row r="4075" spans="1:4" x14ac:dyDescent="0.3">
      <c r="A4075" t="s">
        <v>30</v>
      </c>
      <c r="C4075" s="16">
        <v>46288</v>
      </c>
      <c r="D4075">
        <v>1380.08</v>
      </c>
    </row>
    <row r="4076" spans="1:4" x14ac:dyDescent="0.3">
      <c r="A4076" t="s">
        <v>31</v>
      </c>
      <c r="C4076" s="16">
        <v>46288</v>
      </c>
      <c r="D4076">
        <v>28714.879999999961</v>
      </c>
    </row>
    <row r="4077" spans="1:4" x14ac:dyDescent="0.3">
      <c r="A4077" t="s">
        <v>32</v>
      </c>
      <c r="C4077" s="16">
        <v>46288</v>
      </c>
      <c r="D4077">
        <v>15162.600000000006</v>
      </c>
    </row>
    <row r="4078" spans="1:4" x14ac:dyDescent="0.3">
      <c r="A4078" t="s">
        <v>33</v>
      </c>
      <c r="C4078" s="16">
        <v>46288</v>
      </c>
      <c r="D4078">
        <v>12937.859999999997</v>
      </c>
    </row>
    <row r="4079" spans="1:4" x14ac:dyDescent="0.3">
      <c r="A4079" t="s">
        <v>34</v>
      </c>
      <c r="C4079" s="16">
        <v>46288</v>
      </c>
      <c r="D4079">
        <v>345</v>
      </c>
    </row>
    <row r="4080" spans="1:4" x14ac:dyDescent="0.3">
      <c r="A4080" t="s">
        <v>35</v>
      </c>
      <c r="C4080" s="16">
        <v>46288</v>
      </c>
      <c r="D4080">
        <v>15392.970000000001</v>
      </c>
    </row>
    <row r="4081" spans="1:4" x14ac:dyDescent="0.3">
      <c r="A4081" t="s">
        <v>193</v>
      </c>
      <c r="C4081" s="16">
        <v>46288</v>
      </c>
      <c r="D4081">
        <v>312415.12000000005</v>
      </c>
    </row>
    <row r="4082" spans="1:4" x14ac:dyDescent="0.3">
      <c r="A4082" t="s">
        <v>194</v>
      </c>
      <c r="C4082" s="16">
        <v>46288</v>
      </c>
      <c r="D4082">
        <v>103560.93000000001</v>
      </c>
    </row>
    <row r="4083" spans="1:4" x14ac:dyDescent="0.3">
      <c r="A4083" t="s">
        <v>195</v>
      </c>
      <c r="C4083" s="16">
        <v>46288</v>
      </c>
      <c r="D4083">
        <v>3631.96</v>
      </c>
    </row>
    <row r="4084" spans="1:4" x14ac:dyDescent="0.3">
      <c r="A4084" t="s">
        <v>196</v>
      </c>
      <c r="C4084" s="16">
        <v>46288</v>
      </c>
      <c r="D4084">
        <v>602.67000000000007</v>
      </c>
    </row>
    <row r="4085" spans="1:4" x14ac:dyDescent="0.3">
      <c r="A4085" t="s">
        <v>197</v>
      </c>
      <c r="C4085" s="16">
        <v>46288</v>
      </c>
      <c r="D4085">
        <v>24944.219999999972</v>
      </c>
    </row>
    <row r="4086" spans="1:4" x14ac:dyDescent="0.3">
      <c r="A4086" t="s">
        <v>198</v>
      </c>
      <c r="C4086" s="16">
        <v>46288</v>
      </c>
      <c r="D4086">
        <v>794.01</v>
      </c>
    </row>
    <row r="4087" spans="1:4" x14ac:dyDescent="0.3">
      <c r="A4087" t="s">
        <v>216</v>
      </c>
      <c r="C4087" s="16">
        <v>46288</v>
      </c>
      <c r="D4087">
        <v>5445.57</v>
      </c>
    </row>
    <row r="4088" spans="1:4" x14ac:dyDescent="0.3">
      <c r="A4088" t="s">
        <v>200</v>
      </c>
      <c r="C4088" s="16">
        <v>46288</v>
      </c>
      <c r="D4088">
        <v>2.129999999999999</v>
      </c>
    </row>
    <row r="4089" spans="1:4" x14ac:dyDescent="0.3">
      <c r="A4089" t="s">
        <v>201</v>
      </c>
      <c r="C4089" s="16">
        <v>46288</v>
      </c>
      <c r="D4089">
        <v>236093.16999999998</v>
      </c>
    </row>
    <row r="4090" spans="1:4" x14ac:dyDescent="0.3">
      <c r="A4090" t="s">
        <v>17</v>
      </c>
      <c r="C4090" s="16">
        <v>46289</v>
      </c>
      <c r="D4090">
        <v>2322339.0500000007</v>
      </c>
    </row>
    <row r="4091" spans="1:4" x14ac:dyDescent="0.3">
      <c r="A4091" t="s">
        <v>18</v>
      </c>
      <c r="C4091" s="16">
        <v>46289</v>
      </c>
      <c r="D4091">
        <v>100486.46000000017</v>
      </c>
    </row>
    <row r="4092" spans="1:4" x14ac:dyDescent="0.3">
      <c r="A4092" t="s">
        <v>19</v>
      </c>
      <c r="C4092" s="16">
        <v>46289</v>
      </c>
      <c r="D4092">
        <v>1669.89</v>
      </c>
    </row>
    <row r="4093" spans="1:4" x14ac:dyDescent="0.3">
      <c r="A4093" t="s">
        <v>20</v>
      </c>
      <c r="C4093" s="16">
        <v>46289</v>
      </c>
      <c r="D4093">
        <v>1453603.3599999999</v>
      </c>
    </row>
    <row r="4094" spans="1:4" x14ac:dyDescent="0.3">
      <c r="A4094" t="s">
        <v>21</v>
      </c>
      <c r="C4094" s="16">
        <v>46289</v>
      </c>
      <c r="D4094">
        <v>1065842.7699999996</v>
      </c>
    </row>
    <row r="4095" spans="1:4" x14ac:dyDescent="0.3">
      <c r="A4095" t="s">
        <v>22</v>
      </c>
      <c r="C4095" s="16">
        <v>46289</v>
      </c>
      <c r="D4095">
        <v>229778.14</v>
      </c>
    </row>
    <row r="4096" spans="1:4" x14ac:dyDescent="0.3">
      <c r="A4096" t="s">
        <v>23</v>
      </c>
      <c r="C4096" s="16">
        <v>46289</v>
      </c>
      <c r="D4096">
        <v>98169.25999999998</v>
      </c>
    </row>
    <row r="4097" spans="1:4" x14ac:dyDescent="0.3">
      <c r="A4097" t="s">
        <v>24</v>
      </c>
      <c r="C4097" s="16">
        <v>46289</v>
      </c>
      <c r="D4097">
        <v>13270.02</v>
      </c>
    </row>
    <row r="4098" spans="1:4" x14ac:dyDescent="0.3">
      <c r="A4098" t="s">
        <v>25</v>
      </c>
      <c r="C4098" s="16">
        <v>46289</v>
      </c>
      <c r="D4098">
        <v>94.5</v>
      </c>
    </row>
    <row r="4099" spans="1:4" x14ac:dyDescent="0.3">
      <c r="A4099" t="s">
        <v>26</v>
      </c>
      <c r="C4099" s="16">
        <v>46289</v>
      </c>
      <c r="D4099">
        <v>2147.92</v>
      </c>
    </row>
    <row r="4100" spans="1:4" x14ac:dyDescent="0.3">
      <c r="A4100" t="s">
        <v>27</v>
      </c>
      <c r="C4100" s="16">
        <v>46289</v>
      </c>
      <c r="D4100">
        <v>18005.290000000015</v>
      </c>
    </row>
    <row r="4101" spans="1:4" x14ac:dyDescent="0.3">
      <c r="A4101" t="s">
        <v>28</v>
      </c>
      <c r="C4101" s="16">
        <v>46289</v>
      </c>
      <c r="D4101">
        <v>1968.99</v>
      </c>
    </row>
    <row r="4102" spans="1:4" x14ac:dyDescent="0.3">
      <c r="A4102" t="s">
        <v>29</v>
      </c>
      <c r="C4102" s="16">
        <v>46289</v>
      </c>
      <c r="D4102">
        <v>901.34</v>
      </c>
    </row>
    <row r="4103" spans="1:4" x14ac:dyDescent="0.3">
      <c r="A4103" t="s">
        <v>30</v>
      </c>
      <c r="C4103" s="16">
        <v>46289</v>
      </c>
      <c r="D4103">
        <v>1380.08</v>
      </c>
    </row>
    <row r="4104" spans="1:4" x14ac:dyDescent="0.3">
      <c r="A4104" t="s">
        <v>31</v>
      </c>
      <c r="C4104" s="16">
        <v>46289</v>
      </c>
      <c r="D4104">
        <v>28714.879999999961</v>
      </c>
    </row>
    <row r="4105" spans="1:4" x14ac:dyDescent="0.3">
      <c r="A4105" t="s">
        <v>32</v>
      </c>
      <c r="C4105" s="16">
        <v>46289</v>
      </c>
      <c r="D4105">
        <v>15162.600000000006</v>
      </c>
    </row>
    <row r="4106" spans="1:4" x14ac:dyDescent="0.3">
      <c r="A4106" t="s">
        <v>33</v>
      </c>
      <c r="C4106" s="16">
        <v>46289</v>
      </c>
      <c r="D4106">
        <v>12937.859999999997</v>
      </c>
    </row>
    <row r="4107" spans="1:4" x14ac:dyDescent="0.3">
      <c r="A4107" t="s">
        <v>34</v>
      </c>
      <c r="C4107" s="16">
        <v>46289</v>
      </c>
      <c r="D4107">
        <v>345</v>
      </c>
    </row>
    <row r="4108" spans="1:4" x14ac:dyDescent="0.3">
      <c r="A4108" t="s">
        <v>35</v>
      </c>
      <c r="C4108" s="16">
        <v>46289</v>
      </c>
      <c r="D4108">
        <v>15392.970000000001</v>
      </c>
    </row>
    <row r="4109" spans="1:4" x14ac:dyDescent="0.3">
      <c r="A4109" t="s">
        <v>193</v>
      </c>
      <c r="C4109" s="16">
        <v>46289</v>
      </c>
      <c r="D4109">
        <v>312415.12000000005</v>
      </c>
    </row>
    <row r="4110" spans="1:4" x14ac:dyDescent="0.3">
      <c r="A4110" t="s">
        <v>194</v>
      </c>
      <c r="C4110" s="16">
        <v>46289</v>
      </c>
      <c r="D4110">
        <v>103560.93000000001</v>
      </c>
    </row>
    <row r="4111" spans="1:4" x14ac:dyDescent="0.3">
      <c r="A4111" t="s">
        <v>195</v>
      </c>
      <c r="C4111" s="16">
        <v>46289</v>
      </c>
      <c r="D4111">
        <v>3631.96</v>
      </c>
    </row>
    <row r="4112" spans="1:4" x14ac:dyDescent="0.3">
      <c r="A4112" t="s">
        <v>196</v>
      </c>
      <c r="C4112" s="16">
        <v>46289</v>
      </c>
      <c r="D4112">
        <v>602.67000000000007</v>
      </c>
    </row>
    <row r="4113" spans="1:4" x14ac:dyDescent="0.3">
      <c r="A4113" t="s">
        <v>197</v>
      </c>
      <c r="C4113" s="16">
        <v>46289</v>
      </c>
      <c r="D4113">
        <v>24430.749999999971</v>
      </c>
    </row>
    <row r="4114" spans="1:4" x14ac:dyDescent="0.3">
      <c r="A4114" t="s">
        <v>198</v>
      </c>
      <c r="C4114" s="16">
        <v>46289</v>
      </c>
      <c r="D4114">
        <v>794.01</v>
      </c>
    </row>
    <row r="4115" spans="1:4" x14ac:dyDescent="0.3">
      <c r="A4115" t="s">
        <v>216</v>
      </c>
      <c r="C4115" s="16">
        <v>46289</v>
      </c>
      <c r="D4115">
        <v>5445.57</v>
      </c>
    </row>
    <row r="4116" spans="1:4" x14ac:dyDescent="0.3">
      <c r="A4116" t="s">
        <v>200</v>
      </c>
      <c r="C4116" s="16">
        <v>46289</v>
      </c>
      <c r="D4116">
        <v>2.129999999999999</v>
      </c>
    </row>
    <row r="4117" spans="1:4" x14ac:dyDescent="0.3">
      <c r="A4117" t="s">
        <v>201</v>
      </c>
      <c r="C4117" s="16">
        <v>46289</v>
      </c>
      <c r="D4117">
        <v>236093.16999999998</v>
      </c>
    </row>
    <row r="4118" spans="1:4" x14ac:dyDescent="0.3">
      <c r="A4118" t="s">
        <v>17</v>
      </c>
      <c r="C4118" s="16">
        <v>46290</v>
      </c>
      <c r="D4118">
        <v>1835844.9700000007</v>
      </c>
    </row>
    <row r="4119" spans="1:4" x14ac:dyDescent="0.3">
      <c r="A4119" t="s">
        <v>18</v>
      </c>
      <c r="C4119" s="16">
        <v>46290</v>
      </c>
      <c r="D4119">
        <v>100486.46000000017</v>
      </c>
    </row>
    <row r="4120" spans="1:4" x14ac:dyDescent="0.3">
      <c r="A4120" t="s">
        <v>19</v>
      </c>
      <c r="C4120" s="16">
        <v>46290</v>
      </c>
      <c r="D4120">
        <v>1669.89</v>
      </c>
    </row>
    <row r="4121" spans="1:4" x14ac:dyDescent="0.3">
      <c r="A4121" t="s">
        <v>20</v>
      </c>
      <c r="C4121" s="16">
        <v>46290</v>
      </c>
      <c r="D4121">
        <v>1313603.3599999999</v>
      </c>
    </row>
    <row r="4122" spans="1:4" x14ac:dyDescent="0.3">
      <c r="A4122" t="s">
        <v>21</v>
      </c>
      <c r="C4122" s="16">
        <v>46290</v>
      </c>
      <c r="D4122">
        <v>1350200.6299999994</v>
      </c>
    </row>
    <row r="4123" spans="1:4" x14ac:dyDescent="0.3">
      <c r="A4123" t="s">
        <v>22</v>
      </c>
      <c r="C4123" s="16">
        <v>46290</v>
      </c>
      <c r="D4123">
        <v>229778.14</v>
      </c>
    </row>
    <row r="4124" spans="1:4" x14ac:dyDescent="0.3">
      <c r="A4124" t="s">
        <v>23</v>
      </c>
      <c r="C4124" s="16">
        <v>46290</v>
      </c>
      <c r="D4124">
        <v>98169.25999999998</v>
      </c>
    </row>
    <row r="4125" spans="1:4" x14ac:dyDescent="0.3">
      <c r="A4125" t="s">
        <v>24</v>
      </c>
      <c r="C4125" s="16">
        <v>46290</v>
      </c>
      <c r="D4125">
        <v>13270.02</v>
      </c>
    </row>
    <row r="4126" spans="1:4" x14ac:dyDescent="0.3">
      <c r="A4126" t="s">
        <v>25</v>
      </c>
      <c r="C4126" s="16">
        <v>46290</v>
      </c>
      <c r="D4126">
        <v>94.5</v>
      </c>
    </row>
    <row r="4127" spans="1:4" x14ac:dyDescent="0.3">
      <c r="A4127" t="s">
        <v>26</v>
      </c>
      <c r="C4127" s="16">
        <v>46290</v>
      </c>
      <c r="D4127">
        <v>2147.92</v>
      </c>
    </row>
    <row r="4128" spans="1:4" x14ac:dyDescent="0.3">
      <c r="A4128" t="s">
        <v>27</v>
      </c>
      <c r="C4128" s="16">
        <v>46290</v>
      </c>
      <c r="D4128">
        <v>18005.290000000015</v>
      </c>
    </row>
    <row r="4129" spans="1:4" x14ac:dyDescent="0.3">
      <c r="A4129" t="s">
        <v>28</v>
      </c>
      <c r="C4129" s="16">
        <v>46290</v>
      </c>
      <c r="D4129">
        <v>1968.99</v>
      </c>
    </row>
    <row r="4130" spans="1:4" x14ac:dyDescent="0.3">
      <c r="A4130" t="s">
        <v>29</v>
      </c>
      <c r="C4130" s="16">
        <v>46290</v>
      </c>
      <c r="D4130">
        <v>901.34</v>
      </c>
    </row>
    <row r="4131" spans="1:4" x14ac:dyDescent="0.3">
      <c r="A4131" t="s">
        <v>30</v>
      </c>
      <c r="C4131" s="16">
        <v>46290</v>
      </c>
      <c r="D4131">
        <v>1380.08</v>
      </c>
    </row>
    <row r="4132" spans="1:4" x14ac:dyDescent="0.3">
      <c r="A4132" t="s">
        <v>31</v>
      </c>
      <c r="C4132" s="16">
        <v>46290</v>
      </c>
      <c r="D4132">
        <v>28714.879999999961</v>
      </c>
    </row>
    <row r="4133" spans="1:4" x14ac:dyDescent="0.3">
      <c r="A4133" t="s">
        <v>32</v>
      </c>
      <c r="C4133" s="16">
        <v>46290</v>
      </c>
      <c r="D4133">
        <v>23389.690000000006</v>
      </c>
    </row>
    <row r="4134" spans="1:4" x14ac:dyDescent="0.3">
      <c r="A4134" t="s">
        <v>33</v>
      </c>
      <c r="C4134" s="16">
        <v>46290</v>
      </c>
      <c r="D4134">
        <v>16896.059999999998</v>
      </c>
    </row>
    <row r="4135" spans="1:4" x14ac:dyDescent="0.3">
      <c r="A4135" t="s">
        <v>34</v>
      </c>
      <c r="C4135" s="16">
        <v>46290</v>
      </c>
      <c r="D4135">
        <v>345</v>
      </c>
    </row>
    <row r="4136" spans="1:4" x14ac:dyDescent="0.3">
      <c r="A4136" t="s">
        <v>35</v>
      </c>
      <c r="C4136" s="16">
        <v>46290</v>
      </c>
      <c r="D4136">
        <v>12252.970000000001</v>
      </c>
    </row>
    <row r="4137" spans="1:4" x14ac:dyDescent="0.3">
      <c r="A4137" t="s">
        <v>193</v>
      </c>
      <c r="C4137" s="16">
        <v>46290</v>
      </c>
      <c r="D4137">
        <v>312314.37000000005</v>
      </c>
    </row>
    <row r="4138" spans="1:4" x14ac:dyDescent="0.3">
      <c r="A4138" t="s">
        <v>194</v>
      </c>
      <c r="C4138" s="16">
        <v>46290</v>
      </c>
      <c r="D4138">
        <v>103560.93000000001</v>
      </c>
    </row>
    <row r="4139" spans="1:4" x14ac:dyDescent="0.3">
      <c r="A4139" t="s">
        <v>195</v>
      </c>
      <c r="C4139" s="16">
        <v>46290</v>
      </c>
      <c r="D4139">
        <v>3631.96</v>
      </c>
    </row>
    <row r="4140" spans="1:4" x14ac:dyDescent="0.3">
      <c r="A4140" t="s">
        <v>196</v>
      </c>
      <c r="C4140" s="16">
        <v>46290</v>
      </c>
      <c r="D4140">
        <v>602.67000000000007</v>
      </c>
    </row>
    <row r="4141" spans="1:4" x14ac:dyDescent="0.3">
      <c r="A4141" t="s">
        <v>197</v>
      </c>
      <c r="C4141" s="16">
        <v>46290</v>
      </c>
      <c r="D4141">
        <v>22961.869999999966</v>
      </c>
    </row>
    <row r="4142" spans="1:4" x14ac:dyDescent="0.3">
      <c r="A4142" t="s">
        <v>198</v>
      </c>
      <c r="C4142" s="16">
        <v>46290</v>
      </c>
      <c r="D4142">
        <v>794.01</v>
      </c>
    </row>
    <row r="4143" spans="1:4" x14ac:dyDescent="0.3">
      <c r="A4143" t="s">
        <v>216</v>
      </c>
      <c r="C4143" s="16">
        <v>46290</v>
      </c>
      <c r="D4143">
        <v>5445.57</v>
      </c>
    </row>
    <row r="4144" spans="1:4" x14ac:dyDescent="0.3">
      <c r="A4144" t="s">
        <v>200</v>
      </c>
      <c r="C4144" s="16">
        <v>46290</v>
      </c>
      <c r="D4144">
        <v>2.129999999999999</v>
      </c>
    </row>
    <row r="4145" spans="1:4" x14ac:dyDescent="0.3">
      <c r="A4145" t="s">
        <v>201</v>
      </c>
      <c r="C4145" s="16">
        <v>46290</v>
      </c>
      <c r="D4145">
        <v>236033.16999999998</v>
      </c>
    </row>
    <row r="4146" spans="1:4" x14ac:dyDescent="0.3">
      <c r="A4146" t="s">
        <v>17</v>
      </c>
      <c r="C4146" s="16">
        <v>46291</v>
      </c>
      <c r="D4146">
        <v>1835844.9700000007</v>
      </c>
    </row>
    <row r="4147" spans="1:4" x14ac:dyDescent="0.3">
      <c r="A4147" t="s">
        <v>18</v>
      </c>
      <c r="C4147" s="16">
        <v>46291</v>
      </c>
      <c r="D4147">
        <v>100486.46000000017</v>
      </c>
    </row>
    <row r="4148" spans="1:4" x14ac:dyDescent="0.3">
      <c r="A4148" t="s">
        <v>19</v>
      </c>
      <c r="C4148" s="16">
        <v>46291</v>
      </c>
      <c r="D4148">
        <v>1669.89</v>
      </c>
    </row>
    <row r="4149" spans="1:4" x14ac:dyDescent="0.3">
      <c r="A4149" t="s">
        <v>20</v>
      </c>
      <c r="C4149" s="16">
        <v>46291</v>
      </c>
      <c r="D4149">
        <v>1313603.3599999999</v>
      </c>
    </row>
    <row r="4150" spans="1:4" x14ac:dyDescent="0.3">
      <c r="A4150" t="s">
        <v>21</v>
      </c>
      <c r="C4150" s="16">
        <v>46291</v>
      </c>
      <c r="D4150">
        <v>1350200.6299999994</v>
      </c>
    </row>
    <row r="4151" spans="1:4" x14ac:dyDescent="0.3">
      <c r="A4151" t="s">
        <v>22</v>
      </c>
      <c r="C4151" s="16">
        <v>46291</v>
      </c>
      <c r="D4151">
        <v>229778.14</v>
      </c>
    </row>
    <row r="4152" spans="1:4" x14ac:dyDescent="0.3">
      <c r="A4152" t="s">
        <v>23</v>
      </c>
      <c r="C4152" s="16">
        <v>46291</v>
      </c>
      <c r="D4152">
        <v>98169.25999999998</v>
      </c>
    </row>
    <row r="4153" spans="1:4" x14ac:dyDescent="0.3">
      <c r="A4153" t="s">
        <v>24</v>
      </c>
      <c r="C4153" s="16">
        <v>46291</v>
      </c>
      <c r="D4153">
        <v>13270.02</v>
      </c>
    </row>
    <row r="4154" spans="1:4" x14ac:dyDescent="0.3">
      <c r="A4154" t="s">
        <v>25</v>
      </c>
      <c r="C4154" s="16">
        <v>46291</v>
      </c>
      <c r="D4154">
        <v>94.5</v>
      </c>
    </row>
    <row r="4155" spans="1:4" x14ac:dyDescent="0.3">
      <c r="A4155" t="s">
        <v>26</v>
      </c>
      <c r="C4155" s="16">
        <v>46291</v>
      </c>
      <c r="D4155">
        <v>2147.92</v>
      </c>
    </row>
    <row r="4156" spans="1:4" x14ac:dyDescent="0.3">
      <c r="A4156" t="s">
        <v>27</v>
      </c>
      <c r="C4156" s="16">
        <v>46291</v>
      </c>
      <c r="D4156">
        <v>18005.290000000015</v>
      </c>
    </row>
    <row r="4157" spans="1:4" x14ac:dyDescent="0.3">
      <c r="A4157" t="s">
        <v>28</v>
      </c>
      <c r="C4157" s="16">
        <v>46291</v>
      </c>
      <c r="D4157">
        <v>1968.99</v>
      </c>
    </row>
    <row r="4158" spans="1:4" x14ac:dyDescent="0.3">
      <c r="A4158" t="s">
        <v>29</v>
      </c>
      <c r="C4158" s="16">
        <v>46291</v>
      </c>
      <c r="D4158">
        <v>901.34</v>
      </c>
    </row>
    <row r="4159" spans="1:4" x14ac:dyDescent="0.3">
      <c r="A4159" t="s">
        <v>30</v>
      </c>
      <c r="C4159" s="16">
        <v>46291</v>
      </c>
      <c r="D4159">
        <v>1380.08</v>
      </c>
    </row>
    <row r="4160" spans="1:4" x14ac:dyDescent="0.3">
      <c r="A4160" t="s">
        <v>31</v>
      </c>
      <c r="C4160" s="16">
        <v>46291</v>
      </c>
      <c r="D4160">
        <v>28714.879999999961</v>
      </c>
    </row>
    <row r="4161" spans="1:4" x14ac:dyDescent="0.3">
      <c r="A4161" t="s">
        <v>32</v>
      </c>
      <c r="C4161" s="16">
        <v>46291</v>
      </c>
      <c r="D4161">
        <v>23389.690000000006</v>
      </c>
    </row>
    <row r="4162" spans="1:4" x14ac:dyDescent="0.3">
      <c r="A4162" t="s">
        <v>33</v>
      </c>
      <c r="C4162" s="16">
        <v>46291</v>
      </c>
      <c r="D4162">
        <v>16896.059999999998</v>
      </c>
    </row>
    <row r="4163" spans="1:4" x14ac:dyDescent="0.3">
      <c r="A4163" t="s">
        <v>34</v>
      </c>
      <c r="C4163" s="16">
        <v>46291</v>
      </c>
      <c r="D4163">
        <v>345</v>
      </c>
    </row>
    <row r="4164" spans="1:4" x14ac:dyDescent="0.3">
      <c r="A4164" t="s">
        <v>35</v>
      </c>
      <c r="C4164" s="16">
        <v>46291</v>
      </c>
      <c r="D4164">
        <v>12252.970000000001</v>
      </c>
    </row>
    <row r="4165" spans="1:4" x14ac:dyDescent="0.3">
      <c r="A4165" t="s">
        <v>193</v>
      </c>
      <c r="C4165" s="16">
        <v>46291</v>
      </c>
      <c r="D4165">
        <v>312314.37000000005</v>
      </c>
    </row>
    <row r="4166" spans="1:4" x14ac:dyDescent="0.3">
      <c r="A4166" t="s">
        <v>194</v>
      </c>
      <c r="C4166" s="16">
        <v>46291</v>
      </c>
      <c r="D4166">
        <v>103560.93000000001</v>
      </c>
    </row>
    <row r="4167" spans="1:4" x14ac:dyDescent="0.3">
      <c r="A4167" t="s">
        <v>195</v>
      </c>
      <c r="C4167" s="16">
        <v>46291</v>
      </c>
      <c r="D4167">
        <v>3631.96</v>
      </c>
    </row>
    <row r="4168" spans="1:4" x14ac:dyDescent="0.3">
      <c r="A4168" t="s">
        <v>196</v>
      </c>
      <c r="C4168" s="16">
        <v>46291</v>
      </c>
      <c r="D4168">
        <v>602.67000000000007</v>
      </c>
    </row>
    <row r="4169" spans="1:4" x14ac:dyDescent="0.3">
      <c r="A4169" t="s">
        <v>197</v>
      </c>
      <c r="C4169" s="16">
        <v>46291</v>
      </c>
      <c r="D4169">
        <v>22961.869999999966</v>
      </c>
    </row>
    <row r="4170" spans="1:4" x14ac:dyDescent="0.3">
      <c r="A4170" t="s">
        <v>198</v>
      </c>
      <c r="C4170" s="16">
        <v>46291</v>
      </c>
      <c r="D4170">
        <v>794.01</v>
      </c>
    </row>
    <row r="4171" spans="1:4" x14ac:dyDescent="0.3">
      <c r="A4171" t="s">
        <v>216</v>
      </c>
      <c r="C4171" s="16">
        <v>46291</v>
      </c>
      <c r="D4171">
        <v>5445.57</v>
      </c>
    </row>
    <row r="4172" spans="1:4" x14ac:dyDescent="0.3">
      <c r="A4172" t="s">
        <v>200</v>
      </c>
      <c r="C4172" s="16">
        <v>46291</v>
      </c>
      <c r="D4172">
        <v>2.129999999999999</v>
      </c>
    </row>
    <row r="4173" spans="1:4" x14ac:dyDescent="0.3">
      <c r="A4173" t="s">
        <v>201</v>
      </c>
      <c r="C4173" s="16">
        <v>46291</v>
      </c>
      <c r="D4173">
        <v>236033.16999999998</v>
      </c>
    </row>
    <row r="4174" spans="1:4" x14ac:dyDescent="0.3">
      <c r="A4174" t="s">
        <v>17</v>
      </c>
      <c r="C4174" s="16">
        <v>46292</v>
      </c>
      <c r="D4174">
        <v>1835844.9700000007</v>
      </c>
    </row>
    <row r="4175" spans="1:4" x14ac:dyDescent="0.3">
      <c r="A4175" t="s">
        <v>18</v>
      </c>
      <c r="C4175" s="16">
        <v>46292</v>
      </c>
      <c r="D4175">
        <v>100486.46000000017</v>
      </c>
    </row>
    <row r="4176" spans="1:4" x14ac:dyDescent="0.3">
      <c r="A4176" t="s">
        <v>19</v>
      </c>
      <c r="C4176" s="16">
        <v>46292</v>
      </c>
      <c r="D4176">
        <v>1669.89</v>
      </c>
    </row>
    <row r="4177" spans="1:4" x14ac:dyDescent="0.3">
      <c r="A4177" t="s">
        <v>20</v>
      </c>
      <c r="C4177" s="16">
        <v>46292</v>
      </c>
      <c r="D4177">
        <v>1313603.3599999999</v>
      </c>
    </row>
    <row r="4178" spans="1:4" x14ac:dyDescent="0.3">
      <c r="A4178" t="s">
        <v>21</v>
      </c>
      <c r="C4178" s="16">
        <v>46292</v>
      </c>
      <c r="D4178">
        <v>1350200.6299999994</v>
      </c>
    </row>
    <row r="4179" spans="1:4" x14ac:dyDescent="0.3">
      <c r="A4179" t="s">
        <v>22</v>
      </c>
      <c r="C4179" s="16">
        <v>46292</v>
      </c>
      <c r="D4179">
        <v>229778.14</v>
      </c>
    </row>
    <row r="4180" spans="1:4" x14ac:dyDescent="0.3">
      <c r="A4180" t="s">
        <v>23</v>
      </c>
      <c r="C4180" s="16">
        <v>46292</v>
      </c>
      <c r="D4180">
        <v>98169.25999999998</v>
      </c>
    </row>
    <row r="4181" spans="1:4" x14ac:dyDescent="0.3">
      <c r="A4181" t="s">
        <v>24</v>
      </c>
      <c r="C4181" s="16">
        <v>46292</v>
      </c>
      <c r="D4181">
        <v>13270.02</v>
      </c>
    </row>
    <row r="4182" spans="1:4" x14ac:dyDescent="0.3">
      <c r="A4182" t="s">
        <v>25</v>
      </c>
      <c r="C4182" s="16">
        <v>46292</v>
      </c>
      <c r="D4182">
        <v>94.5</v>
      </c>
    </row>
    <row r="4183" spans="1:4" x14ac:dyDescent="0.3">
      <c r="A4183" t="s">
        <v>26</v>
      </c>
      <c r="C4183" s="16">
        <v>46292</v>
      </c>
      <c r="D4183">
        <v>2147.92</v>
      </c>
    </row>
    <row r="4184" spans="1:4" x14ac:dyDescent="0.3">
      <c r="A4184" t="s">
        <v>27</v>
      </c>
      <c r="C4184" s="16">
        <v>46292</v>
      </c>
      <c r="D4184">
        <v>18005.290000000015</v>
      </c>
    </row>
    <row r="4185" spans="1:4" x14ac:dyDescent="0.3">
      <c r="A4185" t="s">
        <v>28</v>
      </c>
      <c r="C4185" s="16">
        <v>46292</v>
      </c>
      <c r="D4185">
        <v>1968.99</v>
      </c>
    </row>
    <row r="4186" spans="1:4" x14ac:dyDescent="0.3">
      <c r="A4186" t="s">
        <v>29</v>
      </c>
      <c r="C4186" s="16">
        <v>46292</v>
      </c>
      <c r="D4186">
        <v>901.34</v>
      </c>
    </row>
    <row r="4187" spans="1:4" x14ac:dyDescent="0.3">
      <c r="A4187" t="s">
        <v>30</v>
      </c>
      <c r="C4187" s="16">
        <v>46292</v>
      </c>
      <c r="D4187">
        <v>1380.08</v>
      </c>
    </row>
    <row r="4188" spans="1:4" x14ac:dyDescent="0.3">
      <c r="A4188" t="s">
        <v>31</v>
      </c>
      <c r="C4188" s="16">
        <v>46292</v>
      </c>
      <c r="D4188">
        <v>28714.879999999961</v>
      </c>
    </row>
    <row r="4189" spans="1:4" x14ac:dyDescent="0.3">
      <c r="A4189" t="s">
        <v>32</v>
      </c>
      <c r="C4189" s="16">
        <v>46292</v>
      </c>
      <c r="D4189">
        <v>23389.690000000006</v>
      </c>
    </row>
    <row r="4190" spans="1:4" x14ac:dyDescent="0.3">
      <c r="A4190" t="s">
        <v>33</v>
      </c>
      <c r="C4190" s="16">
        <v>46292</v>
      </c>
      <c r="D4190">
        <v>16896.059999999998</v>
      </c>
    </row>
    <row r="4191" spans="1:4" x14ac:dyDescent="0.3">
      <c r="A4191" t="s">
        <v>34</v>
      </c>
      <c r="C4191" s="16">
        <v>46292</v>
      </c>
      <c r="D4191">
        <v>345</v>
      </c>
    </row>
    <row r="4192" spans="1:4" x14ac:dyDescent="0.3">
      <c r="A4192" t="s">
        <v>35</v>
      </c>
      <c r="C4192" s="16">
        <v>46292</v>
      </c>
      <c r="D4192">
        <v>12252.970000000001</v>
      </c>
    </row>
    <row r="4193" spans="1:4" x14ac:dyDescent="0.3">
      <c r="A4193" t="s">
        <v>193</v>
      </c>
      <c r="C4193" s="16">
        <v>46292</v>
      </c>
      <c r="D4193">
        <v>312314.37000000005</v>
      </c>
    </row>
    <row r="4194" spans="1:4" x14ac:dyDescent="0.3">
      <c r="A4194" t="s">
        <v>194</v>
      </c>
      <c r="C4194" s="16">
        <v>46292</v>
      </c>
      <c r="D4194">
        <v>103560.93000000001</v>
      </c>
    </row>
    <row r="4195" spans="1:4" x14ac:dyDescent="0.3">
      <c r="A4195" t="s">
        <v>195</v>
      </c>
      <c r="C4195" s="16">
        <v>46292</v>
      </c>
      <c r="D4195">
        <v>3631.96</v>
      </c>
    </row>
    <row r="4196" spans="1:4" x14ac:dyDescent="0.3">
      <c r="A4196" t="s">
        <v>196</v>
      </c>
      <c r="C4196" s="16">
        <v>46292</v>
      </c>
      <c r="D4196">
        <v>602.67000000000007</v>
      </c>
    </row>
    <row r="4197" spans="1:4" x14ac:dyDescent="0.3">
      <c r="A4197" t="s">
        <v>197</v>
      </c>
      <c r="C4197" s="16">
        <v>46292</v>
      </c>
      <c r="D4197">
        <v>22961.869999999966</v>
      </c>
    </row>
    <row r="4198" spans="1:4" x14ac:dyDescent="0.3">
      <c r="A4198" t="s">
        <v>198</v>
      </c>
      <c r="C4198" s="16">
        <v>46292</v>
      </c>
      <c r="D4198">
        <v>794.01</v>
      </c>
    </row>
    <row r="4199" spans="1:4" x14ac:dyDescent="0.3">
      <c r="A4199" t="s">
        <v>216</v>
      </c>
      <c r="C4199" s="16">
        <v>46292</v>
      </c>
      <c r="D4199">
        <v>5445.57</v>
      </c>
    </row>
    <row r="4200" spans="1:4" x14ac:dyDescent="0.3">
      <c r="A4200" t="s">
        <v>200</v>
      </c>
      <c r="C4200" s="16">
        <v>46292</v>
      </c>
      <c r="D4200">
        <v>2.129999999999999</v>
      </c>
    </row>
    <row r="4201" spans="1:4" x14ac:dyDescent="0.3">
      <c r="A4201" t="s">
        <v>201</v>
      </c>
      <c r="C4201" s="16">
        <v>46292</v>
      </c>
      <c r="D4201">
        <v>236033.16999999998</v>
      </c>
    </row>
    <row r="4202" spans="1:4" x14ac:dyDescent="0.3">
      <c r="A4202" t="s">
        <v>17</v>
      </c>
      <c r="C4202" s="16">
        <v>46293</v>
      </c>
      <c r="D4202">
        <v>1843641.4700000007</v>
      </c>
    </row>
    <row r="4203" spans="1:4" x14ac:dyDescent="0.3">
      <c r="A4203" t="s">
        <v>18</v>
      </c>
      <c r="C4203" s="16">
        <v>46293</v>
      </c>
      <c r="D4203">
        <v>100486.46000000017</v>
      </c>
    </row>
    <row r="4204" spans="1:4" x14ac:dyDescent="0.3">
      <c r="A4204" t="s">
        <v>19</v>
      </c>
      <c r="C4204" s="16">
        <v>46293</v>
      </c>
      <c r="D4204">
        <v>1669.89</v>
      </c>
    </row>
    <row r="4205" spans="1:4" x14ac:dyDescent="0.3">
      <c r="A4205" t="s">
        <v>20</v>
      </c>
      <c r="C4205" s="16">
        <v>46293</v>
      </c>
      <c r="D4205">
        <v>1330582.2599999998</v>
      </c>
    </row>
    <row r="4206" spans="1:4" x14ac:dyDescent="0.3">
      <c r="A4206" t="s">
        <v>21</v>
      </c>
      <c r="C4206" s="16">
        <v>46293</v>
      </c>
      <c r="D4206">
        <v>1350200.6299999994</v>
      </c>
    </row>
    <row r="4207" spans="1:4" x14ac:dyDescent="0.3">
      <c r="A4207" t="s">
        <v>22</v>
      </c>
      <c r="C4207" s="16">
        <v>46293</v>
      </c>
      <c r="D4207">
        <v>229778.14</v>
      </c>
    </row>
    <row r="4208" spans="1:4" x14ac:dyDescent="0.3">
      <c r="A4208" t="s">
        <v>23</v>
      </c>
      <c r="C4208" s="16">
        <v>46293</v>
      </c>
      <c r="D4208">
        <v>98169.25999999998</v>
      </c>
    </row>
    <row r="4209" spans="1:4" x14ac:dyDescent="0.3">
      <c r="A4209" t="s">
        <v>24</v>
      </c>
      <c r="C4209" s="16">
        <v>46293</v>
      </c>
      <c r="D4209">
        <v>13270.02</v>
      </c>
    </row>
    <row r="4210" spans="1:4" x14ac:dyDescent="0.3">
      <c r="A4210" t="s">
        <v>25</v>
      </c>
      <c r="C4210" s="16">
        <v>46293</v>
      </c>
      <c r="D4210">
        <v>94.5</v>
      </c>
    </row>
    <row r="4211" spans="1:4" x14ac:dyDescent="0.3">
      <c r="A4211" t="s">
        <v>26</v>
      </c>
      <c r="C4211" s="16">
        <v>46293</v>
      </c>
      <c r="D4211">
        <v>2147.92</v>
      </c>
    </row>
    <row r="4212" spans="1:4" x14ac:dyDescent="0.3">
      <c r="A4212" t="s">
        <v>27</v>
      </c>
      <c r="C4212" s="16">
        <v>46293</v>
      </c>
      <c r="D4212">
        <v>18005.290000000015</v>
      </c>
    </row>
    <row r="4213" spans="1:4" x14ac:dyDescent="0.3">
      <c r="A4213" t="s">
        <v>28</v>
      </c>
      <c r="C4213" s="16">
        <v>46293</v>
      </c>
      <c r="D4213">
        <v>1968.99</v>
      </c>
    </row>
    <row r="4214" spans="1:4" x14ac:dyDescent="0.3">
      <c r="A4214" t="s">
        <v>29</v>
      </c>
      <c r="C4214" s="16">
        <v>46293</v>
      </c>
      <c r="D4214">
        <v>901.34</v>
      </c>
    </row>
    <row r="4215" spans="1:4" x14ac:dyDescent="0.3">
      <c r="A4215" t="s">
        <v>30</v>
      </c>
      <c r="C4215" s="16">
        <v>46293</v>
      </c>
      <c r="D4215">
        <v>1380.08</v>
      </c>
    </row>
    <row r="4216" spans="1:4" x14ac:dyDescent="0.3">
      <c r="A4216" t="s">
        <v>31</v>
      </c>
      <c r="C4216" s="16">
        <v>46293</v>
      </c>
      <c r="D4216">
        <v>28714.879999999961</v>
      </c>
    </row>
    <row r="4217" spans="1:4" x14ac:dyDescent="0.3">
      <c r="A4217" t="s">
        <v>32</v>
      </c>
      <c r="C4217" s="16">
        <v>46293</v>
      </c>
      <c r="D4217">
        <v>23374.690000000006</v>
      </c>
    </row>
    <row r="4218" spans="1:4" x14ac:dyDescent="0.3">
      <c r="A4218" t="s">
        <v>33</v>
      </c>
      <c r="C4218" s="16">
        <v>46293</v>
      </c>
      <c r="D4218">
        <v>16266.809999999998</v>
      </c>
    </row>
    <row r="4219" spans="1:4" x14ac:dyDescent="0.3">
      <c r="A4219" t="s">
        <v>34</v>
      </c>
      <c r="C4219" s="16">
        <v>46293</v>
      </c>
      <c r="D4219">
        <v>345</v>
      </c>
    </row>
    <row r="4220" spans="1:4" x14ac:dyDescent="0.3">
      <c r="A4220" t="s">
        <v>35</v>
      </c>
      <c r="C4220" s="16">
        <v>46293</v>
      </c>
      <c r="D4220">
        <v>12252.970000000001</v>
      </c>
    </row>
    <row r="4221" spans="1:4" x14ac:dyDescent="0.3">
      <c r="A4221" t="s">
        <v>193</v>
      </c>
      <c r="C4221" s="16">
        <v>46293</v>
      </c>
      <c r="D4221">
        <v>312314.37000000005</v>
      </c>
    </row>
    <row r="4222" spans="1:4" x14ac:dyDescent="0.3">
      <c r="A4222" t="s">
        <v>194</v>
      </c>
      <c r="C4222" s="16">
        <v>46293</v>
      </c>
      <c r="D4222">
        <v>103560.93000000001</v>
      </c>
    </row>
    <row r="4223" spans="1:4" x14ac:dyDescent="0.3">
      <c r="A4223" t="s">
        <v>195</v>
      </c>
      <c r="C4223" s="16">
        <v>46293</v>
      </c>
      <c r="D4223">
        <v>3631.96</v>
      </c>
    </row>
    <row r="4224" spans="1:4" x14ac:dyDescent="0.3">
      <c r="A4224" t="s">
        <v>196</v>
      </c>
      <c r="C4224" s="16">
        <v>46293</v>
      </c>
      <c r="D4224">
        <v>602.67000000000007</v>
      </c>
    </row>
    <row r="4225" spans="1:4" x14ac:dyDescent="0.3">
      <c r="A4225" t="s">
        <v>197</v>
      </c>
      <c r="C4225" s="16">
        <v>46293</v>
      </c>
      <c r="D4225">
        <v>22456.779999999955</v>
      </c>
    </row>
    <row r="4226" spans="1:4" x14ac:dyDescent="0.3">
      <c r="A4226" t="s">
        <v>198</v>
      </c>
      <c r="C4226" s="16">
        <v>46293</v>
      </c>
      <c r="D4226">
        <v>794.01</v>
      </c>
    </row>
    <row r="4227" spans="1:4" x14ac:dyDescent="0.3">
      <c r="A4227" t="s">
        <v>216</v>
      </c>
      <c r="C4227" s="16">
        <v>46293</v>
      </c>
      <c r="D4227">
        <v>5445.57</v>
      </c>
    </row>
    <row r="4228" spans="1:4" x14ac:dyDescent="0.3">
      <c r="A4228" t="s">
        <v>200</v>
      </c>
      <c r="C4228" s="16">
        <v>46293</v>
      </c>
      <c r="D4228">
        <v>2.129999999999999</v>
      </c>
    </row>
    <row r="4229" spans="1:4" x14ac:dyDescent="0.3">
      <c r="A4229" t="s">
        <v>201</v>
      </c>
      <c r="C4229" s="16">
        <v>46293</v>
      </c>
      <c r="D4229">
        <v>237883.16999999998</v>
      </c>
    </row>
    <row r="4230" spans="1:4" x14ac:dyDescent="0.3">
      <c r="A4230" t="s">
        <v>17</v>
      </c>
      <c r="C4230" s="16">
        <v>46294</v>
      </c>
      <c r="D4230">
        <v>1840848.4400000006</v>
      </c>
    </row>
    <row r="4231" spans="1:4" x14ac:dyDescent="0.3">
      <c r="A4231" t="s">
        <v>18</v>
      </c>
      <c r="C4231" s="16">
        <v>46294</v>
      </c>
      <c r="D4231">
        <v>100486.46000000017</v>
      </c>
    </row>
    <row r="4232" spans="1:4" x14ac:dyDescent="0.3">
      <c r="A4232" t="s">
        <v>19</v>
      </c>
      <c r="C4232" s="16">
        <v>46294</v>
      </c>
      <c r="D4232">
        <v>1669.89</v>
      </c>
    </row>
    <row r="4233" spans="1:4" x14ac:dyDescent="0.3">
      <c r="A4233" t="s">
        <v>20</v>
      </c>
      <c r="C4233" s="16">
        <v>46294</v>
      </c>
      <c r="D4233">
        <v>1330582.2599999998</v>
      </c>
    </row>
    <row r="4234" spans="1:4" x14ac:dyDescent="0.3">
      <c r="A4234" t="s">
        <v>21</v>
      </c>
      <c r="C4234" s="16">
        <v>46294</v>
      </c>
      <c r="D4234">
        <v>1181041.1199999996</v>
      </c>
    </row>
    <row r="4235" spans="1:4" x14ac:dyDescent="0.3">
      <c r="A4235" t="s">
        <v>22</v>
      </c>
      <c r="C4235" s="16">
        <v>46294</v>
      </c>
      <c r="D4235">
        <v>229778.14</v>
      </c>
    </row>
    <row r="4236" spans="1:4" x14ac:dyDescent="0.3">
      <c r="A4236" t="s">
        <v>23</v>
      </c>
      <c r="C4236" s="16">
        <v>46294</v>
      </c>
      <c r="D4236">
        <v>98169.25999999998</v>
      </c>
    </row>
    <row r="4237" spans="1:4" x14ac:dyDescent="0.3">
      <c r="A4237" t="s">
        <v>24</v>
      </c>
      <c r="C4237" s="16">
        <v>46294</v>
      </c>
      <c r="D4237">
        <v>13270.02</v>
      </c>
    </row>
    <row r="4238" spans="1:4" x14ac:dyDescent="0.3">
      <c r="A4238" t="s">
        <v>25</v>
      </c>
      <c r="C4238" s="16">
        <v>46294</v>
      </c>
      <c r="D4238">
        <v>94.5</v>
      </c>
    </row>
    <row r="4239" spans="1:4" x14ac:dyDescent="0.3">
      <c r="A4239" t="s">
        <v>26</v>
      </c>
      <c r="C4239" s="16">
        <v>46294</v>
      </c>
      <c r="D4239">
        <v>2147.92</v>
      </c>
    </row>
    <row r="4240" spans="1:4" x14ac:dyDescent="0.3">
      <c r="A4240" t="s">
        <v>27</v>
      </c>
      <c r="C4240" s="16">
        <v>46294</v>
      </c>
      <c r="D4240">
        <v>18005.290000000015</v>
      </c>
    </row>
    <row r="4241" spans="1:4" x14ac:dyDescent="0.3">
      <c r="A4241" t="s">
        <v>28</v>
      </c>
      <c r="C4241" s="16">
        <v>46294</v>
      </c>
      <c r="D4241">
        <v>1968.99</v>
      </c>
    </row>
    <row r="4242" spans="1:4" x14ac:dyDescent="0.3">
      <c r="A4242" t="s">
        <v>29</v>
      </c>
      <c r="C4242" s="16">
        <v>46294</v>
      </c>
      <c r="D4242">
        <v>901.34</v>
      </c>
    </row>
    <row r="4243" spans="1:4" x14ac:dyDescent="0.3">
      <c r="A4243" t="s">
        <v>30</v>
      </c>
      <c r="C4243" s="16">
        <v>46294</v>
      </c>
      <c r="D4243">
        <v>1380.08</v>
      </c>
    </row>
    <row r="4244" spans="1:4" x14ac:dyDescent="0.3">
      <c r="A4244" t="s">
        <v>31</v>
      </c>
      <c r="C4244" s="16">
        <v>46294</v>
      </c>
      <c r="D4244">
        <v>28714.879999999961</v>
      </c>
    </row>
    <row r="4245" spans="1:4" x14ac:dyDescent="0.3">
      <c r="A4245" t="s">
        <v>32</v>
      </c>
      <c r="C4245" s="16">
        <v>46294</v>
      </c>
      <c r="D4245">
        <v>23374.690000000006</v>
      </c>
    </row>
    <row r="4246" spans="1:4" x14ac:dyDescent="0.3">
      <c r="A4246" t="s">
        <v>33</v>
      </c>
      <c r="C4246" s="16">
        <v>46294</v>
      </c>
      <c r="D4246">
        <v>19266.809999999998</v>
      </c>
    </row>
    <row r="4247" spans="1:4" x14ac:dyDescent="0.3">
      <c r="A4247" t="s">
        <v>34</v>
      </c>
      <c r="C4247" s="16">
        <v>46294</v>
      </c>
      <c r="D4247">
        <v>345</v>
      </c>
    </row>
    <row r="4248" spans="1:4" x14ac:dyDescent="0.3">
      <c r="A4248" t="s">
        <v>35</v>
      </c>
      <c r="C4248" s="16">
        <v>46294</v>
      </c>
      <c r="D4248">
        <v>12252.970000000001</v>
      </c>
    </row>
    <row r="4249" spans="1:4" x14ac:dyDescent="0.3">
      <c r="A4249" t="s">
        <v>193</v>
      </c>
      <c r="C4249" s="16">
        <v>46294</v>
      </c>
      <c r="D4249">
        <v>312314.37000000005</v>
      </c>
    </row>
    <row r="4250" spans="1:4" x14ac:dyDescent="0.3">
      <c r="A4250" t="s">
        <v>194</v>
      </c>
      <c r="C4250" s="16">
        <v>46294</v>
      </c>
      <c r="D4250">
        <v>102394.01000000001</v>
      </c>
    </row>
    <row r="4251" spans="1:4" x14ac:dyDescent="0.3">
      <c r="A4251" t="s">
        <v>195</v>
      </c>
      <c r="C4251" s="16">
        <v>46294</v>
      </c>
      <c r="D4251">
        <v>3631.96</v>
      </c>
    </row>
    <row r="4252" spans="1:4" x14ac:dyDescent="0.3">
      <c r="A4252" t="s">
        <v>196</v>
      </c>
      <c r="C4252" s="16">
        <v>46294</v>
      </c>
      <c r="D4252">
        <v>602.67000000000007</v>
      </c>
    </row>
    <row r="4253" spans="1:4" x14ac:dyDescent="0.3">
      <c r="A4253" t="s">
        <v>197</v>
      </c>
      <c r="C4253" s="16">
        <v>46294</v>
      </c>
      <c r="D4253">
        <v>22456.779999999955</v>
      </c>
    </row>
    <row r="4254" spans="1:4" x14ac:dyDescent="0.3">
      <c r="A4254" t="s">
        <v>198</v>
      </c>
      <c r="C4254" s="16">
        <v>46294</v>
      </c>
      <c r="D4254">
        <v>794.01</v>
      </c>
    </row>
    <row r="4255" spans="1:4" x14ac:dyDescent="0.3">
      <c r="A4255" t="s">
        <v>216</v>
      </c>
      <c r="C4255" s="16">
        <v>46294</v>
      </c>
      <c r="D4255">
        <v>5445.57</v>
      </c>
    </row>
    <row r="4256" spans="1:4" x14ac:dyDescent="0.3">
      <c r="A4256" t="s">
        <v>200</v>
      </c>
      <c r="C4256" s="16">
        <v>46294</v>
      </c>
      <c r="D4256">
        <v>2.129999999999999</v>
      </c>
    </row>
    <row r="4257" spans="1:4" x14ac:dyDescent="0.3">
      <c r="A4257" t="s">
        <v>201</v>
      </c>
      <c r="C4257" s="16">
        <v>46294</v>
      </c>
      <c r="D4257">
        <v>239523.16999999998</v>
      </c>
    </row>
    <row r="4258" spans="1:4" x14ac:dyDescent="0.3">
      <c r="A4258" t="s">
        <v>17</v>
      </c>
      <c r="C4258" s="16">
        <v>46295</v>
      </c>
      <c r="D4258">
        <v>1926842.4500000007</v>
      </c>
    </row>
    <row r="4259" spans="1:4" x14ac:dyDescent="0.3">
      <c r="A4259" t="s">
        <v>18</v>
      </c>
      <c r="C4259" s="16">
        <v>46295</v>
      </c>
      <c r="D4259">
        <v>103123.59000000017</v>
      </c>
    </row>
    <row r="4260" spans="1:4" x14ac:dyDescent="0.3">
      <c r="A4260" t="s">
        <v>19</v>
      </c>
      <c r="C4260" s="16">
        <v>46295</v>
      </c>
      <c r="D4260">
        <v>1669.89</v>
      </c>
    </row>
    <row r="4261" spans="1:4" x14ac:dyDescent="0.3">
      <c r="A4261" t="s">
        <v>20</v>
      </c>
      <c r="C4261" s="16">
        <v>46295</v>
      </c>
      <c r="D4261">
        <v>1355779.1799999997</v>
      </c>
    </row>
    <row r="4262" spans="1:4" x14ac:dyDescent="0.3">
      <c r="A4262" t="s">
        <v>21</v>
      </c>
      <c r="C4262" s="16">
        <v>46295</v>
      </c>
      <c r="D4262">
        <v>1111272.6599999995</v>
      </c>
    </row>
    <row r="4263" spans="1:4" x14ac:dyDescent="0.3">
      <c r="A4263" t="s">
        <v>22</v>
      </c>
      <c r="C4263" s="16">
        <v>46295</v>
      </c>
      <c r="D4263">
        <v>229778.14</v>
      </c>
    </row>
    <row r="4264" spans="1:4" x14ac:dyDescent="0.3">
      <c r="A4264" t="s">
        <v>23</v>
      </c>
      <c r="C4264" s="16">
        <v>46295</v>
      </c>
      <c r="D4264">
        <v>98169.25999999998</v>
      </c>
    </row>
    <row r="4265" spans="1:4" x14ac:dyDescent="0.3">
      <c r="A4265" t="s">
        <v>24</v>
      </c>
      <c r="C4265" s="16">
        <v>46295</v>
      </c>
      <c r="D4265">
        <v>13270.02</v>
      </c>
    </row>
    <row r="4266" spans="1:4" x14ac:dyDescent="0.3">
      <c r="A4266" t="s">
        <v>25</v>
      </c>
      <c r="C4266" s="16">
        <v>46295</v>
      </c>
      <c r="D4266">
        <v>94.5</v>
      </c>
    </row>
    <row r="4267" spans="1:4" x14ac:dyDescent="0.3">
      <c r="A4267" t="s">
        <v>26</v>
      </c>
      <c r="C4267" s="16">
        <v>46295</v>
      </c>
      <c r="D4267">
        <v>2147.92</v>
      </c>
    </row>
    <row r="4268" spans="1:4" x14ac:dyDescent="0.3">
      <c r="A4268" t="s">
        <v>27</v>
      </c>
      <c r="C4268" s="16">
        <v>46295</v>
      </c>
      <c r="D4268">
        <v>18005.290000000015</v>
      </c>
    </row>
    <row r="4269" spans="1:4" x14ac:dyDescent="0.3">
      <c r="A4269" t="s">
        <v>28</v>
      </c>
      <c r="C4269" s="16">
        <v>46295</v>
      </c>
      <c r="D4269">
        <v>1968.99</v>
      </c>
    </row>
    <row r="4270" spans="1:4" x14ac:dyDescent="0.3">
      <c r="A4270" t="s">
        <v>29</v>
      </c>
      <c r="C4270" s="16">
        <v>46295</v>
      </c>
      <c r="D4270">
        <v>901.34</v>
      </c>
    </row>
    <row r="4271" spans="1:4" x14ac:dyDescent="0.3">
      <c r="A4271" t="s">
        <v>30</v>
      </c>
      <c r="C4271" s="16">
        <v>46295</v>
      </c>
      <c r="D4271">
        <v>1380.08</v>
      </c>
    </row>
    <row r="4272" spans="1:4" x14ac:dyDescent="0.3">
      <c r="A4272" t="s">
        <v>31</v>
      </c>
      <c r="C4272" s="16">
        <v>46295</v>
      </c>
      <c r="D4272">
        <v>28714.879999999961</v>
      </c>
    </row>
    <row r="4273" spans="1:4" x14ac:dyDescent="0.3">
      <c r="A4273" t="s">
        <v>32</v>
      </c>
      <c r="C4273" s="16">
        <v>46295</v>
      </c>
      <c r="D4273">
        <v>23374.690000000006</v>
      </c>
    </row>
    <row r="4274" spans="1:4" x14ac:dyDescent="0.3">
      <c r="A4274" t="s">
        <v>33</v>
      </c>
      <c r="C4274" s="16">
        <v>46295</v>
      </c>
      <c r="D4274">
        <v>19266.809999999998</v>
      </c>
    </row>
    <row r="4275" spans="1:4" x14ac:dyDescent="0.3">
      <c r="A4275" t="s">
        <v>34</v>
      </c>
      <c r="C4275" s="16">
        <v>46295</v>
      </c>
      <c r="D4275">
        <v>345</v>
      </c>
    </row>
    <row r="4276" spans="1:4" x14ac:dyDescent="0.3">
      <c r="A4276" t="s">
        <v>35</v>
      </c>
      <c r="C4276" s="16">
        <v>46295</v>
      </c>
      <c r="D4276">
        <v>12252.970000000001</v>
      </c>
    </row>
    <row r="4277" spans="1:4" x14ac:dyDescent="0.3">
      <c r="A4277" t="s">
        <v>193</v>
      </c>
      <c r="C4277" s="16">
        <v>46295</v>
      </c>
      <c r="D4277">
        <v>313178.98000000004</v>
      </c>
    </row>
    <row r="4278" spans="1:4" x14ac:dyDescent="0.3">
      <c r="A4278" t="s">
        <v>194</v>
      </c>
      <c r="C4278" s="16">
        <v>46295</v>
      </c>
      <c r="D4278">
        <v>102344.01000000001</v>
      </c>
    </row>
    <row r="4279" spans="1:4" x14ac:dyDescent="0.3">
      <c r="A4279" t="s">
        <v>195</v>
      </c>
      <c r="C4279" s="16">
        <v>46295</v>
      </c>
      <c r="D4279">
        <v>3631.96</v>
      </c>
    </row>
    <row r="4280" spans="1:4" x14ac:dyDescent="0.3">
      <c r="A4280" t="s">
        <v>196</v>
      </c>
      <c r="C4280" s="16">
        <v>46295</v>
      </c>
      <c r="D4280">
        <v>602.67000000000007</v>
      </c>
    </row>
    <row r="4281" spans="1:4" x14ac:dyDescent="0.3">
      <c r="A4281" t="s">
        <v>197</v>
      </c>
      <c r="C4281" s="16">
        <v>46295</v>
      </c>
      <c r="D4281">
        <v>21964.799999999959</v>
      </c>
    </row>
    <row r="4282" spans="1:4" x14ac:dyDescent="0.3">
      <c r="A4282" t="s">
        <v>198</v>
      </c>
      <c r="C4282" s="16">
        <v>46295</v>
      </c>
      <c r="D4282">
        <v>794.01</v>
      </c>
    </row>
    <row r="4283" spans="1:4" x14ac:dyDescent="0.3">
      <c r="A4283" t="s">
        <v>216</v>
      </c>
      <c r="C4283" s="16">
        <v>46295</v>
      </c>
      <c r="D4283">
        <v>5445.57</v>
      </c>
    </row>
    <row r="4284" spans="1:4" x14ac:dyDescent="0.3">
      <c r="A4284" t="s">
        <v>200</v>
      </c>
      <c r="C4284" s="16">
        <v>46295</v>
      </c>
      <c r="D4284">
        <v>2.129999999999999</v>
      </c>
    </row>
    <row r="4285" spans="1:4" x14ac:dyDescent="0.3">
      <c r="A4285" t="s">
        <v>201</v>
      </c>
      <c r="C4285" s="16">
        <v>46295</v>
      </c>
      <c r="D4285">
        <v>239523.16999999998</v>
      </c>
    </row>
    <row r="4286" spans="1:4" x14ac:dyDescent="0.3">
      <c r="A4286" t="s">
        <v>17</v>
      </c>
      <c r="C4286" s="16">
        <v>46296</v>
      </c>
      <c r="D4286">
        <v>3099850.7800000007</v>
      </c>
    </row>
    <row r="4287" spans="1:4" x14ac:dyDescent="0.3">
      <c r="A4287" t="s">
        <v>18</v>
      </c>
      <c r="C4287" s="16">
        <v>46296</v>
      </c>
      <c r="D4287">
        <v>103123.59000000017</v>
      </c>
    </row>
    <row r="4288" spans="1:4" x14ac:dyDescent="0.3">
      <c r="A4288" t="s">
        <v>19</v>
      </c>
      <c r="C4288" s="16">
        <v>46296</v>
      </c>
      <c r="D4288">
        <v>1669.89</v>
      </c>
    </row>
    <row r="4289" spans="1:4" x14ac:dyDescent="0.3">
      <c r="A4289" t="s">
        <v>20</v>
      </c>
      <c r="C4289" s="16">
        <v>46296</v>
      </c>
      <c r="D4289">
        <v>1200526.7499999995</v>
      </c>
    </row>
    <row r="4290" spans="1:4" x14ac:dyDescent="0.3">
      <c r="A4290" t="s">
        <v>21</v>
      </c>
      <c r="C4290" s="16">
        <v>46296</v>
      </c>
      <c r="D4290">
        <v>1586525.0899999994</v>
      </c>
    </row>
    <row r="4291" spans="1:4" x14ac:dyDescent="0.3">
      <c r="A4291" t="s">
        <v>22</v>
      </c>
      <c r="C4291" s="16">
        <v>46296</v>
      </c>
      <c r="D4291">
        <v>208778.14</v>
      </c>
    </row>
    <row r="4292" spans="1:4" x14ac:dyDescent="0.3">
      <c r="A4292" t="s">
        <v>23</v>
      </c>
      <c r="C4292" s="16">
        <v>46296</v>
      </c>
      <c r="D4292">
        <v>98169.25999999998</v>
      </c>
    </row>
    <row r="4293" spans="1:4" x14ac:dyDescent="0.3">
      <c r="A4293" t="s">
        <v>24</v>
      </c>
      <c r="C4293" s="16">
        <v>46296</v>
      </c>
      <c r="D4293">
        <v>13270.02</v>
      </c>
    </row>
    <row r="4294" spans="1:4" x14ac:dyDescent="0.3">
      <c r="A4294" t="s">
        <v>25</v>
      </c>
      <c r="C4294" s="16">
        <v>46296</v>
      </c>
      <c r="D4294">
        <v>64.55</v>
      </c>
    </row>
    <row r="4295" spans="1:4" x14ac:dyDescent="0.3">
      <c r="A4295" t="s">
        <v>26</v>
      </c>
      <c r="C4295" s="16">
        <v>46296</v>
      </c>
      <c r="D4295">
        <v>2117.9700000000003</v>
      </c>
    </row>
    <row r="4296" spans="1:4" x14ac:dyDescent="0.3">
      <c r="A4296" t="s">
        <v>27</v>
      </c>
      <c r="C4296" s="16">
        <v>46296</v>
      </c>
      <c r="D4296">
        <v>18005.290000000015</v>
      </c>
    </row>
    <row r="4297" spans="1:4" x14ac:dyDescent="0.3">
      <c r="A4297" t="s">
        <v>28</v>
      </c>
      <c r="C4297" s="16">
        <v>46296</v>
      </c>
      <c r="D4297">
        <v>1968.99</v>
      </c>
    </row>
    <row r="4298" spans="1:4" x14ac:dyDescent="0.3">
      <c r="A4298" t="s">
        <v>29</v>
      </c>
      <c r="C4298" s="16">
        <v>46296</v>
      </c>
      <c r="D4298">
        <v>901.34</v>
      </c>
    </row>
    <row r="4299" spans="1:4" x14ac:dyDescent="0.3">
      <c r="A4299" t="s">
        <v>30</v>
      </c>
      <c r="C4299" s="16">
        <v>46296</v>
      </c>
      <c r="D4299">
        <v>1364.08</v>
      </c>
    </row>
    <row r="4300" spans="1:4" x14ac:dyDescent="0.3">
      <c r="A4300" t="s">
        <v>31</v>
      </c>
      <c r="C4300" s="16">
        <v>46296</v>
      </c>
      <c r="D4300">
        <v>20171.549999999959</v>
      </c>
    </row>
    <row r="4301" spans="1:4" x14ac:dyDescent="0.3">
      <c r="A4301" t="s">
        <v>32</v>
      </c>
      <c r="C4301" s="16">
        <v>46296</v>
      </c>
      <c r="D4301">
        <v>13576.060000000007</v>
      </c>
    </row>
    <row r="4302" spans="1:4" x14ac:dyDescent="0.3">
      <c r="A4302" t="s">
        <v>33</v>
      </c>
      <c r="C4302" s="16">
        <v>46296</v>
      </c>
      <c r="D4302">
        <v>16893.769999999997</v>
      </c>
    </row>
    <row r="4303" spans="1:4" x14ac:dyDescent="0.3">
      <c r="A4303" t="s">
        <v>34</v>
      </c>
      <c r="C4303" s="16">
        <v>46296</v>
      </c>
      <c r="D4303">
        <v>345</v>
      </c>
    </row>
    <row r="4304" spans="1:4" x14ac:dyDescent="0.3">
      <c r="A4304" t="s">
        <v>35</v>
      </c>
      <c r="C4304" s="16">
        <v>46296</v>
      </c>
      <c r="D4304">
        <v>26885.97</v>
      </c>
    </row>
    <row r="4305" spans="1:4" x14ac:dyDescent="0.3">
      <c r="A4305" t="s">
        <v>193</v>
      </c>
      <c r="C4305" s="16">
        <v>46296</v>
      </c>
      <c r="D4305">
        <v>313178.98000000004</v>
      </c>
    </row>
    <row r="4306" spans="1:4" x14ac:dyDescent="0.3">
      <c r="A4306" t="s">
        <v>194</v>
      </c>
      <c r="C4306" s="16">
        <v>46296</v>
      </c>
      <c r="D4306">
        <v>102344.01000000001</v>
      </c>
    </row>
    <row r="4307" spans="1:4" x14ac:dyDescent="0.3">
      <c r="A4307" t="s">
        <v>195</v>
      </c>
      <c r="C4307" s="16">
        <v>46296</v>
      </c>
      <c r="D4307">
        <v>100631.96</v>
      </c>
    </row>
    <row r="4308" spans="1:4" x14ac:dyDescent="0.3">
      <c r="A4308" t="s">
        <v>196</v>
      </c>
      <c r="C4308" s="16">
        <v>46296</v>
      </c>
      <c r="D4308">
        <v>602.67000000000007</v>
      </c>
    </row>
    <row r="4309" spans="1:4" x14ac:dyDescent="0.3">
      <c r="A4309" t="s">
        <v>197</v>
      </c>
      <c r="C4309" s="16">
        <v>46296</v>
      </c>
      <c r="D4309">
        <v>21964.799999999959</v>
      </c>
    </row>
    <row r="4310" spans="1:4" x14ac:dyDescent="0.3">
      <c r="A4310" t="s">
        <v>198</v>
      </c>
      <c r="C4310" s="16">
        <v>46296</v>
      </c>
      <c r="D4310">
        <v>794.01</v>
      </c>
    </row>
    <row r="4311" spans="1:4" x14ac:dyDescent="0.3">
      <c r="A4311" t="s">
        <v>216</v>
      </c>
      <c r="C4311" s="16">
        <v>46296</v>
      </c>
      <c r="D4311">
        <v>5445.57</v>
      </c>
    </row>
    <row r="4312" spans="1:4" x14ac:dyDescent="0.3">
      <c r="A4312" t="s">
        <v>200</v>
      </c>
      <c r="C4312" s="16">
        <v>46296</v>
      </c>
      <c r="D4312">
        <v>2.129999999999999</v>
      </c>
    </row>
    <row r="4313" spans="1:4" x14ac:dyDescent="0.3">
      <c r="A4313" t="s">
        <v>201</v>
      </c>
      <c r="C4313" s="16">
        <v>46296</v>
      </c>
      <c r="D4313">
        <v>239523.16999999998</v>
      </c>
    </row>
    <row r="4314" spans="1:4" x14ac:dyDescent="0.3">
      <c r="A4314" t="s">
        <v>17</v>
      </c>
      <c r="C4314" s="16">
        <v>46297</v>
      </c>
      <c r="D4314">
        <v>3099850.7800000007</v>
      </c>
    </row>
    <row r="4315" spans="1:4" x14ac:dyDescent="0.3">
      <c r="A4315" t="s">
        <v>18</v>
      </c>
      <c r="C4315" s="16">
        <v>46297</v>
      </c>
      <c r="D4315">
        <v>103123.59000000017</v>
      </c>
    </row>
    <row r="4316" spans="1:4" x14ac:dyDescent="0.3">
      <c r="A4316" t="s">
        <v>19</v>
      </c>
      <c r="C4316" s="16">
        <v>46297</v>
      </c>
      <c r="D4316">
        <v>1669.89</v>
      </c>
    </row>
    <row r="4317" spans="1:4" x14ac:dyDescent="0.3">
      <c r="A4317" t="s">
        <v>20</v>
      </c>
      <c r="C4317" s="16">
        <v>46297</v>
      </c>
      <c r="D4317">
        <v>1200526.7499999995</v>
      </c>
    </row>
    <row r="4318" spans="1:4" x14ac:dyDescent="0.3">
      <c r="A4318" t="s">
        <v>21</v>
      </c>
      <c r="C4318" s="16">
        <v>46297</v>
      </c>
      <c r="D4318">
        <v>1586525.0899999994</v>
      </c>
    </row>
    <row r="4319" spans="1:4" x14ac:dyDescent="0.3">
      <c r="A4319" t="s">
        <v>22</v>
      </c>
      <c r="C4319" s="16">
        <v>46297</v>
      </c>
      <c r="D4319">
        <v>208778.14</v>
      </c>
    </row>
    <row r="4320" spans="1:4" x14ac:dyDescent="0.3">
      <c r="A4320" t="s">
        <v>23</v>
      </c>
      <c r="C4320" s="16">
        <v>46297</v>
      </c>
      <c r="D4320">
        <v>98169.25999999998</v>
      </c>
    </row>
    <row r="4321" spans="1:4" x14ac:dyDescent="0.3">
      <c r="A4321" t="s">
        <v>24</v>
      </c>
      <c r="C4321" s="16">
        <v>46297</v>
      </c>
      <c r="D4321">
        <v>13270.02</v>
      </c>
    </row>
    <row r="4322" spans="1:4" x14ac:dyDescent="0.3">
      <c r="A4322" t="s">
        <v>25</v>
      </c>
      <c r="C4322" s="16">
        <v>46297</v>
      </c>
      <c r="D4322">
        <v>64.55</v>
      </c>
    </row>
    <row r="4323" spans="1:4" x14ac:dyDescent="0.3">
      <c r="A4323" t="s">
        <v>26</v>
      </c>
      <c r="C4323" s="16">
        <v>46297</v>
      </c>
      <c r="D4323">
        <v>2117.9700000000003</v>
      </c>
    </row>
    <row r="4324" spans="1:4" x14ac:dyDescent="0.3">
      <c r="A4324" t="s">
        <v>27</v>
      </c>
      <c r="C4324" s="16">
        <v>46297</v>
      </c>
      <c r="D4324">
        <v>18005.290000000015</v>
      </c>
    </row>
    <row r="4325" spans="1:4" x14ac:dyDescent="0.3">
      <c r="A4325" t="s">
        <v>28</v>
      </c>
      <c r="C4325" s="16">
        <v>46297</v>
      </c>
      <c r="D4325">
        <v>1968.99</v>
      </c>
    </row>
    <row r="4326" spans="1:4" x14ac:dyDescent="0.3">
      <c r="A4326" t="s">
        <v>29</v>
      </c>
      <c r="C4326" s="16">
        <v>46297</v>
      </c>
      <c r="D4326">
        <v>901.34</v>
      </c>
    </row>
    <row r="4327" spans="1:4" x14ac:dyDescent="0.3">
      <c r="A4327" t="s">
        <v>30</v>
      </c>
      <c r="C4327" s="16">
        <v>46297</v>
      </c>
      <c r="D4327">
        <v>1364.08</v>
      </c>
    </row>
    <row r="4328" spans="1:4" x14ac:dyDescent="0.3">
      <c r="A4328" t="s">
        <v>31</v>
      </c>
      <c r="C4328" s="16">
        <v>46297</v>
      </c>
      <c r="D4328">
        <v>20171.549999999959</v>
      </c>
    </row>
    <row r="4329" spans="1:4" x14ac:dyDescent="0.3">
      <c r="A4329" t="s">
        <v>32</v>
      </c>
      <c r="C4329" s="16">
        <v>46297</v>
      </c>
      <c r="D4329">
        <v>13576.060000000007</v>
      </c>
    </row>
    <row r="4330" spans="1:4" x14ac:dyDescent="0.3">
      <c r="A4330" t="s">
        <v>33</v>
      </c>
      <c r="C4330" s="16">
        <v>46297</v>
      </c>
      <c r="D4330">
        <v>16893.769999999997</v>
      </c>
    </row>
    <row r="4331" spans="1:4" x14ac:dyDescent="0.3">
      <c r="A4331" t="s">
        <v>34</v>
      </c>
      <c r="C4331" s="16">
        <v>46297</v>
      </c>
      <c r="D4331">
        <v>345</v>
      </c>
    </row>
    <row r="4332" spans="1:4" x14ac:dyDescent="0.3">
      <c r="A4332" t="s">
        <v>35</v>
      </c>
      <c r="C4332" s="16">
        <v>46297</v>
      </c>
      <c r="D4332">
        <v>23072.63</v>
      </c>
    </row>
    <row r="4333" spans="1:4" x14ac:dyDescent="0.3">
      <c r="A4333" t="s">
        <v>193</v>
      </c>
      <c r="C4333" s="16">
        <v>46297</v>
      </c>
      <c r="D4333">
        <v>313178.98000000004</v>
      </c>
    </row>
    <row r="4334" spans="1:4" x14ac:dyDescent="0.3">
      <c r="A4334" t="s">
        <v>194</v>
      </c>
      <c r="C4334" s="16">
        <v>46297</v>
      </c>
      <c r="D4334">
        <v>102232.04000000001</v>
      </c>
    </row>
    <row r="4335" spans="1:4" x14ac:dyDescent="0.3">
      <c r="A4335" t="s">
        <v>195</v>
      </c>
      <c r="C4335" s="16">
        <v>46297</v>
      </c>
      <c r="D4335">
        <v>100631.96</v>
      </c>
    </row>
    <row r="4336" spans="1:4" x14ac:dyDescent="0.3">
      <c r="A4336" t="s">
        <v>196</v>
      </c>
      <c r="C4336" s="16">
        <v>46297</v>
      </c>
      <c r="D4336">
        <v>602.67000000000007</v>
      </c>
    </row>
    <row r="4337" spans="1:4" x14ac:dyDescent="0.3">
      <c r="A4337" t="s">
        <v>197</v>
      </c>
      <c r="C4337" s="16">
        <v>46297</v>
      </c>
      <c r="D4337">
        <v>21434.939999999973</v>
      </c>
    </row>
    <row r="4338" spans="1:4" x14ac:dyDescent="0.3">
      <c r="A4338" t="s">
        <v>198</v>
      </c>
      <c r="C4338" s="16">
        <v>46297</v>
      </c>
      <c r="D4338">
        <v>794.01</v>
      </c>
    </row>
    <row r="4339" spans="1:4" x14ac:dyDescent="0.3">
      <c r="A4339" t="s">
        <v>216</v>
      </c>
      <c r="C4339" s="16">
        <v>46297</v>
      </c>
      <c r="D4339">
        <v>5445.57</v>
      </c>
    </row>
    <row r="4340" spans="1:4" x14ac:dyDescent="0.3">
      <c r="A4340" t="s">
        <v>200</v>
      </c>
      <c r="C4340" s="16">
        <v>46297</v>
      </c>
      <c r="D4340">
        <v>2.129999999999999</v>
      </c>
    </row>
    <row r="4341" spans="1:4" x14ac:dyDescent="0.3">
      <c r="A4341" t="s">
        <v>201</v>
      </c>
      <c r="C4341" s="16">
        <v>46297</v>
      </c>
      <c r="D4341">
        <v>240473.16999999998</v>
      </c>
    </row>
    <row r="4342" spans="1:4" x14ac:dyDescent="0.3">
      <c r="A4342" t="s">
        <v>17</v>
      </c>
      <c r="C4342" s="16">
        <v>46298</v>
      </c>
      <c r="D4342">
        <v>3099850.7800000007</v>
      </c>
    </row>
    <row r="4343" spans="1:4" x14ac:dyDescent="0.3">
      <c r="A4343" t="s">
        <v>18</v>
      </c>
      <c r="C4343" s="16">
        <v>46298</v>
      </c>
      <c r="D4343">
        <v>103123.59000000017</v>
      </c>
    </row>
    <row r="4344" spans="1:4" x14ac:dyDescent="0.3">
      <c r="A4344" t="s">
        <v>19</v>
      </c>
      <c r="C4344" s="16">
        <v>46298</v>
      </c>
      <c r="D4344">
        <v>1669.89</v>
      </c>
    </row>
    <row r="4345" spans="1:4" x14ac:dyDescent="0.3">
      <c r="A4345" t="s">
        <v>20</v>
      </c>
      <c r="C4345" s="16">
        <v>46298</v>
      </c>
      <c r="D4345">
        <v>1200526.7499999995</v>
      </c>
    </row>
    <row r="4346" spans="1:4" x14ac:dyDescent="0.3">
      <c r="A4346" t="s">
        <v>21</v>
      </c>
      <c r="C4346" s="16">
        <v>46298</v>
      </c>
      <c r="D4346">
        <v>1586525.0899999994</v>
      </c>
    </row>
    <row r="4347" spans="1:4" x14ac:dyDescent="0.3">
      <c r="A4347" t="s">
        <v>22</v>
      </c>
      <c r="C4347" s="16">
        <v>46298</v>
      </c>
      <c r="D4347">
        <v>208778.14</v>
      </c>
    </row>
    <row r="4348" spans="1:4" x14ac:dyDescent="0.3">
      <c r="A4348" t="s">
        <v>23</v>
      </c>
      <c r="C4348" s="16">
        <v>46298</v>
      </c>
      <c r="D4348">
        <v>98169.25999999998</v>
      </c>
    </row>
    <row r="4349" spans="1:4" x14ac:dyDescent="0.3">
      <c r="A4349" t="s">
        <v>24</v>
      </c>
      <c r="C4349" s="16">
        <v>46298</v>
      </c>
      <c r="D4349">
        <v>13270.02</v>
      </c>
    </row>
    <row r="4350" spans="1:4" x14ac:dyDescent="0.3">
      <c r="A4350" t="s">
        <v>25</v>
      </c>
      <c r="C4350" s="16">
        <v>46298</v>
      </c>
      <c r="D4350">
        <v>64.55</v>
      </c>
    </row>
    <row r="4351" spans="1:4" x14ac:dyDescent="0.3">
      <c r="A4351" t="s">
        <v>26</v>
      </c>
      <c r="C4351" s="16">
        <v>46298</v>
      </c>
      <c r="D4351">
        <v>2117.9700000000003</v>
      </c>
    </row>
    <row r="4352" spans="1:4" x14ac:dyDescent="0.3">
      <c r="A4352" t="s">
        <v>27</v>
      </c>
      <c r="C4352" s="16">
        <v>46298</v>
      </c>
      <c r="D4352">
        <v>18005.290000000015</v>
      </c>
    </row>
    <row r="4353" spans="1:4" x14ac:dyDescent="0.3">
      <c r="A4353" t="s">
        <v>28</v>
      </c>
      <c r="C4353" s="16">
        <v>46298</v>
      </c>
      <c r="D4353">
        <v>1968.99</v>
      </c>
    </row>
    <row r="4354" spans="1:4" x14ac:dyDescent="0.3">
      <c r="A4354" t="s">
        <v>29</v>
      </c>
      <c r="C4354" s="16">
        <v>46298</v>
      </c>
      <c r="D4354">
        <v>901.34</v>
      </c>
    </row>
    <row r="4355" spans="1:4" x14ac:dyDescent="0.3">
      <c r="A4355" t="s">
        <v>30</v>
      </c>
      <c r="C4355" s="16">
        <v>46298</v>
      </c>
      <c r="D4355">
        <v>1364.08</v>
      </c>
    </row>
    <row r="4356" spans="1:4" x14ac:dyDescent="0.3">
      <c r="A4356" t="s">
        <v>31</v>
      </c>
      <c r="C4356" s="16">
        <v>46298</v>
      </c>
      <c r="D4356">
        <v>20171.549999999959</v>
      </c>
    </row>
    <row r="4357" spans="1:4" x14ac:dyDescent="0.3">
      <c r="A4357" t="s">
        <v>32</v>
      </c>
      <c r="C4357" s="16">
        <v>46298</v>
      </c>
      <c r="D4357">
        <v>13576.060000000007</v>
      </c>
    </row>
    <row r="4358" spans="1:4" x14ac:dyDescent="0.3">
      <c r="A4358" t="s">
        <v>33</v>
      </c>
      <c r="C4358" s="16">
        <v>46298</v>
      </c>
      <c r="D4358">
        <v>16893.769999999997</v>
      </c>
    </row>
    <row r="4359" spans="1:4" x14ac:dyDescent="0.3">
      <c r="A4359" t="s">
        <v>34</v>
      </c>
      <c r="C4359" s="16">
        <v>46298</v>
      </c>
      <c r="D4359">
        <v>345</v>
      </c>
    </row>
    <row r="4360" spans="1:4" x14ac:dyDescent="0.3">
      <c r="A4360" t="s">
        <v>35</v>
      </c>
      <c r="C4360" s="16">
        <v>46298</v>
      </c>
      <c r="D4360">
        <v>23072.63</v>
      </c>
    </row>
    <row r="4361" spans="1:4" x14ac:dyDescent="0.3">
      <c r="A4361" t="s">
        <v>193</v>
      </c>
      <c r="C4361" s="16">
        <v>46298</v>
      </c>
      <c r="D4361">
        <v>313178.98000000004</v>
      </c>
    </row>
    <row r="4362" spans="1:4" x14ac:dyDescent="0.3">
      <c r="A4362" t="s">
        <v>194</v>
      </c>
      <c r="C4362" s="16">
        <v>46298</v>
      </c>
      <c r="D4362">
        <v>102232.04000000001</v>
      </c>
    </row>
    <row r="4363" spans="1:4" x14ac:dyDescent="0.3">
      <c r="A4363" t="s">
        <v>195</v>
      </c>
      <c r="C4363" s="16">
        <v>46298</v>
      </c>
      <c r="D4363">
        <v>100631.96</v>
      </c>
    </row>
    <row r="4364" spans="1:4" x14ac:dyDescent="0.3">
      <c r="A4364" t="s">
        <v>196</v>
      </c>
      <c r="C4364" s="16">
        <v>46298</v>
      </c>
      <c r="D4364">
        <v>602.67000000000007</v>
      </c>
    </row>
    <row r="4365" spans="1:4" x14ac:dyDescent="0.3">
      <c r="A4365" t="s">
        <v>197</v>
      </c>
      <c r="C4365" s="16">
        <v>46298</v>
      </c>
      <c r="D4365">
        <v>21434.939999999973</v>
      </c>
    </row>
    <row r="4366" spans="1:4" x14ac:dyDescent="0.3">
      <c r="A4366" t="s">
        <v>198</v>
      </c>
      <c r="C4366" s="16">
        <v>46298</v>
      </c>
      <c r="D4366">
        <v>794.01</v>
      </c>
    </row>
    <row r="4367" spans="1:4" x14ac:dyDescent="0.3">
      <c r="A4367" t="s">
        <v>216</v>
      </c>
      <c r="C4367" s="16">
        <v>46298</v>
      </c>
      <c r="D4367">
        <v>5445.57</v>
      </c>
    </row>
    <row r="4368" spans="1:4" x14ac:dyDescent="0.3">
      <c r="A4368" t="s">
        <v>200</v>
      </c>
      <c r="C4368" s="16">
        <v>46298</v>
      </c>
      <c r="D4368">
        <v>2.129999999999999</v>
      </c>
    </row>
    <row r="4369" spans="1:4" x14ac:dyDescent="0.3">
      <c r="A4369" t="s">
        <v>201</v>
      </c>
      <c r="C4369" s="16">
        <v>46298</v>
      </c>
      <c r="D4369">
        <v>240473.16999999998</v>
      </c>
    </row>
    <row r="4370" spans="1:4" x14ac:dyDescent="0.3">
      <c r="A4370" t="s">
        <v>17</v>
      </c>
      <c r="C4370" s="16">
        <v>46299</v>
      </c>
      <c r="D4370">
        <v>3099850.7800000007</v>
      </c>
    </row>
    <row r="4371" spans="1:4" x14ac:dyDescent="0.3">
      <c r="A4371" t="s">
        <v>18</v>
      </c>
      <c r="C4371" s="16">
        <v>46299</v>
      </c>
      <c r="D4371">
        <v>103123.59000000017</v>
      </c>
    </row>
    <row r="4372" spans="1:4" x14ac:dyDescent="0.3">
      <c r="A4372" t="s">
        <v>19</v>
      </c>
      <c r="C4372" s="16">
        <v>46299</v>
      </c>
      <c r="D4372">
        <v>1669.89</v>
      </c>
    </row>
    <row r="4373" spans="1:4" x14ac:dyDescent="0.3">
      <c r="A4373" t="s">
        <v>20</v>
      </c>
      <c r="C4373" s="16">
        <v>46299</v>
      </c>
      <c r="D4373">
        <v>1200526.7499999995</v>
      </c>
    </row>
    <row r="4374" spans="1:4" x14ac:dyDescent="0.3">
      <c r="A4374" t="s">
        <v>21</v>
      </c>
      <c r="C4374" s="16">
        <v>46299</v>
      </c>
      <c r="D4374">
        <v>1586525.0899999994</v>
      </c>
    </row>
    <row r="4375" spans="1:4" x14ac:dyDescent="0.3">
      <c r="A4375" t="s">
        <v>22</v>
      </c>
      <c r="C4375" s="16">
        <v>46299</v>
      </c>
      <c r="D4375">
        <v>208778.14</v>
      </c>
    </row>
    <row r="4376" spans="1:4" x14ac:dyDescent="0.3">
      <c r="A4376" t="s">
        <v>23</v>
      </c>
      <c r="C4376" s="16">
        <v>46299</v>
      </c>
      <c r="D4376">
        <v>98169.25999999998</v>
      </c>
    </row>
    <row r="4377" spans="1:4" x14ac:dyDescent="0.3">
      <c r="A4377" t="s">
        <v>24</v>
      </c>
      <c r="C4377" s="16">
        <v>46299</v>
      </c>
      <c r="D4377">
        <v>13270.02</v>
      </c>
    </row>
    <row r="4378" spans="1:4" x14ac:dyDescent="0.3">
      <c r="A4378" t="s">
        <v>25</v>
      </c>
      <c r="C4378" s="16">
        <v>46299</v>
      </c>
      <c r="D4378">
        <v>64.55</v>
      </c>
    </row>
    <row r="4379" spans="1:4" x14ac:dyDescent="0.3">
      <c r="A4379" t="s">
        <v>26</v>
      </c>
      <c r="C4379" s="16">
        <v>46299</v>
      </c>
      <c r="D4379">
        <v>2117.9700000000003</v>
      </c>
    </row>
    <row r="4380" spans="1:4" x14ac:dyDescent="0.3">
      <c r="A4380" t="s">
        <v>27</v>
      </c>
      <c r="C4380" s="16">
        <v>46299</v>
      </c>
      <c r="D4380">
        <v>18005.290000000015</v>
      </c>
    </row>
    <row r="4381" spans="1:4" x14ac:dyDescent="0.3">
      <c r="A4381" t="s">
        <v>28</v>
      </c>
      <c r="C4381" s="16">
        <v>46299</v>
      </c>
      <c r="D4381">
        <v>1968.99</v>
      </c>
    </row>
    <row r="4382" spans="1:4" x14ac:dyDescent="0.3">
      <c r="A4382" t="s">
        <v>29</v>
      </c>
      <c r="C4382" s="16">
        <v>46299</v>
      </c>
      <c r="D4382">
        <v>901.34</v>
      </c>
    </row>
    <row r="4383" spans="1:4" x14ac:dyDescent="0.3">
      <c r="A4383" t="s">
        <v>30</v>
      </c>
      <c r="C4383" s="16">
        <v>46299</v>
      </c>
      <c r="D4383">
        <v>1364.08</v>
      </c>
    </row>
    <row r="4384" spans="1:4" x14ac:dyDescent="0.3">
      <c r="A4384" t="s">
        <v>31</v>
      </c>
      <c r="C4384" s="16">
        <v>46299</v>
      </c>
      <c r="D4384">
        <v>20171.549999999959</v>
      </c>
    </row>
    <row r="4385" spans="1:4" x14ac:dyDescent="0.3">
      <c r="A4385" t="s">
        <v>32</v>
      </c>
      <c r="C4385" s="16">
        <v>46299</v>
      </c>
      <c r="D4385">
        <v>13576.060000000007</v>
      </c>
    </row>
    <row r="4386" spans="1:4" x14ac:dyDescent="0.3">
      <c r="A4386" t="s">
        <v>33</v>
      </c>
      <c r="C4386" s="16">
        <v>46299</v>
      </c>
      <c r="D4386">
        <v>16893.769999999997</v>
      </c>
    </row>
    <row r="4387" spans="1:4" x14ac:dyDescent="0.3">
      <c r="A4387" t="s">
        <v>34</v>
      </c>
      <c r="C4387" s="16">
        <v>46299</v>
      </c>
      <c r="D4387">
        <v>345</v>
      </c>
    </row>
    <row r="4388" spans="1:4" x14ac:dyDescent="0.3">
      <c r="A4388" t="s">
        <v>35</v>
      </c>
      <c r="C4388" s="16">
        <v>46299</v>
      </c>
      <c r="D4388">
        <v>23072.63</v>
      </c>
    </row>
    <row r="4389" spans="1:4" x14ac:dyDescent="0.3">
      <c r="A4389" t="s">
        <v>193</v>
      </c>
      <c r="C4389" s="16">
        <v>46299</v>
      </c>
      <c r="D4389">
        <v>313178.98000000004</v>
      </c>
    </row>
    <row r="4390" spans="1:4" x14ac:dyDescent="0.3">
      <c r="A4390" t="s">
        <v>194</v>
      </c>
      <c r="C4390" s="16">
        <v>46299</v>
      </c>
      <c r="D4390">
        <v>102232.04000000001</v>
      </c>
    </row>
    <row r="4391" spans="1:4" x14ac:dyDescent="0.3">
      <c r="A4391" t="s">
        <v>195</v>
      </c>
      <c r="C4391" s="16">
        <v>46299</v>
      </c>
      <c r="D4391">
        <v>100631.96</v>
      </c>
    </row>
    <row r="4392" spans="1:4" x14ac:dyDescent="0.3">
      <c r="A4392" t="s">
        <v>196</v>
      </c>
      <c r="C4392" s="16">
        <v>46299</v>
      </c>
      <c r="D4392">
        <v>602.67000000000007</v>
      </c>
    </row>
    <row r="4393" spans="1:4" x14ac:dyDescent="0.3">
      <c r="A4393" t="s">
        <v>197</v>
      </c>
      <c r="C4393" s="16">
        <v>46299</v>
      </c>
      <c r="D4393">
        <v>21434.939999999973</v>
      </c>
    </row>
    <row r="4394" spans="1:4" x14ac:dyDescent="0.3">
      <c r="A4394" t="s">
        <v>198</v>
      </c>
      <c r="C4394" s="16">
        <v>46299</v>
      </c>
      <c r="D4394">
        <v>794.01</v>
      </c>
    </row>
    <row r="4395" spans="1:4" x14ac:dyDescent="0.3">
      <c r="A4395" t="s">
        <v>216</v>
      </c>
      <c r="C4395" s="16">
        <v>46299</v>
      </c>
      <c r="D4395">
        <v>5445.57</v>
      </c>
    </row>
    <row r="4396" spans="1:4" x14ac:dyDescent="0.3">
      <c r="A4396" t="s">
        <v>200</v>
      </c>
      <c r="C4396" s="16">
        <v>46299</v>
      </c>
      <c r="D4396">
        <v>2.129999999999999</v>
      </c>
    </row>
    <row r="4397" spans="1:4" x14ac:dyDescent="0.3">
      <c r="A4397" t="s">
        <v>201</v>
      </c>
      <c r="C4397" s="16">
        <v>46299</v>
      </c>
      <c r="D4397">
        <v>240473.16999999998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Listas</vt:lpstr>
      <vt:lpstr>Cuentas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2026-10-05T20:49:24Z</dcterms:modified>
  <dc:language>en-US</dc:language>
</cp:coreProperties>
</file>