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072" documentId="8_{BBC9EA4E-7F3B-475F-B61B-890F681C3A1C}" xr6:coauthVersionLast="47" xr6:coauthVersionMax="47" xr10:uidLastSave="{D0F9AD2E-B11D-4D57-9E1E-B86FE1401AE7}"/>
  <bookViews>
    <workbookView xWindow="-108" yWindow="-108" windowWidth="23256" windowHeight="12576" tabRatio="597" firstSheet="1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diaria'!$A$1:$D$4083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41" i="1" l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E1194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314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R241" i="1"/>
  <c r="Q241" i="1"/>
  <c r="O241" i="1"/>
  <c r="P241" i="1" s="1"/>
  <c r="N241" i="1"/>
  <c r="R240" i="1"/>
  <c r="Q240" i="1"/>
  <c r="O240" i="1"/>
  <c r="P240" i="1" s="1"/>
  <c r="N240" i="1"/>
  <c r="I241" i="1"/>
  <c r="H241" i="1"/>
  <c r="I240" i="1"/>
  <c r="H240" i="1"/>
  <c r="E240" i="1"/>
  <c r="C241" i="1"/>
  <c r="C240" i="1"/>
  <c r="C234" i="1"/>
  <c r="C235" i="1"/>
  <c r="C236" i="1"/>
  <c r="C237" i="1"/>
  <c r="C238" i="1"/>
  <c r="C239" i="1"/>
  <c r="M240" i="1" l="1"/>
  <c r="Q3" i="1" l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Q1081" i="1"/>
  <c r="R1081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Q1132" i="1"/>
  <c r="R1132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Q1175" i="1"/>
  <c r="R1175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N904" i="1"/>
  <c r="P904" i="1" s="1"/>
  <c r="N903" i="1"/>
  <c r="O903" i="1"/>
  <c r="P903" i="1" s="1"/>
  <c r="O904" i="1"/>
  <c r="N905" i="1"/>
  <c r="P905" i="1" s="1"/>
  <c r="O905" i="1"/>
  <c r="K904" i="1"/>
  <c r="K905" i="1"/>
  <c r="I904" i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E224" i="1"/>
  <c r="O879" i="1"/>
  <c r="P879" i="1" s="1"/>
  <c r="O880" i="1"/>
  <c r="P880" i="1" s="1"/>
  <c r="O881" i="1"/>
  <c r="P881" i="1" s="1"/>
  <c r="N879" i="1"/>
  <c r="N880" i="1"/>
  <c r="N881" i="1"/>
  <c r="K879" i="1"/>
  <c r="K880" i="1"/>
  <c r="H879" i="1"/>
  <c r="I879" i="1"/>
  <c r="H880" i="1"/>
  <c r="I880" i="1"/>
  <c r="N993" i="1"/>
  <c r="O993" i="1"/>
  <c r="P993" i="1" s="1"/>
  <c r="N994" i="1"/>
  <c r="O994" i="1"/>
  <c r="P994" i="1" s="1"/>
  <c r="N995" i="1"/>
  <c r="P995" i="1" s="1"/>
  <c r="O995" i="1"/>
  <c r="N996" i="1"/>
  <c r="O996" i="1"/>
  <c r="P996" i="1" s="1"/>
  <c r="N997" i="1"/>
  <c r="O997" i="1"/>
  <c r="P997" i="1" s="1"/>
  <c r="N998" i="1"/>
  <c r="O998" i="1"/>
  <c r="P998" i="1" s="1"/>
  <c r="N999" i="1"/>
  <c r="P999" i="1" s="1"/>
  <c r="O999" i="1"/>
  <c r="N1000" i="1"/>
  <c r="O1000" i="1"/>
  <c r="P1000" i="1" s="1"/>
  <c r="N1001" i="1"/>
  <c r="O1001" i="1"/>
  <c r="P1001" i="1" s="1"/>
  <c r="N1002" i="1"/>
  <c r="O1002" i="1"/>
  <c r="P1002" i="1" s="1"/>
  <c r="N1003" i="1"/>
  <c r="P1003" i="1" s="1"/>
  <c r="O1003" i="1"/>
  <c r="N1004" i="1"/>
  <c r="P1004" i="1" s="1"/>
  <c r="O1004" i="1"/>
  <c r="N1005" i="1"/>
  <c r="O1005" i="1"/>
  <c r="P1005" i="1" s="1"/>
  <c r="N1006" i="1"/>
  <c r="O1006" i="1"/>
  <c r="P1006" i="1" s="1"/>
  <c r="N1007" i="1"/>
  <c r="O1007" i="1"/>
  <c r="P1007" i="1" s="1"/>
  <c r="N1008" i="1"/>
  <c r="O1008" i="1"/>
  <c r="P1008" i="1" s="1"/>
  <c r="N1009" i="1"/>
  <c r="P1009" i="1" s="1"/>
  <c r="O1009" i="1"/>
  <c r="N1010" i="1"/>
  <c r="P1010" i="1" s="1"/>
  <c r="O1010" i="1"/>
  <c r="N1011" i="1"/>
  <c r="O1011" i="1"/>
  <c r="P1011" i="1" s="1"/>
  <c r="N1012" i="1"/>
  <c r="O1012" i="1"/>
  <c r="P1012" i="1" s="1"/>
  <c r="N1013" i="1"/>
  <c r="O1013" i="1"/>
  <c r="P1013" i="1" s="1"/>
  <c r="N1014" i="1"/>
  <c r="O1014" i="1"/>
  <c r="P1014" i="1" s="1"/>
  <c r="N1015" i="1"/>
  <c r="O1015" i="1"/>
  <c r="P1015" i="1" s="1"/>
  <c r="N1016" i="1"/>
  <c r="O1016" i="1"/>
  <c r="P1016" i="1" s="1"/>
  <c r="N1017" i="1"/>
  <c r="O1017" i="1"/>
  <c r="P1017" i="1" s="1"/>
  <c r="N1018" i="1"/>
  <c r="O1018" i="1"/>
  <c r="P1018" i="1" s="1"/>
  <c r="N1019" i="1"/>
  <c r="P1019" i="1" s="1"/>
  <c r="O1019" i="1"/>
  <c r="N1020" i="1"/>
  <c r="P1020" i="1" s="1"/>
  <c r="O1020" i="1"/>
  <c r="N1021" i="1"/>
  <c r="P1021" i="1" s="1"/>
  <c r="O1021" i="1"/>
  <c r="N1022" i="1"/>
  <c r="O1022" i="1"/>
  <c r="P1022" i="1" s="1"/>
  <c r="N1023" i="1"/>
  <c r="O1023" i="1"/>
  <c r="P1023" i="1" s="1"/>
  <c r="N1024" i="1"/>
  <c r="P1024" i="1" s="1"/>
  <c r="O1024" i="1"/>
  <c r="N1025" i="1"/>
  <c r="O1025" i="1"/>
  <c r="P1025" i="1" s="1"/>
  <c r="N1026" i="1"/>
  <c r="O1026" i="1"/>
  <c r="P1026" i="1" s="1"/>
  <c r="N1027" i="1"/>
  <c r="O1027" i="1"/>
  <c r="P1027" i="1" s="1"/>
  <c r="N1028" i="1"/>
  <c r="O1028" i="1"/>
  <c r="P1028" i="1" s="1"/>
  <c r="N1029" i="1"/>
  <c r="O1029" i="1"/>
  <c r="P1029" i="1" s="1"/>
  <c r="N1030" i="1"/>
  <c r="O1030" i="1"/>
  <c r="P1030" i="1" s="1"/>
  <c r="N1031" i="1"/>
  <c r="O1031" i="1"/>
  <c r="P1031" i="1" s="1"/>
  <c r="N1032" i="1"/>
  <c r="O1032" i="1"/>
  <c r="P1032" i="1" s="1"/>
  <c r="N1033" i="1"/>
  <c r="O1033" i="1"/>
  <c r="P1033" i="1" s="1"/>
  <c r="N1034" i="1"/>
  <c r="P1034" i="1" s="1"/>
  <c r="O1034" i="1"/>
  <c r="N1035" i="1"/>
  <c r="O1035" i="1"/>
  <c r="P1035" i="1" s="1"/>
  <c r="N1036" i="1"/>
  <c r="O1036" i="1"/>
  <c r="P1036" i="1" s="1"/>
  <c r="N1037" i="1"/>
  <c r="O1037" i="1"/>
  <c r="P1037" i="1" s="1"/>
  <c r="N1038" i="1"/>
  <c r="P1038" i="1" s="1"/>
  <c r="O1038" i="1"/>
  <c r="N1039" i="1"/>
  <c r="O1039" i="1"/>
  <c r="P1039" i="1" s="1"/>
  <c r="N1040" i="1"/>
  <c r="O1040" i="1"/>
  <c r="P1040" i="1" s="1"/>
  <c r="N1041" i="1"/>
  <c r="O1041" i="1"/>
  <c r="P1041" i="1" s="1"/>
  <c r="N1042" i="1"/>
  <c r="O1042" i="1"/>
  <c r="P1042" i="1" s="1"/>
  <c r="N1043" i="1"/>
  <c r="O1043" i="1"/>
  <c r="P1043" i="1" s="1"/>
  <c r="N1044" i="1"/>
  <c r="O1044" i="1"/>
  <c r="P1044" i="1" s="1"/>
  <c r="N1045" i="1"/>
  <c r="O1045" i="1"/>
  <c r="P1045" i="1" s="1"/>
  <c r="N1046" i="1"/>
  <c r="O1046" i="1"/>
  <c r="P1046" i="1" s="1"/>
  <c r="N1047" i="1"/>
  <c r="O1047" i="1"/>
  <c r="P1047" i="1" s="1"/>
  <c r="N1048" i="1"/>
  <c r="O1048" i="1"/>
  <c r="P1048" i="1" s="1"/>
  <c r="N1049" i="1"/>
  <c r="O1049" i="1"/>
  <c r="P1049" i="1" s="1"/>
  <c r="N1050" i="1"/>
  <c r="O1050" i="1"/>
  <c r="P1050" i="1" s="1"/>
  <c r="N1051" i="1"/>
  <c r="O1051" i="1"/>
  <c r="P1051" i="1" s="1"/>
  <c r="N1052" i="1"/>
  <c r="O1052" i="1"/>
  <c r="P1052" i="1" s="1"/>
  <c r="N1053" i="1"/>
  <c r="O1053" i="1"/>
  <c r="P1053" i="1" s="1"/>
  <c r="N1054" i="1"/>
  <c r="O1054" i="1"/>
  <c r="P1054" i="1" s="1"/>
  <c r="N1055" i="1"/>
  <c r="P1055" i="1" s="1"/>
  <c r="O1055" i="1"/>
  <c r="N1056" i="1"/>
  <c r="O1056" i="1"/>
  <c r="P1056" i="1" s="1"/>
  <c r="N1057" i="1"/>
  <c r="O1057" i="1"/>
  <c r="P1057" i="1" s="1"/>
  <c r="N1058" i="1"/>
  <c r="O1058" i="1"/>
  <c r="P1058" i="1" s="1"/>
  <c r="N1059" i="1"/>
  <c r="O1059" i="1"/>
  <c r="P1059" i="1" s="1"/>
  <c r="N1060" i="1"/>
  <c r="O1060" i="1"/>
  <c r="P1060" i="1" s="1"/>
  <c r="N1061" i="1"/>
  <c r="O1061" i="1"/>
  <c r="P1061" i="1" s="1"/>
  <c r="N1062" i="1"/>
  <c r="P1062" i="1" s="1"/>
  <c r="O1062" i="1"/>
  <c r="N1063" i="1"/>
  <c r="P1063" i="1" s="1"/>
  <c r="O1063" i="1"/>
  <c r="N1064" i="1"/>
  <c r="P1064" i="1" s="1"/>
  <c r="O1064" i="1"/>
  <c r="N1065" i="1"/>
  <c r="P1065" i="1" s="1"/>
  <c r="O1065" i="1"/>
  <c r="N1066" i="1"/>
  <c r="O1066" i="1"/>
  <c r="P1066" i="1" s="1"/>
  <c r="N1067" i="1"/>
  <c r="O1067" i="1"/>
  <c r="P1067" i="1" s="1"/>
  <c r="N1068" i="1"/>
  <c r="O1068" i="1"/>
  <c r="P1068" i="1" s="1"/>
  <c r="N1069" i="1"/>
  <c r="O1069" i="1"/>
  <c r="P1069" i="1" s="1"/>
  <c r="N1070" i="1"/>
  <c r="O1070" i="1"/>
  <c r="P1070" i="1" s="1"/>
  <c r="N1071" i="1"/>
  <c r="O1071" i="1"/>
  <c r="P1071" i="1" s="1"/>
  <c r="N1072" i="1"/>
  <c r="P1072" i="1" s="1"/>
  <c r="O1072" i="1"/>
  <c r="N1073" i="1"/>
  <c r="O1073" i="1"/>
  <c r="P1073" i="1" s="1"/>
  <c r="N1074" i="1"/>
  <c r="O1074" i="1"/>
  <c r="P1074" i="1" s="1"/>
  <c r="N1075" i="1"/>
  <c r="O1075" i="1"/>
  <c r="P1075" i="1" s="1"/>
  <c r="N1076" i="1"/>
  <c r="O1076" i="1"/>
  <c r="P1076" i="1" s="1"/>
  <c r="N1077" i="1"/>
  <c r="O1077" i="1"/>
  <c r="P1077" i="1" s="1"/>
  <c r="N1078" i="1"/>
  <c r="O1078" i="1"/>
  <c r="P1078" i="1" s="1"/>
  <c r="N1079" i="1"/>
  <c r="O1079" i="1"/>
  <c r="P1079" i="1" s="1"/>
  <c r="N1080" i="1"/>
  <c r="O1080" i="1"/>
  <c r="P1080" i="1" s="1"/>
  <c r="N1081" i="1"/>
  <c r="O1081" i="1"/>
  <c r="P1081" i="1" s="1"/>
  <c r="N1082" i="1"/>
  <c r="O1082" i="1"/>
  <c r="P1082" i="1" s="1"/>
  <c r="N1083" i="1"/>
  <c r="O1083" i="1"/>
  <c r="P1083" i="1" s="1"/>
  <c r="N1084" i="1"/>
  <c r="O1084" i="1"/>
  <c r="P1084" i="1" s="1"/>
  <c r="N1085" i="1"/>
  <c r="O1085" i="1"/>
  <c r="P1085" i="1" s="1"/>
  <c r="N1086" i="1"/>
  <c r="O1086" i="1"/>
  <c r="P1086" i="1" s="1"/>
  <c r="N1087" i="1"/>
  <c r="O1087" i="1"/>
  <c r="P1087" i="1" s="1"/>
  <c r="N1088" i="1"/>
  <c r="O1088" i="1"/>
  <c r="P1088" i="1" s="1"/>
  <c r="N1089" i="1"/>
  <c r="O1089" i="1"/>
  <c r="P1089" i="1" s="1"/>
  <c r="N1090" i="1"/>
  <c r="P1090" i="1" s="1"/>
  <c r="O1090" i="1"/>
  <c r="N1091" i="1"/>
  <c r="O1091" i="1"/>
  <c r="P1091" i="1" s="1"/>
  <c r="N1092" i="1"/>
  <c r="O1092" i="1"/>
  <c r="P1092" i="1" s="1"/>
  <c r="N1093" i="1"/>
  <c r="O1093" i="1"/>
  <c r="P1093" i="1" s="1"/>
  <c r="N1094" i="1"/>
  <c r="O1094" i="1"/>
  <c r="P1094" i="1" s="1"/>
  <c r="N1095" i="1"/>
  <c r="O1095" i="1"/>
  <c r="P1095" i="1" s="1"/>
  <c r="N1096" i="1"/>
  <c r="P1096" i="1" s="1"/>
  <c r="O1096" i="1"/>
  <c r="N1097" i="1"/>
  <c r="P1097" i="1" s="1"/>
  <c r="O1097" i="1"/>
  <c r="N1098" i="1"/>
  <c r="O1098" i="1"/>
  <c r="P1098" i="1" s="1"/>
  <c r="N1099" i="1"/>
  <c r="O1099" i="1"/>
  <c r="P1099" i="1" s="1"/>
  <c r="N1100" i="1"/>
  <c r="O1100" i="1"/>
  <c r="P1100" i="1" s="1"/>
  <c r="N1101" i="1"/>
  <c r="O1101" i="1"/>
  <c r="P1101" i="1" s="1"/>
  <c r="N1102" i="1"/>
  <c r="O1102" i="1"/>
  <c r="P1102" i="1" s="1"/>
  <c r="N1103" i="1"/>
  <c r="O1103" i="1"/>
  <c r="P1103" i="1" s="1"/>
  <c r="N1104" i="1"/>
  <c r="O1104" i="1"/>
  <c r="P1104" i="1" s="1"/>
  <c r="N1105" i="1"/>
  <c r="O1105" i="1"/>
  <c r="P1105" i="1" s="1"/>
  <c r="N1106" i="1"/>
  <c r="P1106" i="1" s="1"/>
  <c r="O1106" i="1"/>
  <c r="N1107" i="1"/>
  <c r="O1107" i="1"/>
  <c r="P1107" i="1" s="1"/>
  <c r="N1108" i="1"/>
  <c r="O1108" i="1"/>
  <c r="P1108" i="1" s="1"/>
  <c r="N1109" i="1"/>
  <c r="O1109" i="1"/>
  <c r="P1109" i="1" s="1"/>
  <c r="N1110" i="1"/>
  <c r="O1110" i="1"/>
  <c r="P1110" i="1" s="1"/>
  <c r="N1111" i="1"/>
  <c r="O1111" i="1"/>
  <c r="P1111" i="1" s="1"/>
  <c r="N1112" i="1"/>
  <c r="O1112" i="1"/>
  <c r="P1112" i="1" s="1"/>
  <c r="N1113" i="1"/>
  <c r="O1113" i="1"/>
  <c r="P1113" i="1" s="1"/>
  <c r="N1114" i="1"/>
  <c r="O1114" i="1"/>
  <c r="P1114" i="1" s="1"/>
  <c r="N1115" i="1"/>
  <c r="O1115" i="1"/>
  <c r="P1115" i="1" s="1"/>
  <c r="N1116" i="1"/>
  <c r="O1116" i="1"/>
  <c r="P1116" i="1" s="1"/>
  <c r="N1117" i="1"/>
  <c r="O1117" i="1"/>
  <c r="P1117" i="1" s="1"/>
  <c r="N1118" i="1"/>
  <c r="O1118" i="1"/>
  <c r="P1118" i="1" s="1"/>
  <c r="N1119" i="1"/>
  <c r="P1119" i="1" s="1"/>
  <c r="O1119" i="1"/>
  <c r="N1120" i="1"/>
  <c r="P1120" i="1" s="1"/>
  <c r="O1120" i="1"/>
  <c r="N1121" i="1"/>
  <c r="O1121" i="1"/>
  <c r="P1121" i="1" s="1"/>
  <c r="N1122" i="1"/>
  <c r="O1122" i="1"/>
  <c r="P1122" i="1" s="1"/>
  <c r="N1123" i="1"/>
  <c r="O1123" i="1"/>
  <c r="P1123" i="1" s="1"/>
  <c r="N1124" i="1"/>
  <c r="O1124" i="1"/>
  <c r="P1124" i="1" s="1"/>
  <c r="N1125" i="1"/>
  <c r="O1125" i="1"/>
  <c r="P1125" i="1" s="1"/>
  <c r="N1126" i="1"/>
  <c r="O1126" i="1"/>
  <c r="P1126" i="1" s="1"/>
  <c r="N1127" i="1"/>
  <c r="O1127" i="1"/>
  <c r="P1127" i="1" s="1"/>
  <c r="N1128" i="1"/>
  <c r="P1128" i="1" s="1"/>
  <c r="O1128" i="1"/>
  <c r="N1129" i="1"/>
  <c r="O1129" i="1"/>
  <c r="P1129" i="1" s="1"/>
  <c r="N1130" i="1"/>
  <c r="O1130" i="1"/>
  <c r="P1130" i="1" s="1"/>
  <c r="N1131" i="1"/>
  <c r="P1131" i="1" s="1"/>
  <c r="O1131" i="1"/>
  <c r="N1132" i="1"/>
  <c r="O1132" i="1"/>
  <c r="P1132" i="1" s="1"/>
  <c r="N1133" i="1"/>
  <c r="P1133" i="1" s="1"/>
  <c r="O1133" i="1"/>
  <c r="N1134" i="1"/>
  <c r="O1134" i="1"/>
  <c r="P1134" i="1" s="1"/>
  <c r="N1135" i="1"/>
  <c r="O1135" i="1"/>
  <c r="P1135" i="1" s="1"/>
  <c r="N1136" i="1"/>
  <c r="P1136" i="1" s="1"/>
  <c r="O1136" i="1"/>
  <c r="N1137" i="1"/>
  <c r="O1137" i="1"/>
  <c r="P1137" i="1" s="1"/>
  <c r="N1138" i="1"/>
  <c r="P1138" i="1" s="1"/>
  <c r="O1138" i="1"/>
  <c r="N1139" i="1"/>
  <c r="P1139" i="1" s="1"/>
  <c r="O1139" i="1"/>
  <c r="N1140" i="1"/>
  <c r="P1140" i="1" s="1"/>
  <c r="O1140" i="1"/>
  <c r="N1141" i="1"/>
  <c r="P1141" i="1" s="1"/>
  <c r="O1141" i="1"/>
  <c r="N1142" i="1"/>
  <c r="O1142" i="1"/>
  <c r="P1142" i="1" s="1"/>
  <c r="N1143" i="1"/>
  <c r="P1143" i="1" s="1"/>
  <c r="O1143" i="1"/>
  <c r="N1144" i="1"/>
  <c r="P1144" i="1" s="1"/>
  <c r="O1144" i="1"/>
  <c r="N1145" i="1"/>
  <c r="O1145" i="1"/>
  <c r="P1145" i="1" s="1"/>
  <c r="N1146" i="1"/>
  <c r="P1146" i="1" s="1"/>
  <c r="O1146" i="1"/>
  <c r="N1147" i="1"/>
  <c r="O1147" i="1"/>
  <c r="P1147" i="1" s="1"/>
  <c r="N1148" i="1"/>
  <c r="O1148" i="1"/>
  <c r="P1148" i="1" s="1"/>
  <c r="N1149" i="1"/>
  <c r="O1149" i="1"/>
  <c r="P1149" i="1" s="1"/>
  <c r="N1150" i="1"/>
  <c r="O1150" i="1"/>
  <c r="P1150" i="1" s="1"/>
  <c r="N1151" i="1"/>
  <c r="O1151" i="1"/>
  <c r="P1151" i="1" s="1"/>
  <c r="N1152" i="1"/>
  <c r="P1152" i="1" s="1"/>
  <c r="O1152" i="1"/>
  <c r="N1153" i="1"/>
  <c r="O1153" i="1"/>
  <c r="P1153" i="1" s="1"/>
  <c r="N1154" i="1"/>
  <c r="O1154" i="1"/>
  <c r="P1154" i="1" s="1"/>
  <c r="N1155" i="1"/>
  <c r="O1155" i="1"/>
  <c r="P1155" i="1" s="1"/>
  <c r="N1156" i="1"/>
  <c r="O1156" i="1"/>
  <c r="P1156" i="1" s="1"/>
  <c r="N1157" i="1"/>
  <c r="O1157" i="1"/>
  <c r="P1157" i="1" s="1"/>
  <c r="N1158" i="1"/>
  <c r="O1158" i="1"/>
  <c r="P1158" i="1" s="1"/>
  <c r="N1159" i="1"/>
  <c r="O1159" i="1"/>
  <c r="P1159" i="1" s="1"/>
  <c r="N1160" i="1"/>
  <c r="O1160" i="1"/>
  <c r="P1160" i="1" s="1"/>
  <c r="N1161" i="1"/>
  <c r="O1161" i="1"/>
  <c r="P1161" i="1" s="1"/>
  <c r="N1162" i="1"/>
  <c r="O1162" i="1"/>
  <c r="P1162" i="1" s="1"/>
  <c r="N1163" i="1"/>
  <c r="O1163" i="1"/>
  <c r="P1163" i="1" s="1"/>
  <c r="N1164" i="1"/>
  <c r="P1164" i="1" s="1"/>
  <c r="O1164" i="1"/>
  <c r="N1165" i="1"/>
  <c r="P1165" i="1" s="1"/>
  <c r="O1165" i="1"/>
  <c r="N1166" i="1"/>
  <c r="O1166" i="1"/>
  <c r="P1166" i="1" s="1"/>
  <c r="N1167" i="1"/>
  <c r="P1167" i="1" s="1"/>
  <c r="O1167" i="1"/>
  <c r="N1168" i="1"/>
  <c r="P1168" i="1" s="1"/>
  <c r="O1168" i="1"/>
  <c r="N1169" i="1"/>
  <c r="O1169" i="1"/>
  <c r="P1169" i="1" s="1"/>
  <c r="N1170" i="1"/>
  <c r="O1170" i="1"/>
  <c r="P1170" i="1" s="1"/>
  <c r="N1171" i="1"/>
  <c r="O1171" i="1"/>
  <c r="P1171" i="1" s="1"/>
  <c r="N1172" i="1"/>
  <c r="O1172" i="1"/>
  <c r="P1172" i="1" s="1"/>
  <c r="N1173" i="1"/>
  <c r="O1173" i="1"/>
  <c r="P1173" i="1" s="1"/>
  <c r="N1174" i="1"/>
  <c r="O1174" i="1"/>
  <c r="P1174" i="1" s="1"/>
  <c r="N1175" i="1"/>
  <c r="O1175" i="1"/>
  <c r="P1175" i="1" s="1"/>
  <c r="N1176" i="1"/>
  <c r="P1176" i="1" s="1"/>
  <c r="O1176" i="1"/>
  <c r="N1177" i="1"/>
  <c r="P1177" i="1" s="1"/>
  <c r="O1177" i="1"/>
  <c r="N1178" i="1"/>
  <c r="O1178" i="1"/>
  <c r="P1178" i="1" s="1"/>
  <c r="N1179" i="1"/>
  <c r="P1179" i="1" s="1"/>
  <c r="O1179" i="1"/>
  <c r="N1180" i="1"/>
  <c r="O1180" i="1"/>
  <c r="P1180" i="1" s="1"/>
  <c r="N1181" i="1"/>
  <c r="O1181" i="1"/>
  <c r="P1181" i="1" s="1"/>
  <c r="N1182" i="1"/>
  <c r="P1182" i="1" s="1"/>
  <c r="O1182" i="1"/>
  <c r="N1183" i="1"/>
  <c r="O1183" i="1"/>
  <c r="P1183" i="1" s="1"/>
  <c r="N1184" i="1"/>
  <c r="P1184" i="1" s="1"/>
  <c r="O1184" i="1"/>
  <c r="N1185" i="1"/>
  <c r="O1185" i="1"/>
  <c r="P1185" i="1" s="1"/>
  <c r="N1186" i="1"/>
  <c r="O1186" i="1"/>
  <c r="P1186" i="1" s="1"/>
  <c r="N1187" i="1"/>
  <c r="P1187" i="1" s="1"/>
  <c r="O1187" i="1"/>
  <c r="N1188" i="1"/>
  <c r="O1188" i="1"/>
  <c r="P1188" i="1" s="1"/>
  <c r="N1189" i="1"/>
  <c r="O1189" i="1"/>
  <c r="P1189" i="1" s="1"/>
  <c r="N1190" i="1"/>
  <c r="O1190" i="1"/>
  <c r="P1190" i="1" s="1"/>
  <c r="N1191" i="1"/>
  <c r="O1191" i="1"/>
  <c r="P1191" i="1" s="1"/>
  <c r="N1192" i="1"/>
  <c r="O1192" i="1"/>
  <c r="P1192" i="1" s="1"/>
  <c r="N1193" i="1"/>
  <c r="O1193" i="1"/>
  <c r="P1193" i="1" s="1"/>
  <c r="N1194" i="1"/>
  <c r="O1194" i="1"/>
  <c r="P1194" i="1" s="1"/>
  <c r="N885" i="1"/>
  <c r="O885" i="1"/>
  <c r="P885" i="1" s="1"/>
  <c r="N886" i="1"/>
  <c r="O886" i="1"/>
  <c r="P886" i="1" s="1"/>
  <c r="N887" i="1"/>
  <c r="O887" i="1"/>
  <c r="P887" i="1" s="1"/>
  <c r="N888" i="1"/>
  <c r="O888" i="1"/>
  <c r="P888" i="1" s="1"/>
  <c r="N889" i="1"/>
  <c r="O889" i="1"/>
  <c r="P889" i="1" s="1"/>
  <c r="N890" i="1"/>
  <c r="P890" i="1" s="1"/>
  <c r="O890" i="1"/>
  <c r="N891" i="1"/>
  <c r="O891" i="1"/>
  <c r="P891" i="1" s="1"/>
  <c r="N892" i="1"/>
  <c r="O892" i="1"/>
  <c r="P892" i="1" s="1"/>
  <c r="N893" i="1"/>
  <c r="O893" i="1"/>
  <c r="P893" i="1" s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P900" i="1" s="1"/>
  <c r="O900" i="1"/>
  <c r="N901" i="1"/>
  <c r="P901" i="1" s="1"/>
  <c r="O901" i="1"/>
  <c r="N902" i="1"/>
  <c r="O902" i="1"/>
  <c r="P902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N911" i="1"/>
  <c r="O911" i="1"/>
  <c r="P911" i="1" s="1"/>
  <c r="N912" i="1"/>
  <c r="O912" i="1"/>
  <c r="P912" i="1" s="1"/>
  <c r="N913" i="1"/>
  <c r="O913" i="1"/>
  <c r="P913" i="1" s="1"/>
  <c r="N914" i="1"/>
  <c r="O914" i="1"/>
  <c r="P914" i="1" s="1"/>
  <c r="N915" i="1"/>
  <c r="O915" i="1"/>
  <c r="P915" i="1" s="1"/>
  <c r="N916" i="1"/>
  <c r="O916" i="1"/>
  <c r="P916" i="1" s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O921" i="1"/>
  <c r="P921" i="1" s="1"/>
  <c r="N922" i="1"/>
  <c r="P922" i="1" s="1"/>
  <c r="O922" i="1"/>
  <c r="N923" i="1"/>
  <c r="O923" i="1"/>
  <c r="P923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P940" i="1" s="1"/>
  <c r="O940" i="1"/>
  <c r="N941" i="1"/>
  <c r="O941" i="1"/>
  <c r="P941" i="1" s="1"/>
  <c r="N942" i="1"/>
  <c r="O942" i="1"/>
  <c r="P942" i="1" s="1"/>
  <c r="N943" i="1"/>
  <c r="P943" i="1" s="1"/>
  <c r="O943" i="1"/>
  <c r="N944" i="1"/>
  <c r="P944" i="1" s="1"/>
  <c r="O944" i="1"/>
  <c r="N945" i="1"/>
  <c r="O945" i="1"/>
  <c r="P945" i="1" s="1"/>
  <c r="N946" i="1"/>
  <c r="O946" i="1"/>
  <c r="P946" i="1" s="1"/>
  <c r="N947" i="1"/>
  <c r="P947" i="1" s="1"/>
  <c r="O947" i="1"/>
  <c r="N948" i="1"/>
  <c r="O948" i="1"/>
  <c r="P948" i="1" s="1"/>
  <c r="N949" i="1"/>
  <c r="P949" i="1" s="1"/>
  <c r="O949" i="1"/>
  <c r="N950" i="1"/>
  <c r="P950" i="1" s="1"/>
  <c r="O950" i="1"/>
  <c r="N951" i="1"/>
  <c r="O951" i="1"/>
  <c r="P951" i="1" s="1"/>
  <c r="N952" i="1"/>
  <c r="P952" i="1" s="1"/>
  <c r="O952" i="1"/>
  <c r="N953" i="1"/>
  <c r="P953" i="1" s="1"/>
  <c r="O953" i="1"/>
  <c r="N954" i="1"/>
  <c r="P954" i="1" s="1"/>
  <c r="O954" i="1"/>
  <c r="N955" i="1"/>
  <c r="O955" i="1"/>
  <c r="P955" i="1" s="1"/>
  <c r="N956" i="1"/>
  <c r="O956" i="1"/>
  <c r="P956" i="1" s="1"/>
  <c r="N957" i="1"/>
  <c r="O957" i="1"/>
  <c r="P957" i="1" s="1"/>
  <c r="N958" i="1"/>
  <c r="O958" i="1"/>
  <c r="P958" i="1" s="1"/>
  <c r="N959" i="1"/>
  <c r="O959" i="1"/>
  <c r="P959" i="1" s="1"/>
  <c r="N960" i="1"/>
  <c r="O960" i="1"/>
  <c r="P960" i="1" s="1"/>
  <c r="N961" i="1"/>
  <c r="O961" i="1"/>
  <c r="P961" i="1" s="1"/>
  <c r="N962" i="1"/>
  <c r="O962" i="1"/>
  <c r="P962" i="1" s="1"/>
  <c r="N963" i="1"/>
  <c r="O963" i="1"/>
  <c r="P963" i="1" s="1"/>
  <c r="N964" i="1"/>
  <c r="O964" i="1"/>
  <c r="P964" i="1" s="1"/>
  <c r="N965" i="1"/>
  <c r="O965" i="1"/>
  <c r="P965" i="1" s="1"/>
  <c r="N966" i="1"/>
  <c r="O966" i="1"/>
  <c r="P966" i="1" s="1"/>
  <c r="N967" i="1"/>
  <c r="P967" i="1" s="1"/>
  <c r="O967" i="1"/>
  <c r="N968" i="1"/>
  <c r="O968" i="1"/>
  <c r="P968" i="1" s="1"/>
  <c r="N969" i="1"/>
  <c r="P969" i="1" s="1"/>
  <c r="O969" i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P977" i="1" s="1"/>
  <c r="O977" i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N982" i="1"/>
  <c r="O982" i="1"/>
  <c r="P982" i="1" s="1"/>
  <c r="N983" i="1"/>
  <c r="O983" i="1"/>
  <c r="P983" i="1" s="1"/>
  <c r="N984" i="1"/>
  <c r="O984" i="1"/>
  <c r="P984" i="1" s="1"/>
  <c r="N985" i="1"/>
  <c r="O985" i="1"/>
  <c r="P985" i="1" s="1"/>
  <c r="N986" i="1"/>
  <c r="O986" i="1"/>
  <c r="P986" i="1" s="1"/>
  <c r="N987" i="1"/>
  <c r="O987" i="1"/>
  <c r="P987" i="1" s="1"/>
  <c r="N988" i="1"/>
  <c r="O988" i="1"/>
  <c r="P988" i="1" s="1"/>
  <c r="N989" i="1"/>
  <c r="O989" i="1"/>
  <c r="P989" i="1" s="1"/>
  <c r="N990" i="1"/>
  <c r="O990" i="1"/>
  <c r="P990" i="1" s="1"/>
  <c r="N991" i="1"/>
  <c r="O991" i="1"/>
  <c r="P991" i="1" s="1"/>
  <c r="N992" i="1"/>
  <c r="O992" i="1"/>
  <c r="P992" i="1" s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01" i="1"/>
  <c r="K902" i="1"/>
  <c r="K903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I921" i="1"/>
  <c r="H921" i="1"/>
  <c r="I920" i="1"/>
  <c r="H920" i="1"/>
  <c r="I1151" i="1"/>
  <c r="H1151" i="1"/>
  <c r="I1137" i="1"/>
  <c r="H1137" i="1"/>
  <c r="I963" i="1"/>
  <c r="H963" i="1"/>
  <c r="I941" i="1"/>
  <c r="H941" i="1"/>
  <c r="I903" i="1"/>
  <c r="H903" i="1"/>
  <c r="I1038" i="1"/>
  <c r="H1038" i="1"/>
  <c r="I1150" i="1"/>
  <c r="H1150" i="1"/>
  <c r="I1149" i="1"/>
  <c r="H1149" i="1"/>
  <c r="I1017" i="1"/>
  <c r="H1017" i="1"/>
  <c r="I1016" i="1"/>
  <c r="H1016" i="1"/>
  <c r="I1187" i="1"/>
  <c r="I1188" i="1"/>
  <c r="I1189" i="1"/>
  <c r="I1190" i="1"/>
  <c r="I1191" i="1"/>
  <c r="I1192" i="1"/>
  <c r="I1193" i="1"/>
  <c r="I1194" i="1"/>
  <c r="H1194" i="1"/>
  <c r="H1193" i="1"/>
  <c r="H1192" i="1"/>
  <c r="H1191" i="1"/>
  <c r="H1190" i="1"/>
  <c r="H1189" i="1"/>
  <c r="H1188" i="1"/>
  <c r="H1187" i="1"/>
  <c r="K894" i="1" l="1"/>
  <c r="K895" i="1"/>
  <c r="K896" i="1"/>
  <c r="K897" i="1"/>
  <c r="Q2" i="1"/>
  <c r="R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42" i="1"/>
  <c r="H943" i="1"/>
  <c r="H944" i="1"/>
  <c r="H2" i="1"/>
  <c r="H3" i="1"/>
  <c r="H4" i="1"/>
  <c r="H5" i="1"/>
  <c r="H6" i="1"/>
  <c r="H7" i="1"/>
  <c r="H8" i="1"/>
  <c r="E2" i="1"/>
  <c r="E3" i="1"/>
  <c r="E4" i="1"/>
  <c r="E5" i="1"/>
  <c r="E6" i="1"/>
  <c r="E7" i="1"/>
  <c r="E8" i="1"/>
  <c r="E9" i="1"/>
  <c r="K899" i="1"/>
  <c r="K900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7" i="1"/>
  <c r="I1087" i="1"/>
  <c r="I1088" i="1"/>
  <c r="I1089" i="1"/>
  <c r="I1090" i="1"/>
  <c r="I1091" i="1"/>
  <c r="I1118" i="1"/>
  <c r="I1128" i="1"/>
  <c r="I1136" i="1"/>
  <c r="K89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7" i="1"/>
  <c r="H1087" i="1"/>
  <c r="H1088" i="1"/>
  <c r="H1089" i="1"/>
  <c r="H1090" i="1"/>
  <c r="H1091" i="1"/>
  <c r="H1118" i="1"/>
  <c r="H1128" i="1"/>
  <c r="H1136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3" i="1"/>
  <c r="I1074" i="1"/>
  <c r="I1075" i="1"/>
  <c r="I1076" i="1"/>
  <c r="I1085" i="1"/>
  <c r="I1086" i="1"/>
  <c r="I1092" i="1"/>
  <c r="I1093" i="1"/>
  <c r="I1116" i="1"/>
  <c r="I1117" i="1"/>
  <c r="I1126" i="1"/>
  <c r="I1127" i="1"/>
  <c r="I1148" i="1"/>
  <c r="H1148" i="1"/>
  <c r="H1126" i="1"/>
  <c r="H1127" i="1"/>
  <c r="H1116" i="1"/>
  <c r="H1117" i="1"/>
  <c r="H1092" i="1"/>
  <c r="H1093" i="1"/>
  <c r="H1085" i="1"/>
  <c r="H1086" i="1"/>
  <c r="H1073" i="1"/>
  <c r="H1074" i="1"/>
  <c r="H1075" i="1"/>
  <c r="H1076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K893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5" i="1"/>
  <c r="I1147" i="1"/>
  <c r="H1147" i="1"/>
  <c r="H1135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5" i="1"/>
  <c r="I1146" i="1"/>
  <c r="H1146" i="1"/>
  <c r="H1115" i="1"/>
  <c r="H1055" i="1"/>
  <c r="H1010" i="1"/>
  <c r="H1011" i="1"/>
  <c r="H955" i="1"/>
  <c r="H971" i="1"/>
  <c r="H937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I1134" i="1"/>
  <c r="I1138" i="1"/>
  <c r="I1139" i="1"/>
  <c r="I1140" i="1"/>
  <c r="I1141" i="1"/>
  <c r="I1142" i="1"/>
  <c r="I1143" i="1"/>
  <c r="I1144" i="1"/>
  <c r="I1145" i="1"/>
  <c r="H1138" i="1"/>
  <c r="H1139" i="1"/>
  <c r="H1140" i="1"/>
  <c r="H1141" i="1"/>
  <c r="H1142" i="1"/>
  <c r="H1143" i="1"/>
  <c r="H1144" i="1"/>
  <c r="H1145" i="1"/>
  <c r="I1129" i="1"/>
  <c r="I1130" i="1"/>
  <c r="I1131" i="1"/>
  <c r="I1132" i="1"/>
  <c r="I1133" i="1"/>
  <c r="H1129" i="1"/>
  <c r="H1130" i="1"/>
  <c r="H1131" i="1"/>
  <c r="H1132" i="1"/>
  <c r="H1133" i="1"/>
  <c r="H1134" i="1"/>
  <c r="I1119" i="1"/>
  <c r="I1120" i="1"/>
  <c r="I1121" i="1"/>
  <c r="I1122" i="1"/>
  <c r="I1123" i="1"/>
  <c r="I1124" i="1"/>
  <c r="I1125" i="1"/>
  <c r="H1119" i="1"/>
  <c r="H1120" i="1"/>
  <c r="H1121" i="1"/>
  <c r="H1122" i="1"/>
  <c r="H1123" i="1"/>
  <c r="H1124" i="1"/>
  <c r="H1125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I1078" i="1"/>
  <c r="I1079" i="1"/>
  <c r="I1080" i="1"/>
  <c r="I1081" i="1"/>
  <c r="I1082" i="1"/>
  <c r="I1083" i="1"/>
  <c r="I1084" i="1"/>
  <c r="H1078" i="1"/>
  <c r="H1079" i="1"/>
  <c r="H1080" i="1"/>
  <c r="H1081" i="1"/>
  <c r="H1082" i="1"/>
  <c r="H1083" i="1"/>
  <c r="H1084" i="1"/>
  <c r="H1067" i="1"/>
  <c r="I1067" i="1"/>
  <c r="H1068" i="1"/>
  <c r="I1068" i="1"/>
  <c r="H1069" i="1"/>
  <c r="I1069" i="1"/>
  <c r="H1070" i="1"/>
  <c r="I1070" i="1"/>
  <c r="H1071" i="1"/>
  <c r="I1071" i="1"/>
  <c r="H1072" i="1"/>
  <c r="I1072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K706" i="1"/>
  <c r="N706" i="1"/>
  <c r="P706" i="1" s="1"/>
  <c r="O706" i="1"/>
  <c r="K707" i="1"/>
  <c r="N707" i="1"/>
  <c r="P707" i="1" s="1"/>
  <c r="O707" i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O717" i="1"/>
  <c r="P717" i="1" s="1"/>
  <c r="K718" i="1"/>
  <c r="N718" i="1"/>
  <c r="O718" i="1"/>
  <c r="P718" i="1" s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P722" i="1" s="1"/>
  <c r="O722" i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P737" i="1" s="1"/>
  <c r="O737" i="1"/>
  <c r="K738" i="1"/>
  <c r="N738" i="1"/>
  <c r="P738" i="1" s="1"/>
  <c r="O738" i="1"/>
  <c r="K739" i="1"/>
  <c r="N739" i="1"/>
  <c r="O739" i="1"/>
  <c r="P739" i="1" s="1"/>
  <c r="K740" i="1"/>
  <c r="N740" i="1"/>
  <c r="O740" i="1"/>
  <c r="P740" i="1" s="1"/>
  <c r="K741" i="1"/>
  <c r="N741" i="1"/>
  <c r="P741" i="1" s="1"/>
  <c r="O741" i="1"/>
  <c r="K742" i="1"/>
  <c r="N742" i="1"/>
  <c r="O742" i="1"/>
  <c r="P742" i="1" s="1"/>
  <c r="K743" i="1"/>
  <c r="N743" i="1"/>
  <c r="P743" i="1" s="1"/>
  <c r="O743" i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P757" i="1" s="1"/>
  <c r="O757" i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P761" i="1" s="1"/>
  <c r="O761" i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P769" i="1" s="1"/>
  <c r="O769" i="1"/>
  <c r="K770" i="1"/>
  <c r="N770" i="1"/>
  <c r="P770" i="1" s="1"/>
  <c r="O770" i="1"/>
  <c r="K771" i="1"/>
  <c r="N771" i="1"/>
  <c r="P771" i="1" s="1"/>
  <c r="O771" i="1"/>
  <c r="K772" i="1"/>
  <c r="N772" i="1"/>
  <c r="P772" i="1" s="1"/>
  <c r="O772" i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P793" i="1" s="1"/>
  <c r="O793" i="1"/>
  <c r="K794" i="1"/>
  <c r="N794" i="1"/>
  <c r="O794" i="1"/>
  <c r="P794" i="1" s="1"/>
  <c r="K795" i="1"/>
  <c r="N795" i="1"/>
  <c r="P795" i="1" s="1"/>
  <c r="O795" i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P804" i="1" s="1"/>
  <c r="O804" i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P810" i="1" s="1"/>
  <c r="O810" i="1"/>
  <c r="K811" i="1"/>
  <c r="N811" i="1"/>
  <c r="O811" i="1"/>
  <c r="P811" i="1" s="1"/>
  <c r="K812" i="1"/>
  <c r="N812" i="1"/>
  <c r="O812" i="1"/>
  <c r="P812" i="1" s="1"/>
  <c r="K813" i="1"/>
  <c r="N813" i="1"/>
  <c r="P813" i="1" s="1"/>
  <c r="O813" i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O819" i="1"/>
  <c r="P819" i="1" s="1"/>
  <c r="K820" i="1"/>
  <c r="N820" i="1"/>
  <c r="O820" i="1"/>
  <c r="P820" i="1" s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O825" i="1"/>
  <c r="P825" i="1" s="1"/>
  <c r="K826" i="1"/>
  <c r="N826" i="1"/>
  <c r="O826" i="1"/>
  <c r="P826" i="1" s="1"/>
  <c r="K827" i="1"/>
  <c r="N827" i="1"/>
  <c r="O827" i="1"/>
  <c r="P827" i="1" s="1"/>
  <c r="K828" i="1"/>
  <c r="N828" i="1"/>
  <c r="O828" i="1"/>
  <c r="P828" i="1" s="1"/>
  <c r="K829" i="1"/>
  <c r="N829" i="1"/>
  <c r="P829" i="1" s="1"/>
  <c r="O829" i="1"/>
  <c r="K830" i="1"/>
  <c r="N830" i="1"/>
  <c r="P830" i="1" s="1"/>
  <c r="O830" i="1"/>
  <c r="K831" i="1"/>
  <c r="N831" i="1"/>
  <c r="O831" i="1"/>
  <c r="P831" i="1" s="1"/>
  <c r="K832" i="1"/>
  <c r="N832" i="1"/>
  <c r="O832" i="1"/>
  <c r="P832" i="1" s="1"/>
  <c r="K833" i="1"/>
  <c r="N833" i="1"/>
  <c r="O833" i="1"/>
  <c r="P833" i="1" s="1"/>
  <c r="K834" i="1"/>
  <c r="N834" i="1"/>
  <c r="O834" i="1"/>
  <c r="P834" i="1" s="1"/>
  <c r="K835" i="1"/>
  <c r="N835" i="1"/>
  <c r="P835" i="1" s="1"/>
  <c r="O835" i="1"/>
  <c r="K836" i="1"/>
  <c r="N836" i="1"/>
  <c r="P836" i="1" s="1"/>
  <c r="O836" i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P842" i="1" s="1"/>
  <c r="O842" i="1"/>
  <c r="K843" i="1"/>
  <c r="N843" i="1"/>
  <c r="O843" i="1"/>
  <c r="P843" i="1" s="1"/>
  <c r="K844" i="1"/>
  <c r="N844" i="1"/>
  <c r="P844" i="1" s="1"/>
  <c r="O844" i="1"/>
  <c r="K845" i="1"/>
  <c r="N845" i="1"/>
  <c r="O845" i="1"/>
  <c r="P845" i="1" s="1"/>
  <c r="K846" i="1"/>
  <c r="N846" i="1"/>
  <c r="O846" i="1"/>
  <c r="P846" i="1" s="1"/>
  <c r="K847" i="1"/>
  <c r="N847" i="1"/>
  <c r="P847" i="1" s="1"/>
  <c r="O847" i="1"/>
  <c r="K848" i="1"/>
  <c r="N848" i="1"/>
  <c r="P848" i="1" s="1"/>
  <c r="O848" i="1"/>
  <c r="K849" i="1"/>
  <c r="N849" i="1"/>
  <c r="P849" i="1" s="1"/>
  <c r="O849" i="1"/>
  <c r="K850" i="1"/>
  <c r="N850" i="1"/>
  <c r="O850" i="1"/>
  <c r="P850" i="1" s="1"/>
  <c r="K851" i="1"/>
  <c r="N851" i="1"/>
  <c r="O851" i="1"/>
  <c r="P851" i="1" s="1"/>
  <c r="K852" i="1"/>
  <c r="N852" i="1"/>
  <c r="O852" i="1"/>
  <c r="P852" i="1" s="1"/>
  <c r="K853" i="1"/>
  <c r="N853" i="1"/>
  <c r="O853" i="1"/>
  <c r="P853" i="1" s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O857" i="1"/>
  <c r="P857" i="1" s="1"/>
  <c r="K858" i="1"/>
  <c r="N858" i="1"/>
  <c r="O858" i="1"/>
  <c r="P858" i="1" s="1"/>
  <c r="K859" i="1"/>
  <c r="N859" i="1"/>
  <c r="O859" i="1"/>
  <c r="P859" i="1" s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P863" i="1" s="1"/>
  <c r="O863" i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O868" i="1"/>
  <c r="P868" i="1" s="1"/>
  <c r="K869" i="1"/>
  <c r="N869" i="1"/>
  <c r="P869" i="1" s="1"/>
  <c r="O869" i="1"/>
  <c r="K870" i="1"/>
  <c r="N870" i="1"/>
  <c r="O870" i="1"/>
  <c r="P870" i="1" s="1"/>
  <c r="K871" i="1"/>
  <c r="N871" i="1"/>
  <c r="O871" i="1"/>
  <c r="P871" i="1" s="1"/>
  <c r="K872" i="1"/>
  <c r="N872" i="1"/>
  <c r="P872" i="1" s="1"/>
  <c r="O872" i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P877" i="1" s="1"/>
  <c r="O877" i="1"/>
  <c r="K878" i="1"/>
  <c r="N878" i="1"/>
  <c r="P878" i="1" s="1"/>
  <c r="O878" i="1"/>
  <c r="K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K886" i="1"/>
  <c r="K887" i="1"/>
  <c r="K888" i="1"/>
  <c r="K889" i="1"/>
  <c r="K890" i="1"/>
  <c r="K891" i="1"/>
  <c r="K892" i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O690" i="1"/>
  <c r="P690" i="1" s="1"/>
  <c r="K691" i="1"/>
  <c r="N691" i="1"/>
  <c r="O691" i="1"/>
  <c r="P691" i="1" s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K696" i="1"/>
  <c r="N696" i="1"/>
  <c r="O696" i="1"/>
  <c r="P696" i="1" s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P700" i="1" s="1"/>
  <c r="O700" i="1"/>
  <c r="K701" i="1"/>
  <c r="N701" i="1"/>
  <c r="P701" i="1" s="1"/>
  <c r="O701" i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K679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K477" i="1"/>
  <c r="N477" i="1"/>
  <c r="O477" i="1"/>
  <c r="P477" i="1" s="1"/>
  <c r="K478" i="1"/>
  <c r="N478" i="1"/>
  <c r="P478" i="1" s="1"/>
  <c r="O478" i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O510" i="1"/>
  <c r="P510" i="1" s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 s="1"/>
  <c r="K516" i="1"/>
  <c r="N516" i="1"/>
  <c r="O516" i="1"/>
  <c r="P516" i="1" s="1"/>
  <c r="K517" i="1"/>
  <c r="N517" i="1"/>
  <c r="P517" i="1" s="1"/>
  <c r="O517" i="1"/>
  <c r="K518" i="1"/>
  <c r="N518" i="1"/>
  <c r="O518" i="1"/>
  <c r="P518" i="1" s="1"/>
  <c r="K519" i="1"/>
  <c r="N519" i="1"/>
  <c r="P519" i="1" s="1"/>
  <c r="O519" i="1"/>
  <c r="K520" i="1"/>
  <c r="N520" i="1"/>
  <c r="O520" i="1"/>
  <c r="P520" i="1" s="1"/>
  <c r="K521" i="1"/>
  <c r="N521" i="1"/>
  <c r="O521" i="1"/>
  <c r="P521" i="1" s="1"/>
  <c r="K522" i="1"/>
  <c r="N522" i="1"/>
  <c r="P522" i="1" s="1"/>
  <c r="O522" i="1"/>
  <c r="K523" i="1"/>
  <c r="N523" i="1"/>
  <c r="P523" i="1" s="1"/>
  <c r="O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P527" i="1" s="1"/>
  <c r="O527" i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O536" i="1"/>
  <c r="P536" i="1" s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K543" i="1"/>
  <c r="N543" i="1"/>
  <c r="P543" i="1" s="1"/>
  <c r="O543" i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P547" i="1" s="1"/>
  <c r="O547" i="1"/>
  <c r="K548" i="1"/>
  <c r="N548" i="1"/>
  <c r="O548" i="1"/>
  <c r="P548" i="1" s="1"/>
  <c r="K549" i="1"/>
  <c r="N549" i="1"/>
  <c r="O549" i="1"/>
  <c r="P549" i="1" s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P557" i="1" s="1"/>
  <c r="O557" i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P561" i="1" s="1"/>
  <c r="O561" i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O575" i="1"/>
  <c r="P575" i="1" s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P583" i="1" s="1"/>
  <c r="O583" i="1"/>
  <c r="K584" i="1"/>
  <c r="N584" i="1"/>
  <c r="O584" i="1"/>
  <c r="P584" i="1" s="1"/>
  <c r="K585" i="1"/>
  <c r="N585" i="1"/>
  <c r="O585" i="1"/>
  <c r="P585" i="1" s="1"/>
  <c r="K586" i="1"/>
  <c r="N586" i="1"/>
  <c r="O586" i="1"/>
  <c r="P586" i="1" s="1"/>
  <c r="K587" i="1"/>
  <c r="N587" i="1"/>
  <c r="O587" i="1"/>
  <c r="P587" i="1" s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P592" i="1" s="1"/>
  <c r="O592" i="1"/>
  <c r="K593" i="1"/>
  <c r="N593" i="1"/>
  <c r="O593" i="1"/>
  <c r="P593" i="1" s="1"/>
  <c r="K594" i="1"/>
  <c r="N594" i="1"/>
  <c r="O594" i="1"/>
  <c r="P594" i="1" s="1"/>
  <c r="K595" i="1"/>
  <c r="N595" i="1"/>
  <c r="P595" i="1" s="1"/>
  <c r="O595" i="1"/>
  <c r="K596" i="1"/>
  <c r="N596" i="1"/>
  <c r="O596" i="1"/>
  <c r="P596" i="1" s="1"/>
  <c r="K597" i="1"/>
  <c r="N597" i="1"/>
  <c r="O597" i="1"/>
  <c r="P597" i="1" s="1"/>
  <c r="K598" i="1"/>
  <c r="N598" i="1"/>
  <c r="O598" i="1"/>
  <c r="P598" i="1" s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P606" i="1" s="1"/>
  <c r="O606" i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O611" i="1"/>
  <c r="P611" i="1" s="1"/>
  <c r="K612" i="1"/>
  <c r="N612" i="1"/>
  <c r="O612" i="1"/>
  <c r="P612" i="1" s="1"/>
  <c r="K613" i="1"/>
  <c r="N613" i="1"/>
  <c r="O613" i="1"/>
  <c r="P613" i="1" s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O618" i="1"/>
  <c r="P618" i="1" s="1"/>
  <c r="K619" i="1"/>
  <c r="N619" i="1"/>
  <c r="P619" i="1" s="1"/>
  <c r="O619" i="1"/>
  <c r="K620" i="1"/>
  <c r="N620" i="1"/>
  <c r="O620" i="1"/>
  <c r="P620" i="1" s="1"/>
  <c r="K621" i="1"/>
  <c r="N621" i="1"/>
  <c r="P621" i="1" s="1"/>
  <c r="O621" i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P626" i="1" s="1"/>
  <c r="O626" i="1"/>
  <c r="K627" i="1"/>
  <c r="N627" i="1"/>
  <c r="P627" i="1" s="1"/>
  <c r="O627" i="1"/>
  <c r="K628" i="1"/>
  <c r="N628" i="1"/>
  <c r="O628" i="1"/>
  <c r="P628" i="1" s="1"/>
  <c r="K629" i="1"/>
  <c r="N629" i="1"/>
  <c r="O629" i="1"/>
  <c r="P629" i="1" s="1"/>
  <c r="K630" i="1"/>
  <c r="N630" i="1"/>
  <c r="O630" i="1"/>
  <c r="P630" i="1" s="1"/>
  <c r="K631" i="1"/>
  <c r="N631" i="1"/>
  <c r="O631" i="1"/>
  <c r="P631" i="1" s="1"/>
  <c r="K632" i="1"/>
  <c r="N632" i="1"/>
  <c r="O632" i="1"/>
  <c r="P632" i="1" s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O636" i="1"/>
  <c r="P636" i="1" s="1"/>
  <c r="K637" i="1"/>
  <c r="N637" i="1"/>
  <c r="O637" i="1"/>
  <c r="P637" i="1" s="1"/>
  <c r="K638" i="1"/>
  <c r="N638" i="1"/>
  <c r="P638" i="1" s="1"/>
  <c r="O638" i="1"/>
  <c r="K639" i="1"/>
  <c r="N639" i="1"/>
  <c r="O639" i="1"/>
  <c r="P639" i="1" s="1"/>
  <c r="K640" i="1"/>
  <c r="N640" i="1"/>
  <c r="P640" i="1" s="1"/>
  <c r="O640" i="1"/>
  <c r="K641" i="1"/>
  <c r="N641" i="1"/>
  <c r="O641" i="1"/>
  <c r="P641" i="1" s="1"/>
  <c r="K642" i="1"/>
  <c r="N642" i="1"/>
  <c r="O642" i="1"/>
  <c r="P642" i="1" s="1"/>
  <c r="K643" i="1"/>
  <c r="N643" i="1"/>
  <c r="O643" i="1"/>
  <c r="P643" i="1" s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P651" i="1" s="1"/>
  <c r="O651" i="1"/>
  <c r="K652" i="1"/>
  <c r="N652" i="1"/>
  <c r="P652" i="1" s="1"/>
  <c r="O652" i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O658" i="1"/>
  <c r="P658" i="1" s="1"/>
  <c r="K659" i="1"/>
  <c r="N659" i="1"/>
  <c r="O659" i="1"/>
  <c r="P659" i="1" s="1"/>
  <c r="K660" i="1"/>
  <c r="N660" i="1"/>
  <c r="O660" i="1"/>
  <c r="P660" i="1" s="1"/>
  <c r="K661" i="1"/>
  <c r="N661" i="1"/>
  <c r="P661" i="1" s="1"/>
  <c r="O661" i="1"/>
  <c r="K662" i="1"/>
  <c r="N662" i="1"/>
  <c r="P662" i="1" s="1"/>
  <c r="O662" i="1"/>
  <c r="K663" i="1"/>
  <c r="N663" i="1"/>
  <c r="P663" i="1" s="1"/>
  <c r="O663" i="1"/>
  <c r="K664" i="1"/>
  <c r="N664" i="1"/>
  <c r="O664" i="1"/>
  <c r="P664" i="1" s="1"/>
  <c r="K665" i="1"/>
  <c r="N665" i="1"/>
  <c r="O665" i="1"/>
  <c r="P665" i="1" s="1"/>
  <c r="K666" i="1"/>
  <c r="N666" i="1"/>
  <c r="P666" i="1" s="1"/>
  <c r="O666" i="1"/>
  <c r="K667" i="1"/>
  <c r="N667" i="1"/>
  <c r="O667" i="1"/>
  <c r="P667" i="1" s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P672" i="1" s="1"/>
  <c r="O672" i="1"/>
  <c r="K673" i="1"/>
  <c r="N673" i="1"/>
  <c r="O673" i="1"/>
  <c r="P673" i="1" s="1"/>
  <c r="K674" i="1"/>
  <c r="N674" i="1"/>
  <c r="O674" i="1"/>
  <c r="P674" i="1" s="1"/>
  <c r="K675" i="1"/>
  <c r="N675" i="1"/>
  <c r="P675" i="1" s="1"/>
  <c r="O675" i="1"/>
  <c r="K676" i="1"/>
  <c r="N676" i="1"/>
  <c r="O676" i="1"/>
  <c r="P676" i="1" s="1"/>
  <c r="N679" i="1"/>
  <c r="O679" i="1"/>
  <c r="P679" i="1" s="1"/>
  <c r="K680" i="1"/>
  <c r="N680" i="1"/>
  <c r="O680" i="1"/>
  <c r="P680" i="1" s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N451" i="1"/>
  <c r="O451" i="1"/>
  <c r="P451" i="1" s="1"/>
  <c r="N452" i="1"/>
  <c r="P452" i="1" s="1"/>
  <c r="O452" i="1"/>
  <c r="N453" i="1"/>
  <c r="O453" i="1"/>
  <c r="P453" i="1" s="1"/>
  <c r="N454" i="1"/>
  <c r="O454" i="1"/>
  <c r="P454" i="1" s="1"/>
  <c r="N455" i="1"/>
  <c r="O455" i="1"/>
  <c r="P455" i="1" s="1"/>
  <c r="N456" i="1"/>
  <c r="P456" i="1" s="1"/>
  <c r="O456" i="1"/>
  <c r="N457" i="1"/>
  <c r="O457" i="1"/>
  <c r="P457" i="1" s="1"/>
  <c r="N458" i="1"/>
  <c r="O458" i="1"/>
  <c r="P458" i="1" s="1"/>
  <c r="N459" i="1"/>
  <c r="O459" i="1"/>
  <c r="P459" i="1" s="1"/>
  <c r="N460" i="1"/>
  <c r="O460" i="1"/>
  <c r="P460" i="1" s="1"/>
  <c r="N461" i="1"/>
  <c r="O461" i="1"/>
  <c r="P461" i="1" s="1"/>
  <c r="N462" i="1"/>
  <c r="O462" i="1"/>
  <c r="P462" i="1" s="1"/>
  <c r="N463" i="1"/>
  <c r="O463" i="1"/>
  <c r="P463" i="1" s="1"/>
  <c r="N464" i="1"/>
  <c r="O464" i="1"/>
  <c r="P464" i="1" s="1"/>
  <c r="N465" i="1"/>
  <c r="O465" i="1"/>
  <c r="P465" i="1" s="1"/>
  <c r="N466" i="1"/>
  <c r="O466" i="1"/>
  <c r="P466" i="1" s="1"/>
  <c r="N467" i="1"/>
  <c r="P467" i="1" s="1"/>
  <c r="O467" i="1"/>
  <c r="N468" i="1"/>
  <c r="O468" i="1"/>
  <c r="P468" i="1" s="1"/>
  <c r="N469" i="1"/>
  <c r="P469" i="1" s="1"/>
  <c r="O469" i="1"/>
  <c r="N470" i="1"/>
  <c r="O470" i="1"/>
  <c r="P470" i="1" s="1"/>
  <c r="N471" i="1"/>
  <c r="P471" i="1" s="1"/>
  <c r="O471" i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42" i="1"/>
  <c r="P442" i="1" s="1"/>
  <c r="O442" i="1"/>
  <c r="N443" i="1"/>
  <c r="P443" i="1" s="1"/>
  <c r="O443" i="1"/>
  <c r="N444" i="1"/>
  <c r="O444" i="1"/>
  <c r="P444" i="1" s="1"/>
  <c r="N445" i="1"/>
  <c r="O445" i="1"/>
  <c r="P445" i="1" s="1"/>
  <c r="N446" i="1"/>
  <c r="O446" i="1"/>
  <c r="P446" i="1" s="1"/>
  <c r="N447" i="1"/>
  <c r="O447" i="1"/>
  <c r="P447" i="1" s="1"/>
  <c r="N448" i="1"/>
  <c r="O448" i="1"/>
  <c r="P448" i="1" s="1"/>
  <c r="N449" i="1"/>
  <c r="O449" i="1"/>
  <c r="P449" i="1" s="1"/>
  <c r="N450" i="1"/>
  <c r="O450" i="1"/>
  <c r="P450" i="1" s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37" i="1"/>
  <c r="N437" i="1"/>
  <c r="O437" i="1"/>
  <c r="P437" i="1" s="1"/>
  <c r="K438" i="1"/>
  <c r="N438" i="1"/>
  <c r="O438" i="1"/>
  <c r="P438" i="1" s="1"/>
  <c r="K441" i="1"/>
  <c r="N441" i="1"/>
  <c r="O441" i="1"/>
  <c r="P441" i="1" s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K379" i="1"/>
  <c r="N379" i="1"/>
  <c r="O379" i="1"/>
  <c r="P379" i="1" s="1"/>
  <c r="K380" i="1"/>
  <c r="N380" i="1"/>
  <c r="P380" i="1" s="1"/>
  <c r="O380" i="1"/>
  <c r="K381" i="1"/>
  <c r="N381" i="1"/>
  <c r="O381" i="1"/>
  <c r="P381" i="1" s="1"/>
  <c r="K382" i="1"/>
  <c r="N382" i="1"/>
  <c r="P382" i="1" s="1"/>
  <c r="O382" i="1"/>
  <c r="K383" i="1"/>
  <c r="N383" i="1"/>
  <c r="P383" i="1" s="1"/>
  <c r="O383" i="1"/>
  <c r="K384" i="1"/>
  <c r="N384" i="1"/>
  <c r="P384" i="1" s="1"/>
  <c r="O384" i="1"/>
  <c r="K385" i="1"/>
  <c r="N385" i="1"/>
  <c r="O385" i="1"/>
  <c r="P385" i="1" s="1"/>
  <c r="K386" i="1"/>
  <c r="N386" i="1"/>
  <c r="O386" i="1"/>
  <c r="P386" i="1" s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P393" i="1" s="1"/>
  <c r="O393" i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O419" i="1"/>
  <c r="P41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23" i="1"/>
  <c r="N423" i="1"/>
  <c r="P423" i="1" s="1"/>
  <c r="O423" i="1"/>
  <c r="K424" i="1"/>
  <c r="N424" i="1"/>
  <c r="P424" i="1" s="1"/>
  <c r="O424" i="1"/>
  <c r="K425" i="1"/>
  <c r="N425" i="1"/>
  <c r="P425" i="1" s="1"/>
  <c r="O425" i="1"/>
  <c r="K426" i="1"/>
  <c r="N426" i="1"/>
  <c r="O426" i="1"/>
  <c r="P426" i="1" s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1" i="1"/>
  <c r="N431" i="1"/>
  <c r="P431" i="1" s="1"/>
  <c r="O431" i="1"/>
  <c r="K432" i="1"/>
  <c r="N432" i="1"/>
  <c r="P432" i="1" s="1"/>
  <c r="O432" i="1"/>
  <c r="K433" i="1"/>
  <c r="N433" i="1"/>
  <c r="O433" i="1"/>
  <c r="P433" i="1" s="1"/>
  <c r="K434" i="1"/>
  <c r="N434" i="1"/>
  <c r="O434" i="1"/>
  <c r="P434" i="1" s="1"/>
  <c r="K435" i="1"/>
  <c r="N435" i="1"/>
  <c r="O435" i="1"/>
  <c r="P435" i="1" s="1"/>
  <c r="K436" i="1"/>
  <c r="N436" i="1"/>
  <c r="O436" i="1"/>
  <c r="P436" i="1" s="1"/>
  <c r="K373" i="1"/>
  <c r="N373" i="1"/>
  <c r="P373" i="1" s="1"/>
  <c r="O373" i="1"/>
  <c r="K374" i="1"/>
  <c r="N374" i="1"/>
  <c r="P374" i="1" s="1"/>
  <c r="O374" i="1"/>
  <c r="K375" i="1"/>
  <c r="N375" i="1"/>
  <c r="P375" i="1" s="1"/>
  <c r="O375" i="1"/>
  <c r="K376" i="1"/>
  <c r="N376" i="1"/>
  <c r="P376" i="1" s="1"/>
  <c r="O376" i="1"/>
  <c r="K377" i="1"/>
  <c r="N377" i="1"/>
  <c r="O377" i="1"/>
  <c r="P377" i="1" s="1"/>
  <c r="K378" i="1"/>
  <c r="N378" i="1"/>
  <c r="O378" i="1"/>
  <c r="P378" i="1" s="1"/>
  <c r="K372" i="1"/>
  <c r="N372" i="1"/>
  <c r="P372" i="1" s="1"/>
  <c r="O372" i="1"/>
  <c r="K371" i="1"/>
  <c r="N371" i="1"/>
  <c r="P371" i="1" s="1"/>
  <c r="O37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M4" i="1"/>
  <c r="M5" i="1"/>
  <c r="M10" i="1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M6" i="1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M17" i="1"/>
  <c r="K19" i="3"/>
  <c r="J32" i="3"/>
  <c r="Y18" i="3"/>
  <c r="T18" i="3"/>
  <c r="J18" i="3"/>
  <c r="Z18" i="3"/>
  <c r="M144" i="1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K367" i="1"/>
  <c r="N367" i="1"/>
  <c r="O367" i="1"/>
  <c r="P367" i="1" s="1"/>
  <c r="H367" i="1"/>
  <c r="K362" i="1"/>
  <c r="K360" i="1"/>
  <c r="K361" i="1"/>
  <c r="K368" i="1"/>
  <c r="K369" i="1"/>
  <c r="K370" i="1"/>
  <c r="I362" i="1"/>
  <c r="I363" i="1"/>
  <c r="I364" i="1"/>
  <c r="I365" i="1"/>
  <c r="I366" i="1"/>
  <c r="I368" i="1"/>
  <c r="I369" i="1"/>
  <c r="H368" i="1"/>
  <c r="H369" i="1"/>
  <c r="H370" i="1"/>
  <c r="N368" i="1"/>
  <c r="N369" i="1"/>
  <c r="N370" i="1"/>
  <c r="O368" i="1"/>
  <c r="P368" i="1" s="1"/>
  <c r="O369" i="1"/>
  <c r="P369" i="1" s="1"/>
  <c r="O370" i="1"/>
  <c r="P370" i="1" s="1"/>
  <c r="I239" i="1"/>
  <c r="E239" i="1"/>
  <c r="H239" i="1"/>
  <c r="N239" i="1"/>
  <c r="O239" i="1"/>
  <c r="P239" i="1" s="1"/>
  <c r="K366" i="1"/>
  <c r="K365" i="1"/>
  <c r="K364" i="1"/>
  <c r="K363" i="1"/>
  <c r="H362" i="1"/>
  <c r="H363" i="1"/>
  <c r="H364" i="1"/>
  <c r="H365" i="1"/>
  <c r="H366" i="1"/>
  <c r="N362" i="1"/>
  <c r="N363" i="1"/>
  <c r="N364" i="1"/>
  <c r="N365" i="1"/>
  <c r="N366" i="1"/>
  <c r="P366" i="1" s="1"/>
  <c r="O362" i="1"/>
  <c r="P362" i="1" s="1"/>
  <c r="O363" i="1"/>
  <c r="P363" i="1" s="1"/>
  <c r="O364" i="1"/>
  <c r="O365" i="1"/>
  <c r="O366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71" i="1"/>
  <c r="O271" i="1"/>
  <c r="P271" i="1" s="1"/>
  <c r="N246" i="1"/>
  <c r="O246" i="1"/>
  <c r="P246" i="1" s="1"/>
  <c r="N247" i="1"/>
  <c r="O247" i="1"/>
  <c r="P247" i="1" s="1"/>
  <c r="N242" i="1"/>
  <c r="O242" i="1"/>
  <c r="P242" i="1" s="1"/>
  <c r="N248" i="1"/>
  <c r="O248" i="1"/>
  <c r="P248" i="1" s="1"/>
  <c r="N244" i="1"/>
  <c r="O244" i="1"/>
  <c r="P244" i="1" s="1"/>
  <c r="N245" i="1"/>
  <c r="O245" i="1"/>
  <c r="P245" i="1" s="1"/>
  <c r="N249" i="1"/>
  <c r="P249" i="1" s="1"/>
  <c r="O249" i="1"/>
  <c r="N250" i="1"/>
  <c r="O250" i="1"/>
  <c r="P250" i="1" s="1"/>
  <c r="N251" i="1"/>
  <c r="O251" i="1"/>
  <c r="P251" i="1" s="1"/>
  <c r="N252" i="1"/>
  <c r="O252" i="1"/>
  <c r="P252" i="1" s="1"/>
  <c r="N253" i="1"/>
  <c r="O253" i="1"/>
  <c r="P253" i="1" s="1"/>
  <c r="N254" i="1"/>
  <c r="P254" i="1" s="1"/>
  <c r="O254" i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P260" i="1" s="1"/>
  <c r="O260" i="1"/>
  <c r="N261" i="1"/>
  <c r="O261" i="1"/>
  <c r="P261" i="1" s="1"/>
  <c r="N262" i="1"/>
  <c r="P262" i="1" s="1"/>
  <c r="O262" i="1"/>
  <c r="N263" i="1"/>
  <c r="O263" i="1"/>
  <c r="P263" i="1" s="1"/>
  <c r="N285" i="1"/>
  <c r="O285" i="1"/>
  <c r="P285" i="1" s="1"/>
  <c r="N274" i="1"/>
  <c r="O274" i="1"/>
  <c r="P274" i="1" s="1"/>
  <c r="N315" i="1"/>
  <c r="O315" i="1"/>
  <c r="P315" i="1" s="1"/>
  <c r="N275" i="1"/>
  <c r="O275" i="1"/>
  <c r="P275" i="1" s="1"/>
  <c r="N231" i="1"/>
  <c r="O231" i="1"/>
  <c r="P231" i="1" s="1"/>
  <c r="N272" i="1"/>
  <c r="O272" i="1"/>
  <c r="P272" i="1" s="1"/>
  <c r="N264" i="1"/>
  <c r="O264" i="1"/>
  <c r="P264" i="1" s="1"/>
  <c r="N232" i="1"/>
  <c r="O232" i="1"/>
  <c r="P232" i="1" s="1"/>
  <c r="N269" i="1"/>
  <c r="O269" i="1"/>
  <c r="P269" i="1" s="1"/>
  <c r="N270" i="1"/>
  <c r="O270" i="1"/>
  <c r="P270" i="1" s="1"/>
  <c r="N344" i="1"/>
  <c r="O344" i="1"/>
  <c r="P344" i="1" s="1"/>
  <c r="N273" i="1"/>
  <c r="O273" i="1"/>
  <c r="P273" i="1" s="1"/>
  <c r="N276" i="1"/>
  <c r="O276" i="1"/>
  <c r="P276" i="1" s="1"/>
  <c r="N355" i="1"/>
  <c r="O355" i="1"/>
  <c r="P355" i="1" s="1"/>
  <c r="N277" i="1"/>
  <c r="O277" i="1"/>
  <c r="P277" i="1" s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P282" i="1" s="1"/>
  <c r="O282" i="1"/>
  <c r="N283" i="1"/>
  <c r="P283" i="1" s="1"/>
  <c r="O283" i="1"/>
  <c r="N284" i="1"/>
  <c r="O284" i="1"/>
  <c r="P284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O295" i="1"/>
  <c r="P295" i="1" s="1"/>
  <c r="N296" i="1"/>
  <c r="O296" i="1"/>
  <c r="P296" i="1" s="1"/>
  <c r="N297" i="1"/>
  <c r="P297" i="1" s="1"/>
  <c r="O297" i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O304" i="1"/>
  <c r="P304" i="1" s="1"/>
  <c r="N305" i="1"/>
  <c r="O305" i="1"/>
  <c r="P305" i="1" s="1"/>
  <c r="N306" i="1"/>
  <c r="P306" i="1" s="1"/>
  <c r="O306" i="1"/>
  <c r="N307" i="1"/>
  <c r="O307" i="1"/>
  <c r="P307" i="1" s="1"/>
  <c r="N233" i="1"/>
  <c r="O233" i="1"/>
  <c r="P233" i="1" s="1"/>
  <c r="N345" i="1"/>
  <c r="O345" i="1"/>
  <c r="P345" i="1" s="1"/>
  <c r="N265" i="1"/>
  <c r="O265" i="1"/>
  <c r="P265" i="1" s="1"/>
  <c r="N310" i="1"/>
  <c r="O310" i="1"/>
  <c r="P310" i="1" s="1"/>
  <c r="N311" i="1"/>
  <c r="P311" i="1" s="1"/>
  <c r="O311" i="1"/>
  <c r="N312" i="1"/>
  <c r="O312" i="1"/>
  <c r="P312" i="1" s="1"/>
  <c r="N313" i="1"/>
  <c r="P313" i="1" s="1"/>
  <c r="O313" i="1"/>
  <c r="N316" i="1"/>
  <c r="P316" i="1" s="1"/>
  <c r="O316" i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08" i="1"/>
  <c r="O308" i="1"/>
  <c r="P308" i="1" s="1"/>
  <c r="N243" i="1"/>
  <c r="O243" i="1"/>
  <c r="P243" i="1" s="1"/>
  <c r="N266" i="1"/>
  <c r="O266" i="1"/>
  <c r="P266" i="1" s="1"/>
  <c r="N267" i="1"/>
  <c r="O267" i="1"/>
  <c r="P267" i="1" s="1"/>
  <c r="N335" i="1"/>
  <c r="O335" i="1"/>
  <c r="P335" i="1" s="1"/>
  <c r="N336" i="1"/>
  <c r="O336" i="1"/>
  <c r="P336" i="1" s="1"/>
  <c r="N337" i="1"/>
  <c r="O337" i="1"/>
  <c r="P337" i="1" s="1"/>
  <c r="N338" i="1"/>
  <c r="O338" i="1"/>
  <c r="P338" i="1" s="1"/>
  <c r="N339" i="1"/>
  <c r="O339" i="1"/>
  <c r="P339" i="1" s="1"/>
  <c r="N340" i="1"/>
  <c r="O340" i="1"/>
  <c r="P340" i="1" s="1"/>
  <c r="N341" i="1"/>
  <c r="P341" i="1" s="1"/>
  <c r="O341" i="1"/>
  <c r="N346" i="1"/>
  <c r="O346" i="1"/>
  <c r="P346" i="1" s="1"/>
  <c r="N347" i="1"/>
  <c r="P347" i="1" s="1"/>
  <c r="O347" i="1"/>
  <c r="N348" i="1"/>
  <c r="O348" i="1"/>
  <c r="P348" i="1" s="1"/>
  <c r="N349" i="1"/>
  <c r="O349" i="1"/>
  <c r="P349" i="1" s="1"/>
  <c r="N350" i="1"/>
  <c r="P350" i="1" s="1"/>
  <c r="O350" i="1"/>
  <c r="N342" i="1"/>
  <c r="O342" i="1"/>
  <c r="P342" i="1" s="1"/>
  <c r="N351" i="1"/>
  <c r="O351" i="1"/>
  <c r="P351" i="1" s="1"/>
  <c r="N352" i="1"/>
  <c r="O352" i="1"/>
  <c r="P352" i="1" s="1"/>
  <c r="N353" i="1"/>
  <c r="O353" i="1"/>
  <c r="P353" i="1" s="1"/>
  <c r="N354" i="1"/>
  <c r="O354" i="1"/>
  <c r="P354" i="1" s="1"/>
  <c r="N343" i="1"/>
  <c r="P343" i="1" s="1"/>
  <c r="O343" i="1"/>
  <c r="N356" i="1"/>
  <c r="O356" i="1"/>
  <c r="P356" i="1" s="1"/>
  <c r="N357" i="1"/>
  <c r="P357" i="1" s="1"/>
  <c r="O357" i="1"/>
  <c r="N358" i="1"/>
  <c r="O358" i="1"/>
  <c r="P358" i="1" s="1"/>
  <c r="N359" i="1"/>
  <c r="O359" i="1"/>
  <c r="P359" i="1" s="1"/>
  <c r="N360" i="1"/>
  <c r="O360" i="1"/>
  <c r="P360" i="1" s="1"/>
  <c r="N268" i="1"/>
  <c r="P268" i="1" s="1"/>
  <c r="O268" i="1"/>
  <c r="N361" i="1"/>
  <c r="O361" i="1"/>
  <c r="P361" i="1" s="1"/>
  <c r="N309" i="1"/>
  <c r="P309" i="1" s="1"/>
  <c r="O309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Z25" i="3"/>
  <c r="K25" i="3"/>
  <c r="O25" i="3"/>
  <c r="P364" i="1"/>
  <c r="P365" i="1"/>
  <c r="E238" i="1"/>
  <c r="H238" i="1"/>
  <c r="I238" i="1"/>
  <c r="K238" i="1"/>
  <c r="K236" i="1"/>
  <c r="K237" i="1"/>
  <c r="I236" i="1"/>
  <c r="I237" i="1"/>
  <c r="E236" i="1"/>
  <c r="E237" i="1"/>
  <c r="H236" i="1"/>
  <c r="H237" i="1"/>
  <c r="K234" i="1"/>
  <c r="K235" i="1"/>
  <c r="I234" i="1"/>
  <c r="I235" i="1"/>
  <c r="E235" i="1"/>
  <c r="H235" i="1"/>
  <c r="E234" i="1"/>
  <c r="H234" i="1"/>
  <c r="I361" i="1"/>
  <c r="H361" i="1"/>
  <c r="K356" i="1"/>
  <c r="K357" i="1"/>
  <c r="K358" i="1"/>
  <c r="K359" i="1"/>
  <c r="K355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M81" i="1" l="1"/>
  <c r="T26" i="3"/>
  <c r="T20" i="3"/>
  <c r="T24" i="3"/>
  <c r="Y21" i="3"/>
  <c r="U11" i="3"/>
  <c r="U24" i="3"/>
  <c r="O27" i="3"/>
  <c r="Y24" i="3"/>
  <c r="Y27" i="3"/>
  <c r="Z24" i="3"/>
  <c r="M53" i="1"/>
  <c r="M27" i="1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M85" i="1"/>
  <c r="M119" i="1"/>
  <c r="M43" i="1"/>
  <c r="M95" i="1"/>
  <c r="M28" i="1"/>
  <c r="M111" i="1"/>
  <c r="M60" i="1"/>
  <c r="M9" i="1"/>
  <c r="M21" i="1"/>
  <c r="M88" i="1"/>
  <c r="M49" i="1"/>
  <c r="M84" i="1"/>
  <c r="M18" i="1"/>
  <c r="M61" i="1"/>
  <c r="M67" i="1"/>
  <c r="M50" i="1"/>
  <c r="M69" i="1"/>
  <c r="M74" i="1"/>
  <c r="M102" i="1"/>
  <c r="M16" i="1"/>
  <c r="M34" i="1"/>
  <c r="M167" i="1"/>
  <c r="M112" i="1"/>
  <c r="M93" i="1"/>
  <c r="M68" i="1"/>
  <c r="M33" i="1"/>
  <c r="M3" i="1"/>
  <c r="M44" i="1"/>
  <c r="M14" i="1"/>
  <c r="M73" i="1"/>
  <c r="M39" i="1"/>
  <c r="M101" i="1"/>
  <c r="M87" i="1"/>
  <c r="M41" i="1"/>
  <c r="M11" i="1"/>
  <c r="M52" i="1"/>
  <c r="M134" i="1"/>
  <c r="M62" i="1"/>
  <c r="M63" i="1"/>
  <c r="M98" i="1"/>
  <c r="M75" i="1"/>
  <c r="M103" i="1"/>
  <c r="M65" i="1"/>
  <c r="M35" i="1"/>
  <c r="M13" i="1"/>
  <c r="M127" i="1"/>
  <c r="M22" i="1"/>
  <c r="M91" i="1"/>
  <c r="M23" i="1"/>
  <c r="M94" i="1"/>
  <c r="M120" i="1"/>
  <c r="M26" i="1"/>
  <c r="M51" i="1"/>
  <c r="M37" i="1"/>
  <c r="M20" i="1"/>
  <c r="M72" i="1"/>
  <c r="M106" i="1"/>
  <c r="M30" i="1"/>
  <c r="M76" i="1"/>
  <c r="M25" i="1"/>
  <c r="M42" i="1"/>
  <c r="M12" i="1"/>
  <c r="M29" i="1"/>
  <c r="M107" i="1"/>
  <c r="M56" i="1"/>
  <c r="M114" i="1"/>
  <c r="M40" i="1"/>
  <c r="M116" i="1"/>
  <c r="M129" i="1"/>
  <c r="M212" i="1"/>
  <c r="M124" i="1"/>
  <c r="M142" i="1"/>
  <c r="M7" i="1"/>
  <c r="M123" i="1"/>
  <c r="M188" i="1"/>
  <c r="M83" i="1"/>
  <c r="M160" i="1"/>
  <c r="M15" i="1"/>
  <c r="M131" i="1"/>
  <c r="M109" i="1"/>
  <c r="M31" i="1"/>
  <c r="M8" i="1"/>
  <c r="M2" i="1"/>
  <c r="M19" i="1"/>
  <c r="M36" i="1"/>
  <c r="M45" i="1"/>
  <c r="M184" i="1"/>
  <c r="M138" i="1"/>
  <c r="M77" i="1"/>
  <c r="M71" i="1"/>
  <c r="M66" i="1"/>
  <c r="M183" i="1"/>
  <c r="M135" i="1"/>
  <c r="M147" i="1"/>
  <c r="M46" i="1"/>
  <c r="M97" i="1"/>
  <c r="M104" i="1"/>
  <c r="M79" i="1"/>
  <c r="M47" i="1"/>
  <c r="M48" i="1"/>
  <c r="M54" i="1"/>
  <c r="M128" i="1"/>
  <c r="M57" i="1"/>
  <c r="M58" i="1"/>
  <c r="M162" i="1"/>
  <c r="M122" i="1"/>
  <c r="M89" i="1"/>
  <c r="M164" i="1"/>
  <c r="M38" i="1"/>
  <c r="M146" i="1"/>
  <c r="M64" i="1"/>
  <c r="M32" i="1"/>
  <c r="M121" i="1"/>
  <c r="M90" i="1"/>
  <c r="M24" i="1"/>
  <c r="M118" i="1"/>
  <c r="M110" i="1"/>
  <c r="M86" i="1"/>
  <c r="M125" i="1"/>
  <c r="M100" i="1"/>
  <c r="M108" i="1"/>
  <c r="M133" i="1"/>
  <c r="M96" i="1"/>
  <c r="M207" i="1"/>
  <c r="M190" i="1"/>
  <c r="M170" i="1"/>
  <c r="M196" i="1"/>
  <c r="M199" i="1"/>
  <c r="M210" i="1"/>
  <c r="M156" i="1"/>
  <c r="M186" i="1"/>
  <c r="M209" i="1"/>
  <c r="M177" i="1"/>
  <c r="M92" i="1"/>
  <c r="M137" i="1"/>
  <c r="M187" i="1"/>
  <c r="M193" i="1"/>
  <c r="M105" i="1"/>
  <c r="M115" i="1"/>
  <c r="M168" i="1"/>
  <c r="M145" i="1"/>
  <c r="M80" i="1"/>
  <c r="M149" i="1"/>
  <c r="M229" i="1"/>
  <c r="M202" i="1"/>
  <c r="M197" i="1"/>
  <c r="M154" i="1"/>
  <c r="M141" i="1"/>
  <c r="M176" i="1"/>
  <c r="M153" i="1"/>
  <c r="M59" i="1"/>
  <c r="M157" i="1"/>
  <c r="M152" i="1"/>
  <c r="M155" i="1"/>
  <c r="M182" i="1"/>
  <c r="J20" i="3"/>
  <c r="M189" i="1"/>
  <c r="M130" i="1"/>
  <c r="M172" i="1"/>
  <c r="M175" i="1"/>
  <c r="M192" i="1"/>
  <c r="M195" i="1"/>
  <c r="M151" i="1"/>
  <c r="M203" i="1"/>
  <c r="M214" i="1"/>
  <c r="M178" i="1"/>
  <c r="P20" i="3"/>
  <c r="M232" i="1"/>
  <c r="Z11" i="3"/>
  <c r="O11" i="3"/>
  <c r="K26" i="3"/>
  <c r="M215" i="1"/>
  <c r="Z26" i="3"/>
  <c r="K11" i="3"/>
  <c r="J26" i="3"/>
  <c r="M139" i="1"/>
  <c r="M211" i="1"/>
  <c r="M216" i="1"/>
  <c r="M70" i="1"/>
  <c r="M132" i="1"/>
  <c r="M204" i="1"/>
  <c r="M191" i="1"/>
  <c r="M200" i="1"/>
  <c r="M78" i="1"/>
  <c r="M185" i="1"/>
  <c r="M205" i="1"/>
  <c r="M230" i="1"/>
  <c r="M225" i="1"/>
  <c r="U26" i="3"/>
  <c r="P26" i="3"/>
  <c r="M201" i="1"/>
  <c r="M198" i="1"/>
  <c r="M161" i="1"/>
  <c r="M150" i="1"/>
  <c r="M136" i="1"/>
  <c r="T11" i="3"/>
  <c r="J9" i="3"/>
  <c r="M235" i="1"/>
  <c r="P15" i="3"/>
  <c r="U15" i="3"/>
  <c r="Y15" i="3"/>
  <c r="K15" i="3"/>
  <c r="J15" i="3"/>
  <c r="Z15" i="3"/>
  <c r="T15" i="3"/>
  <c r="O15" i="3"/>
  <c r="M238" i="1"/>
  <c r="Z7" i="3"/>
  <c r="P7" i="3"/>
  <c r="Y7" i="3"/>
  <c r="T7" i="3"/>
  <c r="U7" i="3"/>
  <c r="J7" i="3"/>
  <c r="K7" i="3"/>
  <c r="O7" i="3"/>
  <c r="M237" i="1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M55" i="1"/>
  <c r="M166" i="1"/>
  <c r="M126" i="1"/>
  <c r="M219" i="1"/>
  <c r="M220" i="1"/>
  <c r="M174" i="1"/>
  <c r="M206" i="1"/>
  <c r="M233" i="1"/>
  <c r="U5" i="3"/>
  <c r="K18" i="3"/>
  <c r="Z29" i="3"/>
  <c r="Z33" i="3"/>
  <c r="Z30" i="3"/>
  <c r="K33" i="3"/>
  <c r="M181" i="1"/>
  <c r="M165" i="1"/>
  <c r="M213" i="1"/>
  <c r="M226" i="1"/>
  <c r="M227" i="1"/>
  <c r="M228" i="1"/>
  <c r="Y25" i="3"/>
  <c r="P25" i="3"/>
  <c r="P5" i="3"/>
  <c r="O19" i="3"/>
  <c r="U18" i="3"/>
  <c r="P28" i="3"/>
  <c r="M223" i="1"/>
  <c r="O30" i="3"/>
  <c r="O22" i="3"/>
  <c r="P23" i="3"/>
  <c r="U28" i="3"/>
  <c r="Z28" i="3"/>
  <c r="U21" i="3"/>
  <c r="K21" i="3"/>
  <c r="M113" i="1"/>
  <c r="M234" i="1"/>
  <c r="M221" i="1"/>
  <c r="K20" i="3"/>
  <c r="T25" i="3"/>
  <c r="Z5" i="3"/>
  <c r="Z35" i="3"/>
  <c r="Z27" i="3"/>
  <c r="K24" i="3"/>
  <c r="M163" i="1"/>
  <c r="M148" i="1"/>
  <c r="M231" i="1"/>
  <c r="U25" i="3"/>
  <c r="J5" i="3"/>
  <c r="Z19" i="3"/>
  <c r="K23" i="3"/>
  <c r="M222" i="1"/>
  <c r="P33" i="3"/>
  <c r="Y28" i="3"/>
  <c r="U27" i="3"/>
  <c r="J27" i="3"/>
  <c r="O21" i="3"/>
  <c r="M82" i="1"/>
  <c r="M179" i="1"/>
  <c r="M169" i="1"/>
  <c r="M171" i="1"/>
  <c r="M173" i="1"/>
  <c r="M208" i="1"/>
  <c r="M217" i="1"/>
  <c r="M194" i="1"/>
  <c r="M180" i="1"/>
  <c r="M158" i="1"/>
  <c r="M159" i="1"/>
  <c r="M99" i="1"/>
  <c r="Z13" i="3"/>
  <c r="Z20" i="3"/>
  <c r="K16" i="3"/>
  <c r="U38" i="6"/>
  <c r="U41" i="6"/>
  <c r="U34" i="6"/>
  <c r="N35" i="6"/>
  <c r="G38" i="6"/>
  <c r="T37" i="6"/>
  <c r="P37" i="6"/>
  <c r="M143" i="1"/>
  <c r="K30" i="3"/>
  <c r="K27" i="3"/>
  <c r="Z21" i="3"/>
  <c r="M224" i="1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M236" i="1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K346" i="1"/>
  <c r="K347" i="1"/>
  <c r="K348" i="1"/>
  <c r="K349" i="1"/>
  <c r="K350" i="1"/>
  <c r="K342" i="1"/>
  <c r="K351" i="1"/>
  <c r="K352" i="1"/>
  <c r="K353" i="1"/>
  <c r="K354" i="1"/>
  <c r="K343" i="1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15" i="1"/>
  <c r="K344" i="1"/>
  <c r="K345" i="1"/>
  <c r="K335" i="1"/>
  <c r="K336" i="1"/>
  <c r="K337" i="1"/>
  <c r="K338" i="1"/>
  <c r="K339" i="1"/>
  <c r="K340" i="1"/>
  <c r="K341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K310" i="1"/>
  <c r="K311" i="1"/>
  <c r="K312" i="1"/>
  <c r="K313" i="1"/>
  <c r="K309" i="1"/>
  <c r="K308" i="1"/>
  <c r="K285" i="1"/>
  <c r="O13" i="3"/>
  <c r="I155" i="6" l="1"/>
  <c r="I156" i="6"/>
  <c r="J125" i="6"/>
  <c r="I158" i="6"/>
  <c r="I157" i="6"/>
  <c r="I154" i="6"/>
  <c r="O127" i="6"/>
  <c r="I125" i="6"/>
  <c r="C126" i="6"/>
  <c r="R126" i="6"/>
  <c r="D127" i="6"/>
  <c r="Z127" i="6"/>
  <c r="M125" i="6"/>
  <c r="AA125" i="6"/>
  <c r="V126" i="6"/>
  <c r="P127" i="6"/>
  <c r="G127" i="6"/>
  <c r="AB127" i="6"/>
  <c r="W125" i="6"/>
  <c r="J126" i="6"/>
  <c r="X126" i="6"/>
  <c r="S127" i="6"/>
  <c r="E125" i="6"/>
  <c r="T125" i="6"/>
  <c r="N126" i="6"/>
  <c r="H127" i="6"/>
  <c r="AA126" i="6"/>
  <c r="V127" i="6"/>
  <c r="P125" i="6"/>
  <c r="Q126" i="6"/>
  <c r="K127" i="6"/>
  <c r="Y127" i="6"/>
  <c r="L125" i="6"/>
  <c r="F126" i="6"/>
  <c r="U126" i="6"/>
  <c r="T126" i="6"/>
  <c r="N127" i="6"/>
  <c r="H125" i="6"/>
  <c r="O125" i="6"/>
  <c r="I126" i="6"/>
  <c r="C127" i="6"/>
  <c r="R127" i="6"/>
  <c r="D125" i="6"/>
  <c r="Z125" i="6"/>
  <c r="M126" i="6"/>
  <c r="L126" i="6"/>
  <c r="F127" i="6"/>
  <c r="U127" i="6"/>
  <c r="G125" i="6"/>
  <c r="AB125" i="6"/>
  <c r="W126" i="6"/>
  <c r="J127" i="6"/>
  <c r="X127" i="6"/>
  <c r="S125" i="6"/>
  <c r="E126" i="6"/>
  <c r="D126" i="6"/>
  <c r="Z126" i="6"/>
  <c r="M127" i="6"/>
  <c r="AA127" i="6"/>
  <c r="V125" i="6"/>
  <c r="P126" i="6"/>
  <c r="Q127" i="6"/>
  <c r="K125" i="6"/>
  <c r="Y125" i="6"/>
  <c r="X125" i="6"/>
  <c r="S126" i="6"/>
  <c r="E127" i="6"/>
  <c r="T127" i="6"/>
  <c r="N125" i="6"/>
  <c r="H126" i="6"/>
  <c r="O126" i="6"/>
  <c r="I127" i="6"/>
  <c r="C125" i="6"/>
  <c r="R125" i="6"/>
  <c r="Q125" i="6"/>
  <c r="K126" i="6"/>
  <c r="Y126" i="6"/>
  <c r="L127" i="6"/>
  <c r="F125" i="6"/>
  <c r="U125" i="6"/>
  <c r="G126" i="6"/>
  <c r="AB126" i="6"/>
  <c r="W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V12" i="3" s="1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W157" i="6"/>
  <c r="J156" i="6"/>
  <c r="S157" i="6"/>
  <c r="AA158" i="6"/>
  <c r="P157" i="6"/>
  <c r="V140" i="6"/>
  <c r="AA135" i="6"/>
  <c r="T156" i="6"/>
  <c r="X141" i="6"/>
  <c r="Y140" i="6"/>
  <c r="AB158" i="6"/>
  <c r="AB154" i="6"/>
  <c r="AA156" i="6"/>
  <c r="V144" i="6"/>
  <c r="V146" i="6"/>
  <c r="Y128" i="6"/>
  <c r="W142" i="6"/>
  <c r="Y132" i="6"/>
  <c r="J91" i="6"/>
  <c r="D98" i="6"/>
  <c r="Q50" i="6"/>
  <c r="J70" i="6"/>
  <c r="AA134" i="6"/>
  <c r="V130" i="6"/>
  <c r="J86" i="6"/>
  <c r="M81" i="6"/>
  <c r="D88" i="6"/>
  <c r="U69" i="6"/>
  <c r="F132" i="6"/>
  <c r="AA138" i="6"/>
  <c r="AB134" i="6"/>
  <c r="W128" i="6"/>
  <c r="Q116" i="6"/>
  <c r="M44" i="6"/>
  <c r="M57" i="6"/>
  <c r="K85" i="6"/>
  <c r="D58" i="6"/>
  <c r="X154" i="6"/>
  <c r="V139" i="6"/>
  <c r="Z134" i="6"/>
  <c r="C73" i="6"/>
  <c r="J144" i="6"/>
  <c r="E43" i="6"/>
  <c r="C79" i="6"/>
  <c r="AB146" i="6"/>
  <c r="Y154" i="6"/>
  <c r="S136" i="6"/>
  <c r="N123" i="6"/>
  <c r="H48" i="6"/>
  <c r="S100" i="6"/>
  <c r="AB133" i="6"/>
  <c r="X133" i="6"/>
  <c r="W154" i="6"/>
  <c r="C91" i="6"/>
  <c r="C69" i="6"/>
  <c r="C89" i="6"/>
  <c r="J151" i="6"/>
  <c r="O82" i="6"/>
  <c r="AA143" i="6"/>
  <c r="AB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B135" i="6"/>
  <c r="G61" i="6"/>
  <c r="D87" i="6"/>
  <c r="O119" i="6"/>
  <c r="X157" i="6"/>
  <c r="K156" i="6"/>
  <c r="G158" i="6"/>
  <c r="D157" i="6"/>
  <c r="F158" i="6"/>
  <c r="AA145" i="6"/>
  <c r="V145" i="6"/>
  <c r="L156" i="6"/>
  <c r="Y150" i="6"/>
  <c r="Z149" i="6"/>
  <c r="M157" i="6"/>
  <c r="E158" i="6"/>
  <c r="AA136" i="6"/>
  <c r="AB136" i="6"/>
  <c r="Z129" i="6"/>
  <c r="R114" i="6"/>
  <c r="M114" i="6"/>
  <c r="M80" i="6"/>
  <c r="U132" i="6"/>
  <c r="F155" i="6"/>
  <c r="H156" i="6"/>
  <c r="W138" i="6"/>
  <c r="I120" i="6"/>
  <c r="L148" i="6"/>
  <c r="D143" i="6"/>
  <c r="T88" i="6"/>
  <c r="G109" i="6"/>
  <c r="Z140" i="6"/>
  <c r="V148" i="6"/>
  <c r="X137" i="6"/>
  <c r="L117" i="6"/>
  <c r="C78" i="6"/>
  <c r="C108" i="6"/>
  <c r="R116" i="6"/>
  <c r="H142" i="6"/>
  <c r="Z143" i="6"/>
  <c r="X152" i="6"/>
  <c r="AB155" i="6"/>
  <c r="I145" i="6"/>
  <c r="I51" i="6"/>
  <c r="J61" i="6"/>
  <c r="L139" i="6"/>
  <c r="X156" i="6"/>
  <c r="AB147" i="6"/>
  <c r="AB131" i="6"/>
  <c r="K50" i="6"/>
  <c r="S149" i="6"/>
  <c r="P123" i="6"/>
  <c r="P142" i="6"/>
  <c r="F136" i="6"/>
  <c r="Z138" i="6"/>
  <c r="AA146" i="6"/>
  <c r="X155" i="6"/>
  <c r="I98" i="6"/>
  <c r="P63" i="6"/>
  <c r="M88" i="6"/>
  <c r="Q49" i="6"/>
  <c r="F102" i="6"/>
  <c r="V153" i="6"/>
  <c r="W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X142" i="6"/>
  <c r="S132" i="6"/>
  <c r="T147" i="6"/>
  <c r="H83" i="6"/>
  <c r="U158" i="6"/>
  <c r="G156" i="6"/>
  <c r="T157" i="6"/>
  <c r="O156" i="6"/>
  <c r="V147" i="6"/>
  <c r="V128" i="6"/>
  <c r="J158" i="6"/>
  <c r="W141" i="6"/>
  <c r="N157" i="6"/>
  <c r="AA129" i="6"/>
  <c r="AB153" i="6"/>
  <c r="Z153" i="6"/>
  <c r="O158" i="6"/>
  <c r="V131" i="6"/>
  <c r="K158" i="6"/>
  <c r="Y129" i="6"/>
  <c r="W135" i="6"/>
  <c r="Z132" i="6"/>
  <c r="H149" i="6"/>
  <c r="N115" i="6"/>
  <c r="E104" i="6"/>
  <c r="I63" i="6"/>
  <c r="D108" i="6"/>
  <c r="Y157" i="6"/>
  <c r="Y149" i="6"/>
  <c r="Y136" i="6"/>
  <c r="K97" i="6"/>
  <c r="P145" i="6"/>
  <c r="R74" i="6"/>
  <c r="G148" i="6"/>
  <c r="M64" i="6"/>
  <c r="AB137" i="6"/>
  <c r="AA142" i="6"/>
  <c r="M132" i="6"/>
  <c r="M100" i="6"/>
  <c r="H100" i="6"/>
  <c r="J84" i="6"/>
  <c r="D65" i="6"/>
  <c r="AB130" i="6"/>
  <c r="N55" i="6"/>
  <c r="P48" i="6"/>
  <c r="C90" i="6"/>
  <c r="Q74" i="6"/>
  <c r="V156" i="6"/>
  <c r="W149" i="6"/>
  <c r="W133" i="6"/>
  <c r="F51" i="6"/>
  <c r="C99" i="6"/>
  <c r="G113" i="6"/>
  <c r="S81" i="6"/>
  <c r="R121" i="6"/>
  <c r="X143" i="6"/>
  <c r="AB148" i="6"/>
  <c r="X130" i="6"/>
  <c r="R82" i="6"/>
  <c r="L123" i="6"/>
  <c r="T124" i="6"/>
  <c r="S94" i="6"/>
  <c r="X132" i="6"/>
  <c r="V136" i="6"/>
  <c r="Y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Z158" i="6"/>
  <c r="C156" i="6"/>
  <c r="E156" i="6"/>
  <c r="AB157" i="6"/>
  <c r="Y143" i="6"/>
  <c r="X158" i="6"/>
  <c r="AB149" i="6"/>
  <c r="L158" i="6"/>
  <c r="X150" i="6"/>
  <c r="Z128" i="6"/>
  <c r="W156" i="6"/>
  <c r="X144" i="6"/>
  <c r="AA155" i="6"/>
  <c r="Z148" i="6"/>
  <c r="AB145" i="6"/>
  <c r="R100" i="6"/>
  <c r="M43" i="6"/>
  <c r="P86" i="6"/>
  <c r="D116" i="6"/>
  <c r="I151" i="6"/>
  <c r="Z130" i="6"/>
  <c r="D149" i="6"/>
  <c r="I77" i="6"/>
  <c r="E129" i="6"/>
  <c r="Q61" i="6"/>
  <c r="H79" i="6"/>
  <c r="X136" i="6"/>
  <c r="U142" i="6"/>
  <c r="H152" i="6"/>
  <c r="S144" i="6"/>
  <c r="P147" i="6"/>
  <c r="E45" i="6"/>
  <c r="X128" i="6"/>
  <c r="AA132" i="6"/>
  <c r="W140" i="6"/>
  <c r="R51" i="6"/>
  <c r="F130" i="6"/>
  <c r="U92" i="6"/>
  <c r="J145" i="6"/>
  <c r="V150" i="6"/>
  <c r="W132" i="6"/>
  <c r="Z146" i="6"/>
  <c r="M147" i="6"/>
  <c r="T92" i="6"/>
  <c r="O121" i="6"/>
  <c r="G121" i="6"/>
  <c r="C86" i="6"/>
  <c r="H135" i="6"/>
  <c r="K154" i="6"/>
  <c r="R136" i="6"/>
  <c r="K113" i="6"/>
  <c r="G92" i="6"/>
  <c r="Y133" i="6"/>
  <c r="W155" i="6"/>
  <c r="Z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Y158" i="6"/>
  <c r="X135" i="6"/>
  <c r="W151" i="6"/>
  <c r="Z156" i="6"/>
  <c r="AA147" i="6"/>
  <c r="Y145" i="6"/>
  <c r="AA137" i="6"/>
  <c r="AA157" i="6"/>
  <c r="AA149" i="6"/>
  <c r="Y131" i="6"/>
  <c r="W129" i="6"/>
  <c r="Z131" i="6"/>
  <c r="T91" i="6"/>
  <c r="C66" i="6"/>
  <c r="L80" i="6"/>
  <c r="U131" i="6"/>
  <c r="G129" i="6"/>
  <c r="AB150" i="6"/>
  <c r="AA148" i="6"/>
  <c r="Z145" i="6"/>
  <c r="J75" i="6"/>
  <c r="J54" i="6"/>
  <c r="I119" i="6"/>
  <c r="D43" i="6"/>
  <c r="Q112" i="6"/>
  <c r="AB140" i="6"/>
  <c r="W131" i="6"/>
  <c r="AA141" i="6"/>
  <c r="M153" i="6"/>
  <c r="G72" i="6"/>
  <c r="F150" i="6"/>
  <c r="G90" i="6"/>
  <c r="N114" i="6"/>
  <c r="AA133" i="6"/>
  <c r="N107" i="6"/>
  <c r="O96" i="6"/>
  <c r="C98" i="6"/>
  <c r="H45" i="6"/>
  <c r="S151" i="6"/>
  <c r="AA150" i="6"/>
  <c r="Y151" i="6"/>
  <c r="AA139" i="6"/>
  <c r="O112" i="6"/>
  <c r="P146" i="6"/>
  <c r="R83" i="6"/>
  <c r="E142" i="6"/>
  <c r="G137" i="6"/>
  <c r="X129" i="6"/>
  <c r="Y147" i="6"/>
  <c r="R99" i="6"/>
  <c r="R101" i="6"/>
  <c r="E47" i="6"/>
  <c r="U144" i="6"/>
  <c r="D151" i="6"/>
  <c r="C158" i="6"/>
  <c r="V129" i="6"/>
  <c r="Y152" i="6"/>
  <c r="AB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Z157" i="6"/>
  <c r="AB156" i="6"/>
  <c r="P158" i="6"/>
  <c r="Y156" i="6"/>
  <c r="H158" i="6"/>
  <c r="E157" i="6"/>
  <c r="AB139" i="6"/>
  <c r="W134" i="6"/>
  <c r="S156" i="6"/>
  <c r="AA140" i="6"/>
  <c r="Z154" i="6"/>
  <c r="X146" i="6"/>
  <c r="AB151" i="6"/>
  <c r="Z135" i="6"/>
  <c r="V143" i="6"/>
  <c r="X140" i="6"/>
  <c r="P65" i="6"/>
  <c r="Q136" i="6"/>
  <c r="O99" i="6"/>
  <c r="K140" i="6"/>
  <c r="L95" i="6"/>
  <c r="Z142" i="6"/>
  <c r="V142" i="6"/>
  <c r="AA154" i="6"/>
  <c r="H96" i="6"/>
  <c r="D82" i="6"/>
  <c r="F76" i="6"/>
  <c r="D148" i="6"/>
  <c r="Y155" i="6"/>
  <c r="Z136" i="6"/>
  <c r="S74" i="6"/>
  <c r="M121" i="6"/>
  <c r="K91" i="6"/>
  <c r="F50" i="6"/>
  <c r="Y142" i="6"/>
  <c r="D120" i="6"/>
  <c r="D68" i="6"/>
  <c r="F154" i="6"/>
  <c r="M93" i="6"/>
  <c r="M91" i="6"/>
  <c r="Y134" i="6"/>
  <c r="W153" i="6"/>
  <c r="AA130" i="6"/>
  <c r="G76" i="6"/>
  <c r="G45" i="6"/>
  <c r="H104" i="6"/>
  <c r="M158" i="6"/>
  <c r="Y146" i="6"/>
  <c r="V151" i="6"/>
  <c r="C63" i="6"/>
  <c r="D97" i="6"/>
  <c r="E68" i="6"/>
  <c r="L65" i="6"/>
  <c r="D70" i="6"/>
  <c r="W150" i="6"/>
  <c r="X134" i="6"/>
  <c r="AB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W158" i="6"/>
  <c r="F157" i="6"/>
  <c r="X145" i="6"/>
  <c r="W136" i="6"/>
  <c r="Z147" i="6"/>
  <c r="V134" i="6"/>
  <c r="J157" i="6"/>
  <c r="AB143" i="6"/>
  <c r="AA151" i="6"/>
  <c r="W139" i="6"/>
  <c r="AA153" i="6"/>
  <c r="Y139" i="6"/>
  <c r="Z152" i="6"/>
  <c r="L74" i="6"/>
  <c r="T135" i="6"/>
  <c r="U45" i="6"/>
  <c r="F80" i="6"/>
  <c r="U109" i="6"/>
  <c r="L129" i="6"/>
  <c r="R143" i="6"/>
  <c r="T65" i="6"/>
  <c r="L157" i="6"/>
  <c r="W148" i="6"/>
  <c r="V138" i="6"/>
  <c r="I123" i="6"/>
  <c r="C121" i="6"/>
  <c r="K78" i="6"/>
  <c r="I141" i="6"/>
  <c r="D110" i="6"/>
  <c r="R157" i="6"/>
  <c r="Z151" i="6"/>
  <c r="E65" i="6"/>
  <c r="M110" i="6"/>
  <c r="P108" i="6"/>
  <c r="N79" i="6"/>
  <c r="I109" i="6"/>
  <c r="AA131" i="6"/>
  <c r="Z150" i="6"/>
  <c r="V132" i="6"/>
  <c r="H49" i="6"/>
  <c r="E130" i="6"/>
  <c r="O49" i="6"/>
  <c r="T48" i="6"/>
  <c r="V158" i="6"/>
  <c r="Z155" i="6"/>
  <c r="K133" i="6"/>
  <c r="G52" i="6"/>
  <c r="D103" i="6"/>
  <c r="E75" i="6"/>
  <c r="I102" i="6"/>
  <c r="W145" i="6"/>
  <c r="W152" i="6"/>
  <c r="Q139" i="6"/>
  <c r="L53" i="6"/>
  <c r="C55" i="6"/>
  <c r="O53" i="6"/>
  <c r="X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B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B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Z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X139" i="6"/>
  <c r="X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Y153" i="6"/>
  <c r="V135" i="6"/>
  <c r="C74" i="6"/>
  <c r="AB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Y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X131" i="6"/>
  <c r="Y148" i="6"/>
  <c r="Z137" i="6"/>
  <c r="Y144" i="6"/>
  <c r="W147" i="6"/>
  <c r="V152" i="6"/>
  <c r="AB138" i="6"/>
  <c r="AA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W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Z141" i="6"/>
  <c r="K68" i="6"/>
  <c r="J148" i="6"/>
  <c r="V149" i="6"/>
  <c r="W137" i="6"/>
  <c r="Z133" i="6"/>
  <c r="AB152" i="6"/>
  <c r="X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X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A152" i="6"/>
  <c r="K69" i="6"/>
  <c r="Q46" i="6"/>
  <c r="O59" i="6"/>
  <c r="M85" i="6"/>
  <c r="R109" i="6"/>
  <c r="C93" i="6"/>
  <c r="AA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X147" i="6"/>
  <c r="P60" i="6"/>
  <c r="C94" i="6"/>
  <c r="J108" i="6"/>
  <c r="T90" i="6"/>
  <c r="K61" i="6"/>
  <c r="O116" i="6"/>
  <c r="U120" i="6"/>
  <c r="W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Y138" i="6"/>
  <c r="X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Y137" i="6"/>
  <c r="L153" i="6"/>
  <c r="D124" i="6"/>
  <c r="K56" i="6"/>
  <c r="S131" i="6"/>
  <c r="F146" i="6"/>
  <c r="C97" i="6"/>
  <c r="N139" i="6"/>
  <c r="I134" i="6"/>
  <c r="Q152" i="6"/>
  <c r="Y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W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M218" i="1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M140" i="1"/>
  <c r="M117" i="1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C36" i="6"/>
  <c r="AC39" i="6"/>
  <c r="AC40" i="6"/>
  <c r="AC41" i="6"/>
  <c r="AC35" i="6"/>
  <c r="AC38" i="6"/>
  <c r="AC42" i="6"/>
  <c r="AC34" i="6"/>
  <c r="AC37" i="6"/>
  <c r="AC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31" i="3" l="1"/>
  <c r="AC126" i="6"/>
  <c r="AC127" i="6"/>
  <c r="AC125" i="6"/>
  <c r="V3" i="3"/>
  <c r="AA34" i="3"/>
  <c r="AA3" i="3"/>
  <c r="AC158" i="6"/>
  <c r="AC157" i="6"/>
  <c r="AC156" i="6"/>
  <c r="AA8" i="3"/>
  <c r="AA32" i="3"/>
  <c r="AC56" i="6"/>
  <c r="AC75" i="6"/>
  <c r="AC77" i="6"/>
  <c r="AC72" i="6"/>
  <c r="AC105" i="6"/>
  <c r="AC61" i="6"/>
  <c r="AC48" i="6"/>
  <c r="AC60" i="6"/>
  <c r="AC114" i="6"/>
  <c r="AC49" i="6"/>
  <c r="AC123" i="6"/>
  <c r="AC116" i="6"/>
  <c r="AC50" i="6"/>
  <c r="AC65" i="6"/>
  <c r="AC97" i="6"/>
  <c r="AC155" i="6"/>
  <c r="AC85" i="6"/>
  <c r="AC55" i="6"/>
  <c r="AC113" i="6"/>
  <c r="AC73" i="6"/>
  <c r="AC103" i="6"/>
  <c r="AC52" i="6"/>
  <c r="AC59" i="6"/>
  <c r="AC84" i="6"/>
  <c r="AC109" i="6"/>
  <c r="AC88" i="6"/>
  <c r="AC80" i="6"/>
  <c r="AC94" i="6"/>
  <c r="AC54" i="6"/>
  <c r="AC78" i="6"/>
  <c r="AC121" i="6"/>
  <c r="AC146" i="6"/>
  <c r="AC67" i="6"/>
  <c r="AC124" i="6"/>
  <c r="AC95" i="6"/>
  <c r="AC119" i="6"/>
  <c r="AC101" i="6"/>
  <c r="AC107" i="6"/>
  <c r="AC102" i="6"/>
  <c r="AC89" i="6"/>
  <c r="AC43" i="6"/>
  <c r="AC83" i="6"/>
  <c r="AC53" i="6"/>
  <c r="AC122" i="6"/>
  <c r="AC47" i="6"/>
  <c r="AC57" i="6"/>
  <c r="AC66" i="6"/>
  <c r="AC81" i="6"/>
  <c r="AC112" i="6"/>
  <c r="AC120" i="6"/>
  <c r="AC82" i="6"/>
  <c r="AC87" i="6"/>
  <c r="AC93" i="6"/>
  <c r="AC118" i="6"/>
  <c r="AC111" i="6"/>
  <c r="AC64" i="6"/>
  <c r="AC79" i="6"/>
  <c r="AC70" i="6"/>
  <c r="AC90" i="6"/>
  <c r="AC98" i="6"/>
  <c r="AC51" i="6"/>
  <c r="AC62" i="6"/>
  <c r="AC106" i="6"/>
  <c r="AC58" i="6"/>
  <c r="AC76" i="6"/>
  <c r="AC45" i="6"/>
  <c r="AC92" i="6"/>
  <c r="AC115" i="6"/>
  <c r="AC108" i="6"/>
  <c r="AC46" i="6"/>
  <c r="AC104" i="6"/>
  <c r="AC117" i="6"/>
  <c r="AC110" i="6"/>
  <c r="AC86" i="6"/>
  <c r="AC69" i="6"/>
  <c r="AC91" i="6"/>
  <c r="AC63" i="6"/>
  <c r="AC96" i="6"/>
  <c r="AC100" i="6"/>
  <c r="AC71" i="6"/>
  <c r="AC68" i="6"/>
  <c r="AC44" i="6"/>
  <c r="AC74" i="6"/>
  <c r="AC99" i="6"/>
  <c r="AC145" i="6"/>
  <c r="AC136" i="6"/>
  <c r="AC132" i="6"/>
  <c r="AC153" i="6"/>
  <c r="AC144" i="6"/>
  <c r="AC138" i="6"/>
  <c r="AC143" i="6"/>
  <c r="AC154" i="6"/>
  <c r="AC141" i="6"/>
  <c r="AC147" i="6"/>
  <c r="AC151" i="6"/>
  <c r="AC129" i="6"/>
  <c r="AC135" i="6"/>
  <c r="AC134" i="6"/>
  <c r="AC140" i="6"/>
  <c r="AC148" i="6"/>
  <c r="AC128" i="6"/>
  <c r="AC152" i="6"/>
  <c r="AC149" i="6"/>
  <c r="AC139" i="6"/>
  <c r="AC142" i="6"/>
  <c r="AC131" i="6"/>
  <c r="AC133" i="6"/>
  <c r="AC130" i="6"/>
  <c r="AC150" i="6"/>
  <c r="AC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<sst xmlns="http://schemas.openxmlformats.org/spreadsheetml/2006/main" count="9963" uniqueCount="216">
  <si>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</si>
  <si>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</si>
  <si>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</si>
  <si>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</si>
  <si>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</si>
  <si>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</si>
  <si>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</si>
  <si>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</si>
  <si>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</si>
  <si>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</si>
  <si>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</si>
  <si>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</si>
  <si>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</si>
  <si>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</si>
  <si>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</si>
  <si>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</si>
  <si>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</si>
  <si>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</si>
  <si>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</si>
  <si>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</si>
  <si>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</si>
  <si>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</si>
  <si>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</si>
  <si>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</si>
  <si>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</si>
  <si>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</si>
  <si>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</si>
  <si>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</si>
  <si>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</si>
  <si>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</si>
  <si>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</si>
  <si>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</si>
  <si>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</si>
  <si>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</si>
  <si>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</si>
  <si>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</si>
  <si>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</si>
  <si>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</si>
  <si>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</si>
  <si>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</si>
  <si>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</si>
  <si>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</si>
  <si>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</si>
  <si>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</si>
  <si>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</si>
  <si>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</si>
  <si>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</si>
  <si>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</si>
  <si>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</si>
  <si>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</si>
  <si>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</si>
  <si>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</si>
  <si>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</si>
  <si>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</si>
  <si>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</si>
  <si>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</si>
  <si>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</si>
  <si>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</si>
  <si>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</si>
  <si>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</si>
  <si>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</si>
  <si>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</si>
  <si>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</si>
  <si>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</si>
  <si>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</si>
  <si>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</si>
  <si>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</si>
  <si>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</si>
  <si>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</si>
  <si>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</si>
  <si>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</si>
  <si>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</si>
  <si>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</si>
  <si>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</si>
  <si>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</si>
  <si>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</si>
  <si>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</si>
  <si>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</si>
  <si>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</si>
  <si>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</si>
  <si>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</si>
  <si>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</si>
  <si>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</si>
  <si>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</si>
  <si>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</si>
  <si>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</si>
  <si>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</si>
  <si>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</si>
  <si>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</si>
  <si>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</si>
  <si>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</si>
  <si>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</si>
  <si>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</si>
  <si>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</si>
  <si>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</si>
  <si>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</si>
  <si>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</si>
  <si>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</si>
  <si>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</si>
  <si>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</si>
  <si>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</si>
  <si>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</si>
  <si>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</si>
  <si>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</si>
  <si>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</si>
  <si>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</si>
  <si>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</si>
  <si>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</si>
  <si>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</si>
  <si>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</si>
  <si>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</si>
  <si>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</si>
  <si>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</si>
  <si>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</si>
  <si>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</si>
  <si>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</si>
  <si>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</si>
  <si>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</si>
  <si>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</si>
  <si>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</si>
  <si>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</si>
  <si>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</si>
  <si>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</si>
  <si>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</si>
  <si>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</si>
  <si>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</si>
  <si>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</si>
  <si>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</si>
  <si>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</si>
  <si>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</si>
  <si>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</si>
  <si>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</si>
  <si>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</si>
  <si>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</si>
  <si>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</si>
  <si>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</si>
  <si>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</si>
  <si>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</si>
  <si>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</si>
  <si>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</si>
  <si>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</si>
  <si>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</si>
  <si>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</si>
  <si>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</si>
  <si>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</si>
  <si>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</si>
  <si>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</si>
  <si>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</si>
  <si>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</si>
  <si>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</si>
  <si>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</si>
  <si>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</si>
  <si>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</si>
  <si>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</si>
  <si>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</si>
  <si>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</si>
  <si>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</si>
  <si>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</si>
  <si>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</si>
  <si>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</si>
  <si>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</si>
  <si>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</si>
  <si>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</si>
  <si>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</si>
  <si>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</si>
  <si>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</si>
  <si>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</si>
  <si>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</si>
  <si>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</si>
  <si>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</si>
  <si>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</si>
  <si>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</si>
  <si>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</si>
  <si>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</si>
  <si>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</si>
  <si>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</si>
  <si>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</si>
  <si>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</si>
  <si>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</si>
  <si>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</si>
  <si>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</si>
  <si>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</si>
  <si>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</si>
  <si>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</si>
  <si>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</si>
  <si>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</si>
  <si>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</si>
  <si>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</si>
  <si>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</si>
  <si>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</si>
  <si>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</si>
  <si>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</si>
  <si>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</si>
  <si>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</si>
  <si>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</si>
  <si>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</si>
  <si>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</si>
  <si>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</si>
  <si>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</si>
  <si>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</si>
  <si>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</si>
  <si>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</si>
  <si>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</si>
  <si>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</si>
  <si>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</si>
  <si>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</si>
  <si>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</si>
  <si>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</si>
  <si>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</si>
  <si>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</si>
  <si>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</si>
  <si>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</si>
  <si>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</si>
  <si>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</si>
  <si>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</si>
  <si>
    <t>Bank of America - SIYP LLC - 2179-USD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</si>
</sst>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13" borderId="0" xfId="0" applyFont="1" applyFill="1"/>
    <xf numFmtId="0" fontId="22" fillId="0" borderId="1" xfId="0" applyFont="1" applyBorder="1"/>
    <xf numFmtId="0" fontId="22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3" fillId="0" borderId="0" xfId="0" applyFont="1"/>
    <xf numFmtId="0" fontId="24" fillId="12" borderId="0" xfId="0" applyFont="1" applyFill="1"/>
    <xf numFmtId="0" fontId="25" fillId="0" borderId="14" xfId="0" applyFont="1" applyBorder="1"/>
  </cellXfs>
  <cellStyles count="2">
    <cellStyle name="Millares" xfId="1" builtinId="3"/>
    <cellStyle name="Normal" xfId="0" builtinId="0"/>
  </cellStyles>
  <dxfs count="49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8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7"/>
    <tableColumn id="3" xr3:uid="{00000000-0010-0000-0000-000003000000}" name="Empresa"/>
    <tableColumn id="4" xr3:uid="{00000000-0010-0000-0000-000004000000}" name="Cuenta Bancaria" dataDxfId="46"/>
    <tableColumn id="12" xr3:uid="{4E4C6484-6819-4411-A0F3-4017EFF8C28C}" name="Banco" dataDxfId="45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4"/>
    <tableColumn id="6" xr3:uid="{00000000-0010-0000-0000-000006000000}" name="Categoria / Concepto" dataDxfId="43"/>
    <tableColumn id="7" xr3:uid="{00000000-0010-0000-0000-000007000000}" name="Descripcion" dataDxfId="42">
      <calculatedColumnFormula>IFERROR(_xlfn.XLOOKUP(G2,Listas!E:E,Listas!F:F,""),"")</calculatedColumnFormula>
    </tableColumn>
    <tableColumn id="13" xr3:uid="{44ABE6CE-2513-45FC-BD14-32E930AFDBBD}" name="Ext/Int" dataDxfId="41"/>
    <tableColumn id="8" xr3:uid="{00000000-0010-0000-0000-000008000000}" name="Monto (S/)" dataDxfId="4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9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8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7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6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35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C498" totalsRowShown="0" headerRowDxfId="34" dataDxfId="32" headerRowBorderDxfId="33" tableBorderDxfId="31">
  <autoFilter ref="A1:AC498" xr:uid="{F415436C-AC07-4BC7-AF63-CF4210A06BB4}"/>
  <tableColumns count="29">
    <tableColumn id="1" xr3:uid="{63FFD75C-E666-43DD-8029-F430E7835BEE}" name="Día" dataDxfId="30"/>
    <tableColumn id="2" xr3:uid="{3C0A637E-5BCF-4DAA-A47B-1062D26CE0FC}" name="Fecha" dataDxfId="29"/>
    <tableColumn id="3" xr3:uid="{AA52C2CE-0BC6-4D55-8E20-0938296D1C23}" name="CFT Group" dataDxfId="28"/>
    <tableColumn id="4" xr3:uid="{EE7D0652-E6C8-4122-A765-D1B09096A21E}" name="M1B" dataDxfId="27"/>
    <tableColumn id="5" xr3:uid="{B4646433-2F6C-4447-A177-6AD7A4B88B6F}" name="Durand" dataDxfId="26"/>
    <tableColumn id="6" xr3:uid="{DCA1C6D9-C3E1-43F4-A721-4008460687C7}" name="A&amp;M Imports" dataDxfId="25"/>
    <tableColumn id="7" xr3:uid="{D4A7DE77-6043-4E65-8D3F-445DF17D93F1}" name="SSP Capital" dataDxfId="24"/>
    <tableColumn id="8" xr3:uid="{64A897BF-46B4-411E-BA9D-FE799CF2FEFB}" name="Cross Family Trust" dataDxfId="23"/>
    <tableColumn id="9" xr3:uid="{22730D08-F998-46A3-A6B6-4BF23E38D8F9}" name="Cross Security Trust" dataDxfId="22"/>
    <tableColumn id="10" xr3:uid="{BB5B9930-003E-4DC5-8E5D-067C1CF1A456}" name="Electrama" dataDxfId="21"/>
    <tableColumn id="11" xr3:uid="{72B1FF5A-A2B1-4F18-A8C8-32EEB09E3A17}" name="Sacred Valley Capital" dataDxfId="20"/>
    <tableColumn id="12" xr3:uid="{8285724C-9042-463F-8339-13C60DCBF2F4}" name="YWC Capital" dataDxfId="19"/>
    <tableColumn id="13" xr3:uid="{A6BA6873-5C5A-44C1-A199-00F91718164E}" name="Soweto" dataDxfId="18"/>
    <tableColumn id="14" xr3:uid="{50FB5920-A571-4DC5-9E26-0EF4F33A880F}" name="Green Stone Trust" dataDxfId="17"/>
    <tableColumn id="15" xr3:uid="{F3DE628D-3663-4B8C-88C3-8ED6C47CDAD0}" name="EC Auto" dataDxfId="16"/>
    <tableColumn id="16" xr3:uid="{63079263-2DC8-47D4-869E-EF7FF8CC83E2}" name="Arbor Capital Properties" dataDxfId="15"/>
    <tableColumn id="17" xr3:uid="{F0CCDB07-528A-4A91-A40E-B313EA61AC5A}" name="2515 Overbrook" dataDxfId="14"/>
    <tableColumn id="18" xr3:uid="{A92B8B5E-42D0-409B-819B-93575E6B5338}" name="112 Florida Ave" dataDxfId="13"/>
    <tableColumn id="19" xr3:uid="{E8590E2C-955F-4887-9F19-BD4E50391F39}" name="3628 Thomas Ave" dataDxfId="12"/>
    <tableColumn id="20" xr3:uid="{C99311AE-E772-4C28-A5BF-F01473FDC99C}" name="Green Harbor Trust" dataDxfId="11"/>
    <tableColumn id="21" xr3:uid="{531291F0-F871-4ED7-85FB-D95349130FEE}" name="Go Blue" dataDxfId="10"/>
    <tableColumn id="23" xr3:uid="{9482A23A-DDD8-4BCD-9CDB-3CDC5879257B}" name="Pacha Ventures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083" tableType="queryTable" totalsRowShown="0" headerRowDxfId="8" headerRowBorderDxfId="7">
  <autoFilter ref="A1:D4083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0"/>
    <tableColumn id="3" xr3:uid="{7F3D748F-7261-4F7B-AD03-AAD9519C3F7D}" uniqueName="3" name="Valor" queryTableFieldId="3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5" activePane="bottomLeft" state="frozen"/>
      <selection pane="bottomLeft" activeCell="D20" sqref="D20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215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6" activePane="bottomLeft" state="frozen"/>
      <selection pane="bottomLeft" activeCell="B40" sqref="B40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215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19" zoomScale="70" zoomScaleNormal="70" workbookViewId="0">
      <selection activeCell="C40" sqref="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48" customWidth="1"/>
  </cols>
  <sheetData>
    <row r="1" spans="1:10" x14ac:dyDescent="0.3">
      <c r="A1" s="67" t="s">
        <v>213</v>
      </c>
      <c r="B1" s="67" t="s">
        <v>205</v>
      </c>
      <c r="C1" s="67" t="s">
        <v>206</v>
      </c>
    </row>
    <row r="2" spans="1:10" x14ac:dyDescent="0.3">
      <c r="A2" s="68" t="s">
        <v>207</v>
      </c>
      <c r="B2" s="68"/>
      <c r="C2" s="69" t="s">
        <v>94</v>
      </c>
      <c r="J2" s="69"/>
    </row>
    <row r="3" spans="1:10" x14ac:dyDescent="0.3">
      <c r="A3" s="68" t="s">
        <v>207</v>
      </c>
      <c r="B3" s="68"/>
      <c r="C3" s="69" t="s">
        <v>95</v>
      </c>
      <c r="J3" s="69"/>
    </row>
    <row r="4" spans="1:10" x14ac:dyDescent="0.3">
      <c r="A4" s="68" t="s">
        <v>207</v>
      </c>
      <c r="B4" s="68"/>
      <c r="C4" s="69" t="s">
        <v>96</v>
      </c>
      <c r="J4" s="69"/>
    </row>
    <row r="5" spans="1:10" x14ac:dyDescent="0.3">
      <c r="A5" s="68" t="s">
        <v>207</v>
      </c>
      <c r="B5" s="68"/>
      <c r="C5" s="69" t="s">
        <v>97</v>
      </c>
      <c r="J5" s="69"/>
    </row>
    <row r="6" spans="1:10" x14ac:dyDescent="0.3">
      <c r="A6" s="68" t="s">
        <v>207</v>
      </c>
      <c r="B6" s="68"/>
      <c r="C6" s="69" t="s">
        <v>98</v>
      </c>
      <c r="J6" s="69"/>
    </row>
    <row r="7" spans="1:10" x14ac:dyDescent="0.3">
      <c r="A7" s="68" t="s">
        <v>207</v>
      </c>
      <c r="B7" s="68"/>
      <c r="C7" s="69" t="s">
        <v>99</v>
      </c>
      <c r="J7" s="69"/>
    </row>
    <row r="8" spans="1:10" x14ac:dyDescent="0.3">
      <c r="A8" s="68" t="s">
        <v>207</v>
      </c>
      <c r="B8" s="68"/>
      <c r="C8" s="69" t="s">
        <v>101</v>
      </c>
    </row>
    <row r="9" spans="1:10" x14ac:dyDescent="0.3">
      <c r="A9" s="68" t="s">
        <v>207</v>
      </c>
      <c r="B9" s="68"/>
      <c r="C9" s="69" t="s">
        <v>102</v>
      </c>
    </row>
    <row r="10" spans="1:10" x14ac:dyDescent="0.3">
      <c r="A10" s="68" t="s">
        <v>207</v>
      </c>
      <c r="B10" s="68"/>
      <c r="C10" s="69" t="s">
        <v>103</v>
      </c>
    </row>
    <row r="11" spans="1:10" x14ac:dyDescent="0.3">
      <c r="A11" s="68" t="s">
        <v>207</v>
      </c>
      <c r="B11" s="68"/>
      <c r="C11" s="69" t="s">
        <v>104</v>
      </c>
    </row>
    <row r="12" spans="1:10" x14ac:dyDescent="0.3">
      <c r="A12" s="68" t="s">
        <v>207</v>
      </c>
      <c r="B12" s="68"/>
      <c r="C12" s="69" t="s">
        <v>105</v>
      </c>
    </row>
    <row r="13" spans="1:10" x14ac:dyDescent="0.3">
      <c r="A13" s="68" t="s">
        <v>207</v>
      </c>
      <c r="B13" s="68"/>
      <c r="C13" s="69" t="s">
        <v>106</v>
      </c>
    </row>
    <row r="14" spans="1:10" x14ac:dyDescent="0.3">
      <c r="A14" s="68" t="s">
        <v>207</v>
      </c>
      <c r="B14" s="68"/>
      <c r="C14" s="69" t="s">
        <v>107</v>
      </c>
    </row>
    <row r="15" spans="1:10" x14ac:dyDescent="0.3">
      <c r="A15" s="68" t="s">
        <v>207</v>
      </c>
      <c r="B15" s="68"/>
      <c r="C15" s="69" t="s">
        <v>113</v>
      </c>
    </row>
    <row r="16" spans="1:10" x14ac:dyDescent="0.3">
      <c r="A16" s="68" t="s">
        <v>207</v>
      </c>
      <c r="B16" s="68"/>
      <c r="C16" s="69" t="s">
        <v>114</v>
      </c>
    </row>
    <row r="17" spans="1:3" x14ac:dyDescent="0.3">
      <c r="A17" s="68" t="s">
        <v>207</v>
      </c>
      <c r="B17" s="68"/>
      <c r="C17" s="69" t="s">
        <v>115</v>
      </c>
    </row>
    <row r="18" spans="1:3" x14ac:dyDescent="0.3">
      <c r="A18" s="68" t="s">
        <v>207</v>
      </c>
      <c r="B18" s="68"/>
      <c r="C18" s="69" t="s">
        <v>116</v>
      </c>
    </row>
    <row r="19" spans="1:3" x14ac:dyDescent="0.3">
      <c r="A19" s="68" t="s">
        <v>207</v>
      </c>
      <c r="B19" s="68"/>
      <c r="C19" s="69" t="s">
        <v>117</v>
      </c>
    </row>
    <row r="20" spans="1:3" x14ac:dyDescent="0.3">
      <c r="A20" s="68" t="s">
        <v>207</v>
      </c>
      <c r="B20" s="68"/>
      <c r="C20" s="69" t="s">
        <v>118</v>
      </c>
    </row>
    <row r="21" spans="1:3" x14ac:dyDescent="0.3">
      <c r="A21" s="68" t="s">
        <v>207</v>
      </c>
      <c r="B21" s="68"/>
      <c r="C21" s="69" t="s">
        <v>119</v>
      </c>
    </row>
    <row r="22" spans="1:3" x14ac:dyDescent="0.3">
      <c r="A22" s="68" t="s">
        <v>207</v>
      </c>
      <c r="B22" s="68"/>
      <c r="C22" s="69" t="s">
        <v>120</v>
      </c>
    </row>
    <row r="23" spans="1:3" x14ac:dyDescent="0.3">
      <c r="A23" s="68" t="s">
        <v>207</v>
      </c>
      <c r="B23" s="68"/>
      <c r="C23" s="69" t="s">
        <v>121</v>
      </c>
    </row>
    <row r="24" spans="1:3" x14ac:dyDescent="0.3">
      <c r="A24" s="68" t="s">
        <v>207</v>
      </c>
      <c r="B24" s="68"/>
      <c r="C24" s="69" t="s">
        <v>122</v>
      </c>
    </row>
    <row r="25" spans="1:3" x14ac:dyDescent="0.3">
      <c r="A25" s="68" t="s">
        <v>207</v>
      </c>
      <c r="B25" s="68"/>
      <c r="C25" s="69" t="s">
        <v>123</v>
      </c>
    </row>
    <row r="26" spans="1:3" x14ac:dyDescent="0.3">
      <c r="A26" s="68" t="s">
        <v>207</v>
      </c>
      <c r="B26" s="68"/>
      <c r="C26" s="69" t="s">
        <v>124</v>
      </c>
    </row>
    <row r="27" spans="1:3" x14ac:dyDescent="0.3">
      <c r="A27" s="68" t="s">
        <v>207</v>
      </c>
      <c r="B27" s="68"/>
      <c r="C27" s="69" t="s">
        <v>125</v>
      </c>
    </row>
    <row r="28" spans="1:3" x14ac:dyDescent="0.3">
      <c r="A28" s="68" t="s">
        <v>207</v>
      </c>
      <c r="B28" s="68"/>
      <c r="C28" s="69" t="s">
        <v>126</v>
      </c>
    </row>
    <row r="29" spans="1:3" x14ac:dyDescent="0.3">
      <c r="A29" s="68" t="s">
        <v>207</v>
      </c>
      <c r="B29" s="68"/>
      <c r="C29" s="69" t="s">
        <v>200</v>
      </c>
    </row>
    <row r="30" spans="1:3" x14ac:dyDescent="0.3">
      <c r="A30" s="68" t="s">
        <v>207</v>
      </c>
      <c r="B30" s="68"/>
      <c r="C30" s="69" t="s">
        <v>165</v>
      </c>
    </row>
    <row r="31" spans="1:3" x14ac:dyDescent="0.3">
      <c r="A31" s="68" t="s">
        <v>207</v>
      </c>
      <c r="B31" s="70" t="s">
        <v>208</v>
      </c>
      <c r="C31" s="69" t="s">
        <v>100</v>
      </c>
    </row>
    <row r="32" spans="1:3" x14ac:dyDescent="0.3">
      <c r="A32" s="68" t="s">
        <v>207</v>
      </c>
      <c r="B32" s="70" t="s">
        <v>208</v>
      </c>
      <c r="C32" s="69" t="s">
        <v>112</v>
      </c>
    </row>
    <row r="33" spans="1:3" x14ac:dyDescent="0.3">
      <c r="A33" s="82" t="s">
        <v>209</v>
      </c>
      <c r="B33" s="82"/>
      <c r="C33" s="69" t="s">
        <v>187</v>
      </c>
    </row>
    <row r="34" spans="1:3" x14ac:dyDescent="0.3">
      <c r="A34" s="82" t="s">
        <v>209</v>
      </c>
      <c r="B34" s="82"/>
      <c r="C34" s="69" t="s">
        <v>185</v>
      </c>
    </row>
    <row r="35" spans="1:3" x14ac:dyDescent="0.3">
      <c r="A35" s="82" t="s">
        <v>209</v>
      </c>
      <c r="B35" s="82"/>
      <c r="C35" s="69" t="s">
        <v>189</v>
      </c>
    </row>
    <row r="36" spans="1:3" x14ac:dyDescent="0.3">
      <c r="A36" s="82" t="s">
        <v>209</v>
      </c>
      <c r="B36" s="82"/>
      <c r="C36" s="69" t="s">
        <v>190</v>
      </c>
    </row>
    <row r="37" spans="1:3" x14ac:dyDescent="0.3">
      <c r="A37" s="82" t="s">
        <v>209</v>
      </c>
      <c r="B37" s="82"/>
      <c r="C37" s="69" t="s">
        <v>215</v>
      </c>
    </row>
    <row r="38" spans="1:3" x14ac:dyDescent="0.3">
      <c r="A38" s="68" t="s">
        <v>194</v>
      </c>
      <c r="B38" s="68"/>
      <c r="C38" s="69" t="s">
        <v>188</v>
      </c>
    </row>
    <row r="39" spans="1:3" x14ac:dyDescent="0.3">
      <c r="A39" s="68" t="s">
        <v>194</v>
      </c>
      <c r="B39" s="68"/>
      <c r="C39" s="69" t="s">
        <v>184</v>
      </c>
    </row>
    <row r="40" spans="1:3" x14ac:dyDescent="0.3">
      <c r="A40" s="68" t="s">
        <v>194</v>
      </c>
      <c r="B40" s="68"/>
      <c r="C40" s="69" t="s">
        <v>183</v>
      </c>
    </row>
    <row r="41" spans="1:3" x14ac:dyDescent="0.3">
      <c r="A41" s="68" t="s">
        <v>210</v>
      </c>
      <c r="B41" s="68"/>
      <c r="C41" s="69" t="s">
        <v>191</v>
      </c>
    </row>
    <row r="42" spans="1:3" x14ac:dyDescent="0.3">
      <c r="A42" s="68" t="s">
        <v>210</v>
      </c>
      <c r="B42" s="68"/>
      <c r="C42" s="69" t="s">
        <v>192</v>
      </c>
    </row>
    <row r="43" spans="1:3" x14ac:dyDescent="0.3">
      <c r="A43" s="68" t="s">
        <v>211</v>
      </c>
      <c r="B43" s="68"/>
      <c r="C43" s="69" t="s">
        <v>186</v>
      </c>
    </row>
    <row r="48" spans="1:3" x14ac:dyDescent="0.3">
      <c r="A48" s="68" t="s">
        <v>212</v>
      </c>
      <c r="B48" s="68"/>
      <c r="C48" s="69" t="s">
        <v>110</v>
      </c>
    </row>
    <row r="49" spans="1:3" x14ac:dyDescent="0.3">
      <c r="A49" s="68" t="s">
        <v>212</v>
      </c>
      <c r="B49" s="68"/>
      <c r="C49" s="69" t="s">
        <v>109</v>
      </c>
    </row>
    <row r="50" spans="1:3" x14ac:dyDescent="0.3">
      <c r="A50" s="68" t="s">
        <v>212</v>
      </c>
      <c r="B50" s="68"/>
      <c r="C50" s="69" t="s">
        <v>108</v>
      </c>
    </row>
    <row r="51" spans="1:3" x14ac:dyDescent="0.3">
      <c r="A51" s="68" t="s">
        <v>212</v>
      </c>
      <c r="B51" s="68"/>
      <c r="C51" s="69" t="s">
        <v>111</v>
      </c>
    </row>
    <row r="52" spans="1:3" x14ac:dyDescent="0.3">
      <c r="A52" s="68" t="s">
        <v>212</v>
      </c>
      <c r="B52" s="68"/>
      <c r="C52" s="69" t="s">
        <v>112</v>
      </c>
    </row>
    <row r="53" spans="1:3" x14ac:dyDescent="0.3">
      <c r="A53" s="68" t="s">
        <v>212</v>
      </c>
      <c r="B53" s="68"/>
      <c r="C53" s="69" t="s">
        <v>183</v>
      </c>
    </row>
  </sheetData>
  <conditionalFormatting sqref="J2:J7 C2:C43 C48:C53">
    <cfRule type="duplicateValues" dxfId="3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opLeftCell="D1" zoomScale="70" zoomScaleNormal="70" workbookViewId="0">
      <pane ySplit="1" topLeftCell="A1176" activePane="bottomLeft" state="frozen"/>
      <selection pane="bottomLeft" activeCell="M240" sqref="M240:M1194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3" bestFit="1" customWidth="1"/>
    <col min="15" max="15" width="13.77734375" style="63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8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4" t="s">
        <v>8</v>
      </c>
      <c r="N1" s="65" t="s">
        <v>9</v>
      </c>
      <c r="O1" s="65" t="s">
        <v>10</v>
      </c>
      <c r="P1" s="27" t="s">
        <v>156</v>
      </c>
      <c r="Q1" s="27" t="s">
        <v>213</v>
      </c>
      <c r="R1" s="27" t="s">
        <v>205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3">
        <f>IF(tblMovimientos[[#This Row],[Tipo de Movimiento]]="Ingreso",tblMovimientos[[#This Row],[Monto (S/)]],"0")</f>
        <v>400000</v>
      </c>
      <c r="O2" s="63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81" t="str">
        <f>IF(tblMovimientos[[#This Row],[Cuenta Bancaria]]="","",_xlfn.XLOOKUP(tblMovimientos[[#This Row],[Cuenta Bancaria]],Cuentas!$C:$C,Cuentas!$A:$A,"No encontrado"))</f>
        <v>SSP Group</v>
      </c>
      <c r="R2" s="81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3">
        <f>IF(tblMovimientos[[#This Row],[Tipo de Movimiento]]="Ingreso",tblMovimientos[[#This Row],[Monto (S/)]],"0")</f>
        <v>12901.71</v>
      </c>
      <c r="O3" s="63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81" t="str">
        <f>IF(tblMovimientos[[#This Row],[Cuenta Bancaria]]="","",_xlfn.XLOOKUP(tblMovimientos[[#This Row],[Cuenta Bancaria]],Cuentas!$C:$C,Cuentas!$A:$A,"No encontrado"))</f>
        <v>SSP Group</v>
      </c>
      <c r="R3" s="81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3" t="str">
        <f>IF(tblMovimientos[[#This Row],[Tipo de Movimiento]]="Ingreso",tblMovimientos[[#This Row],[Monto (S/)]],"0")</f>
        <v>0</v>
      </c>
      <c r="O4" s="63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81" t="str">
        <f>IF(tblMovimientos[[#This Row],[Cuenta Bancaria]]="","",_xlfn.XLOOKUP(tblMovimientos[[#This Row],[Cuenta Bancaria]],Cuentas!$C:$C,Cuentas!$A:$A,"No encontrado"))</f>
        <v>SSP Group</v>
      </c>
      <c r="R4" s="81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3" t="str">
        <f>IF(tblMovimientos[[#This Row],[Tipo de Movimiento]]="Ingreso",tblMovimientos[[#This Row],[Monto (S/)]],"0")</f>
        <v>0</v>
      </c>
      <c r="O5" s="63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81" t="str">
        <f>IF(tblMovimientos[[#This Row],[Cuenta Bancaria]]="","",_xlfn.XLOOKUP(tblMovimientos[[#This Row],[Cuenta Bancaria]],Cuentas!$C:$C,Cuentas!$A:$A,"No encontrado"))</f>
        <v>SSP Group</v>
      </c>
      <c r="R5" s="81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3" t="str">
        <f>IF(tblMovimientos[[#This Row],[Tipo de Movimiento]]="Ingreso",tblMovimientos[[#This Row],[Monto (S/)]],"0")</f>
        <v>0</v>
      </c>
      <c r="O6" s="63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81" t="str">
        <f>IF(tblMovimientos[[#This Row],[Cuenta Bancaria]]="","",_xlfn.XLOOKUP(tblMovimientos[[#This Row],[Cuenta Bancaria]],Cuentas!$C:$C,Cuentas!$A:$A,"No encontrado"))</f>
        <v>SSP Group</v>
      </c>
      <c r="R6" s="81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3">
        <f>IF(tblMovimientos[[#This Row],[Tipo de Movimiento]]="Ingreso",tblMovimientos[[#This Row],[Monto (S/)]],"0")</f>
        <v>5250</v>
      </c>
      <c r="O7" s="63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81" t="str">
        <f>IF(tblMovimientos[[#This Row],[Cuenta Bancaria]]="","",_xlfn.XLOOKUP(tblMovimientos[[#This Row],[Cuenta Bancaria]],Cuentas!$C:$C,Cuentas!$A:$A,"No encontrado"))</f>
        <v>SSP Group</v>
      </c>
      <c r="R7" s="81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3" t="str">
        <f>IF(tblMovimientos[[#This Row],[Tipo de Movimiento]]="Ingreso",tblMovimientos[[#This Row],[Monto (S/)]],"0")</f>
        <v>0</v>
      </c>
      <c r="O8" s="63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81" t="str">
        <f>IF(tblMovimientos[[#This Row],[Cuenta Bancaria]]="","",_xlfn.XLOOKUP(tblMovimientos[[#This Row],[Cuenta Bancaria]],Cuentas!$C:$C,Cuentas!$A:$A,"No encontrado"))</f>
        <v>SSP Group</v>
      </c>
      <c r="R8" s="81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3" t="str">
        <f>IF(tblMovimientos[[#This Row],[Tipo de Movimiento]]="Ingreso",tblMovimientos[[#This Row],[Monto (S/)]],"0")</f>
        <v>0</v>
      </c>
      <c r="O9" s="63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81" t="str">
        <f>IF(tblMovimientos[[#This Row],[Cuenta Bancaria]]="","",_xlfn.XLOOKUP(tblMovimientos[[#This Row],[Cuenta Bancaria]],Cuentas!$C:$C,Cuentas!$A:$A,"No encontrado"))</f>
        <v>SSP Group</v>
      </c>
      <c r="R9" s="81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3" t="str">
        <f>IF(tblMovimientos[[#This Row],[Tipo de Movimiento]]="Ingreso",tblMovimientos[[#This Row],[Monto (S/)]],"0")</f>
        <v>0</v>
      </c>
      <c r="O10" s="63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81" t="str">
        <f>IF(tblMovimientos[[#This Row],[Cuenta Bancaria]]="","",_xlfn.XLOOKUP(tblMovimientos[[#This Row],[Cuenta Bancaria]],Cuentas!$C:$C,Cuentas!$A:$A,"No encontrado"))</f>
        <v>SSP Group</v>
      </c>
      <c r="R10" s="81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3">
        <f>IF(tblMovimientos[[#This Row],[Tipo de Movimiento]]="Ingreso",tblMovimientos[[#This Row],[Monto (S/)]],"0")</f>
        <v>6750</v>
      </c>
      <c r="O11" s="63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81" t="str">
        <f>IF(tblMovimientos[[#This Row],[Cuenta Bancaria]]="","",_xlfn.XLOOKUP(tblMovimientos[[#This Row],[Cuenta Bancaria]],Cuentas!$C:$C,Cuentas!$A:$A,"No encontrado"))</f>
        <v>SSP Group</v>
      </c>
      <c r="R11" s="81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3" t="str">
        <f>IF(tblMovimientos[[#This Row],[Tipo de Movimiento]]="Ingreso",tblMovimientos[[#This Row],[Monto (S/)]],"0")</f>
        <v>0</v>
      </c>
      <c r="O12" s="63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81" t="str">
        <f>IF(tblMovimientos[[#This Row],[Cuenta Bancaria]]="","",_xlfn.XLOOKUP(tblMovimientos[[#This Row],[Cuenta Bancaria]],Cuentas!$C:$C,Cuentas!$A:$A,"No encontrado"))</f>
        <v>SSP Group</v>
      </c>
      <c r="R12" s="81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3">
        <f>IF(tblMovimientos[[#This Row],[Tipo de Movimiento]]="Ingreso",tblMovimientos[[#This Row],[Monto (S/)]],"0")</f>
        <v>5050</v>
      </c>
      <c r="O13" s="63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81" t="str">
        <f>IF(tblMovimientos[[#This Row],[Cuenta Bancaria]]="","",_xlfn.XLOOKUP(tblMovimientos[[#This Row],[Cuenta Bancaria]],Cuentas!$C:$C,Cuentas!$A:$A,"No encontrado"))</f>
        <v>SSP Group</v>
      </c>
      <c r="R13" s="81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3" t="str">
        <f>IF(tblMovimientos[[#This Row],[Tipo de Movimiento]]="Ingreso",tblMovimientos[[#This Row],[Monto (S/)]],"0")</f>
        <v>0</v>
      </c>
      <c r="O14" s="63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81" t="str">
        <f>IF(tblMovimientos[[#This Row],[Cuenta Bancaria]]="","",_xlfn.XLOOKUP(tblMovimientos[[#This Row],[Cuenta Bancaria]],Cuentas!$C:$C,Cuentas!$A:$A,"No encontrado"))</f>
        <v>SSP Group</v>
      </c>
      <c r="R14" s="81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3">
        <f>IF(tblMovimientos[[#This Row],[Tipo de Movimiento]]="Ingreso",tblMovimientos[[#This Row],[Monto (S/)]],"0")</f>
        <v>6748.49</v>
      </c>
      <c r="O15" s="63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81" t="str">
        <f>IF(tblMovimientos[[#This Row],[Cuenta Bancaria]]="","",_xlfn.XLOOKUP(tblMovimientos[[#This Row],[Cuenta Bancaria]],Cuentas!$C:$C,Cuentas!$A:$A,"No encontrado"))</f>
        <v>SSP Group</v>
      </c>
      <c r="R15" s="81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3" t="str">
        <f>IF(tblMovimientos[[#This Row],[Tipo de Movimiento]]="Ingreso",tblMovimientos[[#This Row],[Monto (S/)]],"0")</f>
        <v>0</v>
      </c>
      <c r="O16" s="63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81" t="str">
        <f>IF(tblMovimientos[[#This Row],[Cuenta Bancaria]]="","",_xlfn.XLOOKUP(tblMovimientos[[#This Row],[Cuenta Bancaria]],Cuentas!$C:$C,Cuentas!$A:$A,"No encontrado"))</f>
        <v>SSP Group</v>
      </c>
      <c r="R16" s="81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3" t="str">
        <f>IF(tblMovimientos[[#This Row],[Tipo de Movimiento]]="Ingreso",tblMovimientos[[#This Row],[Monto (S/)]],"0")</f>
        <v>0</v>
      </c>
      <c r="O17" s="63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81" t="str">
        <f>IF(tblMovimientos[[#This Row],[Cuenta Bancaria]]="","",_xlfn.XLOOKUP(tblMovimientos[[#This Row],[Cuenta Bancaria]],Cuentas!$C:$C,Cuentas!$A:$A,"No encontrado"))</f>
        <v>Trust</v>
      </c>
      <c r="R17" s="81" t="str">
        <f>TRIM(_xlfn.XLOOKUP(tblMovimientos[[#This Row],[Cuenta Bancaria]],Cuentas!$C:$C,Cuentas!$B:$B,""))</f>
        <v/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3" t="str">
        <f>IF(tblMovimientos[[#This Row],[Tipo de Movimiento]]="Ingreso",tblMovimientos[[#This Row],[Monto (S/)]],"0")</f>
        <v>0</v>
      </c>
      <c r="O18" s="63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81" t="str">
        <f>IF(tblMovimientos[[#This Row],[Cuenta Bancaria]]="","",_xlfn.XLOOKUP(tblMovimientos[[#This Row],[Cuenta Bancaria]],Cuentas!$C:$C,Cuentas!$A:$A,"No encontrado"))</f>
        <v>SSP Group</v>
      </c>
      <c r="R18" s="81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3" t="str">
        <f>IF(tblMovimientos[[#This Row],[Tipo de Movimiento]]="Ingreso",tblMovimientos[[#This Row],[Monto (S/)]],"0")</f>
        <v>0</v>
      </c>
      <c r="O19" s="63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81" t="str">
        <f>IF(tblMovimientos[[#This Row],[Cuenta Bancaria]]="","",_xlfn.XLOOKUP(tblMovimientos[[#This Row],[Cuenta Bancaria]],Cuentas!$C:$C,Cuentas!$A:$A,"No encontrado"))</f>
        <v>SSP Group</v>
      </c>
      <c r="R19" s="81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3">
        <f>IF(tblMovimientos[[#This Row],[Tipo de Movimiento]]="Ingreso",tblMovimientos[[#This Row],[Monto (S/)]],"0")</f>
        <v>800000</v>
      </c>
      <c r="O20" s="63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81" t="str">
        <f>IF(tblMovimientos[[#This Row],[Cuenta Bancaria]]="","",_xlfn.XLOOKUP(tblMovimientos[[#This Row],[Cuenta Bancaria]],Cuentas!$C:$C,Cuentas!$A:$A,"No encontrado"))</f>
        <v>SSP Group</v>
      </c>
      <c r="R20" s="81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3" t="str">
        <f>IF(tblMovimientos[[#This Row],[Tipo de Movimiento]]="Ingreso",tblMovimientos[[#This Row],[Monto (S/)]],"0")</f>
        <v>0</v>
      </c>
      <c r="O21" s="63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81" t="str">
        <f>IF(tblMovimientos[[#This Row],[Cuenta Bancaria]]="","",_xlfn.XLOOKUP(tblMovimientos[[#This Row],[Cuenta Bancaria]],Cuentas!$C:$C,Cuentas!$A:$A,"No encontrado"))</f>
        <v>SSP Group</v>
      </c>
      <c r="R21" s="81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3" t="str">
        <f>IF(tblMovimientos[[#This Row],[Tipo de Movimiento]]="Ingreso",tblMovimientos[[#This Row],[Monto (S/)]],"0")</f>
        <v>0</v>
      </c>
      <c r="O22" s="63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81" t="str">
        <f>IF(tblMovimientos[[#This Row],[Cuenta Bancaria]]="","",_xlfn.XLOOKUP(tblMovimientos[[#This Row],[Cuenta Bancaria]],Cuentas!$C:$C,Cuentas!$A:$A,"No encontrado"))</f>
        <v>SSP Group</v>
      </c>
      <c r="R22" s="81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3">
        <f>IF(tblMovimientos[[#This Row],[Tipo de Movimiento]]="Ingreso",tblMovimientos[[#This Row],[Monto (S/)]],"0")</f>
        <v>700000</v>
      </c>
      <c r="O23" s="63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81" t="str">
        <f>IF(tblMovimientos[[#This Row],[Cuenta Bancaria]]="","",_xlfn.XLOOKUP(tblMovimientos[[#This Row],[Cuenta Bancaria]],Cuentas!$C:$C,Cuentas!$A:$A,"No encontrado"))</f>
        <v>SSP Group</v>
      </c>
      <c r="R23" s="81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3">
        <f>IF(tblMovimientos[[#This Row],[Tipo de Movimiento]]="Ingreso",tblMovimientos[[#This Row],[Monto (S/)]],"0")</f>
        <v>500000</v>
      </c>
      <c r="O24" s="63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81" t="str">
        <f>IF(tblMovimientos[[#This Row],[Cuenta Bancaria]]="","",_xlfn.XLOOKUP(tblMovimientos[[#This Row],[Cuenta Bancaria]],Cuentas!$C:$C,Cuentas!$A:$A,"No encontrado"))</f>
        <v>SSP Group</v>
      </c>
      <c r="R24" s="81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3" t="str">
        <f>IF(tblMovimientos[[#This Row],[Tipo de Movimiento]]="Ingreso",tblMovimientos[[#This Row],[Monto (S/)]],"0")</f>
        <v>0</v>
      </c>
      <c r="O25" s="63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81" t="str">
        <f>IF(tblMovimientos[[#This Row],[Cuenta Bancaria]]="","",_xlfn.XLOOKUP(tblMovimientos[[#This Row],[Cuenta Bancaria]],Cuentas!$C:$C,Cuentas!$A:$A,"No encontrado"))</f>
        <v>SSP Group</v>
      </c>
      <c r="R25" s="81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3" t="str">
        <f>IF(tblMovimientos[[#This Row],[Tipo de Movimiento]]="Ingreso",tblMovimientos[[#This Row],[Monto (S/)]],"0")</f>
        <v>0</v>
      </c>
      <c r="O26" s="63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81" t="str">
        <f>IF(tblMovimientos[[#This Row],[Cuenta Bancaria]]="","",_xlfn.XLOOKUP(tblMovimientos[[#This Row],[Cuenta Bancaria]],Cuentas!$C:$C,Cuentas!$A:$A,"No encontrado"))</f>
        <v>SSP Group</v>
      </c>
      <c r="R26" s="81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3">
        <f>IF(tblMovimientos[[#This Row],[Tipo de Movimiento]]="Ingreso",tblMovimientos[[#This Row],[Monto (S/)]],"0")</f>
        <v>110000</v>
      </c>
      <c r="O27" s="63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81" t="str">
        <f>IF(tblMovimientos[[#This Row],[Cuenta Bancaria]]="","",_xlfn.XLOOKUP(tblMovimientos[[#This Row],[Cuenta Bancaria]],Cuentas!$C:$C,Cuentas!$A:$A,"No encontrado"))</f>
        <v>SSP Group</v>
      </c>
      <c r="R27" s="81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3" t="str">
        <f>IF(tblMovimientos[[#This Row],[Tipo de Movimiento]]="Ingreso",tblMovimientos[[#This Row],[Monto (S/)]],"0")</f>
        <v>0</v>
      </c>
      <c r="O28" s="63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81" t="str">
        <f>IF(tblMovimientos[[#This Row],[Cuenta Bancaria]]="","",_xlfn.XLOOKUP(tblMovimientos[[#This Row],[Cuenta Bancaria]],Cuentas!$C:$C,Cuentas!$A:$A,"No encontrado"))</f>
        <v>SSP Group</v>
      </c>
      <c r="R28" s="81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3" t="str">
        <f>IF(tblMovimientos[[#This Row],[Tipo de Movimiento]]="Ingreso",tblMovimientos[[#This Row],[Monto (S/)]],"0")</f>
        <v>0</v>
      </c>
      <c r="O29" s="63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81" t="str">
        <f>IF(tblMovimientos[[#This Row],[Cuenta Bancaria]]="","",_xlfn.XLOOKUP(tblMovimientos[[#This Row],[Cuenta Bancaria]],Cuentas!$C:$C,Cuentas!$A:$A,"No encontrado"))</f>
        <v>Trust</v>
      </c>
      <c r="R29" s="81" t="str">
        <f>TRIM(_xlfn.XLOOKUP(tblMovimientos[[#This Row],[Cuenta Bancaria]],Cuentas!$C:$C,Cuentas!$B:$B,""))</f>
        <v/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3" t="str">
        <f>IF(tblMovimientos[[#This Row],[Tipo de Movimiento]]="Ingreso",tblMovimientos[[#This Row],[Monto (S/)]],"0")</f>
        <v>0</v>
      </c>
      <c r="O30" s="63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81" t="str">
        <f>IF(tblMovimientos[[#This Row],[Cuenta Bancaria]]="","",_xlfn.XLOOKUP(tblMovimientos[[#This Row],[Cuenta Bancaria]],Cuentas!$C:$C,Cuentas!$A:$A,"No encontrado"))</f>
        <v>SSP Group</v>
      </c>
      <c r="R30" s="81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3" t="str">
        <f>IF(tblMovimientos[[#This Row],[Tipo de Movimiento]]="Ingreso",tblMovimientos[[#This Row],[Monto (S/)]],"0")</f>
        <v>0</v>
      </c>
      <c r="O31" s="63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81" t="str">
        <f>IF(tblMovimientos[[#This Row],[Cuenta Bancaria]]="","",_xlfn.XLOOKUP(tblMovimientos[[#This Row],[Cuenta Bancaria]],Cuentas!$C:$C,Cuentas!$A:$A,"No encontrado"))</f>
        <v>SSP Group</v>
      </c>
      <c r="R31" s="81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3">
        <f>IF(tblMovimientos[[#This Row],[Tipo de Movimiento]]="Ingreso",tblMovimientos[[#This Row],[Monto (S/)]],"0")</f>
        <v>800000</v>
      </c>
      <c r="O32" s="63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81" t="str">
        <f>IF(tblMovimientos[[#This Row],[Cuenta Bancaria]]="","",_xlfn.XLOOKUP(tblMovimientos[[#This Row],[Cuenta Bancaria]],Cuentas!$C:$C,Cuentas!$A:$A,"No encontrado"))</f>
        <v>SSP Group</v>
      </c>
      <c r="R32" s="81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3">
        <f>IF(tblMovimientos[[#This Row],[Tipo de Movimiento]]="Ingreso",tblMovimientos[[#This Row],[Monto (S/)]],"0")</f>
        <v>3000</v>
      </c>
      <c r="O33" s="63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81" t="str">
        <f>IF(tblMovimientos[[#This Row],[Cuenta Bancaria]]="","",_xlfn.XLOOKUP(tblMovimientos[[#This Row],[Cuenta Bancaria]],Cuentas!$C:$C,Cuentas!$A:$A,"No encontrado"))</f>
        <v>SSP Group</v>
      </c>
      <c r="R33" s="81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3" t="str">
        <f>IF(tblMovimientos[[#This Row],[Tipo de Movimiento]]="Ingreso",tblMovimientos[[#This Row],[Monto (S/)]],"0")</f>
        <v>0</v>
      </c>
      <c r="O34" s="63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81" t="str">
        <f>IF(tblMovimientos[[#This Row],[Cuenta Bancaria]]="","",_xlfn.XLOOKUP(tblMovimientos[[#This Row],[Cuenta Bancaria]],Cuentas!$C:$C,Cuentas!$A:$A,"No encontrado"))</f>
        <v>SSP Group</v>
      </c>
      <c r="R34" s="81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3" t="str">
        <f>IF(tblMovimientos[[#This Row],[Tipo de Movimiento]]="Ingreso",tblMovimientos[[#This Row],[Monto (S/)]],"0")</f>
        <v>0</v>
      </c>
      <c r="O35" s="63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81" t="str">
        <f>IF(tblMovimientos[[#This Row],[Cuenta Bancaria]]="","",_xlfn.XLOOKUP(tblMovimientos[[#This Row],[Cuenta Bancaria]],Cuentas!$C:$C,Cuentas!$A:$A,"No encontrado"))</f>
        <v>SSP Group</v>
      </c>
      <c r="R35" s="81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3" t="str">
        <f>IF(tblMovimientos[[#This Row],[Tipo de Movimiento]]="Ingreso",tblMovimientos[[#This Row],[Monto (S/)]],"0")</f>
        <v>0</v>
      </c>
      <c r="O36" s="63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81" t="str">
        <f>IF(tblMovimientos[[#This Row],[Cuenta Bancaria]]="","",_xlfn.XLOOKUP(tblMovimientos[[#This Row],[Cuenta Bancaria]],Cuentas!$C:$C,Cuentas!$A:$A,"No encontrado"))</f>
        <v>SSP Group</v>
      </c>
      <c r="R36" s="81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3">
        <f>IF(tblMovimientos[[#This Row],[Tipo de Movimiento]]="Ingreso",tblMovimientos[[#This Row],[Monto (S/)]],"0")</f>
        <v>575000</v>
      </c>
      <c r="O37" s="63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81" t="str">
        <f>IF(tblMovimientos[[#This Row],[Cuenta Bancaria]]="","",_xlfn.XLOOKUP(tblMovimientos[[#This Row],[Cuenta Bancaria]],Cuentas!$C:$C,Cuentas!$A:$A,"No encontrado"))</f>
        <v>SSP Group</v>
      </c>
      <c r="R37" s="81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3" t="str">
        <f>IF(tblMovimientos[[#This Row],[Tipo de Movimiento]]="Ingreso",tblMovimientos[[#This Row],[Monto (S/)]],"0")</f>
        <v>0</v>
      </c>
      <c r="O38" s="63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81" t="str">
        <f>IF(tblMovimientos[[#This Row],[Cuenta Bancaria]]="","",_xlfn.XLOOKUP(tblMovimientos[[#This Row],[Cuenta Bancaria]],Cuentas!$C:$C,Cuentas!$A:$A,"No encontrado"))</f>
        <v>SSP Group</v>
      </c>
      <c r="R38" s="81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3" t="str">
        <f>IF(tblMovimientos[[#This Row],[Tipo de Movimiento]]="Ingreso",tblMovimientos[[#This Row],[Monto (S/)]],"0")</f>
        <v>0</v>
      </c>
      <c r="O39" s="63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81" t="str">
        <f>IF(tblMovimientos[[#This Row],[Cuenta Bancaria]]="","",_xlfn.XLOOKUP(tblMovimientos[[#This Row],[Cuenta Bancaria]],Cuentas!$C:$C,Cuentas!$A:$A,"No encontrado"))</f>
        <v>SSP Group</v>
      </c>
      <c r="R39" s="81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3">
        <f>IF(tblMovimientos[[#This Row],[Tipo de Movimiento]]="Ingreso",tblMovimientos[[#This Row],[Monto (S/)]],"0")</f>
        <v>15321.74</v>
      </c>
      <c r="O40" s="63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81" t="str">
        <f>IF(tblMovimientos[[#This Row],[Cuenta Bancaria]]="","",_xlfn.XLOOKUP(tblMovimientos[[#This Row],[Cuenta Bancaria]],Cuentas!$C:$C,Cuentas!$A:$A,"No encontrado"))</f>
        <v>SSP Group</v>
      </c>
      <c r="R40" s="81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3" t="str">
        <f>IF(tblMovimientos[[#This Row],[Tipo de Movimiento]]="Ingreso",tblMovimientos[[#This Row],[Monto (S/)]],"0")</f>
        <v>0</v>
      </c>
      <c r="O41" s="63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81" t="str">
        <f>IF(tblMovimientos[[#This Row],[Cuenta Bancaria]]="","",_xlfn.XLOOKUP(tblMovimientos[[#This Row],[Cuenta Bancaria]],Cuentas!$C:$C,Cuentas!$A:$A,"No encontrado"))</f>
        <v>SSP Group</v>
      </c>
      <c r="R41" s="81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3" t="str">
        <f>IF(tblMovimientos[[#This Row],[Tipo de Movimiento]]="Ingreso",tblMovimientos[[#This Row],[Monto (S/)]],"0")</f>
        <v>0</v>
      </c>
      <c r="O42" s="63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81" t="str">
        <f>IF(tblMovimientos[[#This Row],[Cuenta Bancaria]]="","",_xlfn.XLOOKUP(tblMovimientos[[#This Row],[Cuenta Bancaria]],Cuentas!$C:$C,Cuentas!$A:$A,"No encontrado"))</f>
        <v>SSP Group</v>
      </c>
      <c r="R42" s="81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3" t="str">
        <f>IF(tblMovimientos[[#This Row],[Tipo de Movimiento]]="Ingreso",tblMovimientos[[#This Row],[Monto (S/)]],"0")</f>
        <v>0</v>
      </c>
      <c r="O43" s="63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81" t="str">
        <f>IF(tblMovimientos[[#This Row],[Cuenta Bancaria]]="","",_xlfn.XLOOKUP(tblMovimientos[[#This Row],[Cuenta Bancaria]],Cuentas!$C:$C,Cuentas!$A:$A,"No encontrado"))</f>
        <v>SSP Group</v>
      </c>
      <c r="R43" s="81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3" t="str">
        <f>IF(tblMovimientos[[#This Row],[Tipo de Movimiento]]="Ingreso",tblMovimientos[[#This Row],[Monto (S/)]],"0")</f>
        <v>0</v>
      </c>
      <c r="O44" s="63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81" t="str">
        <f>IF(tblMovimientos[[#This Row],[Cuenta Bancaria]]="","",_xlfn.XLOOKUP(tblMovimientos[[#This Row],[Cuenta Bancaria]],Cuentas!$C:$C,Cuentas!$A:$A,"No encontrado"))</f>
        <v>SSP Group</v>
      </c>
      <c r="R44" s="81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3">
        <f>IF(tblMovimientos[[#This Row],[Tipo de Movimiento]]="Ingreso",tblMovimientos[[#This Row],[Monto (S/)]],"0")</f>
        <v>10000</v>
      </c>
      <c r="O45" s="63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81" t="str">
        <f>IF(tblMovimientos[[#This Row],[Cuenta Bancaria]]="","",_xlfn.XLOOKUP(tblMovimientos[[#This Row],[Cuenta Bancaria]],Cuentas!$C:$C,Cuentas!$A:$A,"No encontrado"))</f>
        <v>SSP Group</v>
      </c>
      <c r="R45" s="81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3">
        <f>IF(tblMovimientos[[#This Row],[Tipo de Movimiento]]="Ingreso",tblMovimientos[[#This Row],[Monto (S/)]],"0")</f>
        <v>10000</v>
      </c>
      <c r="O46" s="63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81" t="str">
        <f>IF(tblMovimientos[[#This Row],[Cuenta Bancaria]]="","",_xlfn.XLOOKUP(tblMovimientos[[#This Row],[Cuenta Bancaria]],Cuentas!$C:$C,Cuentas!$A:$A,"No encontrado"))</f>
        <v>SSP Group</v>
      </c>
      <c r="R46" s="81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3" t="str">
        <f>IF(tblMovimientos[[#This Row],[Tipo de Movimiento]]="Ingreso",tblMovimientos[[#This Row],[Monto (S/)]],"0")</f>
        <v>0</v>
      </c>
      <c r="O47" s="63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81" t="str">
        <f>IF(tblMovimientos[[#This Row],[Cuenta Bancaria]]="","",_xlfn.XLOOKUP(tblMovimientos[[#This Row],[Cuenta Bancaria]],Cuentas!$C:$C,Cuentas!$A:$A,"No encontrado"))</f>
        <v>SSP Group</v>
      </c>
      <c r="R47" s="81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3">
        <f>IF(tblMovimientos[[#This Row],[Tipo de Movimiento]]="Ingreso",tblMovimientos[[#This Row],[Monto (S/)]],"0")</f>
        <v>570000</v>
      </c>
      <c r="O48" s="63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81" t="str">
        <f>IF(tblMovimientos[[#This Row],[Cuenta Bancaria]]="","",_xlfn.XLOOKUP(tblMovimientos[[#This Row],[Cuenta Bancaria]],Cuentas!$C:$C,Cuentas!$A:$A,"No encontrado"))</f>
        <v>SSP Group</v>
      </c>
      <c r="R48" s="81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3" t="str">
        <f>IF(tblMovimientos[[#This Row],[Tipo de Movimiento]]="Ingreso",tblMovimientos[[#This Row],[Monto (S/)]],"0")</f>
        <v>0</v>
      </c>
      <c r="O49" s="63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81" t="str">
        <f>IF(tblMovimientos[[#This Row],[Cuenta Bancaria]]="","",_xlfn.XLOOKUP(tblMovimientos[[#This Row],[Cuenta Bancaria]],Cuentas!$C:$C,Cuentas!$A:$A,"No encontrado"))</f>
        <v>SSP Group</v>
      </c>
      <c r="R49" s="81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3" t="str">
        <f>IF(tblMovimientos[[#This Row],[Tipo de Movimiento]]="Ingreso",tblMovimientos[[#This Row],[Monto (S/)]],"0")</f>
        <v>0</v>
      </c>
      <c r="O50" s="63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81" t="str">
        <f>IF(tblMovimientos[[#This Row],[Cuenta Bancaria]]="","",_xlfn.XLOOKUP(tblMovimientos[[#This Row],[Cuenta Bancaria]],Cuentas!$C:$C,Cuentas!$A:$A,"No encontrado"))</f>
        <v>SSP Group</v>
      </c>
      <c r="R50" s="81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3" t="str">
        <f>IF(tblMovimientos[[#This Row],[Tipo de Movimiento]]="Ingreso",tblMovimientos[[#This Row],[Monto (S/)]],"0")</f>
        <v>0</v>
      </c>
      <c r="O51" s="63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81" t="str">
        <f>IF(tblMovimientos[[#This Row],[Cuenta Bancaria]]="","",_xlfn.XLOOKUP(tblMovimientos[[#This Row],[Cuenta Bancaria]],Cuentas!$C:$C,Cuentas!$A:$A,"No encontrado"))</f>
        <v>SSP Group</v>
      </c>
      <c r="R51" s="81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3" t="str">
        <f>IF(tblMovimientos[[#This Row],[Tipo de Movimiento]]="Ingreso",tblMovimientos[[#This Row],[Monto (S/)]],"0")</f>
        <v>0</v>
      </c>
      <c r="O52" s="63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81" t="str">
        <f>IF(tblMovimientos[[#This Row],[Cuenta Bancaria]]="","",_xlfn.XLOOKUP(tblMovimientos[[#This Row],[Cuenta Bancaria]],Cuentas!$C:$C,Cuentas!$A:$A,"No encontrado"))</f>
        <v>SSP Group</v>
      </c>
      <c r="R52" s="81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3" t="str">
        <f>IF(tblMovimientos[[#This Row],[Tipo de Movimiento]]="Ingreso",tblMovimientos[[#This Row],[Monto (S/)]],"0")</f>
        <v>0</v>
      </c>
      <c r="O53" s="63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81" t="str">
        <f>IF(tblMovimientos[[#This Row],[Cuenta Bancaria]]="","",_xlfn.XLOOKUP(tblMovimientos[[#This Row],[Cuenta Bancaria]],Cuentas!$C:$C,Cuentas!$A:$A,"No encontrado"))</f>
        <v>SSP Group</v>
      </c>
      <c r="R53" s="81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3" t="str">
        <f>IF(tblMovimientos[[#This Row],[Tipo de Movimiento]]="Ingreso",tblMovimientos[[#This Row],[Monto (S/)]],"0")</f>
        <v>0</v>
      </c>
      <c r="O54" s="63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81" t="str">
        <f>IF(tblMovimientos[[#This Row],[Cuenta Bancaria]]="","",_xlfn.XLOOKUP(tblMovimientos[[#This Row],[Cuenta Bancaria]],Cuentas!$C:$C,Cuentas!$A:$A,"No encontrado"))</f>
        <v>SSP Group</v>
      </c>
      <c r="R54" s="81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3">
        <f>IF(tblMovimientos[[#This Row],[Tipo de Movimiento]]="Ingreso",tblMovimientos[[#This Row],[Monto (S/)]],"0")</f>
        <v>700000</v>
      </c>
      <c r="O55" s="63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81" t="str">
        <f>IF(tblMovimientos[[#This Row],[Cuenta Bancaria]]="","",_xlfn.XLOOKUP(tblMovimientos[[#This Row],[Cuenta Bancaria]],Cuentas!$C:$C,Cuentas!$A:$A,"No encontrado"))</f>
        <v>SSP Group</v>
      </c>
      <c r="R55" s="81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3" t="str">
        <f>IF(tblMovimientos[[#This Row],[Tipo de Movimiento]]="Ingreso",tblMovimientos[[#This Row],[Monto (S/)]],"0")</f>
        <v>0</v>
      </c>
      <c r="O56" s="63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81" t="str">
        <f>IF(tblMovimientos[[#This Row],[Cuenta Bancaria]]="","",_xlfn.XLOOKUP(tblMovimientos[[#This Row],[Cuenta Bancaria]],Cuentas!$C:$C,Cuentas!$A:$A,"No encontrado"))</f>
        <v>SSP Group</v>
      </c>
      <c r="R56" s="81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3">
        <f>IF(tblMovimientos[[#This Row],[Tipo de Movimiento]]="Ingreso",tblMovimientos[[#This Row],[Monto (S/)]],"0")</f>
        <v>500000</v>
      </c>
      <c r="O57" s="63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81" t="str">
        <f>IF(tblMovimientos[[#This Row],[Cuenta Bancaria]]="","",_xlfn.XLOOKUP(tblMovimientos[[#This Row],[Cuenta Bancaria]],Cuentas!$C:$C,Cuentas!$A:$A,"No encontrado"))</f>
        <v>SSP Group</v>
      </c>
      <c r="R57" s="81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3">
        <f>IF(tblMovimientos[[#This Row],[Tipo de Movimiento]]="Ingreso",tblMovimientos[[#This Row],[Monto (S/)]],"0")</f>
        <v>17697.939999999999</v>
      </c>
      <c r="O58" s="63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81" t="str">
        <f>IF(tblMovimientos[[#This Row],[Cuenta Bancaria]]="","",_xlfn.XLOOKUP(tblMovimientos[[#This Row],[Cuenta Bancaria]],Cuentas!$C:$C,Cuentas!$A:$A,"No encontrado"))</f>
        <v>SSP Group</v>
      </c>
      <c r="R58" s="81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3">
        <f>IF(tblMovimientos[[#This Row],[Tipo de Movimiento]]="Ingreso",tblMovimientos[[#This Row],[Monto (S/)]],"0")</f>
        <v>65164.32</v>
      </c>
      <c r="O59" s="63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81" t="str">
        <f>IF(tblMovimientos[[#This Row],[Cuenta Bancaria]]="","",_xlfn.XLOOKUP(tblMovimientos[[#This Row],[Cuenta Bancaria]],Cuentas!$C:$C,Cuentas!$A:$A,"No encontrado"))</f>
        <v>SSP Group</v>
      </c>
      <c r="R59" s="81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3" t="str">
        <f>IF(tblMovimientos[[#This Row],[Tipo de Movimiento]]="Ingreso",tblMovimientos[[#This Row],[Monto (S/)]],"0")</f>
        <v>0</v>
      </c>
      <c r="O60" s="63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81" t="str">
        <f>IF(tblMovimientos[[#This Row],[Cuenta Bancaria]]="","",_xlfn.XLOOKUP(tblMovimientos[[#This Row],[Cuenta Bancaria]],Cuentas!$C:$C,Cuentas!$A:$A,"No encontrado"))</f>
        <v>SSP Group</v>
      </c>
      <c r="R60" s="81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3" t="str">
        <f>IF(tblMovimientos[[#This Row],[Tipo de Movimiento]]="Ingreso",tblMovimientos[[#This Row],[Monto (S/)]],"0")</f>
        <v>0</v>
      </c>
      <c r="O61" s="63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81" t="str">
        <f>IF(tblMovimientos[[#This Row],[Cuenta Bancaria]]="","",_xlfn.XLOOKUP(tblMovimientos[[#This Row],[Cuenta Bancaria]],Cuentas!$C:$C,Cuentas!$A:$A,"No encontrado"))</f>
        <v>SSP Group</v>
      </c>
      <c r="R61" s="81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3" t="str">
        <f>IF(tblMovimientos[[#This Row],[Tipo de Movimiento]]="Ingreso",tblMovimientos[[#This Row],[Monto (S/)]],"0")</f>
        <v>0</v>
      </c>
      <c r="O62" s="63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81" t="str">
        <f>IF(tblMovimientos[[#This Row],[Cuenta Bancaria]]="","",_xlfn.XLOOKUP(tblMovimientos[[#This Row],[Cuenta Bancaria]],Cuentas!$C:$C,Cuentas!$A:$A,"No encontrado"))</f>
        <v>SSP Group</v>
      </c>
      <c r="R62" s="81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3" t="str">
        <f>IF(tblMovimientos[[#This Row],[Tipo de Movimiento]]="Ingreso",tblMovimientos[[#This Row],[Monto (S/)]],"0")</f>
        <v>0</v>
      </c>
      <c r="O63" s="63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81" t="str">
        <f>IF(tblMovimientos[[#This Row],[Cuenta Bancaria]]="","",_xlfn.XLOOKUP(tblMovimientos[[#This Row],[Cuenta Bancaria]],Cuentas!$C:$C,Cuentas!$A:$A,"No encontrado"))</f>
        <v>SSP Group</v>
      </c>
      <c r="R63" s="81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3">
        <f>IF(tblMovimientos[[#This Row],[Tipo de Movimiento]]="Ingreso",tblMovimientos[[#This Row],[Monto (S/)]],"0")</f>
        <v>2552.06</v>
      </c>
      <c r="O64" s="63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81" t="str">
        <f>IF(tblMovimientos[[#This Row],[Cuenta Bancaria]]="","",_xlfn.XLOOKUP(tblMovimientos[[#This Row],[Cuenta Bancaria]],Cuentas!$C:$C,Cuentas!$A:$A,"No encontrado"))</f>
        <v>SSP Group</v>
      </c>
      <c r="R64" s="81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3">
        <f>IF(tblMovimientos[[#This Row],[Tipo de Movimiento]]="Ingreso",tblMovimientos[[#This Row],[Monto (S/)]],"0")</f>
        <v>15000</v>
      </c>
      <c r="O65" s="63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81" t="str">
        <f>IF(tblMovimientos[[#This Row],[Cuenta Bancaria]]="","",_xlfn.XLOOKUP(tblMovimientos[[#This Row],[Cuenta Bancaria]],Cuentas!$C:$C,Cuentas!$A:$A,"No encontrado"))</f>
        <v>SSP Group</v>
      </c>
      <c r="R65" s="81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3" t="str">
        <f>IF(tblMovimientos[[#This Row],[Tipo de Movimiento]]="Ingreso",tblMovimientos[[#This Row],[Monto (S/)]],"0")</f>
        <v>0</v>
      </c>
      <c r="O66" s="63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81" t="str">
        <f>IF(tblMovimientos[[#This Row],[Cuenta Bancaria]]="","",_xlfn.XLOOKUP(tblMovimientos[[#This Row],[Cuenta Bancaria]],Cuentas!$C:$C,Cuentas!$A:$A,"No encontrado"))</f>
        <v>SSP Group</v>
      </c>
      <c r="R66" s="81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3" t="str">
        <f>IF(tblMovimientos[[#This Row],[Tipo de Movimiento]]="Ingreso",tblMovimientos[[#This Row],[Monto (S/)]],"0")</f>
        <v>0</v>
      </c>
      <c r="O67" s="63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81" t="str">
        <f>IF(tblMovimientos[[#This Row],[Cuenta Bancaria]]="","",_xlfn.XLOOKUP(tblMovimientos[[#This Row],[Cuenta Bancaria]],Cuentas!$C:$C,Cuentas!$A:$A,"No encontrado"))</f>
        <v>SSP Group</v>
      </c>
      <c r="R67" s="81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3" t="str">
        <f>IF(tblMovimientos[[#This Row],[Tipo de Movimiento]]="Ingreso",tblMovimientos[[#This Row],[Monto (S/)]],"0")</f>
        <v>0</v>
      </c>
      <c r="O68" s="63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81" t="str">
        <f>IF(tblMovimientos[[#This Row],[Cuenta Bancaria]]="","",_xlfn.XLOOKUP(tblMovimientos[[#This Row],[Cuenta Bancaria]],Cuentas!$C:$C,Cuentas!$A:$A,"No encontrado"))</f>
        <v>SSP Group</v>
      </c>
      <c r="R68" s="81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3">
        <f>IF(tblMovimientos[[#This Row],[Tipo de Movimiento]]="Ingreso",tblMovimientos[[#This Row],[Monto (S/)]],"0")</f>
        <v>576000</v>
      </c>
      <c r="O69" s="63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81" t="str">
        <f>IF(tblMovimientos[[#This Row],[Cuenta Bancaria]]="","",_xlfn.XLOOKUP(tblMovimientos[[#This Row],[Cuenta Bancaria]],Cuentas!$C:$C,Cuentas!$A:$A,"No encontrado"))</f>
        <v>SSP Group</v>
      </c>
      <c r="R69" s="81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3" t="str">
        <f>IF(tblMovimientos[[#This Row],[Tipo de Movimiento]]="Ingreso",tblMovimientos[[#This Row],[Monto (S/)]],"0")</f>
        <v>0</v>
      </c>
      <c r="O70" s="63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81" t="str">
        <f>IF(tblMovimientos[[#This Row],[Cuenta Bancaria]]="","",_xlfn.XLOOKUP(tblMovimientos[[#This Row],[Cuenta Bancaria]],Cuentas!$C:$C,Cuentas!$A:$A,"No encontrado"))</f>
        <v>SSP Group</v>
      </c>
      <c r="R70" s="81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3" t="str">
        <f>IF(tblMovimientos[[#This Row],[Tipo de Movimiento]]="Ingreso",tblMovimientos[[#This Row],[Monto (S/)]],"0")</f>
        <v>0</v>
      </c>
      <c r="O71" s="63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81" t="str">
        <f>IF(tblMovimientos[[#This Row],[Cuenta Bancaria]]="","",_xlfn.XLOOKUP(tblMovimientos[[#This Row],[Cuenta Bancaria]],Cuentas!$C:$C,Cuentas!$A:$A,"No encontrado"))</f>
        <v>SSP Group</v>
      </c>
      <c r="R71" s="81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3" t="str">
        <f>IF(tblMovimientos[[#This Row],[Tipo de Movimiento]]="Ingreso",tblMovimientos[[#This Row],[Monto (S/)]],"0")</f>
        <v>0</v>
      </c>
      <c r="O72" s="63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81" t="str">
        <f>IF(tblMovimientos[[#This Row],[Cuenta Bancaria]]="","",_xlfn.XLOOKUP(tblMovimientos[[#This Row],[Cuenta Bancaria]],Cuentas!$C:$C,Cuentas!$A:$A,"No encontrado"))</f>
        <v>SSP Group</v>
      </c>
      <c r="R72" s="81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3" t="str">
        <f>IF(tblMovimientos[[#This Row],[Tipo de Movimiento]]="Ingreso",tblMovimientos[[#This Row],[Monto (S/)]],"0")</f>
        <v>0</v>
      </c>
      <c r="O73" s="63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81" t="str">
        <f>IF(tblMovimientos[[#This Row],[Cuenta Bancaria]]="","",_xlfn.XLOOKUP(tblMovimientos[[#This Row],[Cuenta Bancaria]],Cuentas!$C:$C,Cuentas!$A:$A,"No encontrado"))</f>
        <v>SSP Group</v>
      </c>
      <c r="R73" s="81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3" t="str">
        <f>IF(tblMovimientos[[#This Row],[Tipo de Movimiento]]="Ingreso",tblMovimientos[[#This Row],[Monto (S/)]],"0")</f>
        <v>0</v>
      </c>
      <c r="O74" s="63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81" t="str">
        <f>IF(tblMovimientos[[#This Row],[Cuenta Bancaria]]="","",_xlfn.XLOOKUP(tblMovimientos[[#This Row],[Cuenta Bancaria]],Cuentas!$C:$C,Cuentas!$A:$A,"No encontrado"))</f>
        <v>SSP Group</v>
      </c>
      <c r="R74" s="81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3">
        <f>IF(tblMovimientos[[#This Row],[Tipo de Movimiento]]="Ingreso",tblMovimientos[[#This Row],[Monto (S/)]],"0")</f>
        <v>239975</v>
      </c>
      <c r="O75" s="63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81" t="str">
        <f>IF(tblMovimientos[[#This Row],[Cuenta Bancaria]]="","",_xlfn.XLOOKUP(tblMovimientos[[#This Row],[Cuenta Bancaria]],Cuentas!$C:$C,Cuentas!$A:$A,"No encontrado"))</f>
        <v>SSP Group</v>
      </c>
      <c r="R75" s="81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3" t="str">
        <f>IF(tblMovimientos[[#This Row],[Tipo de Movimiento]]="Ingreso",tblMovimientos[[#This Row],[Monto (S/)]],"0")</f>
        <v>0</v>
      </c>
      <c r="O76" s="63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81" t="str">
        <f>IF(tblMovimientos[[#This Row],[Cuenta Bancaria]]="","",_xlfn.XLOOKUP(tblMovimientos[[#This Row],[Cuenta Bancaria]],Cuentas!$C:$C,Cuentas!$A:$A,"No encontrado"))</f>
        <v>SSP Group</v>
      </c>
      <c r="R76" s="81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3" t="str">
        <f>IF(tblMovimientos[[#This Row],[Tipo de Movimiento]]="Ingreso",tblMovimientos[[#This Row],[Monto (S/)]],"0")</f>
        <v>0</v>
      </c>
      <c r="O77" s="63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81" t="str">
        <f>IF(tblMovimientos[[#This Row],[Cuenta Bancaria]]="","",_xlfn.XLOOKUP(tblMovimientos[[#This Row],[Cuenta Bancaria]],Cuentas!$C:$C,Cuentas!$A:$A,"No encontrado"))</f>
        <v>SSP Group</v>
      </c>
      <c r="R77" s="81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3" t="str">
        <f>IF(tblMovimientos[[#This Row],[Tipo de Movimiento]]="Ingreso",tblMovimientos[[#This Row],[Monto (S/)]],"0")</f>
        <v>0</v>
      </c>
      <c r="O78" s="63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81" t="str">
        <f>IF(tblMovimientos[[#This Row],[Cuenta Bancaria]]="","",_xlfn.XLOOKUP(tblMovimientos[[#This Row],[Cuenta Bancaria]],Cuentas!$C:$C,Cuentas!$A:$A,"No encontrado"))</f>
        <v>SSP Group</v>
      </c>
      <c r="R78" s="81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3">
        <f>IF(tblMovimientos[[#This Row],[Tipo de Movimiento]]="Ingreso",tblMovimientos[[#This Row],[Monto (S/)]],"0")</f>
        <v>93805.54</v>
      </c>
      <c r="O79" s="63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81" t="str">
        <f>IF(tblMovimientos[[#This Row],[Cuenta Bancaria]]="","",_xlfn.XLOOKUP(tblMovimientos[[#This Row],[Cuenta Bancaria]],Cuentas!$C:$C,Cuentas!$A:$A,"No encontrado"))</f>
        <v>SSP Group</v>
      </c>
      <c r="R79" s="81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3" t="str">
        <f>IF(tblMovimientos[[#This Row],[Tipo de Movimiento]]="Ingreso",tblMovimientos[[#This Row],[Monto (S/)]],"0")</f>
        <v>0</v>
      </c>
      <c r="O80" s="63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81" t="str">
        <f>IF(tblMovimientos[[#This Row],[Cuenta Bancaria]]="","",_xlfn.XLOOKUP(tblMovimientos[[#This Row],[Cuenta Bancaria]],Cuentas!$C:$C,Cuentas!$A:$A,"No encontrado"))</f>
        <v>SSP Group</v>
      </c>
      <c r="R80" s="81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3" t="str">
        <f>IF(tblMovimientos[[#This Row],[Tipo de Movimiento]]="Ingreso",tblMovimientos[[#This Row],[Monto (S/)]],"0")</f>
        <v>0</v>
      </c>
      <c r="O81" s="63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81" t="str">
        <f>IF(tblMovimientos[[#This Row],[Cuenta Bancaria]]="","",_xlfn.XLOOKUP(tblMovimientos[[#This Row],[Cuenta Bancaria]],Cuentas!$C:$C,Cuentas!$A:$A,"No encontrado"))</f>
        <v>SSP Group</v>
      </c>
      <c r="R81" s="81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3" t="str">
        <f>IF(tblMovimientos[[#This Row],[Tipo de Movimiento]]="Ingreso",tblMovimientos[[#This Row],[Monto (S/)]],"0")</f>
        <v>0</v>
      </c>
      <c r="O82" s="63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81" t="str">
        <f>IF(tblMovimientos[[#This Row],[Cuenta Bancaria]]="","",_xlfn.XLOOKUP(tblMovimientos[[#This Row],[Cuenta Bancaria]],Cuentas!$C:$C,Cuentas!$A:$A,"No encontrado"))</f>
        <v>SSP Group</v>
      </c>
      <c r="R82" s="81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3">
        <f>IF(tblMovimientos[[#This Row],[Tipo de Movimiento]]="Ingreso",tblMovimientos[[#This Row],[Monto (S/)]],"0")</f>
        <v>16493.77</v>
      </c>
      <c r="O83" s="63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81" t="str">
        <f>IF(tblMovimientos[[#This Row],[Cuenta Bancaria]]="","",_xlfn.XLOOKUP(tblMovimientos[[#This Row],[Cuenta Bancaria]],Cuentas!$C:$C,Cuentas!$A:$A,"No encontrado"))</f>
        <v>SSP Group</v>
      </c>
      <c r="R83" s="81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3" t="str">
        <f>IF(tblMovimientos[[#This Row],[Tipo de Movimiento]]="Ingreso",tblMovimientos[[#This Row],[Monto (S/)]],"0")</f>
        <v>0</v>
      </c>
      <c r="O84" s="63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81" t="str">
        <f>IF(tblMovimientos[[#This Row],[Cuenta Bancaria]]="","",_xlfn.XLOOKUP(tblMovimientos[[#This Row],[Cuenta Bancaria]],Cuentas!$C:$C,Cuentas!$A:$A,"No encontrado"))</f>
        <v>SSP Group</v>
      </c>
      <c r="R84" s="81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3">
        <f>IF(tblMovimientos[[#This Row],[Tipo de Movimiento]]="Ingreso",tblMovimientos[[#This Row],[Monto (S/)]],"0")</f>
        <v>1.78</v>
      </c>
      <c r="O85" s="63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81" t="str">
        <f>IF(tblMovimientos[[#This Row],[Cuenta Bancaria]]="","",_xlfn.XLOOKUP(tblMovimientos[[#This Row],[Cuenta Bancaria]],Cuentas!$C:$C,Cuentas!$A:$A,"No encontrado"))</f>
        <v>SSP Group</v>
      </c>
      <c r="R85" s="81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3" t="str">
        <f>IF(tblMovimientos[[#This Row],[Tipo de Movimiento]]="Ingreso",tblMovimientos[[#This Row],[Monto (S/)]],"0")</f>
        <v>0</v>
      </c>
      <c r="O86" s="63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81" t="str">
        <f>IF(tblMovimientos[[#This Row],[Cuenta Bancaria]]="","",_xlfn.XLOOKUP(tblMovimientos[[#This Row],[Cuenta Bancaria]],Cuentas!$C:$C,Cuentas!$A:$A,"No encontrado"))</f>
        <v>SSP Group</v>
      </c>
      <c r="R86" s="81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3" t="str">
        <f>IF(tblMovimientos[[#This Row],[Tipo de Movimiento]]="Ingreso",tblMovimientos[[#This Row],[Monto (S/)]],"0")</f>
        <v>0</v>
      </c>
      <c r="O87" s="63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81" t="str">
        <f>IF(tblMovimientos[[#This Row],[Cuenta Bancaria]]="","",_xlfn.XLOOKUP(tblMovimientos[[#This Row],[Cuenta Bancaria]],Cuentas!$C:$C,Cuentas!$A:$A,"No encontrado"))</f>
        <v>SSP Group</v>
      </c>
      <c r="R87" s="81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3" t="str">
        <f>IF(tblMovimientos[[#This Row],[Tipo de Movimiento]]="Ingreso",tblMovimientos[[#This Row],[Monto (S/)]],"0")</f>
        <v>0</v>
      </c>
      <c r="O88" s="63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81" t="str">
        <f>IF(tblMovimientos[[#This Row],[Cuenta Bancaria]]="","",_xlfn.XLOOKUP(tblMovimientos[[#This Row],[Cuenta Bancaria]],Cuentas!$C:$C,Cuentas!$A:$A,"No encontrado"))</f>
        <v>SSP Group</v>
      </c>
      <c r="R88" s="81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3" t="str">
        <f>IF(tblMovimientos[[#This Row],[Tipo de Movimiento]]="Ingreso",tblMovimientos[[#This Row],[Monto (S/)]],"0")</f>
        <v>0</v>
      </c>
      <c r="O89" s="63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81" t="str">
        <f>IF(tblMovimientos[[#This Row],[Cuenta Bancaria]]="","",_xlfn.XLOOKUP(tblMovimientos[[#This Row],[Cuenta Bancaria]],Cuentas!$C:$C,Cuentas!$A:$A,"No encontrado"))</f>
        <v>SSP Group</v>
      </c>
      <c r="R89" s="81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3" t="str">
        <f>IF(tblMovimientos[[#This Row],[Tipo de Movimiento]]="Ingreso",tblMovimientos[[#This Row],[Monto (S/)]],"0")</f>
        <v>0</v>
      </c>
      <c r="O90" s="63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81" t="str">
        <f>IF(tblMovimientos[[#This Row],[Cuenta Bancaria]]="","",_xlfn.XLOOKUP(tblMovimientos[[#This Row],[Cuenta Bancaria]],Cuentas!$C:$C,Cuentas!$A:$A,"No encontrado"))</f>
        <v>SSP Group</v>
      </c>
      <c r="R90" s="81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3" t="str">
        <f>IF(tblMovimientos[[#This Row],[Tipo de Movimiento]]="Ingreso",tblMovimientos[[#This Row],[Monto (S/)]],"0")</f>
        <v>0</v>
      </c>
      <c r="O91" s="63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81" t="str">
        <f>IF(tblMovimientos[[#This Row],[Cuenta Bancaria]]="","",_xlfn.XLOOKUP(tblMovimientos[[#This Row],[Cuenta Bancaria]],Cuentas!$C:$C,Cuentas!$A:$A,"No encontrado"))</f>
        <v>SSP Group</v>
      </c>
      <c r="R91" s="81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3" t="str">
        <f>IF(tblMovimientos[[#This Row],[Tipo de Movimiento]]="Ingreso",tblMovimientos[[#This Row],[Monto (S/)]],"0")</f>
        <v>0</v>
      </c>
      <c r="O92" s="63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81" t="str">
        <f>IF(tblMovimientos[[#This Row],[Cuenta Bancaria]]="","",_xlfn.XLOOKUP(tblMovimientos[[#This Row],[Cuenta Bancaria]],Cuentas!$C:$C,Cuentas!$A:$A,"No encontrado"))</f>
        <v>SSP Group</v>
      </c>
      <c r="R92" s="81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3" t="str">
        <f>IF(tblMovimientos[[#This Row],[Tipo de Movimiento]]="Ingreso",tblMovimientos[[#This Row],[Monto (S/)]],"0")</f>
        <v>0</v>
      </c>
      <c r="O93" s="63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81" t="str">
        <f>IF(tblMovimientos[[#This Row],[Cuenta Bancaria]]="","",_xlfn.XLOOKUP(tblMovimientos[[#This Row],[Cuenta Bancaria]],Cuentas!$C:$C,Cuentas!$A:$A,"No encontrado"))</f>
        <v>SSP Group</v>
      </c>
      <c r="R93" s="81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3" t="str">
        <f>IF(tblMovimientos[[#This Row],[Tipo de Movimiento]]="Ingreso",tblMovimientos[[#This Row],[Monto (S/)]],"0")</f>
        <v>0</v>
      </c>
      <c r="O94" s="63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81" t="str">
        <f>IF(tblMovimientos[[#This Row],[Cuenta Bancaria]]="","",_xlfn.XLOOKUP(tblMovimientos[[#This Row],[Cuenta Bancaria]],Cuentas!$C:$C,Cuentas!$A:$A,"No encontrado"))</f>
        <v>SSP Group</v>
      </c>
      <c r="R94" s="81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3" t="str">
        <f>IF(tblMovimientos[[#This Row],[Tipo de Movimiento]]="Ingreso",tblMovimientos[[#This Row],[Monto (S/)]],"0")</f>
        <v>0</v>
      </c>
      <c r="O95" s="63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81" t="str">
        <f>IF(tblMovimientos[[#This Row],[Cuenta Bancaria]]="","",_xlfn.XLOOKUP(tblMovimientos[[#This Row],[Cuenta Bancaria]],Cuentas!$C:$C,Cuentas!$A:$A,"No encontrado"))</f>
        <v>SSP Group</v>
      </c>
      <c r="R95" s="81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3">
        <f>IF(tblMovimientos[[#This Row],[Tipo de Movimiento]]="Ingreso",tblMovimientos[[#This Row],[Monto (S/)]],"0")</f>
        <v>920.07</v>
      </c>
      <c r="O96" s="63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81" t="str">
        <f>IF(tblMovimientos[[#This Row],[Cuenta Bancaria]]="","",_xlfn.XLOOKUP(tblMovimientos[[#This Row],[Cuenta Bancaria]],Cuentas!$C:$C,Cuentas!$A:$A,"No encontrado"))</f>
        <v>SSP Group</v>
      </c>
      <c r="R96" s="81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3">
        <f>IF(tblMovimientos[[#This Row],[Tipo de Movimiento]]="Ingreso",tblMovimientos[[#This Row],[Monto (S/)]],"0")</f>
        <v>50000</v>
      </c>
      <c r="O97" s="63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81" t="str">
        <f>IF(tblMovimientos[[#This Row],[Cuenta Bancaria]]="","",_xlfn.XLOOKUP(tblMovimientos[[#This Row],[Cuenta Bancaria]],Cuentas!$C:$C,Cuentas!$A:$A,"No encontrado"))</f>
        <v>SSP Group</v>
      </c>
      <c r="R97" s="81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3" t="str">
        <f>IF(tblMovimientos[[#This Row],[Tipo de Movimiento]]="Ingreso",tblMovimientos[[#This Row],[Monto (S/)]],"0")</f>
        <v>0</v>
      </c>
      <c r="O98" s="63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81" t="str">
        <f>IF(tblMovimientos[[#This Row],[Cuenta Bancaria]]="","",_xlfn.XLOOKUP(tblMovimientos[[#This Row],[Cuenta Bancaria]],Cuentas!$C:$C,Cuentas!$A:$A,"No encontrado"))</f>
        <v>SSP Group</v>
      </c>
      <c r="R98" s="81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3" t="str">
        <f>IF(tblMovimientos[[#This Row],[Tipo de Movimiento]]="Ingreso",tblMovimientos[[#This Row],[Monto (S/)]],"0")</f>
        <v>0</v>
      </c>
      <c r="O99" s="63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81" t="str">
        <f>IF(tblMovimientos[[#This Row],[Cuenta Bancaria]]="","",_xlfn.XLOOKUP(tblMovimientos[[#This Row],[Cuenta Bancaria]],Cuentas!$C:$C,Cuentas!$A:$A,"No encontrado"))</f>
        <v>SSP Group</v>
      </c>
      <c r="R99" s="81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3" t="str">
        <f>IF(tblMovimientos[[#This Row],[Tipo de Movimiento]]="Ingreso",tblMovimientos[[#This Row],[Monto (S/)]],"0")</f>
        <v>0</v>
      </c>
      <c r="O100" s="63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81" t="str">
        <f>IF(tblMovimientos[[#This Row],[Cuenta Bancaria]]="","",_xlfn.XLOOKUP(tblMovimientos[[#This Row],[Cuenta Bancaria]],Cuentas!$C:$C,Cuentas!$A:$A,"No encontrado"))</f>
        <v>SSP Group</v>
      </c>
      <c r="R100" s="81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3" t="str">
        <f>IF(tblMovimientos[[#This Row],[Tipo de Movimiento]]="Ingreso",tblMovimientos[[#This Row],[Monto (S/)]],"0")</f>
        <v>0</v>
      </c>
      <c r="O101" s="63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81" t="str">
        <f>IF(tblMovimientos[[#This Row],[Cuenta Bancaria]]="","",_xlfn.XLOOKUP(tblMovimientos[[#This Row],[Cuenta Bancaria]],Cuentas!$C:$C,Cuentas!$A:$A,"No encontrado"))</f>
        <v>SSP Group</v>
      </c>
      <c r="R101" s="81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3" t="str">
        <f>IF(tblMovimientos[[#This Row],[Tipo de Movimiento]]="Ingreso",tblMovimientos[[#This Row],[Monto (S/)]],"0")</f>
        <v>0</v>
      </c>
      <c r="O102" s="63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81" t="str">
        <f>IF(tblMovimientos[[#This Row],[Cuenta Bancaria]]="","",_xlfn.XLOOKUP(tblMovimientos[[#This Row],[Cuenta Bancaria]],Cuentas!$C:$C,Cuentas!$A:$A,"No encontrado"))</f>
        <v>SSP Group</v>
      </c>
      <c r="R102" s="81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3" t="str">
        <f>IF(tblMovimientos[[#This Row],[Tipo de Movimiento]]="Ingreso",tblMovimientos[[#This Row],[Monto (S/)]],"0")</f>
        <v>0</v>
      </c>
      <c r="O103" s="63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81" t="str">
        <f>IF(tblMovimientos[[#This Row],[Cuenta Bancaria]]="","",_xlfn.XLOOKUP(tblMovimientos[[#This Row],[Cuenta Bancaria]],Cuentas!$C:$C,Cuentas!$A:$A,"No encontrado"))</f>
        <v>SSP Group</v>
      </c>
      <c r="R103" s="81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3" t="str">
        <f>IF(tblMovimientos[[#This Row],[Tipo de Movimiento]]="Ingreso",tblMovimientos[[#This Row],[Monto (S/)]],"0")</f>
        <v>0</v>
      </c>
      <c r="O104" s="63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81" t="str">
        <f>IF(tblMovimientos[[#This Row],[Cuenta Bancaria]]="","",_xlfn.XLOOKUP(tblMovimientos[[#This Row],[Cuenta Bancaria]],Cuentas!$C:$C,Cuentas!$A:$A,"No encontrado"))</f>
        <v>SSP Group</v>
      </c>
      <c r="R104" s="81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3" t="str">
        <f>IF(tblMovimientos[[#This Row],[Tipo de Movimiento]]="Ingreso",tblMovimientos[[#This Row],[Monto (S/)]],"0")</f>
        <v>0</v>
      </c>
      <c r="O105" s="63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81" t="str">
        <f>IF(tblMovimientos[[#This Row],[Cuenta Bancaria]]="","",_xlfn.XLOOKUP(tblMovimientos[[#This Row],[Cuenta Bancaria]],Cuentas!$C:$C,Cuentas!$A:$A,"No encontrado"))</f>
        <v>SSP Group</v>
      </c>
      <c r="R105" s="81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3" t="str">
        <f>IF(tblMovimientos[[#This Row],[Tipo de Movimiento]]="Ingreso",tblMovimientos[[#This Row],[Monto (S/)]],"0")</f>
        <v>0</v>
      </c>
      <c r="O106" s="63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81" t="str">
        <f>IF(tblMovimientos[[#This Row],[Cuenta Bancaria]]="","",_xlfn.XLOOKUP(tblMovimientos[[#This Row],[Cuenta Bancaria]],Cuentas!$C:$C,Cuentas!$A:$A,"No encontrado"))</f>
        <v>SSP Group</v>
      </c>
      <c r="R106" s="81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3" t="str">
        <f>IF(tblMovimientos[[#This Row],[Tipo de Movimiento]]="Ingreso",tblMovimientos[[#This Row],[Monto (S/)]],"0")</f>
        <v>0</v>
      </c>
      <c r="O107" s="63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81" t="str">
        <f>IF(tblMovimientos[[#This Row],[Cuenta Bancaria]]="","",_xlfn.XLOOKUP(tblMovimientos[[#This Row],[Cuenta Bancaria]],Cuentas!$C:$C,Cuentas!$A:$A,"No encontrado"))</f>
        <v>SSP Group</v>
      </c>
      <c r="R107" s="81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3" t="str">
        <f>IF(tblMovimientos[[#This Row],[Tipo de Movimiento]]="Ingreso",tblMovimientos[[#This Row],[Monto (S/)]],"0")</f>
        <v>0</v>
      </c>
      <c r="O108" s="63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81" t="str">
        <f>IF(tblMovimientos[[#This Row],[Cuenta Bancaria]]="","",_xlfn.XLOOKUP(tblMovimientos[[#This Row],[Cuenta Bancaria]],Cuentas!$C:$C,Cuentas!$A:$A,"No encontrado"))</f>
        <v>SSP Group</v>
      </c>
      <c r="R108" s="81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3" t="str">
        <f>IF(tblMovimientos[[#This Row],[Tipo de Movimiento]]="Ingreso",tblMovimientos[[#This Row],[Monto (S/)]],"0")</f>
        <v>0</v>
      </c>
      <c r="O109" s="63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81" t="str">
        <f>IF(tblMovimientos[[#This Row],[Cuenta Bancaria]]="","",_xlfn.XLOOKUP(tblMovimientos[[#This Row],[Cuenta Bancaria]],Cuentas!$C:$C,Cuentas!$A:$A,"No encontrado"))</f>
        <v>SSP Group</v>
      </c>
      <c r="R109" s="81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3" t="str">
        <f>IF(tblMovimientos[[#This Row],[Tipo de Movimiento]]="Ingreso",tblMovimientos[[#This Row],[Monto (S/)]],"0")</f>
        <v>0</v>
      </c>
      <c r="O110" s="63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81" t="str">
        <f>IF(tblMovimientos[[#This Row],[Cuenta Bancaria]]="","",_xlfn.XLOOKUP(tblMovimientos[[#This Row],[Cuenta Bancaria]],Cuentas!$C:$C,Cuentas!$A:$A,"No encontrado"))</f>
        <v>SSP Group</v>
      </c>
      <c r="R110" s="81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3" t="str">
        <f>IF(tblMovimientos[[#This Row],[Tipo de Movimiento]]="Ingreso",tblMovimientos[[#This Row],[Monto (S/)]],"0")</f>
        <v>0</v>
      </c>
      <c r="O111" s="63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81" t="str">
        <f>IF(tblMovimientos[[#This Row],[Cuenta Bancaria]]="","",_xlfn.XLOOKUP(tblMovimientos[[#This Row],[Cuenta Bancaria]],Cuentas!$C:$C,Cuentas!$A:$A,"No encontrado"))</f>
        <v>SSP Group</v>
      </c>
      <c r="R111" s="81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3" t="str">
        <f>IF(tblMovimientos[[#This Row],[Tipo de Movimiento]]="Ingreso",tblMovimientos[[#This Row],[Monto (S/)]],"0")</f>
        <v>0</v>
      </c>
      <c r="O112" s="63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81" t="str">
        <f>IF(tblMovimientos[[#This Row],[Cuenta Bancaria]]="","",_xlfn.XLOOKUP(tblMovimientos[[#This Row],[Cuenta Bancaria]],Cuentas!$C:$C,Cuentas!$A:$A,"No encontrado"))</f>
        <v>SSP Group</v>
      </c>
      <c r="R112" s="81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3" t="str">
        <f>IF(tblMovimientos[[#This Row],[Tipo de Movimiento]]="Ingreso",tblMovimientos[[#This Row],[Monto (S/)]],"0")</f>
        <v>0</v>
      </c>
      <c r="O113" s="63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81" t="str">
        <f>IF(tblMovimientos[[#This Row],[Cuenta Bancaria]]="","",_xlfn.XLOOKUP(tblMovimientos[[#This Row],[Cuenta Bancaria]],Cuentas!$C:$C,Cuentas!$A:$A,"No encontrado"))</f>
        <v>SSP Group</v>
      </c>
      <c r="R113" s="81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3" t="str">
        <f>IF(tblMovimientos[[#This Row],[Tipo de Movimiento]]="Ingreso",tblMovimientos[[#This Row],[Monto (S/)]],"0")</f>
        <v>0</v>
      </c>
      <c r="O114" s="63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81" t="str">
        <f>IF(tblMovimientos[[#This Row],[Cuenta Bancaria]]="","",_xlfn.XLOOKUP(tblMovimientos[[#This Row],[Cuenta Bancaria]],Cuentas!$C:$C,Cuentas!$A:$A,"No encontrado"))</f>
        <v>SSP Group</v>
      </c>
      <c r="R114" s="81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3" t="str">
        <f>IF(tblMovimientos[[#This Row],[Tipo de Movimiento]]="Ingreso",tblMovimientos[[#This Row],[Monto (S/)]],"0")</f>
        <v>0</v>
      </c>
      <c r="O115" s="63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81" t="str">
        <f>IF(tblMovimientos[[#This Row],[Cuenta Bancaria]]="","",_xlfn.XLOOKUP(tblMovimientos[[#This Row],[Cuenta Bancaria]],Cuentas!$C:$C,Cuentas!$A:$A,"No encontrado"))</f>
        <v>SSP Group</v>
      </c>
      <c r="R115" s="81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3" t="str">
        <f>IF(tblMovimientos[[#This Row],[Tipo de Movimiento]]="Ingreso",tblMovimientos[[#This Row],[Monto (S/)]],"0")</f>
        <v>0</v>
      </c>
      <c r="O116" s="63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81" t="str">
        <f>IF(tblMovimientos[[#This Row],[Cuenta Bancaria]]="","",_xlfn.XLOOKUP(tblMovimientos[[#This Row],[Cuenta Bancaria]],Cuentas!$C:$C,Cuentas!$A:$A,"No encontrado"))</f>
        <v>SSP Group</v>
      </c>
      <c r="R116" s="81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3" t="str">
        <f>IF(tblMovimientos[[#This Row],[Tipo de Movimiento]]="Ingreso",tblMovimientos[[#This Row],[Monto (S/)]],"0")</f>
        <v>0</v>
      </c>
      <c r="O117" s="63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81" t="str">
        <f>IF(tblMovimientos[[#This Row],[Cuenta Bancaria]]="","",_xlfn.XLOOKUP(tblMovimientos[[#This Row],[Cuenta Bancaria]],Cuentas!$C:$C,Cuentas!$A:$A,"No encontrado"))</f>
        <v>SSP Group</v>
      </c>
      <c r="R117" s="81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3" t="str">
        <f>IF(tblMovimientos[[#This Row],[Tipo de Movimiento]]="Ingreso",tblMovimientos[[#This Row],[Monto (S/)]],"0")</f>
        <v>0</v>
      </c>
      <c r="O118" s="63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81" t="str">
        <f>IF(tblMovimientos[[#This Row],[Cuenta Bancaria]]="","",_xlfn.XLOOKUP(tblMovimientos[[#This Row],[Cuenta Bancaria]],Cuentas!$C:$C,Cuentas!$A:$A,"No encontrado"))</f>
        <v>SSP Group</v>
      </c>
      <c r="R118" s="81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3" t="str">
        <f>IF(tblMovimientos[[#This Row],[Tipo de Movimiento]]="Ingreso",tblMovimientos[[#This Row],[Monto (S/)]],"0")</f>
        <v>0</v>
      </c>
      <c r="O119" s="63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81" t="str">
        <f>IF(tblMovimientos[[#This Row],[Cuenta Bancaria]]="","",_xlfn.XLOOKUP(tblMovimientos[[#This Row],[Cuenta Bancaria]],Cuentas!$C:$C,Cuentas!$A:$A,"No encontrado"))</f>
        <v>SSP Group</v>
      </c>
      <c r="R119" s="81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3" t="str">
        <f>IF(tblMovimientos[[#This Row],[Tipo de Movimiento]]="Ingreso",tblMovimientos[[#This Row],[Monto (S/)]],"0")</f>
        <v>0</v>
      </c>
      <c r="O120" s="63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81" t="str">
        <f>IF(tblMovimientos[[#This Row],[Cuenta Bancaria]]="","",_xlfn.XLOOKUP(tblMovimientos[[#This Row],[Cuenta Bancaria]],Cuentas!$C:$C,Cuentas!$A:$A,"No encontrado"))</f>
        <v>SSP Group</v>
      </c>
      <c r="R120" s="81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3" t="str">
        <f>IF(tblMovimientos[[#This Row],[Tipo de Movimiento]]="Ingreso",tblMovimientos[[#This Row],[Monto (S/)]],"0")</f>
        <v>0</v>
      </c>
      <c r="O121" s="63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81" t="str">
        <f>IF(tblMovimientos[[#This Row],[Cuenta Bancaria]]="","",_xlfn.XLOOKUP(tblMovimientos[[#This Row],[Cuenta Bancaria]],Cuentas!$C:$C,Cuentas!$A:$A,"No encontrado"))</f>
        <v>SSP Group</v>
      </c>
      <c r="R121" s="81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3" t="str">
        <f>IF(tblMovimientos[[#This Row],[Tipo de Movimiento]]="Ingreso",tblMovimientos[[#This Row],[Monto (S/)]],"0")</f>
        <v>0</v>
      </c>
      <c r="O122" s="63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81" t="str">
        <f>IF(tblMovimientos[[#This Row],[Cuenta Bancaria]]="","",_xlfn.XLOOKUP(tblMovimientos[[#This Row],[Cuenta Bancaria]],Cuentas!$C:$C,Cuentas!$A:$A,"No encontrado"))</f>
        <v>SSP Group</v>
      </c>
      <c r="R122" s="81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3" t="str">
        <f>IF(tblMovimientos[[#This Row],[Tipo de Movimiento]]="Ingreso",tblMovimientos[[#This Row],[Monto (S/)]],"0")</f>
        <v>0</v>
      </c>
      <c r="O123" s="63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81" t="str">
        <f>IF(tblMovimientos[[#This Row],[Cuenta Bancaria]]="","",_xlfn.XLOOKUP(tblMovimientos[[#This Row],[Cuenta Bancaria]],Cuentas!$C:$C,Cuentas!$A:$A,"No encontrado"))</f>
        <v>SSP Group</v>
      </c>
      <c r="R123" s="81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3" t="str">
        <f>IF(tblMovimientos[[#This Row],[Tipo de Movimiento]]="Ingreso",tblMovimientos[[#This Row],[Monto (S/)]],"0")</f>
        <v>0</v>
      </c>
      <c r="O124" s="63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81" t="str">
        <f>IF(tblMovimientos[[#This Row],[Cuenta Bancaria]]="","",_xlfn.XLOOKUP(tblMovimientos[[#This Row],[Cuenta Bancaria]],Cuentas!$C:$C,Cuentas!$A:$A,"No encontrado"))</f>
        <v>SSP Group</v>
      </c>
      <c r="R124" s="81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3">
        <f>IF(tblMovimientos[[#This Row],[Tipo de Movimiento]]="Ingreso",tblMovimientos[[#This Row],[Monto (S/)]],"0")</f>
        <v>650000</v>
      </c>
      <c r="O125" s="63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81" t="str">
        <f>IF(tblMovimientos[[#This Row],[Cuenta Bancaria]]="","",_xlfn.XLOOKUP(tblMovimientos[[#This Row],[Cuenta Bancaria]],Cuentas!$C:$C,Cuentas!$A:$A,"No encontrado"))</f>
        <v>SSP Group</v>
      </c>
      <c r="R125" s="81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3" t="str">
        <f>IF(tblMovimientos[[#This Row],[Tipo de Movimiento]]="Ingreso",tblMovimientos[[#This Row],[Monto (S/)]],"0")</f>
        <v>0</v>
      </c>
      <c r="O126" s="63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81" t="str">
        <f>IF(tblMovimientos[[#This Row],[Cuenta Bancaria]]="","",_xlfn.XLOOKUP(tblMovimientos[[#This Row],[Cuenta Bancaria]],Cuentas!$C:$C,Cuentas!$A:$A,"No encontrado"))</f>
        <v>Trust</v>
      </c>
      <c r="R126" s="81" t="str">
        <f>TRIM(_xlfn.XLOOKUP(tblMovimientos[[#This Row],[Cuenta Bancaria]],Cuentas!$C:$C,Cuentas!$B:$B,""))</f>
        <v/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3" t="str">
        <f>IF(tblMovimientos[[#This Row],[Tipo de Movimiento]]="Ingreso",tblMovimientos[[#This Row],[Monto (S/)]],"0")</f>
        <v>0</v>
      </c>
      <c r="O127" s="63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81" t="str">
        <f>IF(tblMovimientos[[#This Row],[Cuenta Bancaria]]="","",_xlfn.XLOOKUP(tblMovimientos[[#This Row],[Cuenta Bancaria]],Cuentas!$C:$C,Cuentas!$A:$A,"No encontrado"))</f>
        <v>SSP Group</v>
      </c>
      <c r="R127" s="81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3">
        <f>IF(tblMovimientos[[#This Row],[Tipo de Movimiento]]="Ingreso",tblMovimientos[[#This Row],[Monto (S/)]],"0")</f>
        <v>30000</v>
      </c>
      <c r="O128" s="63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81" t="str">
        <f>IF(tblMovimientos[[#This Row],[Cuenta Bancaria]]="","",_xlfn.XLOOKUP(tblMovimientos[[#This Row],[Cuenta Bancaria]],Cuentas!$C:$C,Cuentas!$A:$A,"No encontrado"))</f>
        <v>SSP Group</v>
      </c>
      <c r="R128" s="81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3" t="str">
        <f>IF(tblMovimientos[[#This Row],[Tipo de Movimiento]]="Ingreso",tblMovimientos[[#This Row],[Monto (S/)]],"0")</f>
        <v>0</v>
      </c>
      <c r="O129" s="63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81" t="str">
        <f>IF(tblMovimientos[[#This Row],[Cuenta Bancaria]]="","",_xlfn.XLOOKUP(tblMovimientos[[#This Row],[Cuenta Bancaria]],Cuentas!$C:$C,Cuentas!$A:$A,"No encontrado"))</f>
        <v>SSP Group</v>
      </c>
      <c r="R129" s="81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3" t="str">
        <f>IF(tblMovimientos[[#This Row],[Tipo de Movimiento]]="Ingreso",tblMovimientos[[#This Row],[Monto (S/)]],"0")</f>
        <v>0</v>
      </c>
      <c r="O130" s="63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81" t="str">
        <f>IF(tblMovimientos[[#This Row],[Cuenta Bancaria]]="","",_xlfn.XLOOKUP(tblMovimientos[[#This Row],[Cuenta Bancaria]],Cuentas!$C:$C,Cuentas!$A:$A,"No encontrado"))</f>
        <v>SSP Group</v>
      </c>
      <c r="R130" s="81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3" t="str">
        <f>IF(tblMovimientos[[#This Row],[Tipo de Movimiento]]="Ingreso",tblMovimientos[[#This Row],[Monto (S/)]],"0")</f>
        <v>0</v>
      </c>
      <c r="O131" s="63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81" t="str">
        <f>IF(tblMovimientos[[#This Row],[Cuenta Bancaria]]="","",_xlfn.XLOOKUP(tblMovimientos[[#This Row],[Cuenta Bancaria]],Cuentas!$C:$C,Cuentas!$A:$A,"No encontrado"))</f>
        <v>SSP Group</v>
      </c>
      <c r="R131" s="81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3" t="str">
        <f>IF(tblMovimientos[[#This Row],[Tipo de Movimiento]]="Ingreso",tblMovimientos[[#This Row],[Monto (S/)]],"0")</f>
        <v>0</v>
      </c>
      <c r="O132" s="63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81" t="str">
        <f>IF(tblMovimientos[[#This Row],[Cuenta Bancaria]]="","",_xlfn.XLOOKUP(tblMovimientos[[#This Row],[Cuenta Bancaria]],Cuentas!$C:$C,Cuentas!$A:$A,"No encontrado"))</f>
        <v>SSP Group</v>
      </c>
      <c r="R132" s="81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3" t="str">
        <f>IF(tblMovimientos[[#This Row],[Tipo de Movimiento]]="Ingreso",tblMovimientos[[#This Row],[Monto (S/)]],"0")</f>
        <v>0</v>
      </c>
      <c r="O133" s="63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81" t="str">
        <f>IF(tblMovimientos[[#This Row],[Cuenta Bancaria]]="","",_xlfn.XLOOKUP(tblMovimientos[[#This Row],[Cuenta Bancaria]],Cuentas!$C:$C,Cuentas!$A:$A,"No encontrado"))</f>
        <v>SSP Group</v>
      </c>
      <c r="R133" s="81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3" t="str">
        <f>IF(tblMovimientos[[#This Row],[Tipo de Movimiento]]="Ingreso",tblMovimientos[[#This Row],[Monto (S/)]],"0")</f>
        <v>0</v>
      </c>
      <c r="O134" s="63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81" t="str">
        <f>IF(tblMovimientos[[#This Row],[Cuenta Bancaria]]="","",_xlfn.XLOOKUP(tblMovimientos[[#This Row],[Cuenta Bancaria]],Cuentas!$C:$C,Cuentas!$A:$A,"No encontrado"))</f>
        <v>SSP Group</v>
      </c>
      <c r="R134" s="81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3" t="str">
        <f>IF(tblMovimientos[[#This Row],[Tipo de Movimiento]]="Ingreso",tblMovimientos[[#This Row],[Monto (S/)]],"0")</f>
        <v>0</v>
      </c>
      <c r="O135" s="63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81" t="str">
        <f>IF(tblMovimientos[[#This Row],[Cuenta Bancaria]]="","",_xlfn.XLOOKUP(tblMovimientos[[#This Row],[Cuenta Bancaria]],Cuentas!$C:$C,Cuentas!$A:$A,"No encontrado"))</f>
        <v>SSP Group</v>
      </c>
      <c r="R135" s="81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3" t="str">
        <f>IF(tblMovimientos[[#This Row],[Tipo de Movimiento]]="Ingreso",tblMovimientos[[#This Row],[Monto (S/)]],"0")</f>
        <v>0</v>
      </c>
      <c r="O136" s="63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81" t="str">
        <f>IF(tblMovimientos[[#This Row],[Cuenta Bancaria]]="","",_xlfn.XLOOKUP(tblMovimientos[[#This Row],[Cuenta Bancaria]],Cuentas!$C:$C,Cuentas!$A:$A,"No encontrado"))</f>
        <v>SSP Group</v>
      </c>
      <c r="R136" s="81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3" t="str">
        <f>IF(tblMovimientos[[#This Row],[Tipo de Movimiento]]="Ingreso",tblMovimientos[[#This Row],[Monto (S/)]],"0")</f>
        <v>0</v>
      </c>
      <c r="O137" s="63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81" t="str">
        <f>IF(tblMovimientos[[#This Row],[Cuenta Bancaria]]="","",_xlfn.XLOOKUP(tblMovimientos[[#This Row],[Cuenta Bancaria]],Cuentas!$C:$C,Cuentas!$A:$A,"No encontrado"))</f>
        <v>SSP Group</v>
      </c>
      <c r="R137" s="81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3" t="str">
        <f>IF(tblMovimientos[[#This Row],[Tipo de Movimiento]]="Ingreso",tblMovimientos[[#This Row],[Monto (S/)]],"0")</f>
        <v>0</v>
      </c>
      <c r="O138" s="63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81" t="str">
        <f>IF(tblMovimientos[[#This Row],[Cuenta Bancaria]]="","",_xlfn.XLOOKUP(tblMovimientos[[#This Row],[Cuenta Bancaria]],Cuentas!$C:$C,Cuentas!$A:$A,"No encontrado"))</f>
        <v>SSP Group</v>
      </c>
      <c r="R138" s="81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3" t="str">
        <f>IF(tblMovimientos[[#This Row],[Tipo de Movimiento]]="Ingreso",tblMovimientos[[#This Row],[Monto (S/)]],"0")</f>
        <v>0</v>
      </c>
      <c r="O139" s="63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81" t="str">
        <f>IF(tblMovimientos[[#This Row],[Cuenta Bancaria]]="","",_xlfn.XLOOKUP(tblMovimientos[[#This Row],[Cuenta Bancaria]],Cuentas!$C:$C,Cuentas!$A:$A,"No encontrado"))</f>
        <v>SSP Group</v>
      </c>
      <c r="R139" s="81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3" t="str">
        <f>IF(tblMovimientos[[#This Row],[Tipo de Movimiento]]="Ingreso",tblMovimientos[[#This Row],[Monto (S/)]],"0")</f>
        <v>0</v>
      </c>
      <c r="O140" s="63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81" t="str">
        <f>IF(tblMovimientos[[#This Row],[Cuenta Bancaria]]="","",_xlfn.XLOOKUP(tblMovimientos[[#This Row],[Cuenta Bancaria]],Cuentas!$C:$C,Cuentas!$A:$A,"No encontrado"))</f>
        <v>SSP Group</v>
      </c>
      <c r="R140" s="81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3" t="str">
        <f>IF(tblMovimientos[[#This Row],[Tipo de Movimiento]]="Ingreso",tblMovimientos[[#This Row],[Monto (S/)]],"0")</f>
        <v>0</v>
      </c>
      <c r="O141" s="63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81" t="str">
        <f>IF(tblMovimientos[[#This Row],[Cuenta Bancaria]]="","",_xlfn.XLOOKUP(tblMovimientos[[#This Row],[Cuenta Bancaria]],Cuentas!$C:$C,Cuentas!$A:$A,"No encontrado"))</f>
        <v>SSP Group</v>
      </c>
      <c r="R141" s="81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3" t="str">
        <f>IF(tblMovimientos[[#This Row],[Tipo de Movimiento]]="Ingreso",tblMovimientos[[#This Row],[Monto (S/)]],"0")</f>
        <v>0</v>
      </c>
      <c r="O142" s="63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81" t="str">
        <f>IF(tblMovimientos[[#This Row],[Cuenta Bancaria]]="","",_xlfn.XLOOKUP(tblMovimientos[[#This Row],[Cuenta Bancaria]],Cuentas!$C:$C,Cuentas!$A:$A,"No encontrado"))</f>
        <v>SSP Group</v>
      </c>
      <c r="R142" s="81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3">
        <f>IF(tblMovimientos[[#This Row],[Tipo de Movimiento]]="Ingreso",tblMovimientos[[#This Row],[Monto (S/)]],"0")</f>
        <v>50000</v>
      </c>
      <c r="O143" s="63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81" t="str">
        <f>IF(tblMovimientos[[#This Row],[Cuenta Bancaria]]="","",_xlfn.XLOOKUP(tblMovimientos[[#This Row],[Cuenta Bancaria]],Cuentas!$C:$C,Cuentas!$A:$A,"No encontrado"))</f>
        <v>Trust</v>
      </c>
      <c r="R143" s="81" t="str">
        <f>TRIM(_xlfn.XLOOKUP(tblMovimientos[[#This Row],[Cuenta Bancaria]],Cuentas!$C:$C,Cuentas!$B:$B,""))</f>
        <v/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3" t="str">
        <f>IF(tblMovimientos[[#This Row],[Tipo de Movimiento]]="Ingreso",tblMovimientos[[#This Row],[Monto (S/)]],"0")</f>
        <v>0</v>
      </c>
      <c r="O144" s="63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81" t="str">
        <f>IF(tblMovimientos[[#This Row],[Cuenta Bancaria]]="","",_xlfn.XLOOKUP(tblMovimientos[[#This Row],[Cuenta Bancaria]],Cuentas!$C:$C,Cuentas!$A:$A,"No encontrado"))</f>
        <v>Trust</v>
      </c>
      <c r="R144" s="81" t="str">
        <f>TRIM(_xlfn.XLOOKUP(tblMovimientos[[#This Row],[Cuenta Bancaria]],Cuentas!$C:$C,Cuentas!$B:$B,""))</f>
        <v/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3">
        <f>IF(tblMovimientos[[#This Row],[Tipo de Movimiento]]="Ingreso",tblMovimientos[[#This Row],[Monto (S/)]],"0")</f>
        <v>2200</v>
      </c>
      <c r="O145" s="63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81" t="str">
        <f>IF(tblMovimientos[[#This Row],[Cuenta Bancaria]]="","",_xlfn.XLOOKUP(tblMovimientos[[#This Row],[Cuenta Bancaria]],Cuentas!$C:$C,Cuentas!$A:$A,"No encontrado"))</f>
        <v>SSP Group</v>
      </c>
      <c r="R145" s="81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3">
        <f>IF(tblMovimientos[[#This Row],[Tipo de Movimiento]]="Ingreso",tblMovimientos[[#This Row],[Monto (S/)]],"0")</f>
        <v>25274</v>
      </c>
      <c r="O146" s="63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81" t="str">
        <f>IF(tblMovimientos[[#This Row],[Cuenta Bancaria]]="","",_xlfn.XLOOKUP(tblMovimientos[[#This Row],[Cuenta Bancaria]],Cuentas!$C:$C,Cuentas!$A:$A,"No encontrado"))</f>
        <v>SSP Group</v>
      </c>
      <c r="R146" s="81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3">
        <f>IF(tblMovimientos[[#This Row],[Tipo de Movimiento]]="Ingreso",tblMovimientos[[#This Row],[Monto (S/)]],"0")</f>
        <v>650000</v>
      </c>
      <c r="O147" s="63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81" t="str">
        <f>IF(tblMovimientos[[#This Row],[Cuenta Bancaria]]="","",_xlfn.XLOOKUP(tblMovimientos[[#This Row],[Cuenta Bancaria]],Cuentas!$C:$C,Cuentas!$A:$A,"No encontrado"))</f>
        <v>SSP Group</v>
      </c>
      <c r="R147" s="81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3" t="str">
        <f>IF(tblMovimientos[[#This Row],[Tipo de Movimiento]]="Ingreso",tblMovimientos[[#This Row],[Monto (S/)]],"0")</f>
        <v>0</v>
      </c>
      <c r="O148" s="63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81" t="str">
        <f>IF(tblMovimientos[[#This Row],[Cuenta Bancaria]]="","",_xlfn.XLOOKUP(tblMovimientos[[#This Row],[Cuenta Bancaria]],Cuentas!$C:$C,Cuentas!$A:$A,"No encontrado"))</f>
        <v>SSP Group</v>
      </c>
      <c r="R148" s="81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3" t="str">
        <f>IF(tblMovimientos[[#This Row],[Tipo de Movimiento]]="Ingreso",tblMovimientos[[#This Row],[Monto (S/)]],"0")</f>
        <v>0</v>
      </c>
      <c r="O149" s="63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81" t="str">
        <f>IF(tblMovimientos[[#This Row],[Cuenta Bancaria]]="","",_xlfn.XLOOKUP(tblMovimientos[[#This Row],[Cuenta Bancaria]],Cuentas!$C:$C,Cuentas!$A:$A,"No encontrado"))</f>
        <v>SSP Group</v>
      </c>
      <c r="R149" s="81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3" t="str">
        <f>IF(tblMovimientos[[#This Row],[Tipo de Movimiento]]="Ingreso",tblMovimientos[[#This Row],[Monto (S/)]],"0")</f>
        <v>0</v>
      </c>
      <c r="O150" s="63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81" t="str">
        <f>IF(tblMovimientos[[#This Row],[Cuenta Bancaria]]="","",_xlfn.XLOOKUP(tblMovimientos[[#This Row],[Cuenta Bancaria]],Cuentas!$C:$C,Cuentas!$A:$A,"No encontrado"))</f>
        <v>SSP Group</v>
      </c>
      <c r="R150" s="81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3" t="str">
        <f>IF(tblMovimientos[[#This Row],[Tipo de Movimiento]]="Ingreso",tblMovimientos[[#This Row],[Monto (S/)]],"0")</f>
        <v>0</v>
      </c>
      <c r="O151" s="63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81" t="str">
        <f>IF(tblMovimientos[[#This Row],[Cuenta Bancaria]]="","",_xlfn.XLOOKUP(tblMovimientos[[#This Row],[Cuenta Bancaria]],Cuentas!$C:$C,Cuentas!$A:$A,"No encontrado"))</f>
        <v>SSP Group</v>
      </c>
      <c r="R151" s="81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3" t="str">
        <f>IF(tblMovimientos[[#This Row],[Tipo de Movimiento]]="Ingreso",tblMovimientos[[#This Row],[Monto (S/)]],"0")</f>
        <v>0</v>
      </c>
      <c r="O152" s="63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81" t="str">
        <f>IF(tblMovimientos[[#This Row],[Cuenta Bancaria]]="","",_xlfn.XLOOKUP(tblMovimientos[[#This Row],[Cuenta Bancaria]],Cuentas!$C:$C,Cuentas!$A:$A,"No encontrado"))</f>
        <v>SSP Group</v>
      </c>
      <c r="R152" s="81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3" t="str">
        <f>IF(tblMovimientos[[#This Row],[Tipo de Movimiento]]="Ingreso",tblMovimientos[[#This Row],[Monto (S/)]],"0")</f>
        <v>0</v>
      </c>
      <c r="O153" s="63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81" t="str">
        <f>IF(tblMovimientos[[#This Row],[Cuenta Bancaria]]="","",_xlfn.XLOOKUP(tblMovimientos[[#This Row],[Cuenta Bancaria]],Cuentas!$C:$C,Cuentas!$A:$A,"No encontrado"))</f>
        <v>SSP Group</v>
      </c>
      <c r="R153" s="81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3" t="str">
        <f>IF(tblMovimientos[[#This Row],[Tipo de Movimiento]]="Ingreso",tblMovimientos[[#This Row],[Monto (S/)]],"0")</f>
        <v>0</v>
      </c>
      <c r="O154" s="63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81" t="str">
        <f>IF(tblMovimientos[[#This Row],[Cuenta Bancaria]]="","",_xlfn.XLOOKUP(tblMovimientos[[#This Row],[Cuenta Bancaria]],Cuentas!$C:$C,Cuentas!$A:$A,"No encontrado"))</f>
        <v>SSP Group</v>
      </c>
      <c r="R154" s="81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3" t="str">
        <f>IF(tblMovimientos[[#This Row],[Tipo de Movimiento]]="Ingreso",tblMovimientos[[#This Row],[Monto (S/)]],"0")</f>
        <v>0</v>
      </c>
      <c r="O155" s="63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81" t="str">
        <f>IF(tblMovimientos[[#This Row],[Cuenta Bancaria]]="","",_xlfn.XLOOKUP(tblMovimientos[[#This Row],[Cuenta Bancaria]],Cuentas!$C:$C,Cuentas!$A:$A,"No encontrado"))</f>
        <v>SSP Group</v>
      </c>
      <c r="R155" s="81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3" t="str">
        <f>IF(tblMovimientos[[#This Row],[Tipo de Movimiento]]="Ingreso",tblMovimientos[[#This Row],[Monto (S/)]],"0")</f>
        <v>0</v>
      </c>
      <c r="O156" s="63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81" t="str">
        <f>IF(tblMovimientos[[#This Row],[Cuenta Bancaria]]="","",_xlfn.XLOOKUP(tblMovimientos[[#This Row],[Cuenta Bancaria]],Cuentas!$C:$C,Cuentas!$A:$A,"No encontrado"))</f>
        <v>SSP Group</v>
      </c>
      <c r="R156" s="81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3" t="str">
        <f>IF(tblMovimientos[[#This Row],[Tipo de Movimiento]]="Ingreso",tblMovimientos[[#This Row],[Monto (S/)]],"0")</f>
        <v>0</v>
      </c>
      <c r="O157" s="63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81" t="str">
        <f>IF(tblMovimientos[[#This Row],[Cuenta Bancaria]]="","",_xlfn.XLOOKUP(tblMovimientos[[#This Row],[Cuenta Bancaria]],Cuentas!$C:$C,Cuentas!$A:$A,"No encontrado"))</f>
        <v>SSP Group</v>
      </c>
      <c r="R157" s="81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3" t="str">
        <f>IF(tblMovimientos[[#This Row],[Tipo de Movimiento]]="Ingreso",tblMovimientos[[#This Row],[Monto (S/)]],"0")</f>
        <v>0</v>
      </c>
      <c r="O158" s="63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81" t="str">
        <f>IF(tblMovimientos[[#This Row],[Cuenta Bancaria]]="","",_xlfn.XLOOKUP(tblMovimientos[[#This Row],[Cuenta Bancaria]],Cuentas!$C:$C,Cuentas!$A:$A,"No encontrado"))</f>
        <v>SSP Group</v>
      </c>
      <c r="R158" s="81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3" t="str">
        <f>IF(tblMovimientos[[#This Row],[Tipo de Movimiento]]="Ingreso",tblMovimientos[[#This Row],[Monto (S/)]],"0")</f>
        <v>0</v>
      </c>
      <c r="O159" s="63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81" t="str">
        <f>IF(tblMovimientos[[#This Row],[Cuenta Bancaria]]="","",_xlfn.XLOOKUP(tblMovimientos[[#This Row],[Cuenta Bancaria]],Cuentas!$C:$C,Cuentas!$A:$A,"No encontrado"))</f>
        <v>SSP Group</v>
      </c>
      <c r="R159" s="81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3" t="str">
        <f>IF(tblMovimientos[[#This Row],[Tipo de Movimiento]]="Ingreso",tblMovimientos[[#This Row],[Monto (S/)]],"0")</f>
        <v>0</v>
      </c>
      <c r="O160" s="63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81" t="str">
        <f>IF(tblMovimientos[[#This Row],[Cuenta Bancaria]]="","",_xlfn.XLOOKUP(tblMovimientos[[#This Row],[Cuenta Bancaria]],Cuentas!$C:$C,Cuentas!$A:$A,"No encontrado"))</f>
        <v>SSP Group</v>
      </c>
      <c r="R160" s="81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3" t="str">
        <f>IF(tblMovimientos[[#This Row],[Tipo de Movimiento]]="Ingreso",tblMovimientos[[#This Row],[Monto (S/)]],"0")</f>
        <v>0</v>
      </c>
      <c r="O161" s="63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81" t="str">
        <f>IF(tblMovimientos[[#This Row],[Cuenta Bancaria]]="","",_xlfn.XLOOKUP(tblMovimientos[[#This Row],[Cuenta Bancaria]],Cuentas!$C:$C,Cuentas!$A:$A,"No encontrado"))</f>
        <v>SSP Group</v>
      </c>
      <c r="R161" s="81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3" t="str">
        <f>IF(tblMovimientos[[#This Row],[Tipo de Movimiento]]="Ingreso",tblMovimientos[[#This Row],[Monto (S/)]],"0")</f>
        <v>0</v>
      </c>
      <c r="O162" s="63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81" t="str">
        <f>IF(tblMovimientos[[#This Row],[Cuenta Bancaria]]="","",_xlfn.XLOOKUP(tblMovimientos[[#This Row],[Cuenta Bancaria]],Cuentas!$C:$C,Cuentas!$A:$A,"No encontrado"))</f>
        <v>SSP Group</v>
      </c>
      <c r="R162" s="81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3">
        <f>IF(tblMovimientos[[#This Row],[Tipo de Movimiento]]="Ingreso",tblMovimientos[[#This Row],[Monto (S/)]],"0")</f>
        <v>350000</v>
      </c>
      <c r="O163" s="63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81" t="str">
        <f>IF(tblMovimientos[[#This Row],[Cuenta Bancaria]]="","",_xlfn.XLOOKUP(tblMovimientos[[#This Row],[Cuenta Bancaria]],Cuentas!$C:$C,Cuentas!$A:$A,"No encontrado"))</f>
        <v>SSP Group</v>
      </c>
      <c r="R163" s="81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3" t="str">
        <f>IF(tblMovimientos[[#This Row],[Tipo de Movimiento]]="Ingreso",tblMovimientos[[#This Row],[Monto (S/)]],"0")</f>
        <v>0</v>
      </c>
      <c r="O164" s="63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81" t="str">
        <f>IF(tblMovimientos[[#This Row],[Cuenta Bancaria]]="","",_xlfn.XLOOKUP(tblMovimientos[[#This Row],[Cuenta Bancaria]],Cuentas!$C:$C,Cuentas!$A:$A,"No encontrado"))</f>
        <v>SSP Group</v>
      </c>
      <c r="R164" s="81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3" t="str">
        <f>IF(tblMovimientos[[#This Row],[Tipo de Movimiento]]="Ingreso",tblMovimientos[[#This Row],[Monto (S/)]],"0")</f>
        <v>0</v>
      </c>
      <c r="O165" s="63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81" t="str">
        <f>IF(tblMovimientos[[#This Row],[Cuenta Bancaria]]="","",_xlfn.XLOOKUP(tblMovimientos[[#This Row],[Cuenta Bancaria]],Cuentas!$C:$C,Cuentas!$A:$A,"No encontrado"))</f>
        <v>SSP Group</v>
      </c>
      <c r="R165" s="81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3" t="str">
        <f>IF(tblMovimientos[[#This Row],[Tipo de Movimiento]]="Ingreso",tblMovimientos[[#This Row],[Monto (S/)]],"0")</f>
        <v>0</v>
      </c>
      <c r="O166" s="63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81" t="str">
        <f>IF(tblMovimientos[[#This Row],[Cuenta Bancaria]]="","",_xlfn.XLOOKUP(tblMovimientos[[#This Row],[Cuenta Bancaria]],Cuentas!$C:$C,Cuentas!$A:$A,"No encontrado"))</f>
        <v>SSP Group</v>
      </c>
      <c r="R166" s="81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3" t="str">
        <f>IF(tblMovimientos[[#This Row],[Tipo de Movimiento]]="Ingreso",tblMovimientos[[#This Row],[Monto (S/)]],"0")</f>
        <v>0</v>
      </c>
      <c r="O167" s="63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81" t="str">
        <f>IF(tblMovimientos[[#This Row],[Cuenta Bancaria]]="","",_xlfn.XLOOKUP(tblMovimientos[[#This Row],[Cuenta Bancaria]],Cuentas!$C:$C,Cuentas!$A:$A,"No encontrado"))</f>
        <v>SSP Group</v>
      </c>
      <c r="R167" s="81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3" t="str">
        <f>IF(tblMovimientos[[#This Row],[Tipo de Movimiento]]="Ingreso",tblMovimientos[[#This Row],[Monto (S/)]],"0")</f>
        <v>0</v>
      </c>
      <c r="O168" s="63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81" t="str">
        <f>IF(tblMovimientos[[#This Row],[Cuenta Bancaria]]="","",_xlfn.XLOOKUP(tblMovimientos[[#This Row],[Cuenta Bancaria]],Cuentas!$C:$C,Cuentas!$A:$A,"No encontrado"))</f>
        <v>SSP Group</v>
      </c>
      <c r="R168" s="81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3" t="str">
        <f>IF(tblMovimientos[[#This Row],[Tipo de Movimiento]]="Ingreso",tblMovimientos[[#This Row],[Monto (S/)]],"0")</f>
        <v>0</v>
      </c>
      <c r="O169" s="63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81" t="str">
        <f>IF(tblMovimientos[[#This Row],[Cuenta Bancaria]]="","",_xlfn.XLOOKUP(tblMovimientos[[#This Row],[Cuenta Bancaria]],Cuentas!$C:$C,Cuentas!$A:$A,"No encontrado"))</f>
        <v>SSP Group</v>
      </c>
      <c r="R169" s="81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3">
        <f>IF(tblMovimientos[[#This Row],[Tipo de Movimiento]]="Ingreso",tblMovimientos[[#This Row],[Monto (S/)]],"0")</f>
        <v>600000</v>
      </c>
      <c r="O170" s="63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81" t="str">
        <f>IF(tblMovimientos[[#This Row],[Cuenta Bancaria]]="","",_xlfn.XLOOKUP(tblMovimientos[[#This Row],[Cuenta Bancaria]],Cuentas!$C:$C,Cuentas!$A:$A,"No encontrado"))</f>
        <v>SSP Group</v>
      </c>
      <c r="R170" s="81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3">
        <f>IF(tblMovimientos[[#This Row],[Tipo de Movimiento]]="Ingreso",tblMovimientos[[#This Row],[Monto (S/)]],"0")</f>
        <v>75000</v>
      </c>
      <c r="O171" s="63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81" t="str">
        <f>IF(tblMovimientos[[#This Row],[Cuenta Bancaria]]="","",_xlfn.XLOOKUP(tblMovimientos[[#This Row],[Cuenta Bancaria]],Cuentas!$C:$C,Cuentas!$A:$A,"No encontrado"))</f>
        <v>SSP Group</v>
      </c>
      <c r="R171" s="81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3" t="str">
        <f>IF(tblMovimientos[[#This Row],[Tipo de Movimiento]]="Ingreso",tblMovimientos[[#This Row],[Monto (S/)]],"0")</f>
        <v>0</v>
      </c>
      <c r="O172" s="63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81" t="str">
        <f>IF(tblMovimientos[[#This Row],[Cuenta Bancaria]]="","",_xlfn.XLOOKUP(tblMovimientos[[#This Row],[Cuenta Bancaria]],Cuentas!$C:$C,Cuentas!$A:$A,"No encontrado"))</f>
        <v>SSP Group</v>
      </c>
      <c r="R172" s="81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3">
        <f>IF(tblMovimientos[[#This Row],[Tipo de Movimiento]]="Ingreso",tblMovimientos[[#This Row],[Monto (S/)]],"0")</f>
        <v>110832.53</v>
      </c>
      <c r="O173" s="63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81" t="str">
        <f>IF(tblMovimientos[[#This Row],[Cuenta Bancaria]]="","",_xlfn.XLOOKUP(tblMovimientos[[#This Row],[Cuenta Bancaria]],Cuentas!$C:$C,Cuentas!$A:$A,"No encontrado"))</f>
        <v>SSP Group</v>
      </c>
      <c r="R173" s="81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3">
        <f>IF(tblMovimientos[[#This Row],[Tipo de Movimiento]]="Ingreso",tblMovimientos[[#This Row],[Monto (S/)]],"0")</f>
        <v>600000</v>
      </c>
      <c r="O174" s="63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81" t="str">
        <f>IF(tblMovimientos[[#This Row],[Cuenta Bancaria]]="","",_xlfn.XLOOKUP(tblMovimientos[[#This Row],[Cuenta Bancaria]],Cuentas!$C:$C,Cuentas!$A:$A,"No encontrado"))</f>
        <v>SSP Group</v>
      </c>
      <c r="R174" s="81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3">
        <f>IF(tblMovimientos[[#This Row],[Tipo de Movimiento]]="Ingreso",tblMovimientos[[#This Row],[Monto (S/)]],"0")</f>
        <v>17540.53</v>
      </c>
      <c r="O175" s="63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81" t="str">
        <f>IF(tblMovimientos[[#This Row],[Cuenta Bancaria]]="","",_xlfn.XLOOKUP(tblMovimientos[[#This Row],[Cuenta Bancaria]],Cuentas!$C:$C,Cuentas!$A:$A,"No encontrado"))</f>
        <v>SSP Group</v>
      </c>
      <c r="R175" s="81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3">
        <f>IF(tblMovimientos[[#This Row],[Tipo de Movimiento]]="Ingreso",tblMovimientos[[#This Row],[Monto (S/)]],"0")</f>
        <v>6217.37</v>
      </c>
      <c r="O176" s="63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81" t="str">
        <f>IF(tblMovimientos[[#This Row],[Cuenta Bancaria]]="","",_xlfn.XLOOKUP(tblMovimientos[[#This Row],[Cuenta Bancaria]],Cuentas!$C:$C,Cuentas!$A:$A,"No encontrado"))</f>
        <v>SSP Group</v>
      </c>
      <c r="R176" s="81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3">
        <f>IF(tblMovimientos[[#This Row],[Tipo de Movimiento]]="Ingreso",tblMovimientos[[#This Row],[Monto (S/)]],"0")</f>
        <v>4400</v>
      </c>
      <c r="O177" s="63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81" t="str">
        <f>IF(tblMovimientos[[#This Row],[Cuenta Bancaria]]="","",_xlfn.XLOOKUP(tblMovimientos[[#This Row],[Cuenta Bancaria]],Cuentas!$C:$C,Cuentas!$A:$A,"No encontrado"))</f>
        <v>SSP Group</v>
      </c>
      <c r="R177" s="81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3" t="str">
        <f>IF(tblMovimientos[[#This Row],[Tipo de Movimiento]]="Ingreso",tblMovimientos[[#This Row],[Monto (S/)]],"0")</f>
        <v>0</v>
      </c>
      <c r="O178" s="63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81" t="str">
        <f>IF(tblMovimientos[[#This Row],[Cuenta Bancaria]]="","",_xlfn.XLOOKUP(tblMovimientos[[#This Row],[Cuenta Bancaria]],Cuentas!$C:$C,Cuentas!$A:$A,"No encontrado"))</f>
        <v>Trust</v>
      </c>
      <c r="R178" s="81" t="str">
        <f>TRIM(_xlfn.XLOOKUP(tblMovimientos[[#This Row],[Cuenta Bancaria]],Cuentas!$C:$C,Cuentas!$B:$B,""))</f>
        <v/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3">
        <f>IF(tblMovimientos[[#This Row],[Tipo de Movimiento]]="Ingreso",tblMovimientos[[#This Row],[Monto (S/)]],"0")</f>
        <v>10000</v>
      </c>
      <c r="O179" s="63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81" t="str">
        <f>IF(tblMovimientos[[#This Row],[Cuenta Bancaria]]="","",_xlfn.XLOOKUP(tblMovimientos[[#This Row],[Cuenta Bancaria]],Cuentas!$C:$C,Cuentas!$A:$A,"No encontrado"))</f>
        <v>SSP Group</v>
      </c>
      <c r="R179" s="81" t="str">
        <f>TRIM(_xlfn.XLOOKUP(tblMovimientos[[#This Row],[Cuenta Bancaria]],Cuentas!$C:$C,Cuentas!$B:$B,""))</f>
        <v/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3" t="str">
        <f>IF(tblMovimientos[[#This Row],[Tipo de Movimiento]]="Ingreso",tblMovimientos[[#This Row],[Monto (S/)]],"0")</f>
        <v>0</v>
      </c>
      <c r="O180" s="63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81" t="str">
        <f>IF(tblMovimientos[[#This Row],[Cuenta Bancaria]]="","",_xlfn.XLOOKUP(tblMovimientos[[#This Row],[Cuenta Bancaria]],Cuentas!$C:$C,Cuentas!$A:$A,"No encontrado"))</f>
        <v>SSP Group</v>
      </c>
      <c r="R180" s="81" t="str">
        <f>TRIM(_xlfn.XLOOKUP(tblMovimientos[[#This Row],[Cuenta Bancaria]],Cuentas!$C:$C,Cuentas!$B:$B,""))</f>
        <v/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3" t="str">
        <f>IF(tblMovimientos[[#This Row],[Tipo de Movimiento]]="Ingreso",tblMovimientos[[#This Row],[Monto (S/)]],"0")</f>
        <v>0</v>
      </c>
      <c r="O181" s="63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81" t="str">
        <f>IF(tblMovimientos[[#This Row],[Cuenta Bancaria]]="","",_xlfn.XLOOKUP(tblMovimientos[[#This Row],[Cuenta Bancaria]],Cuentas!$C:$C,Cuentas!$A:$A,"No encontrado"))</f>
        <v>SSP Group</v>
      </c>
      <c r="R181" s="81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3" t="str">
        <f>IF(tblMovimientos[[#This Row],[Tipo de Movimiento]]="Ingreso",tblMovimientos[[#This Row],[Monto (S/)]],"0")</f>
        <v>0</v>
      </c>
      <c r="O182" s="63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81" t="str">
        <f>IF(tblMovimientos[[#This Row],[Cuenta Bancaria]]="","",_xlfn.XLOOKUP(tblMovimientos[[#This Row],[Cuenta Bancaria]],Cuentas!$C:$C,Cuentas!$A:$A,"No encontrado"))</f>
        <v>SSP Group</v>
      </c>
      <c r="R182" s="81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3">
        <f>IF(tblMovimientos[[#This Row],[Tipo de Movimiento]]="Ingreso",tblMovimientos[[#This Row],[Monto (S/)]],"0")</f>
        <v>10000</v>
      </c>
      <c r="O183" s="63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81" t="str">
        <f>IF(tblMovimientos[[#This Row],[Cuenta Bancaria]]="","",_xlfn.XLOOKUP(tblMovimientos[[#This Row],[Cuenta Bancaria]],Cuentas!$C:$C,Cuentas!$A:$A,"No encontrado"))</f>
        <v>SSP Group</v>
      </c>
      <c r="R183" s="81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3" t="str">
        <f>IF(tblMovimientos[[#This Row],[Tipo de Movimiento]]="Ingreso",tblMovimientos[[#This Row],[Monto (S/)]],"0")</f>
        <v>0</v>
      </c>
      <c r="O184" s="63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81" t="str">
        <f>IF(tblMovimientos[[#This Row],[Cuenta Bancaria]]="","",_xlfn.XLOOKUP(tblMovimientos[[#This Row],[Cuenta Bancaria]],Cuentas!$C:$C,Cuentas!$A:$A,"No encontrado"))</f>
        <v>SSP Group</v>
      </c>
      <c r="R184" s="81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3">
        <f>IF(tblMovimientos[[#This Row],[Tipo de Movimiento]]="Ingreso",tblMovimientos[[#This Row],[Monto (S/)]],"0")</f>
        <v>21979.11</v>
      </c>
      <c r="O185" s="63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81" t="str">
        <f>IF(tblMovimientos[[#This Row],[Cuenta Bancaria]]="","",_xlfn.XLOOKUP(tblMovimientos[[#This Row],[Cuenta Bancaria]],Cuentas!$C:$C,Cuentas!$A:$A,"No encontrado"))</f>
        <v>SSP Group</v>
      </c>
      <c r="R185" s="81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3" t="str">
        <f>IF(tblMovimientos[[#This Row],[Tipo de Movimiento]]="Ingreso",tblMovimientos[[#This Row],[Monto (S/)]],"0")</f>
        <v>0</v>
      </c>
      <c r="O186" s="63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81" t="str">
        <f>IF(tblMovimientos[[#This Row],[Cuenta Bancaria]]="","",_xlfn.XLOOKUP(tblMovimientos[[#This Row],[Cuenta Bancaria]],Cuentas!$C:$C,Cuentas!$A:$A,"No encontrado"))</f>
        <v>SSP Group</v>
      </c>
      <c r="R186" s="81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3" t="str">
        <f>IF(tblMovimientos[[#This Row],[Tipo de Movimiento]]="Ingreso",tblMovimientos[[#This Row],[Monto (S/)]],"0")</f>
        <v>0</v>
      </c>
      <c r="O187" s="63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81" t="str">
        <f>IF(tblMovimientos[[#This Row],[Cuenta Bancaria]]="","",_xlfn.XLOOKUP(tblMovimientos[[#This Row],[Cuenta Bancaria]],Cuentas!$C:$C,Cuentas!$A:$A,"No encontrado"))</f>
        <v>SSP Group</v>
      </c>
      <c r="R187" s="81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3">
        <f>IF(tblMovimientos[[#This Row],[Tipo de Movimiento]]="Ingreso",tblMovimientos[[#This Row],[Monto (S/)]],"0")</f>
        <v>68444.820000000007</v>
      </c>
      <c r="O188" s="63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81" t="str">
        <f>IF(tblMovimientos[[#This Row],[Cuenta Bancaria]]="","",_xlfn.XLOOKUP(tblMovimientos[[#This Row],[Cuenta Bancaria]],Cuentas!$C:$C,Cuentas!$A:$A,"No encontrado"))</f>
        <v>SSP Group</v>
      </c>
      <c r="R188" s="81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3">
        <f>IF(tblMovimientos[[#This Row],[Tipo de Movimiento]]="Ingreso",tblMovimientos[[#This Row],[Monto (S/)]],"0")</f>
        <v>20000</v>
      </c>
      <c r="O189" s="63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81" t="str">
        <f>IF(tblMovimientos[[#This Row],[Cuenta Bancaria]]="","",_xlfn.XLOOKUP(tblMovimientos[[#This Row],[Cuenta Bancaria]],Cuentas!$C:$C,Cuentas!$A:$A,"No encontrado"))</f>
        <v>SSP Group</v>
      </c>
      <c r="R189" s="81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3">
        <f>IF(tblMovimientos[[#This Row],[Tipo de Movimiento]]="Ingreso",tblMovimientos[[#This Row],[Monto (S/)]],"0")</f>
        <v>2637.12</v>
      </c>
      <c r="O190" s="63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81" t="str">
        <f>IF(tblMovimientos[[#This Row],[Cuenta Bancaria]]="","",_xlfn.XLOOKUP(tblMovimientos[[#This Row],[Cuenta Bancaria]],Cuentas!$C:$C,Cuentas!$A:$A,"No encontrado"))</f>
        <v>SSP Group</v>
      </c>
      <c r="R190" s="81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3" t="str">
        <f>IF(tblMovimientos[[#This Row],[Tipo de Movimiento]]="Ingreso",tblMovimientos[[#This Row],[Monto (S/)]],"0")</f>
        <v>0</v>
      </c>
      <c r="O191" s="63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81" t="str">
        <f>IF(tblMovimientos[[#This Row],[Cuenta Bancaria]]="","",_xlfn.XLOOKUP(tblMovimientos[[#This Row],[Cuenta Bancaria]],Cuentas!$C:$C,Cuentas!$A:$A,"No encontrado"))</f>
        <v>SSP Group</v>
      </c>
      <c r="R191" s="81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3">
        <f>IF(tblMovimientos[[#This Row],[Tipo de Movimiento]]="Ingreso",tblMovimientos[[#This Row],[Monto (S/)]],"0")</f>
        <v>1200000</v>
      </c>
      <c r="O192" s="63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81" t="str">
        <f>IF(tblMovimientos[[#This Row],[Cuenta Bancaria]]="","",_xlfn.XLOOKUP(tblMovimientos[[#This Row],[Cuenta Bancaria]],Cuentas!$C:$C,Cuentas!$A:$A,"No encontrado"))</f>
        <v>SSP Group</v>
      </c>
      <c r="R192" s="81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3" t="str">
        <f>IF(tblMovimientos[[#This Row],[Tipo de Movimiento]]="Ingreso",tblMovimientos[[#This Row],[Monto (S/)]],"0")</f>
        <v>0</v>
      </c>
      <c r="O193" s="63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81" t="str">
        <f>IF(tblMovimientos[[#This Row],[Cuenta Bancaria]]="","",_xlfn.XLOOKUP(tblMovimientos[[#This Row],[Cuenta Bancaria]],Cuentas!$C:$C,Cuentas!$A:$A,"No encontrado"))</f>
        <v>SSP Group</v>
      </c>
      <c r="R193" s="81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3" t="str">
        <f>IF(tblMovimientos[[#This Row],[Tipo de Movimiento]]="Ingreso",tblMovimientos[[#This Row],[Monto (S/)]],"0")</f>
        <v>0</v>
      </c>
      <c r="O194" s="63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81" t="str">
        <f>IF(tblMovimientos[[#This Row],[Cuenta Bancaria]]="","",_xlfn.XLOOKUP(tblMovimientos[[#This Row],[Cuenta Bancaria]],Cuentas!$C:$C,Cuentas!$A:$A,"No encontrado"))</f>
        <v>SSP Group</v>
      </c>
      <c r="R194" s="81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3" t="str">
        <f>IF(tblMovimientos[[#This Row],[Tipo de Movimiento]]="Ingreso",tblMovimientos[[#This Row],[Monto (S/)]],"0")</f>
        <v>0</v>
      </c>
      <c r="O195" s="63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81" t="str">
        <f>IF(tblMovimientos[[#This Row],[Cuenta Bancaria]]="","",_xlfn.XLOOKUP(tblMovimientos[[#This Row],[Cuenta Bancaria]],Cuentas!$C:$C,Cuentas!$A:$A,"No encontrado"))</f>
        <v>SSP Group</v>
      </c>
      <c r="R195" s="81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3" t="str">
        <f>IF(tblMovimientos[[#This Row],[Tipo de Movimiento]]="Ingreso",tblMovimientos[[#This Row],[Monto (S/)]],"0")</f>
        <v>0</v>
      </c>
      <c r="O196" s="63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81" t="str">
        <f>IF(tblMovimientos[[#This Row],[Cuenta Bancaria]]="","",_xlfn.XLOOKUP(tblMovimientos[[#This Row],[Cuenta Bancaria]],Cuentas!$C:$C,Cuentas!$A:$A,"No encontrado"))</f>
        <v>SSP Group</v>
      </c>
      <c r="R196" s="81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3" t="str">
        <f>IF(tblMovimientos[[#This Row],[Tipo de Movimiento]]="Ingreso",tblMovimientos[[#This Row],[Monto (S/)]],"0")</f>
        <v>0</v>
      </c>
      <c r="O197" s="63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81" t="str">
        <f>IF(tblMovimientos[[#This Row],[Cuenta Bancaria]]="","",_xlfn.XLOOKUP(tblMovimientos[[#This Row],[Cuenta Bancaria]],Cuentas!$C:$C,Cuentas!$A:$A,"No encontrado"))</f>
        <v>SSP Group</v>
      </c>
      <c r="R197" s="81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3" t="str">
        <f>IF(tblMovimientos[[#This Row],[Tipo de Movimiento]]="Ingreso",tblMovimientos[[#This Row],[Monto (S/)]],"0")</f>
        <v>0</v>
      </c>
      <c r="O198" s="63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81" t="str">
        <f>IF(tblMovimientos[[#This Row],[Cuenta Bancaria]]="","",_xlfn.XLOOKUP(tblMovimientos[[#This Row],[Cuenta Bancaria]],Cuentas!$C:$C,Cuentas!$A:$A,"No encontrado"))</f>
        <v>SSP Group</v>
      </c>
      <c r="R198" s="81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3" t="str">
        <f>IF(tblMovimientos[[#This Row],[Tipo de Movimiento]]="Ingreso",tblMovimientos[[#This Row],[Monto (S/)]],"0")</f>
        <v>0</v>
      </c>
      <c r="O199" s="63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81" t="str">
        <f>IF(tblMovimientos[[#This Row],[Cuenta Bancaria]]="","",_xlfn.XLOOKUP(tblMovimientos[[#This Row],[Cuenta Bancaria]],Cuentas!$C:$C,Cuentas!$A:$A,"No encontrado"))</f>
        <v>SSP Group</v>
      </c>
      <c r="R199" s="81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3">
        <f>IF(tblMovimientos[[#This Row],[Tipo de Movimiento]]="Ingreso",tblMovimientos[[#This Row],[Monto (S/)]],"0")</f>
        <v>300000</v>
      </c>
      <c r="O200" s="63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81" t="str">
        <f>IF(tblMovimientos[[#This Row],[Cuenta Bancaria]]="","",_xlfn.XLOOKUP(tblMovimientos[[#This Row],[Cuenta Bancaria]],Cuentas!$C:$C,Cuentas!$A:$A,"No encontrado"))</f>
        <v>SSP Group</v>
      </c>
      <c r="R200" s="81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3" t="str">
        <f>IF(tblMovimientos[[#This Row],[Tipo de Movimiento]]="Ingreso",tblMovimientos[[#This Row],[Monto (S/)]],"0")</f>
        <v>0</v>
      </c>
      <c r="O201" s="63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81" t="str">
        <f>IF(tblMovimientos[[#This Row],[Cuenta Bancaria]]="","",_xlfn.XLOOKUP(tblMovimientos[[#This Row],[Cuenta Bancaria]],Cuentas!$C:$C,Cuentas!$A:$A,"No encontrado"))</f>
        <v>SSP Group</v>
      </c>
      <c r="R201" s="81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3" t="str">
        <f>IF(tblMovimientos[[#This Row],[Tipo de Movimiento]]="Ingreso",tblMovimientos[[#This Row],[Monto (S/)]],"0")</f>
        <v>0</v>
      </c>
      <c r="O202" s="63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81" t="str">
        <f>IF(tblMovimientos[[#This Row],[Cuenta Bancaria]]="","",_xlfn.XLOOKUP(tblMovimientos[[#This Row],[Cuenta Bancaria]],Cuentas!$C:$C,Cuentas!$A:$A,"No encontrado"))</f>
        <v>SSP Group</v>
      </c>
      <c r="R202" s="81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3" t="str">
        <f>IF(tblMovimientos[[#This Row],[Tipo de Movimiento]]="Ingreso",tblMovimientos[[#This Row],[Monto (S/)]],"0")</f>
        <v>0</v>
      </c>
      <c r="O203" s="63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81" t="str">
        <f>IF(tblMovimientos[[#This Row],[Cuenta Bancaria]]="","",_xlfn.XLOOKUP(tblMovimientos[[#This Row],[Cuenta Bancaria]],Cuentas!$C:$C,Cuentas!$A:$A,"No encontrado"))</f>
        <v>SSP Group</v>
      </c>
      <c r="R203" s="81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3" t="str">
        <f>IF(tblMovimientos[[#This Row],[Tipo de Movimiento]]="Ingreso",tblMovimientos[[#This Row],[Monto (S/)]],"0")</f>
        <v>0</v>
      </c>
      <c r="O204" s="63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81" t="str">
        <f>IF(tblMovimientos[[#This Row],[Cuenta Bancaria]]="","",_xlfn.XLOOKUP(tblMovimientos[[#This Row],[Cuenta Bancaria]],Cuentas!$C:$C,Cuentas!$A:$A,"No encontrado"))</f>
        <v>SSP Group</v>
      </c>
      <c r="R204" s="81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3" t="str">
        <f>IF(tblMovimientos[[#This Row],[Tipo de Movimiento]]="Ingreso",tblMovimientos[[#This Row],[Monto (S/)]],"0")</f>
        <v>0</v>
      </c>
      <c r="O205" s="63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81" t="str">
        <f>IF(tblMovimientos[[#This Row],[Cuenta Bancaria]]="","",_xlfn.XLOOKUP(tblMovimientos[[#This Row],[Cuenta Bancaria]],Cuentas!$C:$C,Cuentas!$A:$A,"No encontrado"))</f>
        <v>SSP Group</v>
      </c>
      <c r="R205" s="81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3" t="str">
        <f>IF(tblMovimientos[[#This Row],[Tipo de Movimiento]]="Ingreso",tblMovimientos[[#This Row],[Monto (S/)]],"0")</f>
        <v>0</v>
      </c>
      <c r="O206" s="63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81" t="str">
        <f>IF(tblMovimientos[[#This Row],[Cuenta Bancaria]]="","",_xlfn.XLOOKUP(tblMovimientos[[#This Row],[Cuenta Bancaria]],Cuentas!$C:$C,Cuentas!$A:$A,"No encontrado"))</f>
        <v>SSP Group</v>
      </c>
      <c r="R206" s="81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3" t="str">
        <f>IF(tblMovimientos[[#This Row],[Tipo de Movimiento]]="Ingreso",tblMovimientos[[#This Row],[Monto (S/)]],"0")</f>
        <v>0</v>
      </c>
      <c r="O207" s="63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81" t="str">
        <f>IF(tblMovimientos[[#This Row],[Cuenta Bancaria]]="","",_xlfn.XLOOKUP(tblMovimientos[[#This Row],[Cuenta Bancaria]],Cuentas!$C:$C,Cuentas!$A:$A,"No encontrado"))</f>
        <v>SSP Group</v>
      </c>
      <c r="R207" s="81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3" t="str">
        <f>IF(tblMovimientos[[#This Row],[Tipo de Movimiento]]="Ingreso",tblMovimientos[[#This Row],[Monto (S/)]],"0")</f>
        <v>0</v>
      </c>
      <c r="O208" s="63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81" t="str">
        <f>IF(tblMovimientos[[#This Row],[Cuenta Bancaria]]="","",_xlfn.XLOOKUP(tblMovimientos[[#This Row],[Cuenta Bancaria]],Cuentas!$C:$C,Cuentas!$A:$A,"No encontrado"))</f>
        <v>SSP Group</v>
      </c>
      <c r="R208" s="81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3" t="str">
        <f>IF(tblMovimientos[[#This Row],[Tipo de Movimiento]]="Ingreso",tblMovimientos[[#This Row],[Monto (S/)]],"0")</f>
        <v>0</v>
      </c>
      <c r="O209" s="63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81" t="str">
        <f>IF(tblMovimientos[[#This Row],[Cuenta Bancaria]]="","",_xlfn.XLOOKUP(tblMovimientos[[#This Row],[Cuenta Bancaria]],Cuentas!$C:$C,Cuentas!$A:$A,"No encontrado"))</f>
        <v>SSP Group</v>
      </c>
      <c r="R209" s="81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3" t="str">
        <f>IF(tblMovimientos[[#This Row],[Tipo de Movimiento]]="Ingreso",tblMovimientos[[#This Row],[Monto (S/)]],"0")</f>
        <v>0</v>
      </c>
      <c r="O210" s="63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81" t="str">
        <f>IF(tblMovimientos[[#This Row],[Cuenta Bancaria]]="","",_xlfn.XLOOKUP(tblMovimientos[[#This Row],[Cuenta Bancaria]],Cuentas!$C:$C,Cuentas!$A:$A,"No encontrado"))</f>
        <v>SSP Group</v>
      </c>
      <c r="R210" s="81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3" t="str">
        <f>IF(tblMovimientos[[#This Row],[Tipo de Movimiento]]="Ingreso",tblMovimientos[[#This Row],[Monto (S/)]],"0")</f>
        <v>0</v>
      </c>
      <c r="O211" s="63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81" t="str">
        <f>IF(tblMovimientos[[#This Row],[Cuenta Bancaria]]="","",_xlfn.XLOOKUP(tblMovimientos[[#This Row],[Cuenta Bancaria]],Cuentas!$C:$C,Cuentas!$A:$A,"No encontrado"))</f>
        <v>SSP Group</v>
      </c>
      <c r="R211" s="81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3" t="str">
        <f>IF(tblMovimientos[[#This Row],[Tipo de Movimiento]]="Ingreso",tblMovimientos[[#This Row],[Monto (S/)]],"0")</f>
        <v>0</v>
      </c>
      <c r="O212" s="63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81" t="str">
        <f>IF(tblMovimientos[[#This Row],[Cuenta Bancaria]]="","",_xlfn.XLOOKUP(tblMovimientos[[#This Row],[Cuenta Bancaria]],Cuentas!$C:$C,Cuentas!$A:$A,"No encontrado"))</f>
        <v>SSP Group</v>
      </c>
      <c r="R212" s="81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3">
        <f>IF(tblMovimientos[[#This Row],[Tipo de Movimiento]]="Ingreso",tblMovimientos[[#This Row],[Monto (S/)]],"0")</f>
        <v>46804.94</v>
      </c>
      <c r="O213" s="63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81" t="str">
        <f>IF(tblMovimientos[[#This Row],[Cuenta Bancaria]]="","",_xlfn.XLOOKUP(tblMovimientos[[#This Row],[Cuenta Bancaria]],Cuentas!$C:$C,Cuentas!$A:$A,"No encontrado"))</f>
        <v>SSP Group</v>
      </c>
      <c r="R213" s="81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3">
        <f>IF(tblMovimientos[[#This Row],[Tipo de Movimiento]]="Ingreso",tblMovimientos[[#This Row],[Monto (S/)]],"0")</f>
        <v>1452.33</v>
      </c>
      <c r="O214" s="63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81" t="str">
        <f>IF(tblMovimientos[[#This Row],[Cuenta Bancaria]]="","",_xlfn.XLOOKUP(tblMovimientos[[#This Row],[Cuenta Bancaria]],Cuentas!$C:$C,Cuentas!$A:$A,"No encontrado"))</f>
        <v>SSP Group</v>
      </c>
      <c r="R214" s="81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3" t="str">
        <f>IF(tblMovimientos[[#This Row],[Tipo de Movimiento]]="Ingreso",tblMovimientos[[#This Row],[Monto (S/)]],"0")</f>
        <v>0</v>
      </c>
      <c r="O215" s="63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81" t="str">
        <f>IF(tblMovimientos[[#This Row],[Cuenta Bancaria]]="","",_xlfn.XLOOKUP(tblMovimientos[[#This Row],[Cuenta Bancaria]],Cuentas!$C:$C,Cuentas!$A:$A,"No encontrado"))</f>
        <v>SSP Group</v>
      </c>
      <c r="R215" s="81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3" t="str">
        <f>IF(tblMovimientos[[#This Row],[Tipo de Movimiento]]="Ingreso",tblMovimientos[[#This Row],[Monto (S/)]],"0")</f>
        <v>0</v>
      </c>
      <c r="O216" s="63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81" t="str">
        <f>IF(tblMovimientos[[#This Row],[Cuenta Bancaria]]="","",_xlfn.XLOOKUP(tblMovimientos[[#This Row],[Cuenta Bancaria]],Cuentas!$C:$C,Cuentas!$A:$A,"No encontrado"))</f>
        <v>SSP Group</v>
      </c>
      <c r="R216" s="81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3" t="str">
        <f>IF(tblMovimientos[[#This Row],[Tipo de Movimiento]]="Ingreso",tblMovimientos[[#This Row],[Monto (S/)]],"0")</f>
        <v>0</v>
      </c>
      <c r="O217" s="63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81" t="str">
        <f>IF(tblMovimientos[[#This Row],[Cuenta Bancaria]]="","",_xlfn.XLOOKUP(tblMovimientos[[#This Row],[Cuenta Bancaria]],Cuentas!$C:$C,Cuentas!$A:$A,"No encontrado"))</f>
        <v>SSP Group</v>
      </c>
      <c r="R217" s="81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3">
        <f>IF(tblMovimientos[[#This Row],[Tipo de Movimiento]]="Ingreso",tblMovimientos[[#This Row],[Monto (S/)]],"0")</f>
        <v>2291.75</v>
      </c>
      <c r="O218" s="63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81" t="str">
        <f>IF(tblMovimientos[[#This Row],[Cuenta Bancaria]]="","",_xlfn.XLOOKUP(tblMovimientos[[#This Row],[Cuenta Bancaria]],Cuentas!$C:$C,Cuentas!$A:$A,"No encontrado"))</f>
        <v>SSP Group</v>
      </c>
      <c r="R218" s="81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3" t="str">
        <f>IF(tblMovimientos[[#This Row],[Tipo de Movimiento]]="Ingreso",tblMovimientos[[#This Row],[Monto (S/)]],"0")</f>
        <v>0</v>
      </c>
      <c r="O219" s="63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81" t="str">
        <f>IF(tblMovimientos[[#This Row],[Cuenta Bancaria]]="","",_xlfn.XLOOKUP(tblMovimientos[[#This Row],[Cuenta Bancaria]],Cuentas!$C:$C,Cuentas!$A:$A,"No encontrado"))</f>
        <v>SSP Group</v>
      </c>
      <c r="R219" s="81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3" t="str">
        <f>IF(tblMovimientos[[#This Row],[Tipo de Movimiento]]="Ingreso",tblMovimientos[[#This Row],[Monto (S/)]],"0")</f>
        <v>0</v>
      </c>
      <c r="O220" s="63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81" t="str">
        <f>IF(tblMovimientos[[#This Row],[Cuenta Bancaria]]="","",_xlfn.XLOOKUP(tblMovimientos[[#This Row],[Cuenta Bancaria]],Cuentas!$C:$C,Cuentas!$A:$A,"No encontrado"))</f>
        <v>SSP Group</v>
      </c>
      <c r="R220" s="81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3">
        <f>IF(tblMovimientos[[#This Row],[Tipo de Movimiento]]="Ingreso",tblMovimientos[[#This Row],[Monto (S/)]],"0")</f>
        <v>380000</v>
      </c>
      <c r="O221" s="63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81" t="str">
        <f>IF(tblMovimientos[[#This Row],[Cuenta Bancaria]]="","",_xlfn.XLOOKUP(tblMovimientos[[#This Row],[Cuenta Bancaria]],Cuentas!$C:$C,Cuentas!$A:$A,"No encontrado"))</f>
        <v>SSP Group</v>
      </c>
      <c r="R221" s="81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3" t="str">
        <f>IF(tblMovimientos[[#This Row],[Tipo de Movimiento]]="Ingreso",tblMovimientos[[#This Row],[Monto (S/)]],"0")</f>
        <v>0</v>
      </c>
      <c r="O222" s="63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81" t="str">
        <f>IF(tblMovimientos[[#This Row],[Cuenta Bancaria]]="","",_xlfn.XLOOKUP(tblMovimientos[[#This Row],[Cuenta Bancaria]],Cuentas!$C:$C,Cuentas!$A:$A,"No encontrado"))</f>
        <v>SSP Group</v>
      </c>
      <c r="R222" s="81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3" t="str">
        <f>IF(tblMovimientos[[#This Row],[Tipo de Movimiento]]="Ingreso",tblMovimientos[[#This Row],[Monto (S/)]],"0")</f>
        <v>0</v>
      </c>
      <c r="O223" s="63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81" t="str">
        <f>IF(tblMovimientos[[#This Row],[Cuenta Bancaria]]="","",_xlfn.XLOOKUP(tblMovimientos[[#This Row],[Cuenta Bancaria]],Cuentas!$C:$C,Cuentas!$A:$A,"No encontrado"))</f>
        <v>SSP Group</v>
      </c>
      <c r="R223" s="81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3" t="str">
        <f>IF(tblMovimientos[[#This Row],[Tipo de Movimiento]]="Ingreso",tblMovimientos[[#This Row],[Monto (S/)]],"0")</f>
        <v>0</v>
      </c>
      <c r="O224" s="63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81" t="str">
        <f>IF(tblMovimientos[[#This Row],[Cuenta Bancaria]]="","",_xlfn.XLOOKUP(tblMovimientos[[#This Row],[Cuenta Bancaria]],Cuentas!$C:$C,Cuentas!$A:$A,"No encontrado"))</f>
        <v>SSP Group</v>
      </c>
      <c r="R224" s="81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3" t="str">
        <f>IF(tblMovimientos[[#This Row],[Tipo de Movimiento]]="Ingreso",tblMovimientos[[#This Row],[Monto (S/)]],"0")</f>
        <v>0</v>
      </c>
      <c r="O225" s="63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81" t="str">
        <f>IF(tblMovimientos[[#This Row],[Cuenta Bancaria]]="","",_xlfn.XLOOKUP(tblMovimientos[[#This Row],[Cuenta Bancaria]],Cuentas!$C:$C,Cuentas!$A:$A,"No encontrado"))</f>
        <v>SSP Group</v>
      </c>
      <c r="R225" s="81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3" t="str">
        <f>IF(tblMovimientos[[#This Row],[Tipo de Movimiento]]="Ingreso",tblMovimientos[[#This Row],[Monto (S/)]],"0")</f>
        <v>0</v>
      </c>
      <c r="O226" s="63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81" t="str">
        <f>IF(tblMovimientos[[#This Row],[Cuenta Bancaria]]="","",_xlfn.XLOOKUP(tblMovimientos[[#This Row],[Cuenta Bancaria]],Cuentas!$C:$C,Cuentas!$A:$A,"No encontrado"))</f>
        <v>SSP Group</v>
      </c>
      <c r="R226" s="81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3" t="str">
        <f>IF(tblMovimientos[[#This Row],[Tipo de Movimiento]]="Ingreso",tblMovimientos[[#This Row],[Monto (S/)]],"0")</f>
        <v>0</v>
      </c>
      <c r="O227" s="63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81" t="str">
        <f>IF(tblMovimientos[[#This Row],[Cuenta Bancaria]]="","",_xlfn.XLOOKUP(tblMovimientos[[#This Row],[Cuenta Bancaria]],Cuentas!$C:$C,Cuentas!$A:$A,"No encontrado"))</f>
        <v>SSP Group</v>
      </c>
      <c r="R227" s="81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3" t="str">
        <f>IF(tblMovimientos[[#This Row],[Tipo de Movimiento]]="Ingreso",tblMovimientos[[#This Row],[Monto (S/)]],"0")</f>
        <v>0</v>
      </c>
      <c r="O228" s="63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81" t="str">
        <f>IF(tblMovimientos[[#This Row],[Cuenta Bancaria]]="","",_xlfn.XLOOKUP(tblMovimientos[[#This Row],[Cuenta Bancaria]],Cuentas!$C:$C,Cuentas!$A:$A,"No encontrado"))</f>
        <v>SSP Group</v>
      </c>
      <c r="R228" s="81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3" t="str">
        <f>IF(tblMovimientos[[#This Row],[Tipo de Movimiento]]="Ingreso",tblMovimientos[[#This Row],[Monto (S/)]],"0")</f>
        <v>0</v>
      </c>
      <c r="O229" s="63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81" t="str">
        <f>IF(tblMovimientos[[#This Row],[Cuenta Bancaria]]="","",_xlfn.XLOOKUP(tblMovimientos[[#This Row],[Cuenta Bancaria]],Cuentas!$C:$C,Cuentas!$A:$A,"No encontrado"))</f>
        <v>SSP Group</v>
      </c>
      <c r="R229" s="81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3">
        <f>IF(tblMovimientos[[#This Row],[Tipo de Movimiento]]="Ingreso",tblMovimientos[[#This Row],[Monto (S/)]],"0")</f>
        <v>6979.11</v>
      </c>
      <c r="O230" s="63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81" t="str">
        <f>IF(tblMovimientos[[#This Row],[Cuenta Bancaria]]="","",_xlfn.XLOOKUP(tblMovimientos[[#This Row],[Cuenta Bancaria]],Cuentas!$C:$C,Cuentas!$A:$A,"No encontrado"))</f>
        <v>SSP Group</v>
      </c>
      <c r="R230" s="81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3" t="str">
        <f>IF(tblMovimientos[[#This Row],[Tipo de Movimiento]]="Ingreso",tblMovimientos[[#This Row],[Monto (S/)]],"0")</f>
        <v>0</v>
      </c>
      <c r="O231" s="63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81" t="str">
        <f>IF(tblMovimientos[[#This Row],[Cuenta Bancaria]]="","",_xlfn.XLOOKUP(tblMovimientos[[#This Row],[Cuenta Bancaria]],Cuentas!$C:$C,Cuentas!$A:$A,"No encontrado"))</f>
        <v>SSP Group</v>
      </c>
      <c r="R231" s="81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3" t="str">
        <f>IF(tblMovimientos[[#This Row],[Tipo de Movimiento]]="Ingreso",tblMovimientos[[#This Row],[Monto (S/)]],"0")</f>
        <v>0</v>
      </c>
      <c r="O232" s="63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81" t="str">
        <f>IF(tblMovimientos[[#This Row],[Cuenta Bancaria]]="","",_xlfn.XLOOKUP(tblMovimientos[[#This Row],[Cuenta Bancaria]],Cuentas!$C:$C,Cuentas!$A:$A,"No encontrado"))</f>
        <v>SSP Group</v>
      </c>
      <c r="R232" s="81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3" t="str">
        <f>IF(tblMovimientos[[#This Row],[Tipo de Movimiento]]="Ingreso",tblMovimientos[[#This Row],[Monto (S/)]],"0")</f>
        <v>0</v>
      </c>
      <c r="O233" s="63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81" t="str">
        <f>IF(tblMovimientos[[#This Row],[Cuenta Bancaria]]="","",_xlfn.XLOOKUP(tblMovimientos[[#This Row],[Cuenta Bancaria]],Cuentas!$C:$C,Cuentas!$A:$A,"No encontrado"))</f>
        <v>SSP Group</v>
      </c>
      <c r="R233" s="81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7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Iniciales'!$B:$B,D234)+SUMIFS($K$1:$K$1326,$C$1:$C$1326,C234,$D$1:$D$1326,D234,$B$1:$B$1326,"&lt;="&amp;B234)</f>
        <v>5000</v>
      </c>
      <c r="N234" s="63" t="str">
        <f>IF(tblMovimientos[[#This Row],[Tipo de Movimiento]]="Ingreso",tblMovimientos[[#This Row],[Monto (S/)]],"0")</f>
        <v>0</v>
      </c>
      <c r="O234" s="63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81" t="str">
        <f>IF(tblMovimientos[[#This Row],[Cuenta Bancaria]]="","",_xlfn.XLOOKUP(tblMovimientos[[#This Row],[Cuenta Bancaria]],Cuentas!$C:$C,Cuentas!$A:$A,"No encontrado"))</f>
        <v>SSP Group</v>
      </c>
      <c r="R234" s="81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7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Iniciales'!$B:$B,D235)+SUMIFS($K$1:$K$1326,$C$1:$C$1326,C235,$D$1:$D$1326,D235,$B$1:$B$1326,"&lt;="&amp;B235)</f>
        <v>5000</v>
      </c>
      <c r="N235" s="63" t="str">
        <f>IF(tblMovimientos[[#This Row],[Tipo de Movimiento]]="Ingreso",tblMovimientos[[#This Row],[Monto (S/)]],"0")</f>
        <v>0</v>
      </c>
      <c r="O235" s="63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81" t="str">
        <f>IF(tblMovimientos[[#This Row],[Cuenta Bancaria]]="","",_xlfn.XLOOKUP(tblMovimientos[[#This Row],[Cuenta Bancaria]],Cuentas!$C:$C,Cuentas!$A:$A,"No encontrado"))</f>
        <v>SSP Group</v>
      </c>
      <c r="R235" s="81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7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Iniciales'!$B:$B,D236)+SUMIFS($K$1:$K$1326,$C$1:$C$1326,C236,$D$1:$D$1326,D236,$B$1:$B$1326,"&lt;="&amp;B236)</f>
        <v>57206.89</v>
      </c>
      <c r="N236" s="63" t="str">
        <f>IF(tblMovimientos[[#This Row],[Tipo de Movimiento]]="Ingreso",tblMovimientos[[#This Row],[Monto (S/)]],"0")</f>
        <v>0</v>
      </c>
      <c r="O236" s="63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81" t="str">
        <f>IF(tblMovimientos[[#This Row],[Cuenta Bancaria]]="","",_xlfn.XLOOKUP(tblMovimientos[[#This Row],[Cuenta Bancaria]],Cuentas!$C:$C,Cuentas!$A:$A,"No encontrado"))</f>
        <v>Trust</v>
      </c>
      <c r="R236" s="81" t="str">
        <f>TRIM(_xlfn.XLOOKUP(tblMovimientos[[#This Row],[Cuenta Bancaria]],Cuentas!$C:$C,Cuentas!$B:$B,""))</f>
        <v/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7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Iniciales'!$B:$B,D237)+SUMIFS($K$1:$K$1326,$C$1:$C$1326,C237,$D$1:$D$1326,D237,$B$1:$B$1326,"&lt;="&amp;B237)</f>
        <v>6365</v>
      </c>
      <c r="N237" s="63" t="str">
        <f>IF(tblMovimientos[[#This Row],[Tipo de Movimiento]]="Ingreso",tblMovimientos[[#This Row],[Monto (S/)]],"0")</f>
        <v>0</v>
      </c>
      <c r="O237" s="63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81" t="str">
        <f>IF(tblMovimientos[[#This Row],[Cuenta Bancaria]]="","",_xlfn.XLOOKUP(tblMovimientos[[#This Row],[Cuenta Bancaria]],Cuentas!$C:$C,Cuentas!$A:$A,"No encontrado"))</f>
        <v>Trust</v>
      </c>
      <c r="R237" s="81" t="str">
        <f>TRIM(_xlfn.XLOOKUP(tblMovimientos[[#This Row],[Cuenta Bancaria]],Cuentas!$C:$C,Cuentas!$B:$B,""))</f>
        <v/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7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Iniciales'!$B:$B,D238)+SUMIFS($K$1:$K$1326,$C$1:$C$1326,C238,$D$1:$D$1326,D238,$B$1:$B$1326,"&lt;="&amp;B238)</f>
        <v>1669.89</v>
      </c>
      <c r="N238" s="63" t="str">
        <f>IF(tblMovimientos[[#This Row],[Tipo de Movimiento]]="Ingreso",tblMovimientos[[#This Row],[Monto (S/)]],"0")</f>
        <v>0</v>
      </c>
      <c r="O238" s="63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81" t="str">
        <f>IF(tblMovimientos[[#This Row],[Cuenta Bancaria]]="","",_xlfn.XLOOKUP(tblMovimientos[[#This Row],[Cuenta Bancaria]],Cuentas!$C:$C,Cuentas!$A:$A,"No encontrado"))</f>
        <v>SSP Group</v>
      </c>
      <c r="R238" s="81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7">
        <v>0</v>
      </c>
      <c r="L239" s="54" t="s">
        <v>128</v>
      </c>
      <c r="M239" s="55">
        <f>SUMIFS('Saldos Iniciales'!$D:$D,'Saldos Iniciales'!$A:$A,C239,'Saldos Iniciales'!$B:$B,D239)+SUMIFS($K$1:$K$1326,$C$1:$C$1326,C239,$D$1:$D$1326,D239,$B$1:$B$1326,"&lt;="&amp;B239)</f>
        <v>1968.99</v>
      </c>
      <c r="N239" s="63" t="str">
        <f>IF(tblMovimientos[[#This Row],[Tipo de Movimiento]]="Ingreso",tblMovimientos[[#This Row],[Monto (S/)]],"0")</f>
        <v>0</v>
      </c>
      <c r="O239" s="63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81" t="str">
        <f>IF(tblMovimientos[[#This Row],[Cuenta Bancaria]]="","",_xlfn.XLOOKUP(tblMovimientos[[#This Row],[Cuenta Bancaria]],Cuentas!$C:$C,Cuentas!$A:$A,"No encontrado"))</f>
        <v>SSP Group</v>
      </c>
      <c r="R239" s="81" t="str">
        <f>TRIM(_xlfn.XLOOKUP(tblMovimientos[[#This Row],[Cuenta Bancaria]],Cuentas!$C:$C,Cuentas!$B:$B,""))</f>
        <v/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71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72" t="str">
        <f>IFERROR(_xlfn.XLOOKUP(G240,Listas!E:E,Listas!G:G,""),"")</f>
        <v>Externo</v>
      </c>
      <c r="J240" s="43">
        <v>13270</v>
      </c>
      <c r="K240" s="5"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3" t="str">
        <f>IF(tblMovimientos[[#This Row],[Tipo de Movimiento]]="Ingreso",tblMovimientos[[#This Row],[Monto (S/)]],"0")</f>
        <v>0</v>
      </c>
      <c r="O240" s="63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81" t="str">
        <f>IF(tblMovimientos[[#This Row],[Cuenta Bancaria]]="","",_xlfn.XLOOKUP(tblMovimientos[[#This Row],[Cuenta Bancaria]],Cuentas!$C:$C,Cuentas!$A:$A,"No encontrado"))</f>
        <v>SSP Group</v>
      </c>
      <c r="R240" s="81" t="str">
        <f>TRIM(_xlfn.XLOOKUP(tblMovimientos[[#This Row],[Cuenta Bancaria]],Cuentas!$C:$C,Cuentas!$B:$B,""))</f>
        <v>Cross Security 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71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72" t="str">
        <f>IFERROR(_xlfn.XLOOKUP(G241,Listas!E:E,Listas!G:G,""),"")</f>
        <v>Externo</v>
      </c>
      <c r="J241" s="43">
        <v>54445</v>
      </c>
      <c r="K241" s="5"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3" t="str">
        <f>IF(tblMovimientos[[#This Row],[Tipo de Movimiento]]="Ingreso",tblMovimientos[[#This Row],[Monto (S/)]],"0")</f>
        <v>0</v>
      </c>
      <c r="O241" s="63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81" t="str">
        <f>IF(tblMovimientos[[#This Row],[Cuenta Bancaria]]="","",_xlfn.XLOOKUP(tblMovimientos[[#This Row],[Cuenta Bancaria]],Cuentas!$C:$C,Cuentas!$A:$A,"No encontrado"))</f>
        <v>SSP Group</v>
      </c>
      <c r="R241" s="81" t="str">
        <f>TRIM(_xlfn.XLOOKUP(tblMovimientos[[#This Row],[Cuenta Bancaria]],Cuentas!$C:$C,Cuentas!$B:$B,""))</f>
        <v>Cross Security 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71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3" t="str">
        <f>IF(tblMovimientos[[#This Row],[Tipo de Movimiento]]="Ingreso",tblMovimientos[[#This Row],[Monto (S/)]],"0")</f>
        <v>0</v>
      </c>
      <c r="O242" s="63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81" t="str">
        <f>IF(tblMovimientos[[#This Row],[Cuenta Bancaria]]="","",_xlfn.XLOOKUP(tblMovimientos[[#This Row],[Cuenta Bancaria]],Cuentas!$C:$C,Cuentas!$A:$A,"No encontrado"))</f>
        <v>SSP Group</v>
      </c>
      <c r="R242" s="81" t="str">
        <f>TRIM(_xlfn.XLOOKUP(tblMovimientos[[#This Row],[Cuenta Bancaria]],Cuentas!$C:$C,Cuentas!$B:$B,""))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71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3" t="str">
        <f>IF(tblMovimientos[[#This Row],[Tipo de Movimiento]]="Ingreso",tblMovimientos[[#This Row],[Monto (S/)]],"0")</f>
        <v>0</v>
      </c>
      <c r="O243" s="63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81" t="str">
        <f>IF(tblMovimientos[[#This Row],[Cuenta Bancaria]]="","",_xlfn.XLOOKUP(tblMovimientos[[#This Row],[Cuenta Bancaria]],Cuentas!$C:$C,Cuentas!$A:$A,"No encontrado"))</f>
        <v>SSP Group</v>
      </c>
      <c r="R243" s="81" t="str">
        <f>TRIM(_xlfn.XLOOKUP(tblMovimientos[[#This Row],[Cuenta Bancaria]],Cuentas!$C:$C,Cuentas!$B:$B,""))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71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3" t="str">
        <f>IF(tblMovimientos[[#This Row],[Tipo de Movimiento]]="Ingreso",tblMovimientos[[#This Row],[Monto (S/)]],"0")</f>
        <v>0</v>
      </c>
      <c r="O244" s="63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81" t="str">
        <f>IF(tblMovimientos[[#This Row],[Cuenta Bancaria]]="","",_xlfn.XLOOKUP(tblMovimientos[[#This Row],[Cuenta Bancaria]],Cuentas!$C:$C,Cuentas!$A:$A,"No encontrado"))</f>
        <v>SSP Group</v>
      </c>
      <c r="R244" s="81" t="str">
        <f>TRIM(_xlfn.XLOOKUP(tblMovimientos[[#This Row],[Cuenta Bancaria]],Cuentas!$C:$C,Cuentas!$B:$B,""))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71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3" t="str">
        <f>IF(tblMovimientos[[#This Row],[Tipo de Movimiento]]="Ingreso",tblMovimientos[[#This Row],[Monto (S/)]],"0")</f>
        <v>0</v>
      </c>
      <c r="O245" s="63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81" t="str">
        <f>IF(tblMovimientos[[#This Row],[Cuenta Bancaria]]="","",_xlfn.XLOOKUP(tblMovimientos[[#This Row],[Cuenta Bancaria]],Cuentas!$C:$C,Cuentas!$A:$A,"No encontrado"))</f>
        <v>Trust</v>
      </c>
      <c r="R245" s="81" t="str">
        <f>TRIM(_xlfn.XLOOKUP(tblMovimientos[[#This Row],[Cuenta Bancaria]],Cuentas!$C:$C,Cuentas!$B:$B,""))</f>
        <v/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71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3" t="str">
        <f>IF(tblMovimientos[[#This Row],[Tipo de Movimiento]]="Ingreso",tblMovimientos[[#This Row],[Monto (S/)]],"0")</f>
        <v>0</v>
      </c>
      <c r="O246" s="63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81" t="str">
        <f>IF(tblMovimientos[[#This Row],[Cuenta Bancaria]]="","",_xlfn.XLOOKUP(tblMovimientos[[#This Row],[Cuenta Bancaria]],Cuentas!$C:$C,Cuentas!$A:$A,"No encontrado"))</f>
        <v>SSP Group</v>
      </c>
      <c r="R246" s="81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71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3" t="str">
        <f>IF(tblMovimientos[[#This Row],[Tipo de Movimiento]]="Ingreso",tblMovimientos[[#This Row],[Monto (S/)]],"0")</f>
        <v>0</v>
      </c>
      <c r="O247" s="63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81" t="str">
        <f>IF(tblMovimientos[[#This Row],[Cuenta Bancaria]]="","",_xlfn.XLOOKUP(tblMovimientos[[#This Row],[Cuenta Bancaria]],Cuentas!$C:$C,Cuentas!$A:$A,"No encontrado"))</f>
        <v>SSP Group</v>
      </c>
      <c r="R247" s="81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71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3" t="str">
        <f>IF(tblMovimientos[[#This Row],[Tipo de Movimiento]]="Ingreso",tblMovimientos[[#This Row],[Monto (S/)]],"0")</f>
        <v>0</v>
      </c>
      <c r="O248" s="63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81" t="str">
        <f>IF(tblMovimientos[[#This Row],[Cuenta Bancaria]]="","",_xlfn.XLOOKUP(tblMovimientos[[#This Row],[Cuenta Bancaria]],Cuentas!$C:$C,Cuentas!$A:$A,"No encontrado"))</f>
        <v>SSP Group</v>
      </c>
      <c r="R248" s="81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71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3">
        <f>IF(tblMovimientos[[#This Row],[Tipo de Movimiento]]="Ingreso",tblMovimientos[[#This Row],[Monto (S/)]],"0")</f>
        <v>15307.88</v>
      </c>
      <c r="O249" s="63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81" t="str">
        <f>IF(tblMovimientos[[#This Row],[Cuenta Bancaria]]="","",_xlfn.XLOOKUP(tblMovimientos[[#This Row],[Cuenta Bancaria]],Cuentas!$C:$C,Cuentas!$A:$A,"No encontrado"))</f>
        <v>SSP Group</v>
      </c>
      <c r="R249" s="81" t="str">
        <f>TRIM(_xlfn.XLOOKUP(tblMovimientos[[#This Row],[Cuenta Bancaria]],Cuentas!$C:$C,Cuentas!$B:$B,""))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71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3" t="str">
        <f>IF(tblMovimientos[[#This Row],[Tipo de Movimiento]]="Ingreso",tblMovimientos[[#This Row],[Monto (S/)]],"0")</f>
        <v>0</v>
      </c>
      <c r="O250" s="63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81" t="str">
        <f>IF(tblMovimientos[[#This Row],[Cuenta Bancaria]]="","",_xlfn.XLOOKUP(tblMovimientos[[#This Row],[Cuenta Bancaria]],Cuentas!$C:$C,Cuentas!$A:$A,"No encontrado"))</f>
        <v>SSP Group</v>
      </c>
      <c r="R250" s="81" t="str">
        <f>TRIM(_xlfn.XLOOKUP(tblMovimientos[[#This Row],[Cuenta Bancaria]],Cuentas!$C:$C,Cuentas!$B:$B,""))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71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3" t="str">
        <f>IF(tblMovimientos[[#This Row],[Tipo de Movimiento]]="Ingreso",tblMovimientos[[#This Row],[Monto (S/)]],"0")</f>
        <v>0</v>
      </c>
      <c r="O251" s="63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81" t="str">
        <f>IF(tblMovimientos[[#This Row],[Cuenta Bancaria]]="","",_xlfn.XLOOKUP(tblMovimientos[[#This Row],[Cuenta Bancaria]],Cuentas!$C:$C,Cuentas!$A:$A,"No encontrado"))</f>
        <v>SSP Group</v>
      </c>
      <c r="R251" s="81" t="str">
        <f>TRIM(_xlfn.XLOOKUP(tblMovimientos[[#This Row],[Cuenta Bancaria]],Cuentas!$C:$C,Cuentas!$B:$B,""))</f>
        <v>Cross Security Trust</v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71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3" t="str">
        <f>IF(tblMovimientos[[#This Row],[Tipo de Movimiento]]="Ingreso",tblMovimientos[[#This Row],[Monto (S/)]],"0")</f>
        <v>0</v>
      </c>
      <c r="O252" s="63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81" t="str">
        <f>IF(tblMovimientos[[#This Row],[Cuenta Bancaria]]="","",_xlfn.XLOOKUP(tblMovimientos[[#This Row],[Cuenta Bancaria]],Cuentas!$C:$C,Cuentas!$A:$A,"No encontrado"))</f>
        <v>SSP Group</v>
      </c>
      <c r="R252" s="81" t="str">
        <f>TRIM(_xlfn.XLOOKUP(tblMovimientos[[#This Row],[Cuenta Bancaria]],Cuentas!$C:$C,Cuentas!$B:$B,""))</f>
        <v>Cross Security Trust</v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71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3" t="str">
        <f>IF(tblMovimientos[[#This Row],[Tipo de Movimiento]]="Ingreso",tblMovimientos[[#This Row],[Monto (S/)]],"0")</f>
        <v>0</v>
      </c>
      <c r="O253" s="63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81" t="str">
        <f>IF(tblMovimientos[[#This Row],[Cuenta Bancaria]]="","",_xlfn.XLOOKUP(tblMovimientos[[#This Row],[Cuenta Bancaria]],Cuentas!$C:$C,Cuentas!$A:$A,"No encontrado"))</f>
        <v>SSP Group</v>
      </c>
      <c r="R253" s="81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71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3">
        <f>IF(tblMovimientos[[#This Row],[Tipo de Movimiento]]="Ingreso",tblMovimientos[[#This Row],[Monto (S/)]],"0")</f>
        <v>185000</v>
      </c>
      <c r="O254" s="63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81" t="str">
        <f>IF(tblMovimientos[[#This Row],[Cuenta Bancaria]]="","",_xlfn.XLOOKUP(tblMovimientos[[#This Row],[Cuenta Bancaria]],Cuentas!$C:$C,Cuentas!$A:$A,"No encontrado"))</f>
        <v>SSP Group</v>
      </c>
      <c r="R254" s="81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71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3" t="str">
        <f>IF(tblMovimientos[[#This Row],[Tipo de Movimiento]]="Ingreso",tblMovimientos[[#This Row],[Monto (S/)]],"0")</f>
        <v>0</v>
      </c>
      <c r="O255" s="63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81" t="str">
        <f>IF(tblMovimientos[[#This Row],[Cuenta Bancaria]]="","",_xlfn.XLOOKUP(tblMovimientos[[#This Row],[Cuenta Bancaria]],Cuentas!$C:$C,Cuentas!$A:$A,"No encontrado"))</f>
        <v>SSP Group</v>
      </c>
      <c r="R255" s="81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71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3" t="str">
        <f>IF(tblMovimientos[[#This Row],[Tipo de Movimiento]]="Ingreso",tblMovimientos[[#This Row],[Monto (S/)]],"0")</f>
        <v>0</v>
      </c>
      <c r="O256" s="63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81" t="str">
        <f>IF(tblMovimientos[[#This Row],[Cuenta Bancaria]]="","",_xlfn.XLOOKUP(tblMovimientos[[#This Row],[Cuenta Bancaria]],Cuentas!$C:$C,Cuentas!$A:$A,"No encontrado"))</f>
        <v>SSP Group</v>
      </c>
      <c r="R256" s="81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71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3" t="str">
        <f>IF(tblMovimientos[[#This Row],[Tipo de Movimiento]]="Ingreso",tblMovimientos[[#This Row],[Monto (S/)]],"0")</f>
        <v>0</v>
      </c>
      <c r="O257" s="63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81" t="str">
        <f>IF(tblMovimientos[[#This Row],[Cuenta Bancaria]]="","",_xlfn.XLOOKUP(tblMovimientos[[#This Row],[Cuenta Bancaria]],Cuentas!$C:$C,Cuentas!$A:$A,"No encontrado"))</f>
        <v>SSP Group</v>
      </c>
      <c r="R257" s="81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71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3" t="str">
        <f>IF(tblMovimientos[[#This Row],[Tipo de Movimiento]]="Ingreso",tblMovimientos[[#This Row],[Monto (S/)]],"0")</f>
        <v>0</v>
      </c>
      <c r="O258" s="63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81" t="str">
        <f>IF(tblMovimientos[[#This Row],[Cuenta Bancaria]]="","",_xlfn.XLOOKUP(tblMovimientos[[#This Row],[Cuenta Bancaria]],Cuentas!$C:$C,Cuentas!$A:$A,"No encontrado"))</f>
        <v>SSP Group</v>
      </c>
      <c r="R258" s="81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71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3" t="str">
        <f>IF(tblMovimientos[[#This Row],[Tipo de Movimiento]]="Ingreso",tblMovimientos[[#This Row],[Monto (S/)]],"0")</f>
        <v>0</v>
      </c>
      <c r="O259" s="63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81" t="str">
        <f>IF(tblMovimientos[[#This Row],[Cuenta Bancaria]]="","",_xlfn.XLOOKUP(tblMovimientos[[#This Row],[Cuenta Bancaria]],Cuentas!$C:$C,Cuentas!$A:$A,"No encontrado"))</f>
        <v>Trust</v>
      </c>
      <c r="R259" s="81" t="str">
        <f>TRIM(_xlfn.XLOOKUP(tblMovimientos[[#This Row],[Cuenta Bancaria]],Cuentas!$C:$C,Cuentas!$B:$B,""))</f>
        <v/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71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3">
        <f>IF(tblMovimientos[[#This Row],[Tipo de Movimiento]]="Ingreso",tblMovimientos[[#This Row],[Monto (S/)]],"0")</f>
        <v>150000</v>
      </c>
      <c r="O260" s="63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81" t="str">
        <f>IF(tblMovimientos[[#This Row],[Cuenta Bancaria]]="","",_xlfn.XLOOKUP(tblMovimientos[[#This Row],[Cuenta Bancaria]],Cuentas!$C:$C,Cuentas!$A:$A,"No encontrado"))</f>
        <v>SSP Group</v>
      </c>
      <c r="R260" s="81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71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3" t="str">
        <f>IF(tblMovimientos[[#This Row],[Tipo de Movimiento]]="Ingreso",tblMovimientos[[#This Row],[Monto (S/)]],"0")</f>
        <v>0</v>
      </c>
      <c r="O261" s="63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81" t="str">
        <f>IF(tblMovimientos[[#This Row],[Cuenta Bancaria]]="","",_xlfn.XLOOKUP(tblMovimientos[[#This Row],[Cuenta Bancaria]],Cuentas!$C:$C,Cuentas!$A:$A,"No encontrado"))</f>
        <v>SSP Group</v>
      </c>
      <c r="R261" s="81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71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3">
        <f>IF(tblMovimientos[[#This Row],[Tipo de Movimiento]]="Ingreso",tblMovimientos[[#This Row],[Monto (S/)]],"0")</f>
        <v>9000</v>
      </c>
      <c r="O262" s="63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81" t="str">
        <f>IF(tblMovimientos[[#This Row],[Cuenta Bancaria]]="","",_xlfn.XLOOKUP(tblMovimientos[[#This Row],[Cuenta Bancaria]],Cuentas!$C:$C,Cuentas!$A:$A,"No encontrado"))</f>
        <v>SSP Group</v>
      </c>
      <c r="R262" s="81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71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3" t="str">
        <f>IF(tblMovimientos[[#This Row],[Tipo de Movimiento]]="Ingreso",tblMovimientos[[#This Row],[Monto (S/)]],"0")</f>
        <v>0</v>
      </c>
      <c r="O263" s="63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81" t="str">
        <f>IF(tblMovimientos[[#This Row],[Cuenta Bancaria]]="","",_xlfn.XLOOKUP(tblMovimientos[[#This Row],[Cuenta Bancaria]],Cuentas!$C:$C,Cuentas!$A:$A,"No encontrado"))</f>
        <v>SSP Group</v>
      </c>
      <c r="R263" s="81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71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3" t="str">
        <f>IF(tblMovimientos[[#This Row],[Tipo de Movimiento]]="Ingreso",tblMovimientos[[#This Row],[Monto (S/)]],"0")</f>
        <v>0</v>
      </c>
      <c r="O264" s="63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81" t="str">
        <f>IF(tblMovimientos[[#This Row],[Cuenta Bancaria]]="","",_xlfn.XLOOKUP(tblMovimientos[[#This Row],[Cuenta Bancaria]],Cuentas!$C:$C,Cuentas!$A:$A,"No encontrado"))</f>
        <v>SSP Group</v>
      </c>
      <c r="R264" s="81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71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3" t="str">
        <f>IF(tblMovimientos[[#This Row],[Tipo de Movimiento]]="Ingreso",tblMovimientos[[#This Row],[Monto (S/)]],"0")</f>
        <v>0</v>
      </c>
      <c r="O265" s="63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81" t="str">
        <f>IF(tblMovimientos[[#This Row],[Cuenta Bancaria]]="","",_xlfn.XLOOKUP(tblMovimientos[[#This Row],[Cuenta Bancaria]],Cuentas!$C:$C,Cuentas!$A:$A,"No encontrado"))</f>
        <v>SSP Group</v>
      </c>
      <c r="R265" s="81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71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3" t="str">
        <f>IF(tblMovimientos[[#This Row],[Tipo de Movimiento]]="Ingreso",tblMovimientos[[#This Row],[Monto (S/)]],"0")</f>
        <v>0</v>
      </c>
      <c r="O266" s="63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81" t="str">
        <f>IF(tblMovimientos[[#This Row],[Cuenta Bancaria]]="","",_xlfn.XLOOKUP(tblMovimientos[[#This Row],[Cuenta Bancaria]],Cuentas!$C:$C,Cuentas!$A:$A,"No encontrado"))</f>
        <v>SSP Group</v>
      </c>
      <c r="R266" s="81" t="str">
        <f>TRIM(_xlfn.XLOOKUP(tblMovimientos[[#This Row],[Cuenta Bancaria]],Cuentas!$C:$C,Cuentas!$B:$B,""))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71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3" t="str">
        <f>IF(tblMovimientos[[#This Row],[Tipo de Movimiento]]="Ingreso",tblMovimientos[[#This Row],[Monto (S/)]],"0")</f>
        <v>0</v>
      </c>
      <c r="O267" s="63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81" t="str">
        <f>IF(tblMovimientos[[#This Row],[Cuenta Bancaria]]="","",_xlfn.XLOOKUP(tblMovimientos[[#This Row],[Cuenta Bancaria]],Cuentas!$C:$C,Cuentas!$A:$A,"No encontrado"))</f>
        <v>SSP Group</v>
      </c>
      <c r="R267" s="81" t="str">
        <f>TRIM(_xlfn.XLOOKUP(tblMovimientos[[#This Row],[Cuenta Bancaria]],Cuentas!$C:$C,Cuentas!$B:$B,""))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71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3">
        <f>IF(tblMovimientos[[#This Row],[Tipo de Movimiento]]="Ingreso",tblMovimientos[[#This Row],[Monto (S/)]],"0")</f>
        <v>9000</v>
      </c>
      <c r="O268" s="63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81" t="str">
        <f>IF(tblMovimientos[[#This Row],[Cuenta Bancaria]]="","",_xlfn.XLOOKUP(tblMovimientos[[#This Row],[Cuenta Bancaria]],Cuentas!$C:$C,Cuentas!$A:$A,"No encontrado"))</f>
        <v>SSP Group</v>
      </c>
      <c r="R268" s="81" t="str">
        <f>TRIM(_xlfn.XLOOKUP(tblMovimientos[[#This Row],[Cuenta Bancaria]],Cuentas!$C:$C,Cuentas!$B:$B,""))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71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3" t="str">
        <f>IF(tblMovimientos[[#This Row],[Tipo de Movimiento]]="Ingreso",tblMovimientos[[#This Row],[Monto (S/)]],"0")</f>
        <v>0</v>
      </c>
      <c r="O269" s="63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81" t="str">
        <f>IF(tblMovimientos[[#This Row],[Cuenta Bancaria]]="","",_xlfn.XLOOKUP(tblMovimientos[[#This Row],[Cuenta Bancaria]],Cuentas!$C:$C,Cuentas!$A:$A,"No encontrado"))</f>
        <v>SSP Group</v>
      </c>
      <c r="R269" s="81" t="str">
        <f>TRIM(_xlfn.XLOOKUP(tblMovimientos[[#This Row],[Cuenta Bancaria]],Cuentas!$C:$C,Cuentas!$B:$B,""))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71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3" t="str">
        <f>IF(tblMovimientos[[#This Row],[Tipo de Movimiento]]="Ingreso",tblMovimientos[[#This Row],[Monto (S/)]],"0")</f>
        <v>0</v>
      </c>
      <c r="O270" s="63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81" t="str">
        <f>IF(tblMovimientos[[#This Row],[Cuenta Bancaria]]="","",_xlfn.XLOOKUP(tblMovimientos[[#This Row],[Cuenta Bancaria]],Cuentas!$C:$C,Cuentas!$A:$A,"No encontrado"))</f>
        <v>SSP Group</v>
      </c>
      <c r="R270" s="81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71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3" t="str">
        <f>IF(tblMovimientos[[#This Row],[Tipo de Movimiento]]="Ingreso",tblMovimientos[[#This Row],[Monto (S/)]],"0")</f>
        <v>0</v>
      </c>
      <c r="O271" s="63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81" t="str">
        <f>IF(tblMovimientos[[#This Row],[Cuenta Bancaria]]="","",_xlfn.XLOOKUP(tblMovimientos[[#This Row],[Cuenta Bancaria]],Cuentas!$C:$C,Cuentas!$A:$A,"No encontrado"))</f>
        <v>SSP Group</v>
      </c>
      <c r="R271" s="81" t="str">
        <f>TRIM(_xlfn.XLOOKUP(tblMovimientos[[#This Row],[Cuenta Bancaria]],Cuentas!$C:$C,Cuentas!$B:$B,""))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71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3" t="str">
        <f>IF(tblMovimientos[[#This Row],[Tipo de Movimiento]]="Ingreso",tblMovimientos[[#This Row],[Monto (S/)]],"0")</f>
        <v>0</v>
      </c>
      <c r="O272" s="63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81" t="str">
        <f>IF(tblMovimientos[[#This Row],[Cuenta Bancaria]]="","",_xlfn.XLOOKUP(tblMovimientos[[#This Row],[Cuenta Bancaria]],Cuentas!$C:$C,Cuentas!$A:$A,"No encontrado"))</f>
        <v>SSP Group</v>
      </c>
      <c r="R272" s="81" t="str">
        <f>TRIM(_xlfn.XLOOKUP(tblMovimientos[[#This Row],[Cuenta Bancaria]],Cuentas!$C:$C,Cuentas!$B:$B,""))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71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3" t="str">
        <f>IF(tblMovimientos[[#This Row],[Tipo de Movimiento]]="Ingreso",tblMovimientos[[#This Row],[Monto (S/)]],"0")</f>
        <v>0</v>
      </c>
      <c r="O273" s="63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81" t="str">
        <f>IF(tblMovimientos[[#This Row],[Cuenta Bancaria]]="","",_xlfn.XLOOKUP(tblMovimientos[[#This Row],[Cuenta Bancaria]],Cuentas!$C:$C,Cuentas!$A:$A,"No encontrado"))</f>
        <v>SSP Group</v>
      </c>
      <c r="R273" s="81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71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3" t="str">
        <f>IF(tblMovimientos[[#This Row],[Tipo de Movimiento]]="Ingreso",tblMovimientos[[#This Row],[Monto (S/)]],"0")</f>
        <v>0</v>
      </c>
      <c r="O274" s="63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81" t="str">
        <f>IF(tblMovimientos[[#This Row],[Cuenta Bancaria]]="","",_xlfn.XLOOKUP(tblMovimientos[[#This Row],[Cuenta Bancaria]],Cuentas!$C:$C,Cuentas!$A:$A,"No encontrado"))</f>
        <v>SSP Group</v>
      </c>
      <c r="R274" s="81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71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3" t="str">
        <f>IF(tblMovimientos[[#This Row],[Tipo de Movimiento]]="Ingreso",tblMovimientos[[#This Row],[Monto (S/)]],"0")</f>
        <v>0</v>
      </c>
      <c r="O275" s="63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81" t="str">
        <f>IF(tblMovimientos[[#This Row],[Cuenta Bancaria]]="","",_xlfn.XLOOKUP(tblMovimientos[[#This Row],[Cuenta Bancaria]],Cuentas!$C:$C,Cuentas!$A:$A,"No encontrado"))</f>
        <v>SSP Group</v>
      </c>
      <c r="R275" s="81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71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3" t="str">
        <f>IF(tblMovimientos[[#This Row],[Tipo de Movimiento]]="Ingreso",tblMovimientos[[#This Row],[Monto (S/)]],"0")</f>
        <v>0</v>
      </c>
      <c r="O276" s="63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81" t="str">
        <f>IF(tblMovimientos[[#This Row],[Cuenta Bancaria]]="","",_xlfn.XLOOKUP(tblMovimientos[[#This Row],[Cuenta Bancaria]],Cuentas!$C:$C,Cuentas!$A:$A,"No encontrado"))</f>
        <v>SSP Group</v>
      </c>
      <c r="R276" s="81" t="str">
        <f>TRIM(_xlfn.XLOOKUP(tblMovimientos[[#This Row],[Cuenta Bancaria]],Cuentas!$C:$C,Cuentas!$B:$B,""))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71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3" t="str">
        <f>IF(tblMovimientos[[#This Row],[Tipo de Movimiento]]="Ingreso",tblMovimientos[[#This Row],[Monto (S/)]],"0")</f>
        <v>0</v>
      </c>
      <c r="O277" s="63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81" t="str">
        <f>IF(tblMovimientos[[#This Row],[Cuenta Bancaria]]="","",_xlfn.XLOOKUP(tblMovimientos[[#This Row],[Cuenta Bancaria]],Cuentas!$C:$C,Cuentas!$A:$A,"No encontrado"))</f>
        <v>SSP Group</v>
      </c>
      <c r="R277" s="81" t="str">
        <f>TRIM(_xlfn.XLOOKUP(tblMovimientos[[#This Row],[Cuenta Bancaria]],Cuentas!$C:$C,Cuentas!$B:$B,""))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71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3">
        <f>IF(tblMovimientos[[#This Row],[Tipo de Movimiento]]="Ingreso",tblMovimientos[[#This Row],[Monto (S/)]],"0")</f>
        <v>113987.15</v>
      </c>
      <c r="O278" s="63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81" t="str">
        <f>IF(tblMovimientos[[#This Row],[Cuenta Bancaria]]="","",_xlfn.XLOOKUP(tblMovimientos[[#This Row],[Cuenta Bancaria]],Cuentas!$C:$C,Cuentas!$A:$A,"No encontrado"))</f>
        <v>SSP Group</v>
      </c>
      <c r="R278" s="81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71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3">
        <f>IF(tblMovimientos[[#This Row],[Tipo de Movimiento]]="Ingreso",tblMovimientos[[#This Row],[Monto (S/)]],"0")</f>
        <v>255000</v>
      </c>
      <c r="O279" s="63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81" t="str">
        <f>IF(tblMovimientos[[#This Row],[Cuenta Bancaria]]="","",_xlfn.XLOOKUP(tblMovimientos[[#This Row],[Cuenta Bancaria]],Cuentas!$C:$C,Cuentas!$A:$A,"No encontrado"))</f>
        <v>SSP Group</v>
      </c>
      <c r="R279" s="81" t="str">
        <f>TRIM(_xlfn.XLOOKUP(tblMovimientos[[#This Row],[Cuenta Bancaria]],Cuentas!$C:$C,Cuentas!$B:$B,""))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71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3">
        <f>IF(tblMovimientos[[#This Row],[Tipo de Movimiento]]="Ingreso",tblMovimientos[[#This Row],[Monto (S/)]],"0")</f>
        <v>1000000</v>
      </c>
      <c r="O280" s="63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81" t="str">
        <f>IF(tblMovimientos[[#This Row],[Cuenta Bancaria]]="","",_xlfn.XLOOKUP(tblMovimientos[[#This Row],[Cuenta Bancaria]],Cuentas!$C:$C,Cuentas!$A:$A,"No encontrado"))</f>
        <v>SSP Group</v>
      </c>
      <c r="R280" s="81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71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3">
        <f>IF(tblMovimientos[[#This Row],[Tipo de Movimiento]]="Ingreso",tblMovimientos[[#This Row],[Monto (S/)]],"0")</f>
        <v>14761.57</v>
      </c>
      <c r="O281" s="63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81" t="str">
        <f>IF(tblMovimientos[[#This Row],[Cuenta Bancaria]]="","",_xlfn.XLOOKUP(tblMovimientos[[#This Row],[Cuenta Bancaria]],Cuentas!$C:$C,Cuentas!$A:$A,"No encontrado"))</f>
        <v>SSP Group</v>
      </c>
      <c r="R281" s="81" t="str">
        <f>TRIM(_xlfn.XLOOKUP(tblMovimientos[[#This Row],[Cuenta Bancaria]],Cuentas!$C:$C,Cuentas!$B:$B,""))</f>
        <v>Cross Security Trust</v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71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3">
        <f>IF(tblMovimientos[[#This Row],[Tipo de Movimiento]]="Ingreso",tblMovimientos[[#This Row],[Monto (S/)]],"0")</f>
        <v>99279.52</v>
      </c>
      <c r="O282" s="63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81" t="str">
        <f>IF(tblMovimientos[[#This Row],[Cuenta Bancaria]]="","",_xlfn.XLOOKUP(tblMovimientos[[#This Row],[Cuenta Bancaria]],Cuentas!$C:$C,Cuentas!$A:$A,"No encontrado"))</f>
        <v>SSP Group</v>
      </c>
      <c r="R282" s="81" t="str">
        <f>TRIM(_xlfn.XLOOKUP(tblMovimientos[[#This Row],[Cuenta Bancaria]],Cuentas!$C:$C,Cuentas!$B:$B,""))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71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3">
        <f>IF(tblMovimientos[[#This Row],[Tipo de Movimiento]]="Ingreso",tblMovimientos[[#This Row],[Monto (S/)]],"0")</f>
        <v>87085.14</v>
      </c>
      <c r="O283" s="63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81" t="str">
        <f>IF(tblMovimientos[[#This Row],[Cuenta Bancaria]]="","",_xlfn.XLOOKUP(tblMovimientos[[#This Row],[Cuenta Bancaria]],Cuentas!$C:$C,Cuentas!$A:$A,"No encontrado"))</f>
        <v>SSP Group</v>
      </c>
      <c r="R283" s="81" t="str">
        <f>TRIM(_xlfn.XLOOKUP(tblMovimientos[[#This Row],[Cuenta Bancaria]],Cuentas!$C:$C,Cuentas!$B:$B,""))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71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3" t="str">
        <f>IF(tblMovimientos[[#This Row],[Tipo de Movimiento]]="Ingreso",tblMovimientos[[#This Row],[Monto (S/)]],"0")</f>
        <v>0</v>
      </c>
      <c r="O284" s="63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81" t="str">
        <f>IF(tblMovimientos[[#This Row],[Cuenta Bancaria]]="","",_xlfn.XLOOKUP(tblMovimientos[[#This Row],[Cuenta Bancaria]],Cuentas!$C:$C,Cuentas!$A:$A,"No encontrado"))</f>
        <v>SSP Group</v>
      </c>
      <c r="R284" s="81" t="str">
        <f>TRIM(_xlfn.XLOOKUP(tblMovimientos[[#This Row],[Cuenta Bancaria]],Cuentas!$C:$C,Cuentas!$B:$B,""))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71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>IF(F285="Ingreso",J285,-J285)</f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3" t="str">
        <f>IF(tblMovimientos[[#This Row],[Tipo de Movimiento]]="Ingreso",tblMovimientos[[#This Row],[Monto (S/)]],"0")</f>
        <v>0</v>
      </c>
      <c r="O285" s="63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81" t="str">
        <f>IF(tblMovimientos[[#This Row],[Cuenta Bancaria]]="","",_xlfn.XLOOKUP(tblMovimientos[[#This Row],[Cuenta Bancaria]],Cuentas!$C:$C,Cuentas!$A:$A,"No encontrado"))</f>
        <v>SSP Group</v>
      </c>
      <c r="R285" s="81" t="str">
        <f>TRIM(_xlfn.XLOOKUP(tblMovimientos[[#This Row],[Cuenta Bancaria]],Cuentas!$C:$C,Cuentas!$B:$B,""))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71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3" t="str">
        <f>IF(tblMovimientos[[#This Row],[Tipo de Movimiento]]="Ingreso",tblMovimientos[[#This Row],[Monto (S/)]],"0")</f>
        <v>0</v>
      </c>
      <c r="O286" s="63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81" t="str">
        <f>IF(tblMovimientos[[#This Row],[Cuenta Bancaria]]="","",_xlfn.XLOOKUP(tblMovimientos[[#This Row],[Cuenta Bancaria]],Cuentas!$C:$C,Cuentas!$A:$A,"No encontrado"))</f>
        <v>SSP Group</v>
      </c>
      <c r="R286" s="81" t="str">
        <f>TRIM(_xlfn.XLOOKUP(tblMovimientos[[#This Row],[Cuenta Bancaria]],Cuentas!$C:$C,Cuentas!$B:$B,""))</f>
        <v>Cross Security Trust</v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71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3" t="str">
        <f>IF(tblMovimientos[[#This Row],[Tipo de Movimiento]]="Ingreso",tblMovimientos[[#This Row],[Monto (S/)]],"0")</f>
        <v>0</v>
      </c>
      <c r="O287" s="63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81" t="str">
        <f>IF(tblMovimientos[[#This Row],[Cuenta Bancaria]]="","",_xlfn.XLOOKUP(tblMovimientos[[#This Row],[Cuenta Bancaria]],Cuentas!$C:$C,Cuentas!$A:$A,"No encontrado"))</f>
        <v>SSP Group</v>
      </c>
      <c r="R287" s="81" t="str">
        <f>TRIM(_xlfn.XLOOKUP(tblMovimientos[[#This Row],[Cuenta Bancaria]],Cuentas!$C:$C,Cuentas!$B:$B,""))</f>
        <v>Cross Security Trust</v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71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3" t="str">
        <f>IF(tblMovimientos[[#This Row],[Tipo de Movimiento]]="Ingreso",tblMovimientos[[#This Row],[Monto (S/)]],"0")</f>
        <v>0</v>
      </c>
      <c r="O288" s="63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81" t="str">
        <f>IF(tblMovimientos[[#This Row],[Cuenta Bancaria]]="","",_xlfn.XLOOKUP(tblMovimientos[[#This Row],[Cuenta Bancaria]],Cuentas!$C:$C,Cuentas!$A:$A,"No encontrado"))</f>
        <v>SSP Group</v>
      </c>
      <c r="R288" s="81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71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3" t="str">
        <f>IF(tblMovimientos[[#This Row],[Tipo de Movimiento]]="Ingreso",tblMovimientos[[#This Row],[Monto (S/)]],"0")</f>
        <v>0</v>
      </c>
      <c r="O289" s="63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81" t="str">
        <f>IF(tblMovimientos[[#This Row],[Cuenta Bancaria]]="","",_xlfn.XLOOKUP(tblMovimientos[[#This Row],[Cuenta Bancaria]],Cuentas!$C:$C,Cuentas!$A:$A,"No encontrado"))</f>
        <v>SSP Group</v>
      </c>
      <c r="R289" s="81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71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3" t="str">
        <f>IF(tblMovimientos[[#This Row],[Tipo de Movimiento]]="Ingreso",tblMovimientos[[#This Row],[Monto (S/)]],"0")</f>
        <v>0</v>
      </c>
      <c r="O290" s="63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81" t="str">
        <f>IF(tblMovimientos[[#This Row],[Cuenta Bancaria]]="","",_xlfn.XLOOKUP(tblMovimientos[[#This Row],[Cuenta Bancaria]],Cuentas!$C:$C,Cuentas!$A:$A,"No encontrado"))</f>
        <v>SSP Group</v>
      </c>
      <c r="R290" s="81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71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3" t="str">
        <f>IF(tblMovimientos[[#This Row],[Tipo de Movimiento]]="Ingreso",tblMovimientos[[#This Row],[Monto (S/)]],"0")</f>
        <v>0</v>
      </c>
      <c r="O291" s="63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81" t="str">
        <f>IF(tblMovimientos[[#This Row],[Cuenta Bancaria]]="","",_xlfn.XLOOKUP(tblMovimientos[[#This Row],[Cuenta Bancaria]],Cuentas!$C:$C,Cuentas!$A:$A,"No encontrado"))</f>
        <v>SSP Group</v>
      </c>
      <c r="R291" s="81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71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3" t="str">
        <f>IF(tblMovimientos[[#This Row],[Tipo de Movimiento]]="Ingreso",tblMovimientos[[#This Row],[Monto (S/)]],"0")</f>
        <v>0</v>
      </c>
      <c r="O292" s="63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81" t="str">
        <f>IF(tblMovimientos[[#This Row],[Cuenta Bancaria]]="","",_xlfn.XLOOKUP(tblMovimientos[[#This Row],[Cuenta Bancaria]],Cuentas!$C:$C,Cuentas!$A:$A,"No encontrado"))</f>
        <v>SSP Group</v>
      </c>
      <c r="R292" s="81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71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3" t="str">
        <f>IF(tblMovimientos[[#This Row],[Tipo de Movimiento]]="Ingreso",tblMovimientos[[#This Row],[Monto (S/)]],"0")</f>
        <v>0</v>
      </c>
      <c r="O293" s="63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81" t="str">
        <f>IF(tblMovimientos[[#This Row],[Cuenta Bancaria]]="","",_xlfn.XLOOKUP(tblMovimientos[[#This Row],[Cuenta Bancaria]],Cuentas!$C:$C,Cuentas!$A:$A,"No encontrado"))</f>
        <v>SSP Group</v>
      </c>
      <c r="R293" s="81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71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3" t="str">
        <f>IF(tblMovimientos[[#This Row],[Tipo de Movimiento]]="Ingreso",tblMovimientos[[#This Row],[Monto (S/)]],"0")</f>
        <v>0</v>
      </c>
      <c r="O294" s="63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81" t="str">
        <f>IF(tblMovimientos[[#This Row],[Cuenta Bancaria]]="","",_xlfn.XLOOKUP(tblMovimientos[[#This Row],[Cuenta Bancaria]],Cuentas!$C:$C,Cuentas!$A:$A,"No encontrado"))</f>
        <v>SSP Group</v>
      </c>
      <c r="R294" s="81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71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3" t="str">
        <f>IF(tblMovimientos[[#This Row],[Tipo de Movimiento]]="Ingreso",tblMovimientos[[#This Row],[Monto (S/)]],"0")</f>
        <v>0</v>
      </c>
      <c r="O295" s="63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81" t="str">
        <f>IF(tblMovimientos[[#This Row],[Cuenta Bancaria]]="","",_xlfn.XLOOKUP(tblMovimientos[[#This Row],[Cuenta Bancaria]],Cuentas!$C:$C,Cuentas!$A:$A,"No encontrado"))</f>
        <v>SSP Group</v>
      </c>
      <c r="R295" s="81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71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3" t="str">
        <f>IF(tblMovimientos[[#This Row],[Tipo de Movimiento]]="Ingreso",tblMovimientos[[#This Row],[Monto (S/)]],"0")</f>
        <v>0</v>
      </c>
      <c r="O296" s="63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81" t="str">
        <f>IF(tblMovimientos[[#This Row],[Cuenta Bancaria]]="","",_xlfn.XLOOKUP(tblMovimientos[[#This Row],[Cuenta Bancaria]],Cuentas!$C:$C,Cuentas!$A:$A,"No encontrado"))</f>
        <v>SSP Group</v>
      </c>
      <c r="R296" s="81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71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3">
        <f>IF(tblMovimientos[[#This Row],[Tipo de Movimiento]]="Ingreso",tblMovimientos[[#This Row],[Monto (S/)]],"0")</f>
        <v>50000</v>
      </c>
      <c r="O297" s="63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81" t="str">
        <f>IF(tblMovimientos[[#This Row],[Cuenta Bancaria]]="","",_xlfn.XLOOKUP(tblMovimientos[[#This Row],[Cuenta Bancaria]],Cuentas!$C:$C,Cuentas!$A:$A,"No encontrado"))</f>
        <v>Trust</v>
      </c>
      <c r="R297" s="81" t="str">
        <f>TRIM(_xlfn.XLOOKUP(tblMovimientos[[#This Row],[Cuenta Bancaria]],Cuentas!$C:$C,Cuentas!$B:$B,""))</f>
        <v/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71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3" t="str">
        <f>IF(tblMovimientos[[#This Row],[Tipo de Movimiento]]="Ingreso",tblMovimientos[[#This Row],[Monto (S/)]],"0")</f>
        <v>0</v>
      </c>
      <c r="O298" s="63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81" t="str">
        <f>IF(tblMovimientos[[#This Row],[Cuenta Bancaria]]="","",_xlfn.XLOOKUP(tblMovimientos[[#This Row],[Cuenta Bancaria]],Cuentas!$C:$C,Cuentas!$A:$A,"No encontrado"))</f>
        <v>Trust</v>
      </c>
      <c r="R298" s="81" t="str">
        <f>TRIM(_xlfn.XLOOKUP(tblMovimientos[[#This Row],[Cuenta Bancaria]],Cuentas!$C:$C,Cuentas!$B:$B,""))</f>
        <v/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71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3" t="str">
        <f>IF(tblMovimientos[[#This Row],[Tipo de Movimiento]]="Ingreso",tblMovimientos[[#This Row],[Monto (S/)]],"0")</f>
        <v>0</v>
      </c>
      <c r="O299" s="63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81" t="str">
        <f>IF(tblMovimientos[[#This Row],[Cuenta Bancaria]]="","",_xlfn.XLOOKUP(tblMovimientos[[#This Row],[Cuenta Bancaria]],Cuentas!$C:$C,Cuentas!$A:$A,"No encontrado"))</f>
        <v>SSP Group</v>
      </c>
      <c r="R299" s="81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71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3" t="str">
        <f>IF(tblMovimientos[[#This Row],[Tipo de Movimiento]]="Ingreso",tblMovimientos[[#This Row],[Monto (S/)]],"0")</f>
        <v>0</v>
      </c>
      <c r="O300" s="63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81" t="str">
        <f>IF(tblMovimientos[[#This Row],[Cuenta Bancaria]]="","",_xlfn.XLOOKUP(tblMovimientos[[#This Row],[Cuenta Bancaria]],Cuentas!$C:$C,Cuentas!$A:$A,"No encontrado"))</f>
        <v>SSP Group</v>
      </c>
      <c r="R300" s="81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71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3" t="str">
        <f>IF(tblMovimientos[[#This Row],[Tipo de Movimiento]]="Ingreso",tblMovimientos[[#This Row],[Monto (S/)]],"0")</f>
        <v>0</v>
      </c>
      <c r="O301" s="63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81" t="str">
        <f>IF(tblMovimientos[[#This Row],[Cuenta Bancaria]]="","",_xlfn.XLOOKUP(tblMovimientos[[#This Row],[Cuenta Bancaria]],Cuentas!$C:$C,Cuentas!$A:$A,"No encontrado"))</f>
        <v>SSP Group</v>
      </c>
      <c r="R301" s="81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71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3" t="str">
        <f>IF(tblMovimientos[[#This Row],[Tipo de Movimiento]]="Ingreso",tblMovimientos[[#This Row],[Monto (S/)]],"0")</f>
        <v>0</v>
      </c>
      <c r="O302" s="63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81" t="str">
        <f>IF(tblMovimientos[[#This Row],[Cuenta Bancaria]]="","",_xlfn.XLOOKUP(tblMovimientos[[#This Row],[Cuenta Bancaria]],Cuentas!$C:$C,Cuentas!$A:$A,"No encontrado"))</f>
        <v>SSP Group</v>
      </c>
      <c r="R302" s="81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71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47"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3" t="str">
        <f>IF(tblMovimientos[[#This Row],[Tipo de Movimiento]]="Ingreso",tblMovimientos[[#This Row],[Monto (S/)]],"0")</f>
        <v>0</v>
      </c>
      <c r="O303" s="63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81" t="str">
        <f>IF(tblMovimientos[[#This Row],[Cuenta Bancaria]]="","",_xlfn.XLOOKUP(tblMovimientos[[#This Row],[Cuenta Bancaria]],Cuentas!$C:$C,Cuentas!$A:$A,"No encontrado"))</f>
        <v>SSP Group</v>
      </c>
      <c r="R303" s="81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71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47"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3" t="str">
        <f>IF(tblMovimientos[[#This Row],[Tipo de Movimiento]]="Ingreso",tblMovimientos[[#This Row],[Monto (S/)]],"0")</f>
        <v>0</v>
      </c>
      <c r="O304" s="63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81" t="str">
        <f>IF(tblMovimientos[[#This Row],[Cuenta Bancaria]]="","",_xlfn.XLOOKUP(tblMovimientos[[#This Row],[Cuenta Bancaria]],Cuentas!$C:$C,Cuentas!$A:$A,"No encontrado"))</f>
        <v>SSP Group</v>
      </c>
      <c r="R304" s="81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71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47"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3" t="str">
        <f>IF(tblMovimientos[[#This Row],[Tipo de Movimiento]]="Ingreso",tblMovimientos[[#This Row],[Monto (S/)]],"0")</f>
        <v>0</v>
      </c>
      <c r="O305" s="63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81" t="str">
        <f>IF(tblMovimientos[[#This Row],[Cuenta Bancaria]]="","",_xlfn.XLOOKUP(tblMovimientos[[#This Row],[Cuenta Bancaria]],Cuentas!$C:$C,Cuentas!$A:$A,"No encontrado"))</f>
        <v>SSP Group</v>
      </c>
      <c r="R305" s="81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71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47"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3">
        <f>IF(tblMovimientos[[#This Row],[Tipo de Movimiento]]="Ingreso",tblMovimientos[[#This Row],[Monto (S/)]],"0")</f>
        <v>50000</v>
      </c>
      <c r="O306" s="63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81" t="str">
        <f>IF(tblMovimientos[[#This Row],[Cuenta Bancaria]]="","",_xlfn.XLOOKUP(tblMovimientos[[#This Row],[Cuenta Bancaria]],Cuentas!$C:$C,Cuentas!$A:$A,"No encontrado"))</f>
        <v>SSP Group</v>
      </c>
      <c r="R306" s="81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71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47"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3" t="str">
        <f>IF(tblMovimientos[[#This Row],[Tipo de Movimiento]]="Ingreso",tblMovimientos[[#This Row],[Monto (S/)]],"0")</f>
        <v>0</v>
      </c>
      <c r="O307" s="63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81" t="str">
        <f>IF(tblMovimientos[[#This Row],[Cuenta Bancaria]]="","",_xlfn.XLOOKUP(tblMovimientos[[#This Row],[Cuenta Bancaria]],Cuentas!$C:$C,Cuentas!$A:$A,"No encontrado"))</f>
        <v>SSP Group</v>
      </c>
      <c r="R307" s="81" t="str">
        <f>TRIM(_xlfn.XLOOKUP(tblMovimientos[[#This Row],[Cuenta Bancaria]],Cuentas!$C:$C,Cuentas!$B:$B,""))</f>
        <v/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71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47">
        <f>IF(F308="Ingreso",J308,-J308)</f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3" t="str">
        <f>IF(tblMovimientos[[#This Row],[Tipo de Movimiento]]="Ingreso",tblMovimientos[[#This Row],[Monto (S/)]],"0")</f>
        <v>0</v>
      </c>
      <c r="O308" s="63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81" t="str">
        <f>IF(tblMovimientos[[#This Row],[Cuenta Bancaria]]="","",_xlfn.XLOOKUP(tblMovimientos[[#This Row],[Cuenta Bancaria]],Cuentas!$C:$C,Cuentas!$A:$A,"No encontrado"))</f>
        <v>SSP Group</v>
      </c>
      <c r="R308" s="81" t="str">
        <f>TRIM(_xlfn.XLOOKUP(tblMovimientos[[#This Row],[Cuenta Bancaria]],Cuentas!$C:$C,Cuentas!$B:$B,""))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71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47">
        <f>IF(F309="Ingreso",J309,-J309)</f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3">
        <f>IF(tblMovimientos[[#This Row],[Tipo de Movimiento]]="Ingreso",tblMovimientos[[#This Row],[Monto (S/)]],"0")</f>
        <v>50000</v>
      </c>
      <c r="O309" s="63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81" t="str">
        <f>IF(tblMovimientos[[#This Row],[Cuenta Bancaria]]="","",_xlfn.XLOOKUP(tblMovimientos[[#This Row],[Cuenta Bancaria]],Cuentas!$C:$C,Cuentas!$A:$A,"No encontrado"))</f>
        <v>SSP Group</v>
      </c>
      <c r="R309" s="81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71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47">
        <f>IF(F310="Ingreso",J310,-J310)</f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3" t="str">
        <f>IF(tblMovimientos[[#This Row],[Tipo de Movimiento]]="Ingreso",tblMovimientos[[#This Row],[Monto (S/)]],"0")</f>
        <v>0</v>
      </c>
      <c r="O310" s="63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81" t="str">
        <f>IF(tblMovimientos[[#This Row],[Cuenta Bancaria]]="","",_xlfn.XLOOKUP(tblMovimientos[[#This Row],[Cuenta Bancaria]],Cuentas!$C:$C,Cuentas!$A:$A,"No encontrado"))</f>
        <v>SSP Group</v>
      </c>
      <c r="R310" s="81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71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47">
        <f>IF(F311="Ingreso",J311,-J311)</f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3">
        <f>IF(tblMovimientos[[#This Row],[Tipo de Movimiento]]="Ingreso",tblMovimientos[[#This Row],[Monto (S/)]],"0")</f>
        <v>2000</v>
      </c>
      <c r="O311" s="63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81" t="str">
        <f>IF(tblMovimientos[[#This Row],[Cuenta Bancaria]]="","",_xlfn.XLOOKUP(tblMovimientos[[#This Row],[Cuenta Bancaria]],Cuentas!$C:$C,Cuentas!$A:$A,"No encontrado"))</f>
        <v>SSP Group</v>
      </c>
      <c r="R311" s="81" t="str">
        <f>TRIM(_xlfn.XLOOKUP(tblMovimientos[[#This Row],[Cuenta Bancaria]],Cuentas!$C:$C,Cuentas!$B:$B,""))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71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47">
        <f>IF(F312="Ingreso",J312,-J312)</f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3" t="str">
        <f>IF(tblMovimientos[[#This Row],[Tipo de Movimiento]]="Ingreso",tblMovimientos[[#This Row],[Monto (S/)]],"0")</f>
        <v>0</v>
      </c>
      <c r="O312" s="63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81" t="str">
        <f>IF(tblMovimientos[[#This Row],[Cuenta Bancaria]]="","",_xlfn.XLOOKUP(tblMovimientos[[#This Row],[Cuenta Bancaria]],Cuentas!$C:$C,Cuentas!$A:$A,"No encontrado"))</f>
        <v>SSP Group</v>
      </c>
      <c r="R312" s="81" t="str">
        <f>TRIM(_xlfn.XLOOKUP(tblMovimientos[[#This Row],[Cuenta Bancaria]],Cuentas!$C:$C,Cuentas!$B:$B,""))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71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47">
        <f>IF(F313="Ingreso",J313,-J313)</f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3">
        <f>IF(tblMovimientos[[#This Row],[Tipo de Movimiento]]="Ingreso",tblMovimientos[[#This Row],[Monto (S/)]],"0")</f>
        <v>2970000</v>
      </c>
      <c r="O313" s="63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81" t="str">
        <f>IF(tblMovimientos[[#This Row],[Cuenta Bancaria]]="","",_xlfn.XLOOKUP(tblMovimientos[[#This Row],[Cuenta Bancaria]],Cuentas!$C:$C,Cuentas!$A:$A,"No encontrado"))</f>
        <v>SSP Group</v>
      </c>
      <c r="R313" s="81" t="str">
        <f>TRIM(_xlfn.XLOOKUP(tblMovimientos[[#This Row],[Cuenta Bancaria]],Cuentas!$C:$C,Cuentas!$B:$B,""))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71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72"/>
      <c r="J314" s="43">
        <v>0.62</v>
      </c>
      <c r="K314" s="47"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Q314" s="81"/>
      <c r="R314" s="81"/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71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47">
        <f>IF(F315="Ingreso",J315,-J315)</f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3" t="str">
        <f>IF(tblMovimientos[[#This Row],[Tipo de Movimiento]]="Ingreso",tblMovimientos[[#This Row],[Monto (S/)]],"0")</f>
        <v>0</v>
      </c>
      <c r="O315" s="63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81" t="str">
        <f>IF(tblMovimientos[[#This Row],[Cuenta Bancaria]]="","",_xlfn.XLOOKUP(tblMovimientos[[#This Row],[Cuenta Bancaria]],Cuentas!$C:$C,Cuentas!$A:$A,"No encontrado"))</f>
        <v>SSP Group</v>
      </c>
      <c r="R315" s="81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71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47">
        <f>IF(F316="Ingreso",J316,-J316)</f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3">
        <f>IF(tblMovimientos[[#This Row],[Tipo de Movimiento]]="Ingreso",tblMovimientos[[#This Row],[Monto (S/)]],"0")</f>
        <v>270000</v>
      </c>
      <c r="O316" s="63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81" t="str">
        <f>IF(tblMovimientos[[#This Row],[Cuenta Bancaria]]="","",_xlfn.XLOOKUP(tblMovimientos[[#This Row],[Cuenta Bancaria]],Cuentas!$C:$C,Cuentas!$A:$A,"No encontrado"))</f>
        <v>SSP Group</v>
      </c>
      <c r="R316" s="81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71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47">
        <f>IF(F317="Ingreso",J317,-J317)</f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3" t="str">
        <f>IF(tblMovimientos[[#This Row],[Tipo de Movimiento]]="Ingreso",tblMovimientos[[#This Row],[Monto (S/)]],"0")</f>
        <v>0</v>
      </c>
      <c r="O317" s="63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81" t="str">
        <f>IF(tblMovimientos[[#This Row],[Cuenta Bancaria]]="","",_xlfn.XLOOKUP(tblMovimientos[[#This Row],[Cuenta Bancaria]],Cuentas!$C:$C,Cuentas!$A:$A,"No encontrado"))</f>
        <v>SSP Group</v>
      </c>
      <c r="R317" s="81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71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47">
        <f>IF(F318="Ingreso",J318,-J318)</f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3" t="str">
        <f>IF(tblMovimientos[[#This Row],[Tipo de Movimiento]]="Ingreso",tblMovimientos[[#This Row],[Monto (S/)]],"0")</f>
        <v>0</v>
      </c>
      <c r="O318" s="63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81" t="str">
        <f>IF(tblMovimientos[[#This Row],[Cuenta Bancaria]]="","",_xlfn.XLOOKUP(tblMovimientos[[#This Row],[Cuenta Bancaria]],Cuentas!$C:$C,Cuentas!$A:$A,"No encontrado"))</f>
        <v>SSP Group</v>
      </c>
      <c r="R318" s="81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71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47">
        <f>IF(F319="Ingreso",J319,-J319)</f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3" t="str">
        <f>IF(tblMovimientos[[#This Row],[Tipo de Movimiento]]="Ingreso",tblMovimientos[[#This Row],[Monto (S/)]],"0")</f>
        <v>0</v>
      </c>
      <c r="O319" s="63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81" t="str">
        <f>IF(tblMovimientos[[#This Row],[Cuenta Bancaria]]="","",_xlfn.XLOOKUP(tblMovimientos[[#This Row],[Cuenta Bancaria]],Cuentas!$C:$C,Cuentas!$A:$A,"No encontrado"))</f>
        <v>SSP Group</v>
      </c>
      <c r="R319" s="81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71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47">
        <f>IF(F320="Ingreso",J320,-J320)</f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3" t="str">
        <f>IF(tblMovimientos[[#This Row],[Tipo de Movimiento]]="Ingreso",tblMovimientos[[#This Row],[Monto (S/)]],"0")</f>
        <v>0</v>
      </c>
      <c r="O320" s="63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81" t="str">
        <f>IF(tblMovimientos[[#This Row],[Cuenta Bancaria]]="","",_xlfn.XLOOKUP(tblMovimientos[[#This Row],[Cuenta Bancaria]],Cuentas!$C:$C,Cuentas!$A:$A,"No encontrado"))</f>
        <v>SSP Group</v>
      </c>
      <c r="R320" s="81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71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47">
        <f>IF(F321="Ingreso",J321,-J321)</f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3" t="str">
        <f>IF(tblMovimientos[[#This Row],[Tipo de Movimiento]]="Ingreso",tblMovimientos[[#This Row],[Monto (S/)]],"0")</f>
        <v>0</v>
      </c>
      <c r="O321" s="63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81" t="str">
        <f>IF(tblMovimientos[[#This Row],[Cuenta Bancaria]]="","",_xlfn.XLOOKUP(tblMovimientos[[#This Row],[Cuenta Bancaria]],Cuentas!$C:$C,Cuentas!$A:$A,"No encontrado"))</f>
        <v>SSP Group</v>
      </c>
      <c r="R321" s="81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71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47">
        <f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3" t="str">
        <f>IF(tblMovimientos[[#This Row],[Tipo de Movimiento]]="Ingreso",tblMovimientos[[#This Row],[Monto (S/)]],"0")</f>
        <v>0</v>
      </c>
      <c r="O322" s="63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81" t="str">
        <f>IF(tblMovimientos[[#This Row],[Cuenta Bancaria]]="","",_xlfn.XLOOKUP(tblMovimientos[[#This Row],[Cuenta Bancaria]],Cuentas!$C:$C,Cuentas!$A:$A,"No encontrado"))</f>
        <v>SSP Group</v>
      </c>
      <c r="R322" s="81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71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47">
        <f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3" t="str">
        <f>IF(tblMovimientos[[#This Row],[Tipo de Movimiento]]="Ingreso",tblMovimientos[[#This Row],[Monto (S/)]],"0")</f>
        <v>0</v>
      </c>
      <c r="O323" s="63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81" t="str">
        <f>IF(tblMovimientos[[#This Row],[Cuenta Bancaria]]="","",_xlfn.XLOOKUP(tblMovimientos[[#This Row],[Cuenta Bancaria]],Cuentas!$C:$C,Cuentas!$A:$A,"No encontrado"))</f>
        <v>SSP Group</v>
      </c>
      <c r="R323" s="81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71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47">
        <f>IF(F324="Ingreso",J324,-J324)</f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3" t="str">
        <f>IF(tblMovimientos[[#This Row],[Tipo de Movimiento]]="Ingreso",tblMovimientos[[#This Row],[Monto (S/)]],"0")</f>
        <v>0</v>
      </c>
      <c r="O324" s="63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81" t="str">
        <f>IF(tblMovimientos[[#This Row],[Cuenta Bancaria]]="","",_xlfn.XLOOKUP(tblMovimientos[[#This Row],[Cuenta Bancaria]],Cuentas!$C:$C,Cuentas!$A:$A,"No encontrado"))</f>
        <v>SSP Group</v>
      </c>
      <c r="R324" s="81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71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47">
        <f>IF(F325="Ingreso",J325,-J325)</f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3" t="str">
        <f>IF(tblMovimientos[[#This Row],[Tipo de Movimiento]]="Ingreso",tblMovimientos[[#This Row],[Monto (S/)]],"0")</f>
        <v>0</v>
      </c>
      <c r="O325" s="63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81" t="str">
        <f>IF(tblMovimientos[[#This Row],[Cuenta Bancaria]]="","",_xlfn.XLOOKUP(tblMovimientos[[#This Row],[Cuenta Bancaria]],Cuentas!$C:$C,Cuentas!$A:$A,"No encontrado"))</f>
        <v>SSP Group</v>
      </c>
      <c r="R325" s="81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71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47">
        <f>IF(F326="Ingreso",J326,-J326)</f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3" t="str">
        <f>IF(tblMovimientos[[#This Row],[Tipo de Movimiento]]="Ingreso",tblMovimientos[[#This Row],[Monto (S/)]],"0")</f>
        <v>0</v>
      </c>
      <c r="O326" s="63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81" t="str">
        <f>IF(tblMovimientos[[#This Row],[Cuenta Bancaria]]="","",_xlfn.XLOOKUP(tblMovimientos[[#This Row],[Cuenta Bancaria]],Cuentas!$C:$C,Cuentas!$A:$A,"No encontrado"))</f>
        <v>SSP Group</v>
      </c>
      <c r="R326" s="81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71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47">
        <f>IF(F327="Ingreso",J327,-J327)</f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3" t="str">
        <f>IF(tblMovimientos[[#This Row],[Tipo de Movimiento]]="Ingreso",tblMovimientos[[#This Row],[Monto (S/)]],"0")</f>
        <v>0</v>
      </c>
      <c r="O327" s="63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81" t="str">
        <f>IF(tblMovimientos[[#This Row],[Cuenta Bancaria]]="","",_xlfn.XLOOKUP(tblMovimientos[[#This Row],[Cuenta Bancaria]],Cuentas!$C:$C,Cuentas!$A:$A,"No encontrado"))</f>
        <v>SSP Group</v>
      </c>
      <c r="R327" s="81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71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47">
        <f>IF(F328="Ingreso",J328,-J328)</f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3" t="str">
        <f>IF(tblMovimientos[[#This Row],[Tipo de Movimiento]]="Ingreso",tblMovimientos[[#This Row],[Monto (S/)]],"0")</f>
        <v>0</v>
      </c>
      <c r="O328" s="63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81" t="str">
        <f>IF(tblMovimientos[[#This Row],[Cuenta Bancaria]]="","",_xlfn.XLOOKUP(tblMovimientos[[#This Row],[Cuenta Bancaria]],Cuentas!$C:$C,Cuentas!$A:$A,"No encontrado"))</f>
        <v>SSP Group</v>
      </c>
      <c r="R328" s="81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71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47">
        <f>IF(F329="Ingreso",J329,-J329)</f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3" t="str">
        <f>IF(tblMovimientos[[#This Row],[Tipo de Movimiento]]="Ingreso",tblMovimientos[[#This Row],[Monto (S/)]],"0")</f>
        <v>0</v>
      </c>
      <c r="O329" s="63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81" t="str">
        <f>IF(tblMovimientos[[#This Row],[Cuenta Bancaria]]="","",_xlfn.XLOOKUP(tblMovimientos[[#This Row],[Cuenta Bancaria]],Cuentas!$C:$C,Cuentas!$A:$A,"No encontrado"))</f>
        <v>SSP Group</v>
      </c>
      <c r="R329" s="81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71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47">
        <f>IF(F330="Ingreso",J330,-J330)</f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3" t="str">
        <f>IF(tblMovimientos[[#This Row],[Tipo de Movimiento]]="Ingreso",tblMovimientos[[#This Row],[Monto (S/)]],"0")</f>
        <v>0</v>
      </c>
      <c r="O330" s="63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81" t="str">
        <f>IF(tblMovimientos[[#This Row],[Cuenta Bancaria]]="","",_xlfn.XLOOKUP(tblMovimientos[[#This Row],[Cuenta Bancaria]],Cuentas!$C:$C,Cuentas!$A:$A,"No encontrado"))</f>
        <v>SSP Group</v>
      </c>
      <c r="R330" s="81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71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47">
        <f>IF(F331="Ingreso",J331,-J331)</f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3" t="str">
        <f>IF(tblMovimientos[[#This Row],[Tipo de Movimiento]]="Ingreso",tblMovimientos[[#This Row],[Monto (S/)]],"0")</f>
        <v>0</v>
      </c>
      <c r="O331" s="63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81" t="str">
        <f>IF(tblMovimientos[[#This Row],[Cuenta Bancaria]]="","",_xlfn.XLOOKUP(tblMovimientos[[#This Row],[Cuenta Bancaria]],Cuentas!$C:$C,Cuentas!$A:$A,"No encontrado"))</f>
        <v>SSP Group</v>
      </c>
      <c r="R331" s="81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71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47">
        <f>IF(F332="Ingreso",J332,-J332)</f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3" t="str">
        <f>IF(tblMovimientos[[#This Row],[Tipo de Movimiento]]="Ingreso",tblMovimientos[[#This Row],[Monto (S/)]],"0")</f>
        <v>0</v>
      </c>
      <c r="O332" s="63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81" t="str">
        <f>IF(tblMovimientos[[#This Row],[Cuenta Bancaria]]="","",_xlfn.XLOOKUP(tblMovimientos[[#This Row],[Cuenta Bancaria]],Cuentas!$C:$C,Cuentas!$A:$A,"No encontrado"))</f>
        <v>SSP Group</v>
      </c>
      <c r="R332" s="81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71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47">
        <f>IF(F333="Ingreso",J333,-J333)</f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3" t="str">
        <f>IF(tblMovimientos[[#This Row],[Tipo de Movimiento]]="Ingreso",tblMovimientos[[#This Row],[Monto (S/)]],"0")</f>
        <v>0</v>
      </c>
      <c r="O333" s="63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81" t="str">
        <f>IF(tblMovimientos[[#This Row],[Cuenta Bancaria]]="","",_xlfn.XLOOKUP(tblMovimientos[[#This Row],[Cuenta Bancaria]],Cuentas!$C:$C,Cuentas!$A:$A,"No encontrado"))</f>
        <v>SSP Group</v>
      </c>
      <c r="R333" s="81" t="str">
        <f>TRIM(_xlfn.XLOOKUP(tblMovimientos[[#This Row],[Cuenta Bancaria]],Cuentas!$C:$C,Cuentas!$B:$B,""))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71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47">
        <f>IF(F334="Ingreso",J334,-J334)</f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3" t="str">
        <f>IF(tblMovimientos[[#This Row],[Tipo de Movimiento]]="Ingreso",tblMovimientos[[#This Row],[Monto (S/)]],"0")</f>
        <v>0</v>
      </c>
      <c r="O334" s="63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81" t="str">
        <f>IF(tblMovimientos[[#This Row],[Cuenta Bancaria]]="","",_xlfn.XLOOKUP(tblMovimientos[[#This Row],[Cuenta Bancaria]],Cuentas!$C:$C,Cuentas!$A:$A,"No encontrado"))</f>
        <v>SSP Group</v>
      </c>
      <c r="R334" s="81" t="str">
        <f>TRIM(_xlfn.XLOOKUP(tblMovimientos[[#This Row],[Cuenta Bancaria]],Cuentas!$C:$C,Cuentas!$B:$B,""))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71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47">
        <f>IF(F335="Ingreso",J335,-J335)</f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3" t="str">
        <f>IF(tblMovimientos[[#This Row],[Tipo de Movimiento]]="Ingreso",tblMovimientos[[#This Row],[Monto (S/)]],"0")</f>
        <v>0</v>
      </c>
      <c r="O335" s="63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81" t="str">
        <f>IF(tblMovimientos[[#This Row],[Cuenta Bancaria]]="","",_xlfn.XLOOKUP(tblMovimientos[[#This Row],[Cuenta Bancaria]],Cuentas!$C:$C,Cuentas!$A:$A,"No encontrado"))</f>
        <v>SSP Group</v>
      </c>
      <c r="R335" s="81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71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47">
        <f>IF(F336="Ingreso",J336,-J336)</f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3" t="str">
        <f>IF(tblMovimientos[[#This Row],[Tipo de Movimiento]]="Ingreso",tblMovimientos[[#This Row],[Monto (S/)]],"0")</f>
        <v>0</v>
      </c>
      <c r="O336" s="63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81" t="str">
        <f>IF(tblMovimientos[[#This Row],[Cuenta Bancaria]]="","",_xlfn.XLOOKUP(tblMovimientos[[#This Row],[Cuenta Bancaria]],Cuentas!$C:$C,Cuentas!$A:$A,"No encontrado"))</f>
        <v>SSP Group</v>
      </c>
      <c r="R336" s="81" t="str">
        <f>TRIM(_xlfn.XLOOKUP(tblMovimientos[[#This Row],[Cuenta Bancaria]],Cuentas!$C:$C,Cuentas!$B:$B,""))</f>
        <v>Cross Security Trust</v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71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47">
        <f>IF(F337="Ingreso",J337,-J337)</f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3" t="str">
        <f>IF(tblMovimientos[[#This Row],[Tipo de Movimiento]]="Ingreso",tblMovimientos[[#This Row],[Monto (S/)]],"0")</f>
        <v>0</v>
      </c>
      <c r="O337" s="63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81" t="str">
        <f>IF(tblMovimientos[[#This Row],[Cuenta Bancaria]]="","",_xlfn.XLOOKUP(tblMovimientos[[#This Row],[Cuenta Bancaria]],Cuentas!$C:$C,Cuentas!$A:$A,"No encontrado"))</f>
        <v>SSP Group</v>
      </c>
      <c r="R337" s="81" t="str">
        <f>TRIM(_xlfn.XLOOKUP(tblMovimientos[[#This Row],[Cuenta Bancaria]],Cuentas!$C:$C,Cuentas!$B:$B,""))</f>
        <v>Cross Security Trust</v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71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47">
        <f>IF(F338="Ingreso",J338,-J338)</f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3" t="str">
        <f>IF(tblMovimientos[[#This Row],[Tipo de Movimiento]]="Ingreso",tblMovimientos[[#This Row],[Monto (S/)]],"0")</f>
        <v>0</v>
      </c>
      <c r="O338" s="63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81" t="str">
        <f>IF(tblMovimientos[[#This Row],[Cuenta Bancaria]]="","",_xlfn.XLOOKUP(tblMovimientos[[#This Row],[Cuenta Bancaria]],Cuentas!$C:$C,Cuentas!$A:$A,"No encontrado"))</f>
        <v>SSP Group</v>
      </c>
      <c r="R338" s="81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71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47">
        <f>IF(F339="Ingreso",J339,-J339)</f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3" t="str">
        <f>IF(tblMovimientos[[#This Row],[Tipo de Movimiento]]="Ingreso",tblMovimientos[[#This Row],[Monto (S/)]],"0")</f>
        <v>0</v>
      </c>
      <c r="O339" s="63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81" t="str">
        <f>IF(tblMovimientos[[#This Row],[Cuenta Bancaria]]="","",_xlfn.XLOOKUP(tblMovimientos[[#This Row],[Cuenta Bancaria]],Cuentas!$C:$C,Cuentas!$A:$A,"No encontrado"))</f>
        <v>SSP Group</v>
      </c>
      <c r="R339" s="81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71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47">
        <f>IF(F340="Ingreso",J340,-J340)</f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3" t="str">
        <f>IF(tblMovimientos[[#This Row],[Tipo de Movimiento]]="Ingreso",tblMovimientos[[#This Row],[Monto (S/)]],"0")</f>
        <v>0</v>
      </c>
      <c r="O340" s="63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81" t="str">
        <f>IF(tblMovimientos[[#This Row],[Cuenta Bancaria]]="","",_xlfn.XLOOKUP(tblMovimientos[[#This Row],[Cuenta Bancaria]],Cuentas!$C:$C,Cuentas!$A:$A,"No encontrado"))</f>
        <v>SSP Group</v>
      </c>
      <c r="R340" s="81" t="str">
        <f>TRIM(_xlfn.XLOOKUP(tblMovimientos[[#This Row],[Cuenta Bancaria]],Cuentas!$C:$C,Cuentas!$B:$B,""))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71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47">
        <f>IF(F341="Ingreso",J341,-J341)</f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3">
        <f>IF(tblMovimientos[[#This Row],[Tipo de Movimiento]]="Ingreso",tblMovimientos[[#This Row],[Monto (S/)]],"0")</f>
        <v>2000</v>
      </c>
      <c r="O341" s="63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81" t="str">
        <f>IF(tblMovimientos[[#This Row],[Cuenta Bancaria]]="","",_xlfn.XLOOKUP(tblMovimientos[[#This Row],[Cuenta Bancaria]],Cuentas!$C:$C,Cuentas!$A:$A,"No encontrado"))</f>
        <v>SSP Group</v>
      </c>
      <c r="R341" s="81" t="str">
        <f>TRIM(_xlfn.XLOOKUP(tblMovimientos[[#This Row],[Cuenta Bancaria]],Cuentas!$C:$C,Cuentas!$B:$B,""))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71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47">
        <f>IF(F342="Ingreso",J342,-J342)</f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3" t="str">
        <f>IF(tblMovimientos[[#This Row],[Tipo de Movimiento]]="Ingreso",tblMovimientos[[#This Row],[Monto (S/)]],"0")</f>
        <v>0</v>
      </c>
      <c r="O342" s="63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81" t="str">
        <f>IF(tblMovimientos[[#This Row],[Cuenta Bancaria]]="","",_xlfn.XLOOKUP(tblMovimientos[[#This Row],[Cuenta Bancaria]],Cuentas!$C:$C,Cuentas!$A:$A,"No encontrado"))</f>
        <v>SSP Group</v>
      </c>
      <c r="R342" s="81" t="str">
        <f>TRIM(_xlfn.XLOOKUP(tblMovimientos[[#This Row],[Cuenta Bancaria]],Cuentas!$C:$C,Cuentas!$B:$B,""))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71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47">
        <f>IF(F343="Ingreso",J343,-J343)</f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3">
        <f>IF(tblMovimientos[[#This Row],[Tipo de Movimiento]]="Ingreso",tblMovimientos[[#This Row],[Monto (S/)]],"0")</f>
        <v>54600</v>
      </c>
      <c r="O343" s="63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81" t="str">
        <f>IF(tblMovimientos[[#This Row],[Cuenta Bancaria]]="","",_xlfn.XLOOKUP(tblMovimientos[[#This Row],[Cuenta Bancaria]],Cuentas!$C:$C,Cuentas!$A:$A,"No encontrado"))</f>
        <v>SSP Group</v>
      </c>
      <c r="R343" s="81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71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47">
        <f>IF(F344="Ingreso",J344,-J344)</f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3" t="str">
        <f>IF(tblMovimientos[[#This Row],[Tipo de Movimiento]]="Ingreso",tblMovimientos[[#This Row],[Monto (S/)]],"0")</f>
        <v>0</v>
      </c>
      <c r="O344" s="63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81" t="str">
        <f>IF(tblMovimientos[[#This Row],[Cuenta Bancaria]]="","",_xlfn.XLOOKUP(tblMovimientos[[#This Row],[Cuenta Bancaria]],Cuentas!$C:$C,Cuentas!$A:$A,"No encontrado"))</f>
        <v>SSP Group</v>
      </c>
      <c r="R344" s="81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71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47">
        <f>IF(F345="Ingreso",J345,-J345)</f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3" t="str">
        <f>IF(tblMovimientos[[#This Row],[Tipo de Movimiento]]="Ingreso",tblMovimientos[[#This Row],[Monto (S/)]],"0")</f>
        <v>0</v>
      </c>
      <c r="O345" s="63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81" t="str">
        <f>IF(tblMovimientos[[#This Row],[Cuenta Bancaria]]="","",_xlfn.XLOOKUP(tblMovimientos[[#This Row],[Cuenta Bancaria]],Cuentas!$C:$C,Cuentas!$A:$A,"No encontrado"))</f>
        <v>SSP Group</v>
      </c>
      <c r="R345" s="81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71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47">
        <f>IF(F346="Ingreso",J346,-J346)</f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3" t="str">
        <f>IF(tblMovimientos[[#This Row],[Tipo de Movimiento]]="Ingreso",tblMovimientos[[#This Row],[Monto (S/)]],"0")</f>
        <v>0</v>
      </c>
      <c r="O346" s="63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81" t="str">
        <f>IF(tblMovimientos[[#This Row],[Cuenta Bancaria]]="","",_xlfn.XLOOKUP(tblMovimientos[[#This Row],[Cuenta Bancaria]],Cuentas!$C:$C,Cuentas!$A:$A,"No encontrado"))</f>
        <v>SSP Group</v>
      </c>
      <c r="R346" s="81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71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47">
        <f>IF(F347="Ingreso",J347,-J347)</f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3">
        <f>IF(tblMovimientos[[#This Row],[Tipo de Movimiento]]="Ingreso",tblMovimientos[[#This Row],[Monto (S/)]],"0")</f>
        <v>100392.81</v>
      </c>
      <c r="O347" s="63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81" t="str">
        <f>IF(tblMovimientos[[#This Row],[Cuenta Bancaria]]="","",_xlfn.XLOOKUP(tblMovimientos[[#This Row],[Cuenta Bancaria]],Cuentas!$C:$C,Cuentas!$A:$A,"No encontrado"))</f>
        <v>SSP Group</v>
      </c>
      <c r="R347" s="81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71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47">
        <f>IF(F348="Ingreso",J348,-J348)</f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3" t="str">
        <f>IF(tblMovimientos[[#This Row],[Tipo de Movimiento]]="Ingreso",tblMovimientos[[#This Row],[Monto (S/)]],"0")</f>
        <v>0</v>
      </c>
      <c r="O348" s="63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81" t="str">
        <f>IF(tblMovimientos[[#This Row],[Cuenta Bancaria]]="","",_xlfn.XLOOKUP(tblMovimientos[[#This Row],[Cuenta Bancaria]],Cuentas!$C:$C,Cuentas!$A:$A,"No encontrado"))</f>
        <v>SSP Group</v>
      </c>
      <c r="R348" s="81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71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47">
        <f>IF(F349="Ingreso",J349,-J349)</f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3" t="str">
        <f>IF(tblMovimientos[[#This Row],[Tipo de Movimiento]]="Ingreso",tblMovimientos[[#This Row],[Monto (S/)]],"0")</f>
        <v>0</v>
      </c>
      <c r="O349" s="63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81" t="str">
        <f>IF(tblMovimientos[[#This Row],[Cuenta Bancaria]]="","",_xlfn.XLOOKUP(tblMovimientos[[#This Row],[Cuenta Bancaria]],Cuentas!$C:$C,Cuentas!$A:$A,"No encontrado"))</f>
        <v>SSP Group</v>
      </c>
      <c r="R349" s="81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71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47">
        <f>IF(F350="Ingreso",J350,-J350)</f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3">
        <f>IF(tblMovimientos[[#This Row],[Tipo de Movimiento]]="Ingreso",tblMovimientos[[#This Row],[Monto (S/)]],"0")</f>
        <v>15000</v>
      </c>
      <c r="O350" s="63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81" t="str">
        <f>IF(tblMovimientos[[#This Row],[Cuenta Bancaria]]="","",_xlfn.XLOOKUP(tblMovimientos[[#This Row],[Cuenta Bancaria]],Cuentas!$C:$C,Cuentas!$A:$A,"No encontrado"))</f>
        <v>SSP Group</v>
      </c>
      <c r="R350" s="81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71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47">
        <f>IF(F351="Ingreso",J351,-J351)</f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3" t="str">
        <f>IF(tblMovimientos[[#This Row],[Tipo de Movimiento]]="Ingreso",tblMovimientos[[#This Row],[Monto (S/)]],"0")</f>
        <v>0</v>
      </c>
      <c r="O351" s="63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81" t="str">
        <f>IF(tblMovimientos[[#This Row],[Cuenta Bancaria]]="","",_xlfn.XLOOKUP(tblMovimientos[[#This Row],[Cuenta Bancaria]],Cuentas!$C:$C,Cuentas!$A:$A,"No encontrado"))</f>
        <v>SSP Group</v>
      </c>
      <c r="R351" s="81" t="str">
        <f>TRIM(_xlfn.XLOOKUP(tblMovimientos[[#This Row],[Cuenta Bancaria]],Cuentas!$C:$C,Cuentas!$B:$B,""))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71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47">
        <f>IF(F352="Ingreso",J352,-J352)</f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3" t="str">
        <f>IF(tblMovimientos[[#This Row],[Tipo de Movimiento]]="Ingreso",tblMovimientos[[#This Row],[Monto (S/)]],"0")</f>
        <v>0</v>
      </c>
      <c r="O352" s="63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81" t="str">
        <f>IF(tblMovimientos[[#This Row],[Cuenta Bancaria]]="","",_xlfn.XLOOKUP(tblMovimientos[[#This Row],[Cuenta Bancaria]],Cuentas!$C:$C,Cuentas!$A:$A,"No encontrado"))</f>
        <v>SSP Group</v>
      </c>
      <c r="R352" s="81" t="str">
        <f>TRIM(_xlfn.XLOOKUP(tblMovimientos[[#This Row],[Cuenta Bancaria]],Cuentas!$C:$C,Cuentas!$B:$B,""))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71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47">
        <f>IF(F353="Ingreso",J353,-J353)</f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3" t="str">
        <f>IF(tblMovimientos[[#This Row],[Tipo de Movimiento]]="Ingreso",tblMovimientos[[#This Row],[Monto (S/)]],"0")</f>
        <v>0</v>
      </c>
      <c r="O353" s="63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81" t="str">
        <f>IF(tblMovimientos[[#This Row],[Cuenta Bancaria]]="","",_xlfn.XLOOKUP(tblMovimientos[[#This Row],[Cuenta Bancaria]],Cuentas!$C:$C,Cuentas!$A:$A,"No encontrado"))</f>
        <v>SSP Group</v>
      </c>
      <c r="R353" s="81" t="str">
        <f>TRIM(_xlfn.XLOOKUP(tblMovimientos[[#This Row],[Cuenta Bancaria]],Cuentas!$C:$C,Cuentas!$B:$B,""))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71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47">
        <f>IF(F354="Ingreso",J354,-J354)</f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3" t="str">
        <f>IF(tblMovimientos[[#This Row],[Tipo de Movimiento]]="Ingreso",tblMovimientos[[#This Row],[Monto (S/)]],"0")</f>
        <v>0</v>
      </c>
      <c r="O354" s="63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81" t="str">
        <f>IF(tblMovimientos[[#This Row],[Cuenta Bancaria]]="","",_xlfn.XLOOKUP(tblMovimientos[[#This Row],[Cuenta Bancaria]],Cuentas!$C:$C,Cuentas!$A:$A,"No encontrado"))</f>
        <v>SSP Group</v>
      </c>
      <c r="R354" s="81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71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47">
        <f>IF(F355="Ingreso",J355,-J355)</f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3" t="str">
        <f>IF(tblMovimientos[[#This Row],[Tipo de Movimiento]]="Ingreso",tblMovimientos[[#This Row],[Monto (S/)]],"0")</f>
        <v>0</v>
      </c>
      <c r="O355" s="63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81" t="str">
        <f>IF(tblMovimientos[[#This Row],[Cuenta Bancaria]]="","",_xlfn.XLOOKUP(tblMovimientos[[#This Row],[Cuenta Bancaria]],Cuentas!$C:$C,Cuentas!$A:$A,"No encontrado"))</f>
        <v>SSP Group</v>
      </c>
      <c r="R355" s="81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71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47">
        <f>IF(F356="Ingreso",J356,-J356)</f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3" t="str">
        <f>IF(tblMovimientos[[#This Row],[Tipo de Movimiento]]="Ingreso",tblMovimientos[[#This Row],[Monto (S/)]],"0")</f>
        <v>0</v>
      </c>
      <c r="O356" s="63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81" t="str">
        <f>IF(tblMovimientos[[#This Row],[Cuenta Bancaria]]="","",_xlfn.XLOOKUP(tblMovimientos[[#This Row],[Cuenta Bancaria]],Cuentas!$C:$C,Cuentas!$A:$A,"No encontrado"))</f>
        <v>SSP Group</v>
      </c>
      <c r="R356" s="81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71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47">
        <f>IF(F357="Ingreso",J357,-J357)</f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3">
        <f>IF(tblMovimientos[[#This Row],[Tipo de Movimiento]]="Ingreso",tblMovimientos[[#This Row],[Monto (S/)]],"0")</f>
        <v>12000</v>
      </c>
      <c r="O357" s="63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81" t="str">
        <f>IF(tblMovimientos[[#This Row],[Cuenta Bancaria]]="","",_xlfn.XLOOKUP(tblMovimientos[[#This Row],[Cuenta Bancaria]],Cuentas!$C:$C,Cuentas!$A:$A,"No encontrado"))</f>
        <v>SSP Group</v>
      </c>
      <c r="R357" s="81" t="str">
        <f>TRIM(_xlfn.XLOOKUP(tblMovimientos[[#This Row],[Cuenta Bancaria]],Cuentas!$C:$C,Cuentas!$B:$B,""))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71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47">
        <f>IF(F358="Ingreso",J358,-J358)</f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3" t="str">
        <f>IF(tblMovimientos[[#This Row],[Tipo de Movimiento]]="Ingreso",tblMovimientos[[#This Row],[Monto (S/)]],"0")</f>
        <v>0</v>
      </c>
      <c r="O358" s="63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81" t="str">
        <f>IF(tblMovimientos[[#This Row],[Cuenta Bancaria]]="","",_xlfn.XLOOKUP(tblMovimientos[[#This Row],[Cuenta Bancaria]],Cuentas!$C:$C,Cuentas!$A:$A,"No encontrado"))</f>
        <v>SSP Group</v>
      </c>
      <c r="R358" s="81" t="str">
        <f>TRIM(_xlfn.XLOOKUP(tblMovimientos[[#This Row],[Cuenta Bancaria]],Cuentas!$C:$C,Cuentas!$B:$B,""))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71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47">
        <f>IF(F359="Ingreso",J359,-J359)</f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3" t="str">
        <f>IF(tblMovimientos[[#This Row],[Tipo de Movimiento]]="Ingreso",tblMovimientos[[#This Row],[Monto (S/)]],"0")</f>
        <v>0</v>
      </c>
      <c r="O359" s="63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81" t="str">
        <f>IF(tblMovimientos[[#This Row],[Cuenta Bancaria]]="","",_xlfn.XLOOKUP(tblMovimientos[[#This Row],[Cuenta Bancaria]],Cuentas!$C:$C,Cuentas!$A:$A,"No encontrado"))</f>
        <v>SSP Group</v>
      </c>
      <c r="R359" s="81" t="str">
        <f>TRIM(_xlfn.XLOOKUP(tblMovimientos[[#This Row],[Cuenta Bancaria]],Cuentas!$C:$C,Cuentas!$B:$B,""))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71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>IF(F360="Ingreso",J360,-J360)</f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3" t="str">
        <f>IF(tblMovimientos[[#This Row],[Tipo de Movimiento]]="Ingreso",tblMovimientos[[#This Row],[Monto (S/)]],"0")</f>
        <v>0</v>
      </c>
      <c r="O360" s="63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81" t="str">
        <f>IF(tblMovimientos[[#This Row],[Cuenta Bancaria]]="","",_xlfn.XLOOKUP(tblMovimientos[[#This Row],[Cuenta Bancaria]],Cuentas!$C:$C,Cuentas!$A:$A,"No encontrado"))</f>
        <v>SSP Group</v>
      </c>
      <c r="R360" s="81" t="str">
        <f>TRIM(_xlfn.XLOOKUP(tblMovimientos[[#This Row],[Cuenta Bancaria]],Cuentas!$C:$C,Cuentas!$B:$B,""))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71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>IF(F361="Ingreso",J361,-J361)</f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3" t="str">
        <f>IF(tblMovimientos[[#This Row],[Tipo de Movimiento]]="Ingreso",tblMovimientos[[#This Row],[Monto (S/)]],"0")</f>
        <v>0</v>
      </c>
      <c r="O361" s="63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81" t="str">
        <f>IF(tblMovimientos[[#This Row],[Cuenta Bancaria]]="","",_xlfn.XLOOKUP(tblMovimientos[[#This Row],[Cuenta Bancaria]],Cuentas!$C:$C,Cuentas!$A:$A,"No encontrado"))</f>
        <v>SSP Group</v>
      </c>
      <c r="R361" s="81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71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>IF(F362="Ingreso",J362,-J362)</f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3" t="str">
        <f>IF(tblMovimientos[[#This Row],[Tipo de Movimiento]]="Ingreso",tblMovimientos[[#This Row],[Monto (S/)]],"0")</f>
        <v>0</v>
      </c>
      <c r="O362" s="63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81" t="str">
        <f>IF(tblMovimientos[[#This Row],[Cuenta Bancaria]]="","",_xlfn.XLOOKUP(tblMovimientos[[#This Row],[Cuenta Bancaria]],Cuentas!$C:$C,Cuentas!$A:$A,"No encontrado"))</f>
        <v>SSP Group</v>
      </c>
      <c r="R362" s="81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71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47">
        <f>IF(F363="Ingreso",J363,-J363)</f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3" t="str">
        <f>IF(tblMovimientos[[#This Row],[Tipo de Movimiento]]="Ingreso",tblMovimientos[[#This Row],[Monto (S/)]],"0")</f>
        <v>0</v>
      </c>
      <c r="O363" s="63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81" t="str">
        <f>IF(tblMovimientos[[#This Row],[Cuenta Bancaria]]="","",_xlfn.XLOOKUP(tblMovimientos[[#This Row],[Cuenta Bancaria]],Cuentas!$C:$C,Cuentas!$A:$A,"No encontrado"))</f>
        <v>SSP Group</v>
      </c>
      <c r="R363" s="81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71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>IF(F364="Ingreso",J364,-J364)</f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3">
        <f>IF(tblMovimientos[[#This Row],[Tipo de Movimiento]]="Ingreso",tblMovimientos[[#This Row],[Monto (S/)]],"0")</f>
        <v>1250</v>
      </c>
      <c r="O364" s="63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81" t="str">
        <f>IF(tblMovimientos[[#This Row],[Cuenta Bancaria]]="","",_xlfn.XLOOKUP(tblMovimientos[[#This Row],[Cuenta Bancaria]],Cuentas!$C:$C,Cuentas!$A:$A,"No encontrado"))</f>
        <v>SSP Group</v>
      </c>
      <c r="R364" s="81" t="str">
        <f>TRIM(_xlfn.XLOOKUP(tblMovimientos[[#This Row],[Cuenta Bancaria]],Cuentas!$C:$C,Cuentas!$B:$B,""))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71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>IF(F365="Ingreso",J365,-J365)</f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3">
        <f>IF(tblMovimientos[[#This Row],[Tipo de Movimiento]]="Ingreso",tblMovimientos[[#This Row],[Monto (S/)]],"0")</f>
        <v>114973.39</v>
      </c>
      <c r="O365" s="63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81" t="str">
        <f>IF(tblMovimientos[[#This Row],[Cuenta Bancaria]]="","",_xlfn.XLOOKUP(tblMovimientos[[#This Row],[Cuenta Bancaria]],Cuentas!$C:$C,Cuentas!$A:$A,"No encontrado"))</f>
        <v>SSP Group</v>
      </c>
      <c r="R365" s="81" t="str">
        <f>TRIM(_xlfn.XLOOKUP(tblMovimientos[[#This Row],[Cuenta Bancaria]],Cuentas!$C:$C,Cuentas!$B:$B,""))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71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47">
        <f>IF(F366="Ingreso",J366,-J366)</f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3">
        <f>IF(tblMovimientos[[#This Row],[Tipo de Movimiento]]="Ingreso",tblMovimientos[[#This Row],[Monto (S/)]],"0")</f>
        <v>6400000</v>
      </c>
      <c r="O366" s="63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81" t="str">
        <f>IF(tblMovimientos[[#This Row],[Cuenta Bancaria]]="","",_xlfn.XLOOKUP(tblMovimientos[[#This Row],[Cuenta Bancaria]],Cuentas!$C:$C,Cuentas!$A:$A,"No encontrado"))</f>
        <v>SSP Group</v>
      </c>
      <c r="R366" s="81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71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>IF(F367="Ingreso",J367,-J367)</f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3" t="str">
        <f>IF(tblMovimientos[[#This Row],[Tipo de Movimiento]]="Ingreso",tblMovimientos[[#This Row],[Monto (S/)]],"0")</f>
        <v>0</v>
      </c>
      <c r="O367" s="63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81" t="str">
        <f>IF(tblMovimientos[[#This Row],[Cuenta Bancaria]]="","",_xlfn.XLOOKUP(tblMovimientos[[#This Row],[Cuenta Bancaria]],Cuentas!$C:$C,Cuentas!$A:$A,"No encontrado"))</f>
        <v>SSP Group</v>
      </c>
      <c r="R367" s="81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71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>IF(F368="Ingreso",J368,-J368)</f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3" t="str">
        <f>IF(tblMovimientos[[#This Row],[Tipo de Movimiento]]="Ingreso",tblMovimientos[[#This Row],[Monto (S/)]],"0")</f>
        <v>0</v>
      </c>
      <c r="O368" s="63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81" t="str">
        <f>IF(tblMovimientos[[#This Row],[Cuenta Bancaria]]="","",_xlfn.XLOOKUP(tblMovimientos[[#This Row],[Cuenta Bancaria]],Cuentas!$C:$C,Cuentas!$A:$A,"No encontrado"))</f>
        <v>SSP Group</v>
      </c>
      <c r="R368" s="81" t="str">
        <f>TRIM(_xlfn.XLOOKUP(tblMovimientos[[#This Row],[Cuenta Bancaria]],Cuentas!$C:$C,Cuentas!$B:$B,""))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71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>IF(F369="Ingreso",J369,-J369)</f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3" t="str">
        <f>IF(tblMovimientos[[#This Row],[Tipo de Movimiento]]="Ingreso",tblMovimientos[[#This Row],[Monto (S/)]],"0")</f>
        <v>0</v>
      </c>
      <c r="O369" s="63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81" t="str">
        <f>IF(tblMovimientos[[#This Row],[Cuenta Bancaria]]="","",_xlfn.XLOOKUP(tblMovimientos[[#This Row],[Cuenta Bancaria]],Cuentas!$C:$C,Cuentas!$A:$A,"No encontrado"))</f>
        <v>SSP Group</v>
      </c>
      <c r="R369" s="81" t="str">
        <f>TRIM(_xlfn.XLOOKUP(tblMovimientos[[#This Row],[Cuenta Bancaria]],Cuentas!$C:$C,Cuentas!$B:$B,""))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71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>IF(F370="Ingreso",J370,-J370)</f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3" t="str">
        <f>IF(tblMovimientos[[#This Row],[Tipo de Movimiento]]="Ingreso",tblMovimientos[[#This Row],[Monto (S/)]],"0")</f>
        <v>0</v>
      </c>
      <c r="O370" s="63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81" t="str">
        <f>IF(tblMovimientos[[#This Row],[Cuenta Bancaria]]="","",_xlfn.XLOOKUP(tblMovimientos[[#This Row],[Cuenta Bancaria]],Cuentas!$C:$C,Cuentas!$A:$A,"No encontrado"))</f>
        <v>SSP Group</v>
      </c>
      <c r="R370" s="81" t="str">
        <f>TRIM(_xlfn.XLOOKUP(tblMovimientos[[#This Row],[Cuenta Bancaria]],Cuentas!$C:$C,Cuentas!$B:$B,""))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71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>IF(F371="Ingreso",J371,-J371)</f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3">
        <f>IF(tblMovimientos[[#This Row],[Tipo de Movimiento]]="Ingreso",tblMovimientos[[#This Row],[Monto (S/)]],"0")</f>
        <v>62409.45</v>
      </c>
      <c r="O371" s="63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81" t="str">
        <f>IF(tblMovimientos[[#This Row],[Cuenta Bancaria]]="","",_xlfn.XLOOKUP(tblMovimientos[[#This Row],[Cuenta Bancaria]],Cuentas!$C:$C,Cuentas!$A:$A,"No encontrado"))</f>
        <v>SSP Group</v>
      </c>
      <c r="R371" s="81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71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47">
        <f>IF(F372="Ingreso",J372,-J372)</f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3">
        <f>IF(tblMovimientos[[#This Row],[Tipo de Movimiento]]="Ingreso",tblMovimientos[[#This Row],[Monto (S/)]],"0")</f>
        <v>23134.93</v>
      </c>
      <c r="O372" s="63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81" t="str">
        <f>IF(tblMovimientos[[#This Row],[Cuenta Bancaria]]="","",_xlfn.XLOOKUP(tblMovimientos[[#This Row],[Cuenta Bancaria]],Cuentas!$C:$C,Cuentas!$A:$A,"No encontrado"))</f>
        <v>SSP Group</v>
      </c>
      <c r="R372" s="81" t="str">
        <f>TRIM(_xlfn.XLOOKUP(tblMovimientos[[#This Row],[Cuenta Bancaria]],Cuentas!$C:$C,Cuentas!$B:$B,""))</f>
        <v>Cross Security Trust</v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71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>IF(F373="Ingreso",J373,-J373)</f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3">
        <f>IF(tblMovimientos[[#This Row],[Tipo de Movimiento]]="Ingreso",tblMovimientos[[#This Row],[Monto (S/)]],"0")</f>
        <v>5726.99</v>
      </c>
      <c r="O373" s="63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81" t="str">
        <f>IF(tblMovimientos[[#This Row],[Cuenta Bancaria]]="","",_xlfn.XLOOKUP(tblMovimientos[[#This Row],[Cuenta Bancaria]],Cuentas!$C:$C,Cuentas!$A:$A,"No encontrado"))</f>
        <v>SSP Group</v>
      </c>
      <c r="R373" s="81" t="str">
        <f>TRIM(_xlfn.XLOOKUP(tblMovimientos[[#This Row],[Cuenta Bancaria]],Cuentas!$C:$C,Cuentas!$B:$B,""))</f>
        <v>Cross Security Trust</v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71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>IF(F374="Ingreso",J374,-J374)</f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3">
        <f>IF(tblMovimientos[[#This Row],[Tipo de Movimiento]]="Ingreso",tblMovimientos[[#This Row],[Monto (S/)]],"0")</f>
        <v>67069.119999999995</v>
      </c>
      <c r="O374" s="63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81" t="str">
        <f>IF(tblMovimientos[[#This Row],[Cuenta Bancaria]]="","",_xlfn.XLOOKUP(tblMovimientos[[#This Row],[Cuenta Bancaria]],Cuentas!$C:$C,Cuentas!$A:$A,"No encontrado"))</f>
        <v>SSP Group</v>
      </c>
      <c r="R374" s="81" t="str">
        <f>TRIM(_xlfn.XLOOKUP(tblMovimientos[[#This Row],[Cuenta Bancaria]],Cuentas!$C:$C,Cuentas!$B:$B,""))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71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>IF(F375="Ingreso",J375,-J375)</f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3">
        <f>IF(tblMovimientos[[#This Row],[Tipo de Movimiento]]="Ingreso",tblMovimientos[[#This Row],[Monto (S/)]],"0")</f>
        <v>457.74</v>
      </c>
      <c r="O375" s="63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81" t="str">
        <f>IF(tblMovimientos[[#This Row],[Cuenta Bancaria]]="","",_xlfn.XLOOKUP(tblMovimientos[[#This Row],[Cuenta Bancaria]],Cuentas!$C:$C,Cuentas!$A:$A,"No encontrado"))</f>
        <v>SSP Group</v>
      </c>
      <c r="R375" s="81" t="str">
        <f>TRIM(_xlfn.XLOOKUP(tblMovimientos[[#This Row],[Cuenta Bancaria]],Cuentas!$C:$C,Cuentas!$B:$B,""))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71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>IF(F376="Ingreso",J376,-J376)</f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3">
        <f>IF(tblMovimientos[[#This Row],[Tipo de Movimiento]]="Ingreso",tblMovimientos[[#This Row],[Monto (S/)]],"0")</f>
        <v>2552.06</v>
      </c>
      <c r="O376" s="63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81" t="str">
        <f>IF(tblMovimientos[[#This Row],[Cuenta Bancaria]]="","",_xlfn.XLOOKUP(tblMovimientos[[#This Row],[Cuenta Bancaria]],Cuentas!$C:$C,Cuentas!$A:$A,"No encontrado"))</f>
        <v>SSP Group</v>
      </c>
      <c r="R376" s="81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71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>IF(F377="Ingreso",J377,-J377)</f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3" t="str">
        <f>IF(tblMovimientos[[#This Row],[Tipo de Movimiento]]="Ingreso",tblMovimientos[[#This Row],[Monto (S/)]],"0")</f>
        <v>0</v>
      </c>
      <c r="O377" s="63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81" t="str">
        <f>IF(tblMovimientos[[#This Row],[Cuenta Bancaria]]="","",_xlfn.XLOOKUP(tblMovimientos[[#This Row],[Cuenta Bancaria]],Cuentas!$C:$C,Cuentas!$A:$A,"No encontrado"))</f>
        <v>SSP Group</v>
      </c>
      <c r="R377" s="81" t="str">
        <f>TRIM(_xlfn.XLOOKUP(tblMovimientos[[#This Row],[Cuenta Bancaria]],Cuentas!$C:$C,Cuentas!$B:$B,""))</f>
        <v>Cross Security Trust</v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71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47">
        <f>IF(F378="Ingreso",J378,-J378)</f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3" t="str">
        <f>IF(tblMovimientos[[#This Row],[Tipo de Movimiento]]="Ingreso",tblMovimientos[[#This Row],[Monto (S/)]],"0")</f>
        <v>0</v>
      </c>
      <c r="O378" s="63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81" t="str">
        <f>IF(tblMovimientos[[#This Row],[Cuenta Bancaria]]="","",_xlfn.XLOOKUP(tblMovimientos[[#This Row],[Cuenta Bancaria]],Cuentas!$C:$C,Cuentas!$A:$A,"No encontrado"))</f>
        <v>SSP Group</v>
      </c>
      <c r="R378" s="81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71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>IF(F379="Ingreso",J379,-J379)</f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3" t="str">
        <f>IF(tblMovimientos[[#This Row],[Tipo de Movimiento]]="Ingreso",tblMovimientos[[#This Row],[Monto (S/)]],"0")</f>
        <v>0</v>
      </c>
      <c r="O379" s="63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81" t="str">
        <f>IF(tblMovimientos[[#This Row],[Cuenta Bancaria]]="","",_xlfn.XLOOKUP(tblMovimientos[[#This Row],[Cuenta Bancaria]],Cuentas!$C:$C,Cuentas!$A:$A,"No encontrado"))</f>
        <v>SSP Group</v>
      </c>
      <c r="R379" s="81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71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>IF(F380="Ingreso",J380,-J380)</f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3">
        <f>IF(tblMovimientos[[#This Row],[Tipo de Movimiento]]="Ingreso",tblMovimientos[[#This Row],[Monto (S/)]],"0")</f>
        <v>12000</v>
      </c>
      <c r="O380" s="63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81" t="str">
        <f>IF(tblMovimientos[[#This Row],[Cuenta Bancaria]]="","",_xlfn.XLOOKUP(tblMovimientos[[#This Row],[Cuenta Bancaria]],Cuentas!$C:$C,Cuentas!$A:$A,"No encontrado"))</f>
        <v>SSP Group</v>
      </c>
      <c r="R380" s="81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71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>IF(F381="Ingreso",J381,-J381)</f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3" t="str">
        <f>IF(tblMovimientos[[#This Row],[Tipo de Movimiento]]="Ingreso",tblMovimientos[[#This Row],[Monto (S/)]],"0")</f>
        <v>0</v>
      </c>
      <c r="O381" s="63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81" t="str">
        <f>IF(tblMovimientos[[#This Row],[Cuenta Bancaria]]="","",_xlfn.XLOOKUP(tblMovimientos[[#This Row],[Cuenta Bancaria]],Cuentas!$C:$C,Cuentas!$A:$A,"No encontrado"))</f>
        <v>SSP Group</v>
      </c>
      <c r="R381" s="81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71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>IF(F382="Ingreso",J382,-J382)</f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3">
        <f>IF(tblMovimientos[[#This Row],[Tipo de Movimiento]]="Ingreso",tblMovimientos[[#This Row],[Monto (S/)]],"0")</f>
        <v>10000</v>
      </c>
      <c r="O382" s="63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81" t="str">
        <f>IF(tblMovimientos[[#This Row],[Cuenta Bancaria]]="","",_xlfn.XLOOKUP(tblMovimientos[[#This Row],[Cuenta Bancaria]],Cuentas!$C:$C,Cuentas!$A:$A,"No encontrado"))</f>
        <v>SSP Group</v>
      </c>
      <c r="R382" s="81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71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>IF(F383="Ingreso",J383,-J383)</f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3">
        <f>IF(tblMovimientos[[#This Row],[Tipo de Movimiento]]="Ingreso",tblMovimientos[[#This Row],[Monto (S/)]],"0")</f>
        <v>150000</v>
      </c>
      <c r="O383" s="63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81" t="str">
        <f>IF(tblMovimientos[[#This Row],[Cuenta Bancaria]]="","",_xlfn.XLOOKUP(tblMovimientos[[#This Row],[Cuenta Bancaria]],Cuentas!$C:$C,Cuentas!$A:$A,"No encontrado"))</f>
        <v>SSP Group</v>
      </c>
      <c r="R383" s="81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71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47">
        <f>IF(F384="Ingreso",J384,-J384)</f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3">
        <f>IF(tblMovimientos[[#This Row],[Tipo de Movimiento]]="Ingreso",tblMovimientos[[#This Row],[Monto (S/)]],"0")</f>
        <v>500000</v>
      </c>
      <c r="O384" s="63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81" t="str">
        <f>IF(tblMovimientos[[#This Row],[Cuenta Bancaria]]="","",_xlfn.XLOOKUP(tblMovimientos[[#This Row],[Cuenta Bancaria]],Cuentas!$C:$C,Cuentas!$A:$A,"No encontrado"))</f>
        <v>SSP Group</v>
      </c>
      <c r="R384" s="81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71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>IF(F385="Ingreso",J385,-J385)</f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3" t="str">
        <f>IF(tblMovimientos[[#This Row],[Tipo de Movimiento]]="Ingreso",tblMovimientos[[#This Row],[Monto (S/)]],"0")</f>
        <v>0</v>
      </c>
      <c r="O385" s="63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81" t="str">
        <f>IF(tblMovimientos[[#This Row],[Cuenta Bancaria]]="","",_xlfn.XLOOKUP(tblMovimientos[[#This Row],[Cuenta Bancaria]],Cuentas!$C:$C,Cuentas!$A:$A,"No encontrado"))</f>
        <v>SSP Group</v>
      </c>
      <c r="R385" s="81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71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3" t="str">
        <f>IF(tblMovimientos[[#This Row],[Tipo de Movimiento]]="Ingreso",tblMovimientos[[#This Row],[Monto (S/)]],"0")</f>
        <v>0</v>
      </c>
      <c r="O386" s="63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81" t="str">
        <f>IF(tblMovimientos[[#This Row],[Cuenta Bancaria]]="","",_xlfn.XLOOKUP(tblMovimientos[[#This Row],[Cuenta Bancaria]],Cuentas!$C:$C,Cuentas!$A:$A,"No encontrado"))</f>
        <v>SSP Group</v>
      </c>
      <c r="R386" s="81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71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3" t="str">
        <f>IF(tblMovimientos[[#This Row],[Tipo de Movimiento]]="Ingreso",tblMovimientos[[#This Row],[Monto (S/)]],"0")</f>
        <v>0</v>
      </c>
      <c r="O387" s="63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81" t="str">
        <f>IF(tblMovimientos[[#This Row],[Cuenta Bancaria]]="","",_xlfn.XLOOKUP(tblMovimientos[[#This Row],[Cuenta Bancaria]],Cuentas!$C:$C,Cuentas!$A:$A,"No encontrado"))</f>
        <v>SSP Group</v>
      </c>
      <c r="R387" s="81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71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>IF(F388="Ingreso",J388,-J388)</f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3" t="str">
        <f>IF(tblMovimientos[[#This Row],[Tipo de Movimiento]]="Ingreso",tblMovimientos[[#This Row],[Monto (S/)]],"0")</f>
        <v>0</v>
      </c>
      <c r="O388" s="63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81" t="str">
        <f>IF(tblMovimientos[[#This Row],[Cuenta Bancaria]]="","",_xlfn.XLOOKUP(tblMovimientos[[#This Row],[Cuenta Bancaria]],Cuentas!$C:$C,Cuentas!$A:$A,"No encontrado"))</f>
        <v>SSP Group</v>
      </c>
      <c r="R388" s="81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71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>IF(F389="Ingreso",J389,-J389)</f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3">
        <f>IF(tblMovimientos[[#This Row],[Tipo de Movimiento]]="Ingreso",tblMovimientos[[#This Row],[Monto (S/)]],"0")</f>
        <v>150000</v>
      </c>
      <c r="O389" s="63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81" t="str">
        <f>IF(tblMovimientos[[#This Row],[Cuenta Bancaria]]="","",_xlfn.XLOOKUP(tblMovimientos[[#This Row],[Cuenta Bancaria]],Cuentas!$C:$C,Cuentas!$A:$A,"No encontrado"))</f>
        <v>Trust</v>
      </c>
      <c r="R389" s="81" t="str">
        <f>TRIM(_xlfn.XLOOKUP(tblMovimientos[[#This Row],[Cuenta Bancaria]],Cuentas!$C:$C,Cuentas!$B:$B,""))</f>
        <v/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71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47">
        <f>IF(F390="Ingreso",J390,-J390)</f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3">
        <f>IF(tblMovimientos[[#This Row],[Tipo de Movimiento]]="Ingreso",tblMovimientos[[#This Row],[Monto (S/)]],"0")</f>
        <v>2380000</v>
      </c>
      <c r="O390" s="63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81" t="str">
        <f>IF(tblMovimientos[[#This Row],[Cuenta Bancaria]]="","",_xlfn.XLOOKUP(tblMovimientos[[#This Row],[Cuenta Bancaria]],Cuentas!$C:$C,Cuentas!$A:$A,"No encontrado"))</f>
        <v>Trust</v>
      </c>
      <c r="R390" s="81" t="str">
        <f>TRIM(_xlfn.XLOOKUP(tblMovimientos[[#This Row],[Cuenta Bancaria]],Cuentas!$C:$C,Cuentas!$B:$B,""))</f>
        <v/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71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>IF(F391="Ingreso",J391,-J391)</f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3" t="str">
        <f>IF(tblMovimientos[[#This Row],[Tipo de Movimiento]]="Ingreso",tblMovimientos[[#This Row],[Monto (S/)]],"0")</f>
        <v>0</v>
      </c>
      <c r="O391" s="63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81" t="str">
        <f>IF(tblMovimientos[[#This Row],[Cuenta Bancaria]]="","",_xlfn.XLOOKUP(tblMovimientos[[#This Row],[Cuenta Bancaria]],Cuentas!$C:$C,Cuentas!$A:$A,"No encontrado"))</f>
        <v>Trust</v>
      </c>
      <c r="R391" s="81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71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>IF(F392="Ingreso",J392,-J392)</f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3" t="str">
        <f>IF(tblMovimientos[[#This Row],[Tipo de Movimiento]]="Ingreso",tblMovimientos[[#This Row],[Monto (S/)]],"0")</f>
        <v>0</v>
      </c>
      <c r="O392" s="63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81" t="str">
        <f>IF(tblMovimientos[[#This Row],[Cuenta Bancaria]]="","",_xlfn.XLOOKUP(tblMovimientos[[#This Row],[Cuenta Bancaria]],Cuentas!$C:$C,Cuentas!$A:$A,"No encontrado"))</f>
        <v>Trust</v>
      </c>
      <c r="R392" s="81" t="str">
        <f>TRIM(_xlfn.XLOOKUP(tblMovimientos[[#This Row],[Cuenta Bancaria]],Cuentas!$C:$C,Cuentas!$B:$B,""))</f>
        <v/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71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>IF(F393="Ingreso",J393,-J393)</f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3">
        <f>IF(tblMovimientos[[#This Row],[Tipo de Movimiento]]="Ingreso",tblMovimientos[[#This Row],[Monto (S/)]],"0")</f>
        <v>1850000</v>
      </c>
      <c r="O393" s="63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81" t="str">
        <f>IF(tblMovimientos[[#This Row],[Cuenta Bancaria]]="","",_xlfn.XLOOKUP(tblMovimientos[[#This Row],[Cuenta Bancaria]],Cuentas!$C:$C,Cuentas!$A:$A,"No encontrado"))</f>
        <v>SSP Group</v>
      </c>
      <c r="R393" s="81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71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>IF(F394="Ingreso",J394,-J394)</f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3" t="str">
        <f>IF(tblMovimientos[[#This Row],[Tipo de Movimiento]]="Ingreso",tblMovimientos[[#This Row],[Monto (S/)]],"0")</f>
        <v>0</v>
      </c>
      <c r="O394" s="63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81" t="str">
        <f>IF(tblMovimientos[[#This Row],[Cuenta Bancaria]]="","",_xlfn.XLOOKUP(tblMovimientos[[#This Row],[Cuenta Bancaria]],Cuentas!$C:$C,Cuentas!$A:$A,"No encontrado"))</f>
        <v>SSP Group</v>
      </c>
      <c r="R394" s="81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71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>IF(F395="Ingreso",J395,-J395)</f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3" t="str">
        <f>IF(tblMovimientos[[#This Row],[Tipo de Movimiento]]="Ingreso",tblMovimientos[[#This Row],[Monto (S/)]],"0")</f>
        <v>0</v>
      </c>
      <c r="O395" s="63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81" t="str">
        <f>IF(tblMovimientos[[#This Row],[Cuenta Bancaria]]="","",_xlfn.XLOOKUP(tblMovimientos[[#This Row],[Cuenta Bancaria]],Cuentas!$C:$C,Cuentas!$A:$A,"No encontrado"))</f>
        <v>SSP Group</v>
      </c>
      <c r="R395" s="81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71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47">
        <f>IF(F396="Ingreso",J396,-J396)</f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3" t="str">
        <f>IF(tblMovimientos[[#This Row],[Tipo de Movimiento]]="Ingreso",tblMovimientos[[#This Row],[Monto (S/)]],"0")</f>
        <v>0</v>
      </c>
      <c r="O396" s="63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81" t="str">
        <f>IF(tblMovimientos[[#This Row],[Cuenta Bancaria]]="","",_xlfn.XLOOKUP(tblMovimientos[[#This Row],[Cuenta Bancaria]],Cuentas!$C:$C,Cuentas!$A:$A,"No encontrado"))</f>
        <v>SSP Group</v>
      </c>
      <c r="R396" s="81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71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>IF(F397="Ingreso",J397,-J397)</f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3" t="str">
        <f>IF(tblMovimientos[[#This Row],[Tipo de Movimiento]]="Ingreso",tblMovimientos[[#This Row],[Monto (S/)]],"0")</f>
        <v>0</v>
      </c>
      <c r="O397" s="63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81" t="str">
        <f>IF(tblMovimientos[[#This Row],[Cuenta Bancaria]]="","",_xlfn.XLOOKUP(tblMovimientos[[#This Row],[Cuenta Bancaria]],Cuentas!$C:$C,Cuentas!$A:$A,"No encontrado"))</f>
        <v>SSP Group</v>
      </c>
      <c r="R397" s="81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71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>IF(F398="Ingreso",J398,-J398)</f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3" t="str">
        <f>IF(tblMovimientos[[#This Row],[Tipo de Movimiento]]="Ingreso",tblMovimientos[[#This Row],[Monto (S/)]],"0")</f>
        <v>0</v>
      </c>
      <c r="O398" s="63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81" t="str">
        <f>IF(tblMovimientos[[#This Row],[Cuenta Bancaria]]="","",_xlfn.XLOOKUP(tblMovimientos[[#This Row],[Cuenta Bancaria]],Cuentas!$C:$C,Cuentas!$A:$A,"No encontrado"))</f>
        <v>SSP Group</v>
      </c>
      <c r="R398" s="81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71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>IF(F399="Ingreso",J399,-J399)</f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3" t="str">
        <f>IF(tblMovimientos[[#This Row],[Tipo de Movimiento]]="Ingreso",tblMovimientos[[#This Row],[Monto (S/)]],"0")</f>
        <v>0</v>
      </c>
      <c r="O399" s="63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81" t="str">
        <f>IF(tblMovimientos[[#This Row],[Cuenta Bancaria]]="","",_xlfn.XLOOKUP(tblMovimientos[[#This Row],[Cuenta Bancaria]],Cuentas!$C:$C,Cuentas!$A:$A,"No encontrado"))</f>
        <v>SSP Group</v>
      </c>
      <c r="R399" s="81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71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>IF(F400="Ingreso",J400,-J400)</f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3" t="str">
        <f>IF(tblMovimientos[[#This Row],[Tipo de Movimiento]]="Ingreso",tblMovimientos[[#This Row],[Monto (S/)]],"0")</f>
        <v>0</v>
      </c>
      <c r="O400" s="63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81" t="str">
        <f>IF(tblMovimientos[[#This Row],[Cuenta Bancaria]]="","",_xlfn.XLOOKUP(tblMovimientos[[#This Row],[Cuenta Bancaria]],Cuentas!$C:$C,Cuentas!$A:$A,"No encontrado"))</f>
        <v>SSP Group</v>
      </c>
      <c r="R400" s="81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71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>IF(F401="Ingreso",J401,-J401)</f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3" t="str">
        <f>IF(tblMovimientos[[#This Row],[Tipo de Movimiento]]="Ingreso",tblMovimientos[[#This Row],[Monto (S/)]],"0")</f>
        <v>0</v>
      </c>
      <c r="O401" s="63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81" t="str">
        <f>IF(tblMovimientos[[#This Row],[Cuenta Bancaria]]="","",_xlfn.XLOOKUP(tblMovimientos[[#This Row],[Cuenta Bancaria]],Cuentas!$C:$C,Cuentas!$A:$A,"No encontrado"))</f>
        <v>SSP Group</v>
      </c>
      <c r="R401" s="81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71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47">
        <f>IF(F402="Ingreso",J402,-J402)</f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3" t="str">
        <f>IF(tblMovimientos[[#This Row],[Tipo de Movimiento]]="Ingreso",tblMovimientos[[#This Row],[Monto (S/)]],"0")</f>
        <v>0</v>
      </c>
      <c r="O402" s="63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81" t="str">
        <f>IF(tblMovimientos[[#This Row],[Cuenta Bancaria]]="","",_xlfn.XLOOKUP(tblMovimientos[[#This Row],[Cuenta Bancaria]],Cuentas!$C:$C,Cuentas!$A:$A,"No encontrado"))</f>
        <v>SSP Group</v>
      </c>
      <c r="R402" s="81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71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>IF(F403="Ingreso",J403,-J403)</f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3" t="str">
        <f>IF(tblMovimientos[[#This Row],[Tipo de Movimiento]]="Ingreso",tblMovimientos[[#This Row],[Monto (S/)]],"0")</f>
        <v>0</v>
      </c>
      <c r="O403" s="63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81" t="str">
        <f>IF(tblMovimientos[[#This Row],[Cuenta Bancaria]]="","",_xlfn.XLOOKUP(tblMovimientos[[#This Row],[Cuenta Bancaria]],Cuentas!$C:$C,Cuentas!$A:$A,"No encontrado"))</f>
        <v>SSP Group</v>
      </c>
      <c r="R403" s="81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71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>IF(F404="Ingreso",J404,-J404)</f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3" t="str">
        <f>IF(tblMovimientos[[#This Row],[Tipo de Movimiento]]="Ingreso",tblMovimientos[[#This Row],[Monto (S/)]],"0")</f>
        <v>0</v>
      </c>
      <c r="O404" s="63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81" t="str">
        <f>IF(tblMovimientos[[#This Row],[Cuenta Bancaria]]="","",_xlfn.XLOOKUP(tblMovimientos[[#This Row],[Cuenta Bancaria]],Cuentas!$C:$C,Cuentas!$A:$A,"No encontrado"))</f>
        <v>SSP Group</v>
      </c>
      <c r="R404" s="81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71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>IF(F405="Ingreso",J405,-J405)</f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3" t="str">
        <f>IF(tblMovimientos[[#This Row],[Tipo de Movimiento]]="Ingreso",tblMovimientos[[#This Row],[Monto (S/)]],"0")</f>
        <v>0</v>
      </c>
      <c r="O405" s="63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81" t="str">
        <f>IF(tblMovimientos[[#This Row],[Cuenta Bancaria]]="","",_xlfn.XLOOKUP(tblMovimientos[[#This Row],[Cuenta Bancaria]],Cuentas!$C:$C,Cuentas!$A:$A,"No encontrado"))</f>
        <v>SSP Group</v>
      </c>
      <c r="R405" s="81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71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>IF(F406="Ingreso",J406,-J406)</f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3" t="str">
        <f>IF(tblMovimientos[[#This Row],[Tipo de Movimiento]]="Ingreso",tblMovimientos[[#This Row],[Monto (S/)]],"0")</f>
        <v>0</v>
      </c>
      <c r="O406" s="63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81" t="str">
        <f>IF(tblMovimientos[[#This Row],[Cuenta Bancaria]]="","",_xlfn.XLOOKUP(tblMovimientos[[#This Row],[Cuenta Bancaria]],Cuentas!$C:$C,Cuentas!$A:$A,"No encontrado"))</f>
        <v>SSP Group</v>
      </c>
      <c r="R406" s="81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71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>IF(F407="Ingreso",J407,-J407)</f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3" t="str">
        <f>IF(tblMovimientos[[#This Row],[Tipo de Movimiento]]="Ingreso",tblMovimientos[[#This Row],[Monto (S/)]],"0")</f>
        <v>0</v>
      </c>
      <c r="O407" s="63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81" t="str">
        <f>IF(tblMovimientos[[#This Row],[Cuenta Bancaria]]="","",_xlfn.XLOOKUP(tblMovimientos[[#This Row],[Cuenta Bancaria]],Cuentas!$C:$C,Cuentas!$A:$A,"No encontrado"))</f>
        <v>SSP Group</v>
      </c>
      <c r="R407" s="81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71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47">
        <f>IF(F408="Ingreso",J408,-J408)</f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3" t="str">
        <f>IF(tblMovimientos[[#This Row],[Tipo de Movimiento]]="Ingreso",tblMovimientos[[#This Row],[Monto (S/)]],"0")</f>
        <v>0</v>
      </c>
      <c r="O408" s="63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81" t="str">
        <f>IF(tblMovimientos[[#This Row],[Cuenta Bancaria]]="","",_xlfn.XLOOKUP(tblMovimientos[[#This Row],[Cuenta Bancaria]],Cuentas!$C:$C,Cuentas!$A:$A,"No encontrado"))</f>
        <v>SSP Group</v>
      </c>
      <c r="R408" s="81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71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>IF(F409="Ingreso",J409,-J409)</f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3" t="str">
        <f>IF(tblMovimientos[[#This Row],[Tipo de Movimiento]]="Ingreso",tblMovimientos[[#This Row],[Monto (S/)]],"0")</f>
        <v>0</v>
      </c>
      <c r="O409" s="63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81" t="str">
        <f>IF(tblMovimientos[[#This Row],[Cuenta Bancaria]]="","",_xlfn.XLOOKUP(tblMovimientos[[#This Row],[Cuenta Bancaria]],Cuentas!$C:$C,Cuentas!$A:$A,"No encontrado"))</f>
        <v>SSP Group</v>
      </c>
      <c r="R409" s="81" t="str">
        <f>TRIM(_xlfn.XLOOKUP(tblMovimientos[[#This Row],[Cuenta Bancaria]],Cuentas!$C:$C,Cuentas!$B:$B,""))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71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>IF(F410="Ingreso",J410,-J410)</f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3" t="str">
        <f>IF(tblMovimientos[[#This Row],[Tipo de Movimiento]]="Ingreso",tblMovimientos[[#This Row],[Monto (S/)]],"0")</f>
        <v>0</v>
      </c>
      <c r="O410" s="63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81" t="str">
        <f>IF(tblMovimientos[[#This Row],[Cuenta Bancaria]]="","",_xlfn.XLOOKUP(tblMovimientos[[#This Row],[Cuenta Bancaria]],Cuentas!$C:$C,Cuentas!$A:$A,"No encontrado"))</f>
        <v>SSP Group</v>
      </c>
      <c r="R410" s="81" t="str">
        <f>TRIM(_xlfn.XLOOKUP(tblMovimientos[[#This Row],[Cuenta Bancaria]],Cuentas!$C:$C,Cuentas!$B:$B,""))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71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>IF(F411="Ingreso",J411,-J411)</f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3" t="str">
        <f>IF(tblMovimientos[[#This Row],[Tipo de Movimiento]]="Ingreso",tblMovimientos[[#This Row],[Monto (S/)]],"0")</f>
        <v>0</v>
      </c>
      <c r="O411" s="63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81" t="str">
        <f>IF(tblMovimientos[[#This Row],[Cuenta Bancaria]]="","",_xlfn.XLOOKUP(tblMovimientos[[#This Row],[Cuenta Bancaria]],Cuentas!$C:$C,Cuentas!$A:$A,"No encontrado"))</f>
        <v>SSP Group</v>
      </c>
      <c r="R411" s="81" t="str">
        <f>TRIM(_xlfn.XLOOKUP(tblMovimientos[[#This Row],[Cuenta Bancaria]],Cuentas!$C:$C,Cuentas!$B:$B,""))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71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>IF(F412="Ingreso",J412,-J412)</f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3" t="str">
        <f>IF(tblMovimientos[[#This Row],[Tipo de Movimiento]]="Ingreso",tblMovimientos[[#This Row],[Monto (S/)]],"0")</f>
        <v>0</v>
      </c>
      <c r="O412" s="63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81" t="str">
        <f>IF(tblMovimientos[[#This Row],[Cuenta Bancaria]]="","",_xlfn.XLOOKUP(tblMovimientos[[#This Row],[Cuenta Bancaria]],Cuentas!$C:$C,Cuentas!$A:$A,"No encontrado"))</f>
        <v>SSP Group</v>
      </c>
      <c r="R412" s="81" t="str">
        <f>TRIM(_xlfn.XLOOKUP(tblMovimientos[[#This Row],[Cuenta Bancaria]],Cuentas!$C:$C,Cuentas!$B:$B,""))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71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72"/>
      <c r="J413" s="43">
        <v>310000</v>
      </c>
      <c r="K413" s="5"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Q413" s="81"/>
      <c r="R413" s="81"/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71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47">
        <f>IF(F414="Ingreso",J414,-J414)</f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3" t="str">
        <f>IF(tblMovimientos[[#This Row],[Tipo de Movimiento]]="Ingreso",tblMovimientos[[#This Row],[Monto (S/)]],"0")</f>
        <v>0</v>
      </c>
      <c r="O414" s="63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81" t="str">
        <f>IF(tblMovimientos[[#This Row],[Cuenta Bancaria]]="","",_xlfn.XLOOKUP(tblMovimientos[[#This Row],[Cuenta Bancaria]],Cuentas!$C:$C,Cuentas!$A:$A,"No encontrado"))</f>
        <v>SSP Group</v>
      </c>
      <c r="R414" s="81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71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>IF(F415="Ingreso",J415,-J415)</f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3" t="str">
        <f>IF(tblMovimientos[[#This Row],[Tipo de Movimiento]]="Ingreso",tblMovimientos[[#This Row],[Monto (S/)]],"0")</f>
        <v>0</v>
      </c>
      <c r="O415" s="63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81" t="str">
        <f>IF(tblMovimientos[[#This Row],[Cuenta Bancaria]]="","",_xlfn.XLOOKUP(tblMovimientos[[#This Row],[Cuenta Bancaria]],Cuentas!$C:$C,Cuentas!$A:$A,"No encontrado"))</f>
        <v>SSP Group</v>
      </c>
      <c r="R415" s="81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71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>IF(F416="Ingreso",J416,-J416)</f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3" t="str">
        <f>IF(tblMovimientos[[#This Row],[Tipo de Movimiento]]="Ingreso",tblMovimientos[[#This Row],[Monto (S/)]],"0")</f>
        <v>0</v>
      </c>
      <c r="O416" s="63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81" t="str">
        <f>IF(tblMovimientos[[#This Row],[Cuenta Bancaria]]="","",_xlfn.XLOOKUP(tblMovimientos[[#This Row],[Cuenta Bancaria]],Cuentas!$C:$C,Cuentas!$A:$A,"No encontrado"))</f>
        <v>SSP Group</v>
      </c>
      <c r="R416" s="81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71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3" t="str">
        <f>IF(tblMovimientos[[#This Row],[Tipo de Movimiento]]="Ingreso",tblMovimientos[[#This Row],[Monto (S/)]],"0")</f>
        <v>0</v>
      </c>
      <c r="O417" s="63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81" t="str">
        <f>IF(tblMovimientos[[#This Row],[Cuenta Bancaria]]="","",_xlfn.XLOOKUP(tblMovimientos[[#This Row],[Cuenta Bancaria]],Cuentas!$C:$C,Cuentas!$A:$A,"No encontrado"))</f>
        <v>SSP Group</v>
      </c>
      <c r="R417" s="81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71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>IF(F418="Ingreso",J418,-J418)</f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3" t="str">
        <f>IF(tblMovimientos[[#This Row],[Tipo de Movimiento]]="Ingreso",tblMovimientos[[#This Row],[Monto (S/)]],"0")</f>
        <v>0</v>
      </c>
      <c r="O418" s="63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81" t="str">
        <f>IF(tblMovimientos[[#This Row],[Cuenta Bancaria]]="","",_xlfn.XLOOKUP(tblMovimientos[[#This Row],[Cuenta Bancaria]],Cuentas!$C:$C,Cuentas!$A:$A,"No encontrado"))</f>
        <v>SSP Group</v>
      </c>
      <c r="R418" s="81" t="str">
        <f>TRIM(_xlfn.XLOOKUP(tblMovimientos[[#This Row],[Cuenta Bancaria]],Cuentas!$C:$C,Cuentas!$B:$B,""))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71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>IF(F419="Ingreso",J419,-J419)</f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3" t="str">
        <f>IF(tblMovimientos[[#This Row],[Tipo de Movimiento]]="Ingreso",tblMovimientos[[#This Row],[Monto (S/)]],"0")</f>
        <v>0</v>
      </c>
      <c r="O419" s="63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81" t="str">
        <f>IF(tblMovimientos[[#This Row],[Cuenta Bancaria]]="","",_xlfn.XLOOKUP(tblMovimientos[[#This Row],[Cuenta Bancaria]],Cuentas!$C:$C,Cuentas!$A:$A,"No encontrado"))</f>
        <v>Trust</v>
      </c>
      <c r="R419" s="81" t="str">
        <f>TRIM(_xlfn.XLOOKUP(tblMovimientos[[#This Row],[Cuenta Bancaria]],Cuentas!$C:$C,Cuentas!$B:$B,""))</f>
        <v/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71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47">
        <f>IF(F420="Ingreso",J420,-J420)</f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3" t="str">
        <f>IF(tblMovimientos[[#This Row],[Tipo de Movimiento]]="Ingreso",tblMovimientos[[#This Row],[Monto (S/)]],"0")</f>
        <v>0</v>
      </c>
      <c r="O420" s="63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81" t="str">
        <f>IF(tblMovimientos[[#This Row],[Cuenta Bancaria]]="","",_xlfn.XLOOKUP(tblMovimientos[[#This Row],[Cuenta Bancaria]],Cuentas!$C:$C,Cuentas!$A:$A,"No encontrado"))</f>
        <v>SSP Group</v>
      </c>
      <c r="R420" s="81" t="str">
        <f>TRIM(_xlfn.XLOOKUP(tblMovimientos[[#This Row],[Cuenta Bancaria]],Cuentas!$C:$C,Cuentas!$B:$B,""))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71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3" t="str">
        <f>IF(tblMovimientos[[#This Row],[Tipo de Movimiento]]="Ingreso",tblMovimientos[[#This Row],[Monto (S/)]],"0")</f>
        <v>0</v>
      </c>
      <c r="O421" s="63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81" t="str">
        <f>IF(tblMovimientos[[#This Row],[Cuenta Bancaria]]="","",_xlfn.XLOOKUP(tblMovimientos[[#This Row],[Cuenta Bancaria]],Cuentas!$C:$C,Cuentas!$A:$A,"No encontrado"))</f>
        <v>SSP Group</v>
      </c>
      <c r="R421" s="81" t="str">
        <f>TRIM(_xlfn.XLOOKUP(tblMovimientos[[#This Row],[Cuenta Bancaria]],Cuentas!$C:$C,Cuentas!$B:$B,""))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71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>IF(F422="Ingreso",J422,-J422)</f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3" t="str">
        <f>IF(tblMovimientos[[#This Row],[Tipo de Movimiento]]="Ingreso",tblMovimientos[[#This Row],[Monto (S/)]],"0")</f>
        <v>0</v>
      </c>
      <c r="O422" s="63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81" t="str">
        <f>IF(tblMovimientos[[#This Row],[Cuenta Bancaria]]="","",_xlfn.XLOOKUP(tblMovimientos[[#This Row],[Cuenta Bancaria]],Cuentas!$C:$C,Cuentas!$A:$A,"No encontrado"))</f>
        <v>SSP Group</v>
      </c>
      <c r="R422" s="81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71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>IF(F423="Ingreso",J423,-J423)</f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3">
        <f>IF(tblMovimientos[[#This Row],[Tipo de Movimiento]]="Ingreso",tblMovimientos[[#This Row],[Monto (S/)]],"0")</f>
        <v>16978.900000000001</v>
      </c>
      <c r="O423" s="63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81" t="str">
        <f>IF(tblMovimientos[[#This Row],[Cuenta Bancaria]]="","",_xlfn.XLOOKUP(tblMovimientos[[#This Row],[Cuenta Bancaria]],Cuentas!$C:$C,Cuentas!$A:$A,"No encontrado"))</f>
        <v>SSP Group</v>
      </c>
      <c r="R423" s="81" t="str">
        <f>TRIM(_xlfn.XLOOKUP(tblMovimientos[[#This Row],[Cuenta Bancaria]],Cuentas!$C:$C,Cuentas!$B:$B,""))</f>
        <v>Cross Security Trust</v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71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>IF(F424="Ingreso",J424,-J424)</f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3">
        <f>IF(tblMovimientos[[#This Row],[Tipo de Movimiento]]="Ingreso",tblMovimientos[[#This Row],[Monto (S/)]],"0")</f>
        <v>6021.16</v>
      </c>
      <c r="O424" s="63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81" t="str">
        <f>IF(tblMovimientos[[#This Row],[Cuenta Bancaria]]="","",_xlfn.XLOOKUP(tblMovimientos[[#This Row],[Cuenta Bancaria]],Cuentas!$C:$C,Cuentas!$A:$A,"No encontrado"))</f>
        <v>SSP Group</v>
      </c>
      <c r="R424" s="81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71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>IF(F425="Ingreso",J425,-J425)</f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3">
        <f>IF(tblMovimientos[[#This Row],[Tipo de Movimiento]]="Ingreso",tblMovimientos[[#This Row],[Monto (S/)]],"0")</f>
        <v>5097.9399999999996</v>
      </c>
      <c r="O425" s="63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81" t="str">
        <f>IF(tblMovimientos[[#This Row],[Cuenta Bancaria]]="","",_xlfn.XLOOKUP(tblMovimientos[[#This Row],[Cuenta Bancaria]],Cuentas!$C:$C,Cuentas!$A:$A,"No encontrado"))</f>
        <v>SSP Group</v>
      </c>
      <c r="R425" s="81" t="str">
        <f>TRIM(_xlfn.XLOOKUP(tblMovimientos[[#This Row],[Cuenta Bancaria]],Cuentas!$C:$C,Cuentas!$B:$B,""))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71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47">
        <f>IF(F426="Ingreso",J426,-J426)</f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3" t="str">
        <f>IF(tblMovimientos[[#This Row],[Tipo de Movimiento]]="Ingreso",tblMovimientos[[#This Row],[Monto (S/)]],"0")</f>
        <v>0</v>
      </c>
      <c r="O426" s="63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81" t="str">
        <f>IF(tblMovimientos[[#This Row],[Cuenta Bancaria]]="","",_xlfn.XLOOKUP(tblMovimientos[[#This Row],[Cuenta Bancaria]],Cuentas!$C:$C,Cuentas!$A:$A,"No encontrado"))</f>
        <v>Trust</v>
      </c>
      <c r="R426" s="81" t="str">
        <f>TRIM(_xlfn.XLOOKUP(tblMovimientos[[#This Row],[Cuenta Bancaria]],Cuentas!$C:$C,Cuentas!$B:$B,""))</f>
        <v/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71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>IF(F427="Ingreso",J427,-J427)</f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3" t="str">
        <f>IF(tblMovimientos[[#This Row],[Tipo de Movimiento]]="Ingreso",tblMovimientos[[#This Row],[Monto (S/)]],"0")</f>
        <v>0</v>
      </c>
      <c r="O427" s="63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81" t="str">
        <f>IF(tblMovimientos[[#This Row],[Cuenta Bancaria]]="","",_xlfn.XLOOKUP(tblMovimientos[[#This Row],[Cuenta Bancaria]],Cuentas!$C:$C,Cuentas!$A:$A,"No encontrado"))</f>
        <v>SSP Group</v>
      </c>
      <c r="R427" s="81" t="str">
        <f>TRIM(_xlfn.XLOOKUP(tblMovimientos[[#This Row],[Cuenta Bancaria]],Cuentas!$C:$C,Cuentas!$B:$B,""))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71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>IF(F428="Ingreso",J428,-J428)</f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3" t="str">
        <f>IF(tblMovimientos[[#This Row],[Tipo de Movimiento]]="Ingreso",tblMovimientos[[#This Row],[Monto (S/)]],"0")</f>
        <v>0</v>
      </c>
      <c r="O428" s="63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81" t="str">
        <f>IF(tblMovimientos[[#This Row],[Cuenta Bancaria]]="","",_xlfn.XLOOKUP(tblMovimientos[[#This Row],[Cuenta Bancaria]],Cuentas!$C:$C,Cuentas!$A:$A,"No encontrado"))</f>
        <v>SSP Group</v>
      </c>
      <c r="R428" s="81" t="str">
        <f>TRIM(_xlfn.XLOOKUP(tblMovimientos[[#This Row],[Cuenta Bancaria]],Cuentas!$C:$C,Cuentas!$B:$B,""))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71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>IF(F429="Ingreso",J429,-J429)</f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3" t="str">
        <f>IF(tblMovimientos[[#This Row],[Tipo de Movimiento]]="Ingreso",tblMovimientos[[#This Row],[Monto (S/)]],"0")</f>
        <v>0</v>
      </c>
      <c r="O429" s="63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81" t="str">
        <f>IF(tblMovimientos[[#This Row],[Cuenta Bancaria]]="","",_xlfn.XLOOKUP(tblMovimientos[[#This Row],[Cuenta Bancaria]],Cuentas!$C:$C,Cuentas!$A:$A,"No encontrado"))</f>
        <v>SSP Group</v>
      </c>
      <c r="R429" s="81" t="str">
        <f>TRIM(_xlfn.XLOOKUP(tblMovimientos[[#This Row],[Cuenta Bancaria]],Cuentas!$C:$C,Cuentas!$B:$B,""))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71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72"/>
      <c r="J430" s="43">
        <v>2970</v>
      </c>
      <c r="K430" s="5"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Q430" s="81"/>
      <c r="R430" s="81"/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71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>IF(F431="Ingreso",J431,-J431)</f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3">
        <f>IF(tblMovimientos[[#This Row],[Tipo de Movimiento]]="Ingreso",tblMovimientos[[#This Row],[Monto (S/)]],"0")</f>
        <v>6753.49</v>
      </c>
      <c r="O431" s="63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81" t="str">
        <f>IF(tblMovimientos[[#This Row],[Cuenta Bancaria]]="","",_xlfn.XLOOKUP(tblMovimientos[[#This Row],[Cuenta Bancaria]],Cuentas!$C:$C,Cuentas!$A:$A,"No encontrado"))</f>
        <v>SSP Group</v>
      </c>
      <c r="R431" s="81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71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47">
        <f>IF(F432="Ingreso",J432,-J432)</f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3">
        <f>IF(tblMovimientos[[#This Row],[Tipo de Movimiento]]="Ingreso",tblMovimientos[[#This Row],[Monto (S/)]],"0")</f>
        <v>2267.66</v>
      </c>
      <c r="O432" s="63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81" t="str">
        <f>IF(tblMovimientos[[#This Row],[Cuenta Bancaria]]="","",_xlfn.XLOOKUP(tblMovimientos[[#This Row],[Cuenta Bancaria]],Cuentas!$C:$C,Cuentas!$A:$A,"No encontrado"))</f>
        <v>SSP Group</v>
      </c>
      <c r="R432" s="81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71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>IF(F433="Ingreso",J433,-J433)</f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3" t="str">
        <f>IF(tblMovimientos[[#This Row],[Tipo de Movimiento]]="Ingreso",tblMovimientos[[#This Row],[Monto (S/)]],"0")</f>
        <v>0</v>
      </c>
      <c r="O433" s="63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81" t="str">
        <f>IF(tblMovimientos[[#This Row],[Cuenta Bancaria]]="","",_xlfn.XLOOKUP(tblMovimientos[[#This Row],[Cuenta Bancaria]],Cuentas!$C:$C,Cuentas!$A:$A,"No encontrado"))</f>
        <v>SSP Group</v>
      </c>
      <c r="R433" s="81" t="str">
        <f>TRIM(_xlfn.XLOOKUP(tblMovimientos[[#This Row],[Cuenta Bancaria]],Cuentas!$C:$C,Cuentas!$B:$B,""))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71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>IF(F434="Ingreso",J434,-J434)</f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3" t="str">
        <f>IF(tblMovimientos[[#This Row],[Tipo de Movimiento]]="Ingreso",tblMovimientos[[#This Row],[Monto (S/)]],"0")</f>
        <v>0</v>
      </c>
      <c r="O434" s="63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81" t="str">
        <f>IF(tblMovimientos[[#This Row],[Cuenta Bancaria]]="","",_xlfn.XLOOKUP(tblMovimientos[[#This Row],[Cuenta Bancaria]],Cuentas!$C:$C,Cuentas!$A:$A,"No encontrado"))</f>
        <v>SSP Group</v>
      </c>
      <c r="R434" s="81" t="str">
        <f>TRIM(_xlfn.XLOOKUP(tblMovimientos[[#This Row],[Cuenta Bancaria]],Cuentas!$C:$C,Cuentas!$B:$B,""))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71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>IF(F435="Ingreso",J435,-J435)</f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3" t="str">
        <f>IF(tblMovimientos[[#This Row],[Tipo de Movimiento]]="Ingreso",tblMovimientos[[#This Row],[Monto (S/)]],"0")</f>
        <v>0</v>
      </c>
      <c r="O435" s="63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81" t="str">
        <f>IF(tblMovimientos[[#This Row],[Cuenta Bancaria]]="","",_xlfn.XLOOKUP(tblMovimientos[[#This Row],[Cuenta Bancaria]],Cuentas!$C:$C,Cuentas!$A:$A,"No encontrado"))</f>
        <v>SSP Group</v>
      </c>
      <c r="R435" s="81" t="str">
        <f>TRIM(_xlfn.XLOOKUP(tblMovimientos[[#This Row],[Cuenta Bancaria]],Cuentas!$C:$C,Cuentas!$B:$B,""))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71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>IF(F436="Ingreso",J436,-J436)</f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3" t="str">
        <f>IF(tblMovimientos[[#This Row],[Tipo de Movimiento]]="Ingreso",tblMovimientos[[#This Row],[Monto (S/)]],"0")</f>
        <v>0</v>
      </c>
      <c r="O436" s="63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81" t="str">
        <f>IF(tblMovimientos[[#This Row],[Cuenta Bancaria]]="","",_xlfn.XLOOKUP(tblMovimientos[[#This Row],[Cuenta Bancaria]],Cuentas!$C:$C,Cuentas!$A:$A,"No encontrado"))</f>
        <v>SSP Group</v>
      </c>
      <c r="R436" s="81" t="str">
        <f>TRIM(_xlfn.XLOOKUP(tblMovimientos[[#This Row],[Cuenta Bancaria]],Cuentas!$C:$C,Cuentas!$B:$B,""))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71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>IF(F437="Ingreso",J437,-J437)</f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3" t="str">
        <f>IF(tblMovimientos[[#This Row],[Tipo de Movimiento]]="Ingreso",tblMovimientos[[#This Row],[Monto (S/)]],"0")</f>
        <v>0</v>
      </c>
      <c r="O437" s="63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81" t="str">
        <f>IF(tblMovimientos[[#This Row],[Cuenta Bancaria]]="","",_xlfn.XLOOKUP(tblMovimientos[[#This Row],[Cuenta Bancaria]],Cuentas!$C:$C,Cuentas!$A:$A,"No encontrado"))</f>
        <v>SSP Group</v>
      </c>
      <c r="R437" s="81" t="str">
        <f>TRIM(_xlfn.XLOOKUP(tblMovimientos[[#This Row],[Cuenta Bancaria]],Cuentas!$C:$C,Cuentas!$B:$B,""))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71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>IF(F438="Ingreso",J438,-J438)</f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3" t="str">
        <f>IF(tblMovimientos[[#This Row],[Tipo de Movimiento]]="Ingreso",tblMovimientos[[#This Row],[Monto (S/)]],"0")</f>
        <v>0</v>
      </c>
      <c r="O438" s="63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81" t="str">
        <f>IF(tblMovimientos[[#This Row],[Cuenta Bancaria]]="","",_xlfn.XLOOKUP(tblMovimientos[[#This Row],[Cuenta Bancaria]],Cuentas!$C:$C,Cuentas!$A:$A,"No encontrado"))</f>
        <v>Trust</v>
      </c>
      <c r="R438" s="81" t="str">
        <f>TRIM(_xlfn.XLOOKUP(tblMovimientos[[#This Row],[Cuenta Bancaria]],Cuentas!$C:$C,Cuentas!$B:$B,""))</f>
        <v/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71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72"/>
      <c r="J439" s="43">
        <v>48163</v>
      </c>
      <c r="K439" s="5"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Q439" s="81"/>
      <c r="R439" s="81"/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71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72"/>
      <c r="J440" s="43">
        <v>11739</v>
      </c>
      <c r="K440" s="5"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Q440" s="81"/>
      <c r="R440" s="81"/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71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>IF(F441="Ingreso",J441,-J441)</f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3" t="str">
        <f>IF(tblMovimientos[[#This Row],[Tipo de Movimiento]]="Ingreso",tblMovimientos[[#This Row],[Monto (S/)]],"0")</f>
        <v>0</v>
      </c>
      <c r="O441" s="63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81" t="str">
        <f>IF(tblMovimientos[[#This Row],[Cuenta Bancaria]]="","",_xlfn.XLOOKUP(tblMovimientos[[#This Row],[Cuenta Bancaria]],Cuentas!$C:$C,Cuentas!$A:$A,"No encontrado"))</f>
        <v>SSP Group</v>
      </c>
      <c r="R441" s="81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71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>IF(F442="Ingreso",J442,-J442)</f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3">
        <f>IF(tblMovimientos[[#This Row],[Tipo de Movimiento]]="Ingreso",tblMovimientos[[#This Row],[Monto (S/)]],"0")</f>
        <v>16785.27</v>
      </c>
      <c r="O442" s="63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81" t="str">
        <f>IF(tblMovimientos[[#This Row],[Cuenta Bancaria]]="","",_xlfn.XLOOKUP(tblMovimientos[[#This Row],[Cuenta Bancaria]],Cuentas!$C:$C,Cuentas!$A:$A,"No encontrado"))</f>
        <v>SSP Group</v>
      </c>
      <c r="R442" s="81" t="str">
        <f>TRIM(_xlfn.XLOOKUP(tblMovimientos[[#This Row],[Cuenta Bancaria]],Cuentas!$C:$C,Cuentas!$B:$B,""))</f>
        <v>Cross Security Trust</v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71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>IF(F443="Ingreso",J443,-J443)</f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3">
        <f>IF(tblMovimientos[[#This Row],[Tipo de Movimiento]]="Ingreso",tblMovimientos[[#This Row],[Monto (S/)]],"0")</f>
        <v>1405.48</v>
      </c>
      <c r="O443" s="63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81" t="str">
        <f>IF(tblMovimientos[[#This Row],[Cuenta Bancaria]]="","",_xlfn.XLOOKUP(tblMovimientos[[#This Row],[Cuenta Bancaria]],Cuentas!$C:$C,Cuentas!$A:$A,"No encontrado"))</f>
        <v>SSP Group</v>
      </c>
      <c r="R443" s="81" t="str">
        <f>TRIM(_xlfn.XLOOKUP(tblMovimientos[[#This Row],[Cuenta Bancaria]],Cuentas!$C:$C,Cuentas!$B:$B,""))</f>
        <v>Cross Security Trust</v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71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>IF(F444="Ingreso",J444,-J444)</f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3" t="str">
        <f>IF(tblMovimientos[[#This Row],[Tipo de Movimiento]]="Ingreso",tblMovimientos[[#This Row],[Monto (S/)]],"0")</f>
        <v>0</v>
      </c>
      <c r="O444" s="63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81" t="str">
        <f>IF(tblMovimientos[[#This Row],[Cuenta Bancaria]]="","",_xlfn.XLOOKUP(tblMovimientos[[#This Row],[Cuenta Bancaria]],Cuentas!$C:$C,Cuentas!$A:$A,"No encontrado"))</f>
        <v>SSP Group</v>
      </c>
      <c r="R444" s="81" t="str">
        <f>TRIM(_xlfn.XLOOKUP(tblMovimientos[[#This Row],[Cuenta Bancaria]],Cuentas!$C:$C,Cuentas!$B:$B,""))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71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>IF(F445="Ingreso",J445,-J445)</f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3" t="str">
        <f>IF(tblMovimientos[[#This Row],[Tipo de Movimiento]]="Ingreso",tblMovimientos[[#This Row],[Monto (S/)]],"0")</f>
        <v>0</v>
      </c>
      <c r="O445" s="63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81" t="str">
        <f>IF(tblMovimientos[[#This Row],[Cuenta Bancaria]]="","",_xlfn.XLOOKUP(tblMovimientos[[#This Row],[Cuenta Bancaria]],Cuentas!$C:$C,Cuentas!$A:$A,"No encontrado"))</f>
        <v>SSP Group</v>
      </c>
      <c r="R445" s="81" t="str">
        <f>TRIM(_xlfn.XLOOKUP(tblMovimientos[[#This Row],[Cuenta Bancaria]],Cuentas!$C:$C,Cuentas!$B:$B,""))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71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>IF(F446="Ingreso",J446,-J446)</f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3" t="str">
        <f>IF(tblMovimientos[[#This Row],[Tipo de Movimiento]]="Ingreso",tblMovimientos[[#This Row],[Monto (S/)]],"0")</f>
        <v>0</v>
      </c>
      <c r="O446" s="63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81" t="str">
        <f>IF(tblMovimientos[[#This Row],[Cuenta Bancaria]]="","",_xlfn.XLOOKUP(tblMovimientos[[#This Row],[Cuenta Bancaria]],Cuentas!$C:$C,Cuentas!$A:$A,"No encontrado"))</f>
        <v>SSP Group</v>
      </c>
      <c r="R446" s="81" t="str">
        <f>TRIM(_xlfn.XLOOKUP(tblMovimientos[[#This Row],[Cuenta Bancaria]],Cuentas!$C:$C,Cuentas!$B:$B,""))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71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>IF(F447="Ingreso",J447,-J447)</f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3" t="str">
        <f>IF(tblMovimientos[[#This Row],[Tipo de Movimiento]]="Ingreso",tblMovimientos[[#This Row],[Monto (S/)]],"0")</f>
        <v>0</v>
      </c>
      <c r="O447" s="63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81" t="str">
        <f>IF(tblMovimientos[[#This Row],[Cuenta Bancaria]]="","",_xlfn.XLOOKUP(tblMovimientos[[#This Row],[Cuenta Bancaria]],Cuentas!$C:$C,Cuentas!$A:$A,"No encontrado"))</f>
        <v>SSP Group</v>
      </c>
      <c r="R447" s="81" t="str">
        <f>TRIM(_xlfn.XLOOKUP(tblMovimientos[[#This Row],[Cuenta Bancaria]],Cuentas!$C:$C,Cuentas!$B:$B,""))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71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>IF(F448="Ingreso",J448,-J448)</f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3" t="str">
        <f>IF(tblMovimientos[[#This Row],[Tipo de Movimiento]]="Ingreso",tblMovimientos[[#This Row],[Monto (S/)]],"0")</f>
        <v>0</v>
      </c>
      <c r="O448" s="63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81" t="str">
        <f>IF(tblMovimientos[[#This Row],[Cuenta Bancaria]]="","",_xlfn.XLOOKUP(tblMovimientos[[#This Row],[Cuenta Bancaria]],Cuentas!$C:$C,Cuentas!$A:$A,"No encontrado"))</f>
        <v>SSP Group</v>
      </c>
      <c r="R448" s="81" t="str">
        <f>TRIM(_xlfn.XLOOKUP(tblMovimientos[[#This Row],[Cuenta Bancaria]],Cuentas!$C:$C,Cuentas!$B:$B,""))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71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>IF(F449="Ingreso",J449,-J449)</f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3" t="str">
        <f>IF(tblMovimientos[[#This Row],[Tipo de Movimiento]]="Ingreso",tblMovimientos[[#This Row],[Monto (S/)]],"0")</f>
        <v>0</v>
      </c>
      <c r="O449" s="63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81" t="str">
        <f>IF(tblMovimientos[[#This Row],[Cuenta Bancaria]]="","",_xlfn.XLOOKUP(tblMovimientos[[#This Row],[Cuenta Bancaria]],Cuentas!$C:$C,Cuentas!$A:$A,"No encontrado"))</f>
        <v>SSP Group</v>
      </c>
      <c r="R449" s="81" t="str">
        <f>TRIM(_xlfn.XLOOKUP(tblMovimientos[[#This Row],[Cuenta Bancaria]],Cuentas!$C:$C,Cuentas!$B:$B,""))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71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3" t="str">
        <f>IF(tblMovimientos[[#This Row],[Tipo de Movimiento]]="Ingreso",tblMovimientos[[#This Row],[Monto (S/)]],"0")</f>
        <v>0</v>
      </c>
      <c r="O450" s="63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81" t="str">
        <f>IF(tblMovimientos[[#This Row],[Cuenta Bancaria]]="","",_xlfn.XLOOKUP(tblMovimientos[[#This Row],[Cuenta Bancaria]],Cuentas!$C:$C,Cuentas!$A:$A,"No encontrado"))</f>
        <v>SSP Group</v>
      </c>
      <c r="R450" s="81" t="str">
        <f>TRIM(_xlfn.XLOOKUP(tblMovimientos[[#This Row],[Cuenta Bancaria]],Cuentas!$C:$C,Cuentas!$B:$B,""))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71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3" t="str">
        <f>IF(tblMovimientos[[#This Row],[Tipo de Movimiento]]="Ingreso",tblMovimientos[[#This Row],[Monto (S/)]],"0")</f>
        <v>0</v>
      </c>
      <c r="O451" s="63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81" t="str">
        <f>IF(tblMovimientos[[#This Row],[Cuenta Bancaria]]="","",_xlfn.XLOOKUP(tblMovimientos[[#This Row],[Cuenta Bancaria]],Cuentas!$C:$C,Cuentas!$A:$A,"No encontrado"))</f>
        <v>SSP Group</v>
      </c>
      <c r="R451" s="81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71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>IF(F452="Ingreso",J452,-J452)</f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3">
        <f>IF(tblMovimientos[[#This Row],[Tipo de Movimiento]]="Ingreso",tblMovimientos[[#This Row],[Monto (S/)]],"0")</f>
        <v>15280.15</v>
      </c>
      <c r="O452" s="63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81" t="str">
        <f>IF(tblMovimientos[[#This Row],[Cuenta Bancaria]]="","",_xlfn.XLOOKUP(tblMovimientos[[#This Row],[Cuenta Bancaria]],Cuentas!$C:$C,Cuentas!$A:$A,"No encontrado"))</f>
        <v>SSP Group</v>
      </c>
      <c r="R452" s="81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71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>IF(F453="Ingreso",J453,-J453)</f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3" t="str">
        <f>IF(tblMovimientos[[#This Row],[Tipo de Movimiento]]="Ingreso",tblMovimientos[[#This Row],[Monto (S/)]],"0")</f>
        <v>0</v>
      </c>
      <c r="O453" s="63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81" t="str">
        <f>IF(tblMovimientos[[#This Row],[Cuenta Bancaria]]="","",_xlfn.XLOOKUP(tblMovimientos[[#This Row],[Cuenta Bancaria]],Cuentas!$C:$C,Cuentas!$A:$A,"No encontrado"))</f>
        <v>SSP Group</v>
      </c>
      <c r="R453" s="81" t="str">
        <f>TRIM(_xlfn.XLOOKUP(tblMovimientos[[#This Row],[Cuenta Bancaria]],Cuentas!$C:$C,Cuentas!$B:$B,""))</f>
        <v>Cross Security Trust</v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71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>IF(F454="Ingreso",J454,-J454)</f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3" t="str">
        <f>IF(tblMovimientos[[#This Row],[Tipo de Movimiento]]="Ingreso",tblMovimientos[[#This Row],[Monto (S/)]],"0")</f>
        <v>0</v>
      </c>
      <c r="O454" s="63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81" t="str">
        <f>IF(tblMovimientos[[#This Row],[Cuenta Bancaria]]="","",_xlfn.XLOOKUP(tblMovimientos[[#This Row],[Cuenta Bancaria]],Cuentas!$C:$C,Cuentas!$A:$A,"No encontrado"))</f>
        <v>SSP Group</v>
      </c>
      <c r="R454" s="81" t="str">
        <f>TRIM(_xlfn.XLOOKUP(tblMovimientos[[#This Row],[Cuenta Bancaria]],Cuentas!$C:$C,Cuentas!$B:$B,""))</f>
        <v>Cross Security Trust</v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71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>IF(F455="Ingreso",J455,-J455)</f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3" t="str">
        <f>IF(tblMovimientos[[#This Row],[Tipo de Movimiento]]="Ingreso",tblMovimientos[[#This Row],[Monto (S/)]],"0")</f>
        <v>0</v>
      </c>
      <c r="O455" s="63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81" t="str">
        <f>IF(tblMovimientos[[#This Row],[Cuenta Bancaria]]="","",_xlfn.XLOOKUP(tblMovimientos[[#This Row],[Cuenta Bancaria]],Cuentas!$C:$C,Cuentas!$A:$A,"No encontrado"))</f>
        <v>SSP Group</v>
      </c>
      <c r="R455" s="81" t="str">
        <f>TRIM(_xlfn.XLOOKUP(tblMovimientos[[#This Row],[Cuenta Bancaria]],Cuentas!$C:$C,Cuentas!$B:$B,""))</f>
        <v>Cross Security Trust</v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71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>IF(F456="Ingreso",J456,-J456)</f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3">
        <f>IF(tblMovimientos[[#This Row],[Tipo de Movimiento]]="Ingreso",tblMovimientos[[#This Row],[Monto (S/)]],"0")</f>
        <v>4400</v>
      </c>
      <c r="O456" s="63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81" t="str">
        <f>IF(tblMovimientos[[#This Row],[Cuenta Bancaria]]="","",_xlfn.XLOOKUP(tblMovimientos[[#This Row],[Cuenta Bancaria]],Cuentas!$C:$C,Cuentas!$A:$A,"No encontrado"))</f>
        <v>SSP Group</v>
      </c>
      <c r="R456" s="81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71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>IF(F457="Ingreso",J457,-J457)</f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3" t="str">
        <f>IF(tblMovimientos[[#This Row],[Tipo de Movimiento]]="Ingreso",tblMovimientos[[#This Row],[Monto (S/)]],"0")</f>
        <v>0</v>
      </c>
      <c r="O457" s="63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81" t="str">
        <f>IF(tblMovimientos[[#This Row],[Cuenta Bancaria]]="","",_xlfn.XLOOKUP(tblMovimientos[[#This Row],[Cuenta Bancaria]],Cuentas!$C:$C,Cuentas!$A:$A,"No encontrado"))</f>
        <v>SSP Group</v>
      </c>
      <c r="R457" s="81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71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>IF(F458="Ingreso",J458,-J458)</f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3" t="str">
        <f>IF(tblMovimientos[[#This Row],[Tipo de Movimiento]]="Ingreso",tblMovimientos[[#This Row],[Monto (S/)]],"0")</f>
        <v>0</v>
      </c>
      <c r="O458" s="63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81" t="str">
        <f>IF(tblMovimientos[[#This Row],[Cuenta Bancaria]]="","",_xlfn.XLOOKUP(tblMovimientos[[#This Row],[Cuenta Bancaria]],Cuentas!$C:$C,Cuentas!$A:$A,"No encontrado"))</f>
        <v>SSP Group</v>
      </c>
      <c r="R458" s="81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71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>IF(F459="Ingreso",J459,-J459)</f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3" t="str">
        <f>IF(tblMovimientos[[#This Row],[Tipo de Movimiento]]="Ingreso",tblMovimientos[[#This Row],[Monto (S/)]],"0")</f>
        <v>0</v>
      </c>
      <c r="O459" s="63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81" t="str">
        <f>IF(tblMovimientos[[#This Row],[Cuenta Bancaria]]="","",_xlfn.XLOOKUP(tblMovimientos[[#This Row],[Cuenta Bancaria]],Cuentas!$C:$C,Cuentas!$A:$A,"No encontrado"))</f>
        <v>SSP Group</v>
      </c>
      <c r="R459" s="81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71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>IF(F460="Ingreso",J460,-J460)</f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3" t="str">
        <f>IF(tblMovimientos[[#This Row],[Tipo de Movimiento]]="Ingreso",tblMovimientos[[#This Row],[Monto (S/)]],"0")</f>
        <v>0</v>
      </c>
      <c r="O460" s="63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81" t="str">
        <f>IF(tblMovimientos[[#This Row],[Cuenta Bancaria]]="","",_xlfn.XLOOKUP(tblMovimientos[[#This Row],[Cuenta Bancaria]],Cuentas!$C:$C,Cuentas!$A:$A,"No encontrado"))</f>
        <v>SSP Group</v>
      </c>
      <c r="R460" s="81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71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3" t="str">
        <f>IF(tblMovimientos[[#This Row],[Tipo de Movimiento]]="Ingreso",tblMovimientos[[#This Row],[Monto (S/)]],"0")</f>
        <v>0</v>
      </c>
      <c r="O461" s="63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81" t="str">
        <f>IF(tblMovimientos[[#This Row],[Cuenta Bancaria]]="","",_xlfn.XLOOKUP(tblMovimientos[[#This Row],[Cuenta Bancaria]],Cuentas!$C:$C,Cuentas!$A:$A,"No encontrado"))</f>
        <v>SSP Group</v>
      </c>
      <c r="R461" s="81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71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>IF(F462="Ingreso",J462,-J462)</f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3" t="str">
        <f>IF(tblMovimientos[[#This Row],[Tipo de Movimiento]]="Ingreso",tblMovimientos[[#This Row],[Monto (S/)]],"0")</f>
        <v>0</v>
      </c>
      <c r="O462" s="63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81" t="str">
        <f>IF(tblMovimientos[[#This Row],[Cuenta Bancaria]]="","",_xlfn.XLOOKUP(tblMovimientos[[#This Row],[Cuenta Bancaria]],Cuentas!$C:$C,Cuentas!$A:$A,"No encontrado"))</f>
        <v>SSP Group</v>
      </c>
      <c r="R462" s="81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71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>IF(F463="Ingreso",J463,-J463)</f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3" t="str">
        <f>IF(tblMovimientos[[#This Row],[Tipo de Movimiento]]="Ingreso",tblMovimientos[[#This Row],[Monto (S/)]],"0")</f>
        <v>0</v>
      </c>
      <c r="O463" s="63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81" t="str">
        <f>IF(tblMovimientos[[#This Row],[Cuenta Bancaria]]="","",_xlfn.XLOOKUP(tblMovimientos[[#This Row],[Cuenta Bancaria]],Cuentas!$C:$C,Cuentas!$A:$A,"No encontrado"))</f>
        <v>SSP Group</v>
      </c>
      <c r="R463" s="81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71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>IF(F464="Ingreso",J464,-J464)</f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3" t="str">
        <f>IF(tblMovimientos[[#This Row],[Tipo de Movimiento]]="Ingreso",tblMovimientos[[#This Row],[Monto (S/)]],"0")</f>
        <v>0</v>
      </c>
      <c r="O464" s="63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81" t="str">
        <f>IF(tblMovimientos[[#This Row],[Cuenta Bancaria]]="","",_xlfn.XLOOKUP(tblMovimientos[[#This Row],[Cuenta Bancaria]],Cuentas!$C:$C,Cuentas!$A:$A,"No encontrado"))</f>
        <v>SSP Group</v>
      </c>
      <c r="R464" s="81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71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>IF(F465="Ingreso",J465,-J465)</f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3" t="str">
        <f>IF(tblMovimientos[[#This Row],[Tipo de Movimiento]]="Ingreso",tblMovimientos[[#This Row],[Monto (S/)]],"0")</f>
        <v>0</v>
      </c>
      <c r="O465" s="63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81" t="str">
        <f>IF(tblMovimientos[[#This Row],[Cuenta Bancaria]]="","",_xlfn.XLOOKUP(tblMovimientos[[#This Row],[Cuenta Bancaria]],Cuentas!$C:$C,Cuentas!$A:$A,"No encontrado"))</f>
        <v>Trust</v>
      </c>
      <c r="R465" s="81" t="str">
        <f>TRIM(_xlfn.XLOOKUP(tblMovimientos[[#This Row],[Cuenta Bancaria]],Cuentas!$C:$C,Cuentas!$B:$B,""))</f>
        <v/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71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>IF(F466="Ingreso",J466,-J466)</f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3" t="str">
        <f>IF(tblMovimientos[[#This Row],[Tipo de Movimiento]]="Ingreso",tblMovimientos[[#This Row],[Monto (S/)]],"0")</f>
        <v>0</v>
      </c>
      <c r="O466" s="63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81" t="str">
        <f>IF(tblMovimientos[[#This Row],[Cuenta Bancaria]]="","",_xlfn.XLOOKUP(tblMovimientos[[#This Row],[Cuenta Bancaria]],Cuentas!$C:$C,Cuentas!$A:$A,"No encontrado"))</f>
        <v>Trust</v>
      </c>
      <c r="R466" s="81" t="str">
        <f>TRIM(_xlfn.XLOOKUP(tblMovimientos[[#This Row],[Cuenta Bancaria]],Cuentas!$C:$C,Cuentas!$B:$B,""))</f>
        <v/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71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>IF(F467="Ingreso",J467,-J467)</f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3">
        <f>IF(tblMovimientos[[#This Row],[Tipo de Movimiento]]="Ingreso",tblMovimientos[[#This Row],[Monto (S/)]],"0")</f>
        <v>150000</v>
      </c>
      <c r="O467" s="63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81" t="str">
        <f>IF(tblMovimientos[[#This Row],[Cuenta Bancaria]]="","",_xlfn.XLOOKUP(tblMovimientos[[#This Row],[Cuenta Bancaria]],Cuentas!$C:$C,Cuentas!$A:$A,"No encontrado"))</f>
        <v>SSP Group</v>
      </c>
      <c r="R467" s="81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71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>IF(F468="Ingreso",J468,-J468)</f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3" t="str">
        <f>IF(tblMovimientos[[#This Row],[Tipo de Movimiento]]="Ingreso",tblMovimientos[[#This Row],[Monto (S/)]],"0")</f>
        <v>0</v>
      </c>
      <c r="O468" s="63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81" t="str">
        <f>IF(tblMovimientos[[#This Row],[Cuenta Bancaria]]="","",_xlfn.XLOOKUP(tblMovimientos[[#This Row],[Cuenta Bancaria]],Cuentas!$C:$C,Cuentas!$A:$A,"No encontrado"))</f>
        <v>SSP Group</v>
      </c>
      <c r="R468" s="81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71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>IF(F469="Ingreso",J469,-J469)</f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3">
        <f>IF(tblMovimientos[[#This Row],[Tipo de Movimiento]]="Ingreso",tblMovimientos[[#This Row],[Monto (S/)]],"0")</f>
        <v>20000</v>
      </c>
      <c r="O469" s="63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81" t="str">
        <f>IF(tblMovimientos[[#This Row],[Cuenta Bancaria]]="","",_xlfn.XLOOKUP(tblMovimientos[[#This Row],[Cuenta Bancaria]],Cuentas!$C:$C,Cuentas!$A:$A,"No encontrado"))</f>
        <v>SSP Group</v>
      </c>
      <c r="R469" s="81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71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>IF(F470="Ingreso",J470,-J470)</f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3" t="str">
        <f>IF(tblMovimientos[[#This Row],[Tipo de Movimiento]]="Ingreso",tblMovimientos[[#This Row],[Monto (S/)]],"0")</f>
        <v>0</v>
      </c>
      <c r="O470" s="63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81" t="str">
        <f>IF(tblMovimientos[[#This Row],[Cuenta Bancaria]]="","",_xlfn.XLOOKUP(tblMovimientos[[#This Row],[Cuenta Bancaria]],Cuentas!$C:$C,Cuentas!$A:$A,"No encontrado"))</f>
        <v>SSP Group</v>
      </c>
      <c r="R470" s="81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71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>IF(F471="Ingreso",J471,-J471)</f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3">
        <f>IF(tblMovimientos[[#This Row],[Tipo de Movimiento]]="Ingreso",tblMovimientos[[#This Row],[Monto (S/)]],"0")</f>
        <v>20000</v>
      </c>
      <c r="O471" s="63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81" t="str">
        <f>IF(tblMovimientos[[#This Row],[Cuenta Bancaria]]="","",_xlfn.XLOOKUP(tblMovimientos[[#This Row],[Cuenta Bancaria]],Cuentas!$C:$C,Cuentas!$A:$A,"No encontrado"))</f>
        <v>SSP Group</v>
      </c>
      <c r="R471" s="81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71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>IF(F472="Ingreso",J472,-J472)</f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3" t="str">
        <f>IF(tblMovimientos[[#This Row],[Tipo de Movimiento]]="Ingreso",tblMovimientos[[#This Row],[Monto (S/)]],"0")</f>
        <v>0</v>
      </c>
      <c r="O472" s="63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81" t="str">
        <f>IF(tblMovimientos[[#This Row],[Cuenta Bancaria]]="","",_xlfn.XLOOKUP(tblMovimientos[[#This Row],[Cuenta Bancaria]],Cuentas!$C:$C,Cuentas!$A:$A,"No encontrado"))</f>
        <v>SSP Group</v>
      </c>
      <c r="R472" s="81" t="str">
        <f>TRIM(_xlfn.XLOOKUP(tblMovimientos[[#This Row],[Cuenta Bancaria]],Cuentas!$C:$C,Cuentas!$B:$B,""))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71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>IF(F473="Ingreso",J473,-J473)</f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3" t="str">
        <f>IF(tblMovimientos[[#This Row],[Tipo de Movimiento]]="Ingreso",tblMovimientos[[#This Row],[Monto (S/)]],"0")</f>
        <v>0</v>
      </c>
      <c r="O473" s="63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81" t="str">
        <f>IF(tblMovimientos[[#This Row],[Cuenta Bancaria]]="","",_xlfn.XLOOKUP(tblMovimientos[[#This Row],[Cuenta Bancaria]],Cuentas!$C:$C,Cuentas!$A:$A,"No encontrado"))</f>
        <v>SSP Group</v>
      </c>
      <c r="R473" s="81" t="str">
        <f>TRIM(_xlfn.XLOOKUP(tblMovimientos[[#This Row],[Cuenta Bancaria]],Cuentas!$C:$C,Cuentas!$B:$B,""))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71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>IF(F474="Ingreso",J474,-J474)</f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3" t="str">
        <f>IF(tblMovimientos[[#This Row],[Tipo de Movimiento]]="Ingreso",tblMovimientos[[#This Row],[Monto (S/)]],"0")</f>
        <v>0</v>
      </c>
      <c r="O474" s="63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81" t="str">
        <f>IF(tblMovimientos[[#This Row],[Cuenta Bancaria]]="","",_xlfn.XLOOKUP(tblMovimientos[[#This Row],[Cuenta Bancaria]],Cuentas!$C:$C,Cuentas!$A:$A,"No encontrado"))</f>
        <v>SSP Group</v>
      </c>
      <c r="R474" s="81" t="str">
        <f>TRIM(_xlfn.XLOOKUP(tblMovimientos[[#This Row],[Cuenta Bancaria]],Cuentas!$C:$C,Cuentas!$B:$B,""))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71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>IF(F475="Ingreso",J475,-J475)</f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3" t="str">
        <f>IF(tblMovimientos[[#This Row],[Tipo de Movimiento]]="Ingreso",tblMovimientos[[#This Row],[Monto (S/)]],"0")</f>
        <v>0</v>
      </c>
      <c r="O475" s="63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81" t="str">
        <f>IF(tblMovimientos[[#This Row],[Cuenta Bancaria]]="","",_xlfn.XLOOKUP(tblMovimientos[[#This Row],[Cuenta Bancaria]],Cuentas!$C:$C,Cuentas!$A:$A,"No encontrado"))</f>
        <v>SSP Group</v>
      </c>
      <c r="R475" s="81" t="str">
        <f>TRIM(_xlfn.XLOOKUP(tblMovimientos[[#This Row],[Cuenta Bancaria]],Cuentas!$C:$C,Cuentas!$B:$B,""))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71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>IF(F476="Ingreso",J476,-J476)</f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3" t="str">
        <f>IF(tblMovimientos[[#This Row],[Tipo de Movimiento]]="Ingreso",tblMovimientos[[#This Row],[Monto (S/)]],"0")</f>
        <v>0</v>
      </c>
      <c r="O476" s="63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81" t="str">
        <f>IF(tblMovimientos[[#This Row],[Cuenta Bancaria]]="","",_xlfn.XLOOKUP(tblMovimientos[[#This Row],[Cuenta Bancaria]],Cuentas!$C:$C,Cuentas!$A:$A,"No encontrado"))</f>
        <v>SSP Group</v>
      </c>
      <c r="R476" s="81" t="str">
        <f>TRIM(_xlfn.XLOOKUP(tblMovimientos[[#This Row],[Cuenta Bancaria]],Cuentas!$C:$C,Cuentas!$B:$B,""))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71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>IF(F477="Ingreso",J477,-J477)</f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3" t="str">
        <f>IF(tblMovimientos[[#This Row],[Tipo de Movimiento]]="Ingreso",tblMovimientos[[#This Row],[Monto (S/)]],"0")</f>
        <v>0</v>
      </c>
      <c r="O477" s="63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81" t="str">
        <f>IF(tblMovimientos[[#This Row],[Cuenta Bancaria]]="","",_xlfn.XLOOKUP(tblMovimientos[[#This Row],[Cuenta Bancaria]],Cuentas!$C:$C,Cuentas!$A:$A,"No encontrado"))</f>
        <v>SSP Group</v>
      </c>
      <c r="R477" s="81" t="str">
        <f>TRIM(_xlfn.XLOOKUP(tblMovimientos[[#This Row],[Cuenta Bancaria]],Cuentas!$C:$C,Cuentas!$B:$B,""))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71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>IF(F478="Ingreso",J478,-J478)</f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3">
        <f>IF(tblMovimientos[[#This Row],[Tipo de Movimiento]]="Ingreso",tblMovimientos[[#This Row],[Monto (S/)]],"0")</f>
        <v>4400</v>
      </c>
      <c r="O478" s="63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81" t="str">
        <f>IF(tblMovimientos[[#This Row],[Cuenta Bancaria]]="","",_xlfn.XLOOKUP(tblMovimientos[[#This Row],[Cuenta Bancaria]],Cuentas!$C:$C,Cuentas!$A:$A,"No encontrado"))</f>
        <v>SSP Group</v>
      </c>
      <c r="R478" s="81" t="str">
        <f>TRIM(_xlfn.XLOOKUP(tblMovimientos[[#This Row],[Cuenta Bancaria]],Cuentas!$C:$C,Cuentas!$B:$B,""))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71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>IF(F479="Ingreso",J479,-J479)</f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3" t="str">
        <f>IF(tblMovimientos[[#This Row],[Tipo de Movimiento]]="Ingreso",tblMovimientos[[#This Row],[Monto (S/)]],"0")</f>
        <v>0</v>
      </c>
      <c r="O479" s="63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81" t="str">
        <f>IF(tblMovimientos[[#This Row],[Cuenta Bancaria]]="","",_xlfn.XLOOKUP(tblMovimientos[[#This Row],[Cuenta Bancaria]],Cuentas!$C:$C,Cuentas!$A:$A,"No encontrado"))</f>
        <v>SSP Group</v>
      </c>
      <c r="R479" s="81" t="str">
        <f>TRIM(_xlfn.XLOOKUP(tblMovimientos[[#This Row],[Cuenta Bancaria]],Cuentas!$C:$C,Cuentas!$B:$B,""))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71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>IF(F480="Ingreso",J480,-J480)</f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3" t="str">
        <f>IF(tblMovimientos[[#This Row],[Tipo de Movimiento]]="Ingreso",tblMovimientos[[#This Row],[Monto (S/)]],"0")</f>
        <v>0</v>
      </c>
      <c r="O480" s="63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81" t="str">
        <f>IF(tblMovimientos[[#This Row],[Cuenta Bancaria]]="","",_xlfn.XLOOKUP(tblMovimientos[[#This Row],[Cuenta Bancaria]],Cuentas!$C:$C,Cuentas!$A:$A,"No encontrado"))</f>
        <v>SSP Group</v>
      </c>
      <c r="R480" s="81" t="str">
        <f>TRIM(_xlfn.XLOOKUP(tblMovimientos[[#This Row],[Cuenta Bancaria]],Cuentas!$C:$C,Cuentas!$B:$B,""))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71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>IF(F481="Ingreso",J481,-J481)</f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3" t="str">
        <f>IF(tblMovimientos[[#This Row],[Tipo de Movimiento]]="Ingreso",tblMovimientos[[#This Row],[Monto (S/)]],"0")</f>
        <v>0</v>
      </c>
      <c r="O481" s="63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81" t="str">
        <f>IF(tblMovimientos[[#This Row],[Cuenta Bancaria]]="","",_xlfn.XLOOKUP(tblMovimientos[[#This Row],[Cuenta Bancaria]],Cuentas!$C:$C,Cuentas!$A:$A,"No encontrado"))</f>
        <v>SSP Group</v>
      </c>
      <c r="R481" s="81" t="str">
        <f>TRIM(_xlfn.XLOOKUP(tblMovimientos[[#This Row],[Cuenta Bancaria]],Cuentas!$C:$C,Cuentas!$B:$B,""))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71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>IF(F482="Ingreso",J482,-J482)</f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3" t="str">
        <f>IF(tblMovimientos[[#This Row],[Tipo de Movimiento]]="Ingreso",tblMovimientos[[#This Row],[Monto (S/)]],"0")</f>
        <v>0</v>
      </c>
      <c r="O482" s="63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81" t="str">
        <f>IF(tblMovimientos[[#This Row],[Cuenta Bancaria]]="","",_xlfn.XLOOKUP(tblMovimientos[[#This Row],[Cuenta Bancaria]],Cuentas!$C:$C,Cuentas!$A:$A,"No encontrado"))</f>
        <v>SSP Group</v>
      </c>
      <c r="R482" s="81" t="str">
        <f>TRIM(_xlfn.XLOOKUP(tblMovimientos[[#This Row],[Cuenta Bancaria]],Cuentas!$C:$C,Cuentas!$B:$B,""))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71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>IF(F483="Ingreso",J483,-J483)</f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3" t="str">
        <f>IF(tblMovimientos[[#This Row],[Tipo de Movimiento]]="Ingreso",tblMovimientos[[#This Row],[Monto (S/)]],"0")</f>
        <v>0</v>
      </c>
      <c r="O483" s="63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81" t="str">
        <f>IF(tblMovimientos[[#This Row],[Cuenta Bancaria]]="","",_xlfn.XLOOKUP(tblMovimientos[[#This Row],[Cuenta Bancaria]],Cuentas!$C:$C,Cuentas!$A:$A,"No encontrado"))</f>
        <v>SSP Group</v>
      </c>
      <c r="R483" s="81" t="str">
        <f>TRIM(_xlfn.XLOOKUP(tblMovimientos[[#This Row],[Cuenta Bancaria]],Cuentas!$C:$C,Cuentas!$B:$B,""))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71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>IF(F484="Ingreso",J484,-J484)</f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3" t="str">
        <f>IF(tblMovimientos[[#This Row],[Tipo de Movimiento]]="Ingreso",tblMovimientos[[#This Row],[Monto (S/)]],"0")</f>
        <v>0</v>
      </c>
      <c r="O484" s="63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81" t="str">
        <f>IF(tblMovimientos[[#This Row],[Cuenta Bancaria]]="","",_xlfn.XLOOKUP(tblMovimientos[[#This Row],[Cuenta Bancaria]],Cuentas!$C:$C,Cuentas!$A:$A,"No encontrado"))</f>
        <v>SSP Group</v>
      </c>
      <c r="R484" s="81" t="str">
        <f>TRIM(_xlfn.XLOOKUP(tblMovimientos[[#This Row],[Cuenta Bancaria]],Cuentas!$C:$C,Cuentas!$B:$B,""))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71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>IF(F485="Ingreso",J485,-J485)</f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3" t="str">
        <f>IF(tblMovimientos[[#This Row],[Tipo de Movimiento]]="Ingreso",tblMovimientos[[#This Row],[Monto (S/)]],"0")</f>
        <v>0</v>
      </c>
      <c r="O485" s="63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81" t="str">
        <f>IF(tblMovimientos[[#This Row],[Cuenta Bancaria]]="","",_xlfn.XLOOKUP(tblMovimientos[[#This Row],[Cuenta Bancaria]],Cuentas!$C:$C,Cuentas!$A:$A,"No encontrado"))</f>
        <v>SSP Group</v>
      </c>
      <c r="R485" s="81" t="str">
        <f>TRIM(_xlfn.XLOOKUP(tblMovimientos[[#This Row],[Cuenta Bancaria]],Cuentas!$C:$C,Cuentas!$B:$B,""))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71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>IF(F486="Ingreso",J486,-J486)</f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3" t="str">
        <f>IF(tblMovimientos[[#This Row],[Tipo de Movimiento]]="Ingreso",tblMovimientos[[#This Row],[Monto (S/)]],"0")</f>
        <v>0</v>
      </c>
      <c r="O486" s="63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81" t="str">
        <f>IF(tblMovimientos[[#This Row],[Cuenta Bancaria]]="","",_xlfn.XLOOKUP(tblMovimientos[[#This Row],[Cuenta Bancaria]],Cuentas!$C:$C,Cuentas!$A:$A,"No encontrado"))</f>
        <v>SSP Group</v>
      </c>
      <c r="R486" s="81" t="str">
        <f>TRIM(_xlfn.XLOOKUP(tblMovimientos[[#This Row],[Cuenta Bancaria]],Cuentas!$C:$C,Cuentas!$B:$B,""))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71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>IF(F487="Ingreso",J487,-J487)</f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3" t="str">
        <f>IF(tblMovimientos[[#This Row],[Tipo de Movimiento]]="Ingreso",tblMovimientos[[#This Row],[Monto (S/)]],"0")</f>
        <v>0</v>
      </c>
      <c r="O487" s="63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81" t="str">
        <f>IF(tblMovimientos[[#This Row],[Cuenta Bancaria]]="","",_xlfn.XLOOKUP(tblMovimientos[[#This Row],[Cuenta Bancaria]],Cuentas!$C:$C,Cuentas!$A:$A,"No encontrado"))</f>
        <v>SSP Group</v>
      </c>
      <c r="R487" s="81" t="str">
        <f>TRIM(_xlfn.XLOOKUP(tblMovimientos[[#This Row],[Cuenta Bancaria]],Cuentas!$C:$C,Cuentas!$B:$B,""))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71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>IF(F488="Ingreso",J488,-J488)</f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3" t="str">
        <f>IF(tblMovimientos[[#This Row],[Tipo de Movimiento]]="Ingreso",tblMovimientos[[#This Row],[Monto (S/)]],"0")</f>
        <v>0</v>
      </c>
      <c r="O488" s="63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81" t="str">
        <f>IF(tblMovimientos[[#This Row],[Cuenta Bancaria]]="","",_xlfn.XLOOKUP(tblMovimientos[[#This Row],[Cuenta Bancaria]],Cuentas!$C:$C,Cuentas!$A:$A,"No encontrado"))</f>
        <v>SSP Group</v>
      </c>
      <c r="R488" s="81" t="str">
        <f>TRIM(_xlfn.XLOOKUP(tblMovimientos[[#This Row],[Cuenta Bancaria]],Cuentas!$C:$C,Cuentas!$B:$B,""))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71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>IF(F489="Ingreso",J489,-J489)</f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3" t="str">
        <f>IF(tblMovimientos[[#This Row],[Tipo de Movimiento]]="Ingreso",tblMovimientos[[#This Row],[Monto (S/)]],"0")</f>
        <v>0</v>
      </c>
      <c r="O489" s="63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81" t="str">
        <f>IF(tblMovimientos[[#This Row],[Cuenta Bancaria]]="","",_xlfn.XLOOKUP(tblMovimientos[[#This Row],[Cuenta Bancaria]],Cuentas!$C:$C,Cuentas!$A:$A,"No encontrado"))</f>
        <v>SSP Group</v>
      </c>
      <c r="R489" s="81" t="str">
        <f>TRIM(_xlfn.XLOOKUP(tblMovimientos[[#This Row],[Cuenta Bancaria]],Cuentas!$C:$C,Cuentas!$B:$B,""))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71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>IF(F490="Ingreso",J490,-J490)</f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3" t="str">
        <f>IF(tblMovimientos[[#This Row],[Tipo de Movimiento]]="Ingreso",tblMovimientos[[#This Row],[Monto (S/)]],"0")</f>
        <v>0</v>
      </c>
      <c r="O490" s="63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81" t="str">
        <f>IF(tblMovimientos[[#This Row],[Cuenta Bancaria]]="","",_xlfn.XLOOKUP(tblMovimientos[[#This Row],[Cuenta Bancaria]],Cuentas!$C:$C,Cuentas!$A:$A,"No encontrado"))</f>
        <v>SSP Group</v>
      </c>
      <c r="R490" s="81" t="str">
        <f>TRIM(_xlfn.XLOOKUP(tblMovimientos[[#This Row],[Cuenta Bancaria]],Cuentas!$C:$C,Cuentas!$B:$B,""))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71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>IF(F491="Ingreso",J491,-J491)</f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3" t="str">
        <f>IF(tblMovimientos[[#This Row],[Tipo de Movimiento]]="Ingreso",tblMovimientos[[#This Row],[Monto (S/)]],"0")</f>
        <v>0</v>
      </c>
      <c r="O491" s="63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81" t="str">
        <f>IF(tblMovimientos[[#This Row],[Cuenta Bancaria]]="","",_xlfn.XLOOKUP(tblMovimientos[[#This Row],[Cuenta Bancaria]],Cuentas!$C:$C,Cuentas!$A:$A,"No encontrado"))</f>
        <v>SSP Group</v>
      </c>
      <c r="R491" s="81" t="str">
        <f>TRIM(_xlfn.XLOOKUP(tblMovimientos[[#This Row],[Cuenta Bancaria]],Cuentas!$C:$C,Cuentas!$B:$B,""))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71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>IF(F492="Ingreso",J492,-J492)</f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3" t="str">
        <f>IF(tblMovimientos[[#This Row],[Tipo de Movimiento]]="Ingreso",tblMovimientos[[#This Row],[Monto (S/)]],"0")</f>
        <v>0</v>
      </c>
      <c r="O492" s="63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81" t="str">
        <f>IF(tblMovimientos[[#This Row],[Cuenta Bancaria]]="","",_xlfn.XLOOKUP(tblMovimientos[[#This Row],[Cuenta Bancaria]],Cuentas!$C:$C,Cuentas!$A:$A,"No encontrado"))</f>
        <v>SSP Group</v>
      </c>
      <c r="R492" s="81" t="str">
        <f>TRIM(_xlfn.XLOOKUP(tblMovimientos[[#This Row],[Cuenta Bancaria]],Cuentas!$C:$C,Cuentas!$B:$B,""))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71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>IF(F493="Ingreso",J493,-J493)</f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3" t="str">
        <f>IF(tblMovimientos[[#This Row],[Tipo de Movimiento]]="Ingreso",tblMovimientos[[#This Row],[Monto (S/)]],"0")</f>
        <v>0</v>
      </c>
      <c r="O493" s="63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81" t="str">
        <f>IF(tblMovimientos[[#This Row],[Cuenta Bancaria]]="","",_xlfn.XLOOKUP(tblMovimientos[[#This Row],[Cuenta Bancaria]],Cuentas!$C:$C,Cuentas!$A:$A,"No encontrado"))</f>
        <v>SSP Group</v>
      </c>
      <c r="R493" s="81" t="str">
        <f>TRIM(_xlfn.XLOOKUP(tblMovimientos[[#This Row],[Cuenta Bancaria]],Cuentas!$C:$C,Cuentas!$B:$B,""))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71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>IF(F494="Ingreso",J494,-J494)</f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3" t="str">
        <f>IF(tblMovimientos[[#This Row],[Tipo de Movimiento]]="Ingreso",tblMovimientos[[#This Row],[Monto (S/)]],"0")</f>
        <v>0</v>
      </c>
      <c r="O494" s="63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81" t="str">
        <f>IF(tblMovimientos[[#This Row],[Cuenta Bancaria]]="","",_xlfn.XLOOKUP(tblMovimientos[[#This Row],[Cuenta Bancaria]],Cuentas!$C:$C,Cuentas!$A:$A,"No encontrado"))</f>
        <v>SSP Group</v>
      </c>
      <c r="R494" s="81" t="str">
        <f>TRIM(_xlfn.XLOOKUP(tblMovimientos[[#This Row],[Cuenta Bancaria]],Cuentas!$C:$C,Cuentas!$B:$B,""))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71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>IF(F495="Ingreso",J495,-J495)</f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3" t="str">
        <f>IF(tblMovimientos[[#This Row],[Tipo de Movimiento]]="Ingreso",tblMovimientos[[#This Row],[Monto (S/)]],"0")</f>
        <v>0</v>
      </c>
      <c r="O495" s="63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81" t="str">
        <f>IF(tblMovimientos[[#This Row],[Cuenta Bancaria]]="","",_xlfn.XLOOKUP(tblMovimientos[[#This Row],[Cuenta Bancaria]],Cuentas!$C:$C,Cuentas!$A:$A,"No encontrado"))</f>
        <v>SSP Group</v>
      </c>
      <c r="R495" s="81" t="str">
        <f>TRIM(_xlfn.XLOOKUP(tblMovimientos[[#This Row],[Cuenta Bancaria]],Cuentas!$C:$C,Cuentas!$B:$B,""))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71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>IF(F496="Ingreso",J496,-J496)</f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3" t="str">
        <f>IF(tblMovimientos[[#This Row],[Tipo de Movimiento]]="Ingreso",tblMovimientos[[#This Row],[Monto (S/)]],"0")</f>
        <v>0</v>
      </c>
      <c r="O496" s="63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81" t="str">
        <f>IF(tblMovimientos[[#This Row],[Cuenta Bancaria]]="","",_xlfn.XLOOKUP(tblMovimientos[[#This Row],[Cuenta Bancaria]],Cuentas!$C:$C,Cuentas!$A:$A,"No encontrado"))</f>
        <v>SSP Group</v>
      </c>
      <c r="R496" s="81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71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>IF(F497="Ingreso",J497,-J497)</f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3" t="str">
        <f>IF(tblMovimientos[[#This Row],[Tipo de Movimiento]]="Ingreso",tblMovimientos[[#This Row],[Monto (S/)]],"0")</f>
        <v>0</v>
      </c>
      <c r="O497" s="63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81" t="str">
        <f>IF(tblMovimientos[[#This Row],[Cuenta Bancaria]]="","",_xlfn.XLOOKUP(tblMovimientos[[#This Row],[Cuenta Bancaria]],Cuentas!$C:$C,Cuentas!$A:$A,"No encontrado"))</f>
        <v>SSP Group</v>
      </c>
      <c r="R497" s="81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71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3" t="str">
        <f>IF(tblMovimientos[[#This Row],[Tipo de Movimiento]]="Ingreso",tblMovimientos[[#This Row],[Monto (S/)]],"0")</f>
        <v>0</v>
      </c>
      <c r="O498" s="63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81" t="str">
        <f>IF(tblMovimientos[[#This Row],[Cuenta Bancaria]]="","",_xlfn.XLOOKUP(tblMovimientos[[#This Row],[Cuenta Bancaria]],Cuentas!$C:$C,Cuentas!$A:$A,"No encontrado"))</f>
        <v>SSP Group</v>
      </c>
      <c r="R498" s="81" t="str">
        <f>TRIM(_xlfn.XLOOKUP(tblMovimientos[[#This Row],[Cuenta Bancaria]],Cuentas!$C:$C,Cuentas!$B:$B,""))</f>
        <v>Cross Security Trust</v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71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>IF(F499="Ingreso",J499,-J499)</f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3" t="str">
        <f>IF(tblMovimientos[[#This Row],[Tipo de Movimiento]]="Ingreso",tblMovimientos[[#This Row],[Monto (S/)]],"0")</f>
        <v>0</v>
      </c>
      <c r="O499" s="63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81" t="str">
        <f>IF(tblMovimientos[[#This Row],[Cuenta Bancaria]]="","",_xlfn.XLOOKUP(tblMovimientos[[#This Row],[Cuenta Bancaria]],Cuentas!$C:$C,Cuentas!$A:$A,"No encontrado"))</f>
        <v>SSP Group</v>
      </c>
      <c r="R499" s="81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71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>IF(F500="Ingreso",J500,-J500)</f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3" t="str">
        <f>IF(tblMovimientos[[#This Row],[Tipo de Movimiento]]="Ingreso",tblMovimientos[[#This Row],[Monto (S/)]],"0")</f>
        <v>0</v>
      </c>
      <c r="O500" s="63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81" t="str">
        <f>IF(tblMovimientos[[#This Row],[Cuenta Bancaria]]="","",_xlfn.XLOOKUP(tblMovimientos[[#This Row],[Cuenta Bancaria]],Cuentas!$C:$C,Cuentas!$A:$A,"No encontrado"))</f>
        <v>SSP Group</v>
      </c>
      <c r="R500" s="81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71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>IF(F501="Ingreso",J501,-J501)</f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3" t="str">
        <f>IF(tblMovimientos[[#This Row],[Tipo de Movimiento]]="Ingreso",tblMovimientos[[#This Row],[Monto (S/)]],"0")</f>
        <v>0</v>
      </c>
      <c r="O501" s="63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81" t="str">
        <f>IF(tblMovimientos[[#This Row],[Cuenta Bancaria]]="","",_xlfn.XLOOKUP(tblMovimientos[[#This Row],[Cuenta Bancaria]],Cuentas!$C:$C,Cuentas!$A:$A,"No encontrado"))</f>
        <v>SSP Group</v>
      </c>
      <c r="R501" s="81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71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>IF(F502="Ingreso",J502,-J502)</f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3" t="str">
        <f>IF(tblMovimientos[[#This Row],[Tipo de Movimiento]]="Ingreso",tblMovimientos[[#This Row],[Monto (S/)]],"0")</f>
        <v>0</v>
      </c>
      <c r="O502" s="63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81" t="str">
        <f>IF(tblMovimientos[[#This Row],[Cuenta Bancaria]]="","",_xlfn.XLOOKUP(tblMovimientos[[#This Row],[Cuenta Bancaria]],Cuentas!$C:$C,Cuentas!$A:$A,"No encontrado"))</f>
        <v>SSP Group</v>
      </c>
      <c r="R502" s="81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71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>IF(F503="Ingreso",J503,-J503)</f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3" t="str">
        <f>IF(tblMovimientos[[#This Row],[Tipo de Movimiento]]="Ingreso",tblMovimientos[[#This Row],[Monto (S/)]],"0")</f>
        <v>0</v>
      </c>
      <c r="O503" s="63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81" t="str">
        <f>IF(tblMovimientos[[#This Row],[Cuenta Bancaria]]="","",_xlfn.XLOOKUP(tblMovimientos[[#This Row],[Cuenta Bancaria]],Cuentas!$C:$C,Cuentas!$A:$A,"No encontrado"))</f>
        <v>SSP Group</v>
      </c>
      <c r="R503" s="81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71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>IF(F504="Ingreso",J504,-J504)</f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3" t="str">
        <f>IF(tblMovimientos[[#This Row],[Tipo de Movimiento]]="Ingreso",tblMovimientos[[#This Row],[Monto (S/)]],"0")</f>
        <v>0</v>
      </c>
      <c r="O504" s="63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81" t="str">
        <f>IF(tblMovimientos[[#This Row],[Cuenta Bancaria]]="","",_xlfn.XLOOKUP(tblMovimientos[[#This Row],[Cuenta Bancaria]],Cuentas!$C:$C,Cuentas!$A:$A,"No encontrado"))</f>
        <v>SSP Group</v>
      </c>
      <c r="R504" s="81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71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>IF(F505="Ingreso",J505,-J505)</f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3" t="str">
        <f>IF(tblMovimientos[[#This Row],[Tipo de Movimiento]]="Ingreso",tblMovimientos[[#This Row],[Monto (S/)]],"0")</f>
        <v>0</v>
      </c>
      <c r="O505" s="63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81" t="str">
        <f>IF(tblMovimientos[[#This Row],[Cuenta Bancaria]]="","",_xlfn.XLOOKUP(tblMovimientos[[#This Row],[Cuenta Bancaria]],Cuentas!$C:$C,Cuentas!$A:$A,"No encontrado"))</f>
        <v>SSP Group</v>
      </c>
      <c r="R505" s="81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71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>IF(F506="Ingreso",J506,-J506)</f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3" t="str">
        <f>IF(tblMovimientos[[#This Row],[Tipo de Movimiento]]="Ingreso",tblMovimientos[[#This Row],[Monto (S/)]],"0")</f>
        <v>0</v>
      </c>
      <c r="O506" s="63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81" t="str">
        <f>IF(tblMovimientos[[#This Row],[Cuenta Bancaria]]="","",_xlfn.XLOOKUP(tblMovimientos[[#This Row],[Cuenta Bancaria]],Cuentas!$C:$C,Cuentas!$A:$A,"No encontrado"))</f>
        <v>SSP Group</v>
      </c>
      <c r="R506" s="81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71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>IF(F507="Ingreso",J507,-J507)</f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3" t="str">
        <f>IF(tblMovimientos[[#This Row],[Tipo de Movimiento]]="Ingreso",tblMovimientos[[#This Row],[Monto (S/)]],"0")</f>
        <v>0</v>
      </c>
      <c r="O507" s="63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81" t="str">
        <f>IF(tblMovimientos[[#This Row],[Cuenta Bancaria]]="","",_xlfn.XLOOKUP(tblMovimientos[[#This Row],[Cuenta Bancaria]],Cuentas!$C:$C,Cuentas!$A:$A,"No encontrado"))</f>
        <v>SSP Group</v>
      </c>
      <c r="R507" s="81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71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>IF(F508="Ingreso",J508,-J508)</f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3" t="str">
        <f>IF(tblMovimientos[[#This Row],[Tipo de Movimiento]]="Ingreso",tblMovimientos[[#This Row],[Monto (S/)]],"0")</f>
        <v>0</v>
      </c>
      <c r="O508" s="63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81" t="str">
        <f>IF(tblMovimientos[[#This Row],[Cuenta Bancaria]]="","",_xlfn.XLOOKUP(tblMovimientos[[#This Row],[Cuenta Bancaria]],Cuentas!$C:$C,Cuentas!$A:$A,"No encontrado"))</f>
        <v>SSP Group</v>
      </c>
      <c r="R508" s="81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71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>IF(F509="Ingreso",J509,-J509)</f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3" t="str">
        <f>IF(tblMovimientos[[#This Row],[Tipo de Movimiento]]="Ingreso",tblMovimientos[[#This Row],[Monto (S/)]],"0")</f>
        <v>0</v>
      </c>
      <c r="O509" s="63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81" t="str">
        <f>IF(tblMovimientos[[#This Row],[Cuenta Bancaria]]="","",_xlfn.XLOOKUP(tblMovimientos[[#This Row],[Cuenta Bancaria]],Cuentas!$C:$C,Cuentas!$A:$A,"No encontrado"))</f>
        <v>SSP Group</v>
      </c>
      <c r="R509" s="81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71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>IF(F510="Ingreso",J510,-J510)</f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3" t="str">
        <f>IF(tblMovimientos[[#This Row],[Tipo de Movimiento]]="Ingreso",tblMovimientos[[#This Row],[Monto (S/)]],"0")</f>
        <v>0</v>
      </c>
      <c r="O510" s="63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81" t="str">
        <f>IF(tblMovimientos[[#This Row],[Cuenta Bancaria]]="","",_xlfn.XLOOKUP(tblMovimientos[[#This Row],[Cuenta Bancaria]],Cuentas!$C:$C,Cuentas!$A:$A,"No encontrado"))</f>
        <v>SSP Group</v>
      </c>
      <c r="R510" s="81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71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3" t="str">
        <f>IF(tblMovimientos[[#This Row],[Tipo de Movimiento]]="Ingreso",tblMovimientos[[#This Row],[Monto (S/)]],"0")</f>
        <v>0</v>
      </c>
      <c r="O511" s="63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81" t="str">
        <f>IF(tblMovimientos[[#This Row],[Cuenta Bancaria]]="","",_xlfn.XLOOKUP(tblMovimientos[[#This Row],[Cuenta Bancaria]],Cuentas!$C:$C,Cuentas!$A:$A,"No encontrado"))</f>
        <v>Trust</v>
      </c>
      <c r="R511" s="81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71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>IF(F512="Ingreso",J512,-J512)</f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3">
        <f>IF(tblMovimientos[[#This Row],[Tipo de Movimiento]]="Ingreso",tblMovimientos[[#This Row],[Monto (S/)]],"0")</f>
        <v>600000</v>
      </c>
      <c r="O512" s="63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81" t="str">
        <f>IF(tblMovimientos[[#This Row],[Cuenta Bancaria]]="","",_xlfn.XLOOKUP(tblMovimientos[[#This Row],[Cuenta Bancaria]],Cuentas!$C:$C,Cuentas!$A:$A,"No encontrado"))</f>
        <v>SSP Group</v>
      </c>
      <c r="R512" s="81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71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>IF(F513="Ingreso",J513,-J513)</f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3" t="str">
        <f>IF(tblMovimientos[[#This Row],[Tipo de Movimiento]]="Ingreso",tblMovimientos[[#This Row],[Monto (S/)]],"0")</f>
        <v>0</v>
      </c>
      <c r="O513" s="63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81" t="str">
        <f>IF(tblMovimientos[[#This Row],[Cuenta Bancaria]]="","",_xlfn.XLOOKUP(tblMovimientos[[#This Row],[Cuenta Bancaria]],Cuentas!$C:$C,Cuentas!$A:$A,"No encontrado"))</f>
        <v>SSP Group</v>
      </c>
      <c r="R513" s="81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71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>IF(F514="Ingreso",J514,-J514)</f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3" t="str">
        <f>IF(tblMovimientos[[#This Row],[Tipo de Movimiento]]="Ingreso",tblMovimientos[[#This Row],[Monto (S/)]],"0")</f>
        <v>0</v>
      </c>
      <c r="O514" s="63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81" t="str">
        <f>IF(tblMovimientos[[#This Row],[Cuenta Bancaria]]="","",_xlfn.XLOOKUP(tblMovimientos[[#This Row],[Cuenta Bancaria]],Cuentas!$C:$C,Cuentas!$A:$A,"No encontrado"))</f>
        <v>SSP Group</v>
      </c>
      <c r="R514" s="81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71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3" t="str">
        <f>IF(tblMovimientos[[#This Row],[Tipo de Movimiento]]="Ingreso",tblMovimientos[[#This Row],[Monto (S/)]],"0")</f>
        <v>0</v>
      </c>
      <c r="O515" s="63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81" t="str">
        <f>IF(tblMovimientos[[#This Row],[Cuenta Bancaria]]="","",_xlfn.XLOOKUP(tblMovimientos[[#This Row],[Cuenta Bancaria]],Cuentas!$C:$C,Cuentas!$A:$A,"No encontrado"))</f>
        <v>SSP Group</v>
      </c>
      <c r="R515" s="81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71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>IF(F516="Ingreso",J516,-J516)</f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3" t="str">
        <f>IF(tblMovimientos[[#This Row],[Tipo de Movimiento]]="Ingreso",tblMovimientos[[#This Row],[Monto (S/)]],"0")</f>
        <v>0</v>
      </c>
      <c r="O516" s="63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81" t="str">
        <f>IF(tblMovimientos[[#This Row],[Cuenta Bancaria]]="","",_xlfn.XLOOKUP(tblMovimientos[[#This Row],[Cuenta Bancaria]],Cuentas!$C:$C,Cuentas!$A:$A,"No encontrado"))</f>
        <v>SSP Group</v>
      </c>
      <c r="R516" s="81" t="str">
        <f>TRIM(_xlfn.XLOOKUP(tblMovimientos[[#This Row],[Cuenta Bancaria]],Cuentas!$C:$C,Cuentas!$B:$B,""))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71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>IF(F517="Ingreso",J517,-J517)</f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3">
        <f>IF(tblMovimientos[[#This Row],[Tipo de Movimiento]]="Ingreso",tblMovimientos[[#This Row],[Monto (S/)]],"0")</f>
        <v>20000</v>
      </c>
      <c r="O517" s="63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81" t="str">
        <f>IF(tblMovimientos[[#This Row],[Cuenta Bancaria]]="","",_xlfn.XLOOKUP(tblMovimientos[[#This Row],[Cuenta Bancaria]],Cuentas!$C:$C,Cuentas!$A:$A,"No encontrado"))</f>
        <v>SSP Group</v>
      </c>
      <c r="R517" s="81" t="str">
        <f>TRIM(_xlfn.XLOOKUP(tblMovimientos[[#This Row],[Cuenta Bancaria]],Cuentas!$C:$C,Cuentas!$B:$B,""))</f>
        <v/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71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>IF(F518="Ingreso",J518,-J518)</f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3" t="str">
        <f>IF(tblMovimientos[[#This Row],[Tipo de Movimiento]]="Ingreso",tblMovimientos[[#This Row],[Monto (S/)]],"0")</f>
        <v>0</v>
      </c>
      <c r="O518" s="63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81" t="str">
        <f>IF(tblMovimientos[[#This Row],[Cuenta Bancaria]]="","",_xlfn.XLOOKUP(tblMovimientos[[#This Row],[Cuenta Bancaria]],Cuentas!$C:$C,Cuentas!$A:$A,"No encontrado"))</f>
        <v>SSP Group</v>
      </c>
      <c r="R518" s="81" t="str">
        <f>TRIM(_xlfn.XLOOKUP(tblMovimientos[[#This Row],[Cuenta Bancaria]],Cuentas!$C:$C,Cuentas!$B:$B,""))</f>
        <v/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71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>IF(F519="Ingreso",J519,-J519)</f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3">
        <f>IF(tblMovimientos[[#This Row],[Tipo de Movimiento]]="Ingreso",tblMovimientos[[#This Row],[Monto (S/)]],"0")</f>
        <v>20000</v>
      </c>
      <c r="O519" s="63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81" t="str">
        <f>IF(tblMovimientos[[#This Row],[Cuenta Bancaria]]="","",_xlfn.XLOOKUP(tblMovimientos[[#This Row],[Cuenta Bancaria]],Cuentas!$C:$C,Cuentas!$A:$A,"No encontrado"))</f>
        <v>SSP Group</v>
      </c>
      <c r="R519" s="81" t="str">
        <f>TRIM(_xlfn.XLOOKUP(tblMovimientos[[#This Row],[Cuenta Bancaria]],Cuentas!$C:$C,Cuentas!$B:$B,""))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71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>IF(F520="Ingreso",J520,-J520)</f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3" t="str">
        <f>IF(tblMovimientos[[#This Row],[Tipo de Movimiento]]="Ingreso",tblMovimientos[[#This Row],[Monto (S/)]],"0")</f>
        <v>0</v>
      </c>
      <c r="O520" s="63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81" t="str">
        <f>IF(tblMovimientos[[#This Row],[Cuenta Bancaria]]="","",_xlfn.XLOOKUP(tblMovimientos[[#This Row],[Cuenta Bancaria]],Cuentas!$C:$C,Cuentas!$A:$A,"No encontrado"))</f>
        <v>SSP Group</v>
      </c>
      <c r="R520" s="81" t="str">
        <f>TRIM(_xlfn.XLOOKUP(tblMovimientos[[#This Row],[Cuenta Bancaria]],Cuentas!$C:$C,Cuentas!$B:$B,""))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71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>IF(F521="Ingreso",J521,-J521)</f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3" t="str">
        <f>IF(tblMovimientos[[#This Row],[Tipo de Movimiento]]="Ingreso",tblMovimientos[[#This Row],[Monto (S/)]],"0")</f>
        <v>0</v>
      </c>
      <c r="O521" s="63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81" t="str">
        <f>IF(tblMovimientos[[#This Row],[Cuenta Bancaria]]="","",_xlfn.XLOOKUP(tblMovimientos[[#This Row],[Cuenta Bancaria]],Cuentas!$C:$C,Cuentas!$A:$A,"No encontrado"))</f>
        <v>SSP Group</v>
      </c>
      <c r="R521" s="81" t="str">
        <f>TRIM(_xlfn.XLOOKUP(tblMovimientos[[#This Row],[Cuenta Bancaria]],Cuentas!$C:$C,Cuentas!$B:$B,""))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71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>IF(F522="Ingreso",J522,-J522)</f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3">
        <f>IF(tblMovimientos[[#This Row],[Tipo de Movimiento]]="Ingreso",tblMovimientos[[#This Row],[Monto (S/)]],"0")</f>
        <v>14659.29</v>
      </c>
      <c r="O522" s="63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81" t="str">
        <f>IF(tblMovimientos[[#This Row],[Cuenta Bancaria]]="","",_xlfn.XLOOKUP(tblMovimientos[[#This Row],[Cuenta Bancaria]],Cuentas!$C:$C,Cuentas!$A:$A,"No encontrado"))</f>
        <v>SSP Group</v>
      </c>
      <c r="R522" s="81" t="str">
        <f>TRIM(_xlfn.XLOOKUP(tblMovimientos[[#This Row],[Cuenta Bancaria]],Cuentas!$C:$C,Cuentas!$B:$B,""))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71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>IF(F523="Ingreso",J523,-J523)</f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3">
        <f>IF(tblMovimientos[[#This Row],[Tipo de Movimiento]]="Ingreso",tblMovimientos[[#This Row],[Monto (S/)]],"0")</f>
        <v>1451269.78</v>
      </c>
      <c r="O523" s="63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81" t="str">
        <f>IF(tblMovimientos[[#This Row],[Cuenta Bancaria]]="","",_xlfn.XLOOKUP(tblMovimientos[[#This Row],[Cuenta Bancaria]],Cuentas!$C:$C,Cuentas!$A:$A,"No encontrado"))</f>
        <v>SSP Group</v>
      </c>
      <c r="R523" s="81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71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>IF(F524="Ingreso",J524,-J524)</f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3" t="str">
        <f>IF(tblMovimientos[[#This Row],[Tipo de Movimiento]]="Ingreso",tblMovimientos[[#This Row],[Monto (S/)]],"0")</f>
        <v>0</v>
      </c>
      <c r="O524" s="63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81" t="str">
        <f>IF(tblMovimientos[[#This Row],[Cuenta Bancaria]]="","",_xlfn.XLOOKUP(tblMovimientos[[#This Row],[Cuenta Bancaria]],Cuentas!$C:$C,Cuentas!$A:$A,"No encontrado"))</f>
        <v>SSP Group</v>
      </c>
      <c r="R524" s="81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71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>IF(F525="Ingreso",J525,-J525)</f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3" t="str">
        <f>IF(tblMovimientos[[#This Row],[Tipo de Movimiento]]="Ingreso",tblMovimientos[[#This Row],[Monto (S/)]],"0")</f>
        <v>0</v>
      </c>
      <c r="O525" s="63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81" t="str">
        <f>IF(tblMovimientos[[#This Row],[Cuenta Bancaria]]="","",_xlfn.XLOOKUP(tblMovimientos[[#This Row],[Cuenta Bancaria]],Cuentas!$C:$C,Cuentas!$A:$A,"No encontrado"))</f>
        <v>SSP Group</v>
      </c>
      <c r="R525" s="81" t="str">
        <f>TRIM(_xlfn.XLOOKUP(tblMovimientos[[#This Row],[Cuenta Bancaria]],Cuentas!$C:$C,Cuentas!$B:$B,""))</f>
        <v>Cross Security Trust</v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71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>IF(F526="Ingreso",J526,-J526)</f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3" t="str">
        <f>IF(tblMovimientos[[#This Row],[Tipo de Movimiento]]="Ingreso",tblMovimientos[[#This Row],[Monto (S/)]],"0")</f>
        <v>0</v>
      </c>
      <c r="O526" s="63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81" t="str">
        <f>IF(tblMovimientos[[#This Row],[Cuenta Bancaria]]="","",_xlfn.XLOOKUP(tblMovimientos[[#This Row],[Cuenta Bancaria]],Cuentas!$C:$C,Cuentas!$A:$A,"No encontrado"))</f>
        <v>SSP Group</v>
      </c>
      <c r="R526" s="81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71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3">
        <f>IF(tblMovimientos[[#This Row],[Tipo de Movimiento]]="Ingreso",tblMovimientos[[#This Row],[Monto (S/)]],"0")</f>
        <v>2000</v>
      </c>
      <c r="O527" s="63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81" t="str">
        <f>IF(tblMovimientos[[#This Row],[Cuenta Bancaria]]="","",_xlfn.XLOOKUP(tblMovimientos[[#This Row],[Cuenta Bancaria]],Cuentas!$C:$C,Cuentas!$A:$A,"No encontrado"))</f>
        <v>SSP Group</v>
      </c>
      <c r="R527" s="81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71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>IF(F528="Ingreso",J528,-J528)</f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3" t="str">
        <f>IF(tblMovimientos[[#This Row],[Tipo de Movimiento]]="Ingreso",tblMovimientos[[#This Row],[Monto (S/)]],"0")</f>
        <v>0</v>
      </c>
      <c r="O528" s="63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81" t="str">
        <f>IF(tblMovimientos[[#This Row],[Cuenta Bancaria]]="","",_xlfn.XLOOKUP(tblMovimientos[[#This Row],[Cuenta Bancaria]],Cuentas!$C:$C,Cuentas!$A:$A,"No encontrado"))</f>
        <v>SSP Group</v>
      </c>
      <c r="R528" s="81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71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>IF(F529="Ingreso",J529,-J529)</f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3" t="str">
        <f>IF(tblMovimientos[[#This Row],[Tipo de Movimiento]]="Ingreso",tblMovimientos[[#This Row],[Monto (S/)]],"0")</f>
        <v>0</v>
      </c>
      <c r="O529" s="63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81" t="str">
        <f>IF(tblMovimientos[[#This Row],[Cuenta Bancaria]]="","",_xlfn.XLOOKUP(tblMovimientos[[#This Row],[Cuenta Bancaria]],Cuentas!$C:$C,Cuentas!$A:$A,"No encontrado"))</f>
        <v>SSP Group</v>
      </c>
      <c r="R529" s="81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71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>IF(F530="Ingreso",J530,-J530)</f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3" t="str">
        <f>IF(tblMovimientos[[#This Row],[Tipo de Movimiento]]="Ingreso",tblMovimientos[[#This Row],[Monto (S/)]],"0")</f>
        <v>0</v>
      </c>
      <c r="O530" s="63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81" t="str">
        <f>IF(tblMovimientos[[#This Row],[Cuenta Bancaria]]="","",_xlfn.XLOOKUP(tblMovimientos[[#This Row],[Cuenta Bancaria]],Cuentas!$C:$C,Cuentas!$A:$A,"No encontrado"))</f>
        <v>SSP Group</v>
      </c>
      <c r="R530" s="81" t="str">
        <f>TRIM(_xlfn.XLOOKUP(tblMovimientos[[#This Row],[Cuenta Bancaria]],Cuentas!$C:$C,Cuentas!$B:$B,""))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71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>IF(F531="Ingreso",J531,-J531)</f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3" t="str">
        <f>IF(tblMovimientos[[#This Row],[Tipo de Movimiento]]="Ingreso",tblMovimientos[[#This Row],[Monto (S/)]],"0")</f>
        <v>0</v>
      </c>
      <c r="O531" s="63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81" t="str">
        <f>IF(tblMovimientos[[#This Row],[Cuenta Bancaria]]="","",_xlfn.XLOOKUP(tblMovimientos[[#This Row],[Cuenta Bancaria]],Cuentas!$C:$C,Cuentas!$A:$A,"No encontrado"))</f>
        <v>SSP Group</v>
      </c>
      <c r="R531" s="81" t="str">
        <f>TRIM(_xlfn.XLOOKUP(tblMovimientos[[#This Row],[Cuenta Bancaria]],Cuentas!$C:$C,Cuentas!$B:$B,""))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71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>IF(F532="Ingreso",J532,-J532)</f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3" t="str">
        <f>IF(tblMovimientos[[#This Row],[Tipo de Movimiento]]="Ingreso",tblMovimientos[[#This Row],[Monto (S/)]],"0")</f>
        <v>0</v>
      </c>
      <c r="O532" s="63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81" t="str">
        <f>IF(tblMovimientos[[#This Row],[Cuenta Bancaria]]="","",_xlfn.XLOOKUP(tblMovimientos[[#This Row],[Cuenta Bancaria]],Cuentas!$C:$C,Cuentas!$A:$A,"No encontrado"))</f>
        <v>SSP Group</v>
      </c>
      <c r="R532" s="81" t="str">
        <f>TRIM(_xlfn.XLOOKUP(tblMovimientos[[#This Row],[Cuenta Bancaria]],Cuentas!$C:$C,Cuentas!$B:$B,""))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71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>IF(F533="Ingreso",J533,-J533)</f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3" t="str">
        <f>IF(tblMovimientos[[#This Row],[Tipo de Movimiento]]="Ingreso",tblMovimientos[[#This Row],[Monto (S/)]],"0")</f>
        <v>0</v>
      </c>
      <c r="O533" s="63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81" t="str">
        <f>IF(tblMovimientos[[#This Row],[Cuenta Bancaria]]="","",_xlfn.XLOOKUP(tblMovimientos[[#This Row],[Cuenta Bancaria]],Cuentas!$C:$C,Cuentas!$A:$A,"No encontrado"))</f>
        <v>SSP Group</v>
      </c>
      <c r="R533" s="81" t="str">
        <f>TRIM(_xlfn.XLOOKUP(tblMovimientos[[#This Row],[Cuenta Bancaria]],Cuentas!$C:$C,Cuentas!$B:$B,""))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71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>IF(F534="Ingreso",J534,-J534)</f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3" t="str">
        <f>IF(tblMovimientos[[#This Row],[Tipo de Movimiento]]="Ingreso",tblMovimientos[[#This Row],[Monto (S/)]],"0")</f>
        <v>0</v>
      </c>
      <c r="O534" s="63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81" t="str">
        <f>IF(tblMovimientos[[#This Row],[Cuenta Bancaria]]="","",_xlfn.XLOOKUP(tblMovimientos[[#This Row],[Cuenta Bancaria]],Cuentas!$C:$C,Cuentas!$A:$A,"No encontrado"))</f>
        <v>SSP Group</v>
      </c>
      <c r="R534" s="81" t="str">
        <f>TRIM(_xlfn.XLOOKUP(tblMovimientos[[#This Row],[Cuenta Bancaria]],Cuentas!$C:$C,Cuentas!$B:$B,""))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71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>IF(F535="Ingreso",J535,-J535)</f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3" t="str">
        <f>IF(tblMovimientos[[#This Row],[Tipo de Movimiento]]="Ingreso",tblMovimientos[[#This Row],[Monto (S/)]],"0")</f>
        <v>0</v>
      </c>
      <c r="O535" s="63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81" t="str">
        <f>IF(tblMovimientos[[#This Row],[Cuenta Bancaria]]="","",_xlfn.XLOOKUP(tblMovimientos[[#This Row],[Cuenta Bancaria]],Cuentas!$C:$C,Cuentas!$A:$A,"No encontrado"))</f>
        <v>SSP Group</v>
      </c>
      <c r="R535" s="81" t="str">
        <f>TRIM(_xlfn.XLOOKUP(tblMovimientos[[#This Row],[Cuenta Bancaria]],Cuentas!$C:$C,Cuentas!$B:$B,""))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71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>IF(F536="Ingreso",J536,-J536)</f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3" t="str">
        <f>IF(tblMovimientos[[#This Row],[Tipo de Movimiento]]="Ingreso",tblMovimientos[[#This Row],[Monto (S/)]],"0")</f>
        <v>0</v>
      </c>
      <c r="O536" s="63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81" t="str">
        <f>IF(tblMovimientos[[#This Row],[Cuenta Bancaria]]="","",_xlfn.XLOOKUP(tblMovimientos[[#This Row],[Cuenta Bancaria]],Cuentas!$C:$C,Cuentas!$A:$A,"No encontrado"))</f>
        <v>SSP Group</v>
      </c>
      <c r="R536" s="81" t="str">
        <f>TRIM(_xlfn.XLOOKUP(tblMovimientos[[#This Row],[Cuenta Bancaria]],Cuentas!$C:$C,Cuentas!$B:$B,""))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71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>IF(F537="Ingreso",J537,-J537)</f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3" t="str">
        <f>IF(tblMovimientos[[#This Row],[Tipo de Movimiento]]="Ingreso",tblMovimientos[[#This Row],[Monto (S/)]],"0")</f>
        <v>0</v>
      </c>
      <c r="O537" s="63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81" t="str">
        <f>IF(tblMovimientos[[#This Row],[Cuenta Bancaria]]="","",_xlfn.XLOOKUP(tblMovimientos[[#This Row],[Cuenta Bancaria]],Cuentas!$C:$C,Cuentas!$A:$A,"No encontrado"))</f>
        <v>SSP Group</v>
      </c>
      <c r="R537" s="81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71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>IF(F538="Ingreso",J538,-J538)</f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3" t="str">
        <f>IF(tblMovimientos[[#This Row],[Tipo de Movimiento]]="Ingreso",tblMovimientos[[#This Row],[Monto (S/)]],"0")</f>
        <v>0</v>
      </c>
      <c r="O538" s="63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81" t="str">
        <f>IF(tblMovimientos[[#This Row],[Cuenta Bancaria]]="","",_xlfn.XLOOKUP(tblMovimientos[[#This Row],[Cuenta Bancaria]],Cuentas!$C:$C,Cuentas!$A:$A,"No encontrado"))</f>
        <v>SSP Group</v>
      </c>
      <c r="R538" s="81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71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>IF(F539="Ingreso",J539,-J539)</f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3" t="str">
        <f>IF(tblMovimientos[[#This Row],[Tipo de Movimiento]]="Ingreso",tblMovimientos[[#This Row],[Monto (S/)]],"0")</f>
        <v>0</v>
      </c>
      <c r="O539" s="63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81" t="str">
        <f>IF(tblMovimientos[[#This Row],[Cuenta Bancaria]]="","",_xlfn.XLOOKUP(tblMovimientos[[#This Row],[Cuenta Bancaria]],Cuentas!$C:$C,Cuentas!$A:$A,"No encontrado"))</f>
        <v>SSP Group</v>
      </c>
      <c r="R539" s="81" t="str">
        <f>TRIM(_xlfn.XLOOKUP(tblMovimientos[[#This Row],[Cuenta Bancaria]],Cuentas!$C:$C,Cuentas!$B:$B,""))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71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>IF(F540="Ingreso",J540,-J540)</f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3" t="str">
        <f>IF(tblMovimientos[[#This Row],[Tipo de Movimiento]]="Ingreso",tblMovimientos[[#This Row],[Monto (S/)]],"0")</f>
        <v>0</v>
      </c>
      <c r="O540" s="63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81" t="str">
        <f>IF(tblMovimientos[[#This Row],[Cuenta Bancaria]]="","",_xlfn.XLOOKUP(tblMovimientos[[#This Row],[Cuenta Bancaria]],Cuentas!$C:$C,Cuentas!$A:$A,"No encontrado"))</f>
        <v>SSP Group</v>
      </c>
      <c r="R540" s="81" t="str">
        <f>TRIM(_xlfn.XLOOKUP(tblMovimientos[[#This Row],[Cuenta Bancaria]],Cuentas!$C:$C,Cuentas!$B:$B,""))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71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>IF(F541="Ingreso",J541,-J541)</f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3" t="str">
        <f>IF(tblMovimientos[[#This Row],[Tipo de Movimiento]]="Ingreso",tblMovimientos[[#This Row],[Monto (S/)]],"0")</f>
        <v>0</v>
      </c>
      <c r="O541" s="63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81" t="str">
        <f>IF(tblMovimientos[[#This Row],[Cuenta Bancaria]]="","",_xlfn.XLOOKUP(tblMovimientos[[#This Row],[Cuenta Bancaria]],Cuentas!$C:$C,Cuentas!$A:$A,"No encontrado"))</f>
        <v>SSP Group</v>
      </c>
      <c r="R541" s="81" t="str">
        <f>TRIM(_xlfn.XLOOKUP(tblMovimientos[[#This Row],[Cuenta Bancaria]],Cuentas!$C:$C,Cuentas!$B:$B,""))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71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>IF(F542="Ingreso",J542,-J542)</f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3" t="str">
        <f>IF(tblMovimientos[[#This Row],[Tipo de Movimiento]]="Ingreso",tblMovimientos[[#This Row],[Monto (S/)]],"0")</f>
        <v>0</v>
      </c>
      <c r="O542" s="63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81" t="str">
        <f>IF(tblMovimientos[[#This Row],[Cuenta Bancaria]]="","",_xlfn.XLOOKUP(tblMovimientos[[#This Row],[Cuenta Bancaria]],Cuentas!$C:$C,Cuentas!$A:$A,"No encontrado"))</f>
        <v>SSP Group</v>
      </c>
      <c r="R542" s="81" t="str">
        <f>TRIM(_xlfn.XLOOKUP(tblMovimientos[[#This Row],[Cuenta Bancaria]],Cuentas!$C:$C,Cuentas!$B:$B,""))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71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>IF(F543="Ingreso",J543,-J543)</f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3">
        <f>IF(tblMovimientos[[#This Row],[Tipo de Movimiento]]="Ingreso",tblMovimientos[[#This Row],[Monto (S/)]],"0")</f>
        <v>518.65</v>
      </c>
      <c r="O543" s="63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81" t="str">
        <f>IF(tblMovimientos[[#This Row],[Cuenta Bancaria]]="","",_xlfn.XLOOKUP(tblMovimientos[[#This Row],[Cuenta Bancaria]],Cuentas!$C:$C,Cuentas!$A:$A,"No encontrado"))</f>
        <v>SSP Group</v>
      </c>
      <c r="R543" s="81" t="str">
        <f>TRIM(_xlfn.XLOOKUP(tblMovimientos[[#This Row],[Cuenta Bancaria]],Cuentas!$C:$C,Cuentas!$B:$B,""))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71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>IF(F544="Ingreso",J544,-J544)</f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3" t="str">
        <f>IF(tblMovimientos[[#This Row],[Tipo de Movimiento]]="Ingreso",tblMovimientos[[#This Row],[Monto (S/)]],"0")</f>
        <v>0</v>
      </c>
      <c r="O544" s="63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81" t="str">
        <f>IF(tblMovimientos[[#This Row],[Cuenta Bancaria]]="","",_xlfn.XLOOKUP(tblMovimientos[[#This Row],[Cuenta Bancaria]],Cuentas!$C:$C,Cuentas!$A:$A,"No encontrado"))</f>
        <v>SSP Group</v>
      </c>
      <c r="R544" s="81" t="str">
        <f>TRIM(_xlfn.XLOOKUP(tblMovimientos[[#This Row],[Cuenta Bancaria]],Cuentas!$C:$C,Cuentas!$B:$B,""))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71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>IF(F545="Ingreso",J545,-J545)</f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3" t="str">
        <f>IF(tblMovimientos[[#This Row],[Tipo de Movimiento]]="Ingreso",tblMovimientos[[#This Row],[Monto (S/)]],"0")</f>
        <v>0</v>
      </c>
      <c r="O545" s="63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81" t="str">
        <f>IF(tblMovimientos[[#This Row],[Cuenta Bancaria]]="","",_xlfn.XLOOKUP(tblMovimientos[[#This Row],[Cuenta Bancaria]],Cuentas!$C:$C,Cuentas!$A:$A,"No encontrado"))</f>
        <v>SSP Group</v>
      </c>
      <c r="R545" s="81" t="str">
        <f>TRIM(_xlfn.XLOOKUP(tblMovimientos[[#This Row],[Cuenta Bancaria]],Cuentas!$C:$C,Cuentas!$B:$B,""))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71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>IF(F546="Ingreso",J546,-J546)</f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3" t="str">
        <f>IF(tblMovimientos[[#This Row],[Tipo de Movimiento]]="Ingreso",tblMovimientos[[#This Row],[Monto (S/)]],"0")</f>
        <v>0</v>
      </c>
      <c r="O546" s="63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81" t="str">
        <f>IF(tblMovimientos[[#This Row],[Cuenta Bancaria]]="","",_xlfn.XLOOKUP(tblMovimientos[[#This Row],[Cuenta Bancaria]],Cuentas!$C:$C,Cuentas!$A:$A,"No encontrado"))</f>
        <v>SSP Group</v>
      </c>
      <c r="R546" s="81" t="str">
        <f>TRIM(_xlfn.XLOOKUP(tblMovimientos[[#This Row],[Cuenta Bancaria]],Cuentas!$C:$C,Cuentas!$B:$B,""))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71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>IF(F547="Ingreso",J547,-J547)</f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3">
        <f>IF(tblMovimientos[[#This Row],[Tipo de Movimiento]]="Ingreso",tblMovimientos[[#This Row],[Monto (S/)]],"0")</f>
        <v>800000</v>
      </c>
      <c r="O547" s="63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81" t="str">
        <f>IF(tblMovimientos[[#This Row],[Cuenta Bancaria]]="","",_xlfn.XLOOKUP(tblMovimientos[[#This Row],[Cuenta Bancaria]],Cuentas!$C:$C,Cuentas!$A:$A,"No encontrado"))</f>
        <v>SSP Group</v>
      </c>
      <c r="R547" s="81" t="str">
        <f>TRIM(_xlfn.XLOOKUP(tblMovimientos[[#This Row],[Cuenta Bancaria]],Cuentas!$C:$C,Cuentas!$B:$B,""))</f>
        <v>Cross Security Trust</v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71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>IF(F548="Ingreso",J548,-J548)</f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3" t="str">
        <f>IF(tblMovimientos[[#This Row],[Tipo de Movimiento]]="Ingreso",tblMovimientos[[#This Row],[Monto (S/)]],"0")</f>
        <v>0</v>
      </c>
      <c r="O548" s="63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81" t="str">
        <f>IF(tblMovimientos[[#This Row],[Cuenta Bancaria]]="","",_xlfn.XLOOKUP(tblMovimientos[[#This Row],[Cuenta Bancaria]],Cuentas!$C:$C,Cuentas!$A:$A,"No encontrado"))</f>
        <v>SSP Group</v>
      </c>
      <c r="R548" s="81" t="str">
        <f>TRIM(_xlfn.XLOOKUP(tblMovimientos[[#This Row],[Cuenta Bancaria]],Cuentas!$C:$C,Cuentas!$B:$B,""))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71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>IF(F549="Ingreso",J549,-J549)</f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3" t="str">
        <f>IF(tblMovimientos[[#This Row],[Tipo de Movimiento]]="Ingreso",tblMovimientos[[#This Row],[Monto (S/)]],"0")</f>
        <v>0</v>
      </c>
      <c r="O549" s="63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81" t="str">
        <f>IF(tblMovimientos[[#This Row],[Cuenta Bancaria]]="","",_xlfn.XLOOKUP(tblMovimientos[[#This Row],[Cuenta Bancaria]],Cuentas!$C:$C,Cuentas!$A:$A,"No encontrado"))</f>
        <v>SSP Group</v>
      </c>
      <c r="R549" s="81" t="str">
        <f>TRIM(_xlfn.XLOOKUP(tblMovimientos[[#This Row],[Cuenta Bancaria]],Cuentas!$C:$C,Cuentas!$B:$B,""))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71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>IF(F550="Ingreso",J550,-J550)</f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3" t="str">
        <f>IF(tblMovimientos[[#This Row],[Tipo de Movimiento]]="Ingreso",tblMovimientos[[#This Row],[Monto (S/)]],"0")</f>
        <v>0</v>
      </c>
      <c r="O550" s="63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81" t="str">
        <f>IF(tblMovimientos[[#This Row],[Cuenta Bancaria]]="","",_xlfn.XLOOKUP(tblMovimientos[[#This Row],[Cuenta Bancaria]],Cuentas!$C:$C,Cuentas!$A:$A,"No encontrado"))</f>
        <v>SSP Group</v>
      </c>
      <c r="R550" s="81" t="str">
        <f>TRIM(_xlfn.XLOOKUP(tblMovimientos[[#This Row],[Cuenta Bancaria]],Cuentas!$C:$C,Cuentas!$B:$B,""))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71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>IF(F551="Ingreso",J551,-J551)</f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3" t="str">
        <f>IF(tblMovimientos[[#This Row],[Tipo de Movimiento]]="Ingreso",tblMovimientos[[#This Row],[Monto (S/)]],"0")</f>
        <v>0</v>
      </c>
      <c r="O551" s="63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81" t="str">
        <f>IF(tblMovimientos[[#This Row],[Cuenta Bancaria]]="","",_xlfn.XLOOKUP(tblMovimientos[[#This Row],[Cuenta Bancaria]],Cuentas!$C:$C,Cuentas!$A:$A,"No encontrado"))</f>
        <v>SSP Group</v>
      </c>
      <c r="R551" s="81" t="str">
        <f>TRIM(_xlfn.XLOOKUP(tblMovimientos[[#This Row],[Cuenta Bancaria]],Cuentas!$C:$C,Cuentas!$B:$B,""))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71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>IF(F552="Ingreso",J552,-J552)</f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3" t="str">
        <f>IF(tblMovimientos[[#This Row],[Tipo de Movimiento]]="Ingreso",tblMovimientos[[#This Row],[Monto (S/)]],"0")</f>
        <v>0</v>
      </c>
      <c r="O552" s="63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81" t="str">
        <f>IF(tblMovimientos[[#This Row],[Cuenta Bancaria]]="","",_xlfn.XLOOKUP(tblMovimientos[[#This Row],[Cuenta Bancaria]],Cuentas!$C:$C,Cuentas!$A:$A,"No encontrado"))</f>
        <v>SSP Group</v>
      </c>
      <c r="R552" s="81" t="str">
        <f>TRIM(_xlfn.XLOOKUP(tblMovimientos[[#This Row],[Cuenta Bancaria]],Cuentas!$C:$C,Cuentas!$B:$B,""))</f>
        <v>Cross Security Trust</v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71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>IF(F553="Ingreso",J553,-J553)</f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3" t="str">
        <f>IF(tblMovimientos[[#This Row],[Tipo de Movimiento]]="Ingreso",tblMovimientos[[#This Row],[Monto (S/)]],"0")</f>
        <v>0</v>
      </c>
      <c r="O553" s="63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81" t="str">
        <f>IF(tblMovimientos[[#This Row],[Cuenta Bancaria]]="","",_xlfn.XLOOKUP(tblMovimientos[[#This Row],[Cuenta Bancaria]],Cuentas!$C:$C,Cuentas!$A:$A,"No encontrado"))</f>
        <v>SSP Group</v>
      </c>
      <c r="R553" s="81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71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>IF(F554="Ingreso",J554,-J554)</f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3" t="str">
        <f>IF(tblMovimientos[[#This Row],[Tipo de Movimiento]]="Ingreso",tblMovimientos[[#This Row],[Monto (S/)]],"0")</f>
        <v>0</v>
      </c>
      <c r="O554" s="63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81" t="str">
        <f>IF(tblMovimientos[[#This Row],[Cuenta Bancaria]]="","",_xlfn.XLOOKUP(tblMovimientos[[#This Row],[Cuenta Bancaria]],Cuentas!$C:$C,Cuentas!$A:$A,"No encontrado"))</f>
        <v>SSP Group</v>
      </c>
      <c r="R554" s="81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71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>IF(F555="Ingreso",J555,-J555)</f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3" t="str">
        <f>IF(tblMovimientos[[#This Row],[Tipo de Movimiento]]="Ingreso",tblMovimientos[[#This Row],[Monto (S/)]],"0")</f>
        <v>0</v>
      </c>
      <c r="O555" s="63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81" t="str">
        <f>IF(tblMovimientos[[#This Row],[Cuenta Bancaria]]="","",_xlfn.XLOOKUP(tblMovimientos[[#This Row],[Cuenta Bancaria]],Cuentas!$C:$C,Cuentas!$A:$A,"No encontrado"))</f>
        <v>SSP Group</v>
      </c>
      <c r="R555" s="81" t="str">
        <f>TRIM(_xlfn.XLOOKUP(tblMovimientos[[#This Row],[Cuenta Bancaria]],Cuentas!$C:$C,Cuentas!$B:$B,""))</f>
        <v>Cross Security Trust</v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71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>IF(F556="Ingreso",J556,-J556)</f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3" t="str">
        <f>IF(tblMovimientos[[#This Row],[Tipo de Movimiento]]="Ingreso",tblMovimientos[[#This Row],[Monto (S/)]],"0")</f>
        <v>0</v>
      </c>
      <c r="O556" s="63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81" t="str">
        <f>IF(tblMovimientos[[#This Row],[Cuenta Bancaria]]="","",_xlfn.XLOOKUP(tblMovimientos[[#This Row],[Cuenta Bancaria]],Cuentas!$C:$C,Cuentas!$A:$A,"No encontrado"))</f>
        <v>SSP Group</v>
      </c>
      <c r="R556" s="81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71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>IF(F557="Ingreso",J557,-J557)</f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3">
        <f>IF(tblMovimientos[[#This Row],[Tipo de Movimiento]]="Ingreso",tblMovimientos[[#This Row],[Monto (S/)]],"0")</f>
        <v>2000</v>
      </c>
      <c r="O557" s="63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81" t="str">
        <f>IF(tblMovimientos[[#This Row],[Cuenta Bancaria]]="","",_xlfn.XLOOKUP(tblMovimientos[[#This Row],[Cuenta Bancaria]],Cuentas!$C:$C,Cuentas!$A:$A,"No encontrado"))</f>
        <v>SSP Group</v>
      </c>
      <c r="R557" s="81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71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>IF(F558="Ingreso",J558,-J558)</f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3" t="str">
        <f>IF(tblMovimientos[[#This Row],[Tipo de Movimiento]]="Ingreso",tblMovimientos[[#This Row],[Monto (S/)]],"0")</f>
        <v>0</v>
      </c>
      <c r="O558" s="63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81" t="str">
        <f>IF(tblMovimientos[[#This Row],[Cuenta Bancaria]]="","",_xlfn.XLOOKUP(tblMovimientos[[#This Row],[Cuenta Bancaria]],Cuentas!$C:$C,Cuentas!$A:$A,"No encontrado"))</f>
        <v>SSP Group</v>
      </c>
      <c r="R558" s="81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71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>IF(F559="Ingreso",J559,-J559)</f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3" t="str">
        <f>IF(tblMovimientos[[#This Row],[Tipo de Movimiento]]="Ingreso",tblMovimientos[[#This Row],[Monto (S/)]],"0")</f>
        <v>0</v>
      </c>
      <c r="O559" s="63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81" t="str">
        <f>IF(tblMovimientos[[#This Row],[Cuenta Bancaria]]="","",_xlfn.XLOOKUP(tblMovimientos[[#This Row],[Cuenta Bancaria]],Cuentas!$C:$C,Cuentas!$A:$A,"No encontrado"))</f>
        <v>SSP Group</v>
      </c>
      <c r="R559" s="81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71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>IF(F560="Ingreso",J560,-J560)</f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3" t="str">
        <f>IF(tblMovimientos[[#This Row],[Tipo de Movimiento]]="Ingreso",tblMovimientos[[#This Row],[Monto (S/)]],"0")</f>
        <v>0</v>
      </c>
      <c r="O560" s="63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81" t="str">
        <f>IF(tblMovimientos[[#This Row],[Cuenta Bancaria]]="","",_xlfn.XLOOKUP(tblMovimientos[[#This Row],[Cuenta Bancaria]],Cuentas!$C:$C,Cuentas!$A:$A,"No encontrado"))</f>
        <v>SSP Group</v>
      </c>
      <c r="R560" s="81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71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>IF(F561="Ingreso",J561,-J561)</f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3">
        <f>IF(tblMovimientos[[#This Row],[Tipo de Movimiento]]="Ingreso",tblMovimientos[[#This Row],[Monto (S/)]],"0")</f>
        <v>250000</v>
      </c>
      <c r="O561" s="63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81" t="str">
        <f>IF(tblMovimientos[[#This Row],[Cuenta Bancaria]]="","",_xlfn.XLOOKUP(tblMovimientos[[#This Row],[Cuenta Bancaria]],Cuentas!$C:$C,Cuentas!$A:$A,"No encontrado"))</f>
        <v>SSP Group</v>
      </c>
      <c r="R561" s="81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71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>IF(F562="Ingreso",J562,-J562)</f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3" t="str">
        <f>IF(tblMovimientos[[#This Row],[Tipo de Movimiento]]="Ingreso",tblMovimientos[[#This Row],[Monto (S/)]],"0")</f>
        <v>0</v>
      </c>
      <c r="O562" s="63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81" t="str">
        <f>IF(tblMovimientos[[#This Row],[Cuenta Bancaria]]="","",_xlfn.XLOOKUP(tblMovimientos[[#This Row],[Cuenta Bancaria]],Cuentas!$C:$C,Cuentas!$A:$A,"No encontrado"))</f>
        <v>SSP Group</v>
      </c>
      <c r="R562" s="81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71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>IF(F563="Ingreso",J563,-J563)</f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3" t="str">
        <f>IF(tblMovimientos[[#This Row],[Tipo de Movimiento]]="Ingreso",tblMovimientos[[#This Row],[Monto (S/)]],"0")</f>
        <v>0</v>
      </c>
      <c r="O563" s="63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81" t="str">
        <f>IF(tblMovimientos[[#This Row],[Cuenta Bancaria]]="","",_xlfn.XLOOKUP(tblMovimientos[[#This Row],[Cuenta Bancaria]],Cuentas!$C:$C,Cuentas!$A:$A,"No encontrado"))</f>
        <v>SSP Group</v>
      </c>
      <c r="R563" s="81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71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>IF(F564="Ingreso",J564,-J564)</f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3" t="str">
        <f>IF(tblMovimientos[[#This Row],[Tipo de Movimiento]]="Ingreso",tblMovimientos[[#This Row],[Monto (S/)]],"0")</f>
        <v>0</v>
      </c>
      <c r="O564" s="63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81" t="str">
        <f>IF(tblMovimientos[[#This Row],[Cuenta Bancaria]]="","",_xlfn.XLOOKUP(tblMovimientos[[#This Row],[Cuenta Bancaria]],Cuentas!$C:$C,Cuentas!$A:$A,"No encontrado"))</f>
        <v>SSP Group</v>
      </c>
      <c r="R564" s="81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71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>IF(F565="Ingreso",J565,-J565)</f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3" t="str">
        <f>IF(tblMovimientos[[#This Row],[Tipo de Movimiento]]="Ingreso",tblMovimientos[[#This Row],[Monto (S/)]],"0")</f>
        <v>0</v>
      </c>
      <c r="O565" s="63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81" t="str">
        <f>IF(tblMovimientos[[#This Row],[Cuenta Bancaria]]="","",_xlfn.XLOOKUP(tblMovimientos[[#This Row],[Cuenta Bancaria]],Cuentas!$C:$C,Cuentas!$A:$A,"No encontrado"))</f>
        <v>SSP Group</v>
      </c>
      <c r="R565" s="81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71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>IF(F566="Ingreso",J566,-J566)</f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3" t="str">
        <f>IF(tblMovimientos[[#This Row],[Tipo de Movimiento]]="Ingreso",tblMovimientos[[#This Row],[Monto (S/)]],"0")</f>
        <v>0</v>
      </c>
      <c r="O566" s="63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81" t="str">
        <f>IF(tblMovimientos[[#This Row],[Cuenta Bancaria]]="","",_xlfn.XLOOKUP(tblMovimientos[[#This Row],[Cuenta Bancaria]],Cuentas!$C:$C,Cuentas!$A:$A,"No encontrado"))</f>
        <v>SSP Group</v>
      </c>
      <c r="R566" s="81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71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>IF(F567="Ingreso",J567,-J567)</f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3" t="str">
        <f>IF(tblMovimientos[[#This Row],[Tipo de Movimiento]]="Ingreso",tblMovimientos[[#This Row],[Monto (S/)]],"0")</f>
        <v>0</v>
      </c>
      <c r="O567" s="63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81" t="str">
        <f>IF(tblMovimientos[[#This Row],[Cuenta Bancaria]]="","",_xlfn.XLOOKUP(tblMovimientos[[#This Row],[Cuenta Bancaria]],Cuentas!$C:$C,Cuentas!$A:$A,"No encontrado"))</f>
        <v>SSP Group</v>
      </c>
      <c r="R567" s="81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71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>IF(F568="Ingreso",J568,-J568)</f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3" t="str">
        <f>IF(tblMovimientos[[#This Row],[Tipo de Movimiento]]="Ingreso",tblMovimientos[[#This Row],[Monto (S/)]],"0")</f>
        <v>0</v>
      </c>
      <c r="O568" s="63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81" t="str">
        <f>IF(tblMovimientos[[#This Row],[Cuenta Bancaria]]="","",_xlfn.XLOOKUP(tblMovimientos[[#This Row],[Cuenta Bancaria]],Cuentas!$C:$C,Cuentas!$A:$A,"No encontrado"))</f>
        <v>SSP Group</v>
      </c>
      <c r="R568" s="81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71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>IF(F569="Ingreso",J569,-J569)</f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3" t="str">
        <f>IF(tblMovimientos[[#This Row],[Tipo de Movimiento]]="Ingreso",tblMovimientos[[#This Row],[Monto (S/)]],"0")</f>
        <v>0</v>
      </c>
      <c r="O569" s="63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81" t="str">
        <f>IF(tblMovimientos[[#This Row],[Cuenta Bancaria]]="","",_xlfn.XLOOKUP(tblMovimientos[[#This Row],[Cuenta Bancaria]],Cuentas!$C:$C,Cuentas!$A:$A,"No encontrado"))</f>
        <v>SSP Group</v>
      </c>
      <c r="R569" s="81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>IF(F570="Ingreso",J570,-J570)</f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3" t="str">
        <f>IF(tblMovimientos[[#This Row],[Tipo de Movimiento]]="Ingreso",tblMovimientos[[#This Row],[Monto (S/)]],"0")</f>
        <v>0</v>
      </c>
      <c r="O570" s="63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81" t="str">
        <f>IF(tblMovimientos[[#This Row],[Cuenta Bancaria]]="","",_xlfn.XLOOKUP(tblMovimientos[[#This Row],[Cuenta Bancaria]],Cuentas!$C:$C,Cuentas!$A:$A,"No encontrado"))</f>
        <v>SSP Group</v>
      </c>
      <c r="R570" s="81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71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>IF(F571="Ingreso",J571,-J571)</f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3" t="str">
        <f>IF(tblMovimientos[[#This Row],[Tipo de Movimiento]]="Ingreso",tblMovimientos[[#This Row],[Monto (S/)]],"0")</f>
        <v>0</v>
      </c>
      <c r="O571" s="63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81" t="str">
        <f>IF(tblMovimientos[[#This Row],[Cuenta Bancaria]]="","",_xlfn.XLOOKUP(tblMovimientos[[#This Row],[Cuenta Bancaria]],Cuentas!$C:$C,Cuentas!$A:$A,"No encontrado"))</f>
        <v>SSP Group</v>
      </c>
      <c r="R571" s="81" t="str">
        <f>TRIM(_xlfn.XLOOKUP(tblMovimientos[[#This Row],[Cuenta Bancaria]],Cuentas!$C:$C,Cuentas!$B:$B,""))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71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>IF(F572="Ingreso",J572,-J572)</f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3" t="str">
        <f>IF(tblMovimientos[[#This Row],[Tipo de Movimiento]]="Ingreso",tblMovimientos[[#This Row],[Monto (S/)]],"0")</f>
        <v>0</v>
      </c>
      <c r="O572" s="63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81" t="str">
        <f>IF(tblMovimientos[[#This Row],[Cuenta Bancaria]]="","",_xlfn.XLOOKUP(tblMovimientos[[#This Row],[Cuenta Bancaria]],Cuentas!$C:$C,Cuentas!$A:$A,"No encontrado"))</f>
        <v>SSP Group</v>
      </c>
      <c r="R572" s="81" t="str">
        <f>TRIM(_xlfn.XLOOKUP(tblMovimientos[[#This Row],[Cuenta Bancaria]],Cuentas!$C:$C,Cuentas!$B:$B,""))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71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>IF(F573="Ingreso",J573,-J573)</f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3" t="str">
        <f>IF(tblMovimientos[[#This Row],[Tipo de Movimiento]]="Ingreso",tblMovimientos[[#This Row],[Monto (S/)]],"0")</f>
        <v>0</v>
      </c>
      <c r="O573" s="63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81" t="str">
        <f>IF(tblMovimientos[[#This Row],[Cuenta Bancaria]]="","",_xlfn.XLOOKUP(tblMovimientos[[#This Row],[Cuenta Bancaria]],Cuentas!$C:$C,Cuentas!$A:$A,"No encontrado"))</f>
        <v>SSP Group</v>
      </c>
      <c r="R573" s="81" t="str">
        <f>TRIM(_xlfn.XLOOKUP(tblMovimientos[[#This Row],[Cuenta Bancaria]],Cuentas!$C:$C,Cuentas!$B:$B,""))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71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>IF(F574="Ingreso",J574,-J574)</f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3" t="str">
        <f>IF(tblMovimientos[[#This Row],[Tipo de Movimiento]]="Ingreso",tblMovimientos[[#This Row],[Monto (S/)]],"0")</f>
        <v>0</v>
      </c>
      <c r="O574" s="63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81" t="str">
        <f>IF(tblMovimientos[[#This Row],[Cuenta Bancaria]]="","",_xlfn.XLOOKUP(tblMovimientos[[#This Row],[Cuenta Bancaria]],Cuentas!$C:$C,Cuentas!$A:$A,"No encontrado"))</f>
        <v>SSP Group</v>
      </c>
      <c r="R574" s="81" t="str">
        <f>TRIM(_xlfn.XLOOKUP(tblMovimientos[[#This Row],[Cuenta Bancaria]],Cuentas!$C:$C,Cuentas!$B:$B,""))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>IF(F575="Ingreso",J575,-J575)</f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3" t="str">
        <f>IF(tblMovimientos[[#This Row],[Tipo de Movimiento]]="Ingreso",tblMovimientos[[#This Row],[Monto (S/)]],"0")</f>
        <v>0</v>
      </c>
      <c r="O575" s="63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81" t="str">
        <f>IF(tblMovimientos[[#This Row],[Cuenta Bancaria]]="","",_xlfn.XLOOKUP(tblMovimientos[[#This Row],[Cuenta Bancaria]],Cuentas!$C:$C,Cuentas!$A:$A,"No encontrado"))</f>
        <v>SSP Group</v>
      </c>
      <c r="R575" s="81" t="str">
        <f>TRIM(_xlfn.XLOOKUP(tblMovimientos[[#This Row],[Cuenta Bancaria]],Cuentas!$C:$C,Cuentas!$B:$B,""))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71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>IF(F576="Ingreso",J576,-J576)</f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3" t="str">
        <f>IF(tblMovimientos[[#This Row],[Tipo de Movimiento]]="Ingreso",tblMovimientos[[#This Row],[Monto (S/)]],"0")</f>
        <v>0</v>
      </c>
      <c r="O576" s="63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81" t="str">
        <f>IF(tblMovimientos[[#This Row],[Cuenta Bancaria]]="","",_xlfn.XLOOKUP(tblMovimientos[[#This Row],[Cuenta Bancaria]],Cuentas!$C:$C,Cuentas!$A:$A,"No encontrado"))</f>
        <v>SSP Group</v>
      </c>
      <c r="R576" s="81" t="str">
        <f>TRIM(_xlfn.XLOOKUP(tblMovimientos[[#This Row],[Cuenta Bancaria]],Cuentas!$C:$C,Cuentas!$B:$B,""))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71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>IF(F577="Ingreso",J577,-J577)</f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3" t="str">
        <f>IF(tblMovimientos[[#This Row],[Tipo de Movimiento]]="Ingreso",tblMovimientos[[#This Row],[Monto (S/)]],"0")</f>
        <v>0</v>
      </c>
      <c r="O577" s="63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81" t="str">
        <f>IF(tblMovimientos[[#This Row],[Cuenta Bancaria]]="","",_xlfn.XLOOKUP(tblMovimientos[[#This Row],[Cuenta Bancaria]],Cuentas!$C:$C,Cuentas!$A:$A,"No encontrado"))</f>
        <v>SSP Group</v>
      </c>
      <c r="R577" s="81" t="str">
        <f>TRIM(_xlfn.XLOOKUP(tblMovimientos[[#This Row],[Cuenta Bancaria]],Cuentas!$C:$C,Cuentas!$B:$B,""))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71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>IF(F578="Ingreso",J578,-J578)</f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3" t="str">
        <f>IF(tblMovimientos[[#This Row],[Tipo de Movimiento]]="Ingreso",tblMovimientos[[#This Row],[Monto (S/)]],"0")</f>
        <v>0</v>
      </c>
      <c r="O578" s="63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81" t="str">
        <f>IF(tblMovimientos[[#This Row],[Cuenta Bancaria]]="","",_xlfn.XLOOKUP(tblMovimientos[[#This Row],[Cuenta Bancaria]],Cuentas!$C:$C,Cuentas!$A:$A,"No encontrado"))</f>
        <v>SSP Group</v>
      </c>
      <c r="R578" s="81" t="str">
        <f>TRIM(_xlfn.XLOOKUP(tblMovimientos[[#This Row],[Cuenta Bancaria]],Cuentas!$C:$C,Cuentas!$B:$B,""))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71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72"/>
      <c r="J579" s="43">
        <v>3.46</v>
      </c>
      <c r="K579" s="5"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Q579" s="81"/>
      <c r="R579" s="81"/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71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>IF(F580="Ingreso",J580,-J580)</f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3" t="str">
        <f>IF(tblMovimientos[[#This Row],[Tipo de Movimiento]]="Ingreso",tblMovimientos[[#This Row],[Monto (S/)]],"0")</f>
        <v>0</v>
      </c>
      <c r="O580" s="63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81" t="str">
        <f>IF(tblMovimientos[[#This Row],[Cuenta Bancaria]]="","",_xlfn.XLOOKUP(tblMovimientos[[#This Row],[Cuenta Bancaria]],Cuentas!$C:$C,Cuentas!$A:$A,"No encontrado"))</f>
        <v>SSP Group</v>
      </c>
      <c r="R580" s="81" t="str">
        <f>TRIM(_xlfn.XLOOKUP(tblMovimientos[[#This Row],[Cuenta Bancaria]],Cuentas!$C:$C,Cuentas!$B:$B,""))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71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>IF(F581="Ingreso",J581,-J581)</f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3" t="str">
        <f>IF(tblMovimientos[[#This Row],[Tipo de Movimiento]]="Ingreso",tblMovimientos[[#This Row],[Monto (S/)]],"0")</f>
        <v>0</v>
      </c>
      <c r="O581" s="63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81" t="str">
        <f>IF(tblMovimientos[[#This Row],[Cuenta Bancaria]]="","",_xlfn.XLOOKUP(tblMovimientos[[#This Row],[Cuenta Bancaria]],Cuentas!$C:$C,Cuentas!$A:$A,"No encontrado"))</f>
        <v>SSP Group</v>
      </c>
      <c r="R581" s="81" t="str">
        <f>TRIM(_xlfn.XLOOKUP(tblMovimientos[[#This Row],[Cuenta Bancaria]],Cuentas!$C:$C,Cuentas!$B:$B,""))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71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>IF(F582="Ingreso",J582,-J582)</f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3" t="str">
        <f>IF(tblMovimientos[[#This Row],[Tipo de Movimiento]]="Ingreso",tblMovimientos[[#This Row],[Monto (S/)]],"0")</f>
        <v>0</v>
      </c>
      <c r="O582" s="63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81" t="str">
        <f>IF(tblMovimientos[[#This Row],[Cuenta Bancaria]]="","",_xlfn.XLOOKUP(tblMovimientos[[#This Row],[Cuenta Bancaria]],Cuentas!$C:$C,Cuentas!$A:$A,"No encontrado"))</f>
        <v>SSP Group</v>
      </c>
      <c r="R582" s="81" t="str">
        <f>TRIM(_xlfn.XLOOKUP(tblMovimientos[[#This Row],[Cuenta Bancaria]],Cuentas!$C:$C,Cuentas!$B:$B,""))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71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>IF(F583="Ingreso",J583,-J583)</f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3">
        <f>IF(tblMovimientos[[#This Row],[Tipo de Movimiento]]="Ingreso",tblMovimientos[[#This Row],[Monto (S/)]],"0")</f>
        <v>70000</v>
      </c>
      <c r="O583" s="63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81" t="str">
        <f>IF(tblMovimientos[[#This Row],[Cuenta Bancaria]]="","",_xlfn.XLOOKUP(tblMovimientos[[#This Row],[Cuenta Bancaria]],Cuentas!$C:$C,Cuentas!$A:$A,"No encontrado"))</f>
        <v>SSP Group</v>
      </c>
      <c r="R583" s="81" t="str">
        <f>TRIM(_xlfn.XLOOKUP(tblMovimientos[[#This Row],[Cuenta Bancaria]],Cuentas!$C:$C,Cuentas!$B:$B,""))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71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>IF(F584="Ingreso",J584,-J584)</f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3" t="str">
        <f>IF(tblMovimientos[[#This Row],[Tipo de Movimiento]]="Ingreso",tblMovimientos[[#This Row],[Monto (S/)]],"0")</f>
        <v>0</v>
      </c>
      <c r="O584" s="63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81" t="str">
        <f>IF(tblMovimientos[[#This Row],[Cuenta Bancaria]]="","",_xlfn.XLOOKUP(tblMovimientos[[#This Row],[Cuenta Bancaria]],Cuentas!$C:$C,Cuentas!$A:$A,"No encontrado"))</f>
        <v>SSP Group</v>
      </c>
      <c r="R584" s="81" t="str">
        <f>TRIM(_xlfn.XLOOKUP(tblMovimientos[[#This Row],[Cuenta Bancaria]],Cuentas!$C:$C,Cuentas!$B:$B,""))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71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>IF(F585="Ingreso",J585,-J585)</f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3" t="str">
        <f>IF(tblMovimientos[[#This Row],[Tipo de Movimiento]]="Ingreso",tblMovimientos[[#This Row],[Monto (S/)]],"0")</f>
        <v>0</v>
      </c>
      <c r="O585" s="63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81" t="str">
        <f>IF(tblMovimientos[[#This Row],[Cuenta Bancaria]]="","",_xlfn.XLOOKUP(tblMovimientos[[#This Row],[Cuenta Bancaria]],Cuentas!$C:$C,Cuentas!$A:$A,"No encontrado"))</f>
        <v>SSP Group</v>
      </c>
      <c r="R585" s="81" t="str">
        <f>TRIM(_xlfn.XLOOKUP(tblMovimientos[[#This Row],[Cuenta Bancaria]],Cuentas!$C:$C,Cuentas!$B:$B,""))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71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>IF(F586="Ingreso",J586,-J586)</f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3" t="str">
        <f>IF(tblMovimientos[[#This Row],[Tipo de Movimiento]]="Ingreso",tblMovimientos[[#This Row],[Monto (S/)]],"0")</f>
        <v>0</v>
      </c>
      <c r="O586" s="63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81" t="str">
        <f>IF(tblMovimientos[[#This Row],[Cuenta Bancaria]]="","",_xlfn.XLOOKUP(tblMovimientos[[#This Row],[Cuenta Bancaria]],Cuentas!$C:$C,Cuentas!$A:$A,"No encontrado"))</f>
        <v>SSP Group</v>
      </c>
      <c r="R586" s="81" t="str">
        <f>TRIM(_xlfn.XLOOKUP(tblMovimientos[[#This Row],[Cuenta Bancaria]],Cuentas!$C:$C,Cuentas!$B:$B,""))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71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>IF(F587="Ingreso",J587,-J587)</f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3" t="str">
        <f>IF(tblMovimientos[[#This Row],[Tipo de Movimiento]]="Ingreso",tblMovimientos[[#This Row],[Monto (S/)]],"0")</f>
        <v>0</v>
      </c>
      <c r="O587" s="63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81" t="str">
        <f>IF(tblMovimientos[[#This Row],[Cuenta Bancaria]]="","",_xlfn.XLOOKUP(tblMovimientos[[#This Row],[Cuenta Bancaria]],Cuentas!$C:$C,Cuentas!$A:$A,"No encontrado"))</f>
        <v>SSP Group</v>
      </c>
      <c r="R587" s="81" t="str">
        <f>TRIM(_xlfn.XLOOKUP(tblMovimientos[[#This Row],[Cuenta Bancaria]],Cuentas!$C:$C,Cuentas!$B:$B,""))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71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>IF(F588="Ingreso",J588,-J588)</f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3" t="str">
        <f>IF(tblMovimientos[[#This Row],[Tipo de Movimiento]]="Ingreso",tblMovimientos[[#This Row],[Monto (S/)]],"0")</f>
        <v>0</v>
      </c>
      <c r="O588" s="63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81" t="str">
        <f>IF(tblMovimientos[[#This Row],[Cuenta Bancaria]]="","",_xlfn.XLOOKUP(tblMovimientos[[#This Row],[Cuenta Bancaria]],Cuentas!$C:$C,Cuentas!$A:$A,"No encontrado"))</f>
        <v>SSP Group</v>
      </c>
      <c r="R588" s="81" t="str">
        <f>TRIM(_xlfn.XLOOKUP(tblMovimientos[[#This Row],[Cuenta Bancaria]],Cuentas!$C:$C,Cuentas!$B:$B,""))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71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>IF(F589="Ingreso",J589,-J589)</f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3" t="str">
        <f>IF(tblMovimientos[[#This Row],[Tipo de Movimiento]]="Ingreso",tblMovimientos[[#This Row],[Monto (S/)]],"0")</f>
        <v>0</v>
      </c>
      <c r="O589" s="63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81" t="str">
        <f>IF(tblMovimientos[[#This Row],[Cuenta Bancaria]]="","",_xlfn.XLOOKUP(tblMovimientos[[#This Row],[Cuenta Bancaria]],Cuentas!$C:$C,Cuentas!$A:$A,"No encontrado"))</f>
        <v>SSP Group</v>
      </c>
      <c r="R589" s="81" t="str">
        <f>TRIM(_xlfn.XLOOKUP(tblMovimientos[[#This Row],[Cuenta Bancaria]],Cuentas!$C:$C,Cuentas!$B:$B,""))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71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>IF(F590="Ingreso",J590,-J590)</f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3" t="str">
        <f>IF(tblMovimientos[[#This Row],[Tipo de Movimiento]]="Ingreso",tblMovimientos[[#This Row],[Monto (S/)]],"0")</f>
        <v>0</v>
      </c>
      <c r="O590" s="63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81" t="str">
        <f>IF(tblMovimientos[[#This Row],[Cuenta Bancaria]]="","",_xlfn.XLOOKUP(tblMovimientos[[#This Row],[Cuenta Bancaria]],Cuentas!$C:$C,Cuentas!$A:$A,"No encontrado"))</f>
        <v>SSP Group</v>
      </c>
      <c r="R590" s="81" t="str">
        <f>TRIM(_xlfn.XLOOKUP(tblMovimientos[[#This Row],[Cuenta Bancaria]],Cuentas!$C:$C,Cuentas!$B:$B,""))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71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>IF(F591="Ingreso",J591,-J591)</f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3" t="str">
        <f>IF(tblMovimientos[[#This Row],[Tipo de Movimiento]]="Ingreso",tblMovimientos[[#This Row],[Monto (S/)]],"0")</f>
        <v>0</v>
      </c>
      <c r="O591" s="63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81" t="str">
        <f>IF(tblMovimientos[[#This Row],[Cuenta Bancaria]]="","",_xlfn.XLOOKUP(tblMovimientos[[#This Row],[Cuenta Bancaria]],Cuentas!$C:$C,Cuentas!$A:$A,"No encontrado"))</f>
        <v>SSP Group</v>
      </c>
      <c r="R591" s="81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71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>IF(F592="Ingreso",J592,-J592)</f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3">
        <f>IF(tblMovimientos[[#This Row],[Tipo de Movimiento]]="Ingreso",tblMovimientos[[#This Row],[Monto (S/)]],"0")</f>
        <v>32950.239999999998</v>
      </c>
      <c r="O592" s="63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81" t="str">
        <f>IF(tblMovimientos[[#This Row],[Cuenta Bancaria]]="","",_xlfn.XLOOKUP(tblMovimientos[[#This Row],[Cuenta Bancaria]],Cuentas!$C:$C,Cuentas!$A:$A,"No encontrado"))</f>
        <v>SSP Group</v>
      </c>
      <c r="R592" s="81" t="str">
        <f>TRIM(_xlfn.XLOOKUP(tblMovimientos[[#This Row],[Cuenta Bancaria]],Cuentas!$C:$C,Cuentas!$B:$B,""))</f>
        <v>Cross Security Trust</v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71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3" t="str">
        <f>IF(tblMovimientos[[#This Row],[Tipo de Movimiento]]="Ingreso",tblMovimientos[[#This Row],[Monto (S/)]],"0")</f>
        <v>0</v>
      </c>
      <c r="O593" s="63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81" t="str">
        <f>IF(tblMovimientos[[#This Row],[Cuenta Bancaria]]="","",_xlfn.XLOOKUP(tblMovimientos[[#This Row],[Cuenta Bancaria]],Cuentas!$C:$C,Cuentas!$A:$A,"No encontrado"))</f>
        <v>SSP Group</v>
      </c>
      <c r="R593" s="81" t="str">
        <f>TRIM(_xlfn.XLOOKUP(tblMovimientos[[#This Row],[Cuenta Bancaria]],Cuentas!$C:$C,Cuentas!$B:$B,""))</f>
        <v>Cross Security Trust</v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71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>IF(F594="Ingreso",J594,-J594)</f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3" t="str">
        <f>IF(tblMovimientos[[#This Row],[Tipo de Movimiento]]="Ingreso",tblMovimientos[[#This Row],[Monto (S/)]],"0")</f>
        <v>0</v>
      </c>
      <c r="O594" s="63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81" t="str">
        <f>IF(tblMovimientos[[#This Row],[Cuenta Bancaria]]="","",_xlfn.XLOOKUP(tblMovimientos[[#This Row],[Cuenta Bancaria]],Cuentas!$C:$C,Cuentas!$A:$A,"No encontrado"))</f>
        <v>SSP Group</v>
      </c>
      <c r="R594" s="81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71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>IF(F595="Ingreso",J595,-J595)</f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3">
        <f>IF(tblMovimientos[[#This Row],[Tipo de Movimiento]]="Ingreso",tblMovimientos[[#This Row],[Monto (S/)]],"0")</f>
        <v>5000</v>
      </c>
      <c r="O595" s="63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81" t="str">
        <f>IF(tblMovimientos[[#This Row],[Cuenta Bancaria]]="","",_xlfn.XLOOKUP(tblMovimientos[[#This Row],[Cuenta Bancaria]],Cuentas!$C:$C,Cuentas!$A:$A,"No encontrado"))</f>
        <v>SSP Group</v>
      </c>
      <c r="R595" s="81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71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>IF(F596="Ingreso",J596,-J596)</f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3" t="str">
        <f>IF(tblMovimientos[[#This Row],[Tipo de Movimiento]]="Ingreso",tblMovimientos[[#This Row],[Monto (S/)]],"0")</f>
        <v>0</v>
      </c>
      <c r="O596" s="63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81" t="str">
        <f>IF(tblMovimientos[[#This Row],[Cuenta Bancaria]]="","",_xlfn.XLOOKUP(tblMovimientos[[#This Row],[Cuenta Bancaria]],Cuentas!$C:$C,Cuentas!$A:$A,"No encontrado"))</f>
        <v>SSP Group</v>
      </c>
      <c r="R596" s="81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71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>IF(F597="Ingreso",J597,-J597)</f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3" t="str">
        <f>IF(tblMovimientos[[#This Row],[Tipo de Movimiento]]="Ingreso",tblMovimientos[[#This Row],[Monto (S/)]],"0")</f>
        <v>0</v>
      </c>
      <c r="O597" s="63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81" t="str">
        <f>IF(tblMovimientos[[#This Row],[Cuenta Bancaria]]="","",_xlfn.XLOOKUP(tblMovimientos[[#This Row],[Cuenta Bancaria]],Cuentas!$C:$C,Cuentas!$A:$A,"No encontrado"))</f>
        <v>SSP Group</v>
      </c>
      <c r="R597" s="81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71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>IF(F598="Ingreso",J598,-J598)</f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3" t="str">
        <f>IF(tblMovimientos[[#This Row],[Tipo de Movimiento]]="Ingreso",tblMovimientos[[#This Row],[Monto (S/)]],"0")</f>
        <v>0</v>
      </c>
      <c r="O598" s="63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81" t="str">
        <f>IF(tblMovimientos[[#This Row],[Cuenta Bancaria]]="","",_xlfn.XLOOKUP(tblMovimientos[[#This Row],[Cuenta Bancaria]],Cuentas!$C:$C,Cuentas!$A:$A,"No encontrado"))</f>
        <v>SSP Group</v>
      </c>
      <c r="R598" s="81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71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>IF(F599="Ingreso",J599,-J599)</f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3" t="str">
        <f>IF(tblMovimientos[[#This Row],[Tipo de Movimiento]]="Ingreso",tblMovimientos[[#This Row],[Monto (S/)]],"0")</f>
        <v>0</v>
      </c>
      <c r="O599" s="63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81" t="str">
        <f>IF(tblMovimientos[[#This Row],[Cuenta Bancaria]]="","",_xlfn.XLOOKUP(tblMovimientos[[#This Row],[Cuenta Bancaria]],Cuentas!$C:$C,Cuentas!$A:$A,"No encontrado"))</f>
        <v>SSP Group</v>
      </c>
      <c r="R599" s="81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71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>IF(F600="Ingreso",J600,-J600)</f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3" t="str">
        <f>IF(tblMovimientos[[#This Row],[Tipo de Movimiento]]="Ingreso",tblMovimientos[[#This Row],[Monto (S/)]],"0")</f>
        <v>0</v>
      </c>
      <c r="O600" s="63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81" t="str">
        <f>IF(tblMovimientos[[#This Row],[Cuenta Bancaria]]="","",_xlfn.XLOOKUP(tblMovimientos[[#This Row],[Cuenta Bancaria]],Cuentas!$C:$C,Cuentas!$A:$A,"No encontrado"))</f>
        <v>SSP Group</v>
      </c>
      <c r="R600" s="81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71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>IF(F601="Ingreso",J601,-J601)</f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3" t="str">
        <f>IF(tblMovimientos[[#This Row],[Tipo de Movimiento]]="Ingreso",tblMovimientos[[#This Row],[Monto (S/)]],"0")</f>
        <v>0</v>
      </c>
      <c r="O601" s="63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81" t="str">
        <f>IF(tblMovimientos[[#This Row],[Cuenta Bancaria]]="","",_xlfn.XLOOKUP(tblMovimientos[[#This Row],[Cuenta Bancaria]],Cuentas!$C:$C,Cuentas!$A:$A,"No encontrado"))</f>
        <v>SSP Group</v>
      </c>
      <c r="R601" s="81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71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>IF(F602="Ingreso",J602,-J602)</f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3" t="str">
        <f>IF(tblMovimientos[[#This Row],[Tipo de Movimiento]]="Ingreso",tblMovimientos[[#This Row],[Monto (S/)]],"0")</f>
        <v>0</v>
      </c>
      <c r="O602" s="63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81" t="str">
        <f>IF(tblMovimientos[[#This Row],[Cuenta Bancaria]]="","",_xlfn.XLOOKUP(tblMovimientos[[#This Row],[Cuenta Bancaria]],Cuentas!$C:$C,Cuentas!$A:$A,"No encontrado"))</f>
        <v>SSP Group</v>
      </c>
      <c r="R602" s="81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71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>IF(F603="Ingreso",J603,-J603)</f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3" t="str">
        <f>IF(tblMovimientos[[#This Row],[Tipo de Movimiento]]="Ingreso",tblMovimientos[[#This Row],[Monto (S/)]],"0")</f>
        <v>0</v>
      </c>
      <c r="O603" s="63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81" t="str">
        <f>IF(tblMovimientos[[#This Row],[Cuenta Bancaria]]="","",_xlfn.XLOOKUP(tblMovimientos[[#This Row],[Cuenta Bancaria]],Cuentas!$C:$C,Cuentas!$A:$A,"No encontrado"))</f>
        <v>SSP Group</v>
      </c>
      <c r="R603" s="81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71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>IF(F604="Ingreso",J604,-J604)</f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3" t="str">
        <f>IF(tblMovimientos[[#This Row],[Tipo de Movimiento]]="Ingreso",tblMovimientos[[#This Row],[Monto (S/)]],"0")</f>
        <v>0</v>
      </c>
      <c r="O604" s="63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81" t="str">
        <f>IF(tblMovimientos[[#This Row],[Cuenta Bancaria]]="","",_xlfn.XLOOKUP(tblMovimientos[[#This Row],[Cuenta Bancaria]],Cuentas!$C:$C,Cuentas!$A:$A,"No encontrado"))</f>
        <v>SSP Group</v>
      </c>
      <c r="R604" s="81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71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>IF(F605="Ingreso",J605,-J605)</f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3" t="str">
        <f>IF(tblMovimientos[[#This Row],[Tipo de Movimiento]]="Ingreso",tblMovimientos[[#This Row],[Monto (S/)]],"0")</f>
        <v>0</v>
      </c>
      <c r="O605" s="63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81" t="str">
        <f>IF(tblMovimientos[[#This Row],[Cuenta Bancaria]]="","",_xlfn.XLOOKUP(tblMovimientos[[#This Row],[Cuenta Bancaria]],Cuentas!$C:$C,Cuentas!$A:$A,"No encontrado"))</f>
        <v>SSP Group</v>
      </c>
      <c r="R605" s="81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71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>IF(F606="Ingreso",J606,-J606)</f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3">
        <f>IF(tblMovimientos[[#This Row],[Tipo de Movimiento]]="Ingreso",tblMovimientos[[#This Row],[Monto (S/)]],"0")</f>
        <v>500000</v>
      </c>
      <c r="O606" s="63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81" t="str">
        <f>IF(tblMovimientos[[#This Row],[Cuenta Bancaria]]="","",_xlfn.XLOOKUP(tblMovimientos[[#This Row],[Cuenta Bancaria]],Cuentas!$C:$C,Cuentas!$A:$A,"No encontrado"))</f>
        <v>SSP Group</v>
      </c>
      <c r="R606" s="81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71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>IF(F607="Ingreso",J607,-J607)</f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3" t="str">
        <f>IF(tblMovimientos[[#This Row],[Tipo de Movimiento]]="Ingreso",tblMovimientos[[#This Row],[Monto (S/)]],"0")</f>
        <v>0</v>
      </c>
      <c r="O607" s="63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81" t="str">
        <f>IF(tblMovimientos[[#This Row],[Cuenta Bancaria]]="","",_xlfn.XLOOKUP(tblMovimientos[[#This Row],[Cuenta Bancaria]],Cuentas!$C:$C,Cuentas!$A:$A,"No encontrado"))</f>
        <v>SSP Group</v>
      </c>
      <c r="R607" s="81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71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>IF(F608="Ingreso",J608,-J608)</f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3" t="str">
        <f>IF(tblMovimientos[[#This Row],[Tipo de Movimiento]]="Ingreso",tblMovimientos[[#This Row],[Monto (S/)]],"0")</f>
        <v>0</v>
      </c>
      <c r="O608" s="63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81" t="str">
        <f>IF(tblMovimientos[[#This Row],[Cuenta Bancaria]]="","",_xlfn.XLOOKUP(tblMovimientos[[#This Row],[Cuenta Bancaria]],Cuentas!$C:$C,Cuentas!$A:$A,"No encontrado"))</f>
        <v>SSP Group</v>
      </c>
      <c r="R608" s="81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71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>IF(F609="Ingreso",J609,-J609)</f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3" t="str">
        <f>IF(tblMovimientos[[#This Row],[Tipo de Movimiento]]="Ingreso",tblMovimientos[[#This Row],[Monto (S/)]],"0")</f>
        <v>0</v>
      </c>
      <c r="O609" s="63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81" t="str">
        <f>IF(tblMovimientos[[#This Row],[Cuenta Bancaria]]="","",_xlfn.XLOOKUP(tblMovimientos[[#This Row],[Cuenta Bancaria]],Cuentas!$C:$C,Cuentas!$A:$A,"No encontrado"))</f>
        <v>SSP Group</v>
      </c>
      <c r="R609" s="81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71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>IF(F610="Ingreso",J610,-J610)</f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3" t="str">
        <f>IF(tblMovimientos[[#This Row],[Tipo de Movimiento]]="Ingreso",tblMovimientos[[#This Row],[Monto (S/)]],"0")</f>
        <v>0</v>
      </c>
      <c r="O610" s="63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81" t="str">
        <f>IF(tblMovimientos[[#This Row],[Cuenta Bancaria]]="","",_xlfn.XLOOKUP(tblMovimientos[[#This Row],[Cuenta Bancaria]],Cuentas!$C:$C,Cuentas!$A:$A,"No encontrado"))</f>
        <v>SSP Group</v>
      </c>
      <c r="R610" s="81" t="str">
        <f>TRIM(_xlfn.XLOOKUP(tblMovimientos[[#This Row],[Cuenta Bancaria]],Cuentas!$C:$C,Cuentas!$B:$B,""))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71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>IF(F611="Ingreso",J611,-J611)</f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3" t="str">
        <f>IF(tblMovimientos[[#This Row],[Tipo de Movimiento]]="Ingreso",tblMovimientos[[#This Row],[Monto (S/)]],"0")</f>
        <v>0</v>
      </c>
      <c r="O611" s="63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81" t="str">
        <f>IF(tblMovimientos[[#This Row],[Cuenta Bancaria]]="","",_xlfn.XLOOKUP(tblMovimientos[[#This Row],[Cuenta Bancaria]],Cuentas!$C:$C,Cuentas!$A:$A,"No encontrado"))</f>
        <v>SSP Group</v>
      </c>
      <c r="R611" s="81" t="str">
        <f>TRIM(_xlfn.XLOOKUP(tblMovimientos[[#This Row],[Cuenta Bancaria]],Cuentas!$C:$C,Cuentas!$B:$B,""))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71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>IF(F612="Ingreso",J612,-J612)</f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3" t="str">
        <f>IF(tblMovimientos[[#This Row],[Tipo de Movimiento]]="Ingreso",tblMovimientos[[#This Row],[Monto (S/)]],"0")</f>
        <v>0</v>
      </c>
      <c r="O612" s="63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81" t="str">
        <f>IF(tblMovimientos[[#This Row],[Cuenta Bancaria]]="","",_xlfn.XLOOKUP(tblMovimientos[[#This Row],[Cuenta Bancaria]],Cuentas!$C:$C,Cuentas!$A:$A,"No encontrado"))</f>
        <v>SSP Group</v>
      </c>
      <c r="R612" s="81" t="str">
        <f>TRIM(_xlfn.XLOOKUP(tblMovimientos[[#This Row],[Cuenta Bancaria]],Cuentas!$C:$C,Cuentas!$B:$B,""))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71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>IF(F613="Ingreso",J613,-J613)</f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3" t="str">
        <f>IF(tblMovimientos[[#This Row],[Tipo de Movimiento]]="Ingreso",tblMovimientos[[#This Row],[Monto (S/)]],"0")</f>
        <v>0</v>
      </c>
      <c r="O613" s="63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81" t="str">
        <f>IF(tblMovimientos[[#This Row],[Cuenta Bancaria]]="","",_xlfn.XLOOKUP(tblMovimientos[[#This Row],[Cuenta Bancaria]],Cuentas!$C:$C,Cuentas!$A:$A,"No encontrado"))</f>
        <v>SSP Group</v>
      </c>
      <c r="R613" s="81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71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>IF(F614="Ingreso",J614,-J614)</f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3" t="str">
        <f>IF(tblMovimientos[[#This Row],[Tipo de Movimiento]]="Ingreso",tblMovimientos[[#This Row],[Monto (S/)]],"0")</f>
        <v>0</v>
      </c>
      <c r="O614" s="63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81" t="str">
        <f>IF(tblMovimientos[[#This Row],[Cuenta Bancaria]]="","",_xlfn.XLOOKUP(tblMovimientos[[#This Row],[Cuenta Bancaria]],Cuentas!$C:$C,Cuentas!$A:$A,"No encontrado"))</f>
        <v>SSP Group</v>
      </c>
      <c r="R614" s="81" t="str">
        <f>TRIM(_xlfn.XLOOKUP(tblMovimientos[[#This Row],[Cuenta Bancaria]],Cuentas!$C:$C,Cuentas!$B:$B,""))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71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>IF(F615="Ingreso",J615,-J615)</f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3" t="str">
        <f>IF(tblMovimientos[[#This Row],[Tipo de Movimiento]]="Ingreso",tblMovimientos[[#This Row],[Monto (S/)]],"0")</f>
        <v>0</v>
      </c>
      <c r="O615" s="63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81" t="str">
        <f>IF(tblMovimientos[[#This Row],[Cuenta Bancaria]]="","",_xlfn.XLOOKUP(tblMovimientos[[#This Row],[Cuenta Bancaria]],Cuentas!$C:$C,Cuentas!$A:$A,"No encontrado"))</f>
        <v>SSP Group</v>
      </c>
      <c r="R615" s="81" t="str">
        <f>TRIM(_xlfn.XLOOKUP(tblMovimientos[[#This Row],[Cuenta Bancaria]],Cuentas!$C:$C,Cuentas!$B:$B,""))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71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>IF(F616="Ingreso",J616,-J616)</f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3" t="str">
        <f>IF(tblMovimientos[[#This Row],[Tipo de Movimiento]]="Ingreso",tblMovimientos[[#This Row],[Monto (S/)]],"0")</f>
        <v>0</v>
      </c>
      <c r="O616" s="63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81" t="str">
        <f>IF(tblMovimientos[[#This Row],[Cuenta Bancaria]]="","",_xlfn.XLOOKUP(tblMovimientos[[#This Row],[Cuenta Bancaria]],Cuentas!$C:$C,Cuentas!$A:$A,"No encontrado"))</f>
        <v>SSP Group</v>
      </c>
      <c r="R616" s="81" t="str">
        <f>TRIM(_xlfn.XLOOKUP(tblMovimientos[[#This Row],[Cuenta Bancaria]],Cuentas!$C:$C,Cuentas!$B:$B,""))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71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>IF(F617="Ingreso",J617,-J617)</f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3" t="str">
        <f>IF(tblMovimientos[[#This Row],[Tipo de Movimiento]]="Ingreso",tblMovimientos[[#This Row],[Monto (S/)]],"0")</f>
        <v>0</v>
      </c>
      <c r="O617" s="63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81" t="str">
        <f>IF(tblMovimientos[[#This Row],[Cuenta Bancaria]]="","",_xlfn.XLOOKUP(tblMovimientos[[#This Row],[Cuenta Bancaria]],Cuentas!$C:$C,Cuentas!$A:$A,"No encontrado"))</f>
        <v>SSP Group</v>
      </c>
      <c r="R617" s="81" t="str">
        <f>TRIM(_xlfn.XLOOKUP(tblMovimientos[[#This Row],[Cuenta Bancaria]],Cuentas!$C:$C,Cuentas!$B:$B,""))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71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>IF(F618="Ingreso",J618,-J618)</f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3" t="str">
        <f>IF(tblMovimientos[[#This Row],[Tipo de Movimiento]]="Ingreso",tblMovimientos[[#This Row],[Monto (S/)]],"0")</f>
        <v>0</v>
      </c>
      <c r="O618" s="63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81" t="str">
        <f>IF(tblMovimientos[[#This Row],[Cuenta Bancaria]]="","",_xlfn.XLOOKUP(tblMovimientos[[#This Row],[Cuenta Bancaria]],Cuentas!$C:$C,Cuentas!$A:$A,"No encontrado"))</f>
        <v>SSP Group</v>
      </c>
      <c r="R618" s="81" t="str">
        <f>TRIM(_xlfn.XLOOKUP(tblMovimientos[[#This Row],[Cuenta Bancaria]],Cuentas!$C:$C,Cuentas!$B:$B,""))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71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>IF(F619="Ingreso",J619,-J619)</f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3">
        <f>IF(tblMovimientos[[#This Row],[Tipo de Movimiento]]="Ingreso",tblMovimientos[[#This Row],[Monto (S/)]],"0")</f>
        <v>39989.699999999997</v>
      </c>
      <c r="O619" s="63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81" t="str">
        <f>IF(tblMovimientos[[#This Row],[Cuenta Bancaria]]="","",_xlfn.XLOOKUP(tblMovimientos[[#This Row],[Cuenta Bancaria]],Cuentas!$C:$C,Cuentas!$A:$A,"No encontrado"))</f>
        <v>SSP Group</v>
      </c>
      <c r="R619" s="81" t="str">
        <f>TRIM(_xlfn.XLOOKUP(tblMovimientos[[#This Row],[Cuenta Bancaria]],Cuentas!$C:$C,Cuentas!$B:$B,""))</f>
        <v>Cross Security Trust</v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71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>IF(F620="Ingreso",J620,-J620)</f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3" t="str">
        <f>IF(tblMovimientos[[#This Row],[Tipo de Movimiento]]="Ingreso",tblMovimientos[[#This Row],[Monto (S/)]],"0")</f>
        <v>0</v>
      </c>
      <c r="O620" s="63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81" t="str">
        <f>IF(tblMovimientos[[#This Row],[Cuenta Bancaria]]="","",_xlfn.XLOOKUP(tblMovimientos[[#This Row],[Cuenta Bancaria]],Cuentas!$C:$C,Cuentas!$A:$A,"No encontrado"))</f>
        <v>SSP Group</v>
      </c>
      <c r="R620" s="81" t="str">
        <f>TRIM(_xlfn.XLOOKUP(tblMovimientos[[#This Row],[Cuenta Bancaria]],Cuentas!$C:$C,Cuentas!$B:$B,""))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71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>IF(F621="Ingreso",J621,-J621)</f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3">
        <f>IF(tblMovimientos[[#This Row],[Tipo de Movimiento]]="Ingreso",tblMovimientos[[#This Row],[Monto (S/)]],"0")</f>
        <v>15000</v>
      </c>
      <c r="O621" s="63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81" t="str">
        <f>IF(tblMovimientos[[#This Row],[Cuenta Bancaria]]="","",_xlfn.XLOOKUP(tblMovimientos[[#This Row],[Cuenta Bancaria]],Cuentas!$C:$C,Cuentas!$A:$A,"No encontrado"))</f>
        <v>SSP Group</v>
      </c>
      <c r="R621" s="81" t="str">
        <f>TRIM(_xlfn.XLOOKUP(tblMovimientos[[#This Row],[Cuenta Bancaria]],Cuentas!$C:$C,Cuentas!$B:$B,""))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71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>IF(F622="Ingreso",J622,-J622)</f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3" t="str">
        <f>IF(tblMovimientos[[#This Row],[Tipo de Movimiento]]="Ingreso",tblMovimientos[[#This Row],[Monto (S/)]],"0")</f>
        <v>0</v>
      </c>
      <c r="O622" s="63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81" t="str">
        <f>IF(tblMovimientos[[#This Row],[Cuenta Bancaria]]="","",_xlfn.XLOOKUP(tblMovimientos[[#This Row],[Cuenta Bancaria]],Cuentas!$C:$C,Cuentas!$A:$A,"No encontrado"))</f>
        <v>SSP Group</v>
      </c>
      <c r="R622" s="81" t="str">
        <f>TRIM(_xlfn.XLOOKUP(tblMovimientos[[#This Row],[Cuenta Bancaria]],Cuentas!$C:$C,Cuentas!$B:$B,""))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71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>IF(F623="Ingreso",J623,-J623)</f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3" t="str">
        <f>IF(tblMovimientos[[#This Row],[Tipo de Movimiento]]="Ingreso",tblMovimientos[[#This Row],[Monto (S/)]],"0")</f>
        <v>0</v>
      </c>
      <c r="O623" s="63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81" t="str">
        <f>IF(tblMovimientos[[#This Row],[Cuenta Bancaria]]="","",_xlfn.XLOOKUP(tblMovimientos[[#This Row],[Cuenta Bancaria]],Cuentas!$C:$C,Cuentas!$A:$A,"No encontrado"))</f>
        <v>SSP Group</v>
      </c>
      <c r="R623" s="81" t="str">
        <f>TRIM(_xlfn.XLOOKUP(tblMovimientos[[#This Row],[Cuenta Bancaria]],Cuentas!$C:$C,Cuentas!$B:$B,""))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71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>IF(F624="Ingreso",J624,-J624)</f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3" t="str">
        <f>IF(tblMovimientos[[#This Row],[Tipo de Movimiento]]="Ingreso",tblMovimientos[[#This Row],[Monto (S/)]],"0")</f>
        <v>0</v>
      </c>
      <c r="O624" s="63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81" t="str">
        <f>IF(tblMovimientos[[#This Row],[Cuenta Bancaria]]="","",_xlfn.XLOOKUP(tblMovimientos[[#This Row],[Cuenta Bancaria]],Cuentas!$C:$C,Cuentas!$A:$A,"No encontrado"))</f>
        <v>SSP Group</v>
      </c>
      <c r="R624" s="81" t="str">
        <f>TRIM(_xlfn.XLOOKUP(tblMovimientos[[#This Row],[Cuenta Bancaria]],Cuentas!$C:$C,Cuentas!$B:$B,""))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71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>IF(F625="Ingreso",J625,-J625)</f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3" t="str">
        <f>IF(tblMovimientos[[#This Row],[Tipo de Movimiento]]="Ingreso",tblMovimientos[[#This Row],[Monto (S/)]],"0")</f>
        <v>0</v>
      </c>
      <c r="O625" s="63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81" t="str">
        <f>IF(tblMovimientos[[#This Row],[Cuenta Bancaria]]="","",_xlfn.XLOOKUP(tblMovimientos[[#This Row],[Cuenta Bancaria]],Cuentas!$C:$C,Cuentas!$A:$A,"No encontrado"))</f>
        <v>SSP Group</v>
      </c>
      <c r="R625" s="81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71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>IF(F626="Ingreso",J626,-J626)</f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3">
        <f>IF(tblMovimientos[[#This Row],[Tipo de Movimiento]]="Ingreso",tblMovimientos[[#This Row],[Monto (S/)]],"0")</f>
        <v>350000</v>
      </c>
      <c r="O626" s="63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81" t="str">
        <f>IF(tblMovimientos[[#This Row],[Cuenta Bancaria]]="","",_xlfn.XLOOKUP(tblMovimientos[[#This Row],[Cuenta Bancaria]],Cuentas!$C:$C,Cuentas!$A:$A,"No encontrado"))</f>
        <v>SSP Group</v>
      </c>
      <c r="R626" s="81" t="str">
        <f>TRIM(_xlfn.XLOOKUP(tblMovimientos[[#This Row],[Cuenta Bancaria]],Cuentas!$C:$C,Cuentas!$B:$B,""))</f>
        <v>Cross Security Trust</v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71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>IF(F627="Ingreso",J627,-J627)</f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3">
        <f>IF(tblMovimientos[[#This Row],[Tipo de Movimiento]]="Ingreso",tblMovimientos[[#This Row],[Monto (S/)]],"0")</f>
        <v>4000</v>
      </c>
      <c r="O627" s="63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81" t="str">
        <f>IF(tblMovimientos[[#This Row],[Cuenta Bancaria]]="","",_xlfn.XLOOKUP(tblMovimientos[[#This Row],[Cuenta Bancaria]],Cuentas!$C:$C,Cuentas!$A:$A,"No encontrado"))</f>
        <v>SSP Group</v>
      </c>
      <c r="R627" s="81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71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>IF(F628="Ingreso",J628,-J628)</f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3" t="str">
        <f>IF(tblMovimientos[[#This Row],[Tipo de Movimiento]]="Ingreso",tblMovimientos[[#This Row],[Monto (S/)]],"0")</f>
        <v>0</v>
      </c>
      <c r="O628" s="63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81" t="str">
        <f>IF(tblMovimientos[[#This Row],[Cuenta Bancaria]]="","",_xlfn.XLOOKUP(tblMovimientos[[#This Row],[Cuenta Bancaria]],Cuentas!$C:$C,Cuentas!$A:$A,"No encontrado"))</f>
        <v>SSP Group</v>
      </c>
      <c r="R628" s="81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71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>IF(F629="Ingreso",J629,-J629)</f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3" t="str">
        <f>IF(tblMovimientos[[#This Row],[Tipo de Movimiento]]="Ingreso",tblMovimientos[[#This Row],[Monto (S/)]],"0")</f>
        <v>0</v>
      </c>
      <c r="O629" s="63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81" t="str">
        <f>IF(tblMovimientos[[#This Row],[Cuenta Bancaria]]="","",_xlfn.XLOOKUP(tblMovimientos[[#This Row],[Cuenta Bancaria]],Cuentas!$C:$C,Cuentas!$A:$A,"No encontrado"))</f>
        <v>SSP Group</v>
      </c>
      <c r="R629" s="81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71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>IF(F630="Ingreso",J630,-J630)</f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3" t="str">
        <f>IF(tblMovimientos[[#This Row],[Tipo de Movimiento]]="Ingreso",tblMovimientos[[#This Row],[Monto (S/)]],"0")</f>
        <v>0</v>
      </c>
      <c r="O630" s="63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81" t="str">
        <f>IF(tblMovimientos[[#This Row],[Cuenta Bancaria]]="","",_xlfn.XLOOKUP(tblMovimientos[[#This Row],[Cuenta Bancaria]],Cuentas!$C:$C,Cuentas!$A:$A,"No encontrado"))</f>
        <v>SSP Group</v>
      </c>
      <c r="R630" s="81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71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>IF(F631="Ingreso",J631,-J631)</f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3" t="str">
        <f>IF(tblMovimientos[[#This Row],[Tipo de Movimiento]]="Ingreso",tblMovimientos[[#This Row],[Monto (S/)]],"0")</f>
        <v>0</v>
      </c>
      <c r="O631" s="63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81" t="str">
        <f>IF(tblMovimientos[[#This Row],[Cuenta Bancaria]]="","",_xlfn.XLOOKUP(tblMovimientos[[#This Row],[Cuenta Bancaria]],Cuentas!$C:$C,Cuentas!$A:$A,"No encontrado"))</f>
        <v>SSP Group</v>
      </c>
      <c r="R631" s="81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71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>IF(F632="Ingreso",J632,-J632)</f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3" t="str">
        <f>IF(tblMovimientos[[#This Row],[Tipo de Movimiento]]="Ingreso",tblMovimientos[[#This Row],[Monto (S/)]],"0")</f>
        <v>0</v>
      </c>
      <c r="O632" s="63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81" t="str">
        <f>IF(tblMovimientos[[#This Row],[Cuenta Bancaria]]="","",_xlfn.XLOOKUP(tblMovimientos[[#This Row],[Cuenta Bancaria]],Cuentas!$C:$C,Cuentas!$A:$A,"No encontrado"))</f>
        <v>SSP Group</v>
      </c>
      <c r="R632" s="81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71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>IF(F633="Ingreso",J633,-J633)</f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3" t="str">
        <f>IF(tblMovimientos[[#This Row],[Tipo de Movimiento]]="Ingreso",tblMovimientos[[#This Row],[Monto (S/)]],"0")</f>
        <v>0</v>
      </c>
      <c r="O633" s="63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81" t="str">
        <f>IF(tblMovimientos[[#This Row],[Cuenta Bancaria]]="","",_xlfn.XLOOKUP(tblMovimientos[[#This Row],[Cuenta Bancaria]],Cuentas!$C:$C,Cuentas!$A:$A,"No encontrado"))</f>
        <v>SSP Group</v>
      </c>
      <c r="R633" s="81" t="str">
        <f>TRIM(_xlfn.XLOOKUP(tblMovimientos[[#This Row],[Cuenta Bancaria]],Cuentas!$C:$C,Cuentas!$B:$B,""))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71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>IF(F634="Ingreso",J634,-J634)</f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3" t="str">
        <f>IF(tblMovimientos[[#This Row],[Tipo de Movimiento]]="Ingreso",tblMovimientos[[#This Row],[Monto (S/)]],"0")</f>
        <v>0</v>
      </c>
      <c r="O634" s="63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81" t="str">
        <f>IF(tblMovimientos[[#This Row],[Cuenta Bancaria]]="","",_xlfn.XLOOKUP(tblMovimientos[[#This Row],[Cuenta Bancaria]],Cuentas!$C:$C,Cuentas!$A:$A,"No encontrado"))</f>
        <v>SSP Group</v>
      </c>
      <c r="R634" s="81" t="str">
        <f>TRIM(_xlfn.XLOOKUP(tblMovimientos[[#This Row],[Cuenta Bancaria]],Cuentas!$C:$C,Cuentas!$B:$B,""))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71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>IF(F635="Ingreso",J635,-J635)</f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3" t="str">
        <f>IF(tblMovimientos[[#This Row],[Tipo de Movimiento]]="Ingreso",tblMovimientos[[#This Row],[Monto (S/)]],"0")</f>
        <v>0</v>
      </c>
      <c r="O635" s="63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81" t="str">
        <f>IF(tblMovimientos[[#This Row],[Cuenta Bancaria]]="","",_xlfn.XLOOKUP(tblMovimientos[[#This Row],[Cuenta Bancaria]],Cuentas!$C:$C,Cuentas!$A:$A,"No encontrado"))</f>
        <v>SSP Group</v>
      </c>
      <c r="R635" s="81" t="str">
        <f>TRIM(_xlfn.XLOOKUP(tblMovimientos[[#This Row],[Cuenta Bancaria]],Cuentas!$C:$C,Cuentas!$B:$B,""))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71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>IF(F636="Ingreso",J636,-J636)</f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3" t="str">
        <f>IF(tblMovimientos[[#This Row],[Tipo de Movimiento]]="Ingreso",tblMovimientos[[#This Row],[Monto (S/)]],"0")</f>
        <v>0</v>
      </c>
      <c r="O636" s="63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81" t="str">
        <f>IF(tblMovimientos[[#This Row],[Cuenta Bancaria]]="","",_xlfn.XLOOKUP(tblMovimientos[[#This Row],[Cuenta Bancaria]],Cuentas!$C:$C,Cuentas!$A:$A,"No encontrado"))</f>
        <v>SSP Group</v>
      </c>
      <c r="R636" s="81" t="str">
        <f>TRIM(_xlfn.XLOOKUP(tblMovimientos[[#This Row],[Cuenta Bancaria]],Cuentas!$C:$C,Cuentas!$B:$B,""))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71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>IF(F637="Ingreso",J637,-J637)</f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3" t="str">
        <f>IF(tblMovimientos[[#This Row],[Tipo de Movimiento]]="Ingreso",tblMovimientos[[#This Row],[Monto (S/)]],"0")</f>
        <v>0</v>
      </c>
      <c r="O637" s="63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81" t="str">
        <f>IF(tblMovimientos[[#This Row],[Cuenta Bancaria]]="","",_xlfn.XLOOKUP(tblMovimientos[[#This Row],[Cuenta Bancaria]],Cuentas!$C:$C,Cuentas!$A:$A,"No encontrado"))</f>
        <v>Trust</v>
      </c>
      <c r="R637" s="81" t="str">
        <f>TRIM(_xlfn.XLOOKUP(tblMovimientos[[#This Row],[Cuenta Bancaria]],Cuentas!$C:$C,Cuentas!$B:$B,""))</f>
        <v/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71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>IF(F638="Ingreso",J638,-J638)</f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3">
        <f>IF(tblMovimientos[[#This Row],[Tipo de Movimiento]]="Ingreso",tblMovimientos[[#This Row],[Monto (S/)]],"0")</f>
        <v>10000</v>
      </c>
      <c r="O638" s="63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81" t="str">
        <f>IF(tblMovimientos[[#This Row],[Cuenta Bancaria]]="","",_xlfn.XLOOKUP(tblMovimientos[[#This Row],[Cuenta Bancaria]],Cuentas!$C:$C,Cuentas!$A:$A,"No encontrado"))</f>
        <v>SSP Group</v>
      </c>
      <c r="R638" s="81" t="str">
        <f>TRIM(_xlfn.XLOOKUP(tblMovimientos[[#This Row],[Cuenta Bancaria]],Cuentas!$C:$C,Cuentas!$B:$B,""))</f>
        <v/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71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>IF(F639="Ingreso",J639,-J639)</f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3" t="str">
        <f>IF(tblMovimientos[[#This Row],[Tipo de Movimiento]]="Ingreso",tblMovimientos[[#This Row],[Monto (S/)]],"0")</f>
        <v>0</v>
      </c>
      <c r="O639" s="63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81" t="str">
        <f>IF(tblMovimientos[[#This Row],[Cuenta Bancaria]]="","",_xlfn.XLOOKUP(tblMovimientos[[#This Row],[Cuenta Bancaria]],Cuentas!$C:$C,Cuentas!$A:$A,"No encontrado"))</f>
        <v>SSP Group</v>
      </c>
      <c r="R639" s="81" t="str">
        <f>TRIM(_xlfn.XLOOKUP(tblMovimientos[[#This Row],[Cuenta Bancaria]],Cuentas!$C:$C,Cuentas!$B:$B,""))</f>
        <v/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71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>IF(F640="Ingreso",J640,-J640)</f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3">
        <f>IF(tblMovimientos[[#This Row],[Tipo de Movimiento]]="Ingreso",tblMovimientos[[#This Row],[Monto (S/)]],"0")</f>
        <v>10000</v>
      </c>
      <c r="O640" s="63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81" t="str">
        <f>IF(tblMovimientos[[#This Row],[Cuenta Bancaria]]="","",_xlfn.XLOOKUP(tblMovimientos[[#This Row],[Cuenta Bancaria]],Cuentas!$C:$C,Cuentas!$A:$A,"No encontrado"))</f>
        <v>SSP Group</v>
      </c>
      <c r="R640" s="81" t="str">
        <f>TRIM(_xlfn.XLOOKUP(tblMovimientos[[#This Row],[Cuenta Bancaria]],Cuentas!$C:$C,Cuentas!$B:$B,""))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71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>IF(F641="Ingreso",J641,-J641)</f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3" t="str">
        <f>IF(tblMovimientos[[#This Row],[Tipo de Movimiento]]="Ingreso",tblMovimientos[[#This Row],[Monto (S/)]],"0")</f>
        <v>0</v>
      </c>
      <c r="O641" s="63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81" t="str">
        <f>IF(tblMovimientos[[#This Row],[Cuenta Bancaria]]="","",_xlfn.XLOOKUP(tblMovimientos[[#This Row],[Cuenta Bancaria]],Cuentas!$C:$C,Cuentas!$A:$A,"No encontrado"))</f>
        <v>SSP Group</v>
      </c>
      <c r="R641" s="81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71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>IF(F642="Ingreso",J642,-J642)</f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3" t="str">
        <f>IF(tblMovimientos[[#This Row],[Tipo de Movimiento]]="Ingreso",tblMovimientos[[#This Row],[Monto (S/)]],"0")</f>
        <v>0</v>
      </c>
      <c r="O642" s="63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81" t="str">
        <f>IF(tblMovimientos[[#This Row],[Cuenta Bancaria]]="","",_xlfn.XLOOKUP(tblMovimientos[[#This Row],[Cuenta Bancaria]],Cuentas!$C:$C,Cuentas!$A:$A,"No encontrado"))</f>
        <v>SSP Group</v>
      </c>
      <c r="R642" s="81" t="str">
        <f>TRIM(_xlfn.XLOOKUP(tblMovimientos[[#This Row],[Cuenta Bancaria]],Cuentas!$C:$C,Cuentas!$B:$B,""))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71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3" t="str">
        <f>IF(tblMovimientos[[#This Row],[Tipo de Movimiento]]="Ingreso",tblMovimientos[[#This Row],[Monto (S/)]],"0")</f>
        <v>0</v>
      </c>
      <c r="O643" s="63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81" t="str">
        <f>IF(tblMovimientos[[#This Row],[Cuenta Bancaria]]="","",_xlfn.XLOOKUP(tblMovimientos[[#This Row],[Cuenta Bancaria]],Cuentas!$C:$C,Cuentas!$A:$A,"No encontrado"))</f>
        <v>SSP Group</v>
      </c>
      <c r="R643" s="81" t="str">
        <f>TRIM(_xlfn.XLOOKUP(tblMovimientos[[#This Row],[Cuenta Bancaria]],Cuentas!$C:$C,Cuentas!$B:$B,""))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71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>IF(F644="Ingreso",J644,-J644)</f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3">
        <f>IF(tblMovimientos[[#This Row],[Tipo de Movimiento]]="Ingreso",tblMovimientos[[#This Row],[Monto (S/)]],"0")</f>
        <v>17345.61</v>
      </c>
      <c r="O644" s="63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81" t="str">
        <f>IF(tblMovimientos[[#This Row],[Cuenta Bancaria]]="","",_xlfn.XLOOKUP(tblMovimientos[[#This Row],[Cuenta Bancaria]],Cuentas!$C:$C,Cuentas!$A:$A,"No encontrado"))</f>
        <v>SSP Group</v>
      </c>
      <c r="R644" s="81" t="str">
        <f>TRIM(_xlfn.XLOOKUP(tblMovimientos[[#This Row],[Cuenta Bancaria]],Cuentas!$C:$C,Cuentas!$B:$B,""))</f>
        <v>Cross Security Trust</v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71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>IF(F645="Ingreso",J645,-J645)</f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3">
        <f>IF(tblMovimientos[[#This Row],[Tipo de Movimiento]]="Ingreso",tblMovimientos[[#This Row],[Monto (S/)]],"0")</f>
        <v>5546.44</v>
      </c>
      <c r="O645" s="63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81" t="str">
        <f>IF(tblMovimientos[[#This Row],[Cuenta Bancaria]]="","",_xlfn.XLOOKUP(tblMovimientos[[#This Row],[Cuenta Bancaria]],Cuentas!$C:$C,Cuentas!$A:$A,"No encontrado"))</f>
        <v>SSP Group</v>
      </c>
      <c r="R645" s="81" t="str">
        <f>TRIM(_xlfn.XLOOKUP(tblMovimientos[[#This Row],[Cuenta Bancaria]],Cuentas!$C:$C,Cuentas!$B:$B,""))</f>
        <v>Cross Security Trust</v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71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>IF(F646="Ingreso",J646,-J646)</f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3">
        <f>IF(tblMovimientos[[#This Row],[Tipo de Movimiento]]="Ingreso",tblMovimientos[[#This Row],[Monto (S/)]],"0")</f>
        <v>442.33</v>
      </c>
      <c r="O646" s="63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81" t="str">
        <f>IF(tblMovimientos[[#This Row],[Cuenta Bancaria]]="","",_xlfn.XLOOKUP(tblMovimientos[[#This Row],[Cuenta Bancaria]],Cuentas!$C:$C,Cuentas!$A:$A,"No encontrado"))</f>
        <v>SSP Group</v>
      </c>
      <c r="R646" s="81" t="str">
        <f>TRIM(_xlfn.XLOOKUP(tblMovimientos[[#This Row],[Cuenta Bancaria]],Cuentas!$C:$C,Cuentas!$B:$B,""))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71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>IF(F647="Ingreso",J647,-J647)</f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3">
        <f>IF(tblMovimientos[[#This Row],[Tipo de Movimiento]]="Ingreso",tblMovimientos[[#This Row],[Monto (S/)]],"0")</f>
        <v>6974.11</v>
      </c>
      <c r="O647" s="63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81" t="str">
        <f>IF(tblMovimientos[[#This Row],[Cuenta Bancaria]]="","",_xlfn.XLOOKUP(tblMovimientos[[#This Row],[Cuenta Bancaria]],Cuentas!$C:$C,Cuentas!$A:$A,"No encontrado"))</f>
        <v>SSP Group</v>
      </c>
      <c r="R647" s="81" t="str">
        <f>TRIM(_xlfn.XLOOKUP(tblMovimientos[[#This Row],[Cuenta Bancaria]],Cuentas!$C:$C,Cuentas!$B:$B,""))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71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>IF(F648="Ingreso",J648,-J648)</f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3" t="str">
        <f>IF(tblMovimientos[[#This Row],[Tipo de Movimiento]]="Ingreso",tblMovimientos[[#This Row],[Monto (S/)]],"0")</f>
        <v>0</v>
      </c>
      <c r="O648" s="63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81" t="str">
        <f>IF(tblMovimientos[[#This Row],[Cuenta Bancaria]]="","",_xlfn.XLOOKUP(tblMovimientos[[#This Row],[Cuenta Bancaria]],Cuentas!$C:$C,Cuentas!$A:$A,"No encontrado"))</f>
        <v>SSP Group</v>
      </c>
      <c r="R648" s="81" t="str">
        <f>TRIM(_xlfn.XLOOKUP(tblMovimientos[[#This Row],[Cuenta Bancaria]],Cuentas!$C:$C,Cuentas!$B:$B,""))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71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>IF(F649="Ingreso",J649,-J649)</f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3" t="str">
        <f>IF(tblMovimientos[[#This Row],[Tipo de Movimiento]]="Ingreso",tblMovimientos[[#This Row],[Monto (S/)]],"0")</f>
        <v>0</v>
      </c>
      <c r="O649" s="63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81" t="str">
        <f>IF(tblMovimientos[[#This Row],[Cuenta Bancaria]]="","",_xlfn.XLOOKUP(tblMovimientos[[#This Row],[Cuenta Bancaria]],Cuentas!$C:$C,Cuentas!$A:$A,"No encontrado"))</f>
        <v>SSP Group</v>
      </c>
      <c r="R649" s="81" t="str">
        <f>TRIM(_xlfn.XLOOKUP(tblMovimientos[[#This Row],[Cuenta Bancaria]],Cuentas!$C:$C,Cuentas!$B:$B,""))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71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>IF(F650="Ingreso",J650,-J650)</f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3" t="str">
        <f>IF(tblMovimientos[[#This Row],[Tipo de Movimiento]]="Ingreso",tblMovimientos[[#This Row],[Monto (S/)]],"0")</f>
        <v>0</v>
      </c>
      <c r="O650" s="63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81" t="str">
        <f>IF(tblMovimientos[[#This Row],[Cuenta Bancaria]]="","",_xlfn.XLOOKUP(tblMovimientos[[#This Row],[Cuenta Bancaria]],Cuentas!$C:$C,Cuentas!$A:$A,"No encontrado"))</f>
        <v>SSP Group</v>
      </c>
      <c r="R650" s="81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71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>IF(F651="Ingreso",J651,-J651)</f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3">
        <f>IF(tblMovimientos[[#This Row],[Tipo de Movimiento]]="Ingreso",tblMovimientos[[#This Row],[Monto (S/)]],"0")</f>
        <v>17545.53</v>
      </c>
      <c r="O651" s="63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81" t="str">
        <f>IF(tblMovimientos[[#This Row],[Cuenta Bancaria]]="","",_xlfn.XLOOKUP(tblMovimientos[[#This Row],[Cuenta Bancaria]],Cuentas!$C:$C,Cuentas!$A:$A,"No encontrado"))</f>
        <v>SSP Group</v>
      </c>
      <c r="R651" s="81" t="str">
        <f>TRIM(_xlfn.XLOOKUP(tblMovimientos[[#This Row],[Cuenta Bancaria]],Cuentas!$C:$C,Cuentas!$B:$B,""))</f>
        <v>Cross Security Trust</v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71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>IF(F652="Ingreso",J652,-J652)</f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3">
        <f>IF(tblMovimientos[[#This Row],[Tipo de Movimiento]]="Ingreso",tblMovimientos[[#This Row],[Monto (S/)]],"0")</f>
        <v>1452.33</v>
      </c>
      <c r="O652" s="63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81" t="str">
        <f>IF(tblMovimientos[[#This Row],[Cuenta Bancaria]]="","",_xlfn.XLOOKUP(tblMovimientos[[#This Row],[Cuenta Bancaria]],Cuentas!$C:$C,Cuentas!$A:$A,"No encontrado"))</f>
        <v>SSP Group</v>
      </c>
      <c r="R652" s="81" t="str">
        <f>TRIM(_xlfn.XLOOKUP(tblMovimientos[[#This Row],[Cuenta Bancaria]],Cuentas!$C:$C,Cuentas!$B:$B,""))</f>
        <v>Cross Security Trust</v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71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>IF(F653="Ingreso",J653,-J653)</f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3">
        <f>IF(tblMovimientos[[#This Row],[Tipo de Movimiento]]="Ingreso",tblMovimientos[[#This Row],[Monto (S/)]],"0")</f>
        <v>7471.23</v>
      </c>
      <c r="O653" s="63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81" t="str">
        <f>IF(tblMovimientos[[#This Row],[Cuenta Bancaria]]="","",_xlfn.XLOOKUP(tblMovimientos[[#This Row],[Cuenta Bancaria]],Cuentas!$C:$C,Cuentas!$A:$A,"No encontrado"))</f>
        <v>SSP Group</v>
      </c>
      <c r="R653" s="81" t="str">
        <f>TRIM(_xlfn.XLOOKUP(tblMovimientos[[#This Row],[Cuenta Bancaria]],Cuentas!$C:$C,Cuentas!$B:$B,""))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71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>IF(F654="Ingreso",J654,-J654)</f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3">
        <f>IF(tblMovimientos[[#This Row],[Tipo de Movimiento]]="Ingreso",tblMovimientos[[#This Row],[Monto (S/)]],"0")</f>
        <v>7317.16</v>
      </c>
      <c r="O654" s="63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81" t="str">
        <f>IF(tblMovimientos[[#This Row],[Cuenta Bancaria]]="","",_xlfn.XLOOKUP(tblMovimientos[[#This Row],[Cuenta Bancaria]],Cuentas!$C:$C,Cuentas!$A:$A,"No encontrado"))</f>
        <v>SSP Group</v>
      </c>
      <c r="R654" s="81" t="str">
        <f>TRIM(_xlfn.XLOOKUP(tblMovimientos[[#This Row],[Cuenta Bancaria]],Cuentas!$C:$C,Cuentas!$B:$B,""))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71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>IF(F655="Ingreso",J655,-J655)</f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3">
        <f>IF(tblMovimientos[[#This Row],[Tipo de Movimiento]]="Ingreso",tblMovimientos[[#This Row],[Monto (S/)]],"0")</f>
        <v>2637.13</v>
      </c>
      <c r="O655" s="63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81" t="str">
        <f>IF(tblMovimientos[[#This Row],[Cuenta Bancaria]]="","",_xlfn.XLOOKUP(tblMovimientos[[#This Row],[Cuenta Bancaria]],Cuentas!$C:$C,Cuentas!$A:$A,"No encontrado"))</f>
        <v>SSP Group</v>
      </c>
      <c r="R655" s="81" t="str">
        <f>TRIM(_xlfn.XLOOKUP(tblMovimientos[[#This Row],[Cuenta Bancaria]],Cuentas!$C:$C,Cuentas!$B:$B,""))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71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>IF(F656="Ingreso",J656,-J656)</f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3" t="str">
        <f>IF(tblMovimientos[[#This Row],[Tipo de Movimiento]]="Ingreso",tblMovimientos[[#This Row],[Monto (S/)]],"0")</f>
        <v>0</v>
      </c>
      <c r="O656" s="63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81" t="str">
        <f>IF(tblMovimientos[[#This Row],[Cuenta Bancaria]]="","",_xlfn.XLOOKUP(tblMovimientos[[#This Row],[Cuenta Bancaria]],Cuentas!$C:$C,Cuentas!$A:$A,"No encontrado"))</f>
        <v>SSP Group</v>
      </c>
      <c r="R656" s="81" t="str">
        <f>TRIM(_xlfn.XLOOKUP(tblMovimientos[[#This Row],[Cuenta Bancaria]],Cuentas!$C:$C,Cuentas!$B:$B,""))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71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>IF(F657="Ingreso",J657,-J657)</f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3" t="str">
        <f>IF(tblMovimientos[[#This Row],[Tipo de Movimiento]]="Ingreso",tblMovimientos[[#This Row],[Monto (S/)]],"0")</f>
        <v>0</v>
      </c>
      <c r="O657" s="63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81" t="str">
        <f>IF(tblMovimientos[[#This Row],[Cuenta Bancaria]]="","",_xlfn.XLOOKUP(tblMovimientos[[#This Row],[Cuenta Bancaria]],Cuentas!$C:$C,Cuentas!$A:$A,"No encontrado"))</f>
        <v>SSP Group</v>
      </c>
      <c r="R657" s="81" t="str">
        <f>TRIM(_xlfn.XLOOKUP(tblMovimientos[[#This Row],[Cuenta Bancaria]],Cuentas!$C:$C,Cuentas!$B:$B,""))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71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>IF(F658="Ingreso",J658,-J658)</f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3" t="str">
        <f>IF(tblMovimientos[[#This Row],[Tipo de Movimiento]]="Ingreso",tblMovimientos[[#This Row],[Monto (S/)]],"0")</f>
        <v>0</v>
      </c>
      <c r="O658" s="63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81" t="str">
        <f>IF(tblMovimientos[[#This Row],[Cuenta Bancaria]]="","",_xlfn.XLOOKUP(tblMovimientos[[#This Row],[Cuenta Bancaria]],Cuentas!$C:$C,Cuentas!$A:$A,"No encontrado"))</f>
        <v>SSP Group</v>
      </c>
      <c r="R658" s="81" t="str">
        <f>TRIM(_xlfn.XLOOKUP(tblMovimientos[[#This Row],[Cuenta Bancaria]],Cuentas!$C:$C,Cuentas!$B:$B,""))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71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>IF(F659="Ingreso",J659,-J659)</f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3" t="str">
        <f>IF(tblMovimientos[[#This Row],[Tipo de Movimiento]]="Ingreso",tblMovimientos[[#This Row],[Monto (S/)]],"0")</f>
        <v>0</v>
      </c>
      <c r="O659" s="63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81" t="str">
        <f>IF(tblMovimientos[[#This Row],[Cuenta Bancaria]]="","",_xlfn.XLOOKUP(tblMovimientos[[#This Row],[Cuenta Bancaria]],Cuentas!$C:$C,Cuentas!$A:$A,"No encontrado"))</f>
        <v>SSP Group</v>
      </c>
      <c r="R659" s="81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71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>IF(F660="Ingreso",J660,-J660)</f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3" t="str">
        <f>IF(tblMovimientos[[#This Row],[Tipo de Movimiento]]="Ingreso",tblMovimientos[[#This Row],[Monto (S/)]],"0")</f>
        <v>0</v>
      </c>
      <c r="O660" s="63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81" t="str">
        <f>IF(tblMovimientos[[#This Row],[Cuenta Bancaria]]="","",_xlfn.XLOOKUP(tblMovimientos[[#This Row],[Cuenta Bancaria]],Cuentas!$C:$C,Cuentas!$A:$A,"No encontrado"))</f>
        <v>SSP Group</v>
      </c>
      <c r="R660" s="81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71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>IF(F661="Ingreso",J661,-J661)</f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3">
        <f>IF(tblMovimientos[[#This Row],[Tipo de Movimiento]]="Ingreso",tblMovimientos[[#This Row],[Monto (S/)]],"0")</f>
        <v>23791.439999999999</v>
      </c>
      <c r="O661" s="63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81" t="str">
        <f>IF(tblMovimientos[[#This Row],[Cuenta Bancaria]]="","",_xlfn.XLOOKUP(tblMovimientos[[#This Row],[Cuenta Bancaria]],Cuentas!$C:$C,Cuentas!$A:$A,"No encontrado"))</f>
        <v>SSP Group</v>
      </c>
      <c r="R661" s="81" t="str">
        <f>TRIM(_xlfn.XLOOKUP(tblMovimientos[[#This Row],[Cuenta Bancaria]],Cuentas!$C:$C,Cuentas!$B:$B,""))</f>
        <v>Cross Security Trust</v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71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>IF(F662="Ingreso",J662,-J662)</f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3">
        <f>IF(tblMovimientos[[#This Row],[Tipo de Movimiento]]="Ingreso",tblMovimientos[[#This Row],[Monto (S/)]],"0")</f>
        <v>129678.6</v>
      </c>
      <c r="O662" s="63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81" t="str">
        <f>IF(tblMovimientos[[#This Row],[Cuenta Bancaria]]="","",_xlfn.XLOOKUP(tblMovimientos[[#This Row],[Cuenta Bancaria]],Cuentas!$C:$C,Cuentas!$A:$A,"No encontrado"))</f>
        <v>SSP Group</v>
      </c>
      <c r="R662" s="81" t="str">
        <f>TRIM(_xlfn.XLOOKUP(tblMovimientos[[#This Row],[Cuenta Bancaria]],Cuentas!$C:$C,Cuentas!$B:$B,""))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71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>IF(F663="Ingreso",J663,-J663)</f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3">
        <f>IF(tblMovimientos[[#This Row],[Tipo de Movimiento]]="Ingreso",tblMovimientos[[#This Row],[Monto (S/)]],"0")</f>
        <v>71403.73</v>
      </c>
      <c r="O663" s="63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81" t="str">
        <f>IF(tblMovimientos[[#This Row],[Cuenta Bancaria]]="","",_xlfn.XLOOKUP(tblMovimientos[[#This Row],[Cuenta Bancaria]],Cuentas!$C:$C,Cuentas!$A:$A,"No encontrado"))</f>
        <v>SSP Group</v>
      </c>
      <c r="R663" s="81" t="str">
        <f>TRIM(_xlfn.XLOOKUP(tblMovimientos[[#This Row],[Cuenta Bancaria]],Cuentas!$C:$C,Cuentas!$B:$B,""))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71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>IF(F664="Ingreso",J664,-J664)</f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3" t="str">
        <f>IF(tblMovimientos[[#This Row],[Tipo de Movimiento]]="Ingreso",tblMovimientos[[#This Row],[Monto (S/)]],"0")</f>
        <v>0</v>
      </c>
      <c r="O664" s="63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81" t="str">
        <f>IF(tblMovimientos[[#This Row],[Cuenta Bancaria]]="","",_xlfn.XLOOKUP(tblMovimientos[[#This Row],[Cuenta Bancaria]],Cuentas!$C:$C,Cuentas!$A:$A,"No encontrado"))</f>
        <v>SSP Group</v>
      </c>
      <c r="R664" s="81" t="str">
        <f>TRIM(_xlfn.XLOOKUP(tblMovimientos[[#This Row],[Cuenta Bancaria]],Cuentas!$C:$C,Cuentas!$B:$B,""))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71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>IF(F665="Ingreso",J665,-J665)</f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3" t="str">
        <f>IF(tblMovimientos[[#This Row],[Tipo de Movimiento]]="Ingreso",tblMovimientos[[#This Row],[Monto (S/)]],"0")</f>
        <v>0</v>
      </c>
      <c r="O665" s="63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81" t="str">
        <f>IF(tblMovimientos[[#This Row],[Cuenta Bancaria]]="","",_xlfn.XLOOKUP(tblMovimientos[[#This Row],[Cuenta Bancaria]],Cuentas!$C:$C,Cuentas!$A:$A,"No encontrado"))</f>
        <v>SSP Group</v>
      </c>
      <c r="R665" s="81" t="str">
        <f>TRIM(_xlfn.XLOOKUP(tblMovimientos[[#This Row],[Cuenta Bancaria]],Cuentas!$C:$C,Cuentas!$B:$B,""))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71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>IF(F666="Ingreso",J666,-J666)</f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3">
        <f>IF(tblMovimientos[[#This Row],[Tipo de Movimiento]]="Ingreso",tblMovimientos[[#This Row],[Monto (S/)]],"0")</f>
        <v>2000</v>
      </c>
      <c r="O666" s="63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81" t="str">
        <f>IF(tblMovimientos[[#This Row],[Cuenta Bancaria]]="","",_xlfn.XLOOKUP(tblMovimientos[[#This Row],[Cuenta Bancaria]],Cuentas!$C:$C,Cuentas!$A:$A,"No encontrado"))</f>
        <v>SSP Group</v>
      </c>
      <c r="R666" s="81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71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>IF(F667="Ingreso",J667,-J667)</f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3" t="str">
        <f>IF(tblMovimientos[[#This Row],[Tipo de Movimiento]]="Ingreso",tblMovimientos[[#This Row],[Monto (S/)]],"0")</f>
        <v>0</v>
      </c>
      <c r="O667" s="63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81" t="str">
        <f>IF(tblMovimientos[[#This Row],[Cuenta Bancaria]]="","",_xlfn.XLOOKUP(tblMovimientos[[#This Row],[Cuenta Bancaria]],Cuentas!$C:$C,Cuentas!$A:$A,"No encontrado"))</f>
        <v>SSP Group</v>
      </c>
      <c r="R667" s="81" t="str">
        <f>TRIM(_xlfn.XLOOKUP(tblMovimientos[[#This Row],[Cuenta Bancaria]],Cuentas!$C:$C,Cuentas!$B:$B,""))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71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>IF(F668="Ingreso",J668,-J668)</f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3" t="str">
        <f>IF(tblMovimientos[[#This Row],[Tipo de Movimiento]]="Ingreso",tblMovimientos[[#This Row],[Monto (S/)]],"0")</f>
        <v>0</v>
      </c>
      <c r="O668" s="63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81" t="str">
        <f>IF(tblMovimientos[[#This Row],[Cuenta Bancaria]]="","",_xlfn.XLOOKUP(tblMovimientos[[#This Row],[Cuenta Bancaria]],Cuentas!$C:$C,Cuentas!$A:$A,"No encontrado"))</f>
        <v>SSP Group</v>
      </c>
      <c r="R668" s="81" t="str">
        <f>TRIM(_xlfn.XLOOKUP(tblMovimientos[[#This Row],[Cuenta Bancaria]],Cuentas!$C:$C,Cuentas!$B:$B,""))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71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>IF(F669="Ingreso",J669,-J669)</f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3" t="str">
        <f>IF(tblMovimientos[[#This Row],[Tipo de Movimiento]]="Ingreso",tblMovimientos[[#This Row],[Monto (S/)]],"0")</f>
        <v>0</v>
      </c>
      <c r="O669" s="63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81" t="str">
        <f>IF(tblMovimientos[[#This Row],[Cuenta Bancaria]]="","",_xlfn.XLOOKUP(tblMovimientos[[#This Row],[Cuenta Bancaria]],Cuentas!$C:$C,Cuentas!$A:$A,"No encontrado"))</f>
        <v>SSP Group</v>
      </c>
      <c r="R669" s="81" t="str">
        <f>TRIM(_xlfn.XLOOKUP(tblMovimientos[[#This Row],[Cuenta Bancaria]],Cuentas!$C:$C,Cuentas!$B:$B,""))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71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>IF(F670="Ingreso",J670,-J670)</f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3" t="str">
        <f>IF(tblMovimientos[[#This Row],[Tipo de Movimiento]]="Ingreso",tblMovimientos[[#This Row],[Monto (S/)]],"0")</f>
        <v>0</v>
      </c>
      <c r="O670" s="63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81" t="str">
        <f>IF(tblMovimientos[[#This Row],[Cuenta Bancaria]]="","",_xlfn.XLOOKUP(tblMovimientos[[#This Row],[Cuenta Bancaria]],Cuentas!$C:$C,Cuentas!$A:$A,"No encontrado"))</f>
        <v>SSP Group</v>
      </c>
      <c r="R670" s="81" t="str">
        <f>TRIM(_xlfn.XLOOKUP(tblMovimientos[[#This Row],[Cuenta Bancaria]],Cuentas!$C:$C,Cuentas!$B:$B,""))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71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>IF(F671="Ingreso",J671,-J671)</f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3" t="str">
        <f>IF(tblMovimientos[[#This Row],[Tipo de Movimiento]]="Ingreso",tblMovimientos[[#This Row],[Monto (S/)]],"0")</f>
        <v>0</v>
      </c>
      <c r="O671" s="63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81" t="str">
        <f>IF(tblMovimientos[[#This Row],[Cuenta Bancaria]]="","",_xlfn.XLOOKUP(tblMovimientos[[#This Row],[Cuenta Bancaria]],Cuentas!$C:$C,Cuentas!$A:$A,"No encontrado"))</f>
        <v>SSP Group</v>
      </c>
      <c r="R671" s="81" t="str">
        <f>TRIM(_xlfn.XLOOKUP(tblMovimientos[[#This Row],[Cuenta Bancaria]],Cuentas!$C:$C,Cuentas!$B:$B,""))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71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>IF(F672="Ingreso",J672,-J672)</f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3">
        <f>IF(tblMovimientos[[#This Row],[Tipo de Movimiento]]="Ingreso",tblMovimientos[[#This Row],[Monto (S/)]],"0")</f>
        <v>1000</v>
      </c>
      <c r="O672" s="63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81" t="str">
        <f>IF(tblMovimientos[[#This Row],[Cuenta Bancaria]]="","",_xlfn.XLOOKUP(tblMovimientos[[#This Row],[Cuenta Bancaria]],Cuentas!$C:$C,Cuentas!$A:$A,"No encontrado"))</f>
        <v>SSP Group</v>
      </c>
      <c r="R672" s="81" t="str">
        <f>TRIM(_xlfn.XLOOKUP(tblMovimientos[[#This Row],[Cuenta Bancaria]],Cuentas!$C:$C,Cuentas!$B:$B,""))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71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>IF(F673="Ingreso",J673,-J673)</f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3" t="str">
        <f>IF(tblMovimientos[[#This Row],[Tipo de Movimiento]]="Ingreso",tblMovimientos[[#This Row],[Monto (S/)]],"0")</f>
        <v>0</v>
      </c>
      <c r="O673" s="63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81" t="str">
        <f>IF(tblMovimientos[[#This Row],[Cuenta Bancaria]]="","",_xlfn.XLOOKUP(tblMovimientos[[#This Row],[Cuenta Bancaria]],Cuentas!$C:$C,Cuentas!$A:$A,"No encontrado"))</f>
        <v>SSP Group</v>
      </c>
      <c r="R673" s="81" t="str">
        <f>TRIM(_xlfn.XLOOKUP(tblMovimientos[[#This Row],[Cuenta Bancaria]],Cuentas!$C:$C,Cuentas!$B:$B,""))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71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>IF(F674="Ingreso",J674,-J674)</f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3" t="str">
        <f>IF(tblMovimientos[[#This Row],[Tipo de Movimiento]]="Ingreso",tblMovimientos[[#This Row],[Monto (S/)]],"0")</f>
        <v>0</v>
      </c>
      <c r="O674" s="63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81" t="str">
        <f>IF(tblMovimientos[[#This Row],[Cuenta Bancaria]]="","",_xlfn.XLOOKUP(tblMovimientos[[#This Row],[Cuenta Bancaria]],Cuentas!$C:$C,Cuentas!$A:$A,"No encontrado"))</f>
        <v>SSP Group</v>
      </c>
      <c r="R674" s="81" t="str">
        <f>TRIM(_xlfn.XLOOKUP(tblMovimientos[[#This Row],[Cuenta Bancaria]],Cuentas!$C:$C,Cuentas!$B:$B,""))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71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>IF(F675="Ingreso",J675,-J675)</f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3">
        <f>IF(tblMovimientos[[#This Row],[Tipo de Movimiento]]="Ingreso",tblMovimientos[[#This Row],[Monto (S/)]],"0")</f>
        <v>2426.71</v>
      </c>
      <c r="O675" s="63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81" t="str">
        <f>IF(tblMovimientos[[#This Row],[Cuenta Bancaria]]="","",_xlfn.XLOOKUP(tblMovimientos[[#This Row],[Cuenta Bancaria]],Cuentas!$C:$C,Cuentas!$A:$A,"No encontrado"))</f>
        <v>SSP Group</v>
      </c>
      <c r="R675" s="81" t="str">
        <f>TRIM(_xlfn.XLOOKUP(tblMovimientos[[#This Row],[Cuenta Bancaria]],Cuentas!$C:$C,Cuentas!$B:$B,""))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71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>IF(F676="Ingreso",J676,-J676)</f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3" t="str">
        <f>IF(tblMovimientos[[#This Row],[Tipo de Movimiento]]="Ingreso",tblMovimientos[[#This Row],[Monto (S/)]],"0")</f>
        <v>0</v>
      </c>
      <c r="O676" s="63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81" t="str">
        <f>IF(tblMovimientos[[#This Row],[Cuenta Bancaria]]="","",_xlfn.XLOOKUP(tblMovimientos[[#This Row],[Cuenta Bancaria]],Cuentas!$C:$C,Cuentas!$A:$A,"No encontrado"))</f>
        <v>SSP Group</v>
      </c>
      <c r="R676" s="81" t="str">
        <f>TRIM(_xlfn.XLOOKUP(tblMovimientos[[#This Row],[Cuenta Bancaria]],Cuentas!$C:$C,Cuentas!$B:$B,""))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71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72"/>
      <c r="J677" s="43">
        <v>11739</v>
      </c>
      <c r="K677" s="5"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Q677" s="81"/>
      <c r="R677" s="81"/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71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72"/>
      <c r="J678" s="43">
        <v>48163</v>
      </c>
      <c r="K678" s="5"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Q678" s="81"/>
      <c r="R678" s="81"/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71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>IF(F679="Ingreso",J679,-J679)</f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3" t="str">
        <f>IF(tblMovimientos[[#This Row],[Tipo de Movimiento]]="Ingreso",tblMovimientos[[#This Row],[Monto (S/)]],"0")</f>
        <v>0</v>
      </c>
      <c r="O679" s="63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81" t="str">
        <f>IF(tblMovimientos[[#This Row],[Cuenta Bancaria]]="","",_xlfn.XLOOKUP(tblMovimientos[[#This Row],[Cuenta Bancaria]],Cuentas!$C:$C,Cuentas!$A:$A,"No encontrado"))</f>
        <v>SSP Group</v>
      </c>
      <c r="R679" s="81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71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>IF(F680="Ingreso",J680,-J680)</f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3" t="str">
        <f>IF(tblMovimientos[[#This Row],[Tipo de Movimiento]]="Ingreso",tblMovimientos[[#This Row],[Monto (S/)]],"0")</f>
        <v>0</v>
      </c>
      <c r="O680" s="63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81" t="str">
        <f>IF(tblMovimientos[[#This Row],[Cuenta Bancaria]]="","",_xlfn.XLOOKUP(tblMovimientos[[#This Row],[Cuenta Bancaria]],Cuentas!$C:$C,Cuentas!$A:$A,"No encontrado"))</f>
        <v>SSP Group</v>
      </c>
      <c r="R680" s="81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71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>IF(F681="Ingreso",J681,-J681)</f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3" t="str">
        <f>IF(tblMovimientos[[#This Row],[Tipo de Movimiento]]="Ingreso",tblMovimientos[[#This Row],[Monto (S/)]],"0")</f>
        <v>0</v>
      </c>
      <c r="O681" s="63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81" t="str">
        <f>IF(tblMovimientos[[#This Row],[Cuenta Bancaria]]="","",_xlfn.XLOOKUP(tblMovimientos[[#This Row],[Cuenta Bancaria]],Cuentas!$C:$C,Cuentas!$A:$A,"No encontrado"))</f>
        <v>SSP Group</v>
      </c>
      <c r="R681" s="81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71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>IF(F682="Ingreso",J682,-J682)</f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3" t="str">
        <f>IF(tblMovimientos[[#This Row],[Tipo de Movimiento]]="Ingreso",tblMovimientos[[#This Row],[Monto (S/)]],"0")</f>
        <v>0</v>
      </c>
      <c r="O682" s="63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81" t="str">
        <f>IF(tblMovimientos[[#This Row],[Cuenta Bancaria]]="","",_xlfn.XLOOKUP(tblMovimientos[[#This Row],[Cuenta Bancaria]],Cuentas!$C:$C,Cuentas!$A:$A,"No encontrado"))</f>
        <v>SSP Group</v>
      </c>
      <c r="R682" s="81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71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>IF(F683="Ingreso",J683,-J683)</f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3" t="str">
        <f>IF(tblMovimientos[[#This Row],[Tipo de Movimiento]]="Ingreso",tblMovimientos[[#This Row],[Monto (S/)]],"0")</f>
        <v>0</v>
      </c>
      <c r="O683" s="63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81" t="str">
        <f>IF(tblMovimientos[[#This Row],[Cuenta Bancaria]]="","",_xlfn.XLOOKUP(tblMovimientos[[#This Row],[Cuenta Bancaria]],Cuentas!$C:$C,Cuentas!$A:$A,"No encontrado"))</f>
        <v>SSP Group</v>
      </c>
      <c r="R683" s="81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71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>IF(F684="Ingreso",J684,-J684)</f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3" t="str">
        <f>IF(tblMovimientos[[#This Row],[Tipo de Movimiento]]="Ingreso",tblMovimientos[[#This Row],[Monto (S/)]],"0")</f>
        <v>0</v>
      </c>
      <c r="O684" s="63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81" t="str">
        <f>IF(tblMovimientos[[#This Row],[Cuenta Bancaria]]="","",_xlfn.XLOOKUP(tblMovimientos[[#This Row],[Cuenta Bancaria]],Cuentas!$C:$C,Cuentas!$A:$A,"No encontrado"))</f>
        <v>SSP Group</v>
      </c>
      <c r="R684" s="81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71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>IF(F685="Ingreso",J685,-J685)</f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3" t="str">
        <f>IF(tblMovimientos[[#This Row],[Tipo de Movimiento]]="Ingreso",tblMovimientos[[#This Row],[Monto (S/)]],"0")</f>
        <v>0</v>
      </c>
      <c r="O685" s="63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81" t="str">
        <f>IF(tblMovimientos[[#This Row],[Cuenta Bancaria]]="","",_xlfn.XLOOKUP(tblMovimientos[[#This Row],[Cuenta Bancaria]],Cuentas!$C:$C,Cuentas!$A:$A,"No encontrado"))</f>
        <v>SSP Group</v>
      </c>
      <c r="R685" s="81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71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>IF(F686="Ingreso",J686,-J686)</f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3" t="str">
        <f>IF(tblMovimientos[[#This Row],[Tipo de Movimiento]]="Ingreso",tblMovimientos[[#This Row],[Monto (S/)]],"0")</f>
        <v>0</v>
      </c>
      <c r="O686" s="63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81" t="str">
        <f>IF(tblMovimientos[[#This Row],[Cuenta Bancaria]]="","",_xlfn.XLOOKUP(tblMovimientos[[#This Row],[Cuenta Bancaria]],Cuentas!$C:$C,Cuentas!$A:$A,"No encontrado"))</f>
        <v>SSP Group</v>
      </c>
      <c r="R686" s="81" t="str">
        <f>TRIM(_xlfn.XLOOKUP(tblMovimientos[[#This Row],[Cuenta Bancaria]],Cuentas!$C:$C,Cuentas!$B:$B,""))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71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>IF(F687="Ingreso",J687,-J687)</f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3" t="str">
        <f>IF(tblMovimientos[[#This Row],[Tipo de Movimiento]]="Ingreso",tblMovimientos[[#This Row],[Monto (S/)]],"0")</f>
        <v>0</v>
      </c>
      <c r="O687" s="63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81" t="str">
        <f>IF(tblMovimientos[[#This Row],[Cuenta Bancaria]]="","",_xlfn.XLOOKUP(tblMovimientos[[#This Row],[Cuenta Bancaria]],Cuentas!$C:$C,Cuentas!$A:$A,"No encontrado"))</f>
        <v>SSP Group</v>
      </c>
      <c r="R687" s="81" t="str">
        <f>TRIM(_xlfn.XLOOKUP(tblMovimientos[[#This Row],[Cuenta Bancaria]],Cuentas!$C:$C,Cuentas!$B:$B,""))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71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>IF(F688="Ingreso",J688,-J688)</f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3" t="str">
        <f>IF(tblMovimientos[[#This Row],[Tipo de Movimiento]]="Ingreso",tblMovimientos[[#This Row],[Monto (S/)]],"0")</f>
        <v>0</v>
      </c>
      <c r="O688" s="63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81" t="str">
        <f>IF(tblMovimientos[[#This Row],[Cuenta Bancaria]]="","",_xlfn.XLOOKUP(tblMovimientos[[#This Row],[Cuenta Bancaria]],Cuentas!$C:$C,Cuentas!$A:$A,"No encontrado"))</f>
        <v>SSP Group</v>
      </c>
      <c r="R688" s="81" t="str">
        <f>TRIM(_xlfn.XLOOKUP(tblMovimientos[[#This Row],[Cuenta Bancaria]],Cuentas!$C:$C,Cuentas!$B:$B,""))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71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>IF(F689="Ingreso",J689,-J689)</f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3" t="str">
        <f>IF(tblMovimientos[[#This Row],[Tipo de Movimiento]]="Ingreso",tblMovimientos[[#This Row],[Monto (S/)]],"0")</f>
        <v>0</v>
      </c>
      <c r="O689" s="63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81" t="str">
        <f>IF(tblMovimientos[[#This Row],[Cuenta Bancaria]]="","",_xlfn.XLOOKUP(tblMovimientos[[#This Row],[Cuenta Bancaria]],Cuentas!$C:$C,Cuentas!$A:$A,"No encontrado"))</f>
        <v>SSP Group</v>
      </c>
      <c r="R689" s="81" t="str">
        <f>TRIM(_xlfn.XLOOKUP(tblMovimientos[[#This Row],[Cuenta Bancaria]],Cuentas!$C:$C,Cuentas!$B:$B,""))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71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>IF(F690="Ingreso",J690,-J690)</f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3" t="str">
        <f>IF(tblMovimientos[[#This Row],[Tipo de Movimiento]]="Ingreso",tblMovimientos[[#This Row],[Monto (S/)]],"0")</f>
        <v>0</v>
      </c>
      <c r="O690" s="63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81" t="str">
        <f>IF(tblMovimientos[[#This Row],[Cuenta Bancaria]]="","",_xlfn.XLOOKUP(tblMovimientos[[#This Row],[Cuenta Bancaria]],Cuentas!$C:$C,Cuentas!$A:$A,"No encontrado"))</f>
        <v>SSP Group</v>
      </c>
      <c r="R690" s="81" t="str">
        <f>TRIM(_xlfn.XLOOKUP(tblMovimientos[[#This Row],[Cuenta Bancaria]],Cuentas!$C:$C,Cuentas!$B:$B,""))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71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>IF(F691="Ingreso",J691,-J691)</f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3" t="str">
        <f>IF(tblMovimientos[[#This Row],[Tipo de Movimiento]]="Ingreso",tblMovimientos[[#This Row],[Monto (S/)]],"0")</f>
        <v>0</v>
      </c>
      <c r="O691" s="63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81" t="str">
        <f>IF(tblMovimientos[[#This Row],[Cuenta Bancaria]]="","",_xlfn.XLOOKUP(tblMovimientos[[#This Row],[Cuenta Bancaria]],Cuentas!$C:$C,Cuentas!$A:$A,"No encontrado"))</f>
        <v>SSP Group</v>
      </c>
      <c r="R691" s="81" t="str">
        <f>TRIM(_xlfn.XLOOKUP(tblMovimientos[[#This Row],[Cuenta Bancaria]],Cuentas!$C:$C,Cuentas!$B:$B,""))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71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>IF(F692="Ingreso",J692,-J692)</f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3" t="str">
        <f>IF(tblMovimientos[[#This Row],[Tipo de Movimiento]]="Ingreso",tblMovimientos[[#This Row],[Monto (S/)]],"0")</f>
        <v>0</v>
      </c>
      <c r="O692" s="63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81" t="str">
        <f>IF(tblMovimientos[[#This Row],[Cuenta Bancaria]]="","",_xlfn.XLOOKUP(tblMovimientos[[#This Row],[Cuenta Bancaria]],Cuentas!$C:$C,Cuentas!$A:$A,"No encontrado"))</f>
        <v>SSP Group</v>
      </c>
      <c r="R692" s="81" t="str">
        <f>TRIM(_xlfn.XLOOKUP(tblMovimientos[[#This Row],[Cuenta Bancaria]],Cuentas!$C:$C,Cuentas!$B:$B,""))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71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>IF(F693="Ingreso",J693,-J693)</f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3" t="str">
        <f>IF(tblMovimientos[[#This Row],[Tipo de Movimiento]]="Ingreso",tblMovimientos[[#This Row],[Monto (S/)]],"0")</f>
        <v>0</v>
      </c>
      <c r="O693" s="63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81" t="str">
        <f>IF(tblMovimientos[[#This Row],[Cuenta Bancaria]]="","",_xlfn.XLOOKUP(tblMovimientos[[#This Row],[Cuenta Bancaria]],Cuentas!$C:$C,Cuentas!$A:$A,"No encontrado"))</f>
        <v>SSP Group</v>
      </c>
      <c r="R693" s="81" t="str">
        <f>TRIM(_xlfn.XLOOKUP(tblMovimientos[[#This Row],[Cuenta Bancaria]],Cuentas!$C:$C,Cuentas!$B:$B,""))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71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>IF(F694="Ingreso",J694,-J694)</f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3" t="str">
        <f>IF(tblMovimientos[[#This Row],[Tipo de Movimiento]]="Ingreso",tblMovimientos[[#This Row],[Monto (S/)]],"0")</f>
        <v>0</v>
      </c>
      <c r="O694" s="63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81" t="str">
        <f>IF(tblMovimientos[[#This Row],[Cuenta Bancaria]]="","",_xlfn.XLOOKUP(tblMovimientos[[#This Row],[Cuenta Bancaria]],Cuentas!$C:$C,Cuentas!$A:$A,"No encontrado"))</f>
        <v>SSP Group</v>
      </c>
      <c r="R694" s="81" t="str">
        <f>TRIM(_xlfn.XLOOKUP(tblMovimientos[[#This Row],[Cuenta Bancaria]],Cuentas!$C:$C,Cuentas!$B:$B,""))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71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>IF(F695="Ingreso",J695,-J695)</f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3" t="str">
        <f>IF(tblMovimientos[[#This Row],[Tipo de Movimiento]]="Ingreso",tblMovimientos[[#This Row],[Monto (S/)]],"0")</f>
        <v>0</v>
      </c>
      <c r="O695" s="63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81" t="str">
        <f>IF(tblMovimientos[[#This Row],[Cuenta Bancaria]]="","",_xlfn.XLOOKUP(tblMovimientos[[#This Row],[Cuenta Bancaria]],Cuentas!$C:$C,Cuentas!$A:$A,"No encontrado"))</f>
        <v>SSP Group</v>
      </c>
      <c r="R695" s="81" t="str">
        <f>TRIM(_xlfn.XLOOKUP(tblMovimientos[[#This Row],[Cuenta Bancaria]],Cuentas!$C:$C,Cuentas!$B:$B,""))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71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>IF(F696="Ingreso",J696,-J696)</f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3" t="str">
        <f>IF(tblMovimientos[[#This Row],[Tipo de Movimiento]]="Ingreso",tblMovimientos[[#This Row],[Monto (S/)]],"0")</f>
        <v>0</v>
      </c>
      <c r="O696" s="63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81" t="str">
        <f>IF(tblMovimientos[[#This Row],[Cuenta Bancaria]]="","",_xlfn.XLOOKUP(tblMovimientos[[#This Row],[Cuenta Bancaria]],Cuentas!$C:$C,Cuentas!$A:$A,"No encontrado"))</f>
        <v>SSP Group</v>
      </c>
      <c r="R696" s="81" t="str">
        <f>TRIM(_xlfn.XLOOKUP(tblMovimientos[[#This Row],[Cuenta Bancaria]],Cuentas!$C:$C,Cuentas!$B:$B,""))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71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>IF(F697="Ingreso",J697,-J697)</f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3" t="str">
        <f>IF(tblMovimientos[[#This Row],[Tipo de Movimiento]]="Ingreso",tblMovimientos[[#This Row],[Monto (S/)]],"0")</f>
        <v>0</v>
      </c>
      <c r="O697" s="63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81" t="str">
        <f>IF(tblMovimientos[[#This Row],[Cuenta Bancaria]]="","",_xlfn.XLOOKUP(tblMovimientos[[#This Row],[Cuenta Bancaria]],Cuentas!$C:$C,Cuentas!$A:$A,"No encontrado"))</f>
        <v>SSP Group</v>
      </c>
      <c r="R697" s="81" t="str">
        <f>TRIM(_xlfn.XLOOKUP(tblMovimientos[[#This Row],[Cuenta Bancaria]],Cuentas!$C:$C,Cuentas!$B:$B,""))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71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>IF(F698="Ingreso",J698,-J698)</f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3" t="str">
        <f>IF(tblMovimientos[[#This Row],[Tipo de Movimiento]]="Ingreso",tblMovimientos[[#This Row],[Monto (S/)]],"0")</f>
        <v>0</v>
      </c>
      <c r="O698" s="63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81" t="str">
        <f>IF(tblMovimientos[[#This Row],[Cuenta Bancaria]]="","",_xlfn.XLOOKUP(tblMovimientos[[#This Row],[Cuenta Bancaria]],Cuentas!$C:$C,Cuentas!$A:$A,"No encontrado"))</f>
        <v>Trust</v>
      </c>
      <c r="R698" s="81" t="str">
        <f>TRIM(_xlfn.XLOOKUP(tblMovimientos[[#This Row],[Cuenta Bancaria]],Cuentas!$C:$C,Cuentas!$B:$B,""))</f>
        <v/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71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>IF(F699="Ingreso",J699,-J699)</f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3" t="str">
        <f>IF(tblMovimientos[[#This Row],[Tipo de Movimiento]]="Ingreso",tblMovimientos[[#This Row],[Monto (S/)]],"0")</f>
        <v>0</v>
      </c>
      <c r="O699" s="63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81" t="str">
        <f>IF(tblMovimientos[[#This Row],[Cuenta Bancaria]]="","",_xlfn.XLOOKUP(tblMovimientos[[#This Row],[Cuenta Bancaria]],Cuentas!$C:$C,Cuentas!$A:$A,"No encontrado"))</f>
        <v>SSP Group</v>
      </c>
      <c r="R699" s="81" t="str">
        <f>TRIM(_xlfn.XLOOKUP(tblMovimientos[[#This Row],[Cuenta Bancaria]],Cuentas!$C:$C,Cuentas!$B:$B,""))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71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>IF(F700="Ingreso",J700,-J700)</f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3">
        <f>IF(tblMovimientos[[#This Row],[Tipo de Movimiento]]="Ingreso",tblMovimientos[[#This Row],[Monto (S/)]],"0")</f>
        <v>4000</v>
      </c>
      <c r="O700" s="63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81" t="str">
        <f>IF(tblMovimientos[[#This Row],[Cuenta Bancaria]]="","",_xlfn.XLOOKUP(tblMovimientos[[#This Row],[Cuenta Bancaria]],Cuentas!$C:$C,Cuentas!$A:$A,"No encontrado"))</f>
        <v>SSP Group</v>
      </c>
      <c r="R700" s="81" t="str">
        <f>TRIM(_xlfn.XLOOKUP(tblMovimientos[[#This Row],[Cuenta Bancaria]],Cuentas!$C:$C,Cuentas!$B:$B,""))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71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>IF(F701="Ingreso",J701,-J701)</f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3">
        <f>IF(tblMovimientos[[#This Row],[Tipo de Movimiento]]="Ingreso",tblMovimientos[[#This Row],[Monto (S/)]],"0")</f>
        <v>2000</v>
      </c>
      <c r="O701" s="63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81" t="str">
        <f>IF(tblMovimientos[[#This Row],[Cuenta Bancaria]]="","",_xlfn.XLOOKUP(tblMovimientos[[#This Row],[Cuenta Bancaria]],Cuentas!$C:$C,Cuentas!$A:$A,"No encontrado"))</f>
        <v>SSP Group</v>
      </c>
      <c r="R701" s="81" t="str">
        <f>TRIM(_xlfn.XLOOKUP(tblMovimientos[[#This Row],[Cuenta Bancaria]],Cuentas!$C:$C,Cuentas!$B:$B,""))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71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>IF(F702="Ingreso",J702,-J702)</f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3" t="str">
        <f>IF(tblMovimientos[[#This Row],[Tipo de Movimiento]]="Ingreso",tblMovimientos[[#This Row],[Monto (S/)]],"0")</f>
        <v>0</v>
      </c>
      <c r="O702" s="63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81" t="str">
        <f>IF(tblMovimientos[[#This Row],[Cuenta Bancaria]]="","",_xlfn.XLOOKUP(tblMovimientos[[#This Row],[Cuenta Bancaria]],Cuentas!$C:$C,Cuentas!$A:$A,"No encontrado"))</f>
        <v>SSP Group</v>
      </c>
      <c r="R702" s="81" t="str">
        <f>TRIM(_xlfn.XLOOKUP(tblMovimientos[[#This Row],[Cuenta Bancaria]],Cuentas!$C:$C,Cuentas!$B:$B,""))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71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>IF(F703="Ingreso",J703,-J703)</f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3" t="str">
        <f>IF(tblMovimientos[[#This Row],[Tipo de Movimiento]]="Ingreso",tblMovimientos[[#This Row],[Monto (S/)]],"0")</f>
        <v>0</v>
      </c>
      <c r="O703" s="63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81" t="str">
        <f>IF(tblMovimientos[[#This Row],[Cuenta Bancaria]]="","",_xlfn.XLOOKUP(tblMovimientos[[#This Row],[Cuenta Bancaria]],Cuentas!$C:$C,Cuentas!$A:$A,"No encontrado"))</f>
        <v>SSP Group</v>
      </c>
      <c r="R703" s="81" t="str">
        <f>TRIM(_xlfn.XLOOKUP(tblMovimientos[[#This Row],[Cuenta Bancaria]],Cuentas!$C:$C,Cuentas!$B:$B,""))</f>
        <v>Cross Security Trust</v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71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>IF(F704="Ingreso",J704,-J704)</f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3" t="str">
        <f>IF(tblMovimientos[[#This Row],[Tipo de Movimiento]]="Ingreso",tblMovimientos[[#This Row],[Monto (S/)]],"0")</f>
        <v>0</v>
      </c>
      <c r="O704" s="63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81" t="str">
        <f>IF(tblMovimientos[[#This Row],[Cuenta Bancaria]]="","",_xlfn.XLOOKUP(tblMovimientos[[#This Row],[Cuenta Bancaria]],Cuentas!$C:$C,Cuentas!$A:$A,"No encontrado"))</f>
        <v>SSP Group</v>
      </c>
      <c r="R704" s="81" t="str">
        <f>TRIM(_xlfn.XLOOKUP(tblMovimientos[[#This Row],[Cuenta Bancaria]],Cuentas!$C:$C,Cuentas!$B:$B,""))</f>
        <v>Cross Security Trust</v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71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>IF(F705="Ingreso",J705,-J705)</f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3" t="str">
        <f>IF(tblMovimientos[[#This Row],[Tipo de Movimiento]]="Ingreso",tblMovimientos[[#This Row],[Monto (S/)]],"0")</f>
        <v>0</v>
      </c>
      <c r="O705" s="63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81" t="str">
        <f>IF(tblMovimientos[[#This Row],[Cuenta Bancaria]]="","",_xlfn.XLOOKUP(tblMovimientos[[#This Row],[Cuenta Bancaria]],Cuentas!$C:$C,Cuentas!$A:$A,"No encontrado"))</f>
        <v>SSP Group</v>
      </c>
      <c r="R705" s="81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71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>IF(F706="Ingreso",J706,-J706)</f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3">
        <f>IF(tblMovimientos[[#This Row],[Tipo de Movimiento]]="Ingreso",tblMovimientos[[#This Row],[Monto (S/)]],"0")</f>
        <v>20000</v>
      </c>
      <c r="O706" s="63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81" t="str">
        <f>IF(tblMovimientos[[#This Row],[Cuenta Bancaria]]="","",_xlfn.XLOOKUP(tblMovimientos[[#This Row],[Cuenta Bancaria]],Cuentas!$C:$C,Cuentas!$A:$A,"No encontrado"))</f>
        <v>SSP Group</v>
      </c>
      <c r="R706" s="81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71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3">
        <f>IF(tblMovimientos[[#This Row],[Tipo de Movimiento]]="Ingreso",tblMovimientos[[#This Row],[Monto (S/)]],"0")</f>
        <v>9280.15</v>
      </c>
      <c r="O707" s="63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81" t="str">
        <f>IF(tblMovimientos[[#This Row],[Cuenta Bancaria]]="","",_xlfn.XLOOKUP(tblMovimientos[[#This Row],[Cuenta Bancaria]],Cuentas!$C:$C,Cuentas!$A:$A,"No encontrado"))</f>
        <v>SSP Group</v>
      </c>
      <c r="R707" s="81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71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>IF(F708="Ingreso",J708,-J708)</f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3" t="str">
        <f>IF(tblMovimientos[[#This Row],[Tipo de Movimiento]]="Ingreso",tblMovimientos[[#This Row],[Monto (S/)]],"0")</f>
        <v>0</v>
      </c>
      <c r="O708" s="63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81" t="str">
        <f>IF(tblMovimientos[[#This Row],[Cuenta Bancaria]]="","",_xlfn.XLOOKUP(tblMovimientos[[#This Row],[Cuenta Bancaria]],Cuentas!$C:$C,Cuentas!$A:$A,"No encontrado"))</f>
        <v>SSP Group</v>
      </c>
      <c r="R708" s="81" t="str">
        <f>TRIM(_xlfn.XLOOKUP(tblMovimientos[[#This Row],[Cuenta Bancaria]],Cuentas!$C:$C,Cuentas!$B:$B,""))</f>
        <v>Cross Security Trust</v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71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>IF(F709="Ingreso",J709,-J709)</f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3" t="str">
        <f>IF(tblMovimientos[[#This Row],[Tipo de Movimiento]]="Ingreso",tblMovimientos[[#This Row],[Monto (S/)]],"0")</f>
        <v>0</v>
      </c>
      <c r="O709" s="63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81" t="str">
        <f>IF(tblMovimientos[[#This Row],[Cuenta Bancaria]]="","",_xlfn.XLOOKUP(tblMovimientos[[#This Row],[Cuenta Bancaria]],Cuentas!$C:$C,Cuentas!$A:$A,"No encontrado"))</f>
        <v>SSP Group</v>
      </c>
      <c r="R709" s="81" t="str">
        <f>TRIM(_xlfn.XLOOKUP(tblMovimientos[[#This Row],[Cuenta Bancaria]],Cuentas!$C:$C,Cuentas!$B:$B,""))</f>
        <v>Cross Security Trust</v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71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>IF(F710="Ingreso",J710,-J710)</f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3" t="str">
        <f>IF(tblMovimientos[[#This Row],[Tipo de Movimiento]]="Ingreso",tblMovimientos[[#This Row],[Monto (S/)]],"0")</f>
        <v>0</v>
      </c>
      <c r="O710" s="63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81" t="str">
        <f>IF(tblMovimientos[[#This Row],[Cuenta Bancaria]]="","",_xlfn.XLOOKUP(tblMovimientos[[#This Row],[Cuenta Bancaria]],Cuentas!$C:$C,Cuentas!$A:$A,"No encontrado"))</f>
        <v>SSP Group</v>
      </c>
      <c r="R710" s="81" t="str">
        <f>TRIM(_xlfn.XLOOKUP(tblMovimientos[[#This Row],[Cuenta Bancaria]],Cuentas!$C:$C,Cuentas!$B:$B,""))</f>
        <v>Cross Security Trust</v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71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>IF(F711="Ingreso",J711,-J711)</f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3" t="str">
        <f>IF(tblMovimientos[[#This Row],[Tipo de Movimiento]]="Ingreso",tblMovimientos[[#This Row],[Monto (S/)]],"0")</f>
        <v>0</v>
      </c>
      <c r="O711" s="63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81" t="str">
        <f>IF(tblMovimientos[[#This Row],[Cuenta Bancaria]]="","",_xlfn.XLOOKUP(tblMovimientos[[#This Row],[Cuenta Bancaria]],Cuentas!$C:$C,Cuentas!$A:$A,"No encontrado"))</f>
        <v>SSP Group</v>
      </c>
      <c r="R711" s="81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71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>IF(F712="Ingreso",J712,-J712)</f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3" t="str">
        <f>IF(tblMovimientos[[#This Row],[Tipo de Movimiento]]="Ingreso",tblMovimientos[[#This Row],[Monto (S/)]],"0")</f>
        <v>0</v>
      </c>
      <c r="O712" s="63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81" t="str">
        <f>IF(tblMovimientos[[#This Row],[Cuenta Bancaria]]="","",_xlfn.XLOOKUP(tblMovimientos[[#This Row],[Cuenta Bancaria]],Cuentas!$C:$C,Cuentas!$A:$A,"No encontrado"))</f>
        <v>SSP Group</v>
      </c>
      <c r="R712" s="81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71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>IF(F713="Ingreso",J713,-J713)</f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3" t="str">
        <f>IF(tblMovimientos[[#This Row],[Tipo de Movimiento]]="Ingreso",tblMovimientos[[#This Row],[Monto (S/)]],"0")</f>
        <v>0</v>
      </c>
      <c r="O713" s="63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81" t="str">
        <f>IF(tblMovimientos[[#This Row],[Cuenta Bancaria]]="","",_xlfn.XLOOKUP(tblMovimientos[[#This Row],[Cuenta Bancaria]],Cuentas!$C:$C,Cuentas!$A:$A,"No encontrado"))</f>
        <v>SSP Group</v>
      </c>
      <c r="R713" s="81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71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>IF(F714="Ingreso",J714,-J714)</f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3" t="str">
        <f>IF(tblMovimientos[[#This Row],[Tipo de Movimiento]]="Ingreso",tblMovimientos[[#This Row],[Monto (S/)]],"0")</f>
        <v>0</v>
      </c>
      <c r="O714" s="63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81" t="str">
        <f>IF(tblMovimientos[[#This Row],[Cuenta Bancaria]]="","",_xlfn.XLOOKUP(tblMovimientos[[#This Row],[Cuenta Bancaria]],Cuentas!$C:$C,Cuentas!$A:$A,"No encontrado"))</f>
        <v>SSP Group</v>
      </c>
      <c r="R714" s="81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71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>IF(F715="Ingreso",J715,-J715)</f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3" t="str">
        <f>IF(tblMovimientos[[#This Row],[Tipo de Movimiento]]="Ingreso",tblMovimientos[[#This Row],[Monto (S/)]],"0")</f>
        <v>0</v>
      </c>
      <c r="O715" s="63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81" t="str">
        <f>IF(tblMovimientos[[#This Row],[Cuenta Bancaria]]="","",_xlfn.XLOOKUP(tblMovimientos[[#This Row],[Cuenta Bancaria]],Cuentas!$C:$C,Cuentas!$A:$A,"No encontrado"))</f>
        <v>SSP Group</v>
      </c>
      <c r="R715" s="81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71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>IF(F716="Ingreso",J716,-J716)</f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3" t="str">
        <f>IF(tblMovimientos[[#This Row],[Tipo de Movimiento]]="Ingreso",tblMovimientos[[#This Row],[Monto (S/)]],"0")</f>
        <v>0</v>
      </c>
      <c r="O716" s="63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81" t="str">
        <f>IF(tblMovimientos[[#This Row],[Cuenta Bancaria]]="","",_xlfn.XLOOKUP(tblMovimientos[[#This Row],[Cuenta Bancaria]],Cuentas!$C:$C,Cuentas!$A:$A,"No encontrado"))</f>
        <v>SSP Group</v>
      </c>
      <c r="R716" s="81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71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>IF(F717="Ingreso",J717,-J717)</f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3" t="str">
        <f>IF(tblMovimientos[[#This Row],[Tipo de Movimiento]]="Ingreso",tblMovimientos[[#This Row],[Monto (S/)]],"0")</f>
        <v>0</v>
      </c>
      <c r="O717" s="63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81" t="str">
        <f>IF(tblMovimientos[[#This Row],[Cuenta Bancaria]]="","",_xlfn.XLOOKUP(tblMovimientos[[#This Row],[Cuenta Bancaria]],Cuentas!$C:$C,Cuentas!$A:$A,"No encontrado"))</f>
        <v>SSP Group</v>
      </c>
      <c r="R717" s="81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71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>IF(F718="Ingreso",J718,-J718)</f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3" t="str">
        <f>IF(tblMovimientos[[#This Row],[Tipo de Movimiento]]="Ingreso",tblMovimientos[[#This Row],[Monto (S/)]],"0")</f>
        <v>0</v>
      </c>
      <c r="O718" s="63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81" t="str">
        <f>IF(tblMovimientos[[#This Row],[Cuenta Bancaria]]="","",_xlfn.XLOOKUP(tblMovimientos[[#This Row],[Cuenta Bancaria]],Cuentas!$C:$C,Cuentas!$A:$A,"No encontrado"))</f>
        <v>SSP Group</v>
      </c>
      <c r="R718" s="81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71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>IF(F719="Ingreso",J719,-J719)</f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3" t="str">
        <f>IF(tblMovimientos[[#This Row],[Tipo de Movimiento]]="Ingreso",tblMovimientos[[#This Row],[Monto (S/)]],"0")</f>
        <v>0</v>
      </c>
      <c r="O719" s="63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81" t="str">
        <f>IF(tblMovimientos[[#This Row],[Cuenta Bancaria]]="","",_xlfn.XLOOKUP(tblMovimientos[[#This Row],[Cuenta Bancaria]],Cuentas!$C:$C,Cuentas!$A:$A,"No encontrado"))</f>
        <v>SSP Group</v>
      </c>
      <c r="R719" s="81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71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>IF(F720="Ingreso",J720,-J720)</f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3" t="str">
        <f>IF(tblMovimientos[[#This Row],[Tipo de Movimiento]]="Ingreso",tblMovimientos[[#This Row],[Monto (S/)]],"0")</f>
        <v>0</v>
      </c>
      <c r="O720" s="63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81" t="str">
        <f>IF(tblMovimientos[[#This Row],[Cuenta Bancaria]]="","",_xlfn.XLOOKUP(tblMovimientos[[#This Row],[Cuenta Bancaria]],Cuentas!$C:$C,Cuentas!$A:$A,"No encontrado"))</f>
        <v>SSP Group</v>
      </c>
      <c r="R720" s="81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71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>IF(F721="Ingreso",J721,-J721)</f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3" t="str">
        <f>IF(tblMovimientos[[#This Row],[Tipo de Movimiento]]="Ingreso",tblMovimientos[[#This Row],[Monto (S/)]],"0")</f>
        <v>0</v>
      </c>
      <c r="O721" s="63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81" t="str">
        <f>IF(tblMovimientos[[#This Row],[Cuenta Bancaria]]="","",_xlfn.XLOOKUP(tblMovimientos[[#This Row],[Cuenta Bancaria]],Cuentas!$C:$C,Cuentas!$A:$A,"No encontrado"))</f>
        <v>Trust</v>
      </c>
      <c r="R721" s="81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71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>IF(F722="Ingreso",J722,-J722)</f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3">
        <f>IF(tblMovimientos[[#This Row],[Tipo de Movimiento]]="Ingreso",tblMovimientos[[#This Row],[Monto (S/)]],"0")</f>
        <v>600000</v>
      </c>
      <c r="O722" s="63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81" t="str">
        <f>IF(tblMovimientos[[#This Row],[Cuenta Bancaria]]="","",_xlfn.XLOOKUP(tblMovimientos[[#This Row],[Cuenta Bancaria]],Cuentas!$C:$C,Cuentas!$A:$A,"No encontrado"))</f>
        <v>SSP Group</v>
      </c>
      <c r="R722" s="81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71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>IF(F723="Ingreso",J723,-J723)</f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3" t="str">
        <f>IF(tblMovimientos[[#This Row],[Tipo de Movimiento]]="Ingreso",tblMovimientos[[#This Row],[Monto (S/)]],"0")</f>
        <v>0</v>
      </c>
      <c r="O723" s="63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81" t="str">
        <f>IF(tblMovimientos[[#This Row],[Cuenta Bancaria]]="","",_xlfn.XLOOKUP(tblMovimientos[[#This Row],[Cuenta Bancaria]],Cuentas!$C:$C,Cuentas!$A:$A,"No encontrado"))</f>
        <v>SSP Group</v>
      </c>
      <c r="R723" s="81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71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>IF(F724="Ingreso",J724,-J724)</f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3" t="str">
        <f>IF(tblMovimientos[[#This Row],[Tipo de Movimiento]]="Ingreso",tblMovimientos[[#This Row],[Monto (S/)]],"0")</f>
        <v>0</v>
      </c>
      <c r="O724" s="63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81" t="str">
        <f>IF(tblMovimientos[[#This Row],[Cuenta Bancaria]]="","",_xlfn.XLOOKUP(tblMovimientos[[#This Row],[Cuenta Bancaria]],Cuentas!$C:$C,Cuentas!$A:$A,"No encontrado"))</f>
        <v>SSP Group</v>
      </c>
      <c r="R724" s="81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71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>IF(F725="Ingreso",J725,-J725)</f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3" t="str">
        <f>IF(tblMovimientos[[#This Row],[Tipo de Movimiento]]="Ingreso",tblMovimientos[[#This Row],[Monto (S/)]],"0")</f>
        <v>0</v>
      </c>
      <c r="O725" s="63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81" t="str">
        <f>IF(tblMovimientos[[#This Row],[Cuenta Bancaria]]="","",_xlfn.XLOOKUP(tblMovimientos[[#This Row],[Cuenta Bancaria]],Cuentas!$C:$C,Cuentas!$A:$A,"No encontrado"))</f>
        <v>SSP Group</v>
      </c>
      <c r="R725" s="81" t="str">
        <f>TRIM(_xlfn.XLOOKUP(tblMovimientos[[#This Row],[Cuenta Bancaria]],Cuentas!$C:$C,Cuentas!$B:$B,""))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71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>IF(F726="Ingreso",J726,-J726)</f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3" t="str">
        <f>IF(tblMovimientos[[#This Row],[Tipo de Movimiento]]="Ingreso",tblMovimientos[[#This Row],[Monto (S/)]],"0")</f>
        <v>0</v>
      </c>
      <c r="O726" s="63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81" t="str">
        <f>IF(tblMovimientos[[#This Row],[Cuenta Bancaria]]="","",_xlfn.XLOOKUP(tblMovimientos[[#This Row],[Cuenta Bancaria]],Cuentas!$C:$C,Cuentas!$A:$A,"No encontrado"))</f>
        <v>SSP Group</v>
      </c>
      <c r="R726" s="81" t="str">
        <f>TRIM(_xlfn.XLOOKUP(tblMovimientos[[#This Row],[Cuenta Bancaria]],Cuentas!$C:$C,Cuentas!$B:$B,""))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71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>IF(F727="Ingreso",J727,-J727)</f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3">
        <f>IF(tblMovimientos[[#This Row],[Tipo de Movimiento]]="Ingreso",tblMovimientos[[#This Row],[Monto (S/)]],"0")</f>
        <v>13000</v>
      </c>
      <c r="O727" s="63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81" t="str">
        <f>IF(tblMovimientos[[#This Row],[Cuenta Bancaria]]="","",_xlfn.XLOOKUP(tblMovimientos[[#This Row],[Cuenta Bancaria]],Cuentas!$C:$C,Cuentas!$A:$A,"No encontrado"))</f>
        <v>SSP Group</v>
      </c>
      <c r="R727" s="81" t="str">
        <f>TRIM(_xlfn.XLOOKUP(tblMovimientos[[#This Row],[Cuenta Bancaria]],Cuentas!$C:$C,Cuentas!$B:$B,""))</f>
        <v/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71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>IF(F728="Ingreso",J728,-J728)</f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3" t="str">
        <f>IF(tblMovimientos[[#This Row],[Tipo de Movimiento]]="Ingreso",tblMovimientos[[#This Row],[Monto (S/)]],"0")</f>
        <v>0</v>
      </c>
      <c r="O728" s="63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81" t="str">
        <f>IF(tblMovimientos[[#This Row],[Cuenta Bancaria]]="","",_xlfn.XLOOKUP(tblMovimientos[[#This Row],[Cuenta Bancaria]],Cuentas!$C:$C,Cuentas!$A:$A,"No encontrado"))</f>
        <v>SSP Group</v>
      </c>
      <c r="R728" s="81" t="str">
        <f>TRIM(_xlfn.XLOOKUP(tblMovimientos[[#This Row],[Cuenta Bancaria]],Cuentas!$C:$C,Cuentas!$B:$B,""))</f>
        <v/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71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3">
        <f>IF(tblMovimientos[[#This Row],[Tipo de Movimiento]]="Ingreso",tblMovimientos[[#This Row],[Monto (S/)]],"0")</f>
        <v>13000</v>
      </c>
      <c r="O729" s="63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81" t="str">
        <f>IF(tblMovimientos[[#This Row],[Cuenta Bancaria]]="","",_xlfn.XLOOKUP(tblMovimientos[[#This Row],[Cuenta Bancaria]],Cuentas!$C:$C,Cuentas!$A:$A,"No encontrado"))</f>
        <v>SSP Group</v>
      </c>
      <c r="R729" s="81" t="str">
        <f>TRIM(_xlfn.XLOOKUP(tblMovimientos[[#This Row],[Cuenta Bancaria]],Cuentas!$C:$C,Cuentas!$B:$B,""))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71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>IF(F730="Ingreso",J730,-J730)</f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3" t="str">
        <f>IF(tblMovimientos[[#This Row],[Tipo de Movimiento]]="Ingreso",tblMovimientos[[#This Row],[Monto (S/)]],"0")</f>
        <v>0</v>
      </c>
      <c r="O730" s="63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81" t="str">
        <f>IF(tblMovimientos[[#This Row],[Cuenta Bancaria]]="","",_xlfn.XLOOKUP(tblMovimientos[[#This Row],[Cuenta Bancaria]],Cuentas!$C:$C,Cuentas!$A:$A,"No encontrado"))</f>
        <v>SSP Group</v>
      </c>
      <c r="R730" s="81" t="str">
        <f>TRIM(_xlfn.XLOOKUP(tblMovimientos[[#This Row],[Cuenta Bancaria]],Cuentas!$C:$C,Cuentas!$B:$B,""))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71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>IF(F731="Ingreso",J731,-J731)</f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3" t="str">
        <f>IF(tblMovimientos[[#This Row],[Tipo de Movimiento]]="Ingreso",tblMovimientos[[#This Row],[Monto (S/)]],"0")</f>
        <v>0</v>
      </c>
      <c r="O731" s="63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81" t="str">
        <f>IF(tblMovimientos[[#This Row],[Cuenta Bancaria]]="","",_xlfn.XLOOKUP(tblMovimientos[[#This Row],[Cuenta Bancaria]],Cuentas!$C:$C,Cuentas!$A:$A,"No encontrado"))</f>
        <v>SSP Group</v>
      </c>
      <c r="R731" s="81" t="str">
        <f>TRIM(_xlfn.XLOOKUP(tblMovimientos[[#This Row],[Cuenta Bancaria]],Cuentas!$C:$C,Cuentas!$B:$B,""))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71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>IF(F732="Ingreso",J732,-J732)</f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3" t="str">
        <f>IF(tblMovimientos[[#This Row],[Tipo de Movimiento]]="Ingreso",tblMovimientos[[#This Row],[Monto (S/)]],"0")</f>
        <v>0</v>
      </c>
      <c r="O732" s="63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81" t="str">
        <f>IF(tblMovimientos[[#This Row],[Cuenta Bancaria]]="","",_xlfn.XLOOKUP(tblMovimientos[[#This Row],[Cuenta Bancaria]],Cuentas!$C:$C,Cuentas!$A:$A,"No encontrado"))</f>
        <v>SSP Group</v>
      </c>
      <c r="R732" s="81" t="str">
        <f>TRIM(_xlfn.XLOOKUP(tblMovimientos[[#This Row],[Cuenta Bancaria]],Cuentas!$C:$C,Cuentas!$B:$B,""))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71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>IF(F733="Ingreso",J733,-J733)</f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3" t="str">
        <f>IF(tblMovimientos[[#This Row],[Tipo de Movimiento]]="Ingreso",tblMovimientos[[#This Row],[Monto (S/)]],"0")</f>
        <v>0</v>
      </c>
      <c r="O733" s="63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81" t="str">
        <f>IF(tblMovimientos[[#This Row],[Cuenta Bancaria]]="","",_xlfn.XLOOKUP(tblMovimientos[[#This Row],[Cuenta Bancaria]],Cuentas!$C:$C,Cuentas!$A:$A,"No encontrado"))</f>
        <v>SSP Group</v>
      </c>
      <c r="R733" s="81" t="str">
        <f>TRIM(_xlfn.XLOOKUP(tblMovimientos[[#This Row],[Cuenta Bancaria]],Cuentas!$C:$C,Cuentas!$B:$B,""))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71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>IF(F734="Ingreso",J734,-J734)</f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3" t="str">
        <f>IF(tblMovimientos[[#This Row],[Tipo de Movimiento]]="Ingreso",tblMovimientos[[#This Row],[Monto (S/)]],"0")</f>
        <v>0</v>
      </c>
      <c r="O734" s="63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81" t="str">
        <f>IF(tblMovimientos[[#This Row],[Cuenta Bancaria]]="","",_xlfn.XLOOKUP(tblMovimientos[[#This Row],[Cuenta Bancaria]],Cuentas!$C:$C,Cuentas!$A:$A,"No encontrado"))</f>
        <v>SSP Group</v>
      </c>
      <c r="R734" s="81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71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>IF(F735="Ingreso",J735,-J735)</f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3" t="str">
        <f>IF(tblMovimientos[[#This Row],[Tipo de Movimiento]]="Ingreso",tblMovimientos[[#This Row],[Monto (S/)]],"0")</f>
        <v>0</v>
      </c>
      <c r="O735" s="63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81" t="str">
        <f>IF(tblMovimientos[[#This Row],[Cuenta Bancaria]]="","",_xlfn.XLOOKUP(tblMovimientos[[#This Row],[Cuenta Bancaria]],Cuentas!$C:$C,Cuentas!$A:$A,"No encontrado"))</f>
        <v>SSP Group</v>
      </c>
      <c r="R735" s="81" t="str">
        <f>TRIM(_xlfn.XLOOKUP(tblMovimientos[[#This Row],[Cuenta Bancaria]],Cuentas!$C:$C,Cuentas!$B:$B,""))</f>
        <v>Cross Security 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71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>IF(F736="Ingreso",J736,-J736)</f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3" t="str">
        <f>IF(tblMovimientos[[#This Row],[Tipo de Movimiento]]="Ingreso",tblMovimientos[[#This Row],[Monto (S/)]],"0")</f>
        <v>0</v>
      </c>
      <c r="O736" s="63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81" t="str">
        <f>IF(tblMovimientos[[#This Row],[Cuenta Bancaria]]="","",_xlfn.XLOOKUP(tblMovimientos[[#This Row],[Cuenta Bancaria]],Cuentas!$C:$C,Cuentas!$A:$A,"No encontrado"))</f>
        <v>SSP Group</v>
      </c>
      <c r="R736" s="81" t="str">
        <f>TRIM(_xlfn.XLOOKUP(tblMovimientos[[#This Row],[Cuenta Bancaria]],Cuentas!$C:$C,Cuentas!$B:$B,""))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71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>IF(F737="Ingreso",J737,-J737)</f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3">
        <f>IF(tblMovimientos[[#This Row],[Tipo de Movimiento]]="Ingreso",tblMovimientos[[#This Row],[Monto (S/)]],"0")</f>
        <v>62.9</v>
      </c>
      <c r="O737" s="63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81" t="str">
        <f>IF(tblMovimientos[[#This Row],[Cuenta Bancaria]]="","",_xlfn.XLOOKUP(tblMovimientos[[#This Row],[Cuenta Bancaria]],Cuentas!$C:$C,Cuentas!$A:$A,"No encontrado"))</f>
        <v>SSP Group</v>
      </c>
      <c r="R737" s="81" t="str">
        <f>TRIM(_xlfn.XLOOKUP(tblMovimientos[[#This Row],[Cuenta Bancaria]],Cuentas!$C:$C,Cuentas!$B:$B,""))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71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>IF(F738="Ingreso",J738,-J738)</f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3">
        <f>IF(tblMovimientos[[#This Row],[Tipo de Movimiento]]="Ingreso",tblMovimientos[[#This Row],[Monto (S/)]],"0")</f>
        <v>42.5</v>
      </c>
      <c r="O738" s="63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81" t="str">
        <f>IF(tblMovimientos[[#This Row],[Cuenta Bancaria]]="","",_xlfn.XLOOKUP(tblMovimientos[[#This Row],[Cuenta Bancaria]],Cuentas!$C:$C,Cuentas!$A:$A,"No encontrado"))</f>
        <v>SSP Group</v>
      </c>
      <c r="R738" s="81" t="str">
        <f>TRIM(_xlfn.XLOOKUP(tblMovimientos[[#This Row],[Cuenta Bancaria]],Cuentas!$C:$C,Cuentas!$B:$B,""))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71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>IF(F739="Ingreso",J739,-J739)</f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3" t="str">
        <f>IF(tblMovimientos[[#This Row],[Tipo de Movimiento]]="Ingreso",tblMovimientos[[#This Row],[Monto (S/)]],"0")</f>
        <v>0</v>
      </c>
      <c r="O739" s="63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81" t="str">
        <f>IF(tblMovimientos[[#This Row],[Cuenta Bancaria]]="","",_xlfn.XLOOKUP(tblMovimientos[[#This Row],[Cuenta Bancaria]],Cuentas!$C:$C,Cuentas!$A:$A,"No encontrado"))</f>
        <v>SSP Group</v>
      </c>
      <c r="R739" s="81" t="str">
        <f>TRIM(_xlfn.XLOOKUP(tblMovimientos[[#This Row],[Cuenta Bancaria]],Cuentas!$C:$C,Cuentas!$B:$B,""))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71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>IF(F740="Ingreso",J740,-J740)</f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3" t="str">
        <f>IF(tblMovimientos[[#This Row],[Tipo de Movimiento]]="Ingreso",tblMovimientos[[#This Row],[Monto (S/)]],"0")</f>
        <v>0</v>
      </c>
      <c r="O740" s="63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81" t="str">
        <f>IF(tblMovimientos[[#This Row],[Cuenta Bancaria]]="","",_xlfn.XLOOKUP(tblMovimientos[[#This Row],[Cuenta Bancaria]],Cuentas!$C:$C,Cuentas!$A:$A,"No encontrado"))</f>
        <v>SSP Group</v>
      </c>
      <c r="R740" s="81" t="str">
        <f>TRIM(_xlfn.XLOOKUP(tblMovimientos[[#This Row],[Cuenta Bancaria]],Cuentas!$C:$C,Cuentas!$B:$B,""))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71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>IF(F741="Ingreso",J741,-J741)</f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3">
        <f>IF(tblMovimientos[[#This Row],[Tipo de Movimiento]]="Ingreso",tblMovimientos[[#This Row],[Monto (S/)]],"0")</f>
        <v>5000</v>
      </c>
      <c r="O741" s="63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81" t="str">
        <f>IF(tblMovimientos[[#This Row],[Cuenta Bancaria]]="","",_xlfn.XLOOKUP(tblMovimientos[[#This Row],[Cuenta Bancaria]],Cuentas!$C:$C,Cuentas!$A:$A,"No encontrado"))</f>
        <v>SSP Group</v>
      </c>
      <c r="R741" s="81" t="str">
        <f>TRIM(_xlfn.XLOOKUP(tblMovimientos[[#This Row],[Cuenta Bancaria]],Cuentas!$C:$C,Cuentas!$B:$B,""))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71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>IF(F742="Ingreso",J742,-J742)</f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3" t="str">
        <f>IF(tblMovimientos[[#This Row],[Tipo de Movimiento]]="Ingreso",tblMovimientos[[#This Row],[Monto (S/)]],"0")</f>
        <v>0</v>
      </c>
      <c r="O742" s="63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81" t="str">
        <f>IF(tblMovimientos[[#This Row],[Cuenta Bancaria]]="","",_xlfn.XLOOKUP(tblMovimientos[[#This Row],[Cuenta Bancaria]],Cuentas!$C:$C,Cuentas!$A:$A,"No encontrado"))</f>
        <v>SSP Group</v>
      </c>
      <c r="R742" s="81" t="str">
        <f>TRIM(_xlfn.XLOOKUP(tblMovimientos[[#This Row],[Cuenta Bancaria]],Cuentas!$C:$C,Cuentas!$B:$B,""))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71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>IF(F743="Ingreso",J743,-J743)</f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3">
        <f>IF(tblMovimientos[[#This Row],[Tipo de Movimiento]]="Ingreso",tblMovimientos[[#This Row],[Monto (S/)]],"0")</f>
        <v>106686.57</v>
      </c>
      <c r="O743" s="63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81" t="str">
        <f>IF(tblMovimientos[[#This Row],[Cuenta Bancaria]]="","",_xlfn.XLOOKUP(tblMovimientos[[#This Row],[Cuenta Bancaria]],Cuentas!$C:$C,Cuentas!$A:$A,"No encontrado"))</f>
        <v>SSP Group</v>
      </c>
      <c r="R743" s="81" t="str">
        <f>TRIM(_xlfn.XLOOKUP(tblMovimientos[[#This Row],[Cuenta Bancaria]],Cuentas!$C:$C,Cuentas!$B:$B,""))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71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>IF(F744="Ingreso",J744,-J744)</f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3" t="str">
        <f>IF(tblMovimientos[[#This Row],[Tipo de Movimiento]]="Ingreso",tblMovimientos[[#This Row],[Monto (S/)]],"0")</f>
        <v>0</v>
      </c>
      <c r="O744" s="63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81" t="str">
        <f>IF(tblMovimientos[[#This Row],[Cuenta Bancaria]]="","",_xlfn.XLOOKUP(tblMovimientos[[#This Row],[Cuenta Bancaria]],Cuentas!$C:$C,Cuentas!$A:$A,"No encontrado"))</f>
        <v>SSP Group</v>
      </c>
      <c r="R744" s="81" t="str">
        <f>TRIM(_xlfn.XLOOKUP(tblMovimientos[[#This Row],[Cuenta Bancaria]],Cuentas!$C:$C,Cuentas!$B:$B,""))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71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>IF(F745="Ingreso",J745,-J745)</f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3" t="str">
        <f>IF(tblMovimientos[[#This Row],[Tipo de Movimiento]]="Ingreso",tblMovimientos[[#This Row],[Monto (S/)]],"0")</f>
        <v>0</v>
      </c>
      <c r="O745" s="63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81" t="str">
        <f>IF(tblMovimientos[[#This Row],[Cuenta Bancaria]]="","",_xlfn.XLOOKUP(tblMovimientos[[#This Row],[Cuenta Bancaria]],Cuentas!$C:$C,Cuentas!$A:$A,"No encontrado"))</f>
        <v>SSP Group</v>
      </c>
      <c r="R745" s="81" t="str">
        <f>TRIM(_xlfn.XLOOKUP(tblMovimientos[[#This Row],[Cuenta Bancaria]],Cuentas!$C:$C,Cuentas!$B:$B,""))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71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>IF(F746="Ingreso",J746,-J746)</f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3" t="str">
        <f>IF(tblMovimientos[[#This Row],[Tipo de Movimiento]]="Ingreso",tblMovimientos[[#This Row],[Monto (S/)]],"0")</f>
        <v>0</v>
      </c>
      <c r="O746" s="63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81" t="str">
        <f>IF(tblMovimientos[[#This Row],[Cuenta Bancaria]]="","",_xlfn.XLOOKUP(tblMovimientos[[#This Row],[Cuenta Bancaria]],Cuentas!$C:$C,Cuentas!$A:$A,"No encontrado"))</f>
        <v>SSP Group</v>
      </c>
      <c r="R746" s="81" t="str">
        <f>TRIM(_xlfn.XLOOKUP(tblMovimientos[[#This Row],[Cuenta Bancaria]],Cuentas!$C:$C,Cuentas!$B:$B,""))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71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>IF(F747="Ingreso",J747,-J747)</f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3" t="str">
        <f>IF(tblMovimientos[[#This Row],[Tipo de Movimiento]]="Ingreso",tblMovimientos[[#This Row],[Monto (S/)]],"0")</f>
        <v>0</v>
      </c>
      <c r="O747" s="63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81" t="str">
        <f>IF(tblMovimientos[[#This Row],[Cuenta Bancaria]]="","",_xlfn.XLOOKUP(tblMovimientos[[#This Row],[Cuenta Bancaria]],Cuentas!$C:$C,Cuentas!$A:$A,"No encontrado"))</f>
        <v>SSP Group</v>
      </c>
      <c r="R747" s="81" t="str">
        <f>TRIM(_xlfn.XLOOKUP(tblMovimientos[[#This Row],[Cuenta Bancaria]],Cuentas!$C:$C,Cuentas!$B:$B,""))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71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>IF(F748="Ingreso",J748,-J748)</f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3" t="str">
        <f>IF(tblMovimientos[[#This Row],[Tipo de Movimiento]]="Ingreso",tblMovimientos[[#This Row],[Monto (S/)]],"0")</f>
        <v>0</v>
      </c>
      <c r="O748" s="63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81" t="str">
        <f>IF(tblMovimientos[[#This Row],[Cuenta Bancaria]]="","",_xlfn.XLOOKUP(tblMovimientos[[#This Row],[Cuenta Bancaria]],Cuentas!$C:$C,Cuentas!$A:$A,"No encontrado"))</f>
        <v>SSP Group</v>
      </c>
      <c r="R748" s="81" t="str">
        <f>TRIM(_xlfn.XLOOKUP(tblMovimientos[[#This Row],[Cuenta Bancaria]],Cuentas!$C:$C,Cuentas!$B:$B,""))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71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>IF(F749="Ingreso",J749,-J749)</f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3" t="str">
        <f>IF(tblMovimientos[[#This Row],[Tipo de Movimiento]]="Ingreso",tblMovimientos[[#This Row],[Monto (S/)]],"0")</f>
        <v>0</v>
      </c>
      <c r="O749" s="63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81" t="str">
        <f>IF(tblMovimientos[[#This Row],[Cuenta Bancaria]]="","",_xlfn.XLOOKUP(tblMovimientos[[#This Row],[Cuenta Bancaria]],Cuentas!$C:$C,Cuentas!$A:$A,"No encontrado"))</f>
        <v>SSP Group</v>
      </c>
      <c r="R749" s="81" t="str">
        <f>TRIM(_xlfn.XLOOKUP(tblMovimientos[[#This Row],[Cuenta Bancaria]],Cuentas!$C:$C,Cuentas!$B:$B,""))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71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>IF(F750="Ingreso",J750,-J750)</f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3" t="str">
        <f>IF(tblMovimientos[[#This Row],[Tipo de Movimiento]]="Ingreso",tblMovimientos[[#This Row],[Monto (S/)]],"0")</f>
        <v>0</v>
      </c>
      <c r="O750" s="63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81" t="str">
        <f>IF(tblMovimientos[[#This Row],[Cuenta Bancaria]]="","",_xlfn.XLOOKUP(tblMovimientos[[#This Row],[Cuenta Bancaria]],Cuentas!$C:$C,Cuentas!$A:$A,"No encontrado"))</f>
        <v>SSP Group</v>
      </c>
      <c r="R750" s="81" t="str">
        <f>TRIM(_xlfn.XLOOKUP(tblMovimientos[[#This Row],[Cuenta Bancaria]],Cuentas!$C:$C,Cuentas!$B:$B,""))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71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>IF(F751="Ingreso",J751,-J751)</f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3" t="str">
        <f>IF(tblMovimientos[[#This Row],[Tipo de Movimiento]]="Ingreso",tblMovimientos[[#This Row],[Monto (S/)]],"0")</f>
        <v>0</v>
      </c>
      <c r="O751" s="63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81" t="str">
        <f>IF(tblMovimientos[[#This Row],[Cuenta Bancaria]]="","",_xlfn.XLOOKUP(tblMovimientos[[#This Row],[Cuenta Bancaria]],Cuentas!$C:$C,Cuentas!$A:$A,"No encontrado"))</f>
        <v>SSP Group</v>
      </c>
      <c r="R751" s="81" t="str">
        <f>TRIM(_xlfn.XLOOKUP(tblMovimientos[[#This Row],[Cuenta Bancaria]],Cuentas!$C:$C,Cuentas!$B:$B,""))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71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>IF(F752="Ingreso",J752,-J752)</f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3" t="str">
        <f>IF(tblMovimientos[[#This Row],[Tipo de Movimiento]]="Ingreso",tblMovimientos[[#This Row],[Monto (S/)]],"0")</f>
        <v>0</v>
      </c>
      <c r="O752" s="63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81" t="str">
        <f>IF(tblMovimientos[[#This Row],[Cuenta Bancaria]]="","",_xlfn.XLOOKUP(tblMovimientos[[#This Row],[Cuenta Bancaria]],Cuentas!$C:$C,Cuentas!$A:$A,"No encontrado"))</f>
        <v>SSP Group</v>
      </c>
      <c r="R752" s="81" t="str">
        <f>TRIM(_xlfn.XLOOKUP(tblMovimientos[[#This Row],[Cuenta Bancaria]],Cuentas!$C:$C,Cuentas!$B:$B,""))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71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>IF(F753="Ingreso",J753,-J753)</f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3" t="str">
        <f>IF(tblMovimientos[[#This Row],[Tipo de Movimiento]]="Ingreso",tblMovimientos[[#This Row],[Monto (S/)]],"0")</f>
        <v>0</v>
      </c>
      <c r="O753" s="63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81" t="str">
        <f>IF(tblMovimientos[[#This Row],[Cuenta Bancaria]]="","",_xlfn.XLOOKUP(tblMovimientos[[#This Row],[Cuenta Bancaria]],Cuentas!$C:$C,Cuentas!$A:$A,"No encontrado"))</f>
        <v>SSP Group</v>
      </c>
      <c r="R753" s="81" t="str">
        <f>TRIM(_xlfn.XLOOKUP(tblMovimientos[[#This Row],[Cuenta Bancaria]],Cuentas!$C:$C,Cuentas!$B:$B,""))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71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>IF(F754="Ingreso",J754,-J754)</f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3" t="str">
        <f>IF(tblMovimientos[[#This Row],[Tipo de Movimiento]]="Ingreso",tblMovimientos[[#This Row],[Monto (S/)]],"0")</f>
        <v>0</v>
      </c>
      <c r="O754" s="63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81" t="str">
        <f>IF(tblMovimientos[[#This Row],[Cuenta Bancaria]]="","",_xlfn.XLOOKUP(tblMovimientos[[#This Row],[Cuenta Bancaria]],Cuentas!$C:$C,Cuentas!$A:$A,"No encontrado"))</f>
        <v>SSP Group</v>
      </c>
      <c r="R754" s="81" t="str">
        <f>TRIM(_xlfn.XLOOKUP(tblMovimientos[[#This Row],[Cuenta Bancaria]],Cuentas!$C:$C,Cuentas!$B:$B,""))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71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>IF(F755="Ingreso",J755,-J755)</f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3" t="str">
        <f>IF(tblMovimientos[[#This Row],[Tipo de Movimiento]]="Ingreso",tblMovimientos[[#This Row],[Monto (S/)]],"0")</f>
        <v>0</v>
      </c>
      <c r="O755" s="63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81" t="str">
        <f>IF(tblMovimientos[[#This Row],[Cuenta Bancaria]]="","",_xlfn.XLOOKUP(tblMovimientos[[#This Row],[Cuenta Bancaria]],Cuentas!$C:$C,Cuentas!$A:$A,"No encontrado"))</f>
        <v>SSP Group</v>
      </c>
      <c r="R755" s="81" t="str">
        <f>TRIM(_xlfn.XLOOKUP(tblMovimientos[[#This Row],[Cuenta Bancaria]],Cuentas!$C:$C,Cuentas!$B:$B,""))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71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>IF(F756="Ingreso",J756,-J756)</f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3" t="str">
        <f>IF(tblMovimientos[[#This Row],[Tipo de Movimiento]]="Ingreso",tblMovimientos[[#This Row],[Monto (S/)]],"0")</f>
        <v>0</v>
      </c>
      <c r="O756" s="63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81" t="str">
        <f>IF(tblMovimientos[[#This Row],[Cuenta Bancaria]]="","",_xlfn.XLOOKUP(tblMovimientos[[#This Row],[Cuenta Bancaria]],Cuentas!$C:$C,Cuentas!$A:$A,"No encontrado"))</f>
        <v>SSP Group</v>
      </c>
      <c r="R756" s="81" t="str">
        <f>TRIM(_xlfn.XLOOKUP(tblMovimientos[[#This Row],[Cuenta Bancaria]],Cuentas!$C:$C,Cuentas!$B:$B,""))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71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>IF(F757="Ingreso",J757,-J757)</f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3">
        <f>IF(tblMovimientos[[#This Row],[Tipo de Movimiento]]="Ingreso",tblMovimientos[[#This Row],[Monto (S/)]],"0")</f>
        <v>560000</v>
      </c>
      <c r="O757" s="63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81" t="str">
        <f>IF(tblMovimientos[[#This Row],[Cuenta Bancaria]]="","",_xlfn.XLOOKUP(tblMovimientos[[#This Row],[Cuenta Bancaria]],Cuentas!$C:$C,Cuentas!$A:$A,"No encontrado"))</f>
        <v>Trust</v>
      </c>
      <c r="R757" s="81" t="str">
        <f>TRIM(_xlfn.XLOOKUP(tblMovimientos[[#This Row],[Cuenta Bancaria]],Cuentas!$C:$C,Cuentas!$B:$B,""))</f>
        <v/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71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>IF(F758="Ingreso",J758,-J758)</f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3" t="str">
        <f>IF(tblMovimientos[[#This Row],[Tipo de Movimiento]]="Ingreso",tblMovimientos[[#This Row],[Monto (S/)]],"0")</f>
        <v>0</v>
      </c>
      <c r="O758" s="63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81" t="str">
        <f>IF(tblMovimientos[[#This Row],[Cuenta Bancaria]]="","",_xlfn.XLOOKUP(tblMovimientos[[#This Row],[Cuenta Bancaria]],Cuentas!$C:$C,Cuentas!$A:$A,"No encontrado"))</f>
        <v>SSP Group</v>
      </c>
      <c r="R758" s="81" t="str">
        <f>TRIM(_xlfn.XLOOKUP(tblMovimientos[[#This Row],[Cuenta Bancaria]],Cuentas!$C:$C,Cuentas!$B:$B,""))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71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>IF(F759="Ingreso",J759,-J759)</f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3" t="str">
        <f>IF(tblMovimientos[[#This Row],[Tipo de Movimiento]]="Ingreso",tblMovimientos[[#This Row],[Monto (S/)]],"0")</f>
        <v>0</v>
      </c>
      <c r="O759" s="63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81" t="str">
        <f>IF(tblMovimientos[[#This Row],[Cuenta Bancaria]]="","",_xlfn.XLOOKUP(tblMovimientos[[#This Row],[Cuenta Bancaria]],Cuentas!$C:$C,Cuentas!$A:$A,"No encontrado"))</f>
        <v>SSP Group</v>
      </c>
      <c r="R759" s="81" t="str">
        <f>TRIM(_xlfn.XLOOKUP(tblMovimientos[[#This Row],[Cuenta Bancaria]],Cuentas!$C:$C,Cuentas!$B:$B,""))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71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>IF(F760="Ingreso",J760,-J760)</f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3" t="str">
        <f>IF(tblMovimientos[[#This Row],[Tipo de Movimiento]]="Ingreso",tblMovimientos[[#This Row],[Monto (S/)]],"0")</f>
        <v>0</v>
      </c>
      <c r="O760" s="63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81" t="str">
        <f>IF(tblMovimientos[[#This Row],[Cuenta Bancaria]]="","",_xlfn.XLOOKUP(tblMovimientos[[#This Row],[Cuenta Bancaria]],Cuentas!$C:$C,Cuentas!$A:$A,"No encontrado"))</f>
        <v>SSP Group</v>
      </c>
      <c r="R760" s="81" t="str">
        <f>TRIM(_xlfn.XLOOKUP(tblMovimientos[[#This Row],[Cuenta Bancaria]],Cuentas!$C:$C,Cuentas!$B:$B,""))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71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>IF(F761="Ingreso",J761,-J761)</f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3">
        <f>IF(tblMovimientos[[#This Row],[Tipo de Movimiento]]="Ingreso",tblMovimientos[[#This Row],[Monto (S/)]],"0")</f>
        <v>70000</v>
      </c>
      <c r="O761" s="63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81" t="str">
        <f>IF(tblMovimientos[[#This Row],[Cuenta Bancaria]]="","",_xlfn.XLOOKUP(tblMovimientos[[#This Row],[Cuenta Bancaria]],Cuentas!$C:$C,Cuentas!$A:$A,"No encontrado"))</f>
        <v>SSP Group</v>
      </c>
      <c r="R761" s="81" t="str">
        <f>TRIM(_xlfn.XLOOKUP(tblMovimientos[[#This Row],[Cuenta Bancaria]],Cuentas!$C:$C,Cuentas!$B:$B,""))</f>
        <v>Cross Security 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71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>IF(F762="Ingreso",J762,-J762)</f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3" t="str">
        <f>IF(tblMovimientos[[#This Row],[Tipo de Movimiento]]="Ingreso",tblMovimientos[[#This Row],[Monto (S/)]],"0")</f>
        <v>0</v>
      </c>
      <c r="O762" s="63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81" t="str">
        <f>IF(tblMovimientos[[#This Row],[Cuenta Bancaria]]="","",_xlfn.XLOOKUP(tblMovimientos[[#This Row],[Cuenta Bancaria]],Cuentas!$C:$C,Cuentas!$A:$A,"No encontrado"))</f>
        <v>SSP Group</v>
      </c>
      <c r="R762" s="81" t="str">
        <f>TRIM(_xlfn.XLOOKUP(tblMovimientos[[#This Row],[Cuenta Bancaria]],Cuentas!$C:$C,Cuentas!$B:$B,""))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71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>IF(F763="Ingreso",J763,-J763)</f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3" t="str">
        <f>IF(tblMovimientos[[#This Row],[Tipo de Movimiento]]="Ingreso",tblMovimientos[[#This Row],[Monto (S/)]],"0")</f>
        <v>0</v>
      </c>
      <c r="O763" s="63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81" t="str">
        <f>IF(tblMovimientos[[#This Row],[Cuenta Bancaria]]="","",_xlfn.XLOOKUP(tblMovimientos[[#This Row],[Cuenta Bancaria]],Cuentas!$C:$C,Cuentas!$A:$A,"No encontrado"))</f>
        <v>SSP Group</v>
      </c>
      <c r="R763" s="81" t="str">
        <f>TRIM(_xlfn.XLOOKUP(tblMovimientos[[#This Row],[Cuenta Bancaria]],Cuentas!$C:$C,Cuentas!$B:$B,""))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71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>IF(F764="Ingreso",J764,-J764)</f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3" t="str">
        <f>IF(tblMovimientos[[#This Row],[Tipo de Movimiento]]="Ingreso",tblMovimientos[[#This Row],[Monto (S/)]],"0")</f>
        <v>0</v>
      </c>
      <c r="O764" s="63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81" t="str">
        <f>IF(tblMovimientos[[#This Row],[Cuenta Bancaria]]="","",_xlfn.XLOOKUP(tblMovimientos[[#This Row],[Cuenta Bancaria]],Cuentas!$C:$C,Cuentas!$A:$A,"No encontrado"))</f>
        <v>SSP Group</v>
      </c>
      <c r="R764" s="81" t="str">
        <f>TRIM(_xlfn.XLOOKUP(tblMovimientos[[#This Row],[Cuenta Bancaria]],Cuentas!$C:$C,Cuentas!$B:$B,""))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71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>IF(F765="Ingreso",J765,-J765)</f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3" t="str">
        <f>IF(tblMovimientos[[#This Row],[Tipo de Movimiento]]="Ingreso",tblMovimientos[[#This Row],[Monto (S/)]],"0")</f>
        <v>0</v>
      </c>
      <c r="O765" s="63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81" t="str">
        <f>IF(tblMovimientos[[#This Row],[Cuenta Bancaria]]="","",_xlfn.XLOOKUP(tblMovimientos[[#This Row],[Cuenta Bancaria]],Cuentas!$C:$C,Cuentas!$A:$A,"No encontrado"))</f>
        <v>SSP Group</v>
      </c>
      <c r="R765" s="81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71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3" t="str">
        <f>IF(tblMovimientos[[#This Row],[Tipo de Movimiento]]="Ingreso",tblMovimientos[[#This Row],[Monto (S/)]],"0")</f>
        <v>0</v>
      </c>
      <c r="O766" s="63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81" t="str">
        <f>IF(tblMovimientos[[#This Row],[Cuenta Bancaria]]="","",_xlfn.XLOOKUP(tblMovimientos[[#This Row],[Cuenta Bancaria]],Cuentas!$C:$C,Cuentas!$A:$A,"No encontrado"))</f>
        <v>SSP Group</v>
      </c>
      <c r="R766" s="81" t="str">
        <f>TRIM(_xlfn.XLOOKUP(tblMovimientos[[#This Row],[Cuenta Bancaria]],Cuentas!$C:$C,Cuentas!$B:$B,""))</f>
        <v>Cross Security Trust</v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71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>IF(F767="Ingreso",J767,-J767)</f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3" t="str">
        <f>IF(tblMovimientos[[#This Row],[Tipo de Movimiento]]="Ingreso",tblMovimientos[[#This Row],[Monto (S/)]],"0")</f>
        <v>0</v>
      </c>
      <c r="O767" s="63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81" t="str">
        <f>IF(tblMovimientos[[#This Row],[Cuenta Bancaria]]="","",_xlfn.XLOOKUP(tblMovimientos[[#This Row],[Cuenta Bancaria]],Cuentas!$C:$C,Cuentas!$A:$A,"No encontrado"))</f>
        <v>SSP Group</v>
      </c>
      <c r="R767" s="81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71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>IF(F768="Ingreso",J768,-J768)</f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3" t="str">
        <f>IF(tblMovimientos[[#This Row],[Tipo de Movimiento]]="Ingreso",tblMovimientos[[#This Row],[Monto (S/)]],"0")</f>
        <v>0</v>
      </c>
      <c r="O768" s="63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81" t="str">
        <f>IF(tblMovimientos[[#This Row],[Cuenta Bancaria]]="","",_xlfn.XLOOKUP(tblMovimientos[[#This Row],[Cuenta Bancaria]],Cuentas!$C:$C,Cuentas!$A:$A,"No encontrado"))</f>
        <v>SSP Group</v>
      </c>
      <c r="R768" s="81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71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>IF(F769="Ingreso",J769,-J769)</f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3">
        <f>IF(tblMovimientos[[#This Row],[Tipo de Movimiento]]="Ingreso",tblMovimientos[[#This Row],[Monto (S/)]],"0")</f>
        <v>10000</v>
      </c>
      <c r="O769" s="63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81" t="str">
        <f>IF(tblMovimientos[[#This Row],[Cuenta Bancaria]]="","",_xlfn.XLOOKUP(tblMovimientos[[#This Row],[Cuenta Bancaria]],Cuentas!$C:$C,Cuentas!$A:$A,"No encontrado"))</f>
        <v>SSP Group</v>
      </c>
      <c r="R769" s="81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71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3">
        <f>IF(tblMovimientos[[#This Row],[Tipo de Movimiento]]="Ingreso",tblMovimientos[[#This Row],[Monto (S/)]],"0")</f>
        <v>18088.189999999999</v>
      </c>
      <c r="O770" s="63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81" t="str">
        <f>IF(tblMovimientos[[#This Row],[Cuenta Bancaria]]="","",_xlfn.XLOOKUP(tblMovimientos[[#This Row],[Cuenta Bancaria]],Cuentas!$C:$C,Cuentas!$A:$A,"No encontrado"))</f>
        <v>SSP Group</v>
      </c>
      <c r="R770" s="81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71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3">
        <f>IF(tblMovimientos[[#This Row],[Tipo de Movimiento]]="Ingreso",tblMovimientos[[#This Row],[Monto (S/)]],"0")</f>
        <v>300000</v>
      </c>
      <c r="O771" s="63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81" t="str">
        <f>IF(tblMovimientos[[#This Row],[Cuenta Bancaria]]="","",_xlfn.XLOOKUP(tblMovimientos[[#This Row],[Cuenta Bancaria]],Cuentas!$C:$C,Cuentas!$A:$A,"No encontrado"))</f>
        <v>SSP Group</v>
      </c>
      <c r="R771" s="81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71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3">
        <f>IF(tblMovimientos[[#This Row],[Tipo de Movimiento]]="Ingreso",tblMovimientos[[#This Row],[Monto (S/)]],"0")</f>
        <v>500000</v>
      </c>
      <c r="O772" s="63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81" t="str">
        <f>IF(tblMovimientos[[#This Row],[Cuenta Bancaria]]="","",_xlfn.XLOOKUP(tblMovimientos[[#This Row],[Cuenta Bancaria]],Cuentas!$C:$C,Cuentas!$A:$A,"No encontrado"))</f>
        <v>SSP Group</v>
      </c>
      <c r="R772" s="81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71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>IF(F773="Ingreso",J773,-J773)</f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3" t="str">
        <f>IF(tblMovimientos[[#This Row],[Tipo de Movimiento]]="Ingreso",tblMovimientos[[#This Row],[Monto (S/)]],"0")</f>
        <v>0</v>
      </c>
      <c r="O773" s="63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81" t="str">
        <f>IF(tblMovimientos[[#This Row],[Cuenta Bancaria]]="","",_xlfn.XLOOKUP(tblMovimientos[[#This Row],[Cuenta Bancaria]],Cuentas!$C:$C,Cuentas!$A:$A,"No encontrado"))</f>
        <v>SSP Group</v>
      </c>
      <c r="R773" s="81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71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>IF(F774="Ingreso",J774,-J774)</f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3" t="str">
        <f>IF(tblMovimientos[[#This Row],[Tipo de Movimiento]]="Ingreso",tblMovimientos[[#This Row],[Monto (S/)]],"0")</f>
        <v>0</v>
      </c>
      <c r="O774" s="63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81" t="str">
        <f>IF(tblMovimientos[[#This Row],[Cuenta Bancaria]]="","",_xlfn.XLOOKUP(tblMovimientos[[#This Row],[Cuenta Bancaria]],Cuentas!$C:$C,Cuentas!$A:$A,"No encontrado"))</f>
        <v>SSP Group</v>
      </c>
      <c r="R774" s="81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71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>IF(F775="Ingreso",J775,-J775)</f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3" t="str">
        <f>IF(tblMovimientos[[#This Row],[Tipo de Movimiento]]="Ingreso",tblMovimientos[[#This Row],[Monto (S/)]],"0")</f>
        <v>0</v>
      </c>
      <c r="O775" s="63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81" t="str">
        <f>IF(tblMovimientos[[#This Row],[Cuenta Bancaria]]="","",_xlfn.XLOOKUP(tblMovimientos[[#This Row],[Cuenta Bancaria]],Cuentas!$C:$C,Cuentas!$A:$A,"No encontrado"))</f>
        <v>SSP Group</v>
      </c>
      <c r="R775" s="81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71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>IF(F776="Ingreso",J776,-J776)</f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3" t="str">
        <f>IF(tblMovimientos[[#This Row],[Tipo de Movimiento]]="Ingreso",tblMovimientos[[#This Row],[Monto (S/)]],"0")</f>
        <v>0</v>
      </c>
      <c r="O776" s="63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81" t="str">
        <f>IF(tblMovimientos[[#This Row],[Cuenta Bancaria]]="","",_xlfn.XLOOKUP(tblMovimientos[[#This Row],[Cuenta Bancaria]],Cuentas!$C:$C,Cuentas!$A:$A,"No encontrado"))</f>
        <v>SSP Group</v>
      </c>
      <c r="R776" s="81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71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>IF(F777="Ingreso",J777,-J777)</f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3" t="str">
        <f>IF(tblMovimientos[[#This Row],[Tipo de Movimiento]]="Ingreso",tblMovimientos[[#This Row],[Monto (S/)]],"0")</f>
        <v>0</v>
      </c>
      <c r="O777" s="63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81" t="str">
        <f>IF(tblMovimientos[[#This Row],[Cuenta Bancaria]]="","",_xlfn.XLOOKUP(tblMovimientos[[#This Row],[Cuenta Bancaria]],Cuentas!$C:$C,Cuentas!$A:$A,"No encontrado"))</f>
        <v>SSP Group</v>
      </c>
      <c r="R777" s="81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71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>IF(F778="Ingreso",J778,-J778)</f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3" t="str">
        <f>IF(tblMovimientos[[#This Row],[Tipo de Movimiento]]="Ingreso",tblMovimientos[[#This Row],[Monto (S/)]],"0")</f>
        <v>0</v>
      </c>
      <c r="O778" s="63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81" t="str">
        <f>IF(tblMovimientos[[#This Row],[Cuenta Bancaria]]="","",_xlfn.XLOOKUP(tblMovimientos[[#This Row],[Cuenta Bancaria]],Cuentas!$C:$C,Cuentas!$A:$A,"No encontrado"))</f>
        <v>SSP Group</v>
      </c>
      <c r="R778" s="81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71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>IF(F779="Ingreso",J779,-J779)</f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3" t="str">
        <f>IF(tblMovimientos[[#This Row],[Tipo de Movimiento]]="Ingreso",tblMovimientos[[#This Row],[Monto (S/)]],"0")</f>
        <v>0</v>
      </c>
      <c r="O779" s="63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81" t="str">
        <f>IF(tblMovimientos[[#This Row],[Cuenta Bancaria]]="","",_xlfn.XLOOKUP(tblMovimientos[[#This Row],[Cuenta Bancaria]],Cuentas!$C:$C,Cuentas!$A:$A,"No encontrado"))</f>
        <v>SSP Group</v>
      </c>
      <c r="R779" s="81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71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>IF(F780="Ingreso",J780,-J780)</f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3" t="str">
        <f>IF(tblMovimientos[[#This Row],[Tipo de Movimiento]]="Ingreso",tblMovimientos[[#This Row],[Monto (S/)]],"0")</f>
        <v>0</v>
      </c>
      <c r="O780" s="63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81" t="str">
        <f>IF(tblMovimientos[[#This Row],[Cuenta Bancaria]]="","",_xlfn.XLOOKUP(tblMovimientos[[#This Row],[Cuenta Bancaria]],Cuentas!$C:$C,Cuentas!$A:$A,"No encontrado"))</f>
        <v>SSP Group</v>
      </c>
      <c r="R780" s="81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71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>IF(F781="Ingreso",J781,-J781)</f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3" t="str">
        <f>IF(tblMovimientos[[#This Row],[Tipo de Movimiento]]="Ingreso",tblMovimientos[[#This Row],[Monto (S/)]],"0")</f>
        <v>0</v>
      </c>
      <c r="O781" s="63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81" t="str">
        <f>IF(tblMovimientos[[#This Row],[Cuenta Bancaria]]="","",_xlfn.XLOOKUP(tblMovimientos[[#This Row],[Cuenta Bancaria]],Cuentas!$C:$C,Cuentas!$A:$A,"No encontrado"))</f>
        <v>SSP Group</v>
      </c>
      <c r="R781" s="81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71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>IF(F782="Ingreso",J782,-J782)</f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3" t="str">
        <f>IF(tblMovimientos[[#This Row],[Tipo de Movimiento]]="Ingreso",tblMovimientos[[#This Row],[Monto (S/)]],"0")</f>
        <v>0</v>
      </c>
      <c r="O782" s="63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81" t="str">
        <f>IF(tblMovimientos[[#This Row],[Cuenta Bancaria]]="","",_xlfn.XLOOKUP(tblMovimientos[[#This Row],[Cuenta Bancaria]],Cuentas!$C:$C,Cuentas!$A:$A,"No encontrado"))</f>
        <v>SSP Group</v>
      </c>
      <c r="R782" s="81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71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>IF(F783="Ingreso",J783,-J783)</f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3" t="str">
        <f>IF(tblMovimientos[[#This Row],[Tipo de Movimiento]]="Ingreso",tblMovimientos[[#This Row],[Monto (S/)]],"0")</f>
        <v>0</v>
      </c>
      <c r="O783" s="63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81" t="str">
        <f>IF(tblMovimientos[[#This Row],[Cuenta Bancaria]]="","",_xlfn.XLOOKUP(tblMovimientos[[#This Row],[Cuenta Bancaria]],Cuentas!$C:$C,Cuentas!$A:$A,"No encontrado"))</f>
        <v>SSP Group</v>
      </c>
      <c r="R783" s="81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71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>IF(F784="Ingreso",J784,-J784)</f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3" t="str">
        <f>IF(tblMovimientos[[#This Row],[Tipo de Movimiento]]="Ingreso",tblMovimientos[[#This Row],[Monto (S/)]],"0")</f>
        <v>0</v>
      </c>
      <c r="O784" s="63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81" t="str">
        <f>IF(tblMovimientos[[#This Row],[Cuenta Bancaria]]="","",_xlfn.XLOOKUP(tblMovimientos[[#This Row],[Cuenta Bancaria]],Cuentas!$C:$C,Cuentas!$A:$A,"No encontrado"))</f>
        <v>SSP Group</v>
      </c>
      <c r="R784" s="81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71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>IF(F785="Ingreso",J785,-J785)</f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3" t="str">
        <f>IF(tblMovimientos[[#This Row],[Tipo de Movimiento]]="Ingreso",tblMovimientos[[#This Row],[Monto (S/)]],"0")</f>
        <v>0</v>
      </c>
      <c r="O785" s="63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81" t="str">
        <f>IF(tblMovimientos[[#This Row],[Cuenta Bancaria]]="","",_xlfn.XLOOKUP(tblMovimientos[[#This Row],[Cuenta Bancaria]],Cuentas!$C:$C,Cuentas!$A:$A,"No encontrado"))</f>
        <v>SSP Group</v>
      </c>
      <c r="R785" s="81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71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>IF(F786="Ingreso",J786,-J786)</f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3" t="str">
        <f>IF(tblMovimientos[[#This Row],[Tipo de Movimiento]]="Ingreso",tblMovimientos[[#This Row],[Monto (S/)]],"0")</f>
        <v>0</v>
      </c>
      <c r="O786" s="63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81" t="str">
        <f>IF(tblMovimientos[[#This Row],[Cuenta Bancaria]]="","",_xlfn.XLOOKUP(tblMovimientos[[#This Row],[Cuenta Bancaria]],Cuentas!$C:$C,Cuentas!$A:$A,"No encontrado"))</f>
        <v>SSP Group</v>
      </c>
      <c r="R786" s="81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71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>IF(F787="Ingreso",J787,-J787)</f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3" t="str">
        <f>IF(tblMovimientos[[#This Row],[Tipo de Movimiento]]="Ingreso",tblMovimientos[[#This Row],[Monto (S/)]],"0")</f>
        <v>0</v>
      </c>
      <c r="O787" s="63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81" t="str">
        <f>IF(tblMovimientos[[#This Row],[Cuenta Bancaria]]="","",_xlfn.XLOOKUP(tblMovimientos[[#This Row],[Cuenta Bancaria]],Cuentas!$C:$C,Cuentas!$A:$A,"No encontrado"))</f>
        <v>SSP Group</v>
      </c>
      <c r="R787" s="81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71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>IF(F788="Ingreso",J788,-J788)</f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3" t="str">
        <f>IF(tblMovimientos[[#This Row],[Tipo de Movimiento]]="Ingreso",tblMovimientos[[#This Row],[Monto (S/)]],"0")</f>
        <v>0</v>
      </c>
      <c r="O788" s="63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81" t="str">
        <f>IF(tblMovimientos[[#This Row],[Cuenta Bancaria]]="","",_xlfn.XLOOKUP(tblMovimientos[[#This Row],[Cuenta Bancaria]],Cuentas!$C:$C,Cuentas!$A:$A,"No encontrado"))</f>
        <v>Trust</v>
      </c>
      <c r="R788" s="81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71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>IF(F789="Ingreso",J789,-J789)</f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3" t="str">
        <f>IF(tblMovimientos[[#This Row],[Tipo de Movimiento]]="Ingreso",tblMovimientos[[#This Row],[Monto (S/)]],"0")</f>
        <v>0</v>
      </c>
      <c r="O789" s="63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81" t="str">
        <f>IF(tblMovimientos[[#This Row],[Cuenta Bancaria]]="","",_xlfn.XLOOKUP(tblMovimientos[[#This Row],[Cuenta Bancaria]],Cuentas!$C:$C,Cuentas!$A:$A,"No encontrado"))</f>
        <v>Trust</v>
      </c>
      <c r="R789" s="81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71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>IF(F790="Ingreso",J790,-J790)</f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3" t="str">
        <f>IF(tblMovimientos[[#This Row],[Tipo de Movimiento]]="Ingreso",tblMovimientos[[#This Row],[Monto (S/)]],"0")</f>
        <v>0</v>
      </c>
      <c r="O790" s="63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81" t="str">
        <f>IF(tblMovimientos[[#This Row],[Cuenta Bancaria]]="","",_xlfn.XLOOKUP(tblMovimientos[[#This Row],[Cuenta Bancaria]],Cuentas!$C:$C,Cuentas!$A:$A,"No encontrado"))</f>
        <v>SSP Group</v>
      </c>
      <c r="R790" s="81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71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>IF(F791="Ingreso",J791,-J791)</f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3" t="str">
        <f>IF(tblMovimientos[[#This Row],[Tipo de Movimiento]]="Ingreso",tblMovimientos[[#This Row],[Monto (S/)]],"0")</f>
        <v>0</v>
      </c>
      <c r="O791" s="63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81" t="str">
        <f>IF(tblMovimientos[[#This Row],[Cuenta Bancaria]]="","",_xlfn.XLOOKUP(tblMovimientos[[#This Row],[Cuenta Bancaria]],Cuentas!$C:$C,Cuentas!$A:$A,"No encontrado"))</f>
        <v>SSP Group</v>
      </c>
      <c r="R791" s="81" t="str">
        <f>TRIM(_xlfn.XLOOKUP(tblMovimientos[[#This Row],[Cuenta Bancaria]],Cuentas!$C:$C,Cuentas!$B:$B,""))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71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>IF(F792="Ingreso",J792,-J792)</f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3" t="str">
        <f>IF(tblMovimientos[[#This Row],[Tipo de Movimiento]]="Ingreso",tblMovimientos[[#This Row],[Monto (S/)]],"0")</f>
        <v>0</v>
      </c>
      <c r="O792" s="63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81" t="str">
        <f>IF(tblMovimientos[[#This Row],[Cuenta Bancaria]]="","",_xlfn.XLOOKUP(tblMovimientos[[#This Row],[Cuenta Bancaria]],Cuentas!$C:$C,Cuentas!$A:$A,"No encontrado"))</f>
        <v>SSP Group</v>
      </c>
      <c r="R792" s="81" t="str">
        <f>TRIM(_xlfn.XLOOKUP(tblMovimientos[[#This Row],[Cuenta Bancaria]],Cuentas!$C:$C,Cuentas!$B:$B,""))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71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>IF(F793="Ingreso",J793,-J793)</f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3">
        <f>IF(tblMovimientos[[#This Row],[Tipo de Movimiento]]="Ingreso",tblMovimientos[[#This Row],[Monto (S/)]],"0")</f>
        <v>10000</v>
      </c>
      <c r="O793" s="63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81" t="str">
        <f>IF(tblMovimientos[[#This Row],[Cuenta Bancaria]]="","",_xlfn.XLOOKUP(tblMovimientos[[#This Row],[Cuenta Bancaria]],Cuentas!$C:$C,Cuentas!$A:$A,"No encontrado"))</f>
        <v>SSP Group</v>
      </c>
      <c r="R793" s="81" t="str">
        <f>TRIM(_xlfn.XLOOKUP(tblMovimientos[[#This Row],[Cuenta Bancaria]],Cuentas!$C:$C,Cuentas!$B:$B,""))</f>
        <v/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71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>IF(F794="Ingreso",J794,-J794)</f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3" t="str">
        <f>IF(tblMovimientos[[#This Row],[Tipo de Movimiento]]="Ingreso",tblMovimientos[[#This Row],[Monto (S/)]],"0")</f>
        <v>0</v>
      </c>
      <c r="O794" s="63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81" t="str">
        <f>IF(tblMovimientos[[#This Row],[Cuenta Bancaria]]="","",_xlfn.XLOOKUP(tblMovimientos[[#This Row],[Cuenta Bancaria]],Cuentas!$C:$C,Cuentas!$A:$A,"No encontrado"))</f>
        <v>SSP Group</v>
      </c>
      <c r="R794" s="81" t="str">
        <f>TRIM(_xlfn.XLOOKUP(tblMovimientos[[#This Row],[Cuenta Bancaria]],Cuentas!$C:$C,Cuentas!$B:$B,""))</f>
        <v/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71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>IF(F795="Ingreso",J795,-J795)</f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3">
        <f>IF(tblMovimientos[[#This Row],[Tipo de Movimiento]]="Ingreso",tblMovimientos[[#This Row],[Monto (S/)]],"0")</f>
        <v>10000</v>
      </c>
      <c r="O795" s="63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81" t="str">
        <f>IF(tblMovimientos[[#This Row],[Cuenta Bancaria]]="","",_xlfn.XLOOKUP(tblMovimientos[[#This Row],[Cuenta Bancaria]],Cuentas!$C:$C,Cuentas!$A:$A,"No encontrado"))</f>
        <v>SSP Group</v>
      </c>
      <c r="R795" s="81" t="str">
        <f>TRIM(_xlfn.XLOOKUP(tblMovimientos[[#This Row],[Cuenta Bancaria]],Cuentas!$C:$C,Cuentas!$B:$B,""))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71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>IF(F796="Ingreso",J796,-J796)</f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3" t="str">
        <f>IF(tblMovimientos[[#This Row],[Tipo de Movimiento]]="Ingreso",tblMovimientos[[#This Row],[Monto (S/)]],"0")</f>
        <v>0</v>
      </c>
      <c r="O796" s="63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81" t="str">
        <f>IF(tblMovimientos[[#This Row],[Cuenta Bancaria]]="","",_xlfn.XLOOKUP(tblMovimientos[[#This Row],[Cuenta Bancaria]],Cuentas!$C:$C,Cuentas!$A:$A,"No encontrado"))</f>
        <v>SSP Group</v>
      </c>
      <c r="R796" s="81" t="str">
        <f>TRIM(_xlfn.XLOOKUP(tblMovimientos[[#This Row],[Cuenta Bancaria]],Cuentas!$C:$C,Cuentas!$B:$B,""))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71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>IF(F797="Ingreso",J797,-J797)</f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3" t="str">
        <f>IF(tblMovimientos[[#This Row],[Tipo de Movimiento]]="Ingreso",tblMovimientos[[#This Row],[Monto (S/)]],"0")</f>
        <v>0</v>
      </c>
      <c r="O797" s="63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81" t="str">
        <f>IF(tblMovimientos[[#This Row],[Cuenta Bancaria]]="","",_xlfn.XLOOKUP(tblMovimientos[[#This Row],[Cuenta Bancaria]],Cuentas!$C:$C,Cuentas!$A:$A,"No encontrado"))</f>
        <v>SSP Group</v>
      </c>
      <c r="R797" s="81" t="str">
        <f>TRIM(_xlfn.XLOOKUP(tblMovimientos[[#This Row],[Cuenta Bancaria]],Cuentas!$C:$C,Cuentas!$B:$B,""))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71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>IF(F798="Ingreso",J798,-J798)</f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3" t="str">
        <f>IF(tblMovimientos[[#This Row],[Tipo de Movimiento]]="Ingreso",tblMovimientos[[#This Row],[Monto (S/)]],"0")</f>
        <v>0</v>
      </c>
      <c r="O798" s="63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81" t="str">
        <f>IF(tblMovimientos[[#This Row],[Cuenta Bancaria]]="","",_xlfn.XLOOKUP(tblMovimientos[[#This Row],[Cuenta Bancaria]],Cuentas!$C:$C,Cuentas!$A:$A,"No encontrado"))</f>
        <v>SSP Group</v>
      </c>
      <c r="R798" s="81" t="str">
        <f>TRIM(_xlfn.XLOOKUP(tblMovimientos[[#This Row],[Cuenta Bancaria]],Cuentas!$C:$C,Cuentas!$B:$B,""))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71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>IF(F799="Ingreso",J799,-J799)</f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3" t="str">
        <f>IF(tblMovimientos[[#This Row],[Tipo de Movimiento]]="Ingreso",tblMovimientos[[#This Row],[Monto (S/)]],"0")</f>
        <v>0</v>
      </c>
      <c r="O799" s="63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81" t="str">
        <f>IF(tblMovimientos[[#This Row],[Cuenta Bancaria]]="","",_xlfn.XLOOKUP(tblMovimientos[[#This Row],[Cuenta Bancaria]],Cuentas!$C:$C,Cuentas!$A:$A,"No encontrado"))</f>
        <v>SSP Group</v>
      </c>
      <c r="R799" s="81" t="str">
        <f>TRIM(_xlfn.XLOOKUP(tblMovimientos[[#This Row],[Cuenta Bancaria]],Cuentas!$C:$C,Cuentas!$B:$B,""))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71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>IF(F800="Ingreso",J800,-J800)</f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3" t="str">
        <f>IF(tblMovimientos[[#This Row],[Tipo de Movimiento]]="Ingreso",tblMovimientos[[#This Row],[Monto (S/)]],"0")</f>
        <v>0</v>
      </c>
      <c r="O800" s="63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81" t="str">
        <f>IF(tblMovimientos[[#This Row],[Cuenta Bancaria]]="","",_xlfn.XLOOKUP(tblMovimientos[[#This Row],[Cuenta Bancaria]],Cuentas!$C:$C,Cuentas!$A:$A,"No encontrado"))</f>
        <v>SSP Group</v>
      </c>
      <c r="R800" s="81" t="str">
        <f>TRIM(_xlfn.XLOOKUP(tblMovimientos[[#This Row],[Cuenta Bancaria]],Cuentas!$C:$C,Cuentas!$B:$B,""))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71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>IF(F801="Ingreso",J801,-J801)</f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3" t="str">
        <f>IF(tblMovimientos[[#This Row],[Tipo de Movimiento]]="Ingreso",tblMovimientos[[#This Row],[Monto (S/)]],"0")</f>
        <v>0</v>
      </c>
      <c r="O801" s="63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81" t="str">
        <f>IF(tblMovimientos[[#This Row],[Cuenta Bancaria]]="","",_xlfn.XLOOKUP(tblMovimientos[[#This Row],[Cuenta Bancaria]],Cuentas!$C:$C,Cuentas!$A:$A,"No encontrado"))</f>
        <v>SSP Group</v>
      </c>
      <c r="R801" s="81" t="str">
        <f>TRIM(_xlfn.XLOOKUP(tblMovimientos[[#This Row],[Cuenta Bancaria]],Cuentas!$C:$C,Cuentas!$B:$B,""))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71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>IF(F802="Ingreso",J802,-J802)</f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3" t="str">
        <f>IF(tblMovimientos[[#This Row],[Tipo de Movimiento]]="Ingreso",tblMovimientos[[#This Row],[Monto (S/)]],"0")</f>
        <v>0</v>
      </c>
      <c r="O802" s="63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81" t="str">
        <f>IF(tblMovimientos[[#This Row],[Cuenta Bancaria]]="","",_xlfn.XLOOKUP(tblMovimientos[[#This Row],[Cuenta Bancaria]],Cuentas!$C:$C,Cuentas!$A:$A,"No encontrado"))</f>
        <v>SSP Group</v>
      </c>
      <c r="R802" s="81" t="str">
        <f>TRIM(_xlfn.XLOOKUP(tblMovimientos[[#This Row],[Cuenta Bancaria]],Cuentas!$C:$C,Cuentas!$B:$B,""))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71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>IF(F803="Ingreso",J803,-J803)</f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3" t="str">
        <f>IF(tblMovimientos[[#This Row],[Tipo de Movimiento]]="Ingreso",tblMovimientos[[#This Row],[Monto (S/)]],"0")</f>
        <v>0</v>
      </c>
      <c r="O803" s="63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81" t="str">
        <f>IF(tblMovimientos[[#This Row],[Cuenta Bancaria]]="","",_xlfn.XLOOKUP(tblMovimientos[[#This Row],[Cuenta Bancaria]],Cuentas!$C:$C,Cuentas!$A:$A,"No encontrado"))</f>
        <v>SSP Group</v>
      </c>
      <c r="R803" s="81" t="str">
        <f>TRIM(_xlfn.XLOOKUP(tblMovimientos[[#This Row],[Cuenta Bancaria]],Cuentas!$C:$C,Cuentas!$B:$B,""))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71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>IF(F804="Ingreso",J804,-J804)</f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3">
        <f>IF(tblMovimientos[[#This Row],[Tipo de Movimiento]]="Ingreso",tblMovimientos[[#This Row],[Monto (S/)]],"0")</f>
        <v>3.87</v>
      </c>
      <c r="O804" s="63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81" t="str">
        <f>IF(tblMovimientos[[#This Row],[Cuenta Bancaria]]="","",_xlfn.XLOOKUP(tblMovimientos[[#This Row],[Cuenta Bancaria]],Cuentas!$C:$C,Cuentas!$A:$A,"No encontrado"))</f>
        <v>SSP Group</v>
      </c>
      <c r="R804" s="81" t="str">
        <f>TRIM(_xlfn.XLOOKUP(tblMovimientos[[#This Row],[Cuenta Bancaria]],Cuentas!$C:$C,Cuentas!$B:$B,""))</f>
        <v>Cross Security 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71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>IF(F805="Ingreso",J805,-J805)</f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3" t="str">
        <f>IF(tblMovimientos[[#This Row],[Tipo de Movimiento]]="Ingreso",tblMovimientos[[#This Row],[Monto (S/)]],"0")</f>
        <v>0</v>
      </c>
      <c r="O805" s="63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81" t="str">
        <f>IF(tblMovimientos[[#This Row],[Cuenta Bancaria]]="","",_xlfn.XLOOKUP(tblMovimientos[[#This Row],[Cuenta Bancaria]],Cuentas!$C:$C,Cuentas!$A:$A,"No encontrado"))</f>
        <v>SSP Group</v>
      </c>
      <c r="R805" s="81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71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>IF(F806="Ingreso",J806,-J806)</f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3" t="str">
        <f>IF(tblMovimientos[[#This Row],[Tipo de Movimiento]]="Ingreso",tblMovimientos[[#This Row],[Monto (S/)]],"0")</f>
        <v>0</v>
      </c>
      <c r="O806" s="63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81" t="str">
        <f>IF(tblMovimientos[[#This Row],[Cuenta Bancaria]]="","",_xlfn.XLOOKUP(tblMovimientos[[#This Row],[Cuenta Bancaria]],Cuentas!$C:$C,Cuentas!$A:$A,"No encontrado"))</f>
        <v>SSP Group</v>
      </c>
      <c r="R806" s="81" t="str">
        <f>TRIM(_xlfn.XLOOKUP(tblMovimientos[[#This Row],[Cuenta Bancaria]],Cuentas!$C:$C,Cuentas!$B:$B,""))</f>
        <v>Cross Security Trust</v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71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>IF(F807="Ingreso",J807,-J807)</f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3" t="str">
        <f>IF(tblMovimientos[[#This Row],[Tipo de Movimiento]]="Ingreso",tblMovimientos[[#This Row],[Monto (S/)]],"0")</f>
        <v>0</v>
      </c>
      <c r="O807" s="63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81" t="str">
        <f>IF(tblMovimientos[[#This Row],[Cuenta Bancaria]]="","",_xlfn.XLOOKUP(tblMovimientos[[#This Row],[Cuenta Bancaria]],Cuentas!$C:$C,Cuentas!$A:$A,"No encontrado"))</f>
        <v>SSP Group</v>
      </c>
      <c r="R807" s="81" t="str">
        <f>TRIM(_xlfn.XLOOKUP(tblMovimientos[[#This Row],[Cuenta Bancaria]],Cuentas!$C:$C,Cuentas!$B:$B,""))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71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>IF(F808="Ingreso",J808,-J808)</f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3" t="str">
        <f>IF(tblMovimientos[[#This Row],[Tipo de Movimiento]]="Ingreso",tblMovimientos[[#This Row],[Monto (S/)]],"0")</f>
        <v>0</v>
      </c>
      <c r="O808" s="63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81" t="str">
        <f>IF(tblMovimientos[[#This Row],[Cuenta Bancaria]]="","",_xlfn.XLOOKUP(tblMovimientos[[#This Row],[Cuenta Bancaria]],Cuentas!$C:$C,Cuentas!$A:$A,"No encontrado"))</f>
        <v>SSP Group</v>
      </c>
      <c r="R808" s="81" t="str">
        <f>TRIM(_xlfn.XLOOKUP(tblMovimientos[[#This Row],[Cuenta Bancaria]],Cuentas!$C:$C,Cuentas!$B:$B,""))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71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>IF(F809="Ingreso",J809,-J809)</f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3" t="str">
        <f>IF(tblMovimientos[[#This Row],[Tipo de Movimiento]]="Ingreso",tblMovimientos[[#This Row],[Monto (S/)]],"0")</f>
        <v>0</v>
      </c>
      <c r="O809" s="63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81" t="str">
        <f>IF(tblMovimientos[[#This Row],[Cuenta Bancaria]]="","",_xlfn.XLOOKUP(tblMovimientos[[#This Row],[Cuenta Bancaria]],Cuentas!$C:$C,Cuentas!$A:$A,"No encontrado"))</f>
        <v>SSP Group</v>
      </c>
      <c r="R809" s="81" t="str">
        <f>TRIM(_xlfn.XLOOKUP(tblMovimientos[[#This Row],[Cuenta Bancaria]],Cuentas!$C:$C,Cuentas!$B:$B,""))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71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>IF(F810="Ingreso",J810,-J810)</f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3">
        <f>IF(tblMovimientos[[#This Row],[Tipo de Movimiento]]="Ingreso",tblMovimientos[[#This Row],[Monto (S/)]],"0")</f>
        <v>105861.78</v>
      </c>
      <c r="O810" s="63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81" t="str">
        <f>IF(tblMovimientos[[#This Row],[Cuenta Bancaria]]="","",_xlfn.XLOOKUP(tblMovimientos[[#This Row],[Cuenta Bancaria]],Cuentas!$C:$C,Cuentas!$A:$A,"No encontrado"))</f>
        <v>SSP Group</v>
      </c>
      <c r="R810" s="81" t="str">
        <f>TRIM(_xlfn.XLOOKUP(tblMovimientos[[#This Row],[Cuenta Bancaria]],Cuentas!$C:$C,Cuentas!$B:$B,""))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71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>IF(F811="Ingreso",J811,-J811)</f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3" t="str">
        <f>IF(tblMovimientos[[#This Row],[Tipo de Movimiento]]="Ingreso",tblMovimientos[[#This Row],[Monto (S/)]],"0")</f>
        <v>0</v>
      </c>
      <c r="O811" s="63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81" t="str">
        <f>IF(tblMovimientos[[#This Row],[Cuenta Bancaria]]="","",_xlfn.XLOOKUP(tblMovimientos[[#This Row],[Cuenta Bancaria]],Cuentas!$C:$C,Cuentas!$A:$A,"No encontrado"))</f>
        <v>SSP Group</v>
      </c>
      <c r="R811" s="81" t="str">
        <f>TRIM(_xlfn.XLOOKUP(tblMovimientos[[#This Row],[Cuenta Bancaria]],Cuentas!$C:$C,Cuentas!$B:$B,""))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71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>IF(F812="Ingreso",J812,-J812)</f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3" t="str">
        <f>IF(tblMovimientos[[#This Row],[Tipo de Movimiento]]="Ingreso",tblMovimientos[[#This Row],[Monto (S/)]],"0")</f>
        <v>0</v>
      </c>
      <c r="O812" s="63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81" t="str">
        <f>IF(tblMovimientos[[#This Row],[Cuenta Bancaria]]="","",_xlfn.XLOOKUP(tblMovimientos[[#This Row],[Cuenta Bancaria]],Cuentas!$C:$C,Cuentas!$A:$A,"No encontrado"))</f>
        <v>SSP Group</v>
      </c>
      <c r="R812" s="81" t="str">
        <f>TRIM(_xlfn.XLOOKUP(tblMovimientos[[#This Row],[Cuenta Bancaria]],Cuentas!$C:$C,Cuentas!$B:$B,""))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71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>IF(F813="Ingreso",J813,-J813)</f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3">
        <f>IF(tblMovimientos[[#This Row],[Tipo de Movimiento]]="Ingreso",tblMovimientos[[#This Row],[Monto (S/)]],"0")</f>
        <v>500000</v>
      </c>
      <c r="O813" s="63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81" t="str">
        <f>IF(tblMovimientos[[#This Row],[Cuenta Bancaria]]="","",_xlfn.XLOOKUP(tblMovimientos[[#This Row],[Cuenta Bancaria]],Cuentas!$C:$C,Cuentas!$A:$A,"No encontrado"))</f>
        <v>SSP Group</v>
      </c>
      <c r="R813" s="81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71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>IF(F814="Ingreso",J814,-J814)</f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3" t="str">
        <f>IF(tblMovimientos[[#This Row],[Tipo de Movimiento]]="Ingreso",tblMovimientos[[#This Row],[Monto (S/)]],"0")</f>
        <v>0</v>
      </c>
      <c r="O814" s="63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81" t="str">
        <f>IF(tblMovimientos[[#This Row],[Cuenta Bancaria]]="","",_xlfn.XLOOKUP(tblMovimientos[[#This Row],[Cuenta Bancaria]],Cuentas!$C:$C,Cuentas!$A:$A,"No encontrado"))</f>
        <v>SSP Group</v>
      </c>
      <c r="R814" s="81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71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>IF(F815="Ingreso",J815,-J815)</f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3" t="str">
        <f>IF(tblMovimientos[[#This Row],[Tipo de Movimiento]]="Ingreso",tblMovimientos[[#This Row],[Monto (S/)]],"0")</f>
        <v>0</v>
      </c>
      <c r="O815" s="63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81" t="str">
        <f>IF(tblMovimientos[[#This Row],[Cuenta Bancaria]]="","",_xlfn.XLOOKUP(tblMovimientos[[#This Row],[Cuenta Bancaria]],Cuentas!$C:$C,Cuentas!$A:$A,"No encontrado"))</f>
        <v>SSP Group</v>
      </c>
      <c r="R815" s="81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71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>IF(F816="Ingreso",J816,-J816)</f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3" t="str">
        <f>IF(tblMovimientos[[#This Row],[Tipo de Movimiento]]="Ingreso",tblMovimientos[[#This Row],[Monto (S/)]],"0")</f>
        <v>0</v>
      </c>
      <c r="O816" s="63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81" t="str">
        <f>IF(tblMovimientos[[#This Row],[Cuenta Bancaria]]="","",_xlfn.XLOOKUP(tblMovimientos[[#This Row],[Cuenta Bancaria]],Cuentas!$C:$C,Cuentas!$A:$A,"No encontrado"))</f>
        <v>SSP Group</v>
      </c>
      <c r="R816" s="81" t="str">
        <f>TRIM(_xlfn.XLOOKUP(tblMovimientos[[#This Row],[Cuenta Bancaria]],Cuentas!$C:$C,Cuentas!$B:$B,""))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71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>IF(F817="Ingreso",J817,-J817)</f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3" t="str">
        <f>IF(tblMovimientos[[#This Row],[Tipo de Movimiento]]="Ingreso",tblMovimientos[[#This Row],[Monto (S/)]],"0")</f>
        <v>0</v>
      </c>
      <c r="O817" s="63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81" t="str">
        <f>IF(tblMovimientos[[#This Row],[Cuenta Bancaria]]="","",_xlfn.XLOOKUP(tblMovimientos[[#This Row],[Cuenta Bancaria]],Cuentas!$C:$C,Cuentas!$A:$A,"No encontrado"))</f>
        <v>SSP Group</v>
      </c>
      <c r="R817" s="81" t="str">
        <f>TRIM(_xlfn.XLOOKUP(tblMovimientos[[#This Row],[Cuenta Bancaria]],Cuentas!$C:$C,Cuentas!$B:$B,""))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71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>IF(F818="Ingreso",J818,-J818)</f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3" t="str">
        <f>IF(tblMovimientos[[#This Row],[Tipo de Movimiento]]="Ingreso",tblMovimientos[[#This Row],[Monto (S/)]],"0")</f>
        <v>0</v>
      </c>
      <c r="O818" s="63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81" t="str">
        <f>IF(tblMovimientos[[#This Row],[Cuenta Bancaria]]="","",_xlfn.XLOOKUP(tblMovimientos[[#This Row],[Cuenta Bancaria]],Cuentas!$C:$C,Cuentas!$A:$A,"No encontrado"))</f>
        <v>SSP Group</v>
      </c>
      <c r="R818" s="81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71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>IF(F819="Ingreso",J819,-J819)</f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3" t="str">
        <f>IF(tblMovimientos[[#This Row],[Tipo de Movimiento]]="Ingreso",tblMovimientos[[#This Row],[Monto (S/)]],"0")</f>
        <v>0</v>
      </c>
      <c r="O819" s="63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81" t="str">
        <f>IF(tblMovimientos[[#This Row],[Cuenta Bancaria]]="","",_xlfn.XLOOKUP(tblMovimientos[[#This Row],[Cuenta Bancaria]],Cuentas!$C:$C,Cuentas!$A:$A,"No encontrado"))</f>
        <v>SSP Group</v>
      </c>
      <c r="R819" s="81" t="str">
        <f>TRIM(_xlfn.XLOOKUP(tblMovimientos[[#This Row],[Cuenta Bancaria]],Cuentas!$C:$C,Cuentas!$B:$B,""))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71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>IF(F820="Ingreso",J820,-J820)</f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3" t="str">
        <f>IF(tblMovimientos[[#This Row],[Tipo de Movimiento]]="Ingreso",tblMovimientos[[#This Row],[Monto (S/)]],"0")</f>
        <v>0</v>
      </c>
      <c r="O820" s="63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81" t="str">
        <f>IF(tblMovimientos[[#This Row],[Cuenta Bancaria]]="","",_xlfn.XLOOKUP(tblMovimientos[[#This Row],[Cuenta Bancaria]],Cuentas!$C:$C,Cuentas!$A:$A,"No encontrado"))</f>
        <v>SSP Group</v>
      </c>
      <c r="R820" s="81" t="str">
        <f>TRIM(_xlfn.XLOOKUP(tblMovimientos[[#This Row],[Cuenta Bancaria]],Cuentas!$C:$C,Cuentas!$B:$B,""))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71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>IF(F821="Ingreso",J821,-J821)</f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3" t="str">
        <f>IF(tblMovimientos[[#This Row],[Tipo de Movimiento]]="Ingreso",tblMovimientos[[#This Row],[Monto (S/)]],"0")</f>
        <v>0</v>
      </c>
      <c r="O821" s="63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81" t="str">
        <f>IF(tblMovimientos[[#This Row],[Cuenta Bancaria]]="","",_xlfn.XLOOKUP(tblMovimientos[[#This Row],[Cuenta Bancaria]],Cuentas!$C:$C,Cuentas!$A:$A,"No encontrado"))</f>
        <v>SSP Group</v>
      </c>
      <c r="R821" s="81" t="str">
        <f>TRIM(_xlfn.XLOOKUP(tblMovimientos[[#This Row],[Cuenta Bancaria]],Cuentas!$C:$C,Cuentas!$B:$B,""))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71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>IF(F822="Ingreso",J822,-J822)</f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3" t="str">
        <f>IF(tblMovimientos[[#This Row],[Tipo de Movimiento]]="Ingreso",tblMovimientos[[#This Row],[Monto (S/)]],"0")</f>
        <v>0</v>
      </c>
      <c r="O822" s="63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81" t="str">
        <f>IF(tblMovimientos[[#This Row],[Cuenta Bancaria]]="","",_xlfn.XLOOKUP(tblMovimientos[[#This Row],[Cuenta Bancaria]],Cuentas!$C:$C,Cuentas!$A:$A,"No encontrado"))</f>
        <v>SSP Group</v>
      </c>
      <c r="R822" s="81" t="str">
        <f>TRIM(_xlfn.XLOOKUP(tblMovimientos[[#This Row],[Cuenta Bancaria]],Cuentas!$C:$C,Cuentas!$B:$B,""))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71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>IF(F823="Ingreso",J823,-J823)</f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3" t="str">
        <f>IF(tblMovimientos[[#This Row],[Tipo de Movimiento]]="Ingreso",tblMovimientos[[#This Row],[Monto (S/)]],"0")</f>
        <v>0</v>
      </c>
      <c r="O823" s="63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81" t="str">
        <f>IF(tblMovimientos[[#This Row],[Cuenta Bancaria]]="","",_xlfn.XLOOKUP(tblMovimientos[[#This Row],[Cuenta Bancaria]],Cuentas!$C:$C,Cuentas!$A:$A,"No encontrado"))</f>
        <v>SSP Group</v>
      </c>
      <c r="R823" s="81" t="str">
        <f>TRIM(_xlfn.XLOOKUP(tblMovimientos[[#This Row],[Cuenta Bancaria]],Cuentas!$C:$C,Cuentas!$B:$B,""))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71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>IF(F824="Ingreso",J824,-J824)</f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3" t="str">
        <f>IF(tblMovimientos[[#This Row],[Tipo de Movimiento]]="Ingreso",tblMovimientos[[#This Row],[Monto (S/)]],"0")</f>
        <v>0</v>
      </c>
      <c r="O824" s="63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81" t="str">
        <f>IF(tblMovimientos[[#This Row],[Cuenta Bancaria]]="","",_xlfn.XLOOKUP(tblMovimientos[[#This Row],[Cuenta Bancaria]],Cuentas!$C:$C,Cuentas!$A:$A,"No encontrado"))</f>
        <v>SSP Group</v>
      </c>
      <c r="R824" s="81" t="str">
        <f>TRIM(_xlfn.XLOOKUP(tblMovimientos[[#This Row],[Cuenta Bancaria]],Cuentas!$C:$C,Cuentas!$B:$B,""))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71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>IF(F825="Ingreso",J825,-J825)</f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3" t="str">
        <f>IF(tblMovimientos[[#This Row],[Tipo de Movimiento]]="Ingreso",tblMovimientos[[#This Row],[Monto (S/)]],"0")</f>
        <v>0</v>
      </c>
      <c r="O825" s="63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81" t="str">
        <f>IF(tblMovimientos[[#This Row],[Cuenta Bancaria]]="","",_xlfn.XLOOKUP(tblMovimientos[[#This Row],[Cuenta Bancaria]],Cuentas!$C:$C,Cuentas!$A:$A,"No encontrado"))</f>
        <v>SSP Group</v>
      </c>
      <c r="R825" s="81" t="str">
        <f>TRIM(_xlfn.XLOOKUP(tblMovimientos[[#This Row],[Cuenta Bancaria]],Cuentas!$C:$C,Cuentas!$B:$B,""))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71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>IF(F826="Ingreso",J826,-J826)</f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3" t="str">
        <f>IF(tblMovimientos[[#This Row],[Tipo de Movimiento]]="Ingreso",tblMovimientos[[#This Row],[Monto (S/)]],"0")</f>
        <v>0</v>
      </c>
      <c r="O826" s="63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81" t="str">
        <f>IF(tblMovimientos[[#This Row],[Cuenta Bancaria]]="","",_xlfn.XLOOKUP(tblMovimientos[[#This Row],[Cuenta Bancaria]],Cuentas!$C:$C,Cuentas!$A:$A,"No encontrado"))</f>
        <v>SSP Group</v>
      </c>
      <c r="R826" s="81" t="str">
        <f>TRIM(_xlfn.XLOOKUP(tblMovimientos[[#This Row],[Cuenta Bancaria]],Cuentas!$C:$C,Cuentas!$B:$B,""))</f>
        <v>Cross Security Trust</v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71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>IF(F827="Ingreso",J827,-J827)</f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3" t="str">
        <f>IF(tblMovimientos[[#This Row],[Tipo de Movimiento]]="Ingreso",tblMovimientos[[#This Row],[Monto (S/)]],"0")</f>
        <v>0</v>
      </c>
      <c r="O827" s="63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81" t="str">
        <f>IF(tblMovimientos[[#This Row],[Cuenta Bancaria]]="","",_xlfn.XLOOKUP(tblMovimientos[[#This Row],[Cuenta Bancaria]],Cuentas!$C:$C,Cuentas!$A:$A,"No encontrado"))</f>
        <v>SSP Group</v>
      </c>
      <c r="R827" s="81" t="str">
        <f>TRIM(_xlfn.XLOOKUP(tblMovimientos[[#This Row],[Cuenta Bancaria]],Cuentas!$C:$C,Cuentas!$B:$B,""))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71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>IF(F828="Ingreso",J828,-J828)</f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3" t="str">
        <f>IF(tblMovimientos[[#This Row],[Tipo de Movimiento]]="Ingreso",tblMovimientos[[#This Row],[Monto (S/)]],"0")</f>
        <v>0</v>
      </c>
      <c r="O828" s="63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81" t="str">
        <f>IF(tblMovimientos[[#This Row],[Cuenta Bancaria]]="","",_xlfn.XLOOKUP(tblMovimientos[[#This Row],[Cuenta Bancaria]],Cuentas!$C:$C,Cuentas!$A:$A,"No encontrado"))</f>
        <v>SSP Group</v>
      </c>
      <c r="R828" s="81" t="str">
        <f>TRIM(_xlfn.XLOOKUP(tblMovimientos[[#This Row],[Cuenta Bancaria]],Cuentas!$C:$C,Cuentas!$B:$B,""))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71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>IF(F829="Ingreso",J829,-J829)</f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3">
        <f>IF(tblMovimientos[[#This Row],[Tipo de Movimiento]]="Ingreso",tblMovimientos[[#This Row],[Monto (S/)]],"0")</f>
        <v>5731.99</v>
      </c>
      <c r="O829" s="63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81" t="str">
        <f>IF(tblMovimientos[[#This Row],[Cuenta Bancaria]]="","",_xlfn.XLOOKUP(tblMovimientos[[#This Row],[Cuenta Bancaria]],Cuentas!$C:$C,Cuentas!$A:$A,"No encontrado"))</f>
        <v>SSP Group</v>
      </c>
      <c r="R829" s="81" t="str">
        <f>TRIM(_xlfn.XLOOKUP(tblMovimientos[[#This Row],[Cuenta Bancaria]],Cuentas!$C:$C,Cuentas!$B:$B,""))</f>
        <v>Cross Security Trust</v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71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>IF(F830="Ingreso",J830,-J830)</f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3">
        <f>IF(tblMovimientos[[#This Row],[Tipo de Movimiento]]="Ingreso",tblMovimientos[[#This Row],[Monto (S/)]],"0")</f>
        <v>457.74</v>
      </c>
      <c r="O830" s="63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81" t="str">
        <f>IF(tblMovimientos[[#This Row],[Cuenta Bancaria]]="","",_xlfn.XLOOKUP(tblMovimientos[[#This Row],[Cuenta Bancaria]],Cuentas!$C:$C,Cuentas!$A:$A,"No encontrado"))</f>
        <v>SSP Group</v>
      </c>
      <c r="R830" s="81" t="str">
        <f>TRIM(_xlfn.XLOOKUP(tblMovimientos[[#This Row],[Cuenta Bancaria]],Cuentas!$C:$C,Cuentas!$B:$B,""))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71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>IF(F831="Ingreso",J831,-J831)</f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3" t="str">
        <f>IF(tblMovimientos[[#This Row],[Tipo de Movimiento]]="Ingreso",tblMovimientos[[#This Row],[Monto (S/)]],"0")</f>
        <v>0</v>
      </c>
      <c r="O831" s="63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81" t="str">
        <f>IF(tblMovimientos[[#This Row],[Cuenta Bancaria]]="","",_xlfn.XLOOKUP(tblMovimientos[[#This Row],[Cuenta Bancaria]],Cuentas!$C:$C,Cuentas!$A:$A,"No encontrado"))</f>
        <v>SSP Group</v>
      </c>
      <c r="R831" s="81" t="str">
        <f>TRIM(_xlfn.XLOOKUP(tblMovimientos[[#This Row],[Cuenta Bancaria]],Cuentas!$C:$C,Cuentas!$B:$B,""))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71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>IF(F832="Ingreso",J832,-J832)</f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3" t="str">
        <f>IF(tblMovimientos[[#This Row],[Tipo de Movimiento]]="Ingreso",tblMovimientos[[#This Row],[Monto (S/)]],"0")</f>
        <v>0</v>
      </c>
      <c r="O832" s="63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81" t="str">
        <f>IF(tblMovimientos[[#This Row],[Cuenta Bancaria]]="","",_xlfn.XLOOKUP(tblMovimientos[[#This Row],[Cuenta Bancaria]],Cuentas!$C:$C,Cuentas!$A:$A,"No encontrado"))</f>
        <v>SSP Group</v>
      </c>
      <c r="R832" s="81" t="str">
        <f>TRIM(_xlfn.XLOOKUP(tblMovimientos[[#This Row],[Cuenta Bancaria]],Cuentas!$C:$C,Cuentas!$B:$B,""))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71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>IF(F833="Ingreso",J833,-J833)</f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3" t="str">
        <f>IF(tblMovimientos[[#This Row],[Tipo de Movimiento]]="Ingreso",tblMovimientos[[#This Row],[Monto (S/)]],"0")</f>
        <v>0</v>
      </c>
      <c r="O833" s="63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81" t="str">
        <f>IF(tblMovimientos[[#This Row],[Cuenta Bancaria]]="","",_xlfn.XLOOKUP(tblMovimientos[[#This Row],[Cuenta Bancaria]],Cuentas!$C:$C,Cuentas!$A:$A,"No encontrado"))</f>
        <v>SSP Group</v>
      </c>
      <c r="R833" s="81" t="str">
        <f>TRIM(_xlfn.XLOOKUP(tblMovimientos[[#This Row],[Cuenta Bancaria]],Cuentas!$C:$C,Cuentas!$B:$B,""))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71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>IF(F834="Ingreso",J834,-J834)</f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3" t="str">
        <f>IF(tblMovimientos[[#This Row],[Tipo de Movimiento]]="Ingreso",tblMovimientos[[#This Row],[Monto (S/)]],"0")</f>
        <v>0</v>
      </c>
      <c r="O834" s="63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81" t="str">
        <f>IF(tblMovimientos[[#This Row],[Cuenta Bancaria]]="","",_xlfn.XLOOKUP(tblMovimientos[[#This Row],[Cuenta Bancaria]],Cuentas!$C:$C,Cuentas!$A:$A,"No encontrado"))</f>
        <v>SSP Group</v>
      </c>
      <c r="R834" s="81" t="str">
        <f>TRIM(_xlfn.XLOOKUP(tblMovimientos[[#This Row],[Cuenta Bancaria]],Cuentas!$C:$C,Cuentas!$B:$B,""))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71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3">
        <f>IF(tblMovimientos[[#This Row],[Tipo de Movimiento]]="Ingreso",tblMovimientos[[#This Row],[Monto (S/)]],"0")</f>
        <v>17345.61</v>
      </c>
      <c r="O835" s="63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81" t="str">
        <f>IF(tblMovimientos[[#This Row],[Cuenta Bancaria]]="","",_xlfn.XLOOKUP(tblMovimientos[[#This Row],[Cuenta Bancaria]],Cuentas!$C:$C,Cuentas!$A:$A,"No encontrado"))</f>
        <v>SSP Group</v>
      </c>
      <c r="R835" s="81" t="str">
        <f>TRIM(_xlfn.XLOOKUP(tblMovimientos[[#This Row],[Cuenta Bancaria]],Cuentas!$C:$C,Cuentas!$B:$B,""))</f>
        <v>Cross Security Trust</v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71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>IF(F836="Ingreso",J836,-J836)</f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3">
        <f>IF(tblMovimientos[[#This Row],[Tipo de Movimiento]]="Ingreso",tblMovimientos[[#This Row],[Monto (S/)]],"0")</f>
        <v>145829.28</v>
      </c>
      <c r="O836" s="63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81" t="str">
        <f>IF(tblMovimientos[[#This Row],[Cuenta Bancaria]]="","",_xlfn.XLOOKUP(tblMovimientos[[#This Row],[Cuenta Bancaria]],Cuentas!$C:$C,Cuentas!$A:$A,"No encontrado"))</f>
        <v>SSP Group</v>
      </c>
      <c r="R836" s="81" t="str">
        <f>TRIM(_xlfn.XLOOKUP(tblMovimientos[[#This Row],[Cuenta Bancaria]],Cuentas!$C:$C,Cuentas!$B:$B,""))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71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>IF(F837="Ingreso",J837,-J837)</f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3">
        <f>IF(tblMovimientos[[#This Row],[Tipo de Movimiento]]="Ingreso",tblMovimientos[[#This Row],[Monto (S/)]],"0")</f>
        <v>8056.89</v>
      </c>
      <c r="O837" s="63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81" t="str">
        <f>IF(tblMovimientos[[#This Row],[Cuenta Bancaria]]="","",_xlfn.XLOOKUP(tblMovimientos[[#This Row],[Cuenta Bancaria]],Cuentas!$C:$C,Cuentas!$A:$A,"No encontrado"))</f>
        <v>SSP Group</v>
      </c>
      <c r="R837" s="81" t="str">
        <f>TRIM(_xlfn.XLOOKUP(tblMovimientos[[#This Row],[Cuenta Bancaria]],Cuentas!$C:$C,Cuentas!$B:$B,""))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71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>IF(F838="Ingreso",J838,-J838)</f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3">
        <f>IF(tblMovimientos[[#This Row],[Tipo de Movimiento]]="Ingreso",tblMovimientos[[#This Row],[Monto (S/)]],"0")</f>
        <v>6974.11</v>
      </c>
      <c r="O838" s="63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81" t="str">
        <f>IF(tblMovimientos[[#This Row],[Cuenta Bancaria]]="","",_xlfn.XLOOKUP(tblMovimientos[[#This Row],[Cuenta Bancaria]],Cuentas!$C:$C,Cuentas!$A:$A,"No encontrado"))</f>
        <v>SSP Group</v>
      </c>
      <c r="R838" s="81" t="str">
        <f>TRIM(_xlfn.XLOOKUP(tblMovimientos[[#This Row],[Cuenta Bancaria]],Cuentas!$C:$C,Cuentas!$B:$B,""))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71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>IF(F839="Ingreso",J839,-J839)</f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3">
        <f>IF(tblMovimientos[[#This Row],[Tipo de Movimiento]]="Ingreso",tblMovimientos[[#This Row],[Monto (S/)]],"0")</f>
        <v>17545.53</v>
      </c>
      <c r="O839" s="63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81" t="str">
        <f>IF(tblMovimientos[[#This Row],[Cuenta Bancaria]]="","",_xlfn.XLOOKUP(tblMovimientos[[#This Row],[Cuenta Bancaria]],Cuentas!$C:$C,Cuentas!$A:$A,"No encontrado"))</f>
        <v>SSP Group</v>
      </c>
      <c r="R839" s="81" t="str">
        <f>TRIM(_xlfn.XLOOKUP(tblMovimientos[[#This Row],[Cuenta Bancaria]],Cuentas!$C:$C,Cuentas!$B:$B,""))</f>
        <v>Cross Security Trust</v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71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>IF(F840="Ingreso",J840,-J840)</f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3" t="str">
        <f>IF(tblMovimientos[[#This Row],[Tipo de Movimiento]]="Ingreso",tblMovimientos[[#This Row],[Monto (S/)]],"0")</f>
        <v>0</v>
      </c>
      <c r="O840" s="63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81" t="str">
        <f>IF(tblMovimientos[[#This Row],[Cuenta Bancaria]]="","",_xlfn.XLOOKUP(tblMovimientos[[#This Row],[Cuenta Bancaria]],Cuentas!$C:$C,Cuentas!$A:$A,"No encontrado"))</f>
        <v>SSP Group</v>
      </c>
      <c r="R840" s="81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71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>IF(F841="Ingreso",J841,-J841)</f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3" t="str">
        <f>IF(tblMovimientos[[#This Row],[Tipo de Movimiento]]="Ingreso",tblMovimientos[[#This Row],[Monto (S/)]],"0")</f>
        <v>0</v>
      </c>
      <c r="O841" s="63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81" t="str">
        <f>IF(tblMovimientos[[#This Row],[Cuenta Bancaria]]="","",_xlfn.XLOOKUP(tblMovimientos[[#This Row],[Cuenta Bancaria]],Cuentas!$C:$C,Cuentas!$A:$A,"No encontrado"))</f>
        <v>SSP Group</v>
      </c>
      <c r="R841" s="81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71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>IF(F842="Ingreso",J842,-J842)</f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3">
        <f>IF(tblMovimientos[[#This Row],[Tipo de Movimiento]]="Ingreso",tblMovimientos[[#This Row],[Monto (S/)]],"0")</f>
        <v>185000</v>
      </c>
      <c r="O842" s="63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81" t="str">
        <f>IF(tblMovimientos[[#This Row],[Cuenta Bancaria]]="","",_xlfn.XLOOKUP(tblMovimientos[[#This Row],[Cuenta Bancaria]],Cuentas!$C:$C,Cuentas!$A:$A,"No encontrado"))</f>
        <v>SSP Group</v>
      </c>
      <c r="R842" s="81" t="str">
        <f>TRIM(_xlfn.XLOOKUP(tblMovimientos[[#This Row],[Cuenta Bancaria]],Cuentas!$C:$C,Cuentas!$B:$B,""))</f>
        <v>Cross Security Trust</v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71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>IF(F843="Ingreso",J843,-J843)</f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3" t="str">
        <f>IF(tblMovimientos[[#This Row],[Tipo de Movimiento]]="Ingreso",tblMovimientos[[#This Row],[Monto (S/)]],"0")</f>
        <v>0</v>
      </c>
      <c r="O843" s="63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81" t="str">
        <f>IF(tblMovimientos[[#This Row],[Cuenta Bancaria]]="","",_xlfn.XLOOKUP(tblMovimientos[[#This Row],[Cuenta Bancaria]],Cuentas!$C:$C,Cuentas!$A:$A,"No encontrado"))</f>
        <v>SSP Group</v>
      </c>
      <c r="R843" s="81" t="str">
        <f>TRIM(_xlfn.XLOOKUP(tblMovimientos[[#This Row],[Cuenta Bancaria]],Cuentas!$C:$C,Cuentas!$B:$B,""))</f>
        <v>Cross Security Trust</v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71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>IF(F844="Ingreso",J844,-J844)</f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3">
        <f>IF(tblMovimientos[[#This Row],[Tipo de Movimiento]]="Ingreso",tblMovimientos[[#This Row],[Monto (S/)]],"0")</f>
        <v>116197.06</v>
      </c>
      <c r="O844" s="63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81" t="str">
        <f>IF(tblMovimientos[[#This Row],[Cuenta Bancaria]]="","",_xlfn.XLOOKUP(tblMovimientos[[#This Row],[Cuenta Bancaria]],Cuentas!$C:$C,Cuentas!$A:$A,"No encontrado"))</f>
        <v>SSP Group</v>
      </c>
      <c r="R844" s="81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71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>IF(F845="Ingreso",J845,-J845)</f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3" t="str">
        <f>IF(tblMovimientos[[#This Row],[Tipo de Movimiento]]="Ingreso",tblMovimientos[[#This Row],[Monto (S/)]],"0")</f>
        <v>0</v>
      </c>
      <c r="O845" s="63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81" t="str">
        <f>IF(tblMovimientos[[#This Row],[Cuenta Bancaria]]="","",_xlfn.XLOOKUP(tblMovimientos[[#This Row],[Cuenta Bancaria]],Cuentas!$C:$C,Cuentas!$A:$A,"No encontrado"))</f>
        <v>SSP Group</v>
      </c>
      <c r="R845" s="81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71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>IF(F846="Ingreso",J846,-J846)</f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3" t="str">
        <f>IF(tblMovimientos[[#This Row],[Tipo de Movimiento]]="Ingreso",tblMovimientos[[#This Row],[Monto (S/)]],"0")</f>
        <v>0</v>
      </c>
      <c r="O846" s="63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81" t="str">
        <f>IF(tblMovimientos[[#This Row],[Cuenta Bancaria]]="","",_xlfn.XLOOKUP(tblMovimientos[[#This Row],[Cuenta Bancaria]],Cuentas!$C:$C,Cuentas!$A:$A,"No encontrado"))</f>
        <v>SSP Group</v>
      </c>
      <c r="R846" s="81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71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>IF(F847="Ingreso",J847,-J847)</f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3">
        <f>IF(tblMovimientos[[#This Row],[Tipo de Movimiento]]="Ingreso",tblMovimientos[[#This Row],[Monto (S/)]],"0")</f>
        <v>100</v>
      </c>
      <c r="O847" s="63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81" t="str">
        <f>IF(tblMovimientos[[#This Row],[Cuenta Bancaria]]="","",_xlfn.XLOOKUP(tblMovimientos[[#This Row],[Cuenta Bancaria]],Cuentas!$C:$C,Cuentas!$A:$A,"No encontrado"))</f>
        <v>SSP Group</v>
      </c>
      <c r="R847" s="81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71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>IF(F848="Ingreso",J848,-J848)</f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3">
        <f>IF(tblMovimientos[[#This Row],[Tipo de Movimiento]]="Ingreso",tblMovimientos[[#This Row],[Monto (S/)]],"0")</f>
        <v>20000</v>
      </c>
      <c r="O848" s="63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81" t="str">
        <f>IF(tblMovimientos[[#This Row],[Cuenta Bancaria]]="","",_xlfn.XLOOKUP(tblMovimientos[[#This Row],[Cuenta Bancaria]],Cuentas!$C:$C,Cuentas!$A:$A,"No encontrado"))</f>
        <v>SSP Group</v>
      </c>
      <c r="R848" s="81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71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>IF(F849="Ingreso",J849,-J849)</f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3">
        <f>IF(tblMovimientos[[#This Row],[Tipo de Movimiento]]="Ingreso",tblMovimientos[[#This Row],[Monto (S/)]],"0")</f>
        <v>21000</v>
      </c>
      <c r="O849" s="63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81" t="str">
        <f>IF(tblMovimientos[[#This Row],[Cuenta Bancaria]]="","",_xlfn.XLOOKUP(tblMovimientos[[#This Row],[Cuenta Bancaria]],Cuentas!$C:$C,Cuentas!$A:$A,"No encontrado"))</f>
        <v>SSP Group</v>
      </c>
      <c r="R849" s="81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71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>IF(F850="Ingreso",J850,-J850)</f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3" t="str">
        <f>IF(tblMovimientos[[#This Row],[Tipo de Movimiento]]="Ingreso",tblMovimientos[[#This Row],[Monto (S/)]],"0")</f>
        <v>0</v>
      </c>
      <c r="O850" s="63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81" t="str">
        <f>IF(tblMovimientos[[#This Row],[Cuenta Bancaria]]="","",_xlfn.XLOOKUP(tblMovimientos[[#This Row],[Cuenta Bancaria]],Cuentas!$C:$C,Cuentas!$A:$A,"No encontrado"))</f>
        <v>SSP Group</v>
      </c>
      <c r="R850" s="81" t="str">
        <f>TRIM(_xlfn.XLOOKUP(tblMovimientos[[#This Row],[Cuenta Bancaria]],Cuentas!$C:$C,Cuentas!$B:$B,""))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71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>IF(F851="Ingreso",J851,-J851)</f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3" t="str">
        <f>IF(tblMovimientos[[#This Row],[Tipo de Movimiento]]="Ingreso",tblMovimientos[[#This Row],[Monto (S/)]],"0")</f>
        <v>0</v>
      </c>
      <c r="O851" s="63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81" t="str">
        <f>IF(tblMovimientos[[#This Row],[Cuenta Bancaria]]="","",_xlfn.XLOOKUP(tblMovimientos[[#This Row],[Cuenta Bancaria]],Cuentas!$C:$C,Cuentas!$A:$A,"No encontrado"))</f>
        <v>SSP Group</v>
      </c>
      <c r="R851" s="81" t="str">
        <f>TRIM(_xlfn.XLOOKUP(tblMovimientos[[#This Row],[Cuenta Bancaria]],Cuentas!$C:$C,Cuentas!$B:$B,""))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71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>IF(F852="Ingreso",J852,-J852)</f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3" t="str">
        <f>IF(tblMovimientos[[#This Row],[Tipo de Movimiento]]="Ingreso",tblMovimientos[[#This Row],[Monto (S/)]],"0")</f>
        <v>0</v>
      </c>
      <c r="O852" s="63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81" t="str">
        <f>IF(tblMovimientos[[#This Row],[Cuenta Bancaria]]="","",_xlfn.XLOOKUP(tblMovimientos[[#This Row],[Cuenta Bancaria]],Cuentas!$C:$C,Cuentas!$A:$A,"No encontrado"))</f>
        <v>SSP Group</v>
      </c>
      <c r="R852" s="81" t="str">
        <f>TRIM(_xlfn.XLOOKUP(tblMovimientos[[#This Row],[Cuenta Bancaria]],Cuentas!$C:$C,Cuentas!$B:$B,""))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71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>IF(F853="Ingreso",J853,-J853)</f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3" t="str">
        <f>IF(tblMovimientos[[#This Row],[Tipo de Movimiento]]="Ingreso",tblMovimientos[[#This Row],[Monto (S/)]],"0")</f>
        <v>0</v>
      </c>
      <c r="O853" s="63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81" t="str">
        <f>IF(tblMovimientos[[#This Row],[Cuenta Bancaria]]="","",_xlfn.XLOOKUP(tblMovimientos[[#This Row],[Cuenta Bancaria]],Cuentas!$C:$C,Cuentas!$A:$A,"No encontrado"))</f>
        <v>SSP Group</v>
      </c>
      <c r="R853" s="81" t="str">
        <f>TRIM(_xlfn.XLOOKUP(tblMovimientos[[#This Row],[Cuenta Bancaria]],Cuentas!$C:$C,Cuentas!$B:$B,""))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71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>IF(F854="Ingreso",J854,-J854)</f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3" t="str">
        <f>IF(tblMovimientos[[#This Row],[Tipo de Movimiento]]="Ingreso",tblMovimientos[[#This Row],[Monto (S/)]],"0")</f>
        <v>0</v>
      </c>
      <c r="O854" s="63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81" t="str">
        <f>IF(tblMovimientos[[#This Row],[Cuenta Bancaria]]="","",_xlfn.XLOOKUP(tblMovimientos[[#This Row],[Cuenta Bancaria]],Cuentas!$C:$C,Cuentas!$A:$A,"No encontrado"))</f>
        <v>SSP Group</v>
      </c>
      <c r="R854" s="81" t="str">
        <f>TRIM(_xlfn.XLOOKUP(tblMovimientos[[#This Row],[Cuenta Bancaria]],Cuentas!$C:$C,Cuentas!$B:$B,""))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71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>IF(F855="Ingreso",J855,-J855)</f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3" t="str">
        <f>IF(tblMovimientos[[#This Row],[Tipo de Movimiento]]="Ingreso",tblMovimientos[[#This Row],[Monto (S/)]],"0")</f>
        <v>0</v>
      </c>
      <c r="O855" s="63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81" t="str">
        <f>IF(tblMovimientos[[#This Row],[Cuenta Bancaria]]="","",_xlfn.XLOOKUP(tblMovimientos[[#This Row],[Cuenta Bancaria]],Cuentas!$C:$C,Cuentas!$A:$A,"No encontrado"))</f>
        <v>SSP Group</v>
      </c>
      <c r="R855" s="81" t="str">
        <f>TRIM(_xlfn.XLOOKUP(tblMovimientos[[#This Row],[Cuenta Bancaria]],Cuentas!$C:$C,Cuentas!$B:$B,""))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71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>IF(F856="Ingreso",J856,-J856)</f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3" t="str">
        <f>IF(tblMovimientos[[#This Row],[Tipo de Movimiento]]="Ingreso",tblMovimientos[[#This Row],[Monto (S/)]],"0")</f>
        <v>0</v>
      </c>
      <c r="O856" s="63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81" t="str">
        <f>IF(tblMovimientos[[#This Row],[Cuenta Bancaria]]="","",_xlfn.XLOOKUP(tblMovimientos[[#This Row],[Cuenta Bancaria]],Cuentas!$C:$C,Cuentas!$A:$A,"No encontrado"))</f>
        <v>SSP Group</v>
      </c>
      <c r="R856" s="81" t="str">
        <f>TRIM(_xlfn.XLOOKUP(tblMovimientos[[#This Row],[Cuenta Bancaria]],Cuentas!$C:$C,Cuentas!$B:$B,""))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71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>IF(F857="Ingreso",J857,-J857)</f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3" t="str">
        <f>IF(tblMovimientos[[#This Row],[Tipo de Movimiento]]="Ingreso",tblMovimientos[[#This Row],[Monto (S/)]],"0")</f>
        <v>0</v>
      </c>
      <c r="O857" s="63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81" t="str">
        <f>IF(tblMovimientos[[#This Row],[Cuenta Bancaria]]="","",_xlfn.XLOOKUP(tblMovimientos[[#This Row],[Cuenta Bancaria]],Cuentas!$C:$C,Cuentas!$A:$A,"No encontrado"))</f>
        <v>SSP Group</v>
      </c>
      <c r="R857" s="81" t="str">
        <f>TRIM(_xlfn.XLOOKUP(tblMovimientos[[#This Row],[Cuenta Bancaria]],Cuentas!$C:$C,Cuentas!$B:$B,""))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71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>IF(F858="Ingreso",J858,-J858)</f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3" t="str">
        <f>IF(tblMovimientos[[#This Row],[Tipo de Movimiento]]="Ingreso",tblMovimientos[[#This Row],[Monto (S/)]],"0")</f>
        <v>0</v>
      </c>
      <c r="O858" s="63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81" t="str">
        <f>IF(tblMovimientos[[#This Row],[Cuenta Bancaria]]="","",_xlfn.XLOOKUP(tblMovimientos[[#This Row],[Cuenta Bancaria]],Cuentas!$C:$C,Cuentas!$A:$A,"No encontrado"))</f>
        <v>SSP Group</v>
      </c>
      <c r="R858" s="81" t="str">
        <f>TRIM(_xlfn.XLOOKUP(tblMovimientos[[#This Row],[Cuenta Bancaria]],Cuentas!$C:$C,Cuentas!$B:$B,""))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71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>IF(F859="Ingreso",J859,-J859)</f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3" t="str">
        <f>IF(tblMovimientos[[#This Row],[Tipo de Movimiento]]="Ingreso",tblMovimientos[[#This Row],[Monto (S/)]],"0")</f>
        <v>0</v>
      </c>
      <c r="O859" s="63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81" t="str">
        <f>IF(tblMovimientos[[#This Row],[Cuenta Bancaria]]="","",_xlfn.XLOOKUP(tblMovimientos[[#This Row],[Cuenta Bancaria]],Cuentas!$C:$C,Cuentas!$A:$A,"No encontrado"))</f>
        <v>SSP Group</v>
      </c>
      <c r="R859" s="81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71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>IF(F860="Ingreso",J860,-J860)</f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3" t="str">
        <f>IF(tblMovimientos[[#This Row],[Tipo de Movimiento]]="Ingreso",tblMovimientos[[#This Row],[Monto (S/)]],"0")</f>
        <v>0</v>
      </c>
      <c r="O860" s="63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81" t="str">
        <f>IF(tblMovimientos[[#This Row],[Cuenta Bancaria]]="","",_xlfn.XLOOKUP(tblMovimientos[[#This Row],[Cuenta Bancaria]],Cuentas!$C:$C,Cuentas!$A:$A,"No encontrado"))</f>
        <v>SSP Group</v>
      </c>
      <c r="R860" s="81" t="str">
        <f>TRIM(_xlfn.XLOOKUP(tblMovimientos[[#This Row],[Cuenta Bancaria]],Cuentas!$C:$C,Cuentas!$B:$B,""))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71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>IF(F861="Ingreso",J861,-J861)</f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3" t="str">
        <f>IF(tblMovimientos[[#This Row],[Tipo de Movimiento]]="Ingreso",tblMovimientos[[#This Row],[Monto (S/)]],"0")</f>
        <v>0</v>
      </c>
      <c r="O861" s="63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81" t="str">
        <f>IF(tblMovimientos[[#This Row],[Cuenta Bancaria]]="","",_xlfn.XLOOKUP(tblMovimientos[[#This Row],[Cuenta Bancaria]],Cuentas!$C:$C,Cuentas!$A:$A,"No encontrado"))</f>
        <v>SSP Group</v>
      </c>
      <c r="R861" s="81" t="str">
        <f>TRIM(_xlfn.XLOOKUP(tblMovimientos[[#This Row],[Cuenta Bancaria]],Cuentas!$C:$C,Cuentas!$B:$B,""))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71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>IF(F862="Ingreso",J862,-J862)</f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3">
        <f>IF(tblMovimientos[[#This Row],[Tipo de Movimiento]]="Ingreso",tblMovimientos[[#This Row],[Monto (S/)]],"0")</f>
        <v>23791.439999999999</v>
      </c>
      <c r="O862" s="63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81" t="str">
        <f>IF(tblMovimientos[[#This Row],[Cuenta Bancaria]]="","",_xlfn.XLOOKUP(tblMovimientos[[#This Row],[Cuenta Bancaria]],Cuentas!$C:$C,Cuentas!$A:$A,"No encontrado"))</f>
        <v>SSP Group</v>
      </c>
      <c r="R862" s="81" t="str">
        <f>TRIM(_xlfn.XLOOKUP(tblMovimientos[[#This Row],[Cuenta Bancaria]],Cuentas!$C:$C,Cuentas!$B:$B,""))</f>
        <v>Cross Security Trust</v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71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>IF(F863="Ingreso",J863,-J863)</f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3">
        <f>IF(tblMovimientos[[#This Row],[Tipo de Movimiento]]="Ingreso",tblMovimientos[[#This Row],[Monto (S/)]],"0")</f>
        <v>73364</v>
      </c>
      <c r="O863" s="63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81" t="str">
        <f>IF(tblMovimientos[[#This Row],[Cuenta Bancaria]]="","",_xlfn.XLOOKUP(tblMovimientos[[#This Row],[Cuenta Bancaria]],Cuentas!$C:$C,Cuentas!$A:$A,"No encontrado"))</f>
        <v>SSP Group</v>
      </c>
      <c r="R863" s="81" t="str">
        <f>TRIM(_xlfn.XLOOKUP(tblMovimientos[[#This Row],[Cuenta Bancaria]],Cuentas!$C:$C,Cuentas!$B:$B,""))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71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>IF(F864="Ingreso",J864,-J864)</f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3" t="str">
        <f>IF(tblMovimientos[[#This Row],[Tipo de Movimiento]]="Ingreso",tblMovimientos[[#This Row],[Monto (S/)]],"0")</f>
        <v>0</v>
      </c>
      <c r="O864" s="63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81" t="str">
        <f>IF(tblMovimientos[[#This Row],[Cuenta Bancaria]]="","",_xlfn.XLOOKUP(tblMovimientos[[#This Row],[Cuenta Bancaria]],Cuentas!$C:$C,Cuentas!$A:$A,"No encontrado"))</f>
        <v>SSP Group</v>
      </c>
      <c r="R864" s="81" t="str">
        <f>TRIM(_xlfn.XLOOKUP(tblMovimientos[[#This Row],[Cuenta Bancaria]],Cuentas!$C:$C,Cuentas!$B:$B,""))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71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3" t="str">
        <f>IF(tblMovimientos[[#This Row],[Tipo de Movimiento]]="Ingreso",tblMovimientos[[#This Row],[Monto (S/)]],"0")</f>
        <v>0</v>
      </c>
      <c r="O865" s="63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81" t="str">
        <f>IF(tblMovimientos[[#This Row],[Cuenta Bancaria]]="","",_xlfn.XLOOKUP(tblMovimientos[[#This Row],[Cuenta Bancaria]],Cuentas!$C:$C,Cuentas!$A:$A,"No encontrado"))</f>
        <v>SSP Group</v>
      </c>
      <c r="R865" s="81" t="str">
        <f>TRIM(_xlfn.XLOOKUP(tblMovimientos[[#This Row],[Cuenta Bancaria]],Cuentas!$C:$C,Cuentas!$B:$B,""))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71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>IF(F866="Ingreso",J866,-J866)</f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3" t="str">
        <f>IF(tblMovimientos[[#This Row],[Tipo de Movimiento]]="Ingreso",tblMovimientos[[#This Row],[Monto (S/)]],"0")</f>
        <v>0</v>
      </c>
      <c r="O866" s="63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81" t="str">
        <f>IF(tblMovimientos[[#This Row],[Cuenta Bancaria]]="","",_xlfn.XLOOKUP(tblMovimientos[[#This Row],[Cuenta Bancaria]],Cuentas!$C:$C,Cuentas!$A:$A,"No encontrado"))</f>
        <v>SSP Group</v>
      </c>
      <c r="R866" s="81" t="str">
        <f>TRIM(_xlfn.XLOOKUP(tblMovimientos[[#This Row],[Cuenta Bancaria]],Cuentas!$C:$C,Cuentas!$B:$B,""))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71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>IF(F867="Ingreso",J867,-J867)</f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3">
        <f>IF(tblMovimientos[[#This Row],[Tipo de Movimiento]]="Ingreso",tblMovimientos[[#This Row],[Monto (S/)]],"0")</f>
        <v>2637.13</v>
      </c>
      <c r="O867" s="63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81" t="str">
        <f>IF(tblMovimientos[[#This Row],[Cuenta Bancaria]]="","",_xlfn.XLOOKUP(tblMovimientos[[#This Row],[Cuenta Bancaria]],Cuentas!$C:$C,Cuentas!$A:$A,"No encontrado"))</f>
        <v>SSP Group</v>
      </c>
      <c r="R867" s="81" t="str">
        <f>TRIM(_xlfn.XLOOKUP(tblMovimientos[[#This Row],[Cuenta Bancaria]],Cuentas!$C:$C,Cuentas!$B:$B,""))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71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>IF(F868="Ingreso",J868,-J868)</f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3" t="str">
        <f>IF(tblMovimientos[[#This Row],[Tipo de Movimiento]]="Ingreso",tblMovimientos[[#This Row],[Monto (S/)]],"0")</f>
        <v>0</v>
      </c>
      <c r="O868" s="63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81" t="str">
        <f>IF(tblMovimientos[[#This Row],[Cuenta Bancaria]]="","",_xlfn.XLOOKUP(tblMovimientos[[#This Row],[Cuenta Bancaria]],Cuentas!$C:$C,Cuentas!$A:$A,"No encontrado"))</f>
        <v>SSP Group</v>
      </c>
      <c r="R868" s="81" t="str">
        <f>TRIM(_xlfn.XLOOKUP(tblMovimientos[[#This Row],[Cuenta Bancaria]],Cuentas!$C:$C,Cuentas!$B:$B,""))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71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>IF(F869="Ingreso",J869,-J869)</f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3">
        <f>IF(tblMovimientos[[#This Row],[Tipo de Movimiento]]="Ingreso",tblMovimientos[[#This Row],[Monto (S/)]],"0")</f>
        <v>91973.24</v>
      </c>
      <c r="O869" s="63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81" t="str">
        <f>IF(tblMovimientos[[#This Row],[Cuenta Bancaria]]="","",_xlfn.XLOOKUP(tblMovimientos[[#This Row],[Cuenta Bancaria]],Cuentas!$C:$C,Cuentas!$A:$A,"No encontrado"))</f>
        <v>SSP Group</v>
      </c>
      <c r="R869" s="81" t="str">
        <f>TRIM(_xlfn.XLOOKUP(tblMovimientos[[#This Row],[Cuenta Bancaria]],Cuentas!$C:$C,Cuentas!$B:$B,""))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71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>IF(F870="Ingreso",J870,-J870)</f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3" t="str">
        <f>IF(tblMovimientos[[#This Row],[Tipo de Movimiento]]="Ingreso",tblMovimientos[[#This Row],[Monto (S/)]],"0")</f>
        <v>0</v>
      </c>
      <c r="O870" s="63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81" t="str">
        <f>IF(tblMovimientos[[#This Row],[Cuenta Bancaria]]="","",_xlfn.XLOOKUP(tblMovimientos[[#This Row],[Cuenta Bancaria]],Cuentas!$C:$C,Cuentas!$A:$A,"No encontrado"))</f>
        <v>SSP Group</v>
      </c>
      <c r="R870" s="81" t="str">
        <f>TRIM(_xlfn.XLOOKUP(tblMovimientos[[#This Row],[Cuenta Bancaria]],Cuentas!$C:$C,Cuentas!$B:$B,""))</f>
        <v>Cross Security 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71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>IF(F871="Ingreso",J871,-J871)</f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3" t="str">
        <f>IF(tblMovimientos[[#This Row],[Tipo de Movimiento]]="Ingreso",tblMovimientos[[#This Row],[Monto (S/)]],"0")</f>
        <v>0</v>
      </c>
      <c r="O871" s="63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81" t="str">
        <f>IF(tblMovimientos[[#This Row],[Cuenta Bancaria]]="","",_xlfn.XLOOKUP(tblMovimientos[[#This Row],[Cuenta Bancaria]],Cuentas!$C:$C,Cuentas!$A:$A,"No encontrado"))</f>
        <v>SSP Group</v>
      </c>
      <c r="R871" s="81" t="str">
        <f>TRIM(_xlfn.XLOOKUP(tblMovimientos[[#This Row],[Cuenta Bancaria]],Cuentas!$C:$C,Cuentas!$B:$B,""))</f>
        <v>Cross Security 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71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>IF(F872="Ingreso",J872,-J872)</f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3">
        <f>IF(tblMovimientos[[#This Row],[Tipo de Movimiento]]="Ingreso",tblMovimientos[[#This Row],[Monto (S/)]],"0")</f>
        <v>1452.33</v>
      </c>
      <c r="O872" s="63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81" t="str">
        <f>IF(tblMovimientos[[#This Row],[Cuenta Bancaria]]="","",_xlfn.XLOOKUP(tblMovimientos[[#This Row],[Cuenta Bancaria]],Cuentas!$C:$C,Cuentas!$A:$A,"No encontrado"))</f>
        <v>SSP Group</v>
      </c>
      <c r="R872" s="81" t="str">
        <f>TRIM(_xlfn.XLOOKUP(tblMovimientos[[#This Row],[Cuenta Bancaria]],Cuentas!$C:$C,Cuentas!$B:$B,""))</f>
        <v>Cross Security Trust</v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71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>IF(F873="Ingreso",J873,-J873)</f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3" t="str">
        <f>IF(tblMovimientos[[#This Row],[Tipo de Movimiento]]="Ingreso",tblMovimientos[[#This Row],[Monto (S/)]],"0")</f>
        <v>0</v>
      </c>
      <c r="O873" s="63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81" t="str">
        <f>IF(tblMovimientos[[#This Row],[Cuenta Bancaria]]="","",_xlfn.XLOOKUP(tblMovimientos[[#This Row],[Cuenta Bancaria]],Cuentas!$C:$C,Cuentas!$A:$A,"No encontrado"))</f>
        <v>SSP Group</v>
      </c>
      <c r="R873" s="81" t="str">
        <f>TRIM(_xlfn.XLOOKUP(tblMovimientos[[#This Row],[Cuenta Bancaria]],Cuentas!$C:$C,Cuentas!$B:$B,""))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71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>IF(F874="Ingreso",J874,-J874)</f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3" t="str">
        <f>IF(tblMovimientos[[#This Row],[Tipo de Movimiento]]="Ingreso",tblMovimientos[[#This Row],[Monto (S/)]],"0")</f>
        <v>0</v>
      </c>
      <c r="O874" s="63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81" t="str">
        <f>IF(tblMovimientos[[#This Row],[Cuenta Bancaria]]="","",_xlfn.XLOOKUP(tblMovimientos[[#This Row],[Cuenta Bancaria]],Cuentas!$C:$C,Cuentas!$A:$A,"No encontrado"))</f>
        <v>SSP Group</v>
      </c>
      <c r="R874" s="81" t="str">
        <f>TRIM(_xlfn.XLOOKUP(tblMovimientos[[#This Row],[Cuenta Bancaria]],Cuentas!$C:$C,Cuentas!$B:$B,""))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71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>IF(F875="Ingreso",J875,-J875)</f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3" t="str">
        <f>IF(tblMovimientos[[#This Row],[Tipo de Movimiento]]="Ingreso",tblMovimientos[[#This Row],[Monto (S/)]],"0")</f>
        <v>0</v>
      </c>
      <c r="O875" s="63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81" t="str">
        <f>IF(tblMovimientos[[#This Row],[Cuenta Bancaria]]="","",_xlfn.XLOOKUP(tblMovimientos[[#This Row],[Cuenta Bancaria]],Cuentas!$C:$C,Cuentas!$A:$A,"No encontrado"))</f>
        <v>SSP Group</v>
      </c>
      <c r="R875" s="81" t="str">
        <f>TRIM(_xlfn.XLOOKUP(tblMovimientos[[#This Row],[Cuenta Bancaria]],Cuentas!$C:$C,Cuentas!$B:$B,""))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71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>IF(F876="Ingreso",J876,-J876)</f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3" t="str">
        <f>IF(tblMovimientos[[#This Row],[Tipo de Movimiento]]="Ingreso",tblMovimientos[[#This Row],[Monto (S/)]],"0")</f>
        <v>0</v>
      </c>
      <c r="O876" s="63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81" t="str">
        <f>IF(tblMovimientos[[#This Row],[Cuenta Bancaria]]="","",_xlfn.XLOOKUP(tblMovimientos[[#This Row],[Cuenta Bancaria]],Cuentas!$C:$C,Cuentas!$A:$A,"No encontrado"))</f>
        <v>SSP Group</v>
      </c>
      <c r="R876" s="81" t="str">
        <f>TRIM(_xlfn.XLOOKUP(tblMovimientos[[#This Row],[Cuenta Bancaria]],Cuentas!$C:$C,Cuentas!$B:$B,""))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71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>IF(F877="Ingreso",J877,-J877)</f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3">
        <f>IF(tblMovimientos[[#This Row],[Tipo de Movimiento]]="Ingreso",tblMovimientos[[#This Row],[Monto (S/)]],"0")</f>
        <v>4400</v>
      </c>
      <c r="O877" s="63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81" t="str">
        <f>IF(tblMovimientos[[#This Row],[Cuenta Bancaria]]="","",_xlfn.XLOOKUP(tblMovimientos[[#This Row],[Cuenta Bancaria]],Cuentas!$C:$C,Cuentas!$A:$A,"No encontrado"))</f>
        <v>SSP Group</v>
      </c>
      <c r="R877" s="81" t="str">
        <f>TRIM(_xlfn.XLOOKUP(tblMovimientos[[#This Row],[Cuenta Bancaria]],Cuentas!$C:$C,Cuentas!$B:$B,""))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71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>IF(F878="Ingreso",J878,-J878)</f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3">
        <f>IF(tblMovimientos[[#This Row],[Tipo de Movimiento]]="Ingreso",tblMovimientos[[#This Row],[Monto (S/)]],"0")</f>
        <v>2434.02</v>
      </c>
      <c r="O878" s="63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81" t="str">
        <f>IF(tblMovimientos[[#This Row],[Cuenta Bancaria]]="","",_xlfn.XLOOKUP(tblMovimientos[[#This Row],[Cuenta Bancaria]],Cuentas!$C:$C,Cuentas!$A:$A,"No encontrado"))</f>
        <v>SSP Group</v>
      </c>
      <c r="R878" s="81" t="str">
        <f>TRIM(_xlfn.XLOOKUP(tblMovimientos[[#This Row],[Cuenta Bancaria]],Cuentas!$C:$C,Cuentas!$B:$B,""))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71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>IF(F879="Ingreso",J879,-J879)</f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3" t="str">
        <f>IF(tblMovimientos[[#This Row],[Tipo de Movimiento]]="Ingreso",tblMovimientos[[#This Row],[Monto (S/)]],"0")</f>
        <v>0</v>
      </c>
      <c r="O879" s="63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81" t="str">
        <f>IF(tblMovimientos[[#This Row],[Cuenta Bancaria]]="","",_xlfn.XLOOKUP(tblMovimientos[[#This Row],[Cuenta Bancaria]],Cuentas!$C:$C,Cuentas!$A:$A,"No encontrado"))</f>
        <v>Michael Cross</v>
      </c>
      <c r="R879" s="81" t="str">
        <f>TRIM(_xlfn.XLOOKUP(tblMovimientos[[#This Row],[Cuenta Bancaria]],Cuentas!$C:$C,Cuentas!$B:$B,""))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71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>IF(F880="Ingreso",J880,-J880)</f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3" t="str">
        <f>IF(tblMovimientos[[#This Row],[Tipo de Movimiento]]="Ingreso",tblMovimientos[[#This Row],[Monto (S/)]],"0")</f>
        <v>0</v>
      </c>
      <c r="O880" s="63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81" t="str">
        <f>IF(tblMovimientos[[#This Row],[Cuenta Bancaria]]="","",_xlfn.XLOOKUP(tblMovimientos[[#This Row],[Cuenta Bancaria]],Cuentas!$C:$C,Cuentas!$A:$A,"No encontrado"))</f>
        <v>Michael Cross</v>
      </c>
      <c r="R880" s="81" t="str">
        <f>TRIM(_xlfn.XLOOKUP(tblMovimientos[[#This Row],[Cuenta Bancaria]],Cuentas!$C:$C,Cuentas!$B:$B,""))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71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>IF(F881="Ingreso",J881,-J881)</f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3" t="str">
        <f>IF(tblMovimientos[[#This Row],[Tipo de Movimiento]]="Ingreso",tblMovimientos[[#This Row],[Monto (S/)]],"0")</f>
        <v>0</v>
      </c>
      <c r="O881" s="63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81" t="str">
        <f>IF(tblMovimientos[[#This Row],[Cuenta Bancaria]]="","",_xlfn.XLOOKUP(tblMovimientos[[#This Row],[Cuenta Bancaria]],Cuentas!$C:$C,Cuentas!$A:$A,"No encontrado"))</f>
        <v>SSP Group</v>
      </c>
      <c r="R881" s="81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71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>IF(F882="Ingreso",J882,-J882)</f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3" t="str">
        <f>IF(tblMovimientos[[#This Row],[Tipo de Movimiento]]="Ingreso",tblMovimientos[[#This Row],[Monto (S/)]],"0")</f>
        <v>0</v>
      </c>
      <c r="O882" s="63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81" t="str">
        <f>IF(tblMovimientos[[#This Row],[Cuenta Bancaria]]="","",_xlfn.XLOOKUP(tblMovimientos[[#This Row],[Cuenta Bancaria]],Cuentas!$C:$C,Cuentas!$A:$A,"No encontrado"))</f>
        <v>Trust</v>
      </c>
      <c r="R882" s="81" t="str">
        <f>TRIM(_xlfn.XLOOKUP(tblMovimientos[[#This Row],[Cuenta Bancaria]],Cuentas!$C:$C,Cuentas!$B:$B,""))</f>
        <v/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71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>IF(F883="Ingreso",J883,-J883)</f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3" t="str">
        <f>IF(tblMovimientos[[#This Row],[Tipo de Movimiento]]="Ingreso",tblMovimientos[[#This Row],[Monto (S/)]],"0")</f>
        <v>0</v>
      </c>
      <c r="O883" s="63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81" t="str">
        <f>IF(tblMovimientos[[#This Row],[Cuenta Bancaria]]="","",_xlfn.XLOOKUP(tblMovimientos[[#This Row],[Cuenta Bancaria]],Cuentas!$C:$C,Cuentas!$A:$A,"No encontrado"))</f>
        <v>SSP Group</v>
      </c>
      <c r="R883" s="81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71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>IF(F884="Ingreso",J884,-J884)</f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3" t="str">
        <f>IF(tblMovimientos[[#This Row],[Tipo de Movimiento]]="Ingreso",tblMovimientos[[#This Row],[Monto (S/)]],"0")</f>
        <v>0</v>
      </c>
      <c r="O884" s="63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81" t="str">
        <f>IF(tblMovimientos[[#This Row],[Cuenta Bancaria]]="","",_xlfn.XLOOKUP(tblMovimientos[[#This Row],[Cuenta Bancaria]],Cuentas!$C:$C,Cuentas!$A:$A,"No encontrado"))</f>
        <v>SSP Group</v>
      </c>
      <c r="R884" s="81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71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>IF(F885="Ingreso",J885,-J885)</f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3" t="str">
        <f>IF(tblMovimientos[[#This Row],[Tipo de Movimiento]]="Ingreso",tblMovimientos[[#This Row],[Monto (S/)]],"0")</f>
        <v>0</v>
      </c>
      <c r="O885" s="63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81" t="str">
        <f>IF(tblMovimientos[[#This Row],[Cuenta Bancaria]]="","",_xlfn.XLOOKUP(tblMovimientos[[#This Row],[Cuenta Bancaria]],Cuentas!$C:$C,Cuentas!$A:$A,"No encontrado"))</f>
        <v>SSP Group</v>
      </c>
      <c r="R885" s="81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71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>IF(F886="Ingreso",J886,-J886)</f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3" t="str">
        <f>IF(tblMovimientos[[#This Row],[Tipo de Movimiento]]="Ingreso",tblMovimientos[[#This Row],[Monto (S/)]],"0")</f>
        <v>0</v>
      </c>
      <c r="O886" s="63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81" t="str">
        <f>IF(tblMovimientos[[#This Row],[Cuenta Bancaria]]="","",_xlfn.XLOOKUP(tblMovimientos[[#This Row],[Cuenta Bancaria]],Cuentas!$C:$C,Cuentas!$A:$A,"No encontrado"))</f>
        <v>SSP Group</v>
      </c>
      <c r="R886" s="81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71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>IF(F887="Ingreso",J887,-J887)</f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3" t="str">
        <f>IF(tblMovimientos[[#This Row],[Tipo de Movimiento]]="Ingreso",tblMovimientos[[#This Row],[Monto (S/)]],"0")</f>
        <v>0</v>
      </c>
      <c r="O887" s="63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81" t="str">
        <f>IF(tblMovimientos[[#This Row],[Cuenta Bancaria]]="","",_xlfn.XLOOKUP(tblMovimientos[[#This Row],[Cuenta Bancaria]],Cuentas!$C:$C,Cuentas!$A:$A,"No encontrado"))</f>
        <v>SSP Group</v>
      </c>
      <c r="R887" s="81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71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>IF(F888="Ingreso",J888,-J888)</f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3" t="str">
        <f>IF(tblMovimientos[[#This Row],[Tipo de Movimiento]]="Ingreso",tblMovimientos[[#This Row],[Monto (S/)]],"0")</f>
        <v>0</v>
      </c>
      <c r="O888" s="63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81" t="str">
        <f>IF(tblMovimientos[[#This Row],[Cuenta Bancaria]]="","",_xlfn.XLOOKUP(tblMovimientos[[#This Row],[Cuenta Bancaria]],Cuentas!$C:$C,Cuentas!$A:$A,"No encontrado"))</f>
        <v>SSP Group</v>
      </c>
      <c r="R888" s="81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71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>IF(F889="Ingreso",J889,-J889)</f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3" t="str">
        <f>IF(tblMovimientos[[#This Row],[Tipo de Movimiento]]="Ingreso",tblMovimientos[[#This Row],[Monto (S/)]],"0")</f>
        <v>0</v>
      </c>
      <c r="O889" s="63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81" t="str">
        <f>IF(tblMovimientos[[#This Row],[Cuenta Bancaria]]="","",_xlfn.XLOOKUP(tblMovimientos[[#This Row],[Cuenta Bancaria]],Cuentas!$C:$C,Cuentas!$A:$A,"No encontrado"))</f>
        <v>SSP Group</v>
      </c>
      <c r="R889" s="81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71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>IF(F890="Ingreso",J890,-J890)</f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3">
        <f>IF(tblMovimientos[[#This Row],[Tipo de Movimiento]]="Ingreso",tblMovimientos[[#This Row],[Monto (S/)]],"0")</f>
        <v>17835.61</v>
      </c>
      <c r="O890" s="63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81" t="str">
        <f>IF(tblMovimientos[[#This Row],[Cuenta Bancaria]]="","",_xlfn.XLOOKUP(tblMovimientos[[#This Row],[Cuenta Bancaria]],Cuentas!$C:$C,Cuentas!$A:$A,"No encontrado"))</f>
        <v>SSP Group</v>
      </c>
      <c r="R890" s="81" t="str">
        <f>TRIM(_xlfn.XLOOKUP(tblMovimientos[[#This Row],[Cuenta Bancaria]],Cuentas!$C:$C,Cuentas!$B:$B,""))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71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>IF(F891="Ingreso",J891,-J891)</f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3" t="str">
        <f>IF(tblMovimientos[[#This Row],[Tipo de Movimiento]]="Ingreso",tblMovimientos[[#This Row],[Monto (S/)]],"0")</f>
        <v>0</v>
      </c>
      <c r="O891" s="63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81" t="str">
        <f>IF(tblMovimientos[[#This Row],[Cuenta Bancaria]]="","",_xlfn.XLOOKUP(tblMovimientos[[#This Row],[Cuenta Bancaria]],Cuentas!$C:$C,Cuentas!$A:$A,"No encontrado"))</f>
        <v>SSP Group</v>
      </c>
      <c r="R891" s="81" t="str">
        <f>TRIM(_xlfn.XLOOKUP(tblMovimientos[[#This Row],[Cuenta Bancaria]],Cuentas!$C:$C,Cuentas!$B:$B,""))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71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>IF(F892="Ingreso",J892,-J892)</f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3" t="str">
        <f>IF(tblMovimientos[[#This Row],[Tipo de Movimiento]]="Ingreso",tblMovimientos[[#This Row],[Monto (S/)]],"0")</f>
        <v>0</v>
      </c>
      <c r="O892" s="63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81" t="str">
        <f>IF(tblMovimientos[[#This Row],[Cuenta Bancaria]]="","",_xlfn.XLOOKUP(tblMovimientos[[#This Row],[Cuenta Bancaria]],Cuentas!$C:$C,Cuentas!$A:$A,"No encontrado"))</f>
        <v>SSP Group</v>
      </c>
      <c r="R892" s="81" t="str">
        <f>TRIM(_xlfn.XLOOKUP(tblMovimientos[[#This Row],[Cuenta Bancaria]],Cuentas!$C:$C,Cuentas!$B:$B,""))</f>
        <v/>
      </c>
    </row>
    <row r="893" spans="1:18" x14ac:dyDescent="0.3">
      <c r="A893" s="79"/>
      <c r="B893" s="73">
        <v>46266</v>
      </c>
      <c r="C893" s="4" t="str">
        <f>_xlfn.XLOOKUP(tblMovimientos[[#This Row],[Cuenta Bancaria]],Listas!$B:$B,Listas!$A:$A,"")</f>
        <v>Carmen Cross Irrevocable Trust</v>
      </c>
      <c r="D893" s="75" t="s">
        <v>184</v>
      </c>
      <c r="E893" s="71" t="str">
        <f>_xlfn.XLOOKUP(tblMovimientos[[#This Row],[Cuenta Bancaria]],Listas!$B:$B,Listas!$C:$C,"")</f>
        <v xml:space="preserve">Amerant Bank </v>
      </c>
      <c r="F893" s="75" t="s">
        <v>10</v>
      </c>
      <c r="G893" s="75" t="s">
        <v>46</v>
      </c>
      <c r="H893" s="80" t="str">
        <f>IFERROR(_xlfn.XLOOKUP(G893,Listas!E:E,Listas!F:F,""),"")</f>
        <v>Financiamiento</v>
      </c>
      <c r="I893" s="74" t="str">
        <f>IFERROR(_xlfn.XLOOKUP(G893,Listas!E:E,Listas!G:G,""),"")</f>
        <v>Externo</v>
      </c>
      <c r="J893" s="76">
        <v>30792.86</v>
      </c>
      <c r="K893" s="48">
        <f>IF(F893="Ingreso",J893,-J893)</f>
        <v>-30792.86</v>
      </c>
      <c r="L893" s="77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3" t="str">
        <f>IF(tblMovimientos[[#This Row],[Tipo de Movimiento]]="Ingreso",tblMovimientos[[#This Row],[Monto (S/)]],"0")</f>
        <v>0</v>
      </c>
      <c r="O893" s="63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81" t="str">
        <f>IF(tblMovimientos[[#This Row],[Cuenta Bancaria]]="","",_xlfn.XLOOKUP(tblMovimientos[[#This Row],[Cuenta Bancaria]],Cuentas!$C:$C,Cuentas!$A:$A,"No encontrado"))</f>
        <v>Carmen Cross Irrevocable Trust</v>
      </c>
      <c r="R893" s="81" t="str">
        <f>TRIM(_xlfn.XLOOKUP(tblMovimientos[[#This Row],[Cuenta Bancaria]],Cuentas!$C:$C,Cuentas!$B:$B,""))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71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>IF(F894="Ingreso",J894,-J894)</f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3" t="str">
        <f>IF(tblMovimientos[[#This Row],[Tipo de Movimiento]]="Ingreso",tblMovimientos[[#This Row],[Monto (S/)]],"0")</f>
        <v>0</v>
      </c>
      <c r="O894" s="63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81" t="str">
        <f>IF(tblMovimientos[[#This Row],[Cuenta Bancaria]]="","",_xlfn.XLOOKUP(tblMovimientos[[#This Row],[Cuenta Bancaria]],Cuentas!$C:$C,Cuentas!$A:$A,"No encontrado"))</f>
        <v>Unidades de Negocio</v>
      </c>
      <c r="R894" s="81" t="str">
        <f>TRIM(_xlfn.XLOOKUP(tblMovimientos[[#This Row],[Cuenta Bancaria]],Cuentas!$C:$C,Cuentas!$B:$B,""))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71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>IF(F895="Ingreso",J895,-J895)</f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3" t="str">
        <f>IF(tblMovimientos[[#This Row],[Tipo de Movimiento]]="Ingreso",tblMovimientos[[#This Row],[Monto (S/)]],"0")</f>
        <v>0</v>
      </c>
      <c r="O895" s="63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81" t="str">
        <f>IF(tblMovimientos[[#This Row],[Cuenta Bancaria]]="","",_xlfn.XLOOKUP(tblMovimientos[[#This Row],[Cuenta Bancaria]],Cuentas!$C:$C,Cuentas!$A:$A,"No encontrado"))</f>
        <v>Unidades de Negocio</v>
      </c>
      <c r="R895" s="81" t="str">
        <f>TRIM(_xlfn.XLOOKUP(tblMovimientos[[#This Row],[Cuenta Bancaria]],Cuentas!$C:$C,Cuentas!$B:$B,""))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71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>IF(F896="Ingreso",J896,-J896)</f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3" t="str">
        <f>IF(tblMovimientos[[#This Row],[Tipo de Movimiento]]="Ingreso",tblMovimientos[[#This Row],[Monto (S/)]],"0")</f>
        <v>0</v>
      </c>
      <c r="O896" s="63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81" t="str">
        <f>IF(tblMovimientos[[#This Row],[Cuenta Bancaria]]="","",_xlfn.XLOOKUP(tblMovimientos[[#This Row],[Cuenta Bancaria]],Cuentas!$C:$C,Cuentas!$A:$A,"No encontrado"))</f>
        <v>Unidades de Negocio</v>
      </c>
      <c r="R896" s="81" t="str">
        <f>TRIM(_xlfn.XLOOKUP(tblMovimientos[[#This Row],[Cuenta Bancaria]],Cuentas!$C:$C,Cuentas!$B:$B,""))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71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>IF(F897="Ingreso",J897,-J897)</f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3" t="str">
        <f>IF(tblMovimientos[[#This Row],[Tipo de Movimiento]]="Ingreso",tblMovimientos[[#This Row],[Monto (S/)]],"0")</f>
        <v>0</v>
      </c>
      <c r="O897" s="63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81" t="str">
        <f>IF(tblMovimientos[[#This Row],[Cuenta Bancaria]]="","",_xlfn.XLOOKUP(tblMovimientos[[#This Row],[Cuenta Bancaria]],Cuentas!$C:$C,Cuentas!$A:$A,"No encontrado"))</f>
        <v>Unidades de Negocio</v>
      </c>
      <c r="R897" s="81" t="str">
        <f>TRIM(_xlfn.XLOOKUP(tblMovimientos[[#This Row],[Cuenta Bancaria]],Cuentas!$C:$C,Cuentas!$B:$B,""))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215</v>
      </c>
      <c r="E898" s="71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>IF(F898="Ingreso",J898,-J898)</f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3" t="str">
        <f>IF(tblMovimientos[[#This Row],[Tipo de Movimiento]]="Ingreso",tblMovimientos[[#This Row],[Monto (S/)]],"0")</f>
        <v>0</v>
      </c>
      <c r="O898" s="63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81" t="str">
        <f>IF(tblMovimientos[[#This Row],[Cuenta Bancaria]]="","",_xlfn.XLOOKUP(tblMovimientos[[#This Row],[Cuenta Bancaria]],Cuentas!$C:$C,Cuentas!$A:$A,"No encontrado"))</f>
        <v>Michael Cross</v>
      </c>
      <c r="R898" s="81" t="str">
        <f>TRIM(_xlfn.XLOOKUP(tblMovimientos[[#This Row],[Cuenta Bancaria]],Cuentas!$C:$C,Cuentas!$B:$B,""))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71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3">
        <f>IF(tblMovimientos[[#This Row],[Tipo de Movimiento]]="Ingreso",tblMovimientos[[#This Row],[Monto (S/)]],"0")</f>
        <v>1905</v>
      </c>
      <c r="O899" s="63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81" t="str">
        <f>IF(tblMovimientos[[#This Row],[Cuenta Bancaria]]="","",_xlfn.XLOOKUP(tblMovimientos[[#This Row],[Cuenta Bancaria]],Cuentas!$C:$C,Cuentas!$A:$A,"No encontrado"))</f>
        <v>Carmen Cross / Estate</v>
      </c>
      <c r="R899" s="81" t="str">
        <f>TRIM(_xlfn.XLOOKUP(tblMovimientos[[#This Row],[Cuenta Bancaria]],Cuentas!$C:$C,Cuentas!$B:$B,""))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71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>IF(F900="Ingreso",J900,-J900)</f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3">
        <f>IF(tblMovimientos[[#This Row],[Tipo de Movimiento]]="Ingreso",tblMovimientos[[#This Row],[Monto (S/)]],"0")</f>
        <v>1850</v>
      </c>
      <c r="O900" s="63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81" t="str">
        <f>IF(tblMovimientos[[#This Row],[Cuenta Bancaria]]="","",_xlfn.XLOOKUP(tblMovimientos[[#This Row],[Cuenta Bancaria]],Cuentas!$C:$C,Cuentas!$A:$A,"No encontrado"))</f>
        <v>Carmen Cross / Estate</v>
      </c>
      <c r="R900" s="81" t="str">
        <f>TRIM(_xlfn.XLOOKUP(tblMovimientos[[#This Row],[Cuenta Bancaria]],Cuentas!$C:$C,Cuentas!$B:$B,""))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71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>IF(F901="Ingreso",J901,-J901)</f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3">
        <f>IF(tblMovimientos[[#This Row],[Tipo de Movimiento]]="Ingreso",tblMovimientos[[#This Row],[Monto (S/)]],"0")</f>
        <v>735</v>
      </c>
      <c r="O901" s="63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81" t="str">
        <f>IF(tblMovimientos[[#This Row],[Cuenta Bancaria]]="","",_xlfn.XLOOKUP(tblMovimientos[[#This Row],[Cuenta Bancaria]],Cuentas!$C:$C,Cuentas!$A:$A,"No encontrado"))</f>
        <v>Carmen Cross / Estate</v>
      </c>
      <c r="R901" s="81" t="str">
        <f>TRIM(_xlfn.XLOOKUP(tblMovimientos[[#This Row],[Cuenta Bancaria]],Cuentas!$C:$C,Cuentas!$B:$B,""))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71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>IF(F902="Ingreso",J902,-J902)</f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3" t="str">
        <f>IF(tblMovimientos[[#This Row],[Tipo de Movimiento]]="Ingreso",tblMovimientos[[#This Row],[Monto (S/)]],"0")</f>
        <v>0</v>
      </c>
      <c r="O902" s="63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81" t="str">
        <f>IF(tblMovimientos[[#This Row],[Cuenta Bancaria]]="","",_xlfn.XLOOKUP(tblMovimientos[[#This Row],[Cuenta Bancaria]],Cuentas!$C:$C,Cuentas!$A:$A,"No encontrado"))</f>
        <v>Carmen Cross / Estate</v>
      </c>
      <c r="R902" s="81" t="str">
        <f>TRIM(_xlfn.XLOOKUP(tblMovimientos[[#This Row],[Cuenta Bancaria]],Cuentas!$C:$C,Cuentas!$B:$B,""))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71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72" t="str">
        <f>IFERROR(_xlfn.XLOOKUP(G903,Listas!E:E,Listas!G:G,""),"")</f>
        <v>Externo</v>
      </c>
      <c r="J903" s="43">
        <v>215.14</v>
      </c>
      <c r="K903" s="5">
        <f>IF(F903="Ingreso",J903,-J903)</f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3" t="str">
        <f>IF(tblMovimientos[[#This Row],[Tipo de Movimiento]]="Ingreso",tblMovimientos[[#This Row],[Monto (S/)]],"0")</f>
        <v>0</v>
      </c>
      <c r="O903" s="63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81" t="str">
        <f>IF(tblMovimientos[[#This Row],[Cuenta Bancaria]]="","",_xlfn.XLOOKUP(tblMovimientos[[#This Row],[Cuenta Bancaria]],Cuentas!$C:$C,Cuentas!$A:$A,"No encontrado"))</f>
        <v>SSP Group</v>
      </c>
      <c r="R903" s="81" t="str">
        <f>TRIM(_xlfn.XLOOKUP(tblMovimientos[[#This Row],[Cuenta Bancaria]],Cuentas!$C:$C,Cuentas!$B:$B,""))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71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3" t="str">
        <f>IFERROR(_xlfn.XLOOKUP(G904,Listas!E:E,Listas!G:G,""),"")</f>
        <v>Externo</v>
      </c>
      <c r="J904" s="43">
        <v>0</v>
      </c>
      <c r="K904" s="5">
        <f>IF(F904="Ingreso",J904,-J904)</f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3">
        <f>IF(tblMovimientos[[#This Row],[Tipo de Movimiento]]="Ingreso",tblMovimientos[[#This Row],[Monto (S/)]],"0")</f>
        <v>0</v>
      </c>
      <c r="O904" s="63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81" t="str">
        <f>IF(tblMovimientos[[#This Row],[Cuenta Bancaria]]="","",_xlfn.XLOOKUP(tblMovimientos[[#This Row],[Cuenta Bancaria]],Cuentas!$C:$C,Cuentas!$A:$A,"No encontrado"))</f>
        <v>Carmen Cross / Estate</v>
      </c>
      <c r="R904" s="81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71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>IF(F905="Ingreso",J905,-J905)</f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3">
        <f>IF(tblMovimientos[[#This Row],[Tipo de Movimiento]]="Ingreso",tblMovimientos[[#This Row],[Monto (S/)]],"0")</f>
        <v>10873.97</v>
      </c>
      <c r="O905" s="63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81" t="str">
        <f>IF(tblMovimientos[[#This Row],[Cuenta Bancaria]]="","",_xlfn.XLOOKUP(tblMovimientos[[#This Row],[Cuenta Bancaria]],Cuentas!$C:$C,Cuentas!$A:$A,"No encontrado"))</f>
        <v>SSP Group</v>
      </c>
      <c r="R905" s="81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71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>IF(F906="Ingreso",J906,-J906)</f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3" t="str">
        <f>IF(tblMovimientos[[#This Row],[Tipo de Movimiento]]="Ingreso",tblMovimientos[[#This Row],[Monto (S/)]],"0")</f>
        <v>0</v>
      </c>
      <c r="O906" s="63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81" t="str">
        <f>IF(tblMovimientos[[#This Row],[Cuenta Bancaria]]="","",_xlfn.XLOOKUP(tblMovimientos[[#This Row],[Cuenta Bancaria]],Cuentas!$C:$C,Cuentas!$A:$A,"No encontrado"))</f>
        <v>SSP Group</v>
      </c>
      <c r="R906" s="81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71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>IF(F907="Ingreso",J907,-J907)</f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3" t="str">
        <f>IF(tblMovimientos[[#This Row],[Tipo de Movimiento]]="Ingreso",tblMovimientos[[#This Row],[Monto (S/)]],"0")</f>
        <v>0</v>
      </c>
      <c r="O907" s="63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81" t="str">
        <f>IF(tblMovimientos[[#This Row],[Cuenta Bancaria]]="","",_xlfn.XLOOKUP(tblMovimientos[[#This Row],[Cuenta Bancaria]],Cuentas!$C:$C,Cuentas!$A:$A,"No encontrado"))</f>
        <v>SSP Group</v>
      </c>
      <c r="R907" s="81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71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>IF(F908="Ingreso",J908,-J908)</f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3" t="str">
        <f>IF(tblMovimientos[[#This Row],[Tipo de Movimiento]]="Ingreso",tblMovimientos[[#This Row],[Monto (S/)]],"0")</f>
        <v>0</v>
      </c>
      <c r="O908" s="63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81" t="str">
        <f>IF(tblMovimientos[[#This Row],[Cuenta Bancaria]]="","",_xlfn.XLOOKUP(tblMovimientos[[#This Row],[Cuenta Bancaria]],Cuentas!$C:$C,Cuentas!$A:$A,"No encontrado"))</f>
        <v>SSP Group</v>
      </c>
      <c r="R908" s="81" t="str">
        <f>TRIM(_xlfn.XLOOKUP(tblMovimientos[[#This Row],[Cuenta Bancaria]],Cuentas!$C:$C,Cuentas!$B:$B,""))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71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>IF(F909="Ingreso",J909,-J909)</f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3">
        <f>IF(tblMovimientos[[#This Row],[Tipo de Movimiento]]="Ingreso",tblMovimientos[[#This Row],[Monto (S/)]],"0")</f>
        <v>699844.76</v>
      </c>
      <c r="O909" s="63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81" t="str">
        <f>IF(tblMovimientos[[#This Row],[Cuenta Bancaria]]="","",_xlfn.XLOOKUP(tblMovimientos[[#This Row],[Cuenta Bancaria]],Cuentas!$C:$C,Cuentas!$A:$A,"No encontrado"))</f>
        <v>SSP Group</v>
      </c>
      <c r="R909" s="81" t="str">
        <f>TRIM(_xlfn.XLOOKUP(tblMovimientos[[#This Row],[Cuenta Bancaria]],Cuentas!$C:$C,Cuentas!$B:$B,""))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71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>IF(F910="Ingreso",J910,-J910)</f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3">
        <f>IF(tblMovimientos[[#This Row],[Tipo de Movimiento]]="Ingreso",tblMovimientos[[#This Row],[Monto (S/)]],"0")</f>
        <v>34281.760000000002</v>
      </c>
      <c r="O910" s="63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81" t="str">
        <f>IF(tblMovimientos[[#This Row],[Cuenta Bancaria]]="","",_xlfn.XLOOKUP(tblMovimientos[[#This Row],[Cuenta Bancaria]],Cuentas!$C:$C,Cuentas!$A:$A,"No encontrado"))</f>
        <v>Trust</v>
      </c>
      <c r="R910" s="81" t="str">
        <f>TRIM(_xlfn.XLOOKUP(tblMovimientos[[#This Row],[Cuenta Bancaria]],Cuentas!$C:$C,Cuentas!$B:$B,""))</f>
        <v/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71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>IF(F911="Ingreso",J911,-J911)</f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3" t="str">
        <f>IF(tblMovimientos[[#This Row],[Tipo de Movimiento]]="Ingreso",tblMovimientos[[#This Row],[Monto (S/)]],"0")</f>
        <v>0</v>
      </c>
      <c r="O911" s="63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81" t="str">
        <f>IF(tblMovimientos[[#This Row],[Cuenta Bancaria]]="","",_xlfn.XLOOKUP(tblMovimientos[[#This Row],[Cuenta Bancaria]],Cuentas!$C:$C,Cuentas!$A:$A,"No encontrado"))</f>
        <v>SSP Group</v>
      </c>
      <c r="R911" s="81" t="str">
        <f>TRIM(_xlfn.XLOOKUP(tblMovimientos[[#This Row],[Cuenta Bancaria]],Cuentas!$C:$C,Cuentas!$B:$B,""))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71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>IF(F912="Ingreso",J912,-J912)</f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3" t="str">
        <f>IF(tblMovimientos[[#This Row],[Tipo de Movimiento]]="Ingreso",tblMovimientos[[#This Row],[Monto (S/)]],"0")</f>
        <v>0</v>
      </c>
      <c r="O912" s="63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81" t="str">
        <f>IF(tblMovimientos[[#This Row],[Cuenta Bancaria]]="","",_xlfn.XLOOKUP(tblMovimientos[[#This Row],[Cuenta Bancaria]],Cuentas!$C:$C,Cuentas!$A:$A,"No encontrado"))</f>
        <v>SSP Group</v>
      </c>
      <c r="R912" s="81" t="str">
        <f>TRIM(_xlfn.XLOOKUP(tblMovimientos[[#This Row],[Cuenta Bancaria]],Cuentas!$C:$C,Cuentas!$B:$B,""))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71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>IF(F913="Ingreso",J913,-J913)</f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3" t="str">
        <f>IF(tblMovimientos[[#This Row],[Tipo de Movimiento]]="Ingreso",tblMovimientos[[#This Row],[Monto (S/)]],"0")</f>
        <v>0</v>
      </c>
      <c r="O913" s="63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81" t="str">
        <f>IF(tblMovimientos[[#This Row],[Cuenta Bancaria]]="","",_xlfn.XLOOKUP(tblMovimientos[[#This Row],[Cuenta Bancaria]],Cuentas!$C:$C,Cuentas!$A:$A,"No encontrado"))</f>
        <v>SSP Group</v>
      </c>
      <c r="R913" s="81" t="str">
        <f>TRIM(_xlfn.XLOOKUP(tblMovimientos[[#This Row],[Cuenta Bancaria]],Cuentas!$C:$C,Cuentas!$B:$B,""))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71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>IF(F914="Ingreso",J914,-J914)</f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3" t="str">
        <f>IF(tblMovimientos[[#This Row],[Tipo de Movimiento]]="Ingreso",tblMovimientos[[#This Row],[Monto (S/)]],"0")</f>
        <v>0</v>
      </c>
      <c r="O914" s="63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81" t="str">
        <f>IF(tblMovimientos[[#This Row],[Cuenta Bancaria]]="","",_xlfn.XLOOKUP(tblMovimientos[[#This Row],[Cuenta Bancaria]],Cuentas!$C:$C,Cuentas!$A:$A,"No encontrado"))</f>
        <v>SSP Group</v>
      </c>
      <c r="R914" s="81" t="str">
        <f>TRIM(_xlfn.XLOOKUP(tblMovimientos[[#This Row],[Cuenta Bancaria]],Cuentas!$C:$C,Cuentas!$B:$B,""))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71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>IF(F915="Ingreso",J915,-J915)</f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3" t="str">
        <f>IF(tblMovimientos[[#This Row],[Tipo de Movimiento]]="Ingreso",tblMovimientos[[#This Row],[Monto (S/)]],"0")</f>
        <v>0</v>
      </c>
      <c r="O915" s="63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81" t="str">
        <f>IF(tblMovimientos[[#This Row],[Cuenta Bancaria]]="","",_xlfn.XLOOKUP(tblMovimientos[[#This Row],[Cuenta Bancaria]],Cuentas!$C:$C,Cuentas!$A:$A,"No encontrado"))</f>
        <v>SSP Group</v>
      </c>
      <c r="R915" s="81" t="str">
        <f>TRIM(_xlfn.XLOOKUP(tblMovimientos[[#This Row],[Cuenta Bancaria]],Cuentas!$C:$C,Cuentas!$B:$B,""))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71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>IF(F916="Ingreso",J916,-J916)</f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3" t="str">
        <f>IF(tblMovimientos[[#This Row],[Tipo de Movimiento]]="Ingreso",tblMovimientos[[#This Row],[Monto (S/)]],"0")</f>
        <v>0</v>
      </c>
      <c r="O916" s="63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81" t="str">
        <f>IF(tblMovimientos[[#This Row],[Cuenta Bancaria]]="","",_xlfn.XLOOKUP(tblMovimientos[[#This Row],[Cuenta Bancaria]],Cuentas!$C:$C,Cuentas!$A:$A,"No encontrado"))</f>
        <v>SSP Group</v>
      </c>
      <c r="R916" s="81" t="str">
        <f>TRIM(_xlfn.XLOOKUP(tblMovimientos[[#This Row],[Cuenta Bancaria]],Cuentas!$C:$C,Cuentas!$B:$B,""))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71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>IF(F917="Ingreso",J917,-J917)</f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3">
        <f>IF(tblMovimientos[[#This Row],[Tipo de Movimiento]]="Ingreso",tblMovimientos[[#This Row],[Monto (S/)]],"0")</f>
        <v>2150</v>
      </c>
      <c r="O917" s="63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81" t="str">
        <f>IF(tblMovimientos[[#This Row],[Cuenta Bancaria]]="","",_xlfn.XLOOKUP(tblMovimientos[[#This Row],[Cuenta Bancaria]],Cuentas!$C:$C,Cuentas!$A:$A,"No encontrado"))</f>
        <v>Carmen Cross / Estate</v>
      </c>
      <c r="R917" s="81" t="str">
        <f>TRIM(_xlfn.XLOOKUP(tblMovimientos[[#This Row],[Cuenta Bancaria]],Cuentas!$C:$C,Cuentas!$B:$B,""))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71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>IF(F918="Ingreso",J918,-J918)</f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3" t="str">
        <f>IF(tblMovimientos[[#This Row],[Tipo de Movimiento]]="Ingreso",tblMovimientos[[#This Row],[Monto (S/)]],"0")</f>
        <v>0</v>
      </c>
      <c r="O918" s="63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81" t="str">
        <f>IF(tblMovimientos[[#This Row],[Cuenta Bancaria]]="","",_xlfn.XLOOKUP(tblMovimientos[[#This Row],[Cuenta Bancaria]],Cuentas!$C:$C,Cuentas!$A:$A,"No encontrado"))</f>
        <v>Carmen Cross / Estate</v>
      </c>
      <c r="R918" s="81" t="str">
        <f>TRIM(_xlfn.XLOOKUP(tblMovimientos[[#This Row],[Cuenta Bancaria]],Cuentas!$C:$C,Cuentas!$B:$B,""))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71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>IF(F919="Ingreso",J919,-J919)</f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3" t="str">
        <f>IF(tblMovimientos[[#This Row],[Tipo de Movimiento]]="Ingreso",tblMovimientos[[#This Row],[Monto (S/)]],"0")</f>
        <v>0</v>
      </c>
      <c r="O919" s="63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81" t="str">
        <f>IF(tblMovimientos[[#This Row],[Cuenta Bancaria]]="","",_xlfn.XLOOKUP(tblMovimientos[[#This Row],[Cuenta Bancaria]],Cuentas!$C:$C,Cuentas!$A:$A,"No encontrado"))</f>
        <v>Carmen Cross / Estate</v>
      </c>
      <c r="R919" s="81" t="str">
        <f>TRIM(_xlfn.XLOOKUP(tblMovimientos[[#This Row],[Cuenta Bancaria]],Cuentas!$C:$C,Cuentas!$B:$B,""))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71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72" t="str">
        <f>IFERROR(_xlfn.XLOOKUP(G920,Listas!E:E,Listas!G:G,""),"")</f>
        <v>Externo</v>
      </c>
      <c r="J920" s="43">
        <v>55</v>
      </c>
      <c r="K920" s="5">
        <f>IF(F920="Ingreso",J920,-J920)</f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3" t="str">
        <f>IF(tblMovimientos[[#This Row],[Tipo de Movimiento]]="Ingreso",tblMovimientos[[#This Row],[Monto (S/)]],"0")</f>
        <v>0</v>
      </c>
      <c r="O920" s="63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81" t="str">
        <f>IF(tblMovimientos[[#This Row],[Cuenta Bancaria]]="","",_xlfn.XLOOKUP(tblMovimientos[[#This Row],[Cuenta Bancaria]],Cuentas!$C:$C,Cuentas!$A:$A,"No encontrado"))</f>
        <v>SSP Group</v>
      </c>
      <c r="R920" s="81" t="str">
        <f>TRIM(_xlfn.XLOOKUP(tblMovimientos[[#This Row],[Cuenta Bancaria]],Cuentas!$C:$C,Cuentas!$B:$B,""))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71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72" t="str">
        <f>IFERROR(_xlfn.XLOOKUP(G921,Listas!E:E,Listas!G:G,""),"")</f>
        <v>Externo</v>
      </c>
      <c r="J921" s="43">
        <v>55</v>
      </c>
      <c r="K921" s="5">
        <f>IF(F921="Ingreso",J921,-J921)</f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3" t="str">
        <f>IF(tblMovimientos[[#This Row],[Tipo de Movimiento]]="Ingreso",tblMovimientos[[#This Row],[Monto (S/)]],"0")</f>
        <v>0</v>
      </c>
      <c r="O921" s="63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81" t="str">
        <f>IF(tblMovimientos[[#This Row],[Cuenta Bancaria]]="","",_xlfn.XLOOKUP(tblMovimientos[[#This Row],[Cuenta Bancaria]],Cuentas!$C:$C,Cuentas!$A:$A,"No encontrado"))</f>
        <v>SSP Group</v>
      </c>
      <c r="R921" s="81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71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>IF(F922="Ingreso",J922,-J922)</f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3">
        <f>IF(tblMovimientos[[#This Row],[Tipo de Movimiento]]="Ingreso",tblMovimientos[[#This Row],[Monto (S/)]],"0")</f>
        <v>15266.29</v>
      </c>
      <c r="O922" s="63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81" t="str">
        <f>IF(tblMovimientos[[#This Row],[Cuenta Bancaria]]="","",_xlfn.XLOOKUP(tblMovimientos[[#This Row],[Cuenta Bancaria]],Cuentas!$C:$C,Cuentas!$A:$A,"No encontrado"))</f>
        <v>SSP Group</v>
      </c>
      <c r="R922" s="81" t="str">
        <f>TRIM(_xlfn.XLOOKUP(tblMovimientos[[#This Row],[Cuenta Bancaria]],Cuentas!$C:$C,Cuentas!$B:$B,""))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71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>IF(F923="Ingreso",J923,-J923)</f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3" t="str">
        <f>IF(tblMovimientos[[#This Row],[Tipo de Movimiento]]="Ingreso",tblMovimientos[[#This Row],[Monto (S/)]],"0")</f>
        <v>0</v>
      </c>
      <c r="O923" s="63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81" t="str">
        <f>IF(tblMovimientos[[#This Row],[Cuenta Bancaria]]="","",_xlfn.XLOOKUP(tblMovimientos[[#This Row],[Cuenta Bancaria]],Cuentas!$C:$C,Cuentas!$A:$A,"No encontrado"))</f>
        <v>SSP Group</v>
      </c>
      <c r="R923" s="81" t="str">
        <f>TRIM(_xlfn.XLOOKUP(tblMovimientos[[#This Row],[Cuenta Bancaria]],Cuentas!$C:$C,Cuentas!$B:$B,""))</f>
        <v>Cross Security Trust</v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71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>IF(F924="Ingreso",J924,-J924)</f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3" t="str">
        <f>IF(tblMovimientos[[#This Row],[Tipo de Movimiento]]="Ingreso",tblMovimientos[[#This Row],[Monto (S/)]],"0")</f>
        <v>0</v>
      </c>
      <c r="O924" s="63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81" t="str">
        <f>IF(tblMovimientos[[#This Row],[Cuenta Bancaria]]="","",_xlfn.XLOOKUP(tblMovimientos[[#This Row],[Cuenta Bancaria]],Cuentas!$C:$C,Cuentas!$A:$A,"No encontrado"))</f>
        <v>SSP Group</v>
      </c>
      <c r="R924" s="81" t="str">
        <f>TRIM(_xlfn.XLOOKUP(tblMovimientos[[#This Row],[Cuenta Bancaria]],Cuentas!$C:$C,Cuentas!$B:$B,""))</f>
        <v>Cross Security Trust</v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71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>IF(F925="Ingreso",J925,-J925)</f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3" t="str">
        <f>IF(tblMovimientos[[#This Row],[Tipo de Movimiento]]="Ingreso",tblMovimientos[[#This Row],[Monto (S/)]],"0")</f>
        <v>0</v>
      </c>
      <c r="O925" s="63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81" t="str">
        <f>IF(tblMovimientos[[#This Row],[Cuenta Bancaria]]="","",_xlfn.XLOOKUP(tblMovimientos[[#This Row],[Cuenta Bancaria]],Cuentas!$C:$C,Cuentas!$A:$A,"No encontrado"))</f>
        <v>SSP Group</v>
      </c>
      <c r="R925" s="81" t="str">
        <f>TRIM(_xlfn.XLOOKUP(tblMovimientos[[#This Row],[Cuenta Bancaria]],Cuentas!$C:$C,Cuentas!$B:$B,""))</f>
        <v>Cross Security Trust</v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71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>IF(F926="Ingreso",J926,-J926)</f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3" t="str">
        <f>IF(tblMovimientos[[#This Row],[Tipo de Movimiento]]="Ingreso",tblMovimientos[[#This Row],[Monto (S/)]],"0")</f>
        <v>0</v>
      </c>
      <c r="O926" s="63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81" t="str">
        <f>IF(tblMovimientos[[#This Row],[Cuenta Bancaria]]="","",_xlfn.XLOOKUP(tblMovimientos[[#This Row],[Cuenta Bancaria]],Cuentas!$C:$C,Cuentas!$A:$A,"No encontrado"))</f>
        <v>SSP Group</v>
      </c>
      <c r="R926" s="81" t="str">
        <f>TRIM(_xlfn.XLOOKUP(tblMovimientos[[#This Row],[Cuenta Bancaria]],Cuentas!$C:$C,Cuentas!$B:$B,""))</f>
        <v>Cross Security Trust</v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71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>IF(F927="Ingreso",J927,-J927)</f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3" t="str">
        <f>IF(tblMovimientos[[#This Row],[Tipo de Movimiento]]="Ingreso",tblMovimientos[[#This Row],[Monto (S/)]],"0")</f>
        <v>0</v>
      </c>
      <c r="O927" s="63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81" t="str">
        <f>IF(tblMovimientos[[#This Row],[Cuenta Bancaria]]="","",_xlfn.XLOOKUP(tblMovimientos[[#This Row],[Cuenta Bancaria]],Cuentas!$C:$C,Cuentas!$A:$A,"No encontrado"))</f>
        <v>SSP Group</v>
      </c>
      <c r="R927" s="81" t="str">
        <f>TRIM(_xlfn.XLOOKUP(tblMovimientos[[#This Row],[Cuenta Bancaria]],Cuentas!$C:$C,Cuentas!$B:$B,""))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71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>IF(F928="Ingreso",J928,-J928)</f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3">
        <f>IF(tblMovimientos[[#This Row],[Tipo de Movimiento]]="Ingreso",tblMovimientos[[#This Row],[Monto (S/)]],"0")</f>
        <v>400000</v>
      </c>
      <c r="O928" s="63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81" t="str">
        <f>IF(tblMovimientos[[#This Row],[Cuenta Bancaria]]="","",_xlfn.XLOOKUP(tblMovimientos[[#This Row],[Cuenta Bancaria]],Cuentas!$C:$C,Cuentas!$A:$A,"No encontrado"))</f>
        <v>SSP Group</v>
      </c>
      <c r="R928" s="81" t="str">
        <f>TRIM(_xlfn.XLOOKUP(tblMovimientos[[#This Row],[Cuenta Bancaria]],Cuentas!$C:$C,Cuentas!$B:$B,""))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71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>IF(F929="Ingreso",J929,-J929)</f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3" t="str">
        <f>IF(tblMovimientos[[#This Row],[Tipo de Movimiento]]="Ingreso",tblMovimientos[[#This Row],[Monto (S/)]],"0")</f>
        <v>0</v>
      </c>
      <c r="O929" s="63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81" t="str">
        <f>IF(tblMovimientos[[#This Row],[Cuenta Bancaria]]="","",_xlfn.XLOOKUP(tblMovimientos[[#This Row],[Cuenta Bancaria]],Cuentas!$C:$C,Cuentas!$A:$A,"No encontrado"))</f>
        <v>SSP Group</v>
      </c>
      <c r="R929" s="81" t="str">
        <f>TRIM(_xlfn.XLOOKUP(tblMovimientos[[#This Row],[Cuenta Bancaria]],Cuentas!$C:$C,Cuentas!$B:$B,""))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71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>IF(F930="Ingreso",J930,-J930)</f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3" t="str">
        <f>IF(tblMovimientos[[#This Row],[Tipo de Movimiento]]="Ingreso",tblMovimientos[[#This Row],[Monto (S/)]],"0")</f>
        <v>0</v>
      </c>
      <c r="O930" s="63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81" t="str">
        <f>IF(tblMovimientos[[#This Row],[Cuenta Bancaria]]="","",_xlfn.XLOOKUP(tblMovimientos[[#This Row],[Cuenta Bancaria]],Cuentas!$C:$C,Cuentas!$A:$A,"No encontrado"))</f>
        <v>SSP Group</v>
      </c>
      <c r="R930" s="81" t="str">
        <f>TRIM(_xlfn.XLOOKUP(tblMovimientos[[#This Row],[Cuenta Bancaria]],Cuentas!$C:$C,Cuentas!$B:$B,""))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71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>IF(F931="Ingreso",J931,-J931)</f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3" t="str">
        <f>IF(tblMovimientos[[#This Row],[Tipo de Movimiento]]="Ingreso",tblMovimientos[[#This Row],[Monto (S/)]],"0")</f>
        <v>0</v>
      </c>
      <c r="O931" s="63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81" t="str">
        <f>IF(tblMovimientos[[#This Row],[Cuenta Bancaria]]="","",_xlfn.XLOOKUP(tblMovimientos[[#This Row],[Cuenta Bancaria]],Cuentas!$C:$C,Cuentas!$A:$A,"No encontrado"))</f>
        <v>SSP Group</v>
      </c>
      <c r="R931" s="81" t="str">
        <f>TRIM(_xlfn.XLOOKUP(tblMovimientos[[#This Row],[Cuenta Bancaria]],Cuentas!$C:$C,Cuentas!$B:$B,""))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71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>IF(F932="Ingreso",J932,-J932)</f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3" t="str">
        <f>IF(tblMovimientos[[#This Row],[Tipo de Movimiento]]="Ingreso",tblMovimientos[[#This Row],[Monto (S/)]],"0")</f>
        <v>0</v>
      </c>
      <c r="O932" s="63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81" t="str">
        <f>IF(tblMovimientos[[#This Row],[Cuenta Bancaria]]="","",_xlfn.XLOOKUP(tblMovimientos[[#This Row],[Cuenta Bancaria]],Cuentas!$C:$C,Cuentas!$A:$A,"No encontrado"))</f>
        <v>SSP Group</v>
      </c>
      <c r="R932" s="81" t="str">
        <f>TRIM(_xlfn.XLOOKUP(tblMovimientos[[#This Row],[Cuenta Bancaria]],Cuentas!$C:$C,Cuentas!$B:$B,""))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71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>IF(F933="Ingreso",J933,-J933)</f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3" t="str">
        <f>IF(tblMovimientos[[#This Row],[Tipo de Movimiento]]="Ingreso",tblMovimientos[[#This Row],[Monto (S/)]],"0")</f>
        <v>0</v>
      </c>
      <c r="O933" s="63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81" t="str">
        <f>IF(tblMovimientos[[#This Row],[Cuenta Bancaria]]="","",_xlfn.XLOOKUP(tblMovimientos[[#This Row],[Cuenta Bancaria]],Cuentas!$C:$C,Cuentas!$A:$A,"No encontrado"))</f>
        <v>SSP Group</v>
      </c>
      <c r="R933" s="81" t="str">
        <f>TRIM(_xlfn.XLOOKUP(tblMovimientos[[#This Row],[Cuenta Bancaria]],Cuentas!$C:$C,Cuentas!$B:$B,""))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71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>IF(F934="Ingreso",J934,-J934)</f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3" t="str">
        <f>IF(tblMovimientos[[#This Row],[Tipo de Movimiento]]="Ingreso",tblMovimientos[[#This Row],[Monto (S/)]],"0")</f>
        <v>0</v>
      </c>
      <c r="O934" s="63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81" t="str">
        <f>IF(tblMovimientos[[#This Row],[Cuenta Bancaria]]="","",_xlfn.XLOOKUP(tblMovimientos[[#This Row],[Cuenta Bancaria]],Cuentas!$C:$C,Cuentas!$A:$A,"No encontrado"))</f>
        <v>SSP Group</v>
      </c>
      <c r="R934" s="81" t="str">
        <f>TRIM(_xlfn.XLOOKUP(tblMovimientos[[#This Row],[Cuenta Bancaria]],Cuentas!$C:$C,Cuentas!$B:$B,""))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71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>IF(F935="Ingreso",J935,-J935)</f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3" t="str">
        <f>IF(tblMovimientos[[#This Row],[Tipo de Movimiento]]="Ingreso",tblMovimientos[[#This Row],[Monto (S/)]],"0")</f>
        <v>0</v>
      </c>
      <c r="O935" s="63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81" t="str">
        <f>IF(tblMovimientos[[#This Row],[Cuenta Bancaria]]="","",_xlfn.XLOOKUP(tblMovimientos[[#This Row],[Cuenta Bancaria]],Cuentas!$C:$C,Cuentas!$A:$A,"No encontrado"))</f>
        <v>SSP Group</v>
      </c>
      <c r="R935" s="81" t="str">
        <f>TRIM(_xlfn.XLOOKUP(tblMovimientos[[#This Row],[Cuenta Bancaria]],Cuentas!$C:$C,Cuentas!$B:$B,""))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71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3" t="str">
        <f>IF(tblMovimientos[[#This Row],[Tipo de Movimiento]]="Ingreso",tblMovimientos[[#This Row],[Monto (S/)]],"0")</f>
        <v>0</v>
      </c>
      <c r="O936" s="63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81" t="str">
        <f>IF(tblMovimientos[[#This Row],[Cuenta Bancaria]]="","",_xlfn.XLOOKUP(tblMovimientos[[#This Row],[Cuenta Bancaria]],Cuentas!$C:$C,Cuentas!$A:$A,"No encontrado"))</f>
        <v>SSP Group</v>
      </c>
      <c r="R936" s="81" t="str">
        <f>TRIM(_xlfn.XLOOKUP(tblMovimientos[[#This Row],[Cuenta Bancaria]],Cuentas!$C:$C,Cuentas!$B:$B,""))</f>
        <v/>
      </c>
    </row>
    <row r="937" spans="1:18" x14ac:dyDescent="0.3">
      <c r="A937" s="79"/>
      <c r="B937" s="73">
        <v>46268</v>
      </c>
      <c r="C937" s="4" t="str">
        <f>_xlfn.XLOOKUP(tblMovimientos[[#This Row],[Cuenta Bancaria]],Listas!$B:$B,Listas!$A:$A,"")</f>
        <v>Pacha Ventures LLC</v>
      </c>
      <c r="D937" s="75" t="s">
        <v>187</v>
      </c>
      <c r="E937" s="71" t="str">
        <f>_xlfn.XLOOKUP(tblMovimientos[[#This Row],[Cuenta Bancaria]],Listas!$B:$B,Listas!$C:$C,"")</f>
        <v xml:space="preserve">Amerant Bank </v>
      </c>
      <c r="F937" s="75" t="s">
        <v>10</v>
      </c>
      <c r="G937" s="75" t="s">
        <v>38</v>
      </c>
      <c r="H937" s="80" t="str">
        <f>IFERROR(_xlfn.XLOOKUP(G937,Listas!E:E,Listas!F:F,""),"")</f>
        <v>Operativo</v>
      </c>
      <c r="I937" s="74" t="str">
        <f>IFERROR(_xlfn.XLOOKUP(G937,Listas!E:E,Listas!G:G,""),"")</f>
        <v>Externo</v>
      </c>
      <c r="J937" s="76">
        <v>1993.01</v>
      </c>
      <c r="K937" s="5">
        <f>IF(F937="Ingreso",J937,-J937)</f>
        <v>-1993.01</v>
      </c>
      <c r="L937" s="77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3" t="str">
        <f>IF(tblMovimientos[[#This Row],[Tipo de Movimiento]]="Ingreso",tblMovimientos[[#This Row],[Monto (S/)]],"0")</f>
        <v>0</v>
      </c>
      <c r="O937" s="63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81" t="str">
        <f>IF(tblMovimientos[[#This Row],[Cuenta Bancaria]]="","",_xlfn.XLOOKUP(tblMovimientos[[#This Row],[Cuenta Bancaria]],Cuentas!$C:$C,Cuentas!$A:$A,"No encontrado"))</f>
        <v>Michael Cross</v>
      </c>
      <c r="R937" s="81" t="str">
        <f>TRIM(_xlfn.XLOOKUP(tblMovimientos[[#This Row],[Cuenta Bancaria]],Cuentas!$C:$C,Cuentas!$B:$B,""))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Carmen Cross Irrevocable Trust</v>
      </c>
      <c r="D938" s="41" t="s">
        <v>184</v>
      </c>
      <c r="E938" s="71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>IF(F938="Ingreso",J938,-J938)</f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3" t="str">
        <f>IF(tblMovimientos[[#This Row],[Tipo de Movimiento]]="Ingreso",tblMovimientos[[#This Row],[Monto (S/)]],"0")</f>
        <v>0</v>
      </c>
      <c r="O938" s="63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81" t="str">
        <f>IF(tblMovimientos[[#This Row],[Cuenta Bancaria]]="","",_xlfn.XLOOKUP(tblMovimientos[[#This Row],[Cuenta Bancaria]],Cuentas!$C:$C,Cuentas!$A:$A,"No encontrado"))</f>
        <v>Carmen Cross Irrevocable Trust</v>
      </c>
      <c r="R938" s="81" t="str">
        <f>TRIM(_xlfn.XLOOKUP(tblMovimientos[[#This Row],[Cuenta Bancaria]],Cuentas!$C:$C,Cuentas!$B:$B,""))</f>
        <v/>
      </c>
    </row>
    <row r="939" spans="1:18" x14ac:dyDescent="0.3">
      <c r="A939" s="79"/>
      <c r="B939" s="73">
        <v>46268</v>
      </c>
      <c r="C939" s="4" t="str">
        <f>_xlfn.XLOOKUP(tblMovimientos[[#This Row],[Cuenta Bancaria]],Listas!$B:$B,Listas!$A:$A,"")</f>
        <v>SIYP LLC</v>
      </c>
      <c r="D939" s="75" t="s">
        <v>185</v>
      </c>
      <c r="E939" s="71" t="str">
        <f>_xlfn.XLOOKUP(tblMovimientos[[#This Row],[Cuenta Bancaria]],Listas!$B:$B,Listas!$C:$C,"")</f>
        <v xml:space="preserve">Amerant Bank </v>
      </c>
      <c r="F939" s="75" t="s">
        <v>10</v>
      </c>
      <c r="G939" s="75" t="s">
        <v>46</v>
      </c>
      <c r="H939" s="80" t="str">
        <f>IFERROR(_xlfn.XLOOKUP(G939,Listas!E:E,Listas!F:F,""),"")</f>
        <v>Financiamiento</v>
      </c>
      <c r="I939" s="74" t="str">
        <f>IFERROR(_xlfn.XLOOKUP(G939,Listas!E:E,Listas!G:G,""),"")</f>
        <v>Externo</v>
      </c>
      <c r="J939" s="76">
        <v>1698.63</v>
      </c>
      <c r="K939" s="5">
        <f>IF(F939="Ingreso",J939,-J939)</f>
        <v>-1698.63</v>
      </c>
      <c r="L939" s="77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3" t="str">
        <f>IF(tblMovimientos[[#This Row],[Tipo de Movimiento]]="Ingreso",tblMovimientos[[#This Row],[Monto (S/)]],"0")</f>
        <v>0</v>
      </c>
      <c r="O939" s="63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81" t="str">
        <f>IF(tblMovimientos[[#This Row],[Cuenta Bancaria]]="","",_xlfn.XLOOKUP(tblMovimientos[[#This Row],[Cuenta Bancaria]],Cuentas!$C:$C,Cuentas!$A:$A,"No encontrado"))</f>
        <v>Michael Cross</v>
      </c>
      <c r="R939" s="81" t="str">
        <f>TRIM(_xlfn.XLOOKUP(tblMovimientos[[#This Row],[Cuenta Bancaria]],Cuentas!$C:$C,Cuentas!$B:$B,""))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71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>IF(F940="Ingreso",J940,-J940)</f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3">
        <f>IF(tblMovimientos[[#This Row],[Tipo de Movimiento]]="Ingreso",tblMovimientos[[#This Row],[Monto (S/)]],"0")</f>
        <v>145</v>
      </c>
      <c r="O940" s="63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81" t="str">
        <f>IF(tblMovimientos[[#This Row],[Cuenta Bancaria]]="","",_xlfn.XLOOKUP(tblMovimientos[[#This Row],[Cuenta Bancaria]],Cuentas!$C:$C,Cuentas!$A:$A,"No encontrado"))</f>
        <v>Carmen Cross / Estate</v>
      </c>
      <c r="R940" s="81" t="str">
        <f>TRIM(_xlfn.XLOOKUP(tblMovimientos[[#This Row],[Cuenta Bancaria]],Cuentas!$C:$C,Cuentas!$B:$B,""))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71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72" t="str">
        <f>IFERROR(_xlfn.XLOOKUP(G941,Listas!E:E,Listas!G:G,""),"")</f>
        <v>Externo</v>
      </c>
      <c r="J941" s="43">
        <v>40</v>
      </c>
      <c r="K941" s="5">
        <f>IF(F941="Ingreso",J941,-J941)</f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3" t="str">
        <f>IF(tblMovimientos[[#This Row],[Tipo de Movimiento]]="Ingreso",tblMovimientos[[#This Row],[Monto (S/)]],"0")</f>
        <v>0</v>
      </c>
      <c r="O941" s="63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81" t="str">
        <f>IF(tblMovimientos[[#This Row],[Cuenta Bancaria]]="","",_xlfn.XLOOKUP(tblMovimientos[[#This Row],[Cuenta Bancaria]],Cuentas!$C:$C,Cuentas!$A:$A,"No encontrado"))</f>
        <v>SSP Group</v>
      </c>
      <c r="R941" s="81" t="str">
        <f>TRIM(_xlfn.XLOOKUP(tblMovimientos[[#This Row],[Cuenta Bancaria]],Cuentas!$C:$C,Cuentas!$B:$B,""))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71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>IF(F942="Ingreso",J942,-J942)</f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3" t="str">
        <f>IF(tblMovimientos[[#This Row],[Tipo de Movimiento]]="Ingreso",tblMovimientos[[#This Row],[Monto (S/)]],"0")</f>
        <v>0</v>
      </c>
      <c r="O942" s="63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81" t="str">
        <f>IF(tblMovimientos[[#This Row],[Cuenta Bancaria]]="","",_xlfn.XLOOKUP(tblMovimientos[[#This Row],[Cuenta Bancaria]],Cuentas!$C:$C,Cuentas!$A:$A,"No encontrado"))</f>
        <v>SSP Group</v>
      </c>
      <c r="R942" s="81" t="str">
        <f>TRIM(_xlfn.XLOOKUP(tblMovimientos[[#This Row],[Cuenta Bancaria]],Cuentas!$C:$C,Cuentas!$B:$B,""))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71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>IF(F943="Ingreso",J943,-J943)</f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3">
        <f>IF(tblMovimientos[[#This Row],[Tipo de Movimiento]]="Ingreso",tblMovimientos[[#This Row],[Monto (S/)]],"0")</f>
        <v>475</v>
      </c>
      <c r="O943" s="63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81" t="str">
        <f>IF(tblMovimientos[[#This Row],[Cuenta Bancaria]]="","",_xlfn.XLOOKUP(tblMovimientos[[#This Row],[Cuenta Bancaria]],Cuentas!$C:$C,Cuentas!$A:$A,"No encontrado"))</f>
        <v>SSP Group</v>
      </c>
      <c r="R943" s="81" t="str">
        <f>TRIM(_xlfn.XLOOKUP(tblMovimientos[[#This Row],[Cuenta Bancaria]],Cuentas!$C:$C,Cuentas!$B:$B,""))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71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>IF(F944="Ingreso",J944,-J944)</f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3">
        <f>IF(tblMovimientos[[#This Row],[Tipo de Movimiento]]="Ingreso",tblMovimientos[[#This Row],[Monto (S/)]],"0")</f>
        <v>496000</v>
      </c>
      <c r="O944" s="63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81" t="str">
        <f>IF(tblMovimientos[[#This Row],[Cuenta Bancaria]]="","",_xlfn.XLOOKUP(tblMovimientos[[#This Row],[Cuenta Bancaria]],Cuentas!$C:$C,Cuentas!$A:$A,"No encontrado"))</f>
        <v>SSP Group</v>
      </c>
      <c r="R944" s="81" t="str">
        <f>TRIM(_xlfn.XLOOKUP(tblMovimientos[[#This Row],[Cuenta Bancaria]],Cuentas!$C:$C,Cuentas!$B:$B,""))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Carmen Cross Irrevocable Trust</v>
      </c>
      <c r="D945" s="41" t="s">
        <v>184</v>
      </c>
      <c r="E945" s="7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>IF(F945="Ingreso",J945,-J945)</f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3" t="str">
        <f>IF(tblMovimientos[[#This Row],[Tipo de Movimiento]]="Ingreso",tblMovimientos[[#This Row],[Monto (S/)]],"0")</f>
        <v>0</v>
      </c>
      <c r="O945" s="63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81" t="str">
        <f>IF(tblMovimientos[[#This Row],[Cuenta Bancaria]]="","",_xlfn.XLOOKUP(tblMovimientos[[#This Row],[Cuenta Bancaria]],Cuentas!$C:$C,Cuentas!$A:$A,"No encontrado"))</f>
        <v>Carmen Cross Irrevocable Trust</v>
      </c>
      <c r="R945" s="81" t="str">
        <f>TRIM(_xlfn.XLOOKUP(tblMovimientos[[#This Row],[Cuenta Bancaria]],Cuentas!$C:$C,Cuentas!$B:$B,""))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71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>IF(F946="Ingreso",J946,-J946)</f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3" t="str">
        <f>IF(tblMovimientos[[#This Row],[Tipo de Movimiento]]="Ingreso",tblMovimientos[[#This Row],[Monto (S/)]],"0")</f>
        <v>0</v>
      </c>
      <c r="O946" s="63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81" t="str">
        <f>IF(tblMovimientos[[#This Row],[Cuenta Bancaria]]="","",_xlfn.XLOOKUP(tblMovimientos[[#This Row],[Cuenta Bancaria]],Cuentas!$C:$C,Cuentas!$A:$A,"No encontrado"))</f>
        <v>Unidades de Negocio</v>
      </c>
      <c r="R946" s="81" t="str">
        <f>TRIM(_xlfn.XLOOKUP(tblMovimientos[[#This Row],[Cuenta Bancaria]],Cuentas!$C:$C,Cuentas!$B:$B,""))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71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>IF(F947="Ingreso",J947,-J947)</f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3">
        <f>IF(tblMovimientos[[#This Row],[Tipo de Movimiento]]="Ingreso",tblMovimientos[[#This Row],[Monto (S/)]],"0")</f>
        <v>215</v>
      </c>
      <c r="O947" s="63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81" t="str">
        <f>IF(tblMovimientos[[#This Row],[Cuenta Bancaria]]="","",_xlfn.XLOOKUP(tblMovimientos[[#This Row],[Cuenta Bancaria]],Cuentas!$C:$C,Cuentas!$A:$A,"No encontrado"))</f>
        <v>Carmen Cross / Estate</v>
      </c>
      <c r="R947" s="8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71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>IF(F948="Ingreso",J948,-J948)</f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3" t="str">
        <f>IF(tblMovimientos[[#This Row],[Tipo de Movimiento]]="Ingreso",tblMovimientos[[#This Row],[Monto (S/)]],"0")</f>
        <v>0</v>
      </c>
      <c r="O948" s="63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81" t="str">
        <f>IF(tblMovimientos[[#This Row],[Cuenta Bancaria]]="","",_xlfn.XLOOKUP(tblMovimientos[[#This Row],[Cuenta Bancaria]],Cuentas!$C:$C,Cuentas!$A:$A,"No encontrado"))</f>
        <v>SSP Group</v>
      </c>
      <c r="R948" s="8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71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>IF(F949="Ingreso",J949,-J949)</f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3">
        <f>IF(tblMovimientos[[#This Row],[Tipo de Movimiento]]="Ingreso",tblMovimientos[[#This Row],[Monto (S/)]],"0")</f>
        <v>5731.99</v>
      </c>
      <c r="O949" s="63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81" t="str">
        <f>IF(tblMovimientos[[#This Row],[Cuenta Bancaria]]="","",_xlfn.XLOOKUP(tblMovimientos[[#This Row],[Cuenta Bancaria]],Cuentas!$C:$C,Cuentas!$A:$A,"No encontrado"))</f>
        <v>SSP Group</v>
      </c>
      <c r="R949" s="81" t="str">
        <f>TRIM(_xlfn.XLOOKUP(tblMovimientos[[#This Row],[Cuenta Bancaria]],Cuentas!$C:$C,Cuentas!$B:$B,""))</f>
        <v>Cross Security Trust</v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71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>IF(F950="Ingreso",J950,-J950)</f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3">
        <f>IF(tblMovimientos[[#This Row],[Tipo de Movimiento]]="Ingreso",tblMovimientos[[#This Row],[Monto (S/)]],"0")</f>
        <v>122225.83</v>
      </c>
      <c r="O950" s="63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81" t="str">
        <f>IF(tblMovimientos[[#This Row],[Cuenta Bancaria]]="","",_xlfn.XLOOKUP(tblMovimientos[[#This Row],[Cuenta Bancaria]],Cuentas!$C:$C,Cuentas!$A:$A,"No encontrado"))</f>
        <v>SSP Group</v>
      </c>
      <c r="R950" s="81" t="str">
        <f>TRIM(_xlfn.XLOOKUP(tblMovimientos[[#This Row],[Cuenta Bancaria]],Cuentas!$C:$C,Cuentas!$B:$B,""))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71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>IF(F951="Ingreso",J951,-J951)</f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3" t="str">
        <f>IF(tblMovimientos[[#This Row],[Tipo de Movimiento]]="Ingreso",tblMovimientos[[#This Row],[Monto (S/)]],"0")</f>
        <v>0</v>
      </c>
      <c r="O951" s="63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81" t="str">
        <f>IF(tblMovimientos[[#This Row],[Cuenta Bancaria]]="","",_xlfn.XLOOKUP(tblMovimientos[[#This Row],[Cuenta Bancaria]],Cuentas!$C:$C,Cuentas!$A:$A,"No encontrado"))</f>
        <v>SSP Group</v>
      </c>
      <c r="R951" s="81" t="str">
        <f>TRIM(_xlfn.XLOOKUP(tblMovimientos[[#This Row],[Cuenta Bancaria]],Cuentas!$C:$C,Cuentas!$B:$B,""))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71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>IF(F952="Ingreso",J952,-J952)</f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3">
        <f>IF(tblMovimientos[[#This Row],[Tipo de Movimiento]]="Ingreso",tblMovimientos[[#This Row],[Monto (S/)]],"0")</f>
        <v>457.74</v>
      </c>
      <c r="O952" s="63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81" t="str">
        <f>IF(tblMovimientos[[#This Row],[Cuenta Bancaria]]="","",_xlfn.XLOOKUP(tblMovimientos[[#This Row],[Cuenta Bancaria]],Cuentas!$C:$C,Cuentas!$A:$A,"No encontrado"))</f>
        <v>SSP Group</v>
      </c>
      <c r="R952" s="81" t="str">
        <f>TRIM(_xlfn.XLOOKUP(tblMovimientos[[#This Row],[Cuenta Bancaria]],Cuentas!$C:$C,Cuentas!$B:$B,""))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71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>IF(F953="Ingreso",J953,-J953)</f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3">
        <f>IF(tblMovimientos[[#This Row],[Tipo de Movimiento]]="Ingreso",tblMovimientos[[#This Row],[Monto (S/)]],"0")</f>
        <v>4000</v>
      </c>
      <c r="O953" s="63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81" t="str">
        <f>IF(tblMovimientos[[#This Row],[Cuenta Bancaria]]="","",_xlfn.XLOOKUP(tblMovimientos[[#This Row],[Cuenta Bancaria]],Cuentas!$C:$C,Cuentas!$A:$A,"No encontrado"))</f>
        <v>SSP Group</v>
      </c>
      <c r="R953" s="81" t="str">
        <f>TRIM(_xlfn.XLOOKUP(tblMovimientos[[#This Row],[Cuenta Bancaria]],Cuentas!$C:$C,Cuentas!$B:$B,""))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71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>IF(F954="Ingreso",J954,-J954)</f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3">
        <f>IF(tblMovimientos[[#This Row],[Tipo de Movimiento]]="Ingreso",tblMovimientos[[#This Row],[Monto (S/)]],"0")</f>
        <v>130000</v>
      </c>
      <c r="O954" s="63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81" t="str">
        <f>IF(tblMovimientos[[#This Row],[Cuenta Bancaria]]="","",_xlfn.XLOOKUP(tblMovimientos[[#This Row],[Cuenta Bancaria]],Cuentas!$C:$C,Cuentas!$A:$A,"No encontrado"))</f>
        <v>SSP Group</v>
      </c>
      <c r="R954" s="81" t="str">
        <f>TRIM(_xlfn.XLOOKUP(tblMovimientos[[#This Row],[Cuenta Bancaria]],Cuentas!$C:$C,Cuentas!$B:$B,""))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71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>IF(F955="Ingreso",J955,-J955)</f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3" t="str">
        <f>IF(tblMovimientos[[#This Row],[Tipo de Movimiento]]="Ingreso",tblMovimientos[[#This Row],[Monto (S/)]],"0")</f>
        <v>0</v>
      </c>
      <c r="O955" s="63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81" t="str">
        <f>IF(tblMovimientos[[#This Row],[Cuenta Bancaria]]="","",_xlfn.XLOOKUP(tblMovimientos[[#This Row],[Cuenta Bancaria]],Cuentas!$C:$C,Cuentas!$A:$A,"No encontrado"))</f>
        <v>Michael Cross</v>
      </c>
      <c r="R955" s="81" t="str">
        <f>TRIM(_xlfn.XLOOKUP(tblMovimientos[[#This Row],[Cuenta Bancaria]],Cuentas!$C:$C,Cuentas!$B:$B,""))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Carmen Cross Irrevocable Trust</v>
      </c>
      <c r="D956" s="41" t="s">
        <v>188</v>
      </c>
      <c r="E956" s="71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>IF(F956="Ingreso",J956,-J956)</f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3" t="str">
        <f>IF(tblMovimientos[[#This Row],[Tipo de Movimiento]]="Ingreso",tblMovimientos[[#This Row],[Monto (S/)]],"0")</f>
        <v>0</v>
      </c>
      <c r="O956" s="63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81" t="str">
        <f>IF(tblMovimientos[[#This Row],[Cuenta Bancaria]]="","",_xlfn.XLOOKUP(tblMovimientos[[#This Row],[Cuenta Bancaria]],Cuentas!$C:$C,Cuentas!$A:$A,"No encontrado"))</f>
        <v>Carmen Cross Irrevocable Trust</v>
      </c>
      <c r="R956" s="81" t="str">
        <f>TRIM(_xlfn.XLOOKUP(tblMovimientos[[#This Row],[Cuenta Bancaria]],Cuentas!$C:$C,Cuentas!$B:$B,""))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Carmen Cross Irrevocable Trust</v>
      </c>
      <c r="D957" s="41" t="s">
        <v>188</v>
      </c>
      <c r="E957" s="71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>IF(F957="Ingreso",J957,-J957)</f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3" t="str">
        <f>IF(tblMovimientos[[#This Row],[Tipo de Movimiento]]="Ingreso",tblMovimientos[[#This Row],[Monto (S/)]],"0")</f>
        <v>0</v>
      </c>
      <c r="O957" s="63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81" t="str">
        <f>IF(tblMovimientos[[#This Row],[Cuenta Bancaria]]="","",_xlfn.XLOOKUP(tblMovimientos[[#This Row],[Cuenta Bancaria]],Cuentas!$C:$C,Cuentas!$A:$A,"No encontrado"))</f>
        <v>Carmen Cross Irrevocable Trust</v>
      </c>
      <c r="R957" s="81" t="str">
        <f>TRIM(_xlfn.XLOOKUP(tblMovimientos[[#This Row],[Cuenta Bancaria]],Cuentas!$C:$C,Cuentas!$B:$B,""))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Carmen Cross Irrevocable Trust</v>
      </c>
      <c r="D958" s="41" t="s">
        <v>188</v>
      </c>
      <c r="E958" s="71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>IF(F958="Ingreso",J958,-J958)</f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3" t="str">
        <f>IF(tblMovimientos[[#This Row],[Tipo de Movimiento]]="Ingreso",tblMovimientos[[#This Row],[Monto (S/)]],"0")</f>
        <v>0</v>
      </c>
      <c r="O958" s="63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81" t="str">
        <f>IF(tblMovimientos[[#This Row],[Cuenta Bancaria]]="","",_xlfn.XLOOKUP(tblMovimientos[[#This Row],[Cuenta Bancaria]],Cuentas!$C:$C,Cuentas!$A:$A,"No encontrado"))</f>
        <v>Carmen Cross Irrevocable Trust</v>
      </c>
      <c r="R958" s="81" t="str">
        <f>TRIM(_xlfn.XLOOKUP(tblMovimientos[[#This Row],[Cuenta Bancaria]],Cuentas!$C:$C,Cuentas!$B:$B,""))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Carmen Cross Irrevocable Trust</v>
      </c>
      <c r="D959" s="41" t="s">
        <v>184</v>
      </c>
      <c r="E959" s="71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>IF(F959="Ingreso",J959,-J959)</f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3" t="str">
        <f>IF(tblMovimientos[[#This Row],[Tipo de Movimiento]]="Ingreso",tblMovimientos[[#This Row],[Monto (S/)]],"0")</f>
        <v>0</v>
      </c>
      <c r="O959" s="63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81" t="str">
        <f>IF(tblMovimientos[[#This Row],[Cuenta Bancaria]]="","",_xlfn.XLOOKUP(tblMovimientos[[#This Row],[Cuenta Bancaria]],Cuentas!$C:$C,Cuentas!$A:$A,"No encontrado"))</f>
        <v>Carmen Cross Irrevocable Trust</v>
      </c>
      <c r="R959" s="81" t="str">
        <f>TRIM(_xlfn.XLOOKUP(tblMovimientos[[#This Row],[Cuenta Bancaria]],Cuentas!$C:$C,Cuentas!$B:$B,""))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Carmen Cross Irrevocable Trust</v>
      </c>
      <c r="D960" s="41" t="s">
        <v>184</v>
      </c>
      <c r="E960" s="71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>IF(F960="Ingreso",J960,-J960)</f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3" t="str">
        <f>IF(tblMovimientos[[#This Row],[Tipo de Movimiento]]="Ingreso",tblMovimientos[[#This Row],[Monto (S/)]],"0")</f>
        <v>0</v>
      </c>
      <c r="O960" s="63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81" t="str">
        <f>IF(tblMovimientos[[#This Row],[Cuenta Bancaria]]="","",_xlfn.XLOOKUP(tblMovimientos[[#This Row],[Cuenta Bancaria]],Cuentas!$C:$C,Cuentas!$A:$A,"No encontrado"))</f>
        <v>Carmen Cross Irrevocable Trust</v>
      </c>
      <c r="R960" s="81" t="str">
        <f>TRIM(_xlfn.XLOOKUP(tblMovimientos[[#This Row],[Cuenta Bancaria]],Cuentas!$C:$C,Cuentas!$B:$B,""))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Carmen Cross Irrevocable Trust</v>
      </c>
      <c r="D961" s="41" t="s">
        <v>184</v>
      </c>
      <c r="E961" s="71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>IF(F961="Ingreso",J961,-J961)</f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3" t="str">
        <f>IF(tblMovimientos[[#This Row],[Tipo de Movimiento]]="Ingreso",tblMovimientos[[#This Row],[Monto (S/)]],"0")</f>
        <v>0</v>
      </c>
      <c r="O961" s="63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81" t="str">
        <f>IF(tblMovimientos[[#This Row],[Cuenta Bancaria]]="","",_xlfn.XLOOKUP(tblMovimientos[[#This Row],[Cuenta Bancaria]],Cuentas!$C:$C,Cuentas!$A:$A,"No encontrado"))</f>
        <v>Carmen Cross Irrevocable Trust</v>
      </c>
      <c r="R961" s="81" t="str">
        <f>TRIM(_xlfn.XLOOKUP(tblMovimientos[[#This Row],[Cuenta Bancaria]],Cuentas!$C:$C,Cuentas!$B:$B,""))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71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>IF(F962="Ingreso",J962,-J962)</f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3" t="str">
        <f>IF(tblMovimientos[[#This Row],[Tipo de Movimiento]]="Ingreso",tblMovimientos[[#This Row],[Monto (S/)]],"0")</f>
        <v>0</v>
      </c>
      <c r="O962" s="63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81" t="str">
        <f>IF(tblMovimientos[[#This Row],[Cuenta Bancaria]]="","",_xlfn.XLOOKUP(tblMovimientos[[#This Row],[Cuenta Bancaria]],Cuentas!$C:$C,Cuentas!$A:$A,"No encontrado"))</f>
        <v>Carmen Cross / Estate</v>
      </c>
      <c r="R962" s="81" t="str">
        <f>TRIM(_xlfn.XLOOKUP(tblMovimientos[[#This Row],[Cuenta Bancaria]],Cuentas!$C:$C,Cuentas!$B:$B,""))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71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72" t="str">
        <f>IFERROR(_xlfn.XLOOKUP(G963,Listas!E:E,Listas!G:G,""),"")</f>
        <v>Externo</v>
      </c>
      <c r="J963" s="43">
        <v>1270.1300000000001</v>
      </c>
      <c r="K963" s="5">
        <f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3" t="str">
        <f>IF(tblMovimientos[[#This Row],[Tipo de Movimiento]]="Ingreso",tblMovimientos[[#This Row],[Monto (S/)]],"0")</f>
        <v>0</v>
      </c>
      <c r="O963" s="63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81" t="str">
        <f>IF(tblMovimientos[[#This Row],[Cuenta Bancaria]]="","",_xlfn.XLOOKUP(tblMovimientos[[#This Row],[Cuenta Bancaria]],Cuentas!$C:$C,Cuentas!$A:$A,"No encontrado"))</f>
        <v>SSP Group</v>
      </c>
      <c r="R963" s="81" t="str">
        <f>TRIM(_xlfn.XLOOKUP(tblMovimientos[[#This Row],[Cuenta Bancaria]],Cuentas!$C:$C,Cuentas!$B:$B,""))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71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>IF(F964="Ingreso",J964,-J964)</f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3" t="str">
        <f>IF(tblMovimientos[[#This Row],[Tipo de Movimiento]]="Ingreso",tblMovimientos[[#This Row],[Monto (S/)]],"0")</f>
        <v>0</v>
      </c>
      <c r="O964" s="63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81" t="str">
        <f>IF(tblMovimientos[[#This Row],[Cuenta Bancaria]]="","",_xlfn.XLOOKUP(tblMovimientos[[#This Row],[Cuenta Bancaria]],Cuentas!$C:$C,Cuentas!$A:$A,"No encontrado"))</f>
        <v>SSP Group</v>
      </c>
      <c r="R964" s="81" t="str">
        <f>TRIM(_xlfn.XLOOKUP(tblMovimientos[[#This Row],[Cuenta Bancaria]],Cuentas!$C:$C,Cuentas!$B:$B,""))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71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>IF(F965="Ingreso",J965,-J965)</f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3" t="str">
        <f>IF(tblMovimientos[[#This Row],[Tipo de Movimiento]]="Ingreso",tblMovimientos[[#This Row],[Monto (S/)]],"0")</f>
        <v>0</v>
      </c>
      <c r="O965" s="63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81" t="str">
        <f>IF(tblMovimientos[[#This Row],[Cuenta Bancaria]]="","",_xlfn.XLOOKUP(tblMovimientos[[#This Row],[Cuenta Bancaria]],Cuentas!$C:$C,Cuentas!$A:$A,"No encontrado"))</f>
        <v>Trust</v>
      </c>
      <c r="R965" s="81" t="str">
        <f>TRIM(_xlfn.XLOOKUP(tblMovimientos[[#This Row],[Cuenta Bancaria]],Cuentas!$C:$C,Cuentas!$B:$B,""))</f>
        <v/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71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>IF(F966="Ingreso",J966,-J966)</f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3" t="str">
        <f>IF(tblMovimientos[[#This Row],[Tipo de Movimiento]]="Ingreso",tblMovimientos[[#This Row],[Monto (S/)]],"0")</f>
        <v>0</v>
      </c>
      <c r="O966" s="63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81" t="str">
        <f>IF(tblMovimientos[[#This Row],[Cuenta Bancaria]]="","",_xlfn.XLOOKUP(tblMovimientos[[#This Row],[Cuenta Bancaria]],Cuentas!$C:$C,Cuentas!$A:$A,"No encontrado"))</f>
        <v>SSP Group</v>
      </c>
      <c r="R966" s="81" t="str">
        <f>TRIM(_xlfn.XLOOKUP(tblMovimientos[[#This Row],[Cuenta Bancaria]],Cuentas!$C:$C,Cuentas!$B:$B,""))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71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>IF(F967="Ingreso",J967,-J967)</f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3">
        <f>IF(tblMovimientos[[#This Row],[Tipo de Movimiento]]="Ingreso",tblMovimientos[[#This Row],[Monto (S/)]],"0")</f>
        <v>20000</v>
      </c>
      <c r="O967" s="63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81" t="str">
        <f>IF(tblMovimientos[[#This Row],[Cuenta Bancaria]]="","",_xlfn.XLOOKUP(tblMovimientos[[#This Row],[Cuenta Bancaria]],Cuentas!$C:$C,Cuentas!$A:$A,"No encontrado"))</f>
        <v>SSP Group</v>
      </c>
      <c r="R967" s="81" t="str">
        <f>TRIM(_xlfn.XLOOKUP(tblMovimientos[[#This Row],[Cuenta Bancaria]],Cuentas!$C:$C,Cuentas!$B:$B,""))</f>
        <v/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71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>IF(F968="Ingreso",J968,-J968)</f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3" t="str">
        <f>IF(tblMovimientos[[#This Row],[Tipo de Movimiento]]="Ingreso",tblMovimientos[[#This Row],[Monto (S/)]],"0")</f>
        <v>0</v>
      </c>
      <c r="O968" s="63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81" t="str">
        <f>IF(tblMovimientos[[#This Row],[Cuenta Bancaria]]="","",_xlfn.XLOOKUP(tblMovimientos[[#This Row],[Cuenta Bancaria]],Cuentas!$C:$C,Cuentas!$A:$A,"No encontrado"))</f>
        <v>SSP Group</v>
      </c>
      <c r="R968" s="81" t="str">
        <f>TRIM(_xlfn.XLOOKUP(tblMovimientos[[#This Row],[Cuenta Bancaria]],Cuentas!$C:$C,Cuentas!$B:$B,""))</f>
        <v/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71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>IF(F969="Ingreso",J969,-J969)</f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3">
        <f>IF(tblMovimientos[[#This Row],[Tipo de Movimiento]]="Ingreso",tblMovimientos[[#This Row],[Monto (S/)]],"0")</f>
        <v>20000</v>
      </c>
      <c r="O969" s="63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81" t="str">
        <f>IF(tblMovimientos[[#This Row],[Cuenta Bancaria]]="","",_xlfn.XLOOKUP(tblMovimientos[[#This Row],[Cuenta Bancaria]],Cuentas!$C:$C,Cuentas!$A:$A,"No encontrado"))</f>
        <v>SSP Group</v>
      </c>
      <c r="R969" s="81" t="str">
        <f>TRIM(_xlfn.XLOOKUP(tblMovimientos[[#This Row],[Cuenta Bancaria]],Cuentas!$C:$C,Cuentas!$B:$B,""))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71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>IF(F970="Ingreso",J970,-J970)</f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3" t="str">
        <f>IF(tblMovimientos[[#This Row],[Tipo de Movimiento]]="Ingreso",tblMovimientos[[#This Row],[Monto (S/)]],"0")</f>
        <v>0</v>
      </c>
      <c r="O970" s="63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81" t="str">
        <f>IF(tblMovimientos[[#This Row],[Cuenta Bancaria]]="","",_xlfn.XLOOKUP(tblMovimientos[[#This Row],[Cuenta Bancaria]],Cuentas!$C:$C,Cuentas!$A:$A,"No encontrado"))</f>
        <v>SSP Group</v>
      </c>
      <c r="R970" s="81" t="str">
        <f>TRIM(_xlfn.XLOOKUP(tblMovimientos[[#This Row],[Cuenta Bancaria]],Cuentas!$C:$C,Cuentas!$B:$B,""))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71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>IF(F971="Ingreso",J971,-J971)</f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3" t="str">
        <f>IF(tblMovimientos[[#This Row],[Tipo de Movimiento]]="Ingreso",tblMovimientos[[#This Row],[Monto (S/)]],"0")</f>
        <v>0</v>
      </c>
      <c r="O971" s="63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81" t="str">
        <f>IF(tblMovimientos[[#This Row],[Cuenta Bancaria]]="","",_xlfn.XLOOKUP(tblMovimientos[[#This Row],[Cuenta Bancaria]],Cuentas!$C:$C,Cuentas!$A:$A,"No encontrado"))</f>
        <v>Michael Cross</v>
      </c>
      <c r="R971" s="81" t="str">
        <f>TRIM(_xlfn.XLOOKUP(tblMovimientos[[#This Row],[Cuenta Bancaria]],Cuentas!$C:$C,Cuentas!$B:$B,""))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Carmen Cross Irrevocable Trust</v>
      </c>
      <c r="D972" s="41" t="s">
        <v>184</v>
      </c>
      <c r="E972" s="71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>IF(F972="Ingreso",J972,-J972)</f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3" t="str">
        <f>IF(tblMovimientos[[#This Row],[Tipo de Movimiento]]="Ingreso",tblMovimientos[[#This Row],[Monto (S/)]],"0")</f>
        <v>0</v>
      </c>
      <c r="O972" s="63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81" t="str">
        <f>IF(tblMovimientos[[#This Row],[Cuenta Bancaria]]="","",_xlfn.XLOOKUP(tblMovimientos[[#This Row],[Cuenta Bancaria]],Cuentas!$C:$C,Cuentas!$A:$A,"No encontrado"))</f>
        <v>Carmen Cross Irrevocable Trust</v>
      </c>
      <c r="R972" s="81" t="str">
        <f>TRIM(_xlfn.XLOOKUP(tblMovimientos[[#This Row],[Cuenta Bancaria]],Cuentas!$C:$C,Cuentas!$B:$B,""))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Carmen Cross Irrevocable Trust</v>
      </c>
      <c r="D973" s="41" t="s">
        <v>184</v>
      </c>
      <c r="E973" s="71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>IF(F973="Ingreso",J973,-J973)</f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3" t="str">
        <f>IF(tblMovimientos[[#This Row],[Tipo de Movimiento]]="Ingreso",tblMovimientos[[#This Row],[Monto (S/)]],"0")</f>
        <v>0</v>
      </c>
      <c r="O973" s="63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81" t="str">
        <f>IF(tblMovimientos[[#This Row],[Cuenta Bancaria]]="","",_xlfn.XLOOKUP(tblMovimientos[[#This Row],[Cuenta Bancaria]],Cuentas!$C:$C,Cuentas!$A:$A,"No encontrado"))</f>
        <v>Carmen Cross Irrevocable Trust</v>
      </c>
      <c r="R973" s="81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71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>IF(F974="Ingreso",J974,-J974)</f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3" t="str">
        <f>IF(tblMovimientos[[#This Row],[Tipo de Movimiento]]="Ingreso",tblMovimientos[[#This Row],[Monto (S/)]],"0")</f>
        <v>0</v>
      </c>
      <c r="O974" s="63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81" t="str">
        <f>IF(tblMovimientos[[#This Row],[Cuenta Bancaria]]="","",_xlfn.XLOOKUP(tblMovimientos[[#This Row],[Cuenta Bancaria]],Cuentas!$C:$C,Cuentas!$A:$A,"No encontrado"))</f>
        <v>SSP Group</v>
      </c>
      <c r="R974" s="81" t="str">
        <f>TRIM(_xlfn.XLOOKUP(tblMovimientos[[#This Row],[Cuenta Bancaria]],Cuentas!$C:$C,Cuentas!$B:$B,""))</f>
        <v>Cross Security Trust</v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71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>IF(F975="Ingreso",J975,-J975)</f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3" t="str">
        <f>IF(tblMovimientos[[#This Row],[Tipo de Movimiento]]="Ingreso",tblMovimientos[[#This Row],[Monto (S/)]],"0")</f>
        <v>0</v>
      </c>
      <c r="O975" s="63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81" t="str">
        <f>IF(tblMovimientos[[#This Row],[Cuenta Bancaria]]="","",_xlfn.XLOOKUP(tblMovimientos[[#This Row],[Cuenta Bancaria]],Cuentas!$C:$C,Cuentas!$A:$A,"No encontrado"))</f>
        <v>SSP Group</v>
      </c>
      <c r="R975" s="81" t="str">
        <f>TRIM(_xlfn.XLOOKUP(tblMovimientos[[#This Row],[Cuenta Bancaria]],Cuentas!$C:$C,Cuentas!$B:$B,""))</f>
        <v>Cross Security Trust</v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71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>IF(F976="Ingreso",J976,-J976)</f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3" t="str">
        <f>IF(tblMovimientos[[#This Row],[Tipo de Movimiento]]="Ingreso",tblMovimientos[[#This Row],[Monto (S/)]],"0")</f>
        <v>0</v>
      </c>
      <c r="O976" s="63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81" t="str">
        <f>IF(tblMovimientos[[#This Row],[Cuenta Bancaria]]="","",_xlfn.XLOOKUP(tblMovimientos[[#This Row],[Cuenta Bancaria]],Cuentas!$C:$C,Cuentas!$A:$A,"No encontrado"))</f>
        <v>SSP Group</v>
      </c>
      <c r="R976" s="81" t="str">
        <f>TRIM(_xlfn.XLOOKUP(tblMovimientos[[#This Row],[Cuenta Bancaria]],Cuentas!$C:$C,Cuentas!$B:$B,""))</f>
        <v>Cross Security Trust</v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71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>IF(F977="Ingreso",J977,-J977)</f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3">
        <f>IF(tblMovimientos[[#This Row],[Tipo de Movimiento]]="Ingreso",tblMovimientos[[#This Row],[Monto (S/)]],"0")</f>
        <v>5000</v>
      </c>
      <c r="O977" s="63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81" t="str">
        <f>IF(tblMovimientos[[#This Row],[Cuenta Bancaria]]="","",_xlfn.XLOOKUP(tblMovimientos[[#This Row],[Cuenta Bancaria]],Cuentas!$C:$C,Cuentas!$A:$A,"No encontrado"))</f>
        <v>SSP Group</v>
      </c>
      <c r="R977" s="81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71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>IF(F978="Ingreso",J978,-J978)</f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3" t="str">
        <f>IF(tblMovimientos[[#This Row],[Tipo de Movimiento]]="Ingreso",tblMovimientos[[#This Row],[Monto (S/)]],"0")</f>
        <v>0</v>
      </c>
      <c r="O978" s="63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81" t="str">
        <f>IF(tblMovimientos[[#This Row],[Cuenta Bancaria]]="","",_xlfn.XLOOKUP(tblMovimientos[[#This Row],[Cuenta Bancaria]],Cuentas!$C:$C,Cuentas!$A:$A,"No encontrado"))</f>
        <v>SSP Group</v>
      </c>
      <c r="R978" s="81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71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>IF(F979="Ingreso",J979,-J979)</f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3" t="str">
        <f>IF(tblMovimientos[[#This Row],[Tipo de Movimiento]]="Ingreso",tblMovimientos[[#This Row],[Monto (S/)]],"0")</f>
        <v>0</v>
      </c>
      <c r="O979" s="63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81" t="str">
        <f>IF(tblMovimientos[[#This Row],[Cuenta Bancaria]]="","",_xlfn.XLOOKUP(tblMovimientos[[#This Row],[Cuenta Bancaria]],Cuentas!$C:$C,Cuentas!$A:$A,"No encontrado"))</f>
        <v>SSP Group</v>
      </c>
      <c r="R979" s="81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71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>IF(F980="Ingreso",J980,-J980)</f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3" t="str">
        <f>IF(tblMovimientos[[#This Row],[Tipo de Movimiento]]="Ingreso",tblMovimientos[[#This Row],[Monto (S/)]],"0")</f>
        <v>0</v>
      </c>
      <c r="O980" s="63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81" t="str">
        <f>IF(tblMovimientos[[#This Row],[Cuenta Bancaria]]="","",_xlfn.XLOOKUP(tblMovimientos[[#This Row],[Cuenta Bancaria]],Cuentas!$C:$C,Cuentas!$A:$A,"No encontrado"))</f>
        <v>SSP Group</v>
      </c>
      <c r="R980" s="81" t="str">
        <f>TRIM(_xlfn.XLOOKUP(tblMovimientos[[#This Row],[Cuenta Bancaria]],Cuentas!$C:$C,Cuentas!$B:$B,""))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71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>IF(F981="Ingreso",J981,-J981)</f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3" t="str">
        <f>IF(tblMovimientos[[#This Row],[Tipo de Movimiento]]="Ingreso",tblMovimientos[[#This Row],[Monto (S/)]],"0")</f>
        <v>0</v>
      </c>
      <c r="O981" s="63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81" t="str">
        <f>IF(tblMovimientos[[#This Row],[Cuenta Bancaria]]="","",_xlfn.XLOOKUP(tblMovimientos[[#This Row],[Cuenta Bancaria]],Cuentas!$C:$C,Cuentas!$A:$A,"No encontrado"))</f>
        <v>SSP Group</v>
      </c>
      <c r="R981" s="81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71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>IF(F982="Ingreso",J982,-J982)</f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3" t="str">
        <f>IF(tblMovimientos[[#This Row],[Tipo de Movimiento]]="Ingreso",tblMovimientos[[#This Row],[Monto (S/)]],"0")</f>
        <v>0</v>
      </c>
      <c r="O982" s="63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81" t="str">
        <f>IF(tblMovimientos[[#This Row],[Cuenta Bancaria]]="","",_xlfn.XLOOKUP(tblMovimientos[[#This Row],[Cuenta Bancaria]],Cuentas!$C:$C,Cuentas!$A:$A,"No encontrado"))</f>
        <v>SSP Group</v>
      </c>
      <c r="R982" s="81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71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>IF(F983="Ingreso",J983,-J983)</f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3" t="str">
        <f>IF(tblMovimientos[[#This Row],[Tipo de Movimiento]]="Ingreso",tblMovimientos[[#This Row],[Monto (S/)]],"0")</f>
        <v>0</v>
      </c>
      <c r="O983" s="63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81" t="str">
        <f>IF(tblMovimientos[[#This Row],[Cuenta Bancaria]]="","",_xlfn.XLOOKUP(tblMovimientos[[#This Row],[Cuenta Bancaria]],Cuentas!$C:$C,Cuentas!$A:$A,"No encontrado"))</f>
        <v>SSP Group</v>
      </c>
      <c r="R983" s="81" t="str">
        <f>TRIM(_xlfn.XLOOKUP(tblMovimientos[[#This Row],[Cuenta Bancaria]],Cuentas!$C:$C,Cuentas!$B:$B,""))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71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>IF(F984="Ingreso",J984,-J984)</f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3" t="str">
        <f>IF(tblMovimientos[[#This Row],[Tipo de Movimiento]]="Ingreso",tblMovimientos[[#This Row],[Monto (S/)]],"0")</f>
        <v>0</v>
      </c>
      <c r="O984" s="63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81" t="str">
        <f>IF(tblMovimientos[[#This Row],[Cuenta Bancaria]]="","",_xlfn.XLOOKUP(tblMovimientos[[#This Row],[Cuenta Bancaria]],Cuentas!$C:$C,Cuentas!$A:$A,"No encontrado"))</f>
        <v>SSP Group</v>
      </c>
      <c r="R984" s="8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71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>IF(F985="Ingreso",J985,-J985)</f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3" t="str">
        <f>IF(tblMovimientos[[#This Row],[Tipo de Movimiento]]="Ingreso",tblMovimientos[[#This Row],[Monto (S/)]],"0")</f>
        <v>0</v>
      </c>
      <c r="O985" s="63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81" t="str">
        <f>IF(tblMovimientos[[#This Row],[Cuenta Bancaria]]="","",_xlfn.XLOOKUP(tblMovimientos[[#This Row],[Cuenta Bancaria]],Cuentas!$C:$C,Cuentas!$A:$A,"No encontrado"))</f>
        <v>SSP Group</v>
      </c>
      <c r="R985" s="81" t="str">
        <f>TRIM(_xlfn.XLOOKUP(tblMovimientos[[#This Row],[Cuenta Bancaria]],Cuentas!$C:$C,Cuentas!$B:$B,""))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71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>IF(F986="Ingreso",J986,-J986)</f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3" t="str">
        <f>IF(tblMovimientos[[#This Row],[Tipo de Movimiento]]="Ingreso",tblMovimientos[[#This Row],[Monto (S/)]],"0")</f>
        <v>0</v>
      </c>
      <c r="O986" s="63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81" t="str">
        <f>IF(tblMovimientos[[#This Row],[Cuenta Bancaria]]="","",_xlfn.XLOOKUP(tblMovimientos[[#This Row],[Cuenta Bancaria]],Cuentas!$C:$C,Cuentas!$A:$A,"No encontrado"))</f>
        <v>SSP Group</v>
      </c>
      <c r="R986" s="8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71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>IF(F987="Ingreso",J987,-J987)</f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3" t="str">
        <f>IF(tblMovimientos[[#This Row],[Tipo de Movimiento]]="Ingreso",tblMovimientos[[#This Row],[Monto (S/)]],"0")</f>
        <v>0</v>
      </c>
      <c r="O987" s="63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81" t="str">
        <f>IF(tblMovimientos[[#This Row],[Cuenta Bancaria]]="","",_xlfn.XLOOKUP(tblMovimientos[[#This Row],[Cuenta Bancaria]],Cuentas!$C:$C,Cuentas!$A:$A,"No encontrado"))</f>
        <v>SSP Group</v>
      </c>
      <c r="R987" s="81" t="str">
        <f>TRIM(_xlfn.XLOOKUP(tblMovimientos[[#This Row],[Cuenta Bancaria]],Cuentas!$C:$C,Cuentas!$B:$B,""))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71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>IF(F988="Ingreso",J988,-J988)</f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3" t="str">
        <f>IF(tblMovimientos[[#This Row],[Tipo de Movimiento]]="Ingreso",tblMovimientos[[#This Row],[Monto (S/)]],"0")</f>
        <v>0</v>
      </c>
      <c r="O988" s="63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81" t="str">
        <f>IF(tblMovimientos[[#This Row],[Cuenta Bancaria]]="","",_xlfn.XLOOKUP(tblMovimientos[[#This Row],[Cuenta Bancaria]],Cuentas!$C:$C,Cuentas!$A:$A,"No encontrado"))</f>
        <v>SSP Group</v>
      </c>
      <c r="R988" s="81" t="str">
        <f>TRIM(_xlfn.XLOOKUP(tblMovimientos[[#This Row],[Cuenta Bancaria]],Cuentas!$C:$C,Cuentas!$B:$B,""))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71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>IF(F989="Ingreso",J989,-J989)</f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3" t="str">
        <f>IF(tblMovimientos[[#This Row],[Tipo de Movimiento]]="Ingreso",tblMovimientos[[#This Row],[Monto (S/)]],"0")</f>
        <v>0</v>
      </c>
      <c r="O989" s="63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81" t="str">
        <f>IF(tblMovimientos[[#This Row],[Cuenta Bancaria]]="","",_xlfn.XLOOKUP(tblMovimientos[[#This Row],[Cuenta Bancaria]],Cuentas!$C:$C,Cuentas!$A:$A,"No encontrado"))</f>
        <v>SSP Group</v>
      </c>
      <c r="R989" s="81" t="str">
        <f>TRIM(_xlfn.XLOOKUP(tblMovimientos[[#This Row],[Cuenta Bancaria]],Cuentas!$C:$C,Cuentas!$B:$B,""))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71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>IF(F990="Ingreso",J990,-J990)</f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3" t="str">
        <f>IF(tblMovimientos[[#This Row],[Tipo de Movimiento]]="Ingreso",tblMovimientos[[#This Row],[Monto (S/)]],"0")</f>
        <v>0</v>
      </c>
      <c r="O990" s="63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81" t="str">
        <f>IF(tblMovimientos[[#This Row],[Cuenta Bancaria]]="","",_xlfn.XLOOKUP(tblMovimientos[[#This Row],[Cuenta Bancaria]],Cuentas!$C:$C,Cuentas!$A:$A,"No encontrado"))</f>
        <v>SSP Group</v>
      </c>
      <c r="R990" s="81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71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>IF(F991="Ingreso",J991,-J991)</f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3" t="str">
        <f>IF(tblMovimientos[[#This Row],[Tipo de Movimiento]]="Ingreso",tblMovimientos[[#This Row],[Monto (S/)]],"0")</f>
        <v>0</v>
      </c>
      <c r="O991" s="63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81" t="str">
        <f>IF(tblMovimientos[[#This Row],[Cuenta Bancaria]]="","",_xlfn.XLOOKUP(tblMovimientos[[#This Row],[Cuenta Bancaria]],Cuentas!$C:$C,Cuentas!$A:$A,"No encontrado"))</f>
        <v>SSP Group</v>
      </c>
      <c r="R991" s="81" t="str">
        <f>TRIM(_xlfn.XLOOKUP(tblMovimientos[[#This Row],[Cuenta Bancaria]],Cuentas!$C:$C,Cuentas!$B:$B,""))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71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>IF(F992="Ingreso",J992,-J992)</f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3" t="str">
        <f>IF(tblMovimientos[[#This Row],[Tipo de Movimiento]]="Ingreso",tblMovimientos[[#This Row],[Monto (S/)]],"0")</f>
        <v>0</v>
      </c>
      <c r="O992" s="63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81" t="str">
        <f>IF(tblMovimientos[[#This Row],[Cuenta Bancaria]]="","",_xlfn.XLOOKUP(tblMovimientos[[#This Row],[Cuenta Bancaria]],Cuentas!$C:$C,Cuentas!$A:$A,"No encontrado"))</f>
        <v>SSP Group</v>
      </c>
      <c r="R992" s="81" t="str">
        <f>TRIM(_xlfn.XLOOKUP(tblMovimientos[[#This Row],[Cuenta Bancaria]],Cuentas!$C:$C,Cuentas!$B:$B,""))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71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>IF(F993="Ingreso",J993,-J993)</f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3" t="str">
        <f>IF(tblMovimientos[[#This Row],[Tipo de Movimiento]]="Ingreso",tblMovimientos[[#This Row],[Monto (S/)]],"0")</f>
        <v>0</v>
      </c>
      <c r="O993" s="63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81" t="str">
        <f>IF(tblMovimientos[[#This Row],[Cuenta Bancaria]]="","",_xlfn.XLOOKUP(tblMovimientos[[#This Row],[Cuenta Bancaria]],Cuentas!$C:$C,Cuentas!$A:$A,"No encontrado"))</f>
        <v>SSP Group</v>
      </c>
      <c r="R993" s="81" t="str">
        <f>TRIM(_xlfn.XLOOKUP(tblMovimientos[[#This Row],[Cuenta Bancaria]],Cuentas!$C:$C,Cuentas!$B:$B,""))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71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>IF(F994="Ingreso",J994,-J994)</f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3" t="str">
        <f>IF(tblMovimientos[[#This Row],[Tipo de Movimiento]]="Ingreso",tblMovimientos[[#This Row],[Monto (S/)]],"0")</f>
        <v>0</v>
      </c>
      <c r="O994" s="63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81" t="str">
        <f>IF(tblMovimientos[[#This Row],[Cuenta Bancaria]]="","",_xlfn.XLOOKUP(tblMovimientos[[#This Row],[Cuenta Bancaria]],Cuentas!$C:$C,Cuentas!$A:$A,"No encontrado"))</f>
        <v>SSP Group</v>
      </c>
      <c r="R994" s="81" t="str">
        <f>TRIM(_xlfn.XLOOKUP(tblMovimientos[[#This Row],[Cuenta Bancaria]],Cuentas!$C:$C,Cuentas!$B:$B,""))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Carmen Cross Irrevocable Trust</v>
      </c>
      <c r="D995" s="41" t="s">
        <v>184</v>
      </c>
      <c r="E995" s="71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>IF(F995="Ingreso",J995,-J995)</f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3">
        <f>IF(tblMovimientos[[#This Row],[Tipo de Movimiento]]="Ingreso",tblMovimientos[[#This Row],[Monto (S/)]],"0")</f>
        <v>50000</v>
      </c>
      <c r="O995" s="63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81" t="str">
        <f>IF(tblMovimientos[[#This Row],[Cuenta Bancaria]]="","",_xlfn.XLOOKUP(tblMovimientos[[#This Row],[Cuenta Bancaria]],Cuentas!$C:$C,Cuentas!$A:$A,"No encontrado"))</f>
        <v>Carmen Cross Irrevocable Trust</v>
      </c>
      <c r="R995" s="81" t="str">
        <f>TRIM(_xlfn.XLOOKUP(tblMovimientos[[#This Row],[Cuenta Bancaria]],Cuentas!$C:$C,Cuentas!$B:$B,""))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Carmen Cross Irrevocable Trust</v>
      </c>
      <c r="D996" s="41" t="s">
        <v>184</v>
      </c>
      <c r="E996" s="71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>IF(F996="Ingreso",J996,-J996)</f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3" t="str">
        <f>IF(tblMovimientos[[#This Row],[Tipo de Movimiento]]="Ingreso",tblMovimientos[[#This Row],[Monto (S/)]],"0")</f>
        <v>0</v>
      </c>
      <c r="O996" s="63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81" t="str">
        <f>IF(tblMovimientos[[#This Row],[Cuenta Bancaria]]="","",_xlfn.XLOOKUP(tblMovimientos[[#This Row],[Cuenta Bancaria]],Cuentas!$C:$C,Cuentas!$A:$A,"No encontrado"))</f>
        <v>Carmen Cross Irrevocable Trust</v>
      </c>
      <c r="R996" s="81" t="str">
        <f>TRIM(_xlfn.XLOOKUP(tblMovimientos[[#This Row],[Cuenta Bancaria]],Cuentas!$C:$C,Cuentas!$B:$B,""))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Carmen Cross Irrevocable Trust</v>
      </c>
      <c r="D997" s="41" t="s">
        <v>184</v>
      </c>
      <c r="E997" s="71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>IF(F997="Ingreso",J997,-J997)</f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3" t="str">
        <f>IF(tblMovimientos[[#This Row],[Tipo de Movimiento]]="Ingreso",tblMovimientos[[#This Row],[Monto (S/)]],"0")</f>
        <v>0</v>
      </c>
      <c r="O997" s="63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81" t="str">
        <f>IF(tblMovimientos[[#This Row],[Cuenta Bancaria]]="","",_xlfn.XLOOKUP(tblMovimientos[[#This Row],[Cuenta Bancaria]],Cuentas!$C:$C,Cuentas!$A:$A,"No encontrado"))</f>
        <v>Carmen Cross Irrevocable Trust</v>
      </c>
      <c r="R997" s="81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Carmen Cross Irrevocable Trust</v>
      </c>
      <c r="D998" s="41" t="s">
        <v>184</v>
      </c>
      <c r="E998" s="71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>IF(F998="Ingreso",J998,-J998)</f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3" t="str">
        <f>IF(tblMovimientos[[#This Row],[Tipo de Movimiento]]="Ingreso",tblMovimientos[[#This Row],[Monto (S/)]],"0")</f>
        <v>0</v>
      </c>
      <c r="O998" s="63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81" t="str">
        <f>IF(tblMovimientos[[#This Row],[Cuenta Bancaria]]="","",_xlfn.XLOOKUP(tblMovimientos[[#This Row],[Cuenta Bancaria]],Cuentas!$C:$C,Cuentas!$A:$A,"No encontrado"))</f>
        <v>Carmen Cross Irrevocable Trust</v>
      </c>
      <c r="R998" s="81" t="str">
        <f>TRIM(_xlfn.XLOOKUP(tblMovimientos[[#This Row],[Cuenta Bancaria]],Cuentas!$C:$C,Cuentas!$B:$B,""))</f>
        <v/>
      </c>
    </row>
    <row r="999" spans="1:18" x14ac:dyDescent="0.3">
      <c r="A999" s="79"/>
      <c r="B999" s="73">
        <v>46275</v>
      </c>
      <c r="C999" s="4" t="str">
        <f>_xlfn.XLOOKUP(tblMovimientos[[#This Row],[Cuenta Bancaria]],Listas!$B:$B,Listas!$A:$A,"")</f>
        <v>Carmen Cross Irrevocable Trust</v>
      </c>
      <c r="D999" s="75" t="s">
        <v>183</v>
      </c>
      <c r="E999" s="71" t="str">
        <f>_xlfn.XLOOKUP(tblMovimientos[[#This Row],[Cuenta Bancaria]],Listas!$B:$B,Listas!$C:$C,"")</f>
        <v xml:space="preserve">Amerant Bank </v>
      </c>
      <c r="F999" s="75" t="s">
        <v>9</v>
      </c>
      <c r="G999" s="75" t="s">
        <v>75</v>
      </c>
      <c r="H999" s="80" t="str">
        <f>IFERROR(_xlfn.XLOOKUP(G999,Listas!E:E,Listas!F:F,""),"")</f>
        <v>Financiamiento</v>
      </c>
      <c r="I999" s="74" t="str">
        <f>IFERROR(_xlfn.XLOOKUP(G999,Listas!E:E,Listas!G:G,""),"")</f>
        <v>Interno</v>
      </c>
      <c r="J999" s="76">
        <v>50000</v>
      </c>
      <c r="K999" s="5">
        <f>IF(F999="Ingreso",J999,-J999)</f>
        <v>50000</v>
      </c>
      <c r="L999" s="77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3">
        <f>IF(tblMovimientos[[#This Row],[Tipo de Movimiento]]="Ingreso",tblMovimientos[[#This Row],[Monto (S/)]],"0")</f>
        <v>50000</v>
      </c>
      <c r="O999" s="63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81" t="str">
        <f>IF(tblMovimientos[[#This Row],[Cuenta Bancaria]]="","",_xlfn.XLOOKUP(tblMovimientos[[#This Row],[Cuenta Bancaria]],Cuentas!$C:$C,Cuentas!$A:$A,"No encontrado"))</f>
        <v>Carmen Cross Irrevocable Trust</v>
      </c>
      <c r="R999" s="81" t="str">
        <f>TRIM(_xlfn.XLOOKUP(tblMovimientos[[#This Row],[Cuenta Bancaria]],Cuentas!$C:$C,Cuentas!$B:$B,""))</f>
        <v/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71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>IF(F1000="Ingreso",J1000,-J1000)</f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3" t="str">
        <f>IF(tblMovimientos[[#This Row],[Tipo de Movimiento]]="Ingreso",tblMovimientos[[#This Row],[Monto (S/)]],"0")</f>
        <v>0</v>
      </c>
      <c r="O1000" s="63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81" t="str">
        <f>IF(tblMovimientos[[#This Row],[Cuenta Bancaria]]="","",_xlfn.XLOOKUP(tblMovimientos[[#This Row],[Cuenta Bancaria]],Cuentas!$C:$C,Cuentas!$A:$A,"No encontrado"))</f>
        <v>Carmen Cross Irrevocable Trust</v>
      </c>
      <c r="R1000" s="81" t="str">
        <f>TRIM(_xlfn.XLOOKUP(tblMovimientos[[#This Row],[Cuenta Bancaria]],Cuentas!$C:$C,Cuentas!$B:$B,""))</f>
        <v/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71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>IF(F1001="Ingreso",J1001,-J1001)</f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3" t="str">
        <f>IF(tblMovimientos[[#This Row],[Tipo de Movimiento]]="Ingreso",tblMovimientos[[#This Row],[Monto (S/)]],"0")</f>
        <v>0</v>
      </c>
      <c r="O1001" s="63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81" t="str">
        <f>IF(tblMovimientos[[#This Row],[Cuenta Bancaria]]="","",_xlfn.XLOOKUP(tblMovimientos[[#This Row],[Cuenta Bancaria]],Cuentas!$C:$C,Cuentas!$A:$A,"No encontrado"))</f>
        <v>Carmen Cross / Estate</v>
      </c>
      <c r="R1001" s="81" t="str">
        <f>TRIM(_xlfn.XLOOKUP(tblMovimientos[[#This Row],[Cuenta Bancaria]],Cuentas!$C:$C,Cuentas!$B:$B,""))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71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>IF(F1002="Ingreso",J1002,-J1002)</f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3" t="str">
        <f>IF(tblMovimientos[[#This Row],[Tipo de Movimiento]]="Ingreso",tblMovimientos[[#This Row],[Monto (S/)]],"0")</f>
        <v>0</v>
      </c>
      <c r="O1002" s="63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81" t="str">
        <f>IF(tblMovimientos[[#This Row],[Cuenta Bancaria]]="","",_xlfn.XLOOKUP(tblMovimientos[[#This Row],[Cuenta Bancaria]],Cuentas!$C:$C,Cuentas!$A:$A,"No encontrado"))</f>
        <v>SSP Group</v>
      </c>
      <c r="R1002" s="81" t="str">
        <f>TRIM(_xlfn.XLOOKUP(tblMovimientos[[#This Row],[Cuenta Bancaria]],Cuentas!$C:$C,Cuentas!$B:$B,""))</f>
        <v>Cross Security 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71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>IF(F1003="Ingreso",J1003,-J1003)</f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3">
        <f>IF(tblMovimientos[[#This Row],[Tipo de Movimiento]]="Ingreso",tblMovimientos[[#This Row],[Monto (S/)]],"0")</f>
        <v>80126.2</v>
      </c>
      <c r="O1003" s="63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81" t="str">
        <f>IF(tblMovimientos[[#This Row],[Cuenta Bancaria]]="","",_xlfn.XLOOKUP(tblMovimientos[[#This Row],[Cuenta Bancaria]],Cuentas!$C:$C,Cuentas!$A:$A,"No encontrado"))</f>
        <v>SSP Group</v>
      </c>
      <c r="R1003" s="81" t="str">
        <f>TRIM(_xlfn.XLOOKUP(tblMovimientos[[#This Row],[Cuenta Bancaria]],Cuentas!$C:$C,Cuentas!$B:$B,""))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71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>IF(F1004="Ingreso",J1004,-J1004)</f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3">
        <f>IF(tblMovimientos[[#This Row],[Tipo de Movimiento]]="Ingreso",tblMovimientos[[#This Row],[Monto (S/)]],"0")</f>
        <v>124724.8</v>
      </c>
      <c r="O1004" s="63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81" t="str">
        <f>IF(tblMovimientos[[#This Row],[Cuenta Bancaria]]="","",_xlfn.XLOOKUP(tblMovimientos[[#This Row],[Cuenta Bancaria]],Cuentas!$C:$C,Cuentas!$A:$A,"No encontrado"))</f>
        <v>SSP Group</v>
      </c>
      <c r="R1004" s="81" t="str">
        <f>TRIM(_xlfn.XLOOKUP(tblMovimientos[[#This Row],[Cuenta Bancaria]],Cuentas!$C:$C,Cuentas!$B:$B,""))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71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>IF(F1005="Ingreso",J1005,-J1005)</f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3" t="str">
        <f>IF(tblMovimientos[[#This Row],[Tipo de Movimiento]]="Ingreso",tblMovimientos[[#This Row],[Monto (S/)]],"0")</f>
        <v>0</v>
      </c>
      <c r="O1005" s="63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81" t="str">
        <f>IF(tblMovimientos[[#This Row],[Cuenta Bancaria]]="","",_xlfn.XLOOKUP(tblMovimientos[[#This Row],[Cuenta Bancaria]],Cuentas!$C:$C,Cuentas!$A:$A,"No encontrado"))</f>
        <v>SSP Group</v>
      </c>
      <c r="R1005" s="81" t="str">
        <f>TRIM(_xlfn.XLOOKUP(tblMovimientos[[#This Row],[Cuenta Bancaria]],Cuentas!$C:$C,Cuentas!$B:$B,""))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71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>IF(F1006="Ingreso",J1006,-J1006)</f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3" t="str">
        <f>IF(tblMovimientos[[#This Row],[Tipo de Movimiento]]="Ingreso",tblMovimientos[[#This Row],[Monto (S/)]],"0")</f>
        <v>0</v>
      </c>
      <c r="O1006" s="63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81" t="str">
        <f>IF(tblMovimientos[[#This Row],[Cuenta Bancaria]]="","",_xlfn.XLOOKUP(tblMovimientos[[#This Row],[Cuenta Bancaria]],Cuentas!$C:$C,Cuentas!$A:$A,"No encontrado"))</f>
        <v>SSP Group</v>
      </c>
      <c r="R1006" s="81" t="str">
        <f>TRIM(_xlfn.XLOOKUP(tblMovimientos[[#This Row],[Cuenta Bancaria]],Cuentas!$C:$C,Cuentas!$B:$B,""))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71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>IF(F1007="Ingreso",J1007,-J1007)</f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3" t="str">
        <f>IF(tblMovimientos[[#This Row],[Tipo de Movimiento]]="Ingreso",tblMovimientos[[#This Row],[Monto (S/)]],"0")</f>
        <v>0</v>
      </c>
      <c r="O1007" s="63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81" t="str">
        <f>IF(tblMovimientos[[#This Row],[Cuenta Bancaria]]="","",_xlfn.XLOOKUP(tblMovimientos[[#This Row],[Cuenta Bancaria]],Cuentas!$C:$C,Cuentas!$A:$A,"No encontrado"))</f>
        <v>SSP Group</v>
      </c>
      <c r="R1007" s="81" t="str">
        <f>TRIM(_xlfn.XLOOKUP(tblMovimientos[[#This Row],[Cuenta Bancaria]],Cuentas!$C:$C,Cuentas!$B:$B,""))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71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>IF(F1008="Ingreso",J1008,-J1008)</f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3" t="str">
        <f>IF(tblMovimientos[[#This Row],[Tipo de Movimiento]]="Ingreso",tblMovimientos[[#This Row],[Monto (S/)]],"0")</f>
        <v>0</v>
      </c>
      <c r="O1008" s="63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81" t="str">
        <f>IF(tblMovimientos[[#This Row],[Cuenta Bancaria]]="","",_xlfn.XLOOKUP(tblMovimientos[[#This Row],[Cuenta Bancaria]],Cuentas!$C:$C,Cuentas!$A:$A,"No encontrado"))</f>
        <v>SSP Group</v>
      </c>
      <c r="R1008" s="81" t="str">
        <f>TRIM(_xlfn.XLOOKUP(tblMovimientos[[#This Row],[Cuenta Bancaria]],Cuentas!$C:$C,Cuentas!$B:$B,""))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71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>IF(F1009="Ingreso",J1009,-J1009)</f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3">
        <f>IF(tblMovimientos[[#This Row],[Tipo de Movimiento]]="Ingreso",tblMovimientos[[#This Row],[Monto (S/)]],"0")</f>
        <v>350000</v>
      </c>
      <c r="O1009" s="63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81" t="str">
        <f>IF(tblMovimientos[[#This Row],[Cuenta Bancaria]]="","",_xlfn.XLOOKUP(tblMovimientos[[#This Row],[Cuenta Bancaria]],Cuentas!$C:$C,Cuentas!$A:$A,"No encontrado"))</f>
        <v>SSP Group</v>
      </c>
      <c r="R1009" s="81" t="str">
        <f>TRIM(_xlfn.XLOOKUP(tblMovimientos[[#This Row],[Cuenta Bancaria]],Cuentas!$C:$C,Cuentas!$B:$B,""))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71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>IF(F1010="Ingreso",J1010,-J1010)</f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3">
        <f>IF(tblMovimientos[[#This Row],[Tipo de Movimiento]]="Ingreso",tblMovimientos[[#This Row],[Monto (S/)]],"0")</f>
        <v>350000</v>
      </c>
      <c r="O1010" s="63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81" t="str">
        <f>IF(tblMovimientos[[#This Row],[Cuenta Bancaria]]="","",_xlfn.XLOOKUP(tblMovimientos[[#This Row],[Cuenta Bancaria]],Cuentas!$C:$C,Cuentas!$A:$A,"No encontrado"))</f>
        <v>Michael Cross</v>
      </c>
      <c r="R1010" s="81" t="str">
        <f>TRIM(_xlfn.XLOOKUP(tblMovimientos[[#This Row],[Cuenta Bancaria]],Cuentas!$C:$C,Cuentas!$B:$B,""))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71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>IF(F1011="Ingreso",J1011,-J1011)</f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3" t="str">
        <f>IF(tblMovimientos[[#This Row],[Tipo de Movimiento]]="Ingreso",tblMovimientos[[#This Row],[Monto (S/)]],"0")</f>
        <v>0</v>
      </c>
      <c r="O1011" s="63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81" t="str">
        <f>IF(tblMovimientos[[#This Row],[Cuenta Bancaria]]="","",_xlfn.XLOOKUP(tblMovimientos[[#This Row],[Cuenta Bancaria]],Cuentas!$C:$C,Cuentas!$A:$A,"No encontrado"))</f>
        <v>Michael Cross</v>
      </c>
      <c r="R1011" s="81" t="str">
        <f>TRIM(_xlfn.XLOOKUP(tblMovimientos[[#This Row],[Cuenta Bancaria]],Cuentas!$C:$C,Cuentas!$B:$B,""))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71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>IF(F1012="Ingreso",J1012,-J1012)</f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3" t="str">
        <f>IF(tblMovimientos[[#This Row],[Tipo de Movimiento]]="Ingreso",tblMovimientos[[#This Row],[Monto (S/)]],"0")</f>
        <v>0</v>
      </c>
      <c r="O1012" s="63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81" t="str">
        <f>IF(tblMovimientos[[#This Row],[Cuenta Bancaria]]="","",_xlfn.XLOOKUP(tblMovimientos[[#This Row],[Cuenta Bancaria]],Cuentas!$C:$C,Cuentas!$A:$A,"No encontrado"))</f>
        <v>Unidades de Negocio</v>
      </c>
      <c r="R1012" s="81" t="str">
        <f>TRIM(_xlfn.XLOOKUP(tblMovimientos[[#This Row],[Cuenta Bancaria]],Cuentas!$C:$C,Cuentas!$B:$B,""))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71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>IF(F1013="Ingreso",J1013,-J1013)</f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3" t="str">
        <f>IF(tblMovimientos[[#This Row],[Tipo de Movimiento]]="Ingreso",tblMovimientos[[#This Row],[Monto (S/)]],"0")</f>
        <v>0</v>
      </c>
      <c r="O1013" s="63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81" t="str">
        <f>IF(tblMovimientos[[#This Row],[Cuenta Bancaria]]="","",_xlfn.XLOOKUP(tblMovimientos[[#This Row],[Cuenta Bancaria]],Cuentas!$C:$C,Cuentas!$A:$A,"No encontrado"))</f>
        <v>Unidades de Negocio</v>
      </c>
      <c r="R1013" s="81" t="str">
        <f>TRIM(_xlfn.XLOOKUP(tblMovimientos[[#This Row],[Cuenta Bancaria]],Cuentas!$C:$C,Cuentas!$B:$B,""))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71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>IF(F1014="Ingreso",J1014,-J1014)</f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3" t="str">
        <f>IF(tblMovimientos[[#This Row],[Tipo de Movimiento]]="Ingreso",tblMovimientos[[#This Row],[Monto (S/)]],"0")</f>
        <v>0</v>
      </c>
      <c r="O1014" s="63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81" t="str">
        <f>IF(tblMovimientos[[#This Row],[Cuenta Bancaria]]="","",_xlfn.XLOOKUP(tblMovimientos[[#This Row],[Cuenta Bancaria]],Cuentas!$C:$C,Cuentas!$A:$A,"No encontrado"))</f>
        <v>Carmen Cross / Estate</v>
      </c>
      <c r="R1014" s="81" t="str">
        <f>TRIM(_xlfn.XLOOKUP(tblMovimientos[[#This Row],[Cuenta Bancaria]],Cuentas!$C:$C,Cuentas!$B:$B,""))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71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>IF(F1015="Ingreso",J1015,-J1015)</f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3" t="str">
        <f>IF(tblMovimientos[[#This Row],[Tipo de Movimiento]]="Ingreso",tblMovimientos[[#This Row],[Monto (S/)]],"0")</f>
        <v>0</v>
      </c>
      <c r="O1015" s="63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81" t="str">
        <f>IF(tblMovimientos[[#This Row],[Cuenta Bancaria]]="","",_xlfn.XLOOKUP(tblMovimientos[[#This Row],[Cuenta Bancaria]],Cuentas!$C:$C,Cuentas!$A:$A,"No encontrado"))</f>
        <v>Carmen Cross / Estate</v>
      </c>
      <c r="R1015" s="81" t="str">
        <f>TRIM(_xlfn.XLOOKUP(tblMovimientos[[#This Row],[Cuenta Bancaria]],Cuentas!$C:$C,Cuentas!$B:$B,""))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71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72" t="str">
        <f>IFERROR(_xlfn.XLOOKUP(G1016,Listas!E:E,Listas!G:G,""),"")</f>
        <v>Externo</v>
      </c>
      <c r="J1016" s="43">
        <v>108.97</v>
      </c>
      <c r="K1016" s="5">
        <f>IF(F1016="Ingreso",J1016,-J1016)</f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3" t="str">
        <f>IF(tblMovimientos[[#This Row],[Tipo de Movimiento]]="Ingreso",tblMovimientos[[#This Row],[Monto (S/)]],"0")</f>
        <v>0</v>
      </c>
      <c r="O1016" s="63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81" t="str">
        <f>IF(tblMovimientos[[#This Row],[Cuenta Bancaria]]="","",_xlfn.XLOOKUP(tblMovimientos[[#This Row],[Cuenta Bancaria]],Cuentas!$C:$C,Cuentas!$A:$A,"No encontrado"))</f>
        <v>SSP Group</v>
      </c>
      <c r="R1016" s="81" t="str">
        <f>TRIM(_xlfn.XLOOKUP(tblMovimientos[[#This Row],[Cuenta Bancaria]],Cuentas!$C:$C,Cuentas!$B:$B,""))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71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72" t="str">
        <f>IFERROR(_xlfn.XLOOKUP(G1017,Listas!E:E,Listas!G:G,""),"")</f>
        <v>Externo</v>
      </c>
      <c r="J1017" s="43">
        <v>18.8</v>
      </c>
      <c r="K1017" s="5">
        <f>IF(F1017="Ingreso",J1017,-J1017)</f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3" t="str">
        <f>IF(tblMovimientos[[#This Row],[Tipo de Movimiento]]="Ingreso",tblMovimientos[[#This Row],[Monto (S/)]],"0")</f>
        <v>0</v>
      </c>
      <c r="O1017" s="63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81" t="str">
        <f>IF(tblMovimientos[[#This Row],[Cuenta Bancaria]]="","",_xlfn.XLOOKUP(tblMovimientos[[#This Row],[Cuenta Bancaria]],Cuentas!$C:$C,Cuentas!$A:$A,"No encontrado"))</f>
        <v>SSP Group</v>
      </c>
      <c r="R1017" s="8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71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>IF(F1018="Ingreso",J1018,-J1018)</f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3" t="str">
        <f>IF(tblMovimientos[[#This Row],[Tipo de Movimiento]]="Ingreso",tblMovimientos[[#This Row],[Monto (S/)]],"0")</f>
        <v>0</v>
      </c>
      <c r="O1018" s="63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81" t="str">
        <f>IF(tblMovimientos[[#This Row],[Cuenta Bancaria]]="","",_xlfn.XLOOKUP(tblMovimientos[[#This Row],[Cuenta Bancaria]],Cuentas!$C:$C,Cuentas!$A:$A,"No encontrado"))</f>
        <v>SSP Group</v>
      </c>
      <c r="R1018" s="81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71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>IF(F1019="Ingreso",J1019,-J1019)</f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3">
        <f>IF(tblMovimientos[[#This Row],[Tipo de Movimiento]]="Ingreso",tblMovimientos[[#This Row],[Monto (S/)]],"0")</f>
        <v>16785.27</v>
      </c>
      <c r="O1019" s="63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81" t="str">
        <f>IF(tblMovimientos[[#This Row],[Cuenta Bancaria]]="","",_xlfn.XLOOKUP(tblMovimientos[[#This Row],[Cuenta Bancaria]],Cuentas!$C:$C,Cuentas!$A:$A,"No encontrado"))</f>
        <v>SSP Group</v>
      </c>
      <c r="R1019" s="81" t="str">
        <f>TRIM(_xlfn.XLOOKUP(tblMovimientos[[#This Row],[Cuenta Bancaria]],Cuentas!$C:$C,Cuentas!$B:$B,""))</f>
        <v>Cross Security Trust</v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71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>IF(F1020="Ingreso",J1020,-J1020)</f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3">
        <f>IF(tblMovimientos[[#This Row],[Tipo de Movimiento]]="Ingreso",tblMovimientos[[#This Row],[Monto (S/)]],"0")</f>
        <v>346.61</v>
      </c>
      <c r="O1020" s="63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81" t="str">
        <f>IF(tblMovimientos[[#This Row],[Cuenta Bancaria]]="","",_xlfn.XLOOKUP(tblMovimientos[[#This Row],[Cuenta Bancaria]],Cuentas!$C:$C,Cuentas!$A:$A,"No encontrado"))</f>
        <v>SSP Group</v>
      </c>
      <c r="R1020" s="81" t="str">
        <f>TRIM(_xlfn.XLOOKUP(tblMovimientos[[#This Row],[Cuenta Bancaria]],Cuentas!$C:$C,Cuentas!$B:$B,""))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71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>IF(F1021="Ingreso",J1021,-J1021)</f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3">
        <f>IF(tblMovimientos[[#This Row],[Tipo de Movimiento]]="Ingreso",tblMovimientos[[#This Row],[Monto (S/)]],"0")</f>
        <v>1500</v>
      </c>
      <c r="O1021" s="63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81" t="str">
        <f>IF(tblMovimientos[[#This Row],[Cuenta Bancaria]]="","",_xlfn.XLOOKUP(tblMovimientos[[#This Row],[Cuenta Bancaria]],Cuentas!$C:$C,Cuentas!$A:$A,"No encontrado"))</f>
        <v>SSP Group</v>
      </c>
      <c r="R1021" s="81" t="str">
        <f>TRIM(_xlfn.XLOOKUP(tblMovimientos[[#This Row],[Cuenta Bancaria]],Cuentas!$C:$C,Cuentas!$B:$B,""))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71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>IF(F1022="Ingreso",J1022,-J1022)</f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3" t="str">
        <f>IF(tblMovimientos[[#This Row],[Tipo de Movimiento]]="Ingreso",tblMovimientos[[#This Row],[Monto (S/)]],"0")</f>
        <v>0</v>
      </c>
      <c r="O1022" s="63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81" t="str">
        <f>IF(tblMovimientos[[#This Row],[Cuenta Bancaria]]="","",_xlfn.XLOOKUP(tblMovimientos[[#This Row],[Cuenta Bancaria]],Cuentas!$C:$C,Cuentas!$A:$A,"No encontrado"))</f>
        <v>SSP Group</v>
      </c>
      <c r="R1022" s="81" t="str">
        <f>TRIM(_xlfn.XLOOKUP(tblMovimientos[[#This Row],[Cuenta Bancaria]],Cuentas!$C:$C,Cuentas!$B:$B,""))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71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>IF(F1023="Ingreso",J1023,-J1023)</f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3" t="str">
        <f>IF(tblMovimientos[[#This Row],[Tipo de Movimiento]]="Ingreso",tblMovimientos[[#This Row],[Monto (S/)]],"0")</f>
        <v>0</v>
      </c>
      <c r="O1023" s="63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81" t="str">
        <f>IF(tblMovimientos[[#This Row],[Cuenta Bancaria]]="","",_xlfn.XLOOKUP(tblMovimientos[[#This Row],[Cuenta Bancaria]],Cuentas!$C:$C,Cuentas!$A:$A,"No encontrado"))</f>
        <v>SSP Group</v>
      </c>
      <c r="R1023" s="81" t="str">
        <f>TRIM(_xlfn.XLOOKUP(tblMovimientos[[#This Row],[Cuenta Bancaria]],Cuentas!$C:$C,Cuentas!$B:$B,""))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71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>IF(F1024="Ingreso",J1024,-J1024)</f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3">
        <f>IF(tblMovimientos[[#This Row],[Tipo de Movimiento]]="Ingreso",tblMovimientos[[#This Row],[Monto (S/)]],"0")</f>
        <v>150000</v>
      </c>
      <c r="O1024" s="63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81" t="str">
        <f>IF(tblMovimientos[[#This Row],[Cuenta Bancaria]]="","",_xlfn.XLOOKUP(tblMovimientos[[#This Row],[Cuenta Bancaria]],Cuentas!$C:$C,Cuentas!$A:$A,"No encontrado"))</f>
        <v>SSP Group</v>
      </c>
      <c r="R1024" s="81" t="str">
        <f>TRIM(_xlfn.XLOOKUP(tblMovimientos[[#This Row],[Cuenta Bancaria]],Cuentas!$C:$C,Cuentas!$B:$B,""))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71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>IF(F1025="Ingreso",J1025,-J1025)</f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3" t="str">
        <f>IF(tblMovimientos[[#This Row],[Tipo de Movimiento]]="Ingreso",tblMovimientos[[#This Row],[Monto (S/)]],"0")</f>
        <v>0</v>
      </c>
      <c r="O1025" s="63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81" t="str">
        <f>IF(tblMovimientos[[#This Row],[Cuenta Bancaria]]="","",_xlfn.XLOOKUP(tblMovimientos[[#This Row],[Cuenta Bancaria]],Cuentas!$C:$C,Cuentas!$A:$A,"No encontrado"))</f>
        <v>SSP Group</v>
      </c>
      <c r="R1025" s="81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71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>IF(F1026="Ingreso",J1026,-J1026)</f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3" t="str">
        <f>IF(tblMovimientos[[#This Row],[Tipo de Movimiento]]="Ingreso",tblMovimientos[[#This Row],[Monto (S/)]],"0")</f>
        <v>0</v>
      </c>
      <c r="O1026" s="63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81" t="str">
        <f>IF(tblMovimientos[[#This Row],[Cuenta Bancaria]]="","",_xlfn.XLOOKUP(tblMovimientos[[#This Row],[Cuenta Bancaria]],Cuentas!$C:$C,Cuentas!$A:$A,"No encontrado"))</f>
        <v>SSP Group</v>
      </c>
      <c r="R1026" s="81" t="str">
        <f>TRIM(_xlfn.XLOOKUP(tblMovimientos[[#This Row],[Cuenta Bancaria]],Cuentas!$C:$C,Cuentas!$B:$B,""))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Carmen Cross Irrevocable Trust</v>
      </c>
      <c r="D1027" s="41" t="s">
        <v>184</v>
      </c>
      <c r="E1027" s="71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3" t="str">
        <f>IF(tblMovimientos[[#This Row],[Tipo de Movimiento]]="Ingreso",tblMovimientos[[#This Row],[Monto (S/)]],"0")</f>
        <v>0</v>
      </c>
      <c r="O1027" s="63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81" t="str">
        <f>IF(tblMovimientos[[#This Row],[Cuenta Bancaria]]="","",_xlfn.XLOOKUP(tblMovimientos[[#This Row],[Cuenta Bancaria]],Cuentas!$C:$C,Cuentas!$A:$A,"No encontrado"))</f>
        <v>Carmen Cross Irrevocable Trust</v>
      </c>
      <c r="R1027" s="81" t="str">
        <f>TRIM(_xlfn.XLOOKUP(tblMovimientos[[#This Row],[Cuenta Bancaria]],Cuentas!$C:$C,Cuentas!$B:$B,""))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Carmen Cross Irrevocable Trust</v>
      </c>
      <c r="D1028" s="41" t="s">
        <v>184</v>
      </c>
      <c r="E1028" s="71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>IF(F1028="Ingreso",J1028,-J1028)</f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3" t="str">
        <f>IF(tblMovimientos[[#This Row],[Tipo de Movimiento]]="Ingreso",tblMovimientos[[#This Row],[Monto (S/)]],"0")</f>
        <v>0</v>
      </c>
      <c r="O1028" s="63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81" t="str">
        <f>IF(tblMovimientos[[#This Row],[Cuenta Bancaria]]="","",_xlfn.XLOOKUP(tblMovimientos[[#This Row],[Cuenta Bancaria]],Cuentas!$C:$C,Cuentas!$A:$A,"No encontrado"))</f>
        <v>Carmen Cross Irrevocable Trust</v>
      </c>
      <c r="R1028" s="81" t="str">
        <f>TRIM(_xlfn.XLOOKUP(tblMovimientos[[#This Row],[Cuenta Bancaria]],Cuentas!$C:$C,Cuentas!$B:$B,""))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71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>IF(F1029="Ingreso",J1029,-J1029)</f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3" t="str">
        <f>IF(tblMovimientos[[#This Row],[Tipo de Movimiento]]="Ingreso",tblMovimientos[[#This Row],[Monto (S/)]],"0")</f>
        <v>0</v>
      </c>
      <c r="O1029" s="63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81" t="str">
        <f>IF(tblMovimientos[[#This Row],[Cuenta Bancaria]]="","",_xlfn.XLOOKUP(tblMovimientos[[#This Row],[Cuenta Bancaria]],Cuentas!$C:$C,Cuentas!$A:$A,"No encontrado"))</f>
        <v>Unidades de Negocio</v>
      </c>
      <c r="R1029" s="81" t="str">
        <f>TRIM(_xlfn.XLOOKUP(tblMovimientos[[#This Row],[Cuenta Bancaria]],Cuentas!$C:$C,Cuentas!$B:$B,""))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71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>IF(F1030="Ingreso",J1030,-J1030)</f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3" t="str">
        <f>IF(tblMovimientos[[#This Row],[Tipo de Movimiento]]="Ingreso",tblMovimientos[[#This Row],[Monto (S/)]],"0")</f>
        <v>0</v>
      </c>
      <c r="O1030" s="63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81" t="str">
        <f>IF(tblMovimientos[[#This Row],[Cuenta Bancaria]]="","",_xlfn.XLOOKUP(tblMovimientos[[#This Row],[Cuenta Bancaria]],Cuentas!$C:$C,Cuentas!$A:$A,"No encontrado"))</f>
        <v>Unidades de Negocio</v>
      </c>
      <c r="R1030" s="81" t="str">
        <f>TRIM(_xlfn.XLOOKUP(tblMovimientos[[#This Row],[Cuenta Bancaria]],Cuentas!$C:$C,Cuentas!$B:$B,""))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71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>IF(F1031="Ingreso",J1031,-J1031)</f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3" t="str">
        <f>IF(tblMovimientos[[#This Row],[Tipo de Movimiento]]="Ingreso",tblMovimientos[[#This Row],[Monto (S/)]],"0")</f>
        <v>0</v>
      </c>
      <c r="O1031" s="63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81" t="str">
        <f>IF(tblMovimientos[[#This Row],[Cuenta Bancaria]]="","",_xlfn.XLOOKUP(tblMovimientos[[#This Row],[Cuenta Bancaria]],Cuentas!$C:$C,Cuentas!$A:$A,"No encontrado"))</f>
        <v>Carmen Cross / Estate</v>
      </c>
      <c r="R1031" s="81" t="str">
        <f>TRIM(_xlfn.XLOOKUP(tblMovimientos[[#This Row],[Cuenta Bancaria]],Cuentas!$C:$C,Cuentas!$B:$B,""))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71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>IF(F1032="Ingreso",J1032,-J1032)</f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3" t="str">
        <f>IF(tblMovimientos[[#This Row],[Tipo de Movimiento]]="Ingreso",tblMovimientos[[#This Row],[Monto (S/)]],"0")</f>
        <v>0</v>
      </c>
      <c r="O1032" s="63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81" t="str">
        <f>IF(tblMovimientos[[#This Row],[Cuenta Bancaria]]="","",_xlfn.XLOOKUP(tblMovimientos[[#This Row],[Cuenta Bancaria]],Cuentas!$C:$C,Cuentas!$A:$A,"No encontrado"))</f>
        <v>SSP Group</v>
      </c>
      <c r="R1032" s="81" t="str">
        <f>TRIM(_xlfn.XLOOKUP(tblMovimientos[[#This Row],[Cuenta Bancaria]],Cuentas!$C:$C,Cuentas!$B:$B,""))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71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>IF(F1033="Ingreso",J1033,-J1033)</f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3" t="str">
        <f>IF(tblMovimientos[[#This Row],[Tipo de Movimiento]]="Ingreso",tblMovimientos[[#This Row],[Monto (S/)]],"0")</f>
        <v>0</v>
      </c>
      <c r="O1033" s="63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81" t="str">
        <f>IF(tblMovimientos[[#This Row],[Cuenta Bancaria]]="","",_xlfn.XLOOKUP(tblMovimientos[[#This Row],[Cuenta Bancaria]],Cuentas!$C:$C,Cuentas!$A:$A,"No encontrado"))</f>
        <v>SSP Group</v>
      </c>
      <c r="R1033" s="81" t="str">
        <f>TRIM(_xlfn.XLOOKUP(tblMovimientos[[#This Row],[Cuenta Bancaria]],Cuentas!$C:$C,Cuentas!$B:$B,""))</f>
        <v>Cross Security Trust</v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71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>IF(F1034="Ingreso",J1034,-J1034)</f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3">
        <f>IF(tblMovimientos[[#This Row],[Tipo de Movimiento]]="Ingreso",tblMovimientos[[#This Row],[Monto (S/)]],"0")</f>
        <v>6748.49</v>
      </c>
      <c r="O1034" s="63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81" t="str">
        <f>IF(tblMovimientos[[#This Row],[Cuenta Bancaria]]="","",_xlfn.XLOOKUP(tblMovimientos[[#This Row],[Cuenta Bancaria]],Cuentas!$C:$C,Cuentas!$A:$A,"No encontrado"))</f>
        <v>SSP Group</v>
      </c>
      <c r="R1034" s="81" t="str">
        <f>TRIM(_xlfn.XLOOKUP(tblMovimientos[[#This Row],[Cuenta Bancaria]],Cuentas!$C:$C,Cuentas!$B:$B,""))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71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>IF(F1035="Ingreso",J1035,-J1035)</f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3" t="str">
        <f>IF(tblMovimientos[[#This Row],[Tipo de Movimiento]]="Ingreso",tblMovimientos[[#This Row],[Monto (S/)]],"0")</f>
        <v>0</v>
      </c>
      <c r="O1035" s="63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81" t="str">
        <f>IF(tblMovimientos[[#This Row],[Cuenta Bancaria]]="","",_xlfn.XLOOKUP(tblMovimientos[[#This Row],[Cuenta Bancaria]],Cuentas!$C:$C,Cuentas!$A:$A,"No encontrado"))</f>
        <v>SSP Group</v>
      </c>
      <c r="R1035" s="81" t="str">
        <f>TRIM(_xlfn.XLOOKUP(tblMovimientos[[#This Row],[Cuenta Bancaria]],Cuentas!$C:$C,Cuentas!$B:$B,""))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71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>IF(F1036="Ingreso",J1036,-J1036)</f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3" t="str">
        <f>IF(tblMovimientos[[#This Row],[Tipo de Movimiento]]="Ingreso",tblMovimientos[[#This Row],[Monto (S/)]],"0")</f>
        <v>0</v>
      </c>
      <c r="O1036" s="63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81" t="str">
        <f>IF(tblMovimientos[[#This Row],[Cuenta Bancaria]]="","",_xlfn.XLOOKUP(tblMovimientos[[#This Row],[Cuenta Bancaria]],Cuentas!$C:$C,Cuentas!$A:$A,"No encontrado"))</f>
        <v>Unidades de Negocio</v>
      </c>
      <c r="R1036" s="81" t="str">
        <f>TRIM(_xlfn.XLOOKUP(tblMovimientos[[#This Row],[Cuenta Bancaria]],Cuentas!$C:$C,Cuentas!$B:$B,""))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71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>IF(F1037="Ingreso",J1037,-J1037)</f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3" t="str">
        <f>IF(tblMovimientos[[#This Row],[Tipo de Movimiento]]="Ingreso",tblMovimientos[[#This Row],[Monto (S/)]],"0")</f>
        <v>0</v>
      </c>
      <c r="O1037" s="63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81" t="str">
        <f>IF(tblMovimientos[[#This Row],[Cuenta Bancaria]]="","",_xlfn.XLOOKUP(tblMovimientos[[#This Row],[Cuenta Bancaria]],Cuentas!$C:$C,Cuentas!$A:$A,"No encontrado"))</f>
        <v>Unidades de Negocio</v>
      </c>
      <c r="R1037" s="81" t="str">
        <f>TRIM(_xlfn.XLOOKUP(tblMovimientos[[#This Row],[Cuenta Bancaria]],Cuentas!$C:$C,Cuentas!$B:$B,""))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71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72" t="str">
        <f>IFERROR(_xlfn.XLOOKUP(G1038,Listas!E:E,Listas!G:G,""),"")</f>
        <v>Externo</v>
      </c>
      <c r="J1038" s="43">
        <v>4.24</v>
      </c>
      <c r="K1038" s="5">
        <f>IF(F1038="Ingreso",J1038,-J1038)</f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3">
        <f>IF(tblMovimientos[[#This Row],[Tipo de Movimiento]]="Ingreso",tblMovimientos[[#This Row],[Monto (S/)]],"0")</f>
        <v>4.24</v>
      </c>
      <c r="O1038" s="63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81" t="str">
        <f>IF(tblMovimientos[[#This Row],[Cuenta Bancaria]]="","",_xlfn.XLOOKUP(tblMovimientos[[#This Row],[Cuenta Bancaria]],Cuentas!$C:$C,Cuentas!$A:$A,"No encontrado"))</f>
        <v>SSP Group</v>
      </c>
      <c r="R1038" s="81" t="str">
        <f>TRIM(_xlfn.XLOOKUP(tblMovimientos[[#This Row],[Cuenta Bancaria]],Cuentas!$C:$C,Cuentas!$B:$B,""))</f>
        <v>Cross Security 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71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>IF(F1039="Ingreso",J1039,-J1039)</f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3" t="str">
        <f>IF(tblMovimientos[[#This Row],[Tipo de Movimiento]]="Ingreso",tblMovimientos[[#This Row],[Monto (S/)]],"0")</f>
        <v>0</v>
      </c>
      <c r="O1039" s="63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81" t="str">
        <f>IF(tblMovimientos[[#This Row],[Cuenta Bancaria]]="","",_xlfn.XLOOKUP(tblMovimientos[[#This Row],[Cuenta Bancaria]],Cuentas!$C:$C,Cuentas!$A:$A,"No encontrado"))</f>
        <v>SSP Group</v>
      </c>
      <c r="R1039" s="81" t="str">
        <f>TRIM(_xlfn.XLOOKUP(tblMovimientos[[#This Row],[Cuenta Bancaria]],Cuentas!$C:$C,Cuentas!$B:$B,""))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71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>IF(F1040="Ingreso",J1040,-J1040)</f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3" t="str">
        <f>IF(tblMovimientos[[#This Row],[Tipo de Movimiento]]="Ingreso",tblMovimientos[[#This Row],[Monto (S/)]],"0")</f>
        <v>0</v>
      </c>
      <c r="O1040" s="63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81" t="str">
        <f>IF(tblMovimientos[[#This Row],[Cuenta Bancaria]]="","",_xlfn.XLOOKUP(tblMovimientos[[#This Row],[Cuenta Bancaria]],Cuentas!$C:$C,Cuentas!$A:$A,"No encontrado"))</f>
        <v>SSP Group</v>
      </c>
      <c r="R1040" s="81" t="str">
        <f>TRIM(_xlfn.XLOOKUP(tblMovimientos[[#This Row],[Cuenta Bancaria]],Cuentas!$C:$C,Cuentas!$B:$B,""))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71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>IF(F1041="Ingreso",J1041,-J1041)</f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3" t="str">
        <f>IF(tblMovimientos[[#This Row],[Tipo de Movimiento]]="Ingreso",tblMovimientos[[#This Row],[Monto (S/)]],"0")</f>
        <v>0</v>
      </c>
      <c r="O1041" s="63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81" t="str">
        <f>IF(tblMovimientos[[#This Row],[Cuenta Bancaria]]="","",_xlfn.XLOOKUP(tblMovimientos[[#This Row],[Cuenta Bancaria]],Cuentas!$C:$C,Cuentas!$A:$A,"No encontrado"))</f>
        <v>Unidades de Negocio</v>
      </c>
      <c r="R1041" s="81" t="str">
        <f>TRIM(_xlfn.XLOOKUP(tblMovimientos[[#This Row],[Cuenta Bancaria]],Cuentas!$C:$C,Cuentas!$B:$B,""))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71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>IF(F1042="Ingreso",J1042,-J1042)</f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3" t="str">
        <f>IF(tblMovimientos[[#This Row],[Tipo de Movimiento]]="Ingreso",tblMovimientos[[#This Row],[Monto (S/)]],"0")</f>
        <v>0</v>
      </c>
      <c r="O1042" s="63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81" t="str">
        <f>IF(tblMovimientos[[#This Row],[Cuenta Bancaria]]="","",_xlfn.XLOOKUP(tblMovimientos[[#This Row],[Cuenta Bancaria]],Cuentas!$C:$C,Cuentas!$A:$A,"No encontrado"))</f>
        <v>SSP Group</v>
      </c>
      <c r="R1042" s="81" t="str">
        <f>TRIM(_xlfn.XLOOKUP(tblMovimientos[[#This Row],[Cuenta Bancaria]],Cuentas!$C:$C,Cuentas!$B:$B,""))</f>
        <v>Cross Security Trust</v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71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>IF(F1043="Ingreso",J1043,-J1043)</f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3" t="str">
        <f>IF(tblMovimientos[[#This Row],[Tipo de Movimiento]]="Ingreso",tblMovimientos[[#This Row],[Monto (S/)]],"0")</f>
        <v>0</v>
      </c>
      <c r="O1043" s="63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81" t="str">
        <f>IF(tblMovimientos[[#This Row],[Cuenta Bancaria]]="","",_xlfn.XLOOKUP(tblMovimientos[[#This Row],[Cuenta Bancaria]],Cuentas!$C:$C,Cuentas!$A:$A,"No encontrado"))</f>
        <v>SSP Group</v>
      </c>
      <c r="R1043" s="81" t="str">
        <f>TRIM(_xlfn.XLOOKUP(tblMovimientos[[#This Row],[Cuenta Bancaria]],Cuentas!$C:$C,Cuentas!$B:$B,""))</f>
        <v>Cross Security Trust</v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71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>IF(F1044="Ingreso",J1044,-J1044)</f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3" t="str">
        <f>IF(tblMovimientos[[#This Row],[Tipo de Movimiento]]="Ingreso",tblMovimientos[[#This Row],[Monto (S/)]],"0")</f>
        <v>0</v>
      </c>
      <c r="O1044" s="63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81" t="str">
        <f>IF(tblMovimientos[[#This Row],[Cuenta Bancaria]]="","",_xlfn.XLOOKUP(tblMovimientos[[#This Row],[Cuenta Bancaria]],Cuentas!$C:$C,Cuentas!$A:$A,"No encontrado"))</f>
        <v>SSP Group</v>
      </c>
      <c r="R1044" s="81" t="str">
        <f>TRIM(_xlfn.XLOOKUP(tblMovimientos[[#This Row],[Cuenta Bancaria]],Cuentas!$C:$C,Cuentas!$B:$B,""))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71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>IF(F1045="Ingreso",J1045,-J1045)</f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3" t="str">
        <f>IF(tblMovimientos[[#This Row],[Tipo de Movimiento]]="Ingreso",tblMovimientos[[#This Row],[Monto (S/)]],"0")</f>
        <v>0</v>
      </c>
      <c r="O1045" s="63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81" t="str">
        <f>IF(tblMovimientos[[#This Row],[Cuenta Bancaria]]="","",_xlfn.XLOOKUP(tblMovimientos[[#This Row],[Cuenta Bancaria]],Cuentas!$C:$C,Cuentas!$A:$A,"No encontrado"))</f>
        <v>SSP Group</v>
      </c>
      <c r="R1045" s="8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71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>IF(F1046="Ingreso",J1046,-J1046)</f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3" t="str">
        <f>IF(tblMovimientos[[#This Row],[Tipo de Movimiento]]="Ingreso",tblMovimientos[[#This Row],[Monto (S/)]],"0")</f>
        <v>0</v>
      </c>
      <c r="O1046" s="63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81" t="str">
        <f>IF(tblMovimientos[[#This Row],[Cuenta Bancaria]]="","",_xlfn.XLOOKUP(tblMovimientos[[#This Row],[Cuenta Bancaria]],Cuentas!$C:$C,Cuentas!$A:$A,"No encontrado"))</f>
        <v>SSP Group</v>
      </c>
      <c r="R1046" s="81" t="str">
        <f>TRIM(_xlfn.XLOOKUP(tblMovimientos[[#This Row],[Cuenta Bancaria]],Cuentas!$C:$C,Cuentas!$B:$B,""))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71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>IF(F1047="Ingreso",J1047,-J1047)</f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3" t="str">
        <f>IF(tblMovimientos[[#This Row],[Tipo de Movimiento]]="Ingreso",tblMovimientos[[#This Row],[Monto (S/)]],"0")</f>
        <v>0</v>
      </c>
      <c r="O1047" s="63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81" t="str">
        <f>IF(tblMovimientos[[#This Row],[Cuenta Bancaria]]="","",_xlfn.XLOOKUP(tblMovimientos[[#This Row],[Cuenta Bancaria]],Cuentas!$C:$C,Cuentas!$A:$A,"No encontrado"))</f>
        <v>SSP Group</v>
      </c>
      <c r="R1047" s="81" t="str">
        <f>TRIM(_xlfn.XLOOKUP(tblMovimientos[[#This Row],[Cuenta Bancaria]],Cuentas!$C:$C,Cuentas!$B:$B,""))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71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>IF(F1048="Ingreso",J1048,-J1048)</f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3" t="str">
        <f>IF(tblMovimientos[[#This Row],[Tipo de Movimiento]]="Ingreso",tblMovimientos[[#This Row],[Monto (S/)]],"0")</f>
        <v>0</v>
      </c>
      <c r="O1048" s="63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81" t="str">
        <f>IF(tblMovimientos[[#This Row],[Cuenta Bancaria]]="","",_xlfn.XLOOKUP(tblMovimientos[[#This Row],[Cuenta Bancaria]],Cuentas!$C:$C,Cuentas!$A:$A,"No encontrado"))</f>
        <v>SSP Group</v>
      </c>
      <c r="R1048" s="81" t="str">
        <f>TRIM(_xlfn.XLOOKUP(tblMovimientos[[#This Row],[Cuenta Bancaria]],Cuentas!$C:$C,Cuentas!$B:$B,""))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71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>IF(F1049="Ingreso",J1049,-J1049)</f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3" t="str">
        <f>IF(tblMovimientos[[#This Row],[Tipo de Movimiento]]="Ingreso",tblMovimientos[[#This Row],[Monto (S/)]],"0")</f>
        <v>0</v>
      </c>
      <c r="O1049" s="63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81" t="str">
        <f>IF(tblMovimientos[[#This Row],[Cuenta Bancaria]]="","",_xlfn.XLOOKUP(tblMovimientos[[#This Row],[Cuenta Bancaria]],Cuentas!$C:$C,Cuentas!$A:$A,"No encontrado"))</f>
        <v>SSP Group</v>
      </c>
      <c r="R1049" s="81" t="str">
        <f>TRIM(_xlfn.XLOOKUP(tblMovimientos[[#This Row],[Cuenta Bancaria]],Cuentas!$C:$C,Cuentas!$B:$B,""))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71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>IF(F1050="Ingreso",J1050,-J1050)</f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3" t="str">
        <f>IF(tblMovimientos[[#This Row],[Tipo de Movimiento]]="Ingreso",tblMovimientos[[#This Row],[Monto (S/)]],"0")</f>
        <v>0</v>
      </c>
      <c r="O1050" s="63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81" t="str">
        <f>IF(tblMovimientos[[#This Row],[Cuenta Bancaria]]="","",_xlfn.XLOOKUP(tblMovimientos[[#This Row],[Cuenta Bancaria]],Cuentas!$C:$C,Cuentas!$A:$A,"No encontrado"))</f>
        <v>SSP Group</v>
      </c>
      <c r="R1050" s="81" t="str">
        <f>TRIM(_xlfn.XLOOKUP(tblMovimientos[[#This Row],[Cuenta Bancaria]],Cuentas!$C:$C,Cuentas!$B:$B,""))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71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>IF(F1051="Ingreso",J1051,-J1051)</f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3" t="str">
        <f>IF(tblMovimientos[[#This Row],[Tipo de Movimiento]]="Ingreso",tblMovimientos[[#This Row],[Monto (S/)]],"0")</f>
        <v>0</v>
      </c>
      <c r="O1051" s="63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81" t="str">
        <f>IF(tblMovimientos[[#This Row],[Cuenta Bancaria]]="","",_xlfn.XLOOKUP(tblMovimientos[[#This Row],[Cuenta Bancaria]],Cuentas!$C:$C,Cuentas!$A:$A,"No encontrado"))</f>
        <v>SSP Group</v>
      </c>
      <c r="R1051" s="81" t="str">
        <f>TRIM(_xlfn.XLOOKUP(tblMovimientos[[#This Row],[Cuenta Bancaria]],Cuentas!$C:$C,Cuentas!$B:$B,""))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71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>IF(F1052="Ingreso",J1052,-J1052)</f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3" t="str">
        <f>IF(tblMovimientos[[#This Row],[Tipo de Movimiento]]="Ingreso",tblMovimientos[[#This Row],[Monto (S/)]],"0")</f>
        <v>0</v>
      </c>
      <c r="O1052" s="63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81" t="str">
        <f>IF(tblMovimientos[[#This Row],[Cuenta Bancaria]]="","",_xlfn.XLOOKUP(tblMovimientos[[#This Row],[Cuenta Bancaria]],Cuentas!$C:$C,Cuentas!$A:$A,"No encontrado"))</f>
        <v>SSP Group</v>
      </c>
      <c r="R1052" s="81" t="str">
        <f>TRIM(_xlfn.XLOOKUP(tblMovimientos[[#This Row],[Cuenta Bancaria]],Cuentas!$C:$C,Cuentas!$B:$B,""))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71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>IF(F1053="Ingreso",J1053,-J1053)</f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3" t="str">
        <f>IF(tblMovimientos[[#This Row],[Tipo de Movimiento]]="Ingreso",tblMovimientos[[#This Row],[Monto (S/)]],"0")</f>
        <v>0</v>
      </c>
      <c r="O1053" s="63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81" t="str">
        <f>IF(tblMovimientos[[#This Row],[Cuenta Bancaria]]="","",_xlfn.XLOOKUP(tblMovimientos[[#This Row],[Cuenta Bancaria]],Cuentas!$C:$C,Cuentas!$A:$A,"No encontrado"))</f>
        <v>SSP Group</v>
      </c>
      <c r="R1053" s="81" t="str">
        <f>TRIM(_xlfn.XLOOKUP(tblMovimientos[[#This Row],[Cuenta Bancaria]],Cuentas!$C:$C,Cuentas!$B:$B,""))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71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>IF(F1054="Ingreso",J1054,-J1054)</f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3" t="str">
        <f>IF(tblMovimientos[[#This Row],[Tipo de Movimiento]]="Ingreso",tblMovimientos[[#This Row],[Monto (S/)]],"0")</f>
        <v>0</v>
      </c>
      <c r="O1054" s="63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81" t="str">
        <f>IF(tblMovimientos[[#This Row],[Cuenta Bancaria]]="","",_xlfn.XLOOKUP(tblMovimientos[[#This Row],[Cuenta Bancaria]],Cuentas!$C:$C,Cuentas!$A:$A,"No encontrado"))</f>
        <v>SSP Group</v>
      </c>
      <c r="R1054" s="81" t="str">
        <f>TRIM(_xlfn.XLOOKUP(tblMovimientos[[#This Row],[Cuenta Bancaria]],Cuentas!$C:$C,Cuentas!$B:$B,""))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71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>IF(F1055="Ingreso",J1055,-J1055)</f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3">
        <f>IF(tblMovimientos[[#This Row],[Tipo de Movimiento]]="Ingreso",tblMovimientos[[#This Row],[Monto (S/)]],"0")</f>
        <v>13622.78</v>
      </c>
      <c r="O1055" s="63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81" t="str">
        <f>IF(tblMovimientos[[#This Row],[Cuenta Bancaria]]="","",_xlfn.XLOOKUP(tblMovimientos[[#This Row],[Cuenta Bancaria]],Cuentas!$C:$C,Cuentas!$A:$A,"No encontrado"))</f>
        <v>Michael Cross</v>
      </c>
      <c r="R1055" s="81" t="str">
        <f>TRIM(_xlfn.XLOOKUP(tblMovimientos[[#This Row],[Cuenta Bancaria]],Cuentas!$C:$C,Cuentas!$B:$B,""))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Carmen Cross Irrevocable Trust</v>
      </c>
      <c r="D1056" s="41" t="s">
        <v>184</v>
      </c>
      <c r="E1056" s="71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>IF(F1056="Ingreso",J1056,-J1056)</f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3" t="str">
        <f>IF(tblMovimientos[[#This Row],[Tipo de Movimiento]]="Ingreso",tblMovimientos[[#This Row],[Monto (S/)]],"0")</f>
        <v>0</v>
      </c>
      <c r="O1056" s="63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81" t="str">
        <f>IF(tblMovimientos[[#This Row],[Cuenta Bancaria]]="","",_xlfn.XLOOKUP(tblMovimientos[[#This Row],[Cuenta Bancaria]],Cuentas!$C:$C,Cuentas!$A:$A,"No encontrado"))</f>
        <v>Carmen Cross Irrevocable Trust</v>
      </c>
      <c r="R1056" s="81" t="str">
        <f>TRIM(_xlfn.XLOOKUP(tblMovimientos[[#This Row],[Cuenta Bancaria]],Cuentas!$C:$C,Cuentas!$B:$B,""))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71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>IF(F1057="Ingreso",J1057,-J1057)</f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3" t="str">
        <f>IF(tblMovimientos[[#This Row],[Tipo de Movimiento]]="Ingreso",tblMovimientos[[#This Row],[Monto (S/)]],"0")</f>
        <v>0</v>
      </c>
      <c r="O1057" s="63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81" t="str">
        <f>IF(tblMovimientos[[#This Row],[Cuenta Bancaria]]="","",_xlfn.XLOOKUP(tblMovimientos[[#This Row],[Cuenta Bancaria]],Cuentas!$C:$C,Cuentas!$A:$A,"No encontrado"))</f>
        <v>Unidades de Negocio</v>
      </c>
      <c r="R1057" s="81" t="str">
        <f>TRIM(_xlfn.XLOOKUP(tblMovimientos[[#This Row],[Cuenta Bancaria]],Cuentas!$C:$C,Cuentas!$B:$B,""))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71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>IF(F1058="Ingreso",J1058,-J1058)</f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3" t="str">
        <f>IF(tblMovimientos[[#This Row],[Tipo de Movimiento]]="Ingreso",tblMovimientos[[#This Row],[Monto (S/)]],"0")</f>
        <v>0</v>
      </c>
      <c r="O1058" s="63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81" t="str">
        <f>IF(tblMovimientos[[#This Row],[Cuenta Bancaria]]="","",_xlfn.XLOOKUP(tblMovimientos[[#This Row],[Cuenta Bancaria]],Cuentas!$C:$C,Cuentas!$A:$A,"No encontrado"))</f>
        <v>Unidades de Negocio</v>
      </c>
      <c r="R1058" s="81" t="str">
        <f>TRIM(_xlfn.XLOOKUP(tblMovimientos[[#This Row],[Cuenta Bancaria]],Cuentas!$C:$C,Cuentas!$B:$B,""))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71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>IF(F1059="Ingreso",J1059,-J1059)</f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3" t="str">
        <f>IF(tblMovimientos[[#This Row],[Tipo de Movimiento]]="Ingreso",tblMovimientos[[#This Row],[Monto (S/)]],"0")</f>
        <v>0</v>
      </c>
      <c r="O1059" s="63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81" t="str">
        <f>IF(tblMovimientos[[#This Row],[Cuenta Bancaria]]="","",_xlfn.XLOOKUP(tblMovimientos[[#This Row],[Cuenta Bancaria]],Cuentas!$C:$C,Cuentas!$A:$A,"No encontrado"))</f>
        <v>Unidades de Negocio</v>
      </c>
      <c r="R1059" s="81" t="str">
        <f>TRIM(_xlfn.XLOOKUP(tblMovimientos[[#This Row],[Cuenta Bancaria]],Cuentas!$C:$C,Cuentas!$B:$B,""))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71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>IF(F1060="Ingreso",J1060,-J1060)</f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3" t="str">
        <f>IF(tblMovimientos[[#This Row],[Tipo de Movimiento]]="Ingreso",tblMovimientos[[#This Row],[Monto (S/)]],"0")</f>
        <v>0</v>
      </c>
      <c r="O1060" s="63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81" t="str">
        <f>IF(tblMovimientos[[#This Row],[Cuenta Bancaria]]="","",_xlfn.XLOOKUP(tblMovimientos[[#This Row],[Cuenta Bancaria]],Cuentas!$C:$C,Cuentas!$A:$A,"No encontrado"))</f>
        <v>Unidades de Negocio</v>
      </c>
      <c r="R1060" s="81" t="str">
        <f>TRIM(_xlfn.XLOOKUP(tblMovimientos[[#This Row],[Cuenta Bancaria]],Cuentas!$C:$C,Cuentas!$B:$B,""))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71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>IF(F1061="Ingreso",J1061,-J1061)</f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3" t="str">
        <f>IF(tblMovimientos[[#This Row],[Tipo de Movimiento]]="Ingreso",tblMovimientos[[#This Row],[Monto (S/)]],"0")</f>
        <v>0</v>
      </c>
      <c r="O1061" s="63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81" t="str">
        <f>IF(tblMovimientos[[#This Row],[Cuenta Bancaria]]="","",_xlfn.XLOOKUP(tblMovimientos[[#This Row],[Cuenta Bancaria]],Cuentas!$C:$C,Cuentas!$A:$A,"No encontrado"))</f>
        <v>SSP Group</v>
      </c>
      <c r="R1061" s="81" t="str">
        <f>TRIM(_xlfn.XLOOKUP(tblMovimientos[[#This Row],[Cuenta Bancaria]],Cuentas!$C:$C,Cuentas!$B:$B,""))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71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>IF(F1062="Ingreso",J1062,-J1062)</f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3">
        <f>IF(tblMovimientos[[#This Row],[Tipo de Movimiento]]="Ingreso",tblMovimientos[[#This Row],[Monto (S/)]],"0")</f>
        <v>450000</v>
      </c>
      <c r="O1062" s="63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81" t="str">
        <f>IF(tblMovimientos[[#This Row],[Cuenta Bancaria]]="","",_xlfn.XLOOKUP(tblMovimientos[[#This Row],[Cuenta Bancaria]],Cuentas!$C:$C,Cuentas!$A:$A,"No encontrado"))</f>
        <v>SSP Group</v>
      </c>
      <c r="R1062" s="81" t="str">
        <f>TRIM(_xlfn.XLOOKUP(tblMovimientos[[#This Row],[Cuenta Bancaria]],Cuentas!$C:$C,Cuentas!$B:$B,""))</f>
        <v>Cross Security Trust</v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71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>IF(F1063="Ingreso",J1063,-J1063)</f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3">
        <f>IF(tblMovimientos[[#This Row],[Tipo de Movimiento]]="Ingreso",tblMovimientos[[#This Row],[Monto (S/)]],"0")</f>
        <v>5250</v>
      </c>
      <c r="O1063" s="63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81" t="str">
        <f>IF(tblMovimientos[[#This Row],[Cuenta Bancaria]]="","",_xlfn.XLOOKUP(tblMovimientos[[#This Row],[Cuenta Bancaria]],Cuentas!$C:$C,Cuentas!$A:$A,"No encontrado"))</f>
        <v>SSP Group</v>
      </c>
      <c r="R1063" s="81" t="str">
        <f>TRIM(_xlfn.XLOOKUP(tblMovimientos[[#This Row],[Cuenta Bancaria]],Cuentas!$C:$C,Cuentas!$B:$B,""))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71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>IF(F1064="Ingreso",J1064,-J1064)</f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3">
        <f>IF(tblMovimientos[[#This Row],[Tipo de Movimiento]]="Ingreso",tblMovimientos[[#This Row],[Monto (S/)]],"0")</f>
        <v>410000</v>
      </c>
      <c r="O1064" s="63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81" t="str">
        <f>IF(tblMovimientos[[#This Row],[Cuenta Bancaria]]="","",_xlfn.XLOOKUP(tblMovimientos[[#This Row],[Cuenta Bancaria]],Cuentas!$C:$C,Cuentas!$A:$A,"No encontrado"))</f>
        <v>SSP Group</v>
      </c>
      <c r="R1064" s="81" t="str">
        <f>TRIM(_xlfn.XLOOKUP(tblMovimientos[[#This Row],[Cuenta Bancaria]],Cuentas!$C:$C,Cuentas!$B:$B,""))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Carmen Cross Irrevocable Trust</v>
      </c>
      <c r="D1065" s="41" t="s">
        <v>184</v>
      </c>
      <c r="E1065" s="71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>IF(F1065="Ingreso",J1065,-J1065)</f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3">
        <f>IF(tblMovimientos[[#This Row],[Tipo de Movimiento]]="Ingreso",tblMovimientos[[#This Row],[Monto (S/)]],"0")</f>
        <v>87518.74</v>
      </c>
      <c r="O1065" s="63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81" t="str">
        <f>IF(tblMovimientos[[#This Row],[Cuenta Bancaria]]="","",_xlfn.XLOOKUP(tblMovimientos[[#This Row],[Cuenta Bancaria]],Cuentas!$C:$C,Cuentas!$A:$A,"No encontrado"))</f>
        <v>Carmen Cross Irrevocable Trust</v>
      </c>
      <c r="R1065" s="81" t="str">
        <f>TRIM(_xlfn.XLOOKUP(tblMovimientos[[#This Row],[Cuenta Bancaria]],Cuentas!$C:$C,Cuentas!$B:$B,""))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Carmen Cross Irrevocable Trust</v>
      </c>
      <c r="D1066" s="41" t="s">
        <v>184</v>
      </c>
      <c r="E1066" s="71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>IF(F1066="Ingreso",J1066,-J1066)</f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3" t="str">
        <f>IF(tblMovimientos[[#This Row],[Tipo de Movimiento]]="Ingreso",tblMovimientos[[#This Row],[Monto (S/)]],"0")</f>
        <v>0</v>
      </c>
      <c r="O1066" s="63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81" t="str">
        <f>IF(tblMovimientos[[#This Row],[Cuenta Bancaria]]="","",_xlfn.XLOOKUP(tblMovimientos[[#This Row],[Cuenta Bancaria]],Cuentas!$C:$C,Cuentas!$A:$A,"No encontrado"))</f>
        <v>Carmen Cross Irrevocable Trust</v>
      </c>
      <c r="R1066" s="81" t="str">
        <f>TRIM(_xlfn.XLOOKUP(tblMovimientos[[#This Row],[Cuenta Bancaria]],Cuentas!$C:$C,Cuentas!$B:$B,""))</f>
        <v/>
      </c>
    </row>
    <row r="1067" spans="2:18" x14ac:dyDescent="0.3">
      <c r="B1067" s="39">
        <v>46286</v>
      </c>
      <c r="C1067" s="4" t="str">
        <f>_xlfn.XLOOKUP(tblMovimientos[[#This Row],[Cuenta Bancaria]],Listas!$B:$B,Listas!$A:$A,"")</f>
        <v>Go Blue</v>
      </c>
      <c r="D1067" s="41" t="s">
        <v>165</v>
      </c>
      <c r="E1067" s="71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749</v>
      </c>
      <c r="K1067" s="5">
        <f>IF(F1067="Ingreso",J1067,-J1067)</f>
        <v>-749</v>
      </c>
      <c r="L1067" s="15" t="s">
        <v>133</v>
      </c>
      <c r="M1067" s="44">
        <f>SUMIFS('Saldos Iniciales'!$D:$D,'Saldos Iniciales'!$A:$A,C1067,'Saldos Iniciales'!$B:$B,D1067)+SUMIFS($K$1:$K$1326,$C$1:$C$1326,C1067,$D$1:$D$1326,D1067,$B$1:$B$1326,"&lt;="&amp;B1067)</f>
        <v>903.28000000000156</v>
      </c>
      <c r="N1067" s="63" t="str">
        <f>IF(tblMovimientos[[#This Row],[Tipo de Movimiento]]="Ingreso",tblMovimientos[[#This Row],[Monto (S/)]],"0")</f>
        <v>0</v>
      </c>
      <c r="O1067" s="63">
        <f>IF(tblMovimientos[[#This Row],[Tipo de Movimiento]]="Egreso",tblMovimientos[[#This Row],[Monto (S/)]],"0")</f>
        <v>749</v>
      </c>
      <c r="P1067" s="28">
        <f>IF(tblMovimientos[[#This Row],[Tipo de Movimiento]]="Ingreso",tblMovimientos[[#This Row],[Ingreso]],-tblMovimientos[[#This Row],[Egreso]])</f>
        <v>-749</v>
      </c>
      <c r="Q1067" s="81" t="str">
        <f>IF(tblMovimientos[[#This Row],[Cuenta Bancaria]]="","",_xlfn.XLOOKUP(tblMovimientos[[#This Row],[Cuenta Bancaria]],Cuentas!$C:$C,Cuentas!$A:$A,"No encontrado"))</f>
        <v>SSP Group</v>
      </c>
      <c r="R1067" s="81" t="str">
        <f>TRIM(_xlfn.XLOOKUP(tblMovimientos[[#This Row],[Cuenta Bancaria]],Cuentas!$C:$C,Cuentas!$B:$B,""))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71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44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22.47</v>
      </c>
      <c r="K1068" s="5">
        <f>IF(F1068="Ingreso",J1068,-J1068)</f>
        <v>-22.47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903.28000000000156</v>
      </c>
      <c r="N1068" s="63" t="str">
        <f>IF(tblMovimientos[[#This Row],[Tipo de Movimiento]]="Ingreso",tblMovimientos[[#This Row],[Monto (S/)]],"0")</f>
        <v>0</v>
      </c>
      <c r="O1068" s="63">
        <f>IF(tblMovimientos[[#This Row],[Tipo de Movimiento]]="Egreso",tblMovimientos[[#This Row],[Monto (S/)]],"0")</f>
        <v>22.47</v>
      </c>
      <c r="P1068" s="28">
        <f>IF(tblMovimientos[[#This Row],[Tipo de Movimiento]]="Ingreso",tblMovimientos[[#This Row],[Ingreso]],-tblMovimientos[[#This Row],[Egreso]])</f>
        <v>-22.47</v>
      </c>
      <c r="Q1068" s="81" t="str">
        <f>IF(tblMovimientos[[#This Row],[Cuenta Bancaria]]="","",_xlfn.XLOOKUP(tblMovimientos[[#This Row],[Cuenta Bancaria]],Cuentas!$C:$C,Cuentas!$A:$A,"No encontrado"))</f>
        <v>SSP Group</v>
      </c>
      <c r="R1068" s="81" t="str">
        <f>TRIM(_xlfn.XLOOKUP(tblMovimientos[[#This Row],[Cuenta Bancaria]],Cuentas!$C:$C,Cuentas!$B:$B,""))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SSP Capital</v>
      </c>
      <c r="D1069" s="41" t="s">
        <v>101</v>
      </c>
      <c r="E1069" s="71" t="str">
        <f>_xlfn.XLOOKUP(tblMovimientos[[#This Row],[Cuenta Bancaria]],Listas!$B:$B,Listas!$C:$C,"")</f>
        <v>Bank of America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2463.8000000000002</v>
      </c>
      <c r="K1069" s="5">
        <f>IF(F1069="Ingreso",J1069,-J1069)</f>
        <v>-2463.8000000000002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22599.980000000003</v>
      </c>
      <c r="N1069" s="63" t="str">
        <f>IF(tblMovimientos[[#This Row],[Tipo de Movimiento]]="Ingreso",tblMovimientos[[#This Row],[Monto (S/)]],"0")</f>
        <v>0</v>
      </c>
      <c r="O1069" s="63">
        <f>IF(tblMovimientos[[#This Row],[Tipo de Movimiento]]="Egreso",tblMovimientos[[#This Row],[Monto (S/)]],"0")</f>
        <v>2463.8000000000002</v>
      </c>
      <c r="P1069" s="28">
        <f>IF(tblMovimientos[[#This Row],[Tipo de Movimiento]]="Ingreso",tblMovimientos[[#This Row],[Ingreso]],-tblMovimientos[[#This Row],[Egreso]])</f>
        <v>-2463.8000000000002</v>
      </c>
      <c r="Q1069" s="81" t="str">
        <f>IF(tblMovimientos[[#This Row],[Cuenta Bancaria]]="","",_xlfn.XLOOKUP(tblMovimientos[[#This Row],[Cuenta Bancaria]],Cuentas!$C:$C,Cuentas!$A:$A,"No encontrado"))</f>
        <v>SSP Group</v>
      </c>
      <c r="R1069" s="81" t="str">
        <f>TRIM(_xlfn.XLOOKUP(tblMovimientos[[#This Row],[Cuenta Bancaria]],Cuentas!$C:$C,Cuentas!$B:$B,""))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71" t="str">
        <f>_xlfn.XLOOKUP(tblMovimientos[[#This Row],[Cuenta Bancaria]],Listas!$B:$B,Listas!$C:$C,"")</f>
        <v>Bank of America</v>
      </c>
      <c r="F1070" s="41" t="s">
        <v>10</v>
      </c>
      <c r="G1070" s="41" t="s">
        <v>41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780.9</v>
      </c>
      <c r="K1070" s="5">
        <f>IF(F1070="Ingreso",J1070,-J1070)</f>
        <v>-780.9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3" t="str">
        <f>IF(tblMovimientos[[#This Row],[Tipo de Movimiento]]="Ingreso",tblMovimientos[[#This Row],[Monto (S/)]],"0")</f>
        <v>0</v>
      </c>
      <c r="O1070" s="63">
        <f>IF(tblMovimientos[[#This Row],[Tipo de Movimiento]]="Egreso",tblMovimientos[[#This Row],[Monto (S/)]],"0")</f>
        <v>780.9</v>
      </c>
      <c r="P1070" s="28">
        <f>IF(tblMovimientos[[#This Row],[Tipo de Movimiento]]="Ingreso",tblMovimientos[[#This Row],[Ingreso]],-tblMovimientos[[#This Row],[Egreso]])</f>
        <v>-780.9</v>
      </c>
      <c r="Q1070" s="81" t="str">
        <f>IF(tblMovimientos[[#This Row],[Cuenta Bancaria]]="","",_xlfn.XLOOKUP(tblMovimientos[[#This Row],[Cuenta Bancaria]],Cuentas!$C:$C,Cuentas!$A:$A,"No encontrado"))</f>
        <v>SSP Group</v>
      </c>
      <c r="R1070" s="81" t="str">
        <f>TRIM(_xlfn.XLOOKUP(tblMovimientos[[#This Row],[Cuenta Bancaria]],Cuentas!$C:$C,Cuentas!$B:$B,""))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71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737.04</v>
      </c>
      <c r="K1071" s="5">
        <f>IF(F1071="Ingreso",J1071,-J1071)</f>
        <v>-737.04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3" t="str">
        <f>IF(tblMovimientos[[#This Row],[Tipo de Movimiento]]="Ingreso",tblMovimientos[[#This Row],[Monto (S/)]],"0")</f>
        <v>0</v>
      </c>
      <c r="O1071" s="63">
        <f>IF(tblMovimientos[[#This Row],[Tipo de Movimiento]]="Egreso",tblMovimientos[[#This Row],[Monto (S/)]],"0")</f>
        <v>737.04</v>
      </c>
      <c r="P1071" s="28">
        <f>IF(tblMovimientos[[#This Row],[Tipo de Movimiento]]="Ingreso",tblMovimientos[[#This Row],[Ingreso]],-tblMovimientos[[#This Row],[Egreso]])</f>
        <v>-737.04</v>
      </c>
      <c r="Q1071" s="81" t="str">
        <f>IF(tblMovimientos[[#This Row],[Cuenta Bancaria]]="","",_xlfn.XLOOKUP(tblMovimientos[[#This Row],[Cuenta Bancaria]],Cuentas!$C:$C,Cuentas!$A:$A,"No encontrado"))</f>
        <v>SSP Group</v>
      </c>
      <c r="R1071" s="81" t="str">
        <f>TRIM(_xlfn.XLOOKUP(tblMovimientos[[#This Row],[Cuenta Bancaria]],Cuentas!$C:$C,Cuentas!$B:$B,""))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A&amp;M Imports</v>
      </c>
      <c r="D1072" s="41" t="s">
        <v>100</v>
      </c>
      <c r="E1072" s="71" t="str">
        <f>_xlfn.XLOOKUP(tblMovimientos[[#This Row],[Cuenta Bancaria]],Listas!$B:$B,Listas!$C:$C,"")</f>
        <v>Bank of America</v>
      </c>
      <c r="F1072" s="41" t="s">
        <v>9</v>
      </c>
      <c r="G1072" s="41" t="s">
        <v>80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28068.720000000001</v>
      </c>
      <c r="K1072" s="5">
        <f>IF(F1072="Ingreso",J1072,-J1072)</f>
        <v>28068.720000000001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1453603.3599999999</v>
      </c>
      <c r="N1072" s="63">
        <f>IF(tblMovimientos[[#This Row],[Tipo de Movimiento]]="Ingreso",tblMovimientos[[#This Row],[Monto (S/)]],"0")</f>
        <v>28068.720000000001</v>
      </c>
      <c r="O1072" s="63" t="str">
        <f>IF(tblMovimientos[[#This Row],[Tipo de Movimiento]]="Egreso",tblMovimientos[[#This Row],[Monto (S/)]],"0")</f>
        <v>0</v>
      </c>
      <c r="P1072" s="28">
        <f>IF(tblMovimientos[[#This Row],[Tipo de Movimiento]]="Ingreso",tblMovimientos[[#This Row],[Ingreso]],-tblMovimientos[[#This Row],[Egreso]])</f>
        <v>28068.720000000001</v>
      </c>
      <c r="Q1072" s="81" t="str">
        <f>IF(tblMovimientos[[#This Row],[Cuenta Bancaria]]="","",_xlfn.XLOOKUP(tblMovimientos[[#This Row],[Cuenta Bancaria]],Cuentas!$C:$C,Cuentas!$A:$A,"No encontrado"))</f>
        <v>SSP Group</v>
      </c>
      <c r="R1072" s="81" t="str">
        <f>TRIM(_xlfn.XLOOKUP(tblMovimientos[[#This Row],[Cuenta Bancaria]],Cuentas!$C:$C,Cuentas!$B:$B,""))</f>
        <v>Cross Security Trust</v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Prendamas SRL</v>
      </c>
      <c r="D1073" s="41" t="s">
        <v>186</v>
      </c>
      <c r="E1073" s="71" t="str">
        <f>_xlfn.XLOOKUP(tblMovimientos[[#This Row],[Cuenta Bancaria]],Listas!$B:$B,Listas!$C:$C,"")</f>
        <v xml:space="preserve">Amerant Bank 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611.6</v>
      </c>
      <c r="K1073" s="5">
        <f>IF(F1073="Ingreso",J1073,-J1073)</f>
        <v>-611.6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25507.15999999996</v>
      </c>
      <c r="N1073" s="63" t="str">
        <f>IF(tblMovimientos[[#This Row],[Tipo de Movimiento]]="Ingreso",tblMovimientos[[#This Row],[Monto (S/)]],"0")</f>
        <v>0</v>
      </c>
      <c r="O1073" s="63">
        <f>IF(tblMovimientos[[#This Row],[Tipo de Movimiento]]="Egreso",tblMovimientos[[#This Row],[Monto (S/)]],"0")</f>
        <v>611.6</v>
      </c>
      <c r="P1073" s="28">
        <f>IF(tblMovimientos[[#This Row],[Tipo de Movimiento]]="Ingreso",tblMovimientos[[#This Row],[Ingreso]],-tblMovimientos[[#This Row],[Egreso]])</f>
        <v>-611.6</v>
      </c>
      <c r="Q1073" s="81" t="str">
        <f>IF(tblMovimientos[[#This Row],[Cuenta Bancaria]]="","",_xlfn.XLOOKUP(tblMovimientos[[#This Row],[Cuenta Bancaria]],Cuentas!$C:$C,Cuentas!$A:$A,"No encontrado"))</f>
        <v>Unidades de Negocio</v>
      </c>
      <c r="R1073" s="81" t="str">
        <f>TRIM(_xlfn.XLOOKUP(tblMovimientos[[#This Row],[Cuenta Bancaria]],Cuentas!$C:$C,Cuentas!$B:$B,""))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71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600.6</v>
      </c>
      <c r="K1074" s="5">
        <f>IF(F1074="Ingreso",J1074,-J1074)</f>
        <v>-600.6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3" t="str">
        <f>IF(tblMovimientos[[#This Row],[Tipo de Movimiento]]="Ingreso",tblMovimientos[[#This Row],[Monto (S/)]],"0")</f>
        <v>0</v>
      </c>
      <c r="O1074" s="63">
        <f>IF(tblMovimientos[[#This Row],[Tipo de Movimiento]]="Egreso",tblMovimientos[[#This Row],[Monto (S/)]],"0")</f>
        <v>600.6</v>
      </c>
      <c r="P1074" s="28">
        <f>IF(tblMovimientos[[#This Row],[Tipo de Movimiento]]="Ingreso",tblMovimientos[[#This Row],[Ingreso]],-tblMovimientos[[#This Row],[Egreso]])</f>
        <v>-600.6</v>
      </c>
      <c r="Q1074" s="81" t="str">
        <f>IF(tblMovimientos[[#This Row],[Cuenta Bancaria]]="","",_xlfn.XLOOKUP(tblMovimientos[[#This Row],[Cuenta Bancaria]],Cuentas!$C:$C,Cuentas!$A:$A,"No encontrado"))</f>
        <v>Unidades de Negocio</v>
      </c>
      <c r="R1074" s="81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71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44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18.02</v>
      </c>
      <c r="K1075" s="5">
        <f>IF(F1075="Ingreso",J1075,-J1075)</f>
        <v>-18.02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3" t="str">
        <f>IF(tblMovimientos[[#This Row],[Tipo de Movimiento]]="Ingreso",tblMovimientos[[#This Row],[Monto (S/)]],"0")</f>
        <v>0</v>
      </c>
      <c r="O1075" s="63">
        <f>IF(tblMovimientos[[#This Row],[Tipo de Movimiento]]="Egreso",tblMovimientos[[#This Row],[Monto (S/)]],"0")</f>
        <v>18.02</v>
      </c>
      <c r="P1075" s="28">
        <f>IF(tblMovimientos[[#This Row],[Tipo de Movimiento]]="Ingreso",tblMovimientos[[#This Row],[Ingreso]],-tblMovimientos[[#This Row],[Egreso]])</f>
        <v>-18.02</v>
      </c>
      <c r="Q1075" s="81" t="str">
        <f>IF(tblMovimientos[[#This Row],[Cuenta Bancaria]]="","",_xlfn.XLOOKUP(tblMovimientos[[#This Row],[Cuenta Bancaria]],Cuentas!$C:$C,Cuentas!$A:$A,"No encontrado"))</f>
        <v>Unidades de Negocio</v>
      </c>
      <c r="R1075" s="81" t="str">
        <f>TRIM(_xlfn.XLOOKUP(tblMovimientos[[#This Row],[Cuenta Bancaria]],Cuentas!$C:$C,Cuentas!$B:$B,""))</f>
        <v/>
      </c>
    </row>
    <row r="1076" spans="1:18" s="78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71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18.350000000000001</v>
      </c>
      <c r="K1076" s="5">
        <f>IF(F1076="Ingreso",J1076,-J1076)</f>
        <v>-18.350000000000001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3" t="str">
        <f>IF(tblMovimientos[[#This Row],[Tipo de Movimiento]]="Ingreso",tblMovimientos[[#This Row],[Monto (S/)]],"0")</f>
        <v>0</v>
      </c>
      <c r="O1076" s="63">
        <f>IF(tblMovimientos[[#This Row],[Tipo de Movimiento]]="Egreso",tblMovimientos[[#This Row],[Monto (S/)]],"0")</f>
        <v>18.350000000000001</v>
      </c>
      <c r="P1076" s="28">
        <f>IF(tblMovimientos[[#This Row],[Tipo de Movimiento]]="Ingreso",tblMovimientos[[#This Row],[Ingreso]],-tblMovimientos[[#This Row],[Egreso]])</f>
        <v>-18.350000000000001</v>
      </c>
      <c r="Q1076" s="81" t="str">
        <f>IF(tblMovimientos[[#This Row],[Cuenta Bancaria]]="","",_xlfn.XLOOKUP(tblMovimientos[[#This Row],[Cuenta Bancaria]],Cuentas!$C:$C,Cuentas!$A:$A,"No encontrado"))</f>
        <v>Unidades de Negocio</v>
      </c>
      <c r="R1076" s="81" t="str">
        <f>TRIM(_xlfn.XLOOKUP(tblMovimientos[[#This Row],[Cuenta Bancaria]],Cuentas!$C:$C,Cuentas!$B:$B,""))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Nobe Aparments</v>
      </c>
      <c r="D1077" s="41" t="s">
        <v>191</v>
      </c>
      <c r="E1077" s="71" t="str">
        <f>_xlfn.XLOOKUP(tblMovimientos[[#This Row],[Cuenta Bancaria]],Listas!$B:$B,Listas!$C:$C,"")</f>
        <v>Bank of America</v>
      </c>
      <c r="F1077" s="41" t="s">
        <v>10</v>
      </c>
      <c r="G1077" s="41" t="s">
        <v>38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405.74</v>
      </c>
      <c r="K1077" s="5">
        <f>IF(F1077="Ingreso",J1077,-J1077)</f>
        <v>-405.74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208857.13</v>
      </c>
      <c r="N1077" s="63" t="str">
        <f>IF(tblMovimientos[[#This Row],[Tipo de Movimiento]]="Ingreso",tblMovimientos[[#This Row],[Monto (S/)]],"0")</f>
        <v>0</v>
      </c>
      <c r="O1077" s="63">
        <f>IF(tblMovimientos[[#This Row],[Tipo de Movimiento]]="Egreso",tblMovimientos[[#This Row],[Monto (S/)]],"0")</f>
        <v>405.74</v>
      </c>
      <c r="P1077" s="28">
        <f>IF(tblMovimientos[[#This Row],[Tipo de Movimiento]]="Ingreso",tblMovimientos[[#This Row],[Ingreso]],-tblMovimientos[[#This Row],[Egreso]])</f>
        <v>-405.74</v>
      </c>
      <c r="Q1077" s="81" t="str">
        <f>IF(tblMovimientos[[#This Row],[Cuenta Bancaria]]="","",_xlfn.XLOOKUP(tblMovimientos[[#This Row],[Cuenta Bancaria]],Cuentas!$C:$C,Cuentas!$A:$A,"No encontrado"))</f>
        <v>Carmen Cross / Estate</v>
      </c>
      <c r="R1077" s="81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46287</v>
      </c>
      <c r="C1078" s="4" t="str">
        <f>_xlfn.XLOOKUP(tblMovimientos[[#This Row],[Cuenta Bancaria]],Listas!$B:$B,Listas!$A:$A,"")</f>
        <v>SSP Capital</v>
      </c>
      <c r="D1078" s="41" t="s">
        <v>101</v>
      </c>
      <c r="E1078" s="71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762.99</v>
      </c>
      <c r="K1078" s="5">
        <f>IF(F1078="Ingreso",J1078,-J1078)</f>
        <v>-762.99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21836.990000000005</v>
      </c>
      <c r="N1078" s="63" t="str">
        <f>IF(tblMovimientos[[#This Row],[Tipo de Movimiento]]="Ingreso",tblMovimientos[[#This Row],[Monto (S/)]],"0")</f>
        <v>0</v>
      </c>
      <c r="O1078" s="63">
        <f>IF(tblMovimientos[[#This Row],[Tipo de Movimiento]]="Egreso",tblMovimientos[[#This Row],[Monto (S/)]],"0")</f>
        <v>762.99</v>
      </c>
      <c r="P1078" s="28">
        <f>IF(tblMovimientos[[#This Row],[Tipo de Movimiento]]="Ingreso",tblMovimientos[[#This Row],[Ingreso]],-tblMovimientos[[#This Row],[Egreso]])</f>
        <v>-762.99</v>
      </c>
      <c r="Q1078" s="81" t="str">
        <f>IF(tblMovimientos[[#This Row],[Cuenta Bancaria]]="","",_xlfn.XLOOKUP(tblMovimientos[[#This Row],[Cuenta Bancaria]],Cuentas!$C:$C,Cuentas!$A:$A,"No encontrado"))</f>
        <v>SSP Group</v>
      </c>
      <c r="R1078" s="81" t="str">
        <f>TRIM(_xlfn.XLOOKUP(tblMovimientos[[#This Row],[Cuenta Bancaria]],Cuentas!$C:$C,Cuentas!$B:$B,""))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2515 Overbrook</v>
      </c>
      <c r="D1079" s="41" t="s">
        <v>121</v>
      </c>
      <c r="E1079" s="71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262.5</v>
      </c>
      <c r="K1079" s="5">
        <f>IF(F1079="Ingreso",J1079,-J1079)</f>
        <v>-262.5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28414.459999999963</v>
      </c>
      <c r="N1079" s="63" t="str">
        <f>IF(tblMovimientos[[#This Row],[Tipo de Movimiento]]="Ingreso",tblMovimientos[[#This Row],[Monto (S/)]],"0")</f>
        <v>0</v>
      </c>
      <c r="O1079" s="63">
        <f>IF(tblMovimientos[[#This Row],[Tipo de Movimiento]]="Egreso",tblMovimientos[[#This Row],[Monto (S/)]],"0")</f>
        <v>262.5</v>
      </c>
      <c r="P1079" s="28">
        <f>IF(tblMovimientos[[#This Row],[Tipo de Movimiento]]="Ingreso",tblMovimientos[[#This Row],[Ingreso]],-tblMovimientos[[#This Row],[Egreso]])</f>
        <v>-262.5</v>
      </c>
      <c r="Q1079" s="81" t="str">
        <f>IF(tblMovimientos[[#This Row],[Cuenta Bancaria]]="","",_xlfn.XLOOKUP(tblMovimientos[[#This Row],[Cuenta Bancaria]],Cuentas!$C:$C,Cuentas!$A:$A,"No encontrado"))</f>
        <v>SSP Group</v>
      </c>
      <c r="R1079" s="81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71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1300</v>
      </c>
      <c r="K1080" s="5">
        <f>IF(F1080="Ingreso",J1080,-J1080)</f>
        <v>-1300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3" t="str">
        <f>IF(tblMovimientos[[#This Row],[Tipo de Movimiento]]="Ingreso",tblMovimientos[[#This Row],[Monto (S/)]],"0")</f>
        <v>0</v>
      </c>
      <c r="O1080" s="63">
        <f>IF(tblMovimientos[[#This Row],[Tipo de Movimiento]]="Egreso",tblMovimientos[[#This Row],[Monto (S/)]],"0")</f>
        <v>1300</v>
      </c>
      <c r="P1080" s="28">
        <f>IF(tblMovimientos[[#This Row],[Tipo de Movimiento]]="Ingreso",tblMovimientos[[#This Row],[Ingreso]],-tblMovimientos[[#This Row],[Egreso]])</f>
        <v>-1300</v>
      </c>
      <c r="Q1080" s="81" t="str">
        <f>IF(tblMovimientos[[#This Row],[Cuenta Bancaria]]="","",_xlfn.XLOOKUP(tblMovimientos[[#This Row],[Cuenta Bancaria]],Cuentas!$C:$C,Cuentas!$A:$A,"No encontrado"))</f>
        <v>SSP Group</v>
      </c>
      <c r="R1080" s="81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112 Florida Ave</v>
      </c>
      <c r="D1081" s="41" t="s">
        <v>123</v>
      </c>
      <c r="E1081" s="71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1120.03</v>
      </c>
      <c r="K1081" s="5">
        <f>IF(F1081="Ingreso",J1081,-J1081)</f>
        <v>-1120.03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15162.600000000006</v>
      </c>
      <c r="N1081" s="63" t="str">
        <f>IF(tblMovimientos[[#This Row],[Tipo de Movimiento]]="Ingreso",tblMovimientos[[#This Row],[Monto (S/)]],"0")</f>
        <v>0</v>
      </c>
      <c r="O1081" s="63">
        <f>IF(tblMovimientos[[#This Row],[Tipo de Movimiento]]="Egreso",tblMovimientos[[#This Row],[Monto (S/)]],"0")</f>
        <v>1120.03</v>
      </c>
      <c r="P1081" s="28">
        <f>IF(tblMovimientos[[#This Row],[Tipo de Movimiento]]="Ingreso",tblMovimientos[[#This Row],[Ingreso]],-tblMovimientos[[#This Row],[Egreso]])</f>
        <v>-1120.03</v>
      </c>
      <c r="Q1081" s="81" t="str">
        <f>IF(tblMovimientos[[#This Row],[Cuenta Bancaria]]="","",_xlfn.XLOOKUP(tblMovimientos[[#This Row],[Cuenta Bancaria]],Cuentas!$C:$C,Cuentas!$A:$A,"No encontrado"))</f>
        <v>SSP Group</v>
      </c>
      <c r="R1081" s="81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3628 Thomas Ave</v>
      </c>
      <c r="D1082" s="41" t="s">
        <v>124</v>
      </c>
      <c r="E1082" s="71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231.3</v>
      </c>
      <c r="K1082" s="5">
        <f>IF(F1082="Ingreso",J1082,-J1082)</f>
        <v>-231.3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12937.859999999997</v>
      </c>
      <c r="N1082" s="63" t="str">
        <f>IF(tblMovimientos[[#This Row],[Tipo de Movimiento]]="Ingreso",tblMovimientos[[#This Row],[Monto (S/)]],"0")</f>
        <v>0</v>
      </c>
      <c r="O1082" s="63">
        <f>IF(tblMovimientos[[#This Row],[Tipo de Movimiento]]="Egreso",tblMovimientos[[#This Row],[Monto (S/)]],"0")</f>
        <v>231.3</v>
      </c>
      <c r="P1082" s="28">
        <f>IF(tblMovimientos[[#This Row],[Tipo de Movimiento]]="Ingreso",tblMovimientos[[#This Row],[Ingreso]],-tblMovimientos[[#This Row],[Egreso]])</f>
        <v>-231.3</v>
      </c>
      <c r="Q1082" s="81" t="str">
        <f>IF(tblMovimientos[[#This Row],[Cuenta Bancaria]]="","",_xlfn.XLOOKUP(tblMovimientos[[#This Row],[Cuenta Bancaria]],Cuentas!$C:$C,Cuentas!$A:$A,"No encontrado"))</f>
        <v>SSP Group</v>
      </c>
      <c r="R1082" s="81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71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46.84</v>
      </c>
      <c r="K1083" s="5">
        <f>IF(F1083="Ingreso",J1083,-J1083)</f>
        <v>-46.84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3" t="str">
        <f>IF(tblMovimientos[[#This Row],[Tipo de Movimiento]]="Ingreso",tblMovimientos[[#This Row],[Monto (S/)]],"0")</f>
        <v>0</v>
      </c>
      <c r="O1083" s="63">
        <f>IF(tblMovimientos[[#This Row],[Tipo de Movimiento]]="Egreso",tblMovimientos[[#This Row],[Monto (S/)]],"0")</f>
        <v>46.84</v>
      </c>
      <c r="P1083" s="28">
        <f>IF(tblMovimientos[[#This Row],[Tipo de Movimiento]]="Ingreso",tblMovimientos[[#This Row],[Ingreso]],-tblMovimientos[[#This Row],[Egreso]])</f>
        <v>-46.84</v>
      </c>
      <c r="Q1083" s="81" t="str">
        <f>IF(tblMovimientos[[#This Row],[Cuenta Bancaria]]="","",_xlfn.XLOOKUP(tblMovimientos[[#This Row],[Cuenta Bancaria]],Cuentas!$C:$C,Cuentas!$A:$A,"No encontrado"))</f>
        <v>SSP Group</v>
      </c>
      <c r="R1083" s="81" t="str">
        <f>TRIM(_xlfn.XLOOKUP(tblMovimientos[[#This Row],[Cuenta Bancaria]],Cuentas!$C:$C,Cuentas!$B:$B,""))</f>
        <v/>
      </c>
    </row>
    <row r="1084" spans="1:18" s="78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71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470</v>
      </c>
      <c r="K1084" s="5">
        <f>IF(F1084="Ingreso",J1084,-J1084)</f>
        <v>-470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3" t="str">
        <f>IF(tblMovimientos[[#This Row],[Tipo de Movimiento]]="Ingreso",tblMovimientos[[#This Row],[Monto (S/)]],"0")</f>
        <v>0</v>
      </c>
      <c r="O1084" s="63">
        <f>IF(tblMovimientos[[#This Row],[Tipo de Movimiento]]="Egreso",tblMovimientos[[#This Row],[Monto (S/)]],"0")</f>
        <v>470</v>
      </c>
      <c r="P1084" s="28">
        <f>IF(tblMovimientos[[#This Row],[Tipo de Movimiento]]="Ingreso",tblMovimientos[[#This Row],[Ingreso]],-tblMovimientos[[#This Row],[Egreso]])</f>
        <v>-470</v>
      </c>
      <c r="Q1084" s="81" t="str">
        <f>IF(tblMovimientos[[#This Row],[Cuenta Bancaria]]="","",_xlfn.XLOOKUP(tblMovimientos[[#This Row],[Cuenta Bancaria]],Cuentas!$C:$C,Cuentas!$A:$A,"No encontrado"))</f>
        <v>SSP Group</v>
      </c>
      <c r="R1084" s="81" t="str">
        <f>TRIM(_xlfn.XLOOKUP(tblMovimientos[[#This Row],[Cuenta Bancaria]],Cuentas!$C:$C,Cuentas!$B:$B,""))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Prendamas SRL</v>
      </c>
      <c r="D1085" s="41" t="s">
        <v>186</v>
      </c>
      <c r="E1085" s="71" t="str">
        <f>_xlfn.XLOOKUP(tblMovimientos[[#This Row],[Cuenta Bancaria]],Listas!$B:$B,Listas!$C:$C,"")</f>
        <v xml:space="preserve">Amerant Bank 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546.54</v>
      </c>
      <c r="K1085" s="5">
        <f>IF(F1085="Ingreso",J1085,-J1085)</f>
        <v>-546.54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24944.219999999972</v>
      </c>
      <c r="N1085" s="63" t="str">
        <f>IF(tblMovimientos[[#This Row],[Tipo de Movimiento]]="Ingreso",tblMovimientos[[#This Row],[Monto (S/)]],"0")</f>
        <v>0</v>
      </c>
      <c r="O1085" s="63">
        <f>IF(tblMovimientos[[#This Row],[Tipo de Movimiento]]="Egreso",tblMovimientos[[#This Row],[Monto (S/)]],"0")</f>
        <v>546.54</v>
      </c>
      <c r="P1085" s="28">
        <f>IF(tblMovimientos[[#This Row],[Tipo de Movimiento]]="Ingreso",tblMovimientos[[#This Row],[Ingreso]],-tblMovimientos[[#This Row],[Egreso]])</f>
        <v>-546.54</v>
      </c>
      <c r="Q1085" s="81" t="str">
        <f>IF(tblMovimientos[[#This Row],[Cuenta Bancaria]]="","",_xlfn.XLOOKUP(tblMovimientos[[#This Row],[Cuenta Bancaria]],Cuentas!$C:$C,Cuentas!$A:$A,"No encontrado"))</f>
        <v>Unidades de Negocio</v>
      </c>
      <c r="R1085" s="81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71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44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16.399999999999999</v>
      </c>
      <c r="K1086" s="5">
        <f>IF(F1086="Ingreso",J1086,-J1086)</f>
        <v>-16.399999999999999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3" t="str">
        <f>IF(tblMovimientos[[#This Row],[Tipo de Movimiento]]="Ingreso",tblMovimientos[[#This Row],[Monto (S/)]],"0")</f>
        <v>0</v>
      </c>
      <c r="O1086" s="63">
        <f>IF(tblMovimientos[[#This Row],[Tipo de Movimiento]]="Egreso",tblMovimientos[[#This Row],[Monto (S/)]],"0")</f>
        <v>16.399999999999999</v>
      </c>
      <c r="P1086" s="28">
        <f>IF(tblMovimientos[[#This Row],[Tipo de Movimiento]]="Ingreso",tblMovimientos[[#This Row],[Ingreso]],-tblMovimientos[[#This Row],[Egreso]])</f>
        <v>-16.399999999999999</v>
      </c>
      <c r="Q1086" s="81" t="str">
        <f>IF(tblMovimientos[[#This Row],[Cuenta Bancaria]]="","",_xlfn.XLOOKUP(tblMovimientos[[#This Row],[Cuenta Bancaria]],Cuentas!$C:$C,Cuentas!$A:$A,"No encontrado"))</f>
        <v>Unidades de Negocio</v>
      </c>
      <c r="R1086" s="81" t="str">
        <f>TRIM(_xlfn.XLOOKUP(tblMovimientos[[#This Row],[Cuenta Bancaria]],Cuentas!$C:$C,Cuentas!$B:$B,""))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Nobe Aparments</v>
      </c>
      <c r="D1087" s="41" t="s">
        <v>191</v>
      </c>
      <c r="E1087" s="71" t="str">
        <f>_xlfn.XLOOKUP(tblMovimientos[[#This Row],[Cuenta Bancaria]],Listas!$B:$B,Listas!$C:$C,"")</f>
        <v>Bank of America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2812.67</v>
      </c>
      <c r="K1087" s="5">
        <f>IF(F1087="Ingreso",J1087,-J1087)</f>
        <v>-2812.67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203099.46</v>
      </c>
      <c r="N1087" s="63" t="str">
        <f>IF(tblMovimientos[[#This Row],[Tipo de Movimiento]]="Ingreso",tblMovimientos[[#This Row],[Monto (S/)]],"0")</f>
        <v>0</v>
      </c>
      <c r="O1087" s="63">
        <f>IF(tblMovimientos[[#This Row],[Tipo de Movimiento]]="Egreso",tblMovimientos[[#This Row],[Monto (S/)]],"0")</f>
        <v>2812.67</v>
      </c>
      <c r="P1087" s="28">
        <f>IF(tblMovimientos[[#This Row],[Tipo de Movimiento]]="Ingreso",tblMovimientos[[#This Row],[Ingreso]],-tblMovimientos[[#This Row],[Egreso]])</f>
        <v>-2812.67</v>
      </c>
      <c r="Q1087" s="81" t="str">
        <f>IF(tblMovimientos[[#This Row],[Cuenta Bancaria]]="","",_xlfn.XLOOKUP(tblMovimientos[[#This Row],[Cuenta Bancaria]],Cuentas!$C:$C,Cuentas!$A:$A,"No encontrado"))</f>
        <v>Carmen Cross / Estate</v>
      </c>
      <c r="R1087" s="81" t="str">
        <f>TRIM(_xlfn.XLOOKUP(tblMovimientos[[#This Row],[Cuenta Bancaria]],Cuentas!$C:$C,Cuentas!$B:$B,""))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71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660</v>
      </c>
      <c r="K1088" s="5">
        <f>IF(F1088="Ingreso",J1088,-J1088)</f>
        <v>-660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3" t="str">
        <f>IF(tblMovimientos[[#This Row],[Tipo de Movimiento]]="Ingreso",tblMovimientos[[#This Row],[Monto (S/)]],"0")</f>
        <v>0</v>
      </c>
      <c r="O1088" s="63">
        <f>IF(tblMovimientos[[#This Row],[Tipo de Movimiento]]="Egreso",tblMovimientos[[#This Row],[Monto (S/)]],"0")</f>
        <v>660</v>
      </c>
      <c r="P1088" s="28">
        <f>IF(tblMovimientos[[#This Row],[Tipo de Movimiento]]="Ingreso",tblMovimientos[[#This Row],[Ingreso]],-tblMovimientos[[#This Row],[Egreso]])</f>
        <v>-660</v>
      </c>
      <c r="Q1088" s="81" t="str">
        <f>IF(tblMovimientos[[#This Row],[Cuenta Bancaria]]="","",_xlfn.XLOOKUP(tblMovimientos[[#This Row],[Cuenta Bancaria]],Cuentas!$C:$C,Cuentas!$A:$A,"No encontrado"))</f>
        <v>Carmen Cross / Estate</v>
      </c>
      <c r="R1088" s="81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71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2285</v>
      </c>
      <c r="K1089" s="5">
        <f>IF(F1089="Ingreso",J1089,-J1089)</f>
        <v>-2285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3" t="str">
        <f>IF(tblMovimientos[[#This Row],[Tipo de Movimiento]]="Ingreso",tblMovimientos[[#This Row],[Monto (S/)]],"0")</f>
        <v>0</v>
      </c>
      <c r="O1089" s="63">
        <f>IF(tblMovimientos[[#This Row],[Tipo de Movimiento]]="Egreso",tblMovimientos[[#This Row],[Monto (S/)]],"0")</f>
        <v>2285</v>
      </c>
      <c r="P1089" s="28">
        <f>IF(tblMovimientos[[#This Row],[Tipo de Movimiento]]="Ingreso",tblMovimientos[[#This Row],[Ingreso]],-tblMovimientos[[#This Row],[Egreso]])</f>
        <v>-2285</v>
      </c>
      <c r="Q1089" s="81" t="str">
        <f>IF(tblMovimientos[[#This Row],[Cuenta Bancaria]]="","",_xlfn.XLOOKUP(tblMovimientos[[#This Row],[Cuenta Bancaria]],Cuentas!$C:$C,Cuentas!$A:$A,"No encontrado"))</f>
        <v>Carmen Cross / Estate</v>
      </c>
      <c r="R1089" s="81" t="str">
        <f>TRIM(_xlfn.XLOOKUP(tblMovimientos[[#This Row],[Cuenta Bancaria]],Cuentas!$C:$C,Cuentas!$B:$B,""))</f>
        <v/>
      </c>
    </row>
    <row r="1090" spans="1:18" x14ac:dyDescent="0.3">
      <c r="B1090" s="39">
        <v>46288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71" t="str">
        <f>_xlfn.XLOOKUP(tblMovimientos[[#This Row],[Cuenta Bancaria]],Listas!$B:$B,Listas!$C:$C,"")</f>
        <v>Bank of America</v>
      </c>
      <c r="F1090" s="41" t="s">
        <v>9</v>
      </c>
      <c r="G1090" s="41" t="s">
        <v>81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1905</v>
      </c>
      <c r="K1090" s="5">
        <f>IF(F1090="Ingreso",J1090,-J1090)</f>
        <v>1905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204999.46</v>
      </c>
      <c r="N1090" s="63">
        <f>IF(tblMovimientos[[#This Row],[Tipo de Movimiento]]="Ingreso",tblMovimientos[[#This Row],[Monto (S/)]],"0")</f>
        <v>1905</v>
      </c>
      <c r="O1090" s="63" t="str">
        <f>IF(tblMovimientos[[#This Row],[Tipo de Movimiento]]="Egreso",tblMovimientos[[#This Row],[Monto (S/)]],"0")</f>
        <v>0</v>
      </c>
      <c r="P1090" s="28">
        <f>IF(tblMovimientos[[#This Row],[Tipo de Movimiento]]="Ingreso",tblMovimientos[[#This Row],[Ingreso]],-tblMovimientos[[#This Row],[Egreso]])</f>
        <v>1905</v>
      </c>
      <c r="Q1090" s="81" t="str">
        <f>IF(tblMovimientos[[#This Row],[Cuenta Bancaria]]="","",_xlfn.XLOOKUP(tblMovimientos[[#This Row],[Cuenta Bancaria]],Cuentas!$C:$C,Cuentas!$A:$A,"No encontrado"))</f>
        <v>Carmen Cross / Estate</v>
      </c>
      <c r="R1090" s="81" t="str">
        <f>TRIM(_xlfn.XLOOKUP(tblMovimientos[[#This Row],[Cuenta Bancaria]],Cuentas!$C:$C,Cuentas!$B:$B,""))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71" t="str">
        <f>_xlfn.XLOOKUP(tblMovimientos[[#This Row],[Cuenta Bancaria]],Listas!$B:$B,Listas!$C:$C,"")</f>
        <v>Bank of America</v>
      </c>
      <c r="F1091" s="41" t="s">
        <v>10</v>
      </c>
      <c r="G1091" s="41" t="s">
        <v>44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5</v>
      </c>
      <c r="K1091" s="5">
        <f>IF(F1091="Ingreso",J1091,-J1091)</f>
        <v>-5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3" t="str">
        <f>IF(tblMovimientos[[#This Row],[Tipo de Movimiento]]="Ingreso",tblMovimientos[[#This Row],[Monto (S/)]],"0")</f>
        <v>0</v>
      </c>
      <c r="O1091" s="63">
        <f>IF(tblMovimientos[[#This Row],[Tipo de Movimiento]]="Egreso",tblMovimientos[[#This Row],[Monto (S/)]],"0")</f>
        <v>5</v>
      </c>
      <c r="P1091" s="28">
        <f>IF(tblMovimientos[[#This Row],[Tipo de Movimiento]]="Ingreso",tblMovimientos[[#This Row],[Ingreso]],-tblMovimientos[[#This Row],[Egreso]])</f>
        <v>-5</v>
      </c>
      <c r="Q1091" s="81" t="str">
        <f>IF(tblMovimientos[[#This Row],[Cuenta Bancaria]]="","",_xlfn.XLOOKUP(tblMovimientos[[#This Row],[Cuenta Bancaria]],Cuentas!$C:$C,Cuentas!$A:$A,"No encontrado"))</f>
        <v>Carmen Cross / Estate</v>
      </c>
      <c r="R1091" s="81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46289</v>
      </c>
      <c r="C1092" s="4" t="str">
        <f>_xlfn.XLOOKUP(tblMovimientos[[#This Row],[Cuenta Bancaria]],Listas!$B:$B,Listas!$A:$A,"")</f>
        <v>Prendamas SRL</v>
      </c>
      <c r="D1092" s="41" t="s">
        <v>186</v>
      </c>
      <c r="E1092" s="71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38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498.51</v>
      </c>
      <c r="K1092" s="5">
        <f>IF(F1092="Ingreso",J1092,-J1092)</f>
        <v>-498.51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24430.749999999971</v>
      </c>
      <c r="N1092" s="63" t="str">
        <f>IF(tblMovimientos[[#This Row],[Tipo de Movimiento]]="Ingreso",tblMovimientos[[#This Row],[Monto (S/)]],"0")</f>
        <v>0</v>
      </c>
      <c r="O1092" s="63">
        <f>IF(tblMovimientos[[#This Row],[Tipo de Movimiento]]="Egreso",tblMovimientos[[#This Row],[Monto (S/)]],"0")</f>
        <v>498.51</v>
      </c>
      <c r="P1092" s="28">
        <f>IF(tblMovimientos[[#This Row],[Tipo de Movimiento]]="Ingreso",tblMovimientos[[#This Row],[Ingreso]],-tblMovimientos[[#This Row],[Egreso]])</f>
        <v>-498.51</v>
      </c>
      <c r="Q1092" s="81" t="str">
        <f>IF(tblMovimientos[[#This Row],[Cuenta Bancaria]]="","",_xlfn.XLOOKUP(tblMovimientos[[#This Row],[Cuenta Bancaria]],Cuentas!$C:$C,Cuentas!$A:$A,"No encontrado"))</f>
        <v>Unidades de Negocio</v>
      </c>
      <c r="R1092" s="81" t="str">
        <f>TRIM(_xlfn.XLOOKUP(tblMovimientos[[#This Row],[Cuenta Bancaria]],Cuentas!$C:$C,Cuentas!$B:$B,""))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71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14.96</v>
      </c>
      <c r="K1093" s="5">
        <f>IF(F1093="Ingreso",J1093,-J1093)</f>
        <v>-14.96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3" t="str">
        <f>IF(tblMovimientos[[#This Row],[Tipo de Movimiento]]="Ingreso",tblMovimientos[[#This Row],[Monto (S/)]],"0")</f>
        <v>0</v>
      </c>
      <c r="O1093" s="63">
        <f>IF(tblMovimientos[[#This Row],[Tipo de Movimiento]]="Egreso",tblMovimientos[[#This Row],[Monto (S/)]],"0")</f>
        <v>14.96</v>
      </c>
      <c r="P1093" s="28">
        <f>IF(tblMovimientos[[#This Row],[Tipo de Movimiento]]="Ingreso",tblMovimientos[[#This Row],[Ingreso]],-tblMovimientos[[#This Row],[Egreso]])</f>
        <v>-14.96</v>
      </c>
      <c r="Q1093" s="81" t="str">
        <f>IF(tblMovimientos[[#This Row],[Cuenta Bancaria]]="","",_xlfn.XLOOKUP(tblMovimientos[[#This Row],[Cuenta Bancaria]],Cuentas!$C:$C,Cuentas!$A:$A,"No encontrado"))</f>
        <v>Unidades de Negocio</v>
      </c>
      <c r="R1093" s="81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46290</v>
      </c>
      <c r="C1094" s="4" t="str">
        <f>_xlfn.XLOOKUP(tblMovimientos[[#This Row],[Cuenta Bancaria]],Listas!$B:$B,Listas!$A:$A,"")</f>
        <v>A&amp;M Imports</v>
      </c>
      <c r="D1094" s="41" t="s">
        <v>100</v>
      </c>
      <c r="E1094" s="71" t="str">
        <f>_xlfn.XLOOKUP(tblMovimientos[[#This Row],[Cuenta Bancaria]],Listas!$B:$B,Listas!$C:$C,"")</f>
        <v>Bank of America</v>
      </c>
      <c r="F1094" s="41" t="s">
        <v>10</v>
      </c>
      <c r="G1094" s="41" t="s">
        <v>61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60000</v>
      </c>
      <c r="K1094" s="5">
        <f>IF(F1094="Ingreso",J1094,-J1094)</f>
        <v>-60000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1313603.3599999999</v>
      </c>
      <c r="N1094" s="63" t="str">
        <f>IF(tblMovimientos[[#This Row],[Tipo de Movimiento]]="Ingreso",tblMovimientos[[#This Row],[Monto (S/)]],"0")</f>
        <v>0</v>
      </c>
      <c r="O1094" s="63">
        <f>IF(tblMovimientos[[#This Row],[Tipo de Movimiento]]="Egreso",tblMovimientos[[#This Row],[Monto (S/)]],"0")</f>
        <v>60000</v>
      </c>
      <c r="P1094" s="28">
        <f>IF(tblMovimientos[[#This Row],[Tipo de Movimiento]]="Ingreso",tblMovimientos[[#This Row],[Ingreso]],-tblMovimientos[[#This Row],[Egreso]])</f>
        <v>-60000</v>
      </c>
      <c r="Q1094" s="81" t="str">
        <f>IF(tblMovimientos[[#This Row],[Cuenta Bancaria]]="","",_xlfn.XLOOKUP(tblMovimientos[[#This Row],[Cuenta Bancaria]],Cuentas!$C:$C,Cuentas!$A:$A,"No encontrado"))</f>
        <v>SSP Group</v>
      </c>
      <c r="R1094" s="81" t="str">
        <f>TRIM(_xlfn.XLOOKUP(tblMovimientos[[#This Row],[Cuenta Bancaria]],Cuentas!$C:$C,Cuentas!$B:$B,""))</f>
        <v>Cross Security Trust</v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71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80000</v>
      </c>
      <c r="K1095" s="5">
        <f>IF(F1095="Ingreso",J1095,-J1095)</f>
        <v>-80000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3" t="str">
        <f>IF(tblMovimientos[[#This Row],[Tipo de Movimiento]]="Ingreso",tblMovimientos[[#This Row],[Monto (S/)]],"0")</f>
        <v>0</v>
      </c>
      <c r="O1095" s="63">
        <f>IF(tblMovimientos[[#This Row],[Tipo de Movimiento]]="Egreso",tblMovimientos[[#This Row],[Monto (S/)]],"0")</f>
        <v>80000</v>
      </c>
      <c r="P1095" s="28">
        <f>IF(tblMovimientos[[#This Row],[Tipo de Movimiento]]="Ingreso",tblMovimientos[[#This Row],[Ingreso]],-tblMovimientos[[#This Row],[Egreso]])</f>
        <v>-80000</v>
      </c>
      <c r="Q1095" s="81" t="str">
        <f>IF(tblMovimientos[[#This Row],[Cuenta Bancaria]]="","",_xlfn.XLOOKUP(tblMovimientos[[#This Row],[Cuenta Bancaria]],Cuentas!$C:$C,Cuentas!$A:$A,"No encontrado"))</f>
        <v>SSP Group</v>
      </c>
      <c r="R1095" s="81" t="str">
        <f>TRIM(_xlfn.XLOOKUP(tblMovimientos[[#This Row],[Cuenta Bancaria]],Cuentas!$C:$C,Cuentas!$B:$B,""))</f>
        <v>Cross Security Trust</v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112 Florida Ave</v>
      </c>
      <c r="D1096" s="41" t="s">
        <v>123</v>
      </c>
      <c r="E1096" s="71" t="str">
        <f>_xlfn.XLOOKUP(tblMovimientos[[#This Row],[Cuenta Bancaria]],Listas!$B:$B,Listas!$C:$C,"")</f>
        <v>Bank of America</v>
      </c>
      <c r="F1096" s="41" t="s">
        <v>9</v>
      </c>
      <c r="G1096" s="41" t="s">
        <v>71</v>
      </c>
      <c r="H1096" s="4" t="str">
        <f>IFERROR(_xlfn.XLOOKUP(G1096,Listas!E:E,Listas!F:F,""),"")</f>
        <v>Operativo</v>
      </c>
      <c r="I1096" s="46" t="str">
        <f>IFERROR(_xlfn.XLOOKUP(G1096,Listas!E:E,Listas!G:G,""),"")</f>
        <v>Interno</v>
      </c>
      <c r="J1096" s="43">
        <v>8227.09</v>
      </c>
      <c r="K1096" s="5">
        <f>IF(F1096="Ingreso",J1096,-J1096)</f>
        <v>8227.09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23389.690000000006</v>
      </c>
      <c r="N1096" s="63">
        <f>IF(tblMovimientos[[#This Row],[Tipo de Movimiento]]="Ingreso",tblMovimientos[[#This Row],[Monto (S/)]],"0")</f>
        <v>8227.09</v>
      </c>
      <c r="O1096" s="63" t="str">
        <f>IF(tblMovimientos[[#This Row],[Tipo de Movimiento]]="Egreso",tblMovimientos[[#This Row],[Monto (S/)]],"0")</f>
        <v>0</v>
      </c>
      <c r="P1096" s="28">
        <f>IF(tblMovimientos[[#This Row],[Tipo de Movimiento]]="Ingreso",tblMovimientos[[#This Row],[Ingreso]],-tblMovimientos[[#This Row],[Egreso]])</f>
        <v>8227.09</v>
      </c>
      <c r="Q1096" s="81" t="str">
        <f>IF(tblMovimientos[[#This Row],[Cuenta Bancaria]]="","",_xlfn.XLOOKUP(tblMovimientos[[#This Row],[Cuenta Bancaria]],Cuentas!$C:$C,Cuentas!$A:$A,"No encontrado"))</f>
        <v>SSP Group</v>
      </c>
      <c r="R1096" s="81" t="str">
        <f>TRIM(_xlfn.XLOOKUP(tblMovimientos[[#This Row],[Cuenta Bancaria]],Cuentas!$C:$C,Cuentas!$B:$B,""))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3628 Thomas Ave</v>
      </c>
      <c r="D1097" s="41" t="s">
        <v>124</v>
      </c>
      <c r="E1097" s="71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3958.2</v>
      </c>
      <c r="K1097" s="5">
        <f>IF(F1097="Ingreso",J1097,-J1097)</f>
        <v>3958.2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16896.059999999998</v>
      </c>
      <c r="N1097" s="63">
        <f>IF(tblMovimientos[[#This Row],[Tipo de Movimiento]]="Ingreso",tblMovimientos[[#This Row],[Monto (S/)]],"0")</f>
        <v>3958.2</v>
      </c>
      <c r="O1097" s="63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3958.2</v>
      </c>
      <c r="Q1097" s="81" t="str">
        <f>IF(tblMovimientos[[#This Row],[Cuenta Bancaria]]="","",_xlfn.XLOOKUP(tblMovimientos[[#This Row],[Cuenta Bancaria]],Cuentas!$C:$C,Cuentas!$A:$A,"No encontrado"))</f>
        <v>SSP Group</v>
      </c>
      <c r="R1097" s="81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CFT Group</v>
      </c>
      <c r="D1098" s="41" t="s">
        <v>95</v>
      </c>
      <c r="E1098" s="71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46</v>
      </c>
      <c r="H1098" s="46" t="str">
        <f>IFERROR(_xlfn.XLOOKUP(G1098,Listas!E:E,Listas!F:F,""),"")</f>
        <v>Financiamiento</v>
      </c>
      <c r="I1098" s="46" t="str">
        <f>IFERROR(_xlfn.XLOOKUP(G1098,Listas!E:E,Listas!G:G,""),"")</f>
        <v>Externo</v>
      </c>
      <c r="J1098" s="43">
        <v>1108.79</v>
      </c>
      <c r="K1098" s="5">
        <f>IF(F1098="Ingreso",J1098,-J1098)</f>
        <v>-1108.79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1458385.7100000009</v>
      </c>
      <c r="N1098" s="63" t="str">
        <f>IF(tblMovimientos[[#This Row],[Tipo de Movimiento]]="Ingreso",tblMovimientos[[#This Row],[Monto (S/)]],"0")</f>
        <v>0</v>
      </c>
      <c r="O1098" s="63">
        <f>IF(tblMovimientos[[#This Row],[Tipo de Movimiento]]="Egreso",tblMovimientos[[#This Row],[Monto (S/)]],"0")</f>
        <v>1108.79</v>
      </c>
      <c r="P1098" s="28">
        <f>IF(tblMovimientos[[#This Row],[Tipo de Movimiento]]="Ingreso",tblMovimientos[[#This Row],[Ingreso]],-tblMovimientos[[#This Row],[Egreso]])</f>
        <v>-1108.79</v>
      </c>
      <c r="Q1098" s="81" t="str">
        <f>IF(tblMovimientos[[#This Row],[Cuenta Bancaria]]="","",_xlfn.XLOOKUP(tblMovimientos[[#This Row],[Cuenta Bancaria]],Cuentas!$C:$C,Cuentas!$A:$A,"No encontrado"))</f>
        <v>SSP Group</v>
      </c>
      <c r="R1098" s="81" t="str">
        <f>TRIM(_xlfn.XLOOKUP(tblMovimientos[[#This Row],[Cuenta Bancaria]],Cuentas!$C:$C,Cuentas!$B:$B,""))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71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2366.67</v>
      </c>
      <c r="K1099" s="5">
        <f>IF(F1099="Ingreso",J1099,-J1099)</f>
        <v>-2366.67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3" t="str">
        <f>IF(tblMovimientos[[#This Row],[Tipo de Movimiento]]="Ingreso",tblMovimientos[[#This Row],[Monto (S/)]],"0")</f>
        <v>0</v>
      </c>
      <c r="O1099" s="63">
        <f>IF(tblMovimientos[[#This Row],[Tipo de Movimiento]]="Egreso",tblMovimientos[[#This Row],[Monto (S/)]],"0")</f>
        <v>2366.67</v>
      </c>
      <c r="P1099" s="28">
        <f>IF(tblMovimientos[[#This Row],[Tipo de Movimiento]]="Ingreso",tblMovimientos[[#This Row],[Ingreso]],-tblMovimientos[[#This Row],[Egreso]])</f>
        <v>-2366.67</v>
      </c>
      <c r="Q1099" s="81" t="str">
        <f>IF(tblMovimientos[[#This Row],[Cuenta Bancaria]]="","",_xlfn.XLOOKUP(tblMovimientos[[#This Row],[Cuenta Bancaria]],Cuentas!$C:$C,Cuentas!$A:$A,"No encontrado"))</f>
        <v>SSP Group</v>
      </c>
      <c r="R1099" s="81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71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50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3958.2</v>
      </c>
      <c r="K1100" s="5">
        <f>IF(F1100="Ingreso",J1100,-J1100)</f>
        <v>-3958.2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3" t="str">
        <f>IF(tblMovimientos[[#This Row],[Tipo de Movimiento]]="Ingreso",tblMovimientos[[#This Row],[Monto (S/)]],"0")</f>
        <v>0</v>
      </c>
      <c r="O1100" s="63">
        <f>IF(tblMovimientos[[#This Row],[Tipo de Movimiento]]="Egreso",tblMovimientos[[#This Row],[Monto (S/)]],"0")</f>
        <v>3958.2</v>
      </c>
      <c r="P1100" s="28">
        <f>IF(tblMovimientos[[#This Row],[Tipo de Movimiento]]="Ingreso",tblMovimientos[[#This Row],[Ingreso]],-tblMovimientos[[#This Row],[Egreso]])</f>
        <v>-3958.2</v>
      </c>
      <c r="Q1100" s="81" t="str">
        <f>IF(tblMovimientos[[#This Row],[Cuenta Bancaria]]="","",_xlfn.XLOOKUP(tblMovimientos[[#This Row],[Cuenta Bancaria]],Cuentas!$C:$C,Cuentas!$A:$A,"No encontrado"))</f>
        <v>SSP Group</v>
      </c>
      <c r="R1100" s="81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71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8227.09</v>
      </c>
      <c r="K1101" s="5">
        <f>IF(F1101="Ingreso",J1101,-J1101)</f>
        <v>-8227.09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3" t="str">
        <f>IF(tblMovimientos[[#This Row],[Tipo de Movimiento]]="Ingreso",tblMovimientos[[#This Row],[Monto (S/)]],"0")</f>
        <v>0</v>
      </c>
      <c r="O1101" s="63">
        <f>IF(tblMovimientos[[#This Row],[Tipo de Movimiento]]="Egreso",tblMovimientos[[#This Row],[Monto (S/)]],"0")</f>
        <v>8227.09</v>
      </c>
      <c r="P1101" s="28">
        <f>IF(tblMovimientos[[#This Row],[Tipo de Movimiento]]="Ingreso",tblMovimientos[[#This Row],[Ingreso]],-tblMovimientos[[#This Row],[Egreso]])</f>
        <v>-8227.09</v>
      </c>
      <c r="Q1101" s="81" t="str">
        <f>IF(tblMovimientos[[#This Row],[Cuenta Bancaria]]="","",_xlfn.XLOOKUP(tblMovimientos[[#This Row],[Cuenta Bancaria]],Cuentas!$C:$C,Cuentas!$A:$A,"No encontrado"))</f>
        <v>SSP Group</v>
      </c>
      <c r="R1101" s="81" t="str">
        <f>TRIM(_xlfn.XLOOKUP(tblMovimientos[[#This Row],[Cuenta Bancaria]],Cuentas!$C:$C,Cuentas!$B:$B,""))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71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46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10000</v>
      </c>
      <c r="K1102" s="5">
        <f>IF(F1102="Ingreso",J1102,-J1102)</f>
        <v>-10000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3" t="str">
        <f>IF(tblMovimientos[[#This Row],[Tipo de Movimiento]]="Ingreso",tblMovimientos[[#This Row],[Monto (S/)]],"0")</f>
        <v>0</v>
      </c>
      <c r="O1102" s="63">
        <f>IF(tblMovimientos[[#This Row],[Tipo de Movimiento]]="Egreso",tblMovimientos[[#This Row],[Monto (S/)]],"0")</f>
        <v>10000</v>
      </c>
      <c r="P1102" s="28">
        <f>IF(tblMovimientos[[#This Row],[Tipo de Movimiento]]="Ingreso",tblMovimientos[[#This Row],[Ingreso]],-tblMovimientos[[#This Row],[Egreso]])</f>
        <v>-10000</v>
      </c>
      <c r="Q1102" s="81" t="str">
        <f>IF(tblMovimientos[[#This Row],[Cuenta Bancaria]]="","",_xlfn.XLOOKUP(tblMovimientos[[#This Row],[Cuenta Bancaria]],Cuentas!$C:$C,Cuentas!$A:$A,"No encontrado"))</f>
        <v>SSP Group</v>
      </c>
      <c r="R1102" s="81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71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10833.33</v>
      </c>
      <c r="K1103" s="5">
        <f>IF(F1103="Ingreso",J1103,-J1103)</f>
        <v>-10833.33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3" t="str">
        <f>IF(tblMovimientos[[#This Row],[Tipo de Movimiento]]="Ingreso",tblMovimientos[[#This Row],[Monto (S/)]],"0")</f>
        <v>0</v>
      </c>
      <c r="O1103" s="63">
        <f>IF(tblMovimientos[[#This Row],[Tipo de Movimiento]]="Egreso",tblMovimientos[[#This Row],[Monto (S/)]],"0")</f>
        <v>10833.33</v>
      </c>
      <c r="P1103" s="28">
        <f>IF(tblMovimientos[[#This Row],[Tipo de Movimiento]]="Ingreso",tblMovimientos[[#This Row],[Ingreso]],-tblMovimientos[[#This Row],[Egreso]])</f>
        <v>-10833.33</v>
      </c>
      <c r="Q1103" s="81" t="str">
        <f>IF(tblMovimientos[[#This Row],[Cuenta Bancaria]]="","",_xlfn.XLOOKUP(tblMovimientos[[#This Row],[Cuenta Bancaria]],Cuentas!$C:$C,Cuentas!$A:$A,"No encontrado"))</f>
        <v>SSP Group</v>
      </c>
      <c r="R1103" s="81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71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61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100000</v>
      </c>
      <c r="K1104" s="5">
        <f>IF(F1104="Ingreso",J1104,-J1104)</f>
        <v>-100000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3" t="str">
        <f>IF(tblMovimientos[[#This Row],[Tipo de Movimiento]]="Ingreso",tblMovimientos[[#This Row],[Monto (S/)]],"0")</f>
        <v>0</v>
      </c>
      <c r="O1104" s="63">
        <f>IF(tblMovimientos[[#This Row],[Tipo de Movimiento]]="Egreso",tblMovimientos[[#This Row],[Monto (S/)]],"0")</f>
        <v>100000</v>
      </c>
      <c r="P1104" s="28">
        <f>IF(tblMovimientos[[#This Row],[Tipo de Movimiento]]="Ingreso",tblMovimientos[[#This Row],[Ingreso]],-tblMovimientos[[#This Row],[Egreso]])</f>
        <v>-100000</v>
      </c>
      <c r="Q1104" s="81" t="str">
        <f>IF(tblMovimientos[[#This Row],[Cuenta Bancaria]]="","",_xlfn.XLOOKUP(tblMovimientos[[#This Row],[Cuenta Bancaria]],Cuentas!$C:$C,Cuentas!$A:$A,"No encontrado"))</f>
        <v>SSP Group</v>
      </c>
      <c r="R1104" s="81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7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62</v>
      </c>
      <c r="H1105" s="46" t="str">
        <f>IFERROR(_xlfn.XLOOKUP(G1105,Listas!E:E,Listas!F:F,""),"")</f>
        <v>Operativo</v>
      </c>
      <c r="I1105" s="46" t="str">
        <f>IFERROR(_xlfn.XLOOKUP(G1105,Listas!E:E,Listas!G:G,""),"")</f>
        <v>Interno</v>
      </c>
      <c r="J1105" s="43">
        <v>350000</v>
      </c>
      <c r="K1105" s="5">
        <f>IF(F1105="Ingreso",J1105,-J1105)</f>
        <v>-350000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3" t="str">
        <f>IF(tblMovimientos[[#This Row],[Tipo de Movimiento]]="Ingreso",tblMovimientos[[#This Row],[Monto (S/)]],"0")</f>
        <v>0</v>
      </c>
      <c r="O1105" s="63">
        <f>IF(tblMovimientos[[#This Row],[Tipo de Movimiento]]="Egreso",tblMovimientos[[#This Row],[Monto (S/)]],"0")</f>
        <v>350000</v>
      </c>
      <c r="P1105" s="28">
        <f>IF(tblMovimientos[[#This Row],[Tipo de Movimiento]]="Ingreso",tblMovimientos[[#This Row],[Ingreso]],-tblMovimientos[[#This Row],[Egreso]])</f>
        <v>-350000</v>
      </c>
      <c r="Q1105" s="81" t="str">
        <f>IF(tblMovimientos[[#This Row],[Cuenta Bancaria]]="","",_xlfn.XLOOKUP(tblMovimientos[[#This Row],[Cuenta Bancaria]],Cuentas!$C:$C,Cuentas!$A:$A,"No encontrado"))</f>
        <v>SSP Group</v>
      </c>
      <c r="R1105" s="81" t="str">
        <f>TRIM(_xlfn.XLOOKUP(tblMovimientos[[#This Row],[Cuenta Bancaria]],Cuentas!$C:$C,Cuentas!$B:$B,""))</f>
        <v/>
      </c>
    </row>
    <row r="1106" spans="1:18" s="78" customFormat="1" x14ac:dyDescent="0.3">
      <c r="A1106" s="3"/>
      <c r="B1106" s="39">
        <v>46290</v>
      </c>
      <c r="C1106" s="4" t="str">
        <f>_xlfn.XLOOKUP(tblMovimientos[[#This Row],[Cuenta Bancaria]],Listas!$B:$B,Listas!$A:$A,"")</f>
        <v>SSP Capital</v>
      </c>
      <c r="D1106" s="41" t="s">
        <v>104</v>
      </c>
      <c r="E1106" s="71" t="str">
        <f>_xlfn.XLOOKUP(tblMovimientos[[#This Row],[Cuenta Bancaria]],Listas!$B:$B,Listas!$C:$C,"")</f>
        <v xml:space="preserve">Amerant Bank </v>
      </c>
      <c r="F1106" s="41" t="s">
        <v>9</v>
      </c>
      <c r="G1106" s="41" t="s">
        <v>75</v>
      </c>
      <c r="H1106" s="4" t="str">
        <f>IFERROR(_xlfn.XLOOKUP(G1106,Listas!E:E,Listas!F:F,""),"")</f>
        <v>Financiamiento</v>
      </c>
      <c r="I1106" s="46" t="str">
        <f>IFERROR(_xlfn.XLOOKUP(G1106,Listas!E:E,Listas!G:G,""),"")</f>
        <v>Interno</v>
      </c>
      <c r="J1106" s="43">
        <v>350000</v>
      </c>
      <c r="K1106" s="5">
        <f>IF(F1106="Ingreso",J1106,-J1106)</f>
        <v>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506391.70999999926</v>
      </c>
      <c r="N1106" s="63">
        <f>IF(tblMovimientos[[#This Row],[Tipo de Movimiento]]="Ingreso",tblMovimientos[[#This Row],[Monto (S/)]],"0")</f>
        <v>350000</v>
      </c>
      <c r="O1106" s="63" t="str">
        <f>IF(tblMovimientos[[#This Row],[Tipo de Movimiento]]="Egreso",tblMovimientos[[#This Row],[Monto (S/)]],"0")</f>
        <v>0</v>
      </c>
      <c r="P1106" s="28">
        <f>IF(tblMovimientos[[#This Row],[Tipo de Movimiento]]="Ingreso",tblMovimientos[[#This Row],[Ingreso]],-tblMovimientos[[#This Row],[Egreso]])</f>
        <v>350000</v>
      </c>
      <c r="Q1106" s="81" t="str">
        <f>IF(tblMovimientos[[#This Row],[Cuenta Bancaria]]="","",_xlfn.XLOOKUP(tblMovimientos[[#This Row],[Cuenta Bancaria]],Cuentas!$C:$C,Cuentas!$A:$A,"No encontrado"))</f>
        <v>SSP Group</v>
      </c>
      <c r="R1106" s="81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71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38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295</v>
      </c>
      <c r="K1107" s="5">
        <f>IF(F1107="Ingreso",J1107,-J1107)</f>
        <v>-295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3" t="str">
        <f>IF(tblMovimientos[[#This Row],[Tipo de Movimiento]]="Ingreso",tblMovimientos[[#This Row],[Monto (S/)]],"0")</f>
        <v>0</v>
      </c>
      <c r="O1107" s="63">
        <f>IF(tblMovimientos[[#This Row],[Tipo de Movimiento]]="Egreso",tblMovimientos[[#This Row],[Monto (S/)]],"0")</f>
        <v>295</v>
      </c>
      <c r="P1107" s="28">
        <f>IF(tblMovimientos[[#This Row],[Tipo de Movimiento]]="Ingreso",tblMovimientos[[#This Row],[Ingreso]],-tblMovimientos[[#This Row],[Egreso]])</f>
        <v>-295</v>
      </c>
      <c r="Q1107" s="81" t="str">
        <f>IF(tblMovimientos[[#This Row],[Cuenta Bancaria]]="","",_xlfn.XLOOKUP(tblMovimientos[[#This Row],[Cuenta Bancaria]],Cuentas!$C:$C,Cuentas!$A:$A,"No encontrado"))</f>
        <v>SSP Group</v>
      </c>
      <c r="R1107" s="81" t="str">
        <f>TRIM(_xlfn.XLOOKUP(tblMovimientos[[#This Row],[Cuenta Bancaria]],Cuentas!$C:$C,Cuentas!$B:$B,""))</f>
        <v/>
      </c>
    </row>
    <row r="1108" spans="1:18" s="78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71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46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Externo</v>
      </c>
      <c r="J1108" s="43">
        <v>4071.45</v>
      </c>
      <c r="K1108" s="5">
        <f>IF(F1108="Ingreso",J1108,-J1108)</f>
        <v>-4071.45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3" t="str">
        <f>IF(tblMovimientos[[#This Row],[Tipo de Movimiento]]="Ingreso",tblMovimientos[[#This Row],[Monto (S/)]],"0")</f>
        <v>0</v>
      </c>
      <c r="O1108" s="63">
        <f>IF(tblMovimientos[[#This Row],[Tipo de Movimiento]]="Egreso",tblMovimientos[[#This Row],[Monto (S/)]],"0")</f>
        <v>4071.45</v>
      </c>
      <c r="P1108" s="28">
        <f>IF(tblMovimientos[[#This Row],[Tipo de Movimiento]]="Ingreso",tblMovimientos[[#This Row],[Ingreso]],-tblMovimientos[[#This Row],[Egreso]])</f>
        <v>-4071.45</v>
      </c>
      <c r="Q1108" s="81" t="str">
        <f>IF(tblMovimientos[[#This Row],[Cuenta Bancaria]]="","",_xlfn.XLOOKUP(tblMovimientos[[#This Row],[Cuenta Bancaria]],Cuentas!$C:$C,Cuentas!$A:$A,"No encontrado"))</f>
        <v>SSP Group</v>
      </c>
      <c r="R1108" s="81" t="str">
        <f>TRIM(_xlfn.XLOOKUP(tblMovimientos[[#This Row],[Cuenta Bancaria]],Cuentas!$C:$C,Cuentas!$B:$B,""))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71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56</v>
      </c>
      <c r="H1109" s="4" t="str">
        <f>IFERROR(_xlfn.XLOOKUP(G1109,Listas!E:E,Listas!F:F,""),"")</f>
        <v>Inversion</v>
      </c>
      <c r="I1109" s="46" t="str">
        <f>IFERROR(_xlfn.XLOOKUP(G1109,Listas!E:E,Listas!G:G,""),"")</f>
        <v>Externo</v>
      </c>
      <c r="J1109" s="43">
        <v>8392.27</v>
      </c>
      <c r="K1109" s="5">
        <f>IF(F1109="Ingreso",J1109,-J1109)</f>
        <v>-8392.27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3" t="str">
        <f>IF(tblMovimientos[[#This Row],[Tipo de Movimiento]]="Ingreso",tblMovimientos[[#This Row],[Monto (S/)]],"0")</f>
        <v>0</v>
      </c>
      <c r="O1109" s="63">
        <f>IF(tblMovimientos[[#This Row],[Tipo de Movimiento]]="Egreso",tblMovimientos[[#This Row],[Monto (S/)]],"0")</f>
        <v>8392.27</v>
      </c>
      <c r="P1109" s="28">
        <f>IF(tblMovimientos[[#This Row],[Tipo de Movimiento]]="Ingreso",tblMovimientos[[#This Row],[Ingreso]],-tblMovimientos[[#This Row],[Egreso]])</f>
        <v>-8392.27</v>
      </c>
      <c r="Q1109" s="81" t="str">
        <f>IF(tblMovimientos[[#This Row],[Cuenta Bancaria]]="","",_xlfn.XLOOKUP(tblMovimientos[[#This Row],[Cuenta Bancaria]],Cuentas!$C:$C,Cuentas!$A:$A,"No encontrado"))</f>
        <v>SSP Group</v>
      </c>
      <c r="R1109" s="81" t="str">
        <f>TRIM(_xlfn.XLOOKUP(tblMovimientos[[#This Row],[Cuenta Bancaria]],Cuentas!$C:$C,Cuentas!$B:$B,""))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71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8666.67</v>
      </c>
      <c r="K1110" s="5">
        <f>IF(F1110="Ingreso",J1110,-J1110)</f>
        <v>-8666.67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3" t="str">
        <f>IF(tblMovimientos[[#This Row],[Tipo de Movimiento]]="Ingreso",tblMovimientos[[#This Row],[Monto (S/)]],"0")</f>
        <v>0</v>
      </c>
      <c r="O1110" s="63">
        <f>IF(tblMovimientos[[#This Row],[Tipo de Movimiento]]="Egreso",tblMovimientos[[#This Row],[Monto (S/)]],"0")</f>
        <v>8666.67</v>
      </c>
      <c r="P1110" s="28">
        <f>IF(tblMovimientos[[#This Row],[Tipo de Movimiento]]="Ingreso",tblMovimientos[[#This Row],[Ingreso]],-tblMovimientos[[#This Row],[Egreso]])</f>
        <v>-8666.67</v>
      </c>
      <c r="Q1110" s="81" t="str">
        <f>IF(tblMovimientos[[#This Row],[Cuenta Bancaria]]="","",_xlfn.XLOOKUP(tblMovimientos[[#This Row],[Cuenta Bancaria]],Cuentas!$C:$C,Cuentas!$A:$A,"No encontrado"))</f>
        <v>SSP Group</v>
      </c>
      <c r="R1110" s="81" t="str">
        <f>TRIM(_xlfn.XLOOKUP(tblMovimientos[[#This Row],[Cuenta Bancaria]],Cuentas!$C:$C,Cuentas!$B:$B,""))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71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38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10753.2</v>
      </c>
      <c r="K1111" s="5">
        <f>IF(F1111="Ingreso",J1111,-J1111)</f>
        <v>-10753.2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3" t="str">
        <f>IF(tblMovimientos[[#This Row],[Tipo de Movimiento]]="Ingreso",tblMovimientos[[#This Row],[Monto (S/)]],"0")</f>
        <v>0</v>
      </c>
      <c r="O1111" s="63">
        <f>IF(tblMovimientos[[#This Row],[Tipo de Movimiento]]="Egreso",tblMovimientos[[#This Row],[Monto (S/)]],"0")</f>
        <v>10753.2</v>
      </c>
      <c r="P1111" s="28">
        <f>IF(tblMovimientos[[#This Row],[Tipo de Movimiento]]="Ingreso",tblMovimientos[[#This Row],[Ingreso]],-tblMovimientos[[#This Row],[Egreso]])</f>
        <v>-10753.2</v>
      </c>
      <c r="Q1111" s="81" t="str">
        <f>IF(tblMovimientos[[#This Row],[Cuenta Bancaria]]="","",_xlfn.XLOOKUP(tblMovimientos[[#This Row],[Cuenta Bancaria]],Cuentas!$C:$C,Cuentas!$A:$A,"No encontrado"))</f>
        <v>SSP Group</v>
      </c>
      <c r="R1111" s="81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71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33463.550000000003</v>
      </c>
      <c r="K1112" s="5">
        <f>IF(F1112="Ingreso",J1112,-J1112)</f>
        <v>-33463.550000000003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3" t="str">
        <f>IF(tblMovimientos[[#This Row],[Tipo de Movimiento]]="Ingreso",tblMovimientos[[#This Row],[Monto (S/)]],"0")</f>
        <v>0</v>
      </c>
      <c r="O1112" s="63">
        <f>IF(tblMovimientos[[#This Row],[Tipo de Movimiento]]="Egreso",tblMovimientos[[#This Row],[Monto (S/)]],"0")</f>
        <v>33463.550000000003</v>
      </c>
      <c r="P1112" s="28">
        <f>IF(tblMovimientos[[#This Row],[Tipo de Movimiento]]="Ingreso",tblMovimientos[[#This Row],[Ingreso]],-tblMovimientos[[#This Row],[Egreso]])</f>
        <v>-33463.550000000003</v>
      </c>
      <c r="Q1112" s="81" t="str">
        <f>IF(tblMovimientos[[#This Row],[Cuenta Bancaria]]="","",_xlfn.XLOOKUP(tblMovimientos[[#This Row],[Cuenta Bancaria]],Cuentas!$C:$C,Cuentas!$A:$A,"No encontrado"))</f>
        <v>SSP Group</v>
      </c>
      <c r="R1112" s="81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Go Blue</v>
      </c>
      <c r="D1113" s="41" t="s">
        <v>126</v>
      </c>
      <c r="E1113" s="71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3125</v>
      </c>
      <c r="K1113" s="5">
        <f>IF(F1113="Ingreso",J1113,-J1113)</f>
        <v>-3125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11349.689999999999</v>
      </c>
      <c r="N1113" s="63" t="str">
        <f>IF(tblMovimientos[[#This Row],[Tipo de Movimiento]]="Ingreso",tblMovimientos[[#This Row],[Monto (S/)]],"0")</f>
        <v>0</v>
      </c>
      <c r="O1113" s="63">
        <f>IF(tblMovimientos[[#This Row],[Tipo de Movimiento]]="Egreso",tblMovimientos[[#This Row],[Monto (S/)]],"0")</f>
        <v>3125</v>
      </c>
      <c r="P1113" s="28">
        <f>IF(tblMovimientos[[#This Row],[Tipo de Movimiento]]="Ingreso",tblMovimientos[[#This Row],[Ingreso]],-tblMovimientos[[#This Row],[Egreso]])</f>
        <v>-3125</v>
      </c>
      <c r="Q1113" s="81" t="str">
        <f>IF(tblMovimientos[[#This Row],[Cuenta Bancaria]]="","",_xlfn.XLOOKUP(tblMovimientos[[#This Row],[Cuenta Bancaria]],Cuentas!$C:$C,Cuentas!$A:$A,"No encontrado"))</f>
        <v>SSP Group</v>
      </c>
      <c r="R1113" s="81" t="str">
        <f>TRIM(_xlfn.XLOOKUP(tblMovimientos[[#This Row],[Cuenta Bancaria]],Cuentas!$C:$C,Cuentas!$B:$B,""))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71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44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15</v>
      </c>
      <c r="K1114" s="5">
        <f>IF(F1114="Ingreso",J1114,-J1114)</f>
        <v>-15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3" t="str">
        <f>IF(tblMovimientos[[#This Row],[Tipo de Movimiento]]="Ingreso",tblMovimientos[[#This Row],[Monto (S/)]],"0")</f>
        <v>0</v>
      </c>
      <c r="O1114" s="63">
        <f>IF(tblMovimientos[[#This Row],[Tipo de Movimiento]]="Egreso",tblMovimientos[[#This Row],[Monto (S/)]],"0")</f>
        <v>15</v>
      </c>
      <c r="P1114" s="28">
        <f>IF(tblMovimientos[[#This Row],[Tipo de Movimiento]]="Ingreso",tblMovimientos[[#This Row],[Ingreso]],-tblMovimientos[[#This Row],[Egreso]])</f>
        <v>-15</v>
      </c>
      <c r="Q1114" s="81" t="str">
        <f>IF(tblMovimientos[[#This Row],[Cuenta Bancaria]]="","",_xlfn.XLOOKUP(tblMovimientos[[#This Row],[Cuenta Bancaria]],Cuentas!$C:$C,Cuentas!$A:$A,"No encontrado"))</f>
        <v>SSP Group</v>
      </c>
      <c r="R1114" s="81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Pacha Ventures LLC</v>
      </c>
      <c r="D1115" s="41" t="s">
        <v>187</v>
      </c>
      <c r="E1115" s="71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100.75</v>
      </c>
      <c r="K1115" s="5">
        <f>IF(F1115="Ingreso",J1115,-J1115)</f>
        <v>-100.75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312314.37000000005</v>
      </c>
      <c r="N1115" s="63" t="str">
        <f>IF(tblMovimientos[[#This Row],[Tipo de Movimiento]]="Ingreso",tblMovimientos[[#This Row],[Monto (S/)]],"0")</f>
        <v>0</v>
      </c>
      <c r="O1115" s="63">
        <f>IF(tblMovimientos[[#This Row],[Tipo de Movimiento]]="Egreso",tblMovimientos[[#This Row],[Monto (S/)]],"0")</f>
        <v>100.75</v>
      </c>
      <c r="P1115" s="28">
        <f>IF(tblMovimientos[[#This Row],[Tipo de Movimiento]]="Ingreso",tblMovimientos[[#This Row],[Ingreso]],-tblMovimientos[[#This Row],[Egreso]])</f>
        <v>-100.75</v>
      </c>
      <c r="Q1115" s="81" t="str">
        <f>IF(tblMovimientos[[#This Row],[Cuenta Bancaria]]="","",_xlfn.XLOOKUP(tblMovimientos[[#This Row],[Cuenta Bancaria]],Cuentas!$C:$C,Cuentas!$A:$A,"No encontrado"))</f>
        <v>Michael Cross</v>
      </c>
      <c r="R1115" s="81" t="str">
        <f>TRIM(_xlfn.XLOOKUP(tblMovimientos[[#This Row],[Cuenta Bancaria]],Cuentas!$C:$C,Cuentas!$B:$B,""))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Prendamas SRL</v>
      </c>
      <c r="D1116" s="41" t="s">
        <v>186</v>
      </c>
      <c r="E1116" s="71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1428.88</v>
      </c>
      <c r="K1116" s="5">
        <f>IF(F1116="Ingreso",J1116,-J1116)</f>
        <v>-1428.88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22961.869999999966</v>
      </c>
      <c r="N1116" s="63" t="str">
        <f>IF(tblMovimientos[[#This Row],[Tipo de Movimiento]]="Ingreso",tblMovimientos[[#This Row],[Monto (S/)]],"0")</f>
        <v>0</v>
      </c>
      <c r="O1116" s="63">
        <f>IF(tblMovimientos[[#This Row],[Tipo de Movimiento]]="Egreso",tblMovimientos[[#This Row],[Monto (S/)]],"0")</f>
        <v>1428.88</v>
      </c>
      <c r="P1116" s="28">
        <f>IF(tblMovimientos[[#This Row],[Tipo de Movimiento]]="Ingreso",tblMovimientos[[#This Row],[Ingreso]],-tblMovimientos[[#This Row],[Egreso]])</f>
        <v>-1428.88</v>
      </c>
      <c r="Q1116" s="81" t="str">
        <f>IF(tblMovimientos[[#This Row],[Cuenta Bancaria]]="","",_xlfn.XLOOKUP(tblMovimientos[[#This Row],[Cuenta Bancaria]],Cuentas!$C:$C,Cuentas!$A:$A,"No encontrado"))</f>
        <v>Unidades de Negocio</v>
      </c>
      <c r="R1116" s="81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71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44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40</v>
      </c>
      <c r="K1117" s="5">
        <f>IF(F1117="Ingreso",J1117,-J1117)</f>
        <v>-40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3" t="str">
        <f>IF(tblMovimientos[[#This Row],[Tipo de Movimiento]]="Ingreso",tblMovimientos[[#This Row],[Monto (S/)]],"0")</f>
        <v>0</v>
      </c>
      <c r="O1117" s="63">
        <f>IF(tblMovimientos[[#This Row],[Tipo de Movimiento]]="Egreso",tblMovimientos[[#This Row],[Monto (S/)]],"0")</f>
        <v>40</v>
      </c>
      <c r="P1117" s="28">
        <f>IF(tblMovimientos[[#This Row],[Tipo de Movimiento]]="Ingreso",tblMovimientos[[#This Row],[Ingreso]],-tblMovimientos[[#This Row],[Egreso]])</f>
        <v>-40</v>
      </c>
      <c r="Q1117" s="81" t="str">
        <f>IF(tblMovimientos[[#This Row],[Cuenta Bancaria]]="","",_xlfn.XLOOKUP(tblMovimientos[[#This Row],[Cuenta Bancaria]],Cuentas!$C:$C,Cuentas!$A:$A,"No encontrado"))</f>
        <v>Unidades de Negocio</v>
      </c>
      <c r="R1117" s="81" t="str">
        <f>TRIM(_xlfn.XLOOKUP(tblMovimientos[[#This Row],[Cuenta Bancaria]],Cuentas!$C:$C,Cuentas!$B:$B,""))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Nobe Aparments</v>
      </c>
      <c r="D1118" s="41" t="s">
        <v>191</v>
      </c>
      <c r="E1118" s="71" t="str">
        <f>_xlfn.XLOOKUP(tblMovimientos[[#This Row],[Cuenta Bancaria]],Listas!$B:$B,Listas!$C:$C,"")</f>
        <v>Bank of America</v>
      </c>
      <c r="F1118" s="41" t="s">
        <v>10</v>
      </c>
      <c r="G1118" s="41" t="s">
        <v>45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60</v>
      </c>
      <c r="K1118" s="5">
        <f>IF(F1118="Ingreso",J1118,-J1118)</f>
        <v>-60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204939.46</v>
      </c>
      <c r="N1118" s="63" t="str">
        <f>IF(tblMovimientos[[#This Row],[Tipo de Movimiento]]="Ingreso",tblMovimientos[[#This Row],[Monto (S/)]],"0")</f>
        <v>0</v>
      </c>
      <c r="O1118" s="63">
        <f>IF(tblMovimientos[[#This Row],[Tipo de Movimiento]]="Egreso",tblMovimientos[[#This Row],[Monto (S/)]],"0")</f>
        <v>60</v>
      </c>
      <c r="P1118" s="28">
        <f>IF(tblMovimientos[[#This Row],[Tipo de Movimiento]]="Ingreso",tblMovimientos[[#This Row],[Ingreso]],-tblMovimientos[[#This Row],[Egreso]])</f>
        <v>-60</v>
      </c>
      <c r="Q1118" s="81" t="str">
        <f>IF(tblMovimientos[[#This Row],[Cuenta Bancaria]]="","",_xlfn.XLOOKUP(tblMovimientos[[#This Row],[Cuenta Bancaria]],Cuentas!$C:$C,Cuentas!$A:$A,"No encontrado"))</f>
        <v>Carmen Cross / Estate</v>
      </c>
      <c r="R1118" s="81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46293</v>
      </c>
      <c r="C1119" s="4" t="str">
        <f>_xlfn.XLOOKUP(tblMovimientos[[#This Row],[Cuenta Bancaria]],Listas!$B:$B,Listas!$A:$A,"")</f>
        <v>A&amp;M Imports</v>
      </c>
      <c r="D1119" s="41" t="s">
        <v>100</v>
      </c>
      <c r="E1119" s="71" t="str">
        <f>_xlfn.XLOOKUP(tblMovimientos[[#This Row],[Cuenta Bancaria]],Listas!$B:$B,Listas!$C:$C,"")</f>
        <v>Bank of America</v>
      </c>
      <c r="F1119" s="41" t="s">
        <v>9</v>
      </c>
      <c r="G1119" s="41" t="s">
        <v>68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16978.900000000001</v>
      </c>
      <c r="K1119" s="5">
        <f>IF(F1119="Ingreso",J1119,-J1119)</f>
        <v>16978.900000000001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1330582.2599999998</v>
      </c>
      <c r="N1119" s="63">
        <f>IF(tblMovimientos[[#This Row],[Tipo de Movimiento]]="Ingreso",tblMovimientos[[#This Row],[Monto (S/)]],"0")</f>
        <v>16978.900000000001</v>
      </c>
      <c r="O1119" s="63" t="str">
        <f>IF(tblMovimientos[[#This Row],[Tipo de Movimiento]]="Egreso",tblMovimientos[[#This Row],[Monto (S/)]],"0")</f>
        <v>0</v>
      </c>
      <c r="P1119" s="28">
        <f>IF(tblMovimientos[[#This Row],[Tipo de Movimiento]]="Ingreso",tblMovimientos[[#This Row],[Ingreso]],-tblMovimientos[[#This Row],[Egreso]])</f>
        <v>16978.900000000001</v>
      </c>
      <c r="Q1119" s="81" t="str">
        <f>IF(tblMovimientos[[#This Row],[Cuenta Bancaria]]="","",_xlfn.XLOOKUP(tblMovimientos[[#This Row],[Cuenta Bancaria]],Cuentas!$C:$C,Cuentas!$A:$A,"No encontrado"))</f>
        <v>SSP Group</v>
      </c>
      <c r="R1119" s="81" t="str">
        <f>TRIM(_xlfn.XLOOKUP(tblMovimientos[[#This Row],[Cuenta Bancaria]],Cuentas!$C:$C,Cuentas!$B:$B,""))</f>
        <v>Cross Security Trust</v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CFT Group</v>
      </c>
      <c r="D1120" s="41" t="s">
        <v>94</v>
      </c>
      <c r="E1120" s="71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7796.5</v>
      </c>
      <c r="K1120" s="5">
        <f>IF(F1120="Ingreso",J1120,-J1120)</f>
        <v>7796.5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380018.52999999997</v>
      </c>
      <c r="N1120" s="63">
        <f>IF(tblMovimientos[[#This Row],[Tipo de Movimiento]]="Ingreso",tblMovimientos[[#This Row],[Monto (S/)]],"0")</f>
        <v>7796.5</v>
      </c>
      <c r="O1120" s="63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7796.5</v>
      </c>
      <c r="Q1120" s="81" t="str">
        <f>IF(tblMovimientos[[#This Row],[Cuenta Bancaria]]="","",_xlfn.XLOOKUP(tblMovimientos[[#This Row],[Cuenta Bancaria]],Cuentas!$C:$C,Cuentas!$A:$A,"No encontrado"))</f>
        <v>SSP Group</v>
      </c>
      <c r="R1120" s="81" t="str">
        <f>TRIM(_xlfn.XLOOKUP(tblMovimientos[[#This Row],[Cuenta Bancaria]],Cuentas!$C:$C,Cuentas!$B:$B,""))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112 Florida Ave</v>
      </c>
      <c r="D1121" s="41" t="s">
        <v>123</v>
      </c>
      <c r="E1121" s="71" t="str">
        <f>_xlfn.XLOOKUP(tblMovimientos[[#This Row],[Cuenta Bancaria]],Listas!$B:$B,Listas!$C:$C,"")</f>
        <v>Bank of America</v>
      </c>
      <c r="F1121" s="41" t="s">
        <v>10</v>
      </c>
      <c r="G1121" s="41" t="s">
        <v>44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15</v>
      </c>
      <c r="K1121" s="5">
        <f>IF(F1121="Ingreso",J1121,-J1121)</f>
        <v>-15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23374.690000000006</v>
      </c>
      <c r="N1121" s="63" t="str">
        <f>IF(tblMovimientos[[#This Row],[Tipo de Movimiento]]="Ingreso",tblMovimientos[[#This Row],[Monto (S/)]],"0")</f>
        <v>0</v>
      </c>
      <c r="O1121" s="63">
        <f>IF(tblMovimientos[[#This Row],[Tipo de Movimiento]]="Egreso",tblMovimientos[[#This Row],[Monto (S/)]],"0")</f>
        <v>15</v>
      </c>
      <c r="P1121" s="28">
        <f>IF(tblMovimientos[[#This Row],[Tipo de Movimiento]]="Ingreso",tblMovimientos[[#This Row],[Ingreso]],-tblMovimientos[[#This Row],[Egreso]])</f>
        <v>-15</v>
      </c>
      <c r="Q1121" s="81" t="str">
        <f>IF(tblMovimientos[[#This Row],[Cuenta Bancaria]]="","",_xlfn.XLOOKUP(tblMovimientos[[#This Row],[Cuenta Bancaria]],Cuentas!$C:$C,Cuentas!$A:$A,"No encontrado"))</f>
        <v>SSP Group</v>
      </c>
      <c r="R1121" s="81" t="str">
        <f>TRIM(_xlfn.XLOOKUP(tblMovimientos[[#This Row],[Cuenta Bancaria]],Cuentas!$C:$C,Cuentas!$B:$B,""))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3628 Thomas Ave</v>
      </c>
      <c r="D1122" s="41" t="s">
        <v>124</v>
      </c>
      <c r="E1122" s="71" t="str">
        <f>_xlfn.XLOOKUP(tblMovimientos[[#This Row],[Cuenta Bancaria]],Listas!$B:$B,Listas!$C:$C,"")</f>
        <v>Bank of America</v>
      </c>
      <c r="F1122" s="41" t="s">
        <v>10</v>
      </c>
      <c r="G1122" s="41" t="s">
        <v>38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89.25</v>
      </c>
      <c r="K1122" s="5">
        <f>IF(F1122="Ingreso",J1122,-J1122)</f>
        <v>-89.25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16266.809999999998</v>
      </c>
      <c r="N1122" s="63" t="str">
        <f>IF(tblMovimientos[[#This Row],[Tipo de Movimiento]]="Ingreso",tblMovimientos[[#This Row],[Monto (S/)]],"0")</f>
        <v>0</v>
      </c>
      <c r="O1122" s="63">
        <f>IF(tblMovimientos[[#This Row],[Tipo de Movimiento]]="Egreso",tblMovimientos[[#This Row],[Monto (S/)]],"0")</f>
        <v>89.25</v>
      </c>
      <c r="P1122" s="28">
        <f>IF(tblMovimientos[[#This Row],[Tipo de Movimiento]]="Ingreso",tblMovimientos[[#This Row],[Ingreso]],-tblMovimientos[[#This Row],[Egreso]])</f>
        <v>-89.25</v>
      </c>
      <c r="Q1122" s="81" t="str">
        <f>IF(tblMovimientos[[#This Row],[Cuenta Bancaria]]="","",_xlfn.XLOOKUP(tblMovimientos[[#This Row],[Cuenta Bancaria]],Cuentas!$C:$C,Cuentas!$A:$A,"No encontrado"))</f>
        <v>SSP Group</v>
      </c>
      <c r="R1122" s="81" t="str">
        <f>TRIM(_xlfn.XLOOKUP(tblMovimientos[[#This Row],[Cuenta Bancaria]],Cuentas!$C:$C,Cuentas!$B:$B,""))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71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375</v>
      </c>
      <c r="K1123" s="5">
        <f>IF(F1123="Ingreso",J1123,-J1123)</f>
        <v>-375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3" t="str">
        <f>IF(tblMovimientos[[#This Row],[Tipo de Movimiento]]="Ingreso",tblMovimientos[[#This Row],[Monto (S/)]],"0")</f>
        <v>0</v>
      </c>
      <c r="O1123" s="63">
        <f>IF(tblMovimientos[[#This Row],[Tipo de Movimiento]]="Egreso",tblMovimientos[[#This Row],[Monto (S/)]],"0")</f>
        <v>375</v>
      </c>
      <c r="P1123" s="28">
        <f>IF(tblMovimientos[[#This Row],[Tipo de Movimiento]]="Ingreso",tblMovimientos[[#This Row],[Ingreso]],-tblMovimientos[[#This Row],[Egreso]])</f>
        <v>-375</v>
      </c>
      <c r="Q1123" s="81" t="str">
        <f>IF(tblMovimientos[[#This Row],[Cuenta Bancaria]]="","",_xlfn.XLOOKUP(tblMovimientos[[#This Row],[Cuenta Bancaria]],Cuentas!$C:$C,Cuentas!$A:$A,"No encontrado"))</f>
        <v>SSP Group</v>
      </c>
      <c r="R1123" s="81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71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150</v>
      </c>
      <c r="K1124" s="5">
        <f>IF(F1124="Ingreso",J1124,-J1124)</f>
        <v>-150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3" t="str">
        <f>IF(tblMovimientos[[#This Row],[Tipo de Movimiento]]="Ingreso",tblMovimientos[[#This Row],[Monto (S/)]],"0")</f>
        <v>0</v>
      </c>
      <c r="O1124" s="63">
        <f>IF(tblMovimientos[[#This Row],[Tipo de Movimiento]]="Egreso",tblMovimientos[[#This Row],[Monto (S/)]],"0")</f>
        <v>150</v>
      </c>
      <c r="P1124" s="28">
        <f>IF(tblMovimientos[[#This Row],[Tipo de Movimiento]]="Ingreso",tblMovimientos[[#This Row],[Ingreso]],-tblMovimientos[[#This Row],[Egreso]])</f>
        <v>-150</v>
      </c>
      <c r="Q1124" s="81" t="str">
        <f>IF(tblMovimientos[[#This Row],[Cuenta Bancaria]]="","",_xlfn.XLOOKUP(tblMovimientos[[#This Row],[Cuenta Bancaria]],Cuentas!$C:$C,Cuentas!$A:$A,"No encontrado"))</f>
        <v>SSP Group</v>
      </c>
      <c r="R1124" s="81" t="str">
        <f>TRIM(_xlfn.XLOOKUP(tblMovimientos[[#This Row],[Cuenta Bancaria]],Cuentas!$C:$C,Cuentas!$B:$B,""))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71" t="str">
        <f>_xlfn.XLOOKUP(tblMovimientos[[#This Row],[Cuenta Bancaria]],Listas!$B:$B,Listas!$C:$C,"")</f>
        <v>Bank of America</v>
      </c>
      <c r="F1125" s="41" t="s">
        <v>10</v>
      </c>
      <c r="G1125" s="41" t="s">
        <v>44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</v>
      </c>
      <c r="K1125" s="5">
        <f>IF(F1125="Ingreso",J1125,-J1125)</f>
        <v>-15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3" t="str">
        <f>IF(tblMovimientos[[#This Row],[Tipo de Movimiento]]="Ingreso",tblMovimientos[[#This Row],[Monto (S/)]],"0")</f>
        <v>0</v>
      </c>
      <c r="O1125" s="63">
        <f>IF(tblMovimientos[[#This Row],[Tipo de Movimiento]]="Egreso",tblMovimientos[[#This Row],[Monto (S/)]],"0")</f>
        <v>15</v>
      </c>
      <c r="P1125" s="28">
        <f>IF(tblMovimientos[[#This Row],[Tipo de Movimiento]]="Ingreso",tblMovimientos[[#This Row],[Ingreso]],-tblMovimientos[[#This Row],[Egreso]])</f>
        <v>-15</v>
      </c>
      <c r="Q1125" s="81" t="str">
        <f>IF(tblMovimientos[[#This Row],[Cuenta Bancaria]]="","",_xlfn.XLOOKUP(tblMovimientos[[#This Row],[Cuenta Bancaria]],Cuentas!$C:$C,Cuentas!$A:$A,"No encontrado"))</f>
        <v>SSP Group</v>
      </c>
      <c r="R1125" s="81" t="str">
        <f>TRIM(_xlfn.XLOOKUP(tblMovimientos[[#This Row],[Cuenta Bancaria]],Cuentas!$C:$C,Cuentas!$B:$B,""))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Prendamas SRL</v>
      </c>
      <c r="D1126" s="41" t="s">
        <v>186</v>
      </c>
      <c r="E1126" s="71" t="str">
        <f>_xlfn.XLOOKUP(tblMovimientos[[#This Row],[Cuenta Bancaria]],Listas!$B:$B,Listas!$C:$C,"")</f>
        <v xml:space="preserve">Amerant Bank 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490.38</v>
      </c>
      <c r="K1126" s="5">
        <f>IF(F1126="Ingreso",J1126,-J1126)</f>
        <v>-490.38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22456.779999999955</v>
      </c>
      <c r="N1126" s="63" t="str">
        <f>IF(tblMovimientos[[#This Row],[Tipo de Movimiento]]="Ingreso",tblMovimientos[[#This Row],[Monto (S/)]],"0")</f>
        <v>0</v>
      </c>
      <c r="O1126" s="63">
        <f>IF(tblMovimientos[[#This Row],[Tipo de Movimiento]]="Egreso",tblMovimientos[[#This Row],[Monto (S/)]],"0")</f>
        <v>490.38</v>
      </c>
      <c r="P1126" s="28">
        <f>IF(tblMovimientos[[#This Row],[Tipo de Movimiento]]="Ingreso",tblMovimientos[[#This Row],[Ingreso]],-tblMovimientos[[#This Row],[Egreso]])</f>
        <v>-490.38</v>
      </c>
      <c r="Q1126" s="81" t="str">
        <f>IF(tblMovimientos[[#This Row],[Cuenta Bancaria]]="","",_xlfn.XLOOKUP(tblMovimientos[[#This Row],[Cuenta Bancaria]],Cuentas!$C:$C,Cuentas!$A:$A,"No encontrado"))</f>
        <v>Unidades de Negocio</v>
      </c>
      <c r="R1126" s="81" t="str">
        <f>TRIM(_xlfn.XLOOKUP(tblMovimientos[[#This Row],[Cuenta Bancaria]],Cuentas!$C:$C,Cuentas!$B:$B,""))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71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14.71</v>
      </c>
      <c r="K1127" s="5">
        <f>IF(F1127="Ingreso",J1127,-J1127)</f>
        <v>-14.71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3" t="str">
        <f>IF(tblMovimientos[[#This Row],[Tipo de Movimiento]]="Ingreso",tblMovimientos[[#This Row],[Monto (S/)]],"0")</f>
        <v>0</v>
      </c>
      <c r="O1127" s="63">
        <f>IF(tblMovimientos[[#This Row],[Tipo de Movimiento]]="Egreso",tblMovimientos[[#This Row],[Monto (S/)]],"0")</f>
        <v>14.71</v>
      </c>
      <c r="P1127" s="28">
        <f>IF(tblMovimientos[[#This Row],[Tipo de Movimiento]]="Ingreso",tblMovimientos[[#This Row],[Ingreso]],-tblMovimientos[[#This Row],[Egreso]])</f>
        <v>-14.71</v>
      </c>
      <c r="Q1127" s="81" t="str">
        <f>IF(tblMovimientos[[#This Row],[Cuenta Bancaria]]="","",_xlfn.XLOOKUP(tblMovimientos[[#This Row],[Cuenta Bancaria]],Cuentas!$C:$C,Cuentas!$A:$A,"No encontrado"))</f>
        <v>Unidades de Negocio</v>
      </c>
      <c r="R1127" s="81" t="str">
        <f>TRIM(_xlfn.XLOOKUP(tblMovimientos[[#This Row],[Cuenta Bancaria]],Cuentas!$C:$C,Cuentas!$B:$B,""))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Nobe Aparments</v>
      </c>
      <c r="D1128" s="41" t="s">
        <v>191</v>
      </c>
      <c r="E1128" s="71" t="str">
        <f>_xlfn.XLOOKUP(tblMovimientos[[#This Row],[Cuenta Bancaria]],Listas!$B:$B,Listas!$C:$C,"")</f>
        <v>Bank of America</v>
      </c>
      <c r="F1128" s="41" t="s">
        <v>9</v>
      </c>
      <c r="G1128" s="41" t="s">
        <v>81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1850</v>
      </c>
      <c r="K1128" s="5">
        <f>IF(F1128="Ingreso",J1128,-J1128)</f>
        <v>1850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206789.46</v>
      </c>
      <c r="N1128" s="63">
        <f>IF(tblMovimientos[[#This Row],[Tipo de Movimiento]]="Ingreso",tblMovimientos[[#This Row],[Monto (S/)]],"0")</f>
        <v>1850</v>
      </c>
      <c r="O1128" s="63" t="str">
        <f>IF(tblMovimientos[[#This Row],[Tipo de Movimiento]]="Egreso",tblMovimientos[[#This Row],[Monto (S/)]],"0")</f>
        <v>0</v>
      </c>
      <c r="P1128" s="28">
        <f>IF(tblMovimientos[[#This Row],[Tipo de Movimiento]]="Ingreso",tblMovimientos[[#This Row],[Ingreso]],-tblMovimientos[[#This Row],[Egreso]])</f>
        <v>1850</v>
      </c>
      <c r="Q1128" s="81" t="str">
        <f>IF(tblMovimientos[[#This Row],[Cuenta Bancaria]]="","",_xlfn.XLOOKUP(tblMovimientos[[#This Row],[Cuenta Bancaria]],Cuentas!$C:$C,Cuentas!$A:$A,"No encontrado"))</f>
        <v>Carmen Cross / Estate</v>
      </c>
      <c r="R1128" s="81" t="str">
        <f>TRIM(_xlfn.XLOOKUP(tblMovimientos[[#This Row],[Cuenta Bancaria]],Cuentas!$C:$C,Cuentas!$B:$B,""))</f>
        <v/>
      </c>
    </row>
    <row r="1129" spans="1:18" x14ac:dyDescent="0.3">
      <c r="B1129" s="39">
        <v>46294</v>
      </c>
      <c r="C1129" s="4" t="str">
        <f>_xlfn.XLOOKUP(tblMovimientos[[#This Row],[Cuenta Bancaria]],Listas!$B:$B,Listas!$A:$A,"")</f>
        <v>SSP Capital</v>
      </c>
      <c r="D1129" s="41" t="s">
        <v>101</v>
      </c>
      <c r="E1129" s="71" t="str">
        <f>_xlfn.XLOOKUP(tblMovimientos[[#This Row],[Cuenta Bancaria]],Listas!$B:$B,Listas!$C:$C,"")</f>
        <v>Bank of America</v>
      </c>
      <c r="F1129" s="41" t="s">
        <v>10</v>
      </c>
      <c r="G1129" s="41" t="s">
        <v>48</v>
      </c>
      <c r="H1129" s="4" t="str">
        <f>IFERROR(_xlfn.XLOOKUP(G1129,Listas!E:E,Listas!F:F,""),"")</f>
        <v>Financiamiento</v>
      </c>
      <c r="I1129" s="46" t="str">
        <f>IFERROR(_xlfn.XLOOKUP(G1129,Listas!E:E,Listas!G:G,""),"")</f>
        <v>Externo</v>
      </c>
      <c r="J1129" s="43">
        <v>526.75</v>
      </c>
      <c r="K1129" s="5">
        <f>IF(F1129="Ingreso",J1129,-J1129)</f>
        <v>-526.75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21115.380000000005</v>
      </c>
      <c r="N1129" s="63" t="str">
        <f>IF(tblMovimientos[[#This Row],[Tipo de Movimiento]]="Ingreso",tblMovimientos[[#This Row],[Monto (S/)]],"0")</f>
        <v>0</v>
      </c>
      <c r="O1129" s="63">
        <f>IF(tblMovimientos[[#This Row],[Tipo de Movimiento]]="Egreso",tblMovimientos[[#This Row],[Monto (S/)]],"0")</f>
        <v>526.75</v>
      </c>
      <c r="P1129" s="28">
        <f>IF(tblMovimientos[[#This Row],[Tipo de Movimiento]]="Ingreso",tblMovimientos[[#This Row],[Ingreso]],-tblMovimientos[[#This Row],[Egreso]])</f>
        <v>-526.75</v>
      </c>
      <c r="Q1129" s="81" t="str">
        <f>IF(tblMovimientos[[#This Row],[Cuenta Bancaria]]="","",_xlfn.XLOOKUP(tblMovimientos[[#This Row],[Cuenta Bancaria]],Cuentas!$C:$C,Cuentas!$A:$A,"No encontrado"))</f>
        <v>SSP Group</v>
      </c>
      <c r="R1129" s="81" t="str">
        <f>TRIM(_xlfn.XLOOKUP(tblMovimientos[[#This Row],[Cuenta Bancaria]],Cuentas!$C:$C,Cuentas!$B:$B,""))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71" t="str">
        <f>_xlfn.XLOOKUP(tblMovimientos[[#This Row],[Cuenta Bancaria]],Listas!$B:$B,Listas!$C:$C,"")</f>
        <v>Bank of America</v>
      </c>
      <c r="F1130" s="41" t="s">
        <v>10</v>
      </c>
      <c r="G1130" s="41" t="s">
        <v>38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194.86</v>
      </c>
      <c r="K1130" s="5">
        <f>IF(F1130="Ingreso",J1130,-J1130)</f>
        <v>-194.86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3" t="str">
        <f>IF(tblMovimientos[[#This Row],[Tipo de Movimiento]]="Ingreso",tblMovimientos[[#This Row],[Monto (S/)]],"0")</f>
        <v>0</v>
      </c>
      <c r="O1130" s="63">
        <f>IF(tblMovimientos[[#This Row],[Tipo de Movimiento]]="Egreso",tblMovimientos[[#This Row],[Monto (S/)]],"0")</f>
        <v>194.86</v>
      </c>
      <c r="P1130" s="28">
        <f>IF(tblMovimientos[[#This Row],[Tipo de Movimiento]]="Ingreso",tblMovimientos[[#This Row],[Ingreso]],-tblMovimientos[[#This Row],[Egreso]])</f>
        <v>-194.86</v>
      </c>
      <c r="Q1130" s="81" t="str">
        <f>IF(tblMovimientos[[#This Row],[Cuenta Bancaria]]="","",_xlfn.XLOOKUP(tblMovimientos[[#This Row],[Cuenta Bancaria]],Cuentas!$C:$C,Cuentas!$A:$A,"No encontrado"))</f>
        <v>SSP Group</v>
      </c>
      <c r="R1130" s="81" t="str">
        <f>TRIM(_xlfn.XLOOKUP(tblMovimientos[[#This Row],[Cuenta Bancaria]],Cuentas!$C:$C,Cuentas!$B:$B,""))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CFT Group</v>
      </c>
      <c r="D1131" s="41" t="s">
        <v>94</v>
      </c>
      <c r="E1131" s="71" t="str">
        <f>_xlfn.XLOOKUP(tblMovimientos[[#This Row],[Cuenta Bancaria]],Listas!$B:$B,Listas!$C:$C,"")</f>
        <v>Bank of America</v>
      </c>
      <c r="F1131" s="41" t="s">
        <v>9</v>
      </c>
      <c r="G1131" s="41" t="s">
        <v>68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184.93</v>
      </c>
      <c r="K1131" s="5">
        <f>IF(F1131="Ingreso",J1131,-J1131)</f>
        <v>184.93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377225.5</v>
      </c>
      <c r="N1131" s="63">
        <f>IF(tblMovimientos[[#This Row],[Tipo de Movimiento]]="Ingreso",tblMovimientos[[#This Row],[Monto (S/)]],"0")</f>
        <v>184.93</v>
      </c>
      <c r="O1131" s="63" t="str">
        <f>IF(tblMovimientos[[#This Row],[Tipo de Movimiento]]="Egreso",tblMovimientos[[#This Row],[Monto (S/)]],"0")</f>
        <v>0</v>
      </c>
      <c r="P1131" s="28">
        <f>IF(tblMovimientos[[#This Row],[Tipo de Movimiento]]="Ingreso",tblMovimientos[[#This Row],[Ingreso]],-tblMovimientos[[#This Row],[Egreso]])</f>
        <v>184.93</v>
      </c>
      <c r="Q1131" s="81" t="str">
        <f>IF(tblMovimientos[[#This Row],[Cuenta Bancaria]]="","",_xlfn.XLOOKUP(tblMovimientos[[#This Row],[Cuenta Bancaria]],Cuentas!$C:$C,Cuentas!$A:$A,"No encontrado"))</f>
        <v>SSP Group</v>
      </c>
      <c r="R1131" s="81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71" t="str">
        <f>_xlfn.XLOOKUP(tblMovimientos[[#This Row],[Cuenta Bancaria]],Listas!$B:$B,Listas!$C:$C,"")</f>
        <v>Bank of America</v>
      </c>
      <c r="F1132" s="41" t="s">
        <v>10</v>
      </c>
      <c r="G1132" s="41" t="s">
        <v>46</v>
      </c>
      <c r="H1132" s="46" t="str">
        <f>IFERROR(_xlfn.XLOOKUP(G1132,Listas!E:E,Listas!F:F,""),"")</f>
        <v>Financiamiento</v>
      </c>
      <c r="I1132" s="46" t="str">
        <f>IFERROR(_xlfn.XLOOKUP(G1132,Listas!E:E,Listas!G:G,""),"")</f>
        <v>Externo</v>
      </c>
      <c r="J1132" s="43">
        <v>2977.96</v>
      </c>
      <c r="K1132" s="5">
        <f>IF(F1132="Ingreso",J1132,-J1132)</f>
        <v>-2977.96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3" t="str">
        <f>IF(tblMovimientos[[#This Row],[Tipo de Movimiento]]="Ingreso",tblMovimientos[[#This Row],[Monto (S/)]],"0")</f>
        <v>0</v>
      </c>
      <c r="O1132" s="63">
        <f>IF(tblMovimientos[[#This Row],[Tipo de Movimiento]]="Egreso",tblMovimientos[[#This Row],[Monto (S/)]],"0")</f>
        <v>2977.96</v>
      </c>
      <c r="P1132" s="28">
        <f>IF(tblMovimientos[[#This Row],[Tipo de Movimiento]]="Ingreso",tblMovimientos[[#This Row],[Ingreso]],-tblMovimientos[[#This Row],[Egreso]])</f>
        <v>-2977.96</v>
      </c>
      <c r="Q1132" s="81" t="str">
        <f>IF(tblMovimientos[[#This Row],[Cuenta Bancaria]]="","",_xlfn.XLOOKUP(tblMovimientos[[#This Row],[Cuenta Bancaria]],Cuentas!$C:$C,Cuentas!$A:$A,"No encontrado"))</f>
        <v>SSP Group</v>
      </c>
      <c r="R1132" s="81" t="str">
        <f>TRIM(_xlfn.XLOOKUP(tblMovimientos[[#This Row],[Cuenta Bancaria]],Cuentas!$C:$C,Cuentas!$B:$B,""))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3628 Thomas Ave</v>
      </c>
      <c r="D1133" s="41" t="s">
        <v>124</v>
      </c>
      <c r="E1133" s="71" t="str">
        <f>_xlfn.XLOOKUP(tblMovimientos[[#This Row],[Cuenta Bancaria]],Listas!$B:$B,Listas!$C:$C,"")</f>
        <v>Bank of America</v>
      </c>
      <c r="F1133" s="41" t="s">
        <v>9</v>
      </c>
      <c r="G1133" s="41" t="s">
        <v>81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3000</v>
      </c>
      <c r="K1133" s="5">
        <f>IF(F1133="Ingreso",J1133,-J1133)</f>
        <v>3000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19266.809999999998</v>
      </c>
      <c r="N1133" s="63">
        <f>IF(tblMovimientos[[#This Row],[Tipo de Movimiento]]="Ingreso",tblMovimientos[[#This Row],[Monto (S/)]],"0")</f>
        <v>3000</v>
      </c>
      <c r="O1133" s="63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3000</v>
      </c>
      <c r="Q1133" s="81" t="str">
        <f>IF(tblMovimientos[[#This Row],[Cuenta Bancaria]]="","",_xlfn.XLOOKUP(tblMovimientos[[#This Row],[Cuenta Bancaria]],Cuentas!$C:$C,Cuentas!$A:$A,"No encontrado"))</f>
        <v>SSP Group</v>
      </c>
      <c r="R1133" s="81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SSP Capital</v>
      </c>
      <c r="D1134" s="41" t="s">
        <v>104</v>
      </c>
      <c r="E1134" s="71" t="str">
        <f>_xlfn.XLOOKUP(tblMovimientos[[#This Row],[Cuenta Bancaria]],Listas!$B:$B,Listas!$C:$C,"")</f>
        <v xml:space="preserve">Amerant Bank </v>
      </c>
      <c r="F1134" s="41" t="s">
        <v>10</v>
      </c>
      <c r="G1134" s="41" t="s">
        <v>40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168437.9</v>
      </c>
      <c r="K1134" s="5">
        <f>IF(F1134="Ingreso",J1134,-J1134)</f>
        <v>-168437.9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337953.80999999924</v>
      </c>
      <c r="N1134" s="63" t="str">
        <f>IF(tblMovimientos[[#This Row],[Tipo de Movimiento]]="Ingreso",tblMovimientos[[#This Row],[Monto (S/)]],"0")</f>
        <v>0</v>
      </c>
      <c r="O1134" s="63">
        <f>IF(tblMovimientos[[#This Row],[Tipo de Movimiento]]="Egreso",tblMovimientos[[#This Row],[Monto (S/)]],"0")</f>
        <v>168437.9</v>
      </c>
      <c r="P1134" s="28">
        <f>IF(tblMovimientos[[#This Row],[Tipo de Movimiento]]="Ingreso",tblMovimientos[[#This Row],[Ingreso]],-tblMovimientos[[#This Row],[Egreso]])</f>
        <v>-168437.9</v>
      </c>
      <c r="Q1134" s="81" t="str">
        <f>IF(tblMovimientos[[#This Row],[Cuenta Bancaria]]="","",_xlfn.XLOOKUP(tblMovimientos[[#This Row],[Cuenta Bancaria]],Cuentas!$C:$C,Cuentas!$A:$A,"No encontrado"))</f>
        <v>SSP Group</v>
      </c>
      <c r="R1134" s="81" t="str">
        <f>TRIM(_xlfn.XLOOKUP(tblMovimientos[[#This Row],[Cuenta Bancaria]],Cuentas!$C:$C,Cuentas!$B:$B,""))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Carmen Cross Irrevocable Trust</v>
      </c>
      <c r="D1135" s="41" t="s">
        <v>184</v>
      </c>
      <c r="E1135" s="71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38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1166.92</v>
      </c>
      <c r="K1135" s="5">
        <f>IF(F1135="Ingreso",J1135,-J1135)</f>
        <v>-1166.92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101046.39</v>
      </c>
      <c r="N1135" s="63" t="str">
        <f>IF(tblMovimientos[[#This Row],[Tipo de Movimiento]]="Ingreso",tblMovimientos[[#This Row],[Monto (S/)]],"0")</f>
        <v>0</v>
      </c>
      <c r="O1135" s="63">
        <f>IF(tblMovimientos[[#This Row],[Tipo de Movimiento]]="Egreso",tblMovimientos[[#This Row],[Monto (S/)]],"0")</f>
        <v>1166.92</v>
      </c>
      <c r="P1135" s="28">
        <f>IF(tblMovimientos[[#This Row],[Tipo de Movimiento]]="Ingreso",tblMovimientos[[#This Row],[Ingreso]],-tblMovimientos[[#This Row],[Egreso]])</f>
        <v>-1166.92</v>
      </c>
      <c r="Q1135" s="81" t="str">
        <f>IF(tblMovimientos[[#This Row],[Cuenta Bancaria]]="","",_xlfn.XLOOKUP(tblMovimientos[[#This Row],[Cuenta Bancaria]],Cuentas!$C:$C,Cuentas!$A:$A,"No encontrado"))</f>
        <v>Carmen Cross Irrevocable Trust</v>
      </c>
      <c r="R1135" s="81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Nobe Aparments</v>
      </c>
      <c r="D1136" s="41" t="s">
        <v>191</v>
      </c>
      <c r="E1136" s="71" t="str">
        <f>_xlfn.XLOOKUP(tblMovimientos[[#This Row],[Cuenta Bancaria]],Listas!$B:$B,Listas!$C:$C,"")</f>
        <v>Bank of America</v>
      </c>
      <c r="F1136" s="41" t="s">
        <v>9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1640</v>
      </c>
      <c r="K1136" s="5">
        <f>IF(F1136="Ingreso",J1136,-J1136)</f>
        <v>1640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208429.46</v>
      </c>
      <c r="N1136" s="63">
        <f>IF(tblMovimientos[[#This Row],[Tipo de Movimiento]]="Ingreso",tblMovimientos[[#This Row],[Monto (S/)]],"0")</f>
        <v>1640</v>
      </c>
      <c r="O1136" s="63" t="str">
        <f>IF(tblMovimientos[[#This Row],[Tipo de Movimiento]]="Egreso",tblMovimientos[[#This Row],[Monto (S/)]],"0")</f>
        <v>0</v>
      </c>
      <c r="P1136" s="28">
        <f>IF(tblMovimientos[[#This Row],[Tipo de Movimiento]]="Ingreso",tblMovimientos[[#This Row],[Ingreso]],-tblMovimientos[[#This Row],[Egreso]])</f>
        <v>1640</v>
      </c>
      <c r="Q1136" s="81" t="str">
        <f>IF(tblMovimientos[[#This Row],[Cuenta Bancaria]]="","",_xlfn.XLOOKUP(tblMovimientos[[#This Row],[Cuenta Bancaria]],Cuentas!$C:$C,Cuentas!$A:$A,"No encontrado"))</f>
        <v>Carmen Cross / Estate</v>
      </c>
      <c r="R1136" s="81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Electrama</v>
      </c>
      <c r="D1137" s="41" t="s">
        <v>113</v>
      </c>
      <c r="E1137" s="71" t="str">
        <f>_xlfn.XLOOKUP(tblMovimientos[[#This Row],[Cuenta Bancaria]],Listas!$B:$B,Listas!$C:$C,"")</f>
        <v>Chase Bank</v>
      </c>
      <c r="F1137" s="41" t="s">
        <v>10</v>
      </c>
      <c r="G1137" s="41" t="s">
        <v>40</v>
      </c>
      <c r="H1137" s="46" t="str">
        <f>IFERROR(_xlfn.XLOOKUP(G1137,Listas!E:E,Listas!F:F,""),"")</f>
        <v>Operativo</v>
      </c>
      <c r="I1137" s="72" t="str">
        <f>IFERROR(_xlfn.XLOOKUP(G1137,Listas!E:E,Listas!G:G,""),"")</f>
        <v>Externo</v>
      </c>
      <c r="J1137" s="43">
        <v>1270.43</v>
      </c>
      <c r="K1137" s="5">
        <f>IF(F1137="Ingreso",J1137,-J1137)</f>
        <v>-1270.43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10474.32</v>
      </c>
      <c r="N1137" s="63" t="str">
        <f>IF(tblMovimientos[[#This Row],[Tipo de Movimiento]]="Ingreso",tblMovimientos[[#This Row],[Monto (S/)]],"0")</f>
        <v>0</v>
      </c>
      <c r="O1137" s="63">
        <f>IF(tblMovimientos[[#This Row],[Tipo de Movimiento]]="Egreso",tblMovimientos[[#This Row],[Monto (S/)]],"0")</f>
        <v>1270.43</v>
      </c>
      <c r="P1137" s="28">
        <f>IF(tblMovimientos[[#This Row],[Tipo de Movimiento]]="Ingreso",tblMovimientos[[#This Row],[Ingreso]],-tblMovimientos[[#This Row],[Egreso]])</f>
        <v>-1270.43</v>
      </c>
      <c r="Q1137" s="81" t="str">
        <f>IF(tblMovimientos[[#This Row],[Cuenta Bancaria]]="","",_xlfn.XLOOKUP(tblMovimientos[[#This Row],[Cuenta Bancaria]],Cuentas!$C:$C,Cuentas!$A:$A,"No encontrado"))</f>
        <v>SSP Group</v>
      </c>
      <c r="R1137" s="81" t="str">
        <f>TRIM(_xlfn.XLOOKUP(tblMovimientos[[#This Row],[Cuenta Bancaria]],Cuentas!$C:$C,Cuentas!$B:$B,""))</f>
        <v/>
      </c>
    </row>
    <row r="1138" spans="1:18" x14ac:dyDescent="0.3">
      <c r="B1138" s="39">
        <v>46295</v>
      </c>
      <c r="C1138" s="4" t="str">
        <f>_xlfn.XLOOKUP(tblMovimientos[[#This Row],[Cuenta Bancaria]],Listas!$B:$B,Listas!$A:$A,"")</f>
        <v>A&amp;M Imports</v>
      </c>
      <c r="D1138" s="41" t="s">
        <v>100</v>
      </c>
      <c r="E1138" s="71" t="str">
        <f>_xlfn.XLOOKUP(tblMovimientos[[#This Row],[Cuenta Bancaria]],Listas!$B:$B,Listas!$C:$C,"")</f>
        <v>Bank of America</v>
      </c>
      <c r="F1138" s="41" t="s">
        <v>9</v>
      </c>
      <c r="G1138" s="41" t="s">
        <v>68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23791.439999999999</v>
      </c>
      <c r="K1138" s="5">
        <f>IF(F1138="Ingreso",J1138,-J1138)</f>
        <v>23791.439999999999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1355779.1799999997</v>
      </c>
      <c r="N1138" s="63">
        <f>IF(tblMovimientos[[#This Row],[Tipo de Movimiento]]="Ingreso",tblMovimientos[[#This Row],[Monto (S/)]],"0")</f>
        <v>23791.439999999999</v>
      </c>
      <c r="O1138" s="63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23791.439999999999</v>
      </c>
      <c r="Q1138" s="81" t="str">
        <f>IF(tblMovimientos[[#This Row],[Cuenta Bancaria]]="","",_xlfn.XLOOKUP(tblMovimientos[[#This Row],[Cuenta Bancaria]],Cuentas!$C:$C,Cuentas!$A:$A,"No encontrado"))</f>
        <v>SSP Group</v>
      </c>
      <c r="R1138" s="81" t="str">
        <f>TRIM(_xlfn.XLOOKUP(tblMovimientos[[#This Row],[Cuenta Bancaria]],Cuentas!$C:$C,Cuentas!$B:$B,""))</f>
        <v>Cross Security Trust</v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71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1405.48</v>
      </c>
      <c r="K1139" s="5">
        <f>IF(F1139="Ingreso",J1139,-J1139)</f>
        <v>1405.48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3">
        <f>IF(tblMovimientos[[#This Row],[Tipo de Movimiento]]="Ingreso",tblMovimientos[[#This Row],[Monto (S/)]],"0")</f>
        <v>1405.48</v>
      </c>
      <c r="O1139" s="63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1405.48</v>
      </c>
      <c r="Q1139" s="81" t="str">
        <f>IF(tblMovimientos[[#This Row],[Cuenta Bancaria]]="","",_xlfn.XLOOKUP(tblMovimientos[[#This Row],[Cuenta Bancaria]],Cuentas!$C:$C,Cuentas!$A:$A,"No encontrado"))</f>
        <v>SSP Group</v>
      </c>
      <c r="R1139" s="81" t="str">
        <f>TRIM(_xlfn.XLOOKUP(tblMovimientos[[#This Row],[Cuenta Bancaria]],Cuentas!$C:$C,Cuentas!$B:$B,""))</f>
        <v>Cross Security Trust</v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CFT Group</v>
      </c>
      <c r="D1140" s="41" t="s">
        <v>94</v>
      </c>
      <c r="E1140" s="71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73364</v>
      </c>
      <c r="K1140" s="5">
        <f>IF(F1140="Ingreso",J1140,-J1140)</f>
        <v>73364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463219.50999999995</v>
      </c>
      <c r="N1140" s="63">
        <f>IF(tblMovimientos[[#This Row],[Tipo de Movimiento]]="Ingreso",tblMovimientos[[#This Row],[Monto (S/)]],"0")</f>
        <v>73364</v>
      </c>
      <c r="O1140" s="63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73364</v>
      </c>
      <c r="Q1140" s="81" t="str">
        <f>IF(tblMovimientos[[#This Row],[Cuenta Bancaria]]="","",_xlfn.XLOOKUP(tblMovimientos[[#This Row],[Cuenta Bancaria]],Cuentas!$C:$C,Cuentas!$A:$A,"No encontrado"))</f>
        <v>SSP Group</v>
      </c>
      <c r="R1140" s="81" t="str">
        <f>TRIM(_xlfn.XLOOKUP(tblMovimientos[[#This Row],[Cuenta Bancaria]],Cuentas!$C:$C,Cuentas!$B:$B,""))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71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13241.09</v>
      </c>
      <c r="K1141" s="5">
        <f>IF(F1141="Ingreso",J1141,-J1141)</f>
        <v>13241.09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3">
        <f>IF(tblMovimientos[[#This Row],[Tipo de Movimiento]]="Ingreso",tblMovimientos[[#This Row],[Monto (S/)]],"0")</f>
        <v>13241.09</v>
      </c>
      <c r="O1141" s="63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13241.09</v>
      </c>
      <c r="Q1141" s="81" t="str">
        <f>IF(tblMovimientos[[#This Row],[Cuenta Bancaria]]="","",_xlfn.XLOOKUP(tblMovimientos[[#This Row],[Cuenta Bancaria]],Cuentas!$C:$C,Cuentas!$A:$A,"No encontrado"))</f>
        <v>SSP Group</v>
      </c>
      <c r="R1141" s="81" t="str">
        <f>TRIM(_xlfn.XLOOKUP(tblMovimientos[[#This Row],[Cuenta Bancaria]],Cuentas!$C:$C,Cuentas!$B:$B,""))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71" t="str">
        <f>_xlfn.XLOOKUP(tblMovimientos[[#This Row],[Cuenta Bancaria]],Listas!$B:$B,Listas!$C:$C,"")</f>
        <v>Bank of America</v>
      </c>
      <c r="F1142" s="41" t="s">
        <v>10</v>
      </c>
      <c r="G1142" s="41" t="s">
        <v>42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611.08000000000004</v>
      </c>
      <c r="K1142" s="5">
        <f>IF(F1142="Ingreso",J1142,-J1142)</f>
        <v>-611.08000000000004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3" t="str">
        <f>IF(tblMovimientos[[#This Row],[Tipo de Movimiento]]="Ingreso",tblMovimientos[[#This Row],[Monto (S/)]],"0")</f>
        <v>0</v>
      </c>
      <c r="O1142" s="63">
        <f>IF(tblMovimientos[[#This Row],[Tipo de Movimiento]]="Egreso",tblMovimientos[[#This Row],[Monto (S/)]],"0")</f>
        <v>611.08000000000004</v>
      </c>
      <c r="P1142" s="28">
        <f>IF(tblMovimientos[[#This Row],[Tipo de Movimiento]]="Ingreso",tblMovimientos[[#This Row],[Ingreso]],-tblMovimientos[[#This Row],[Egreso]])</f>
        <v>-611.08000000000004</v>
      </c>
      <c r="Q1142" s="81" t="str">
        <f>IF(tblMovimientos[[#This Row],[Cuenta Bancaria]]="","",_xlfn.XLOOKUP(tblMovimientos[[#This Row],[Cuenta Bancaria]],Cuentas!$C:$C,Cuentas!$A:$A,"No encontrado"))</f>
        <v>SSP Group</v>
      </c>
      <c r="R1142" s="81" t="str">
        <f>TRIM(_xlfn.XLOOKUP(tblMovimientos[[#This Row],[Cuenta Bancaria]],Cuentas!$C:$C,Cuentas!$B:$B,""))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M1B</v>
      </c>
      <c r="D1143" s="41" t="s">
        <v>97</v>
      </c>
      <c r="E1143" s="71" t="str">
        <f>_xlfn.XLOOKUP(tblMovimientos[[#This Row],[Cuenta Bancaria]],Listas!$B:$B,Listas!$C:$C,"")</f>
        <v xml:space="preserve">Amerant Bank 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2637.13</v>
      </c>
      <c r="K1143" s="5">
        <f>IF(F1143="Ingreso",J1143,-J1143)</f>
        <v>2637.13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98123.590000000171</v>
      </c>
      <c r="N1143" s="63">
        <f>IF(tblMovimientos[[#This Row],[Tipo de Movimiento]]="Ingreso",tblMovimientos[[#This Row],[Monto (S/)]],"0")</f>
        <v>2637.13</v>
      </c>
      <c r="O1143" s="63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2637.13</v>
      </c>
      <c r="Q1143" s="81" t="str">
        <f>IF(tblMovimientos[[#This Row],[Cuenta Bancaria]]="","",_xlfn.XLOOKUP(tblMovimientos[[#This Row],[Cuenta Bancaria]],Cuentas!$C:$C,Cuentas!$A:$A,"No encontrado"))</f>
        <v>SSP Group</v>
      </c>
      <c r="R1143" s="81" t="str">
        <f>TRIM(_xlfn.XLOOKUP(tblMovimientos[[#This Row],[Cuenta Bancaria]],Cuentas!$C:$C,Cuentas!$B:$B,""))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SSP Capital</v>
      </c>
      <c r="D1144" s="41" t="s">
        <v>106</v>
      </c>
      <c r="E1144" s="71" t="str">
        <f>_xlfn.XLOOKUP(tblMovimientos[[#This Row],[Cuenta Bancaria]],Listas!$B:$B,Listas!$C:$C,"")</f>
        <v>Amerant Bank Money Market</v>
      </c>
      <c r="F1144" s="41" t="s">
        <v>9</v>
      </c>
      <c r="G1144" s="41" t="s">
        <v>84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2362.59</v>
      </c>
      <c r="K1144" s="5">
        <f>IF(F1144="Ingreso",J1144,-J1144)</f>
        <v>2362.59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813903.92999999993</v>
      </c>
      <c r="N1144" s="63">
        <f>IF(tblMovimientos[[#This Row],[Tipo de Movimiento]]="Ingreso",tblMovimientos[[#This Row],[Monto (S/)]],"0")</f>
        <v>2362.59</v>
      </c>
      <c r="O1144" s="63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2362.59</v>
      </c>
      <c r="Q1144" s="81" t="str">
        <f>IF(tblMovimientos[[#This Row],[Cuenta Bancaria]]="","",_xlfn.XLOOKUP(tblMovimientos[[#This Row],[Cuenta Bancaria]],Cuentas!$C:$C,Cuentas!$A:$A,"No encontrado"))</f>
        <v>SSP Group</v>
      </c>
      <c r="R1144" s="81" t="str">
        <f>TRIM(_xlfn.XLOOKUP(tblMovimientos[[#This Row],[Cuenta Bancaria]],Cuentas!$C:$C,Cuentas!$B:$B,""))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104</v>
      </c>
      <c r="E1145" s="71" t="str">
        <f>_xlfn.XLOOKUP(tblMovimientos[[#This Row],[Cuenta Bancaria]],Listas!$B:$B,Listas!$C:$C,"")</f>
        <v xml:space="preserve">Amerant Bank </v>
      </c>
      <c r="F1145" s="41" t="s">
        <v>10</v>
      </c>
      <c r="G1145" s="41" t="s">
        <v>42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72131.05</v>
      </c>
      <c r="K1145" s="5">
        <f>IF(F1145="Ingreso",J1145,-J1145)</f>
        <v>-72131.05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265822.75999999925</v>
      </c>
      <c r="N1145" s="63" t="str">
        <f>IF(tblMovimientos[[#This Row],[Tipo de Movimiento]]="Ingreso",tblMovimientos[[#This Row],[Monto (S/)]],"0")</f>
        <v>0</v>
      </c>
      <c r="O1145" s="63">
        <f>IF(tblMovimientos[[#This Row],[Tipo de Movimiento]]="Egreso",tblMovimientos[[#This Row],[Monto (S/)]],"0")</f>
        <v>72131.05</v>
      </c>
      <c r="P1145" s="28">
        <f>IF(tblMovimientos[[#This Row],[Tipo de Movimiento]]="Ingreso",tblMovimientos[[#This Row],[Ingreso]],-tblMovimientos[[#This Row],[Egreso]])</f>
        <v>-72131.05</v>
      </c>
      <c r="Q1145" s="81" t="str">
        <f>IF(tblMovimientos[[#This Row],[Cuenta Bancaria]]="","",_xlfn.XLOOKUP(tblMovimientos[[#This Row],[Cuenta Bancaria]],Cuentas!$C:$C,Cuentas!$A:$A,"No encontrado"))</f>
        <v>SSP Group</v>
      </c>
      <c r="R1145" s="81" t="str">
        <f>TRIM(_xlfn.XLOOKUP(tblMovimientos[[#This Row],[Cuenta Bancaria]],Cuentas!$C:$C,Cuentas!$B:$B,""))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Pacha Ventures LLC</v>
      </c>
      <c r="D1146" s="41" t="s">
        <v>187</v>
      </c>
      <c r="E1146" s="71" t="str">
        <f>_xlfn.XLOOKUP(tblMovimientos[[#This Row],[Cuenta Bancaria]],Listas!$B:$B,Listas!$C:$C,"")</f>
        <v xml:space="preserve">Amerant Bank 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864.61</v>
      </c>
      <c r="K1146" s="5">
        <f>IF(F1146="Ingreso",J1146,-J1146)</f>
        <v>864.61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313178.98000000004</v>
      </c>
      <c r="N1146" s="63">
        <f>IF(tblMovimientos[[#This Row],[Tipo de Movimiento]]="Ingreso",tblMovimientos[[#This Row],[Monto (S/)]],"0")</f>
        <v>864.61</v>
      </c>
      <c r="O1146" s="63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864.61</v>
      </c>
      <c r="Q1146" s="81" t="str">
        <f>IF(tblMovimientos[[#This Row],[Cuenta Bancaria]]="","",_xlfn.XLOOKUP(tblMovimientos[[#This Row],[Cuenta Bancaria]],Cuentas!$C:$C,Cuentas!$A:$A,"No encontrado"))</f>
        <v>Michael Cross</v>
      </c>
      <c r="R1146" s="81" t="str">
        <f>TRIM(_xlfn.XLOOKUP(tblMovimientos[[#This Row],[Cuenta Bancaria]],Cuentas!$C:$C,Cuentas!$B:$B,""))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Carmen Cross Irrevocable Trust</v>
      </c>
      <c r="D1147" s="41" t="s">
        <v>184</v>
      </c>
      <c r="E1147" s="71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38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50</v>
      </c>
      <c r="K1147" s="5">
        <f>IF(F1147="Ingreso",J1147,-J1147)</f>
        <v>-50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100996.39</v>
      </c>
      <c r="N1147" s="63" t="str">
        <f>IF(tblMovimientos[[#This Row],[Tipo de Movimiento]]="Ingreso",tblMovimientos[[#This Row],[Monto (S/)]],"0")</f>
        <v>0</v>
      </c>
      <c r="O1147" s="63">
        <f>IF(tblMovimientos[[#This Row],[Tipo de Movimiento]]="Egreso",tblMovimientos[[#This Row],[Monto (S/)]],"0")</f>
        <v>50</v>
      </c>
      <c r="P1147" s="28">
        <f>IF(tblMovimientos[[#This Row],[Tipo de Movimiento]]="Ingreso",tblMovimientos[[#This Row],[Ingreso]],-tblMovimientos[[#This Row],[Egreso]])</f>
        <v>-50</v>
      </c>
      <c r="Q1147" s="81" t="str">
        <f>IF(tblMovimientos[[#This Row],[Cuenta Bancaria]]="","",_xlfn.XLOOKUP(tblMovimientos[[#This Row],[Cuenta Bancaria]],Cuentas!$C:$C,Cuentas!$A:$A,"No encontrado"))</f>
        <v>Carmen Cross Irrevocable Trust</v>
      </c>
      <c r="R1147" s="81" t="str">
        <f>TRIM(_xlfn.XLOOKUP(tblMovimientos[[#This Row],[Cuenta Bancaria]],Cuentas!$C:$C,Cuentas!$B:$B,""))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Prendamas SRL</v>
      </c>
      <c r="D1148" s="41" t="s">
        <v>186</v>
      </c>
      <c r="E1148" s="71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491.98</v>
      </c>
      <c r="K1148" s="5">
        <f>IF(F1148="Ingreso",J1148,-J1148)</f>
        <v>-491.98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21964.799999999959</v>
      </c>
      <c r="N1148" s="63" t="str">
        <f>IF(tblMovimientos[[#This Row],[Tipo de Movimiento]]="Ingreso",tblMovimientos[[#This Row],[Monto (S/)]],"0")</f>
        <v>0</v>
      </c>
      <c r="O1148" s="63">
        <f>IF(tblMovimientos[[#This Row],[Tipo de Movimiento]]="Egreso",tblMovimientos[[#This Row],[Monto (S/)]],"0")</f>
        <v>491.98</v>
      </c>
      <c r="P1148" s="28">
        <f>IF(tblMovimientos[[#This Row],[Tipo de Movimiento]]="Ingreso",tblMovimientos[[#This Row],[Ingreso]],-tblMovimientos[[#This Row],[Egreso]])</f>
        <v>-491.98</v>
      </c>
      <c r="Q1148" s="81" t="str">
        <f>IF(tblMovimientos[[#This Row],[Cuenta Bancaria]]="","",_xlfn.XLOOKUP(tblMovimientos[[#This Row],[Cuenta Bancaria]],Cuentas!$C:$C,Cuentas!$A:$A,"No encontrado"))</f>
        <v>Unidades de Negocio</v>
      </c>
      <c r="R1148" s="81" t="str">
        <f>TRIM(_xlfn.XLOOKUP(tblMovimientos[[#This Row],[Cuenta Bancaria]],Cuentas!$C:$C,Cuentas!$B:$B,""))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Cross Security Trust</v>
      </c>
      <c r="D1149" s="41" t="s">
        <v>112</v>
      </c>
      <c r="E1149" s="71" t="str">
        <f>_xlfn.XLOOKUP(tblMovimientos[[#This Row],[Cuenta Bancaria]],Listas!$B:$B,Listas!$C:$C,"")</f>
        <v>Bank of America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72" t="str">
        <f>IFERROR(_xlfn.XLOOKUP(G1149,Listas!E:E,Listas!G:G,""),"")</f>
        <v>Externo</v>
      </c>
      <c r="J1149" s="43">
        <v>24154</v>
      </c>
      <c r="K1149" s="5">
        <f>IF(F1149="Ingreso",J1149,-J1149)</f>
        <v>-24154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80533.579999999987</v>
      </c>
      <c r="N1149" s="63" t="str">
        <f>IF(tblMovimientos[[#This Row],[Tipo de Movimiento]]="Ingreso",tblMovimientos[[#This Row],[Monto (S/)]],"0")</f>
        <v>0</v>
      </c>
      <c r="O1149" s="63">
        <f>IF(tblMovimientos[[#This Row],[Tipo de Movimiento]]="Egreso",tblMovimientos[[#This Row],[Monto (S/)]],"0")</f>
        <v>24154</v>
      </c>
      <c r="P1149" s="28">
        <f>IF(tblMovimientos[[#This Row],[Tipo de Movimiento]]="Ingreso",tblMovimientos[[#This Row],[Ingreso]],-tblMovimientos[[#This Row],[Egreso]])</f>
        <v>-24154</v>
      </c>
      <c r="Q1149" s="81" t="str">
        <f>IF(tblMovimientos[[#This Row],[Cuenta Bancaria]]="","",_xlfn.XLOOKUP(tblMovimientos[[#This Row],[Cuenta Bancaria]],Cuentas!$C:$C,Cuentas!$A:$A,"No encontrado"))</f>
        <v>SSP Group</v>
      </c>
      <c r="R1149" s="81" t="str">
        <f>TRIM(_xlfn.XLOOKUP(tblMovimientos[[#This Row],[Cuenta Bancaria]],Cuentas!$C:$C,Cuentas!$B:$B,""))</f>
        <v>Cross Security Trust</v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71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72" t="str">
        <f>IFERROR(_xlfn.XLOOKUP(G1150,Listas!E:E,Listas!G:G,""),"")</f>
        <v>Externo</v>
      </c>
      <c r="J1150" s="43">
        <v>113001</v>
      </c>
      <c r="K1150" s="5">
        <f>IF(F1150="Ingreso",J1150,-J1150)</f>
        <v>-113001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3" t="str">
        <f>IF(tblMovimientos[[#This Row],[Tipo de Movimiento]]="Ingreso",tblMovimientos[[#This Row],[Monto (S/)]],"0")</f>
        <v>0</v>
      </c>
      <c r="O1150" s="63">
        <f>IF(tblMovimientos[[#This Row],[Tipo de Movimiento]]="Egreso",tblMovimientos[[#This Row],[Monto (S/)]],"0")</f>
        <v>113001</v>
      </c>
      <c r="P1150" s="28">
        <f>IF(tblMovimientos[[#This Row],[Tipo de Movimiento]]="Ingreso",tblMovimientos[[#This Row],[Ingreso]],-tblMovimientos[[#This Row],[Egreso]])</f>
        <v>-113001</v>
      </c>
      <c r="Q1150" s="81" t="str">
        <f>IF(tblMovimientos[[#This Row],[Cuenta Bancaria]]="","",_xlfn.XLOOKUP(tblMovimientos[[#This Row],[Cuenta Bancaria]],Cuentas!$C:$C,Cuentas!$A:$A,"No encontrado"))</f>
        <v>SSP Group</v>
      </c>
      <c r="R1150" s="81" t="str">
        <f>TRIM(_xlfn.XLOOKUP(tblMovimientos[[#This Row],[Cuenta Bancaria]],Cuentas!$C:$C,Cuentas!$B:$B,""))</f>
        <v>Cross Security 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Electrama</v>
      </c>
      <c r="D1151" s="41" t="s">
        <v>113</v>
      </c>
      <c r="E1151" s="71" t="str">
        <f>_xlfn.XLOOKUP(tblMovimientos[[#This Row],[Cuenta Bancaria]],Listas!$B:$B,Listas!$C:$C,"")</f>
        <v>Chase Bank</v>
      </c>
      <c r="F1151" s="41" t="s">
        <v>10</v>
      </c>
      <c r="G1151" s="41" t="s">
        <v>42</v>
      </c>
      <c r="H1151" s="4" t="str">
        <f>IFERROR(_xlfn.XLOOKUP(G1151,Listas!E:E,Listas!F:F,""),"")</f>
        <v>Operativo</v>
      </c>
      <c r="I1151" s="72" t="str">
        <f>IFERROR(_xlfn.XLOOKUP(G1151,Listas!E:E,Listas!G:G,""),"")</f>
        <v>Externo</v>
      </c>
      <c r="J1151" s="43">
        <v>215.14</v>
      </c>
      <c r="K1151" s="5">
        <f>IF(F1151="Ingreso",J1151,-J1151)</f>
        <v>-215.14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10259.18</v>
      </c>
      <c r="N1151" s="63" t="str">
        <f>IF(tblMovimientos[[#This Row],[Tipo de Movimiento]]="Ingreso",tblMovimientos[[#This Row],[Monto (S/)]],"0")</f>
        <v>0</v>
      </c>
      <c r="O1151" s="63">
        <f>IF(tblMovimientos[[#This Row],[Tipo de Movimiento]]="Egreso",tblMovimientos[[#This Row],[Monto (S/)]],"0")</f>
        <v>215.14</v>
      </c>
      <c r="P1151" s="28">
        <f>IF(tblMovimientos[[#This Row],[Tipo de Movimiento]]="Ingreso",tblMovimientos[[#This Row],[Ingreso]],-tblMovimientos[[#This Row],[Egreso]])</f>
        <v>-215.14</v>
      </c>
      <c r="Q1151" s="81" t="str">
        <f>IF(tblMovimientos[[#This Row],[Cuenta Bancaria]]="","",_xlfn.XLOOKUP(tblMovimientos[[#This Row],[Cuenta Bancaria]],Cuentas!$C:$C,Cuentas!$A:$A,"No encontrado"))</f>
        <v>SSP Group</v>
      </c>
      <c r="R1151" s="81" t="str">
        <f>TRIM(_xlfn.XLOOKUP(tblMovimientos[[#This Row],[Cuenta Bancaria]],Cuentas!$C:$C,Cuentas!$B:$B,""))</f>
        <v/>
      </c>
    </row>
    <row r="1152" spans="1:18" x14ac:dyDescent="0.3">
      <c r="B1152" s="39">
        <v>46296</v>
      </c>
      <c r="C1152" s="4" t="str">
        <f>_xlfn.XLOOKUP(tblMovimientos[[#This Row],[Cuenta Bancaria]],Listas!$B:$B,Listas!$A:$A,"")</f>
        <v>SSP Capital</v>
      </c>
      <c r="D1152" s="41" t="s">
        <v>101</v>
      </c>
      <c r="E1152" s="71" t="str">
        <f>_xlfn.XLOOKUP(tblMovimientos[[#This Row],[Cuenta Bancaria]],Listas!$B:$B,Listas!$C:$C,"")</f>
        <v>Bank of America</v>
      </c>
      <c r="F1152" s="41" t="s">
        <v>9</v>
      </c>
      <c r="G1152" s="41" t="s">
        <v>73</v>
      </c>
      <c r="H1152" s="4" t="str">
        <f>IFERROR(_xlfn.XLOOKUP(G1152,Listas!E:E,Listas!F:F,""),"")</f>
        <v>Operativo</v>
      </c>
      <c r="I1152" s="46" t="str">
        <f>IFERROR(_xlfn.XLOOKUP(G1152,Listas!E:E,Listas!G:G,""),"")</f>
        <v>Interno</v>
      </c>
      <c r="J1152" s="43">
        <v>15252.43</v>
      </c>
      <c r="K1152" s="5">
        <f>IF(F1152="Ingreso",J1152,-J1152)</f>
        <v>15252.43</v>
      </c>
      <c r="L1152" s="15" t="s">
        <v>134</v>
      </c>
      <c r="M1152" s="44">
        <f>SUMIFS('Saldos Iniciales'!$D:$D,'Saldos Iniciales'!$A:$A,C1152,'Saldos Iniciales'!$B:$B,D1152)+SUMIFS($K$1:$K$1326,$C$1:$C$1326,C1152,$D$1:$D$1326,D1152,$B$1:$B$1326,"&lt;="&amp;B1152)</f>
        <v>36367.810000000005</v>
      </c>
      <c r="N1152" s="63">
        <f>IF(tblMovimientos[[#This Row],[Tipo de Movimiento]]="Ingreso",tblMovimientos[[#This Row],[Monto (S/)]],"0")</f>
        <v>15252.43</v>
      </c>
      <c r="O1152" s="63" t="str">
        <f>IF(tblMovimientos[[#This Row],[Tipo de Movimiento]]="Egreso",tblMovimientos[[#This Row],[Monto (S/)]],"0")</f>
        <v>0</v>
      </c>
      <c r="P1152" s="28">
        <f>IF(tblMovimientos[[#This Row],[Tipo de Movimiento]]="Ingreso",tblMovimientos[[#This Row],[Ingreso]],-tblMovimientos[[#This Row],[Egreso]])</f>
        <v>15252.43</v>
      </c>
      <c r="Q1152" s="81" t="str">
        <f>IF(tblMovimientos[[#This Row],[Cuenta Bancaria]]="","",_xlfn.XLOOKUP(tblMovimientos[[#This Row],[Cuenta Bancaria]],Cuentas!$C:$C,Cuentas!$A:$A,"No encontrado"))</f>
        <v>SSP Group</v>
      </c>
      <c r="R1152" s="81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A&amp;M Imports</v>
      </c>
      <c r="D1153" s="41" t="s">
        <v>100</v>
      </c>
      <c r="E1153" s="71" t="str">
        <f>_xlfn.XLOOKUP(tblMovimientos[[#This Row],[Cuenta Bancaria]],Listas!$B:$B,Listas!$C:$C,"")</f>
        <v>Bank of America</v>
      </c>
      <c r="F1153" s="41" t="s">
        <v>10</v>
      </c>
      <c r="G1153" s="41" t="s">
        <v>61</v>
      </c>
      <c r="H1153" s="4" t="str">
        <f>IFERROR(_xlfn.XLOOKUP(G1153,Listas!E:E,Listas!F:F,""),"")</f>
        <v>Operativo</v>
      </c>
      <c r="I1153" s="46" t="str">
        <f>IFERROR(_xlfn.XLOOKUP(G1153,Listas!E:E,Listas!G:G,""),"")</f>
        <v>Externo</v>
      </c>
      <c r="J1153" s="43">
        <v>60000</v>
      </c>
      <c r="K1153" s="5">
        <f>IF(F1153="Ingreso",J1153,-J1153)</f>
        <v>-60000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1200526.7499999995</v>
      </c>
      <c r="N1153" s="63" t="str">
        <f>IF(tblMovimientos[[#This Row],[Tipo de Movimiento]]="Ingreso",tblMovimientos[[#This Row],[Monto (S/)]],"0")</f>
        <v>0</v>
      </c>
      <c r="O1153" s="63">
        <f>IF(tblMovimientos[[#This Row],[Tipo de Movimiento]]="Egreso",tblMovimientos[[#This Row],[Monto (S/)]],"0")</f>
        <v>60000</v>
      </c>
      <c r="P1153" s="28">
        <f>IF(tblMovimientos[[#This Row],[Tipo de Movimiento]]="Ingreso",tblMovimientos[[#This Row],[Ingreso]],-tblMovimientos[[#This Row],[Egreso]])</f>
        <v>-60000</v>
      </c>
      <c r="Q1153" s="81" t="str">
        <f>IF(tblMovimientos[[#This Row],[Cuenta Bancaria]]="","",_xlfn.XLOOKUP(tblMovimientos[[#This Row],[Cuenta Bancaria]],Cuentas!$C:$C,Cuentas!$A:$A,"No encontrado"))</f>
        <v>SSP Group</v>
      </c>
      <c r="R1153" s="81" t="str">
        <f>TRIM(_xlfn.XLOOKUP(tblMovimientos[[#This Row],[Cuenta Bancaria]],Cuentas!$C:$C,Cuentas!$B:$B,""))</f>
        <v>Cross Security Trust</v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71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80000</v>
      </c>
      <c r="K1154" s="5">
        <f>IF(F1154="Ingreso",J1154,-J1154)</f>
        <v>-80000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3" t="str">
        <f>IF(tblMovimientos[[#This Row],[Tipo de Movimiento]]="Ingreso",tblMovimientos[[#This Row],[Monto (S/)]],"0")</f>
        <v>0</v>
      </c>
      <c r="O1154" s="63">
        <f>IF(tblMovimientos[[#This Row],[Tipo de Movimiento]]="Egreso",tblMovimientos[[#This Row],[Monto (S/)]],"0")</f>
        <v>80000</v>
      </c>
      <c r="P1154" s="28">
        <f>IF(tblMovimientos[[#This Row],[Tipo de Movimiento]]="Ingreso",tblMovimientos[[#This Row],[Ingreso]],-tblMovimientos[[#This Row],[Egreso]])</f>
        <v>-80000</v>
      </c>
      <c r="Q1154" s="81" t="str">
        <f>IF(tblMovimientos[[#This Row],[Cuenta Bancaria]]="","",_xlfn.XLOOKUP(tblMovimientos[[#This Row],[Cuenta Bancaria]],Cuentas!$C:$C,Cuentas!$A:$A,"No encontrado"))</f>
        <v>SSP Group</v>
      </c>
      <c r="R1154" s="81" t="str">
        <f>TRIM(_xlfn.XLOOKUP(tblMovimientos[[#This Row],[Cuenta Bancaria]],Cuentas!$C:$C,Cuentas!$B:$B,""))</f>
        <v>Cross Security Trust</v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71" t="str">
        <f>_xlfn.XLOOKUP(tblMovimientos[[#This Row],[Cuenta Bancaria]],Listas!$B:$B,Listas!$C:$C,"")</f>
        <v>Bank of America</v>
      </c>
      <c r="F1155" s="41" t="s">
        <v>10</v>
      </c>
      <c r="G1155" s="41" t="s">
        <v>51</v>
      </c>
      <c r="H1155" s="4" t="str">
        <f>IFERROR(_xlfn.XLOOKUP(G1155,Listas!E:E,Listas!F:F,""),"")</f>
        <v>Financiamiento</v>
      </c>
      <c r="I1155" s="46" t="str">
        <f>IFERROR(_xlfn.XLOOKUP(G1155,Listas!E:E,Listas!G:G,""),"")</f>
        <v>Externo</v>
      </c>
      <c r="J1155" s="43">
        <v>15252.43</v>
      </c>
      <c r="K1155" s="5">
        <f>IF(F1155="Ingreso",J1155,-J1155)</f>
        <v>-15252.43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3" t="str">
        <f>IF(tblMovimientos[[#This Row],[Tipo de Movimiento]]="Ingreso",tblMovimientos[[#This Row],[Monto (S/)]],"0")</f>
        <v>0</v>
      </c>
      <c r="O1155" s="63">
        <f>IF(tblMovimientos[[#This Row],[Tipo de Movimiento]]="Egreso",tblMovimientos[[#This Row],[Monto (S/)]],"0")</f>
        <v>15252.43</v>
      </c>
      <c r="P1155" s="28">
        <f>IF(tblMovimientos[[#This Row],[Tipo de Movimiento]]="Ingreso",tblMovimientos[[#This Row],[Ingreso]],-tblMovimientos[[#This Row],[Egreso]])</f>
        <v>-15252.43</v>
      </c>
      <c r="Q1155" s="81" t="str">
        <f>IF(tblMovimientos[[#This Row],[Cuenta Bancaria]]="","",_xlfn.XLOOKUP(tblMovimientos[[#This Row],[Cuenta Bancaria]],Cuentas!$C:$C,Cuentas!$A:$A,"No encontrado"))</f>
        <v>SSP Group</v>
      </c>
      <c r="R1155" s="81" t="str">
        <f>TRIM(_xlfn.XLOOKUP(tblMovimientos[[#This Row],[Cuenta Bancaria]],Cuentas!$C:$C,Cuentas!$B:$B,""))</f>
        <v>Cross Security Trust</v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CFT Group</v>
      </c>
      <c r="D1156" s="41" t="s">
        <v>94</v>
      </c>
      <c r="E1156" s="71" t="str">
        <f>_xlfn.XLOOKUP(tblMovimientos[[#This Row],[Cuenta Bancaria]],Listas!$B:$B,Listas!$C:$C,"")</f>
        <v>Bank of America</v>
      </c>
      <c r="F1156" s="41" t="s">
        <v>10</v>
      </c>
      <c r="G1156" s="41" t="s">
        <v>64</v>
      </c>
      <c r="H1156" s="4" t="str">
        <f>IFERROR(_xlfn.XLOOKUP(G1156,Listas!E:E,Listas!F:F,""),"")</f>
        <v>Operativo</v>
      </c>
      <c r="I1156" s="46" t="str">
        <f>IFERROR(_xlfn.XLOOKUP(G1156,Listas!E:E,Listas!G:G,""),"")</f>
        <v>Interno</v>
      </c>
      <c r="J1156" s="43">
        <v>440000</v>
      </c>
      <c r="K1156" s="5">
        <f>IF(F1156="Ingreso",J1156,-J1156)</f>
        <v>-440000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23219.509999999951</v>
      </c>
      <c r="N1156" s="63" t="str">
        <f>IF(tblMovimientos[[#This Row],[Tipo de Movimiento]]="Ingreso",tblMovimientos[[#This Row],[Monto (S/)]],"0")</f>
        <v>0</v>
      </c>
      <c r="O1156" s="63">
        <f>IF(tblMovimientos[[#This Row],[Tipo de Movimiento]]="Egreso",tblMovimientos[[#This Row],[Monto (S/)]],"0")</f>
        <v>440000</v>
      </c>
      <c r="P1156" s="28">
        <f>IF(tblMovimientos[[#This Row],[Tipo de Movimiento]]="Ingreso",tblMovimientos[[#This Row],[Ingreso]],-tblMovimientos[[#This Row],[Egreso]])</f>
        <v>-440000</v>
      </c>
      <c r="Q1156" s="81" t="str">
        <f>IF(tblMovimientos[[#This Row],[Cuenta Bancaria]]="","",_xlfn.XLOOKUP(tblMovimientos[[#This Row],[Cuenta Bancaria]],Cuentas!$C:$C,Cuentas!$A:$A,"No encontrado"))</f>
        <v>SSP Group</v>
      </c>
      <c r="R1156" s="81" t="str">
        <f>TRIM(_xlfn.XLOOKUP(tblMovimientos[[#This Row],[Cuenta Bancaria]],Cuentas!$C:$C,Cuentas!$B:$B,""))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Cross Family Trust</v>
      </c>
      <c r="D1157" s="41" t="s">
        <v>110</v>
      </c>
      <c r="E1157" s="71" t="str">
        <f>_xlfn.XLOOKUP(tblMovimientos[[#This Row],[Cuenta Bancaria]],Listas!$B:$B,Listas!$C:$C,"")</f>
        <v>Bank of America</v>
      </c>
      <c r="F1157" s="41" t="s">
        <v>10</v>
      </c>
      <c r="G1157" s="41" t="s">
        <v>38</v>
      </c>
      <c r="H1157" s="4" t="str">
        <f>IFERROR(_xlfn.XLOOKUP(G1157,Listas!E:E,Listas!F:F,""),"")</f>
        <v>Operativo</v>
      </c>
      <c r="I1157" s="46" t="str">
        <f>IFERROR(_xlfn.XLOOKUP(G1157,Listas!E:E,Listas!G:G,""),"")</f>
        <v>Externo</v>
      </c>
      <c r="J1157" s="43">
        <v>6000</v>
      </c>
      <c r="K1157" s="5">
        <f>IF(F1157="Ingreso",J1157,-J1157)</f>
        <v>-6000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27206.89</v>
      </c>
      <c r="N1157" s="63" t="str">
        <f>IF(tblMovimientos[[#This Row],[Tipo de Movimiento]]="Ingreso",tblMovimientos[[#This Row],[Monto (S/)]],"0")</f>
        <v>0</v>
      </c>
      <c r="O1157" s="63">
        <f>IF(tblMovimientos[[#This Row],[Tipo de Movimiento]]="Egreso",tblMovimientos[[#This Row],[Monto (S/)]],"0")</f>
        <v>6000</v>
      </c>
      <c r="P1157" s="28">
        <f>IF(tblMovimientos[[#This Row],[Tipo de Movimiento]]="Ingreso",tblMovimientos[[#This Row],[Ingreso]],-tblMovimientos[[#This Row],[Egreso]])</f>
        <v>-6000</v>
      </c>
      <c r="Q1157" s="81" t="str">
        <f>IF(tblMovimientos[[#This Row],[Cuenta Bancaria]]="","",_xlfn.XLOOKUP(tblMovimientos[[#This Row],[Cuenta Bancaria]],Cuentas!$C:$C,Cuentas!$A:$A,"No encontrado"))</f>
        <v>Trust</v>
      </c>
      <c r="R1157" s="81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Sacred Valley Capital</v>
      </c>
      <c r="D1158" s="41" t="s">
        <v>114</v>
      </c>
      <c r="E1158" s="71" t="str">
        <f>_xlfn.XLOOKUP(tblMovimientos[[#This Row],[Cuenta Bancaria]],Listas!$B:$B,Listas!$C:$C,"")</f>
        <v>Bank of America</v>
      </c>
      <c r="F1158" s="41" t="s">
        <v>10</v>
      </c>
      <c r="G1158" s="41" t="s">
        <v>44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29.95</v>
      </c>
      <c r="K1158" s="5">
        <f>IF(F1158="Ingreso",J1158,-J1158)</f>
        <v>-29.95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64.55</v>
      </c>
      <c r="N1158" s="63" t="str">
        <f>IF(tblMovimientos[[#This Row],[Tipo de Movimiento]]="Ingreso",tblMovimientos[[#This Row],[Monto (S/)]],"0")</f>
        <v>0</v>
      </c>
      <c r="O1158" s="63">
        <f>IF(tblMovimientos[[#This Row],[Tipo de Movimiento]]="Egreso",tblMovimientos[[#This Row],[Monto (S/)]],"0")</f>
        <v>29.95</v>
      </c>
      <c r="P1158" s="28">
        <f>IF(tblMovimientos[[#This Row],[Tipo de Movimiento]]="Ingreso",tblMovimientos[[#This Row],[Ingreso]],-tblMovimientos[[#This Row],[Egreso]])</f>
        <v>-29.95</v>
      </c>
      <c r="Q1158" s="81" t="str">
        <f>IF(tblMovimientos[[#This Row],[Cuenta Bancaria]]="","",_xlfn.XLOOKUP(tblMovimientos[[#This Row],[Cuenta Bancaria]],Cuentas!$C:$C,Cuentas!$A:$A,"No encontrado"))</f>
        <v>SSP Group</v>
      </c>
      <c r="R1158" s="81" t="str">
        <f>TRIM(_xlfn.XLOOKUP(tblMovimientos[[#This Row],[Cuenta Bancaria]],Cuentas!$C:$C,Cuentas!$B:$B,""))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YWC Capital</v>
      </c>
      <c r="D1159" s="41" t="s">
        <v>115</v>
      </c>
      <c r="E1159" s="71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>IF(F1159="Ingreso",J1159,-J1159)</f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2117.9700000000003</v>
      </c>
      <c r="N1159" s="63" t="str">
        <f>IF(tblMovimientos[[#This Row],[Tipo de Movimiento]]="Ingreso",tblMovimientos[[#This Row],[Monto (S/)]],"0")</f>
        <v>0</v>
      </c>
      <c r="O1159" s="63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81" t="str">
        <f>IF(tblMovimientos[[#This Row],[Cuenta Bancaria]]="","",_xlfn.XLOOKUP(tblMovimientos[[#This Row],[Cuenta Bancaria]],Cuentas!$C:$C,Cuentas!$A:$A,"No encontrado"))</f>
        <v>SSP Group</v>
      </c>
      <c r="R1159" s="81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Arbor Capital Properties</v>
      </c>
      <c r="D1160" s="41" t="s">
        <v>120</v>
      </c>
      <c r="E1160" s="71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16</v>
      </c>
      <c r="K1160" s="5">
        <f>IF(F1160="Ingreso",J1160,-J1160)</f>
        <v>-16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1364.08</v>
      </c>
      <c r="N1160" s="63" t="str">
        <f>IF(tblMovimientos[[#This Row],[Tipo de Movimiento]]="Ingreso",tblMovimientos[[#This Row],[Monto (S/)]],"0")</f>
        <v>0</v>
      </c>
      <c r="O1160" s="63">
        <f>IF(tblMovimientos[[#This Row],[Tipo de Movimiento]]="Egreso",tblMovimientos[[#This Row],[Monto (S/)]],"0")</f>
        <v>16</v>
      </c>
      <c r="P1160" s="28">
        <f>IF(tblMovimientos[[#This Row],[Tipo de Movimiento]]="Ingreso",tblMovimientos[[#This Row],[Ingreso]],-tblMovimientos[[#This Row],[Egreso]])</f>
        <v>-16</v>
      </c>
      <c r="Q1160" s="81" t="str">
        <f>IF(tblMovimientos[[#This Row],[Cuenta Bancaria]]="","",_xlfn.XLOOKUP(tblMovimientos[[#This Row],[Cuenta Bancaria]],Cuentas!$C:$C,Cuentas!$A:$A,"No encontrado"))</f>
        <v>SSP Group</v>
      </c>
      <c r="R1160" s="81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2515 Overbrook</v>
      </c>
      <c r="D1161" s="41" t="s">
        <v>121</v>
      </c>
      <c r="E1161" s="71" t="str">
        <f>_xlfn.XLOOKUP(tblMovimientos[[#This Row],[Cuenta Bancaria]],Listas!$B:$B,Listas!$C:$C,"")</f>
        <v>Bank of America</v>
      </c>
      <c r="F1161" s="41" t="s">
        <v>10</v>
      </c>
      <c r="G1161" s="41" t="s">
        <v>46</v>
      </c>
      <c r="H1161" s="4" t="str">
        <f>IFERROR(_xlfn.XLOOKUP(G1161,Listas!E:E,Listas!F:F,""),"")</f>
        <v>Financiamiento</v>
      </c>
      <c r="I1161" s="46" t="str">
        <f>IFERROR(_xlfn.XLOOKUP(G1161,Listas!E:E,Listas!G:G,""),"")</f>
        <v>Externo</v>
      </c>
      <c r="J1161" s="43">
        <v>8533.33</v>
      </c>
      <c r="K1161" s="5">
        <f>IF(F1161="Ingreso",J1161,-J1161)</f>
        <v>-8533.33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19881.129999999965</v>
      </c>
      <c r="N1161" s="63" t="str">
        <f>IF(tblMovimientos[[#This Row],[Tipo de Movimiento]]="Ingreso",tblMovimientos[[#This Row],[Monto (S/)]],"0")</f>
        <v>0</v>
      </c>
      <c r="O1161" s="63">
        <f>IF(tblMovimientos[[#This Row],[Tipo de Movimiento]]="Egreso",tblMovimientos[[#This Row],[Monto (S/)]],"0")</f>
        <v>8533.33</v>
      </c>
      <c r="P1161" s="28">
        <f>IF(tblMovimientos[[#This Row],[Tipo de Movimiento]]="Ingreso",tblMovimientos[[#This Row],[Ingreso]],-tblMovimientos[[#This Row],[Egreso]])</f>
        <v>-8533.33</v>
      </c>
      <c r="Q1161" s="81" t="str">
        <f>IF(tblMovimientos[[#This Row],[Cuenta Bancaria]]="","",_xlfn.XLOOKUP(tblMovimientos[[#This Row],[Cuenta Bancaria]],Cuentas!$C:$C,Cuentas!$A:$A,"No encontrado"))</f>
        <v>SSP Group</v>
      </c>
      <c r="R1161" s="81" t="str">
        <f>TRIM(_xlfn.XLOOKUP(tblMovimientos[[#This Row],[Cuenta Bancaria]],Cuentas!$C:$C,Cuentas!$B:$B,""))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122</v>
      </c>
      <c r="E1162" s="71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10</v>
      </c>
      <c r="K1162" s="5">
        <f>IF(F1162="Ingreso",J1162,-J1162)</f>
        <v>-10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290.42</v>
      </c>
      <c r="N1162" s="63" t="str">
        <f>IF(tblMovimientos[[#This Row],[Tipo de Movimiento]]="Ingreso",tblMovimientos[[#This Row],[Monto (S/)]],"0")</f>
        <v>0</v>
      </c>
      <c r="O1162" s="63">
        <f>IF(tblMovimientos[[#This Row],[Tipo de Movimiento]]="Egreso",tblMovimientos[[#This Row],[Monto (S/)]],"0")</f>
        <v>10</v>
      </c>
      <c r="P1162" s="28">
        <f>IF(tblMovimientos[[#This Row],[Tipo de Movimiento]]="Ingreso",tblMovimientos[[#This Row],[Ingreso]],-tblMovimientos[[#This Row],[Egreso]])</f>
        <v>-10</v>
      </c>
      <c r="Q1162" s="81" t="str">
        <f>IF(tblMovimientos[[#This Row],[Cuenta Bancaria]]="","",_xlfn.XLOOKUP(tblMovimientos[[#This Row],[Cuenta Bancaria]],Cuentas!$C:$C,Cuentas!$A:$A,"No encontrado"))</f>
        <v>SSP Group</v>
      </c>
      <c r="R1162" s="81" t="str">
        <f>TRIM(_xlfn.XLOOKUP(tblMovimientos[[#This Row],[Cuenta Bancaria]],Cuentas!$C:$C,Cuentas!$B:$B,""))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112 Florida Ave</v>
      </c>
      <c r="D1163" s="41" t="s">
        <v>123</v>
      </c>
      <c r="E1163" s="71" t="str">
        <f>_xlfn.XLOOKUP(tblMovimientos[[#This Row],[Cuenta Bancaria]],Listas!$B:$B,Listas!$C:$C,"")</f>
        <v>Bank of America</v>
      </c>
      <c r="F1163" s="41" t="s">
        <v>10</v>
      </c>
      <c r="G1163" s="41" t="s">
        <v>48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9798.6299999999992</v>
      </c>
      <c r="K1163" s="5">
        <f>IF(F1163="Ingreso",J1163,-J1163)</f>
        <v>-9798.6299999999992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13576.060000000007</v>
      </c>
      <c r="N1163" s="63" t="str">
        <f>IF(tblMovimientos[[#This Row],[Tipo de Movimiento]]="Ingreso",tblMovimientos[[#This Row],[Monto (S/)]],"0")</f>
        <v>0</v>
      </c>
      <c r="O1163" s="63">
        <f>IF(tblMovimientos[[#This Row],[Tipo de Movimiento]]="Egreso",tblMovimientos[[#This Row],[Monto (S/)]],"0")</f>
        <v>9798.6299999999992</v>
      </c>
      <c r="P1163" s="28">
        <f>IF(tblMovimientos[[#This Row],[Tipo de Movimiento]]="Ingreso",tblMovimientos[[#This Row],[Ingreso]],-tblMovimientos[[#This Row],[Egreso]])</f>
        <v>-9798.6299999999992</v>
      </c>
      <c r="Q1163" s="81" t="str">
        <f>IF(tblMovimientos[[#This Row],[Cuenta Bancaria]]="","",_xlfn.XLOOKUP(tblMovimientos[[#This Row],[Cuenta Bancaria]],Cuentas!$C:$C,Cuentas!$A:$A,"No encontrado"))</f>
        <v>SSP Group</v>
      </c>
      <c r="R1163" s="81" t="str">
        <f>TRIM(_xlfn.XLOOKUP(tblMovimientos[[#This Row],[Cuenta Bancaria]],Cuentas!$C:$C,Cuentas!$B:$B,""))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3628 Thomas Ave</v>
      </c>
      <c r="D1164" s="41" t="s">
        <v>124</v>
      </c>
      <c r="E1164" s="71" t="str">
        <f>_xlfn.XLOOKUP(tblMovimientos[[#This Row],[Cuenta Bancaria]],Listas!$B:$B,Listas!$C:$C,"")</f>
        <v>Bank of America</v>
      </c>
      <c r="F1164" s="41" t="s">
        <v>9</v>
      </c>
      <c r="G1164" s="41" t="s">
        <v>81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4400</v>
      </c>
      <c r="K1164" s="5">
        <f>IF(F1164="Ingreso",J1164,-J1164)</f>
        <v>4400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16893.769999999997</v>
      </c>
      <c r="N1164" s="63">
        <f>IF(tblMovimientos[[#This Row],[Tipo de Movimiento]]="Ingreso",tblMovimientos[[#This Row],[Monto (S/)]],"0")</f>
        <v>4400</v>
      </c>
      <c r="O1164" s="63" t="str">
        <f>IF(tblMovimientos[[#This Row],[Tipo de Movimiento]]="Egreso",tblMovimientos[[#This Row],[Monto (S/)]],"0")</f>
        <v>0</v>
      </c>
      <c r="P1164" s="28">
        <f>IF(tblMovimientos[[#This Row],[Tipo de Movimiento]]="Ingreso",tblMovimientos[[#This Row],[Ingreso]],-tblMovimientos[[#This Row],[Egreso]])</f>
        <v>4400</v>
      </c>
      <c r="Q1164" s="81" t="str">
        <f>IF(tblMovimientos[[#This Row],[Cuenta Bancaria]]="","",_xlfn.XLOOKUP(tblMovimientos[[#This Row],[Cuenta Bancaria]],Cuentas!$C:$C,Cuentas!$A:$A,"No encontrado"))</f>
        <v>SSP Group</v>
      </c>
      <c r="R1164" s="81" t="str">
        <f>TRIM(_xlfn.XLOOKUP(tblMovimientos[[#This Row],[Cuenta Bancaria]],Cuentas!$C:$C,Cuentas!$B:$B,""))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71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2000</v>
      </c>
      <c r="K1165" s="5">
        <f>IF(F1165="Ingreso",J1165,-J1165)</f>
        <v>2000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3">
        <f>IF(tblMovimientos[[#This Row],[Tipo de Movimiento]]="Ingreso",tblMovimientos[[#This Row],[Monto (S/)]],"0")</f>
        <v>2000</v>
      </c>
      <c r="O1165" s="63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2000</v>
      </c>
      <c r="Q1165" s="81" t="str">
        <f>IF(tblMovimientos[[#This Row],[Cuenta Bancaria]]="","",_xlfn.XLOOKUP(tblMovimientos[[#This Row],[Cuenta Bancaria]],Cuentas!$C:$C,Cuentas!$A:$A,"No encontrado"))</f>
        <v>SSP Group</v>
      </c>
      <c r="R1165" s="81" t="str">
        <f>TRIM(_xlfn.XLOOKUP(tblMovimientos[[#This Row],[Cuenta Bancaria]],Cuentas!$C:$C,Cuentas!$B:$B,""))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71" t="str">
        <f>_xlfn.XLOOKUP(tblMovimientos[[#This Row],[Cuenta Bancaria]],Listas!$B:$B,Listas!$C:$C,"")</f>
        <v>Bank of America</v>
      </c>
      <c r="F1166" s="41" t="s">
        <v>10</v>
      </c>
      <c r="G1166" s="41" t="s">
        <v>48</v>
      </c>
      <c r="H1166" s="4" t="str">
        <f>IFERROR(_xlfn.XLOOKUP(G1166,Listas!E:E,Listas!F:F,""),"")</f>
        <v>Financiamiento</v>
      </c>
      <c r="I1166" s="46" t="str">
        <f>IFERROR(_xlfn.XLOOKUP(G1166,Listas!E:E,Listas!G:G,""),"")</f>
        <v>Externo</v>
      </c>
      <c r="J1166" s="43">
        <v>8773.0400000000009</v>
      </c>
      <c r="K1166" s="5">
        <f>IF(F1166="Ingreso",J1166,-J1166)</f>
        <v>-8773.0400000000009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3" t="str">
        <f>IF(tblMovimientos[[#This Row],[Tipo de Movimiento]]="Ingreso",tblMovimientos[[#This Row],[Monto (S/)]],"0")</f>
        <v>0</v>
      </c>
      <c r="O1166" s="63">
        <f>IF(tblMovimientos[[#This Row],[Tipo de Movimiento]]="Egreso",tblMovimientos[[#This Row],[Monto (S/)]],"0")</f>
        <v>8773.0400000000009</v>
      </c>
      <c r="P1166" s="28">
        <f>IF(tblMovimientos[[#This Row],[Tipo de Movimiento]]="Ingreso",tblMovimientos[[#This Row],[Ingreso]],-tblMovimientos[[#This Row],[Egreso]])</f>
        <v>-8773.0400000000009</v>
      </c>
      <c r="Q1166" s="81" t="str">
        <f>IF(tblMovimientos[[#This Row],[Cuenta Bancaria]]="","",_xlfn.XLOOKUP(tblMovimientos[[#This Row],[Cuenta Bancaria]],Cuentas!$C:$C,Cuentas!$A:$A,"No encontrado"))</f>
        <v>SSP Group</v>
      </c>
      <c r="R1166" s="81" t="str">
        <f>TRIM(_xlfn.XLOOKUP(tblMovimientos[[#This Row],[Cuenta Bancaria]],Cuentas!$C:$C,Cuentas!$B:$B,""))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CFT Group</v>
      </c>
      <c r="D1167" s="41" t="s">
        <v>95</v>
      </c>
      <c r="E1167" s="71" t="str">
        <f>_xlfn.XLOOKUP(tblMovimientos[[#This Row],[Cuenta Bancaria]],Listas!$B:$B,Listas!$C:$C,"")</f>
        <v xml:space="preserve">Amerant Bank </v>
      </c>
      <c r="F1167" s="41" t="s">
        <v>9</v>
      </c>
      <c r="G1167" s="41" t="s">
        <v>85</v>
      </c>
      <c r="H1167" s="4" t="str">
        <f>IFERROR(_xlfn.XLOOKUP(G1167,Listas!E:E,Listas!F:F,""),"")</f>
        <v>Operativo</v>
      </c>
      <c r="I1167" s="46" t="str">
        <f>IFERROR(_xlfn.XLOOKUP(G1167,Listas!E:E,Listas!G:G,""),"")</f>
        <v>Interno</v>
      </c>
      <c r="J1167" s="43">
        <v>440000</v>
      </c>
      <c r="K1167" s="5">
        <f>IF(F1167="Ingreso",J1167,-J1167)</f>
        <v>440000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3071394.040000001</v>
      </c>
      <c r="N1167" s="63">
        <f>IF(tblMovimientos[[#This Row],[Tipo de Movimiento]]="Ingreso",tblMovimientos[[#This Row],[Monto (S/)]],"0")</f>
        <v>440000</v>
      </c>
      <c r="O1167" s="63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440000</v>
      </c>
      <c r="Q1167" s="81" t="str">
        <f>IF(tblMovimientos[[#This Row],[Cuenta Bancaria]]="","",_xlfn.XLOOKUP(tblMovimientos[[#This Row],[Cuenta Bancaria]],Cuentas!$C:$C,Cuentas!$A:$A,"No encontrado"))</f>
        <v>SSP Group</v>
      </c>
      <c r="R1167" s="81" t="str">
        <f>TRIM(_xlfn.XLOOKUP(tblMovimientos[[#This Row],[Cuenta Bancaria]],Cuentas!$C:$C,Cuentas!$B:$B,""))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71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76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2000000</v>
      </c>
      <c r="K1168" s="5">
        <f>IF(F1168="Ingreso",J1168,-J1168)</f>
        <v>2000000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3">
        <f>IF(tblMovimientos[[#This Row],[Tipo de Movimiento]]="Ingreso",tblMovimientos[[#This Row],[Monto (S/)]],"0")</f>
        <v>2000000</v>
      </c>
      <c r="O1168" s="63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2000000</v>
      </c>
      <c r="Q1168" s="81" t="str">
        <f>IF(tblMovimientos[[#This Row],[Cuenta Bancaria]]="","",_xlfn.XLOOKUP(tblMovimientos[[#This Row],[Cuenta Bancaria]],Cuentas!$C:$C,Cuentas!$A:$A,"No encontrado"))</f>
        <v>SSP Group</v>
      </c>
      <c r="R1168" s="81" t="str">
        <f>TRIM(_xlfn.XLOOKUP(tblMovimientos[[#This Row],[Cuenta Bancaria]],Cuentas!$C:$C,Cuentas!$B:$B,""))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71" t="str">
        <f>_xlfn.XLOOKUP(tblMovimientos[[#This Row],[Cuenta Bancaria]],Listas!$B:$B,Listas!$C:$C,"")</f>
        <v xml:space="preserve">Amerant Bank </v>
      </c>
      <c r="F1169" s="41" t="s">
        <v>10</v>
      </c>
      <c r="G1169" s="41" t="s">
        <v>46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1516.67</v>
      </c>
      <c r="K1169" s="5">
        <f>IF(F1169="Ingreso",J1169,-J1169)</f>
        <v>-1516.67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3" t="str">
        <f>IF(tblMovimientos[[#This Row],[Tipo de Movimiento]]="Ingreso",tblMovimientos[[#This Row],[Monto (S/)]],"0")</f>
        <v>0</v>
      </c>
      <c r="O1169" s="63">
        <f>IF(tblMovimientos[[#This Row],[Tipo de Movimiento]]="Egreso",tblMovimientos[[#This Row],[Monto (S/)]],"0")</f>
        <v>1516.67</v>
      </c>
      <c r="P1169" s="28">
        <f>IF(tblMovimientos[[#This Row],[Tipo de Movimiento]]="Ingreso",tblMovimientos[[#This Row],[Ingreso]],-tblMovimientos[[#This Row],[Egreso]])</f>
        <v>-1516.67</v>
      </c>
      <c r="Q1169" s="81" t="str">
        <f>IF(tblMovimientos[[#This Row],[Cuenta Bancaria]]="","",_xlfn.XLOOKUP(tblMovimientos[[#This Row],[Cuenta Bancaria]],Cuentas!$C:$C,Cuentas!$A:$A,"No encontrado"))</f>
        <v>SSP Group</v>
      </c>
      <c r="R1169" s="81" t="str">
        <f>TRIM(_xlfn.XLOOKUP(tblMovimientos[[#This Row],[Cuenta Bancaria]],Cuentas!$C:$C,Cuentas!$B:$B,""))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71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2975</v>
      </c>
      <c r="K1170" s="5">
        <f>IF(F1170="Ingreso",J1170,-J1170)</f>
        <v>-2975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3" t="str">
        <f>IF(tblMovimientos[[#This Row],[Tipo de Movimiento]]="Ingreso",tblMovimientos[[#This Row],[Monto (S/)]],"0")</f>
        <v>0</v>
      </c>
      <c r="O1170" s="63">
        <f>IF(tblMovimientos[[#This Row],[Tipo de Movimiento]]="Egreso",tblMovimientos[[#This Row],[Monto (S/)]],"0")</f>
        <v>2975</v>
      </c>
      <c r="P1170" s="28">
        <f>IF(tblMovimientos[[#This Row],[Tipo de Movimiento]]="Ingreso",tblMovimientos[[#This Row],[Ingreso]],-tblMovimientos[[#This Row],[Egreso]])</f>
        <v>-2975</v>
      </c>
      <c r="Q1170" s="81" t="str">
        <f>IF(tblMovimientos[[#This Row],[Cuenta Bancaria]]="","",_xlfn.XLOOKUP(tblMovimientos[[#This Row],[Cuenta Bancaria]],Cuentas!$C:$C,Cuentas!$A:$A,"No encontrado"))</f>
        <v>SSP Group</v>
      </c>
      <c r="R1170" s="81" t="str">
        <f>TRIM(_xlfn.XLOOKUP(tblMovimientos[[#This Row],[Cuenta Bancaria]],Cuentas!$C:$C,Cuentas!$B:$B,""))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71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10833.33</v>
      </c>
      <c r="K1171" s="5">
        <f>IF(F1171="Ingreso",J1171,-J1171)</f>
        <v>-10833.33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3" t="str">
        <f>IF(tblMovimientos[[#This Row],[Tipo de Movimiento]]="Ingreso",tblMovimientos[[#This Row],[Monto (S/)]],"0")</f>
        <v>0</v>
      </c>
      <c r="O1171" s="63">
        <f>IF(tblMovimientos[[#This Row],[Tipo de Movimiento]]="Egreso",tblMovimientos[[#This Row],[Monto (S/)]],"0")</f>
        <v>10833.33</v>
      </c>
      <c r="P1171" s="28">
        <f>IF(tblMovimientos[[#This Row],[Tipo de Movimiento]]="Ingreso",tblMovimientos[[#This Row],[Ingreso]],-tblMovimientos[[#This Row],[Egreso]])</f>
        <v>-10833.33</v>
      </c>
      <c r="Q1171" s="81" t="str">
        <f>IF(tblMovimientos[[#This Row],[Cuenta Bancaria]]="","",_xlfn.XLOOKUP(tblMovimientos[[#This Row],[Cuenta Bancaria]],Cuentas!$C:$C,Cuentas!$A:$A,"No encontrado"))</f>
        <v>SSP Group</v>
      </c>
      <c r="R1171" s="81" t="str">
        <f>TRIM(_xlfn.XLOOKUP(tblMovimientos[[#This Row],[Cuenta Bancaria]],Cuentas!$C:$C,Cuentas!$B:$B,""))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71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11666.67</v>
      </c>
      <c r="K1172" s="5">
        <f>IF(F1172="Ingreso",J1172,-J1172)</f>
        <v>-11666.67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3" t="str">
        <f>IF(tblMovimientos[[#This Row],[Tipo de Movimiento]]="Ingreso",tblMovimientos[[#This Row],[Monto (S/)]],"0")</f>
        <v>0</v>
      </c>
      <c r="O1172" s="63">
        <f>IF(tblMovimientos[[#This Row],[Tipo de Movimiento]]="Egreso",tblMovimientos[[#This Row],[Monto (S/)]],"0")</f>
        <v>11666.67</v>
      </c>
      <c r="P1172" s="28">
        <f>IF(tblMovimientos[[#This Row],[Tipo de Movimiento]]="Ingreso",tblMovimientos[[#This Row],[Ingreso]],-tblMovimientos[[#This Row],[Egreso]])</f>
        <v>-11666.67</v>
      </c>
      <c r="Q1172" s="81" t="str">
        <f>IF(tblMovimientos[[#This Row],[Cuenta Bancaria]]="","",_xlfn.XLOOKUP(tblMovimientos[[#This Row],[Cuenta Bancaria]],Cuentas!$C:$C,Cuentas!$A:$A,"No encontrado"))</f>
        <v>SSP Group</v>
      </c>
      <c r="R1172" s="81" t="str">
        <f>TRIM(_xlfn.XLOOKUP(tblMovimientos[[#This Row],[Cuenta Bancaria]],Cuentas!$C:$C,Cuentas!$B:$B,""))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71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61</v>
      </c>
      <c r="H1173" s="4" t="str">
        <f>IFERROR(_xlfn.XLOOKUP(G1173,Listas!E:E,Listas!F:F,""),"")</f>
        <v>Operativo</v>
      </c>
      <c r="I1173" s="4" t="str">
        <f>IFERROR(_xlfn.XLOOKUP(G1173,Listas!E:E,Listas!G:G,""),"")</f>
        <v>Externo</v>
      </c>
      <c r="J1173" s="43">
        <v>100000</v>
      </c>
      <c r="K1173" s="5">
        <f>IF(F1173="Ingreso",J1173,-J1173)</f>
        <v>-100000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3" t="str">
        <f>IF(tblMovimientos[[#This Row],[Tipo de Movimiento]]="Ingreso",tblMovimientos[[#This Row],[Monto (S/)]],"0")</f>
        <v>0</v>
      </c>
      <c r="O1173" s="63">
        <f>IF(tblMovimientos[[#This Row],[Tipo de Movimiento]]="Egreso",tblMovimientos[[#This Row],[Monto (S/)]],"0")</f>
        <v>100000</v>
      </c>
      <c r="P1173" s="28">
        <f>IF(tblMovimientos[[#This Row],[Tipo de Movimiento]]="Ingreso",tblMovimientos[[#This Row],[Ingreso]],-tblMovimientos[[#This Row],[Egreso]])</f>
        <v>-100000</v>
      </c>
      <c r="Q1173" s="81" t="str">
        <f>IF(tblMovimientos[[#This Row],[Cuenta Bancaria]]="","",_xlfn.XLOOKUP(tblMovimientos[[#This Row],[Cuenta Bancaria]],Cuentas!$C:$C,Cuentas!$A:$A,"No encontrado"))</f>
        <v>SSP Group</v>
      </c>
      <c r="R1173" s="81" t="str">
        <f>TRIM(_xlfn.XLOOKUP(tblMovimientos[[#This Row],[Cuenta Bancaria]],Cuentas!$C:$C,Cuentas!$B:$B,""))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71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200000</v>
      </c>
      <c r="K1174" s="5">
        <f>IF(F1174="Ingreso",J1174,-J1174)</f>
        <v>-200000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3" t="str">
        <f>IF(tblMovimientos[[#This Row],[Tipo de Movimiento]]="Ingreso",tblMovimientos[[#This Row],[Monto (S/)]],"0")</f>
        <v>0</v>
      </c>
      <c r="O1174" s="63">
        <f>IF(tblMovimientos[[#This Row],[Tipo de Movimiento]]="Egreso",tblMovimientos[[#This Row],[Monto (S/)]],"0")</f>
        <v>200000</v>
      </c>
      <c r="P1174" s="28">
        <f>IF(tblMovimientos[[#This Row],[Tipo de Movimiento]]="Ingreso",tblMovimientos[[#This Row],[Ingreso]],-tblMovimientos[[#This Row],[Egreso]])</f>
        <v>-200000</v>
      </c>
      <c r="Q1174" s="81" t="str">
        <f>IF(tblMovimientos[[#This Row],[Cuenta Bancaria]]="","",_xlfn.XLOOKUP(tblMovimientos[[#This Row],[Cuenta Bancaria]],Cuentas!$C:$C,Cuentas!$A:$A,"No encontrado"))</f>
        <v>SSP Group</v>
      </c>
      <c r="R1174" s="81" t="str">
        <f>TRIM(_xlfn.XLOOKUP(tblMovimientos[[#This Row],[Cuenta Bancaria]],Cuentas!$C:$C,Cuentas!$B:$B,""))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71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62</v>
      </c>
      <c r="H1175" s="4" t="str">
        <f>IFERROR(_xlfn.XLOOKUP(G1175,Listas!E:E,Listas!F:F,""),"")</f>
        <v>Operativo</v>
      </c>
      <c r="I1175" s="4" t="str">
        <f>IFERROR(_xlfn.XLOOKUP(G1175,Listas!E:E,Listas!G:G,""),"")</f>
        <v>Interno</v>
      </c>
      <c r="J1175" s="43">
        <v>500000</v>
      </c>
      <c r="K1175" s="5">
        <f>IF(F1175="Ingreso",J1175,-J1175)</f>
        <v>-500000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3" t="str">
        <f>IF(tblMovimientos[[#This Row],[Tipo de Movimiento]]="Ingreso",tblMovimientos[[#This Row],[Monto (S/)]],"0")</f>
        <v>0</v>
      </c>
      <c r="O1175" s="63">
        <f>IF(tblMovimientos[[#This Row],[Tipo de Movimiento]]="Egreso",tblMovimientos[[#This Row],[Monto (S/)]],"0")</f>
        <v>500000</v>
      </c>
      <c r="P1175" s="28">
        <f>IF(tblMovimientos[[#This Row],[Tipo de Movimiento]]="Ingreso",tblMovimientos[[#This Row],[Ingreso]],-tblMovimientos[[#This Row],[Egreso]])</f>
        <v>-500000</v>
      </c>
      <c r="Q1175" s="81" t="str">
        <f>IF(tblMovimientos[[#This Row],[Cuenta Bancaria]]="","",_xlfn.XLOOKUP(tblMovimientos[[#This Row],[Cuenta Bancaria]],Cuentas!$C:$C,Cuentas!$A:$A,"No encontrado"))</f>
        <v>SSP Group</v>
      </c>
      <c r="R1175" s="81" t="str">
        <f>TRIM(_xlfn.XLOOKUP(tblMovimientos[[#This Row],[Cuenta Bancaria]],Cuentas!$C:$C,Cuentas!$B:$B,""))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Carmen Cross Irrevocable Trust</v>
      </c>
      <c r="D1176" s="41" t="s">
        <v>183</v>
      </c>
      <c r="E1176" s="71" t="str">
        <f>_xlfn.XLOOKUP(tblMovimientos[[#This Row],[Cuenta Bancaria]],Listas!$B:$B,Listas!$C:$C,"")</f>
        <v xml:space="preserve">Amerant Bank </v>
      </c>
      <c r="F1176" s="41" t="s">
        <v>9</v>
      </c>
      <c r="G1176" s="41" t="s">
        <v>79</v>
      </c>
      <c r="H1176" s="4" t="str">
        <f>IFERROR(_xlfn.XLOOKUP(G1176,Listas!E:E,Listas!F:F,""),"")</f>
        <v>Inversion</v>
      </c>
      <c r="I1176" s="4" t="str">
        <f>IFERROR(_xlfn.XLOOKUP(G1176,Listas!E:E,Listas!G:G,""),"")</f>
        <v>Externo</v>
      </c>
      <c r="J1176" s="43">
        <v>30000</v>
      </c>
      <c r="K1176" s="5">
        <f>IF(F1176="Ingreso",J1176,-J1176)</f>
        <v>30000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100631.96</v>
      </c>
      <c r="N1176" s="63">
        <f>IF(tblMovimientos[[#This Row],[Tipo de Movimiento]]="Ingreso",tblMovimientos[[#This Row],[Monto (S/)]],"0")</f>
        <v>30000</v>
      </c>
      <c r="O1176" s="63" t="str">
        <f>IF(tblMovimientos[[#This Row],[Tipo de Movimiento]]="Egreso",tblMovimientos[[#This Row],[Monto (S/)]],"0")</f>
        <v>0</v>
      </c>
      <c r="P1176" s="28">
        <f>IF(tblMovimientos[[#This Row],[Tipo de Movimiento]]="Ingreso",tblMovimientos[[#This Row],[Ingreso]],-tblMovimientos[[#This Row],[Egreso]])</f>
        <v>30000</v>
      </c>
      <c r="Q1176" s="81" t="str">
        <f>IF(tblMovimientos[[#This Row],[Cuenta Bancaria]]="","",_xlfn.XLOOKUP(tblMovimientos[[#This Row],[Cuenta Bancaria]],Cuentas!$C:$C,Cuentas!$A:$A,"No encontrado"))</f>
        <v>Carmen Cross Irrevocable Trust</v>
      </c>
      <c r="R1176" s="81" t="str">
        <f>TRIM(_xlfn.XLOOKUP(tblMovimientos[[#This Row],[Cuenta Bancaria]],Cuentas!$C:$C,Cuentas!$B:$B,""))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71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67000</v>
      </c>
      <c r="K1177" s="5">
        <f>IF(F1177="Ingreso",J1177,-J1177)</f>
        <v>67000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3">
        <f>IF(tblMovimientos[[#This Row],[Tipo de Movimiento]]="Ingreso",tblMovimientos[[#This Row],[Monto (S/)]],"0")</f>
        <v>67000</v>
      </c>
      <c r="O1177" s="63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67000</v>
      </c>
      <c r="Q1177" s="81" t="str">
        <f>IF(tblMovimientos[[#This Row],[Cuenta Bancaria]]="","",_xlfn.XLOOKUP(tblMovimientos[[#This Row],[Cuenta Bancaria]],Cuentas!$C:$C,Cuentas!$A:$A,"No encontrado"))</f>
        <v>Carmen Cross Irrevocable Trust</v>
      </c>
      <c r="R1177" s="81" t="str">
        <f>TRIM(_xlfn.XLOOKUP(tblMovimientos[[#This Row],[Cuenta Bancaria]],Cuentas!$C:$C,Cuentas!$B:$B,""))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Cross Family Trust</v>
      </c>
      <c r="D1178" s="41" t="s">
        <v>111</v>
      </c>
      <c r="E1178" s="71" t="str">
        <f>_xlfn.XLOOKUP(tblMovimientos[[#This Row],[Cuenta Bancaria]],Listas!$B:$B,Listas!$C:$C,"")</f>
        <v xml:space="preserve">Amerant Bank </v>
      </c>
      <c r="F1178" s="41" t="s">
        <v>10</v>
      </c>
      <c r="G1178" s="41" t="s">
        <v>53</v>
      </c>
      <c r="H1178" s="4" t="str">
        <f>IFERROR(_xlfn.XLOOKUP(G1178,Listas!E:E,Listas!F:F,""),"")</f>
        <v>Inversion</v>
      </c>
      <c r="I1178" s="4" t="str">
        <f>IFERROR(_xlfn.XLOOKUP(G1178,Listas!E:E,Listas!G:G,""),"")</f>
        <v>Interno</v>
      </c>
      <c r="J1178" s="43">
        <v>15000</v>
      </c>
      <c r="K1178" s="5">
        <f>IF(F1178="Ingreso",J1178,-J1178)</f>
        <v>-15000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117999.36000000002</v>
      </c>
      <c r="N1178" s="63" t="str">
        <f>IF(tblMovimientos[[#This Row],[Tipo de Movimiento]]="Ingreso",tblMovimientos[[#This Row],[Monto (S/)]],"0")</f>
        <v>0</v>
      </c>
      <c r="O1178" s="63">
        <f>IF(tblMovimientos[[#This Row],[Tipo de Movimiento]]="Egreso",tblMovimientos[[#This Row],[Monto (S/)]],"0")</f>
        <v>15000</v>
      </c>
      <c r="P1178" s="28">
        <f>IF(tblMovimientos[[#This Row],[Tipo de Movimiento]]="Ingreso",tblMovimientos[[#This Row],[Ingreso]],-tblMovimientos[[#This Row],[Egreso]])</f>
        <v>-15000</v>
      </c>
      <c r="Q1178" s="81" t="str">
        <f>IF(tblMovimientos[[#This Row],[Cuenta Bancaria]]="","",_xlfn.XLOOKUP(tblMovimientos[[#This Row],[Cuenta Bancaria]],Cuentas!$C:$C,Cuentas!$A:$A,"No encontrado"))</f>
        <v>Trust</v>
      </c>
      <c r="R1178" s="81" t="str">
        <f>TRIM(_xlfn.XLOOKUP(tblMovimientos[[#This Row],[Cuenta Bancaria]],Cuentas!$C:$C,Cuentas!$B:$B,""))</f>
        <v/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SSP Capital</v>
      </c>
      <c r="D1179" s="41" t="s">
        <v>104</v>
      </c>
      <c r="E1179" s="71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75</v>
      </c>
      <c r="H1179" s="4" t="str">
        <f>IFERROR(_xlfn.XLOOKUP(G1179,Listas!E:E,Listas!F:F,""),"")</f>
        <v>Financiamiento</v>
      </c>
      <c r="I1179" s="4" t="str">
        <f>IFERROR(_xlfn.XLOOKUP(G1179,Listas!E:E,Listas!G:G,""),"")</f>
        <v>Interno</v>
      </c>
      <c r="J1179" s="43">
        <v>500000</v>
      </c>
      <c r="K1179" s="5">
        <f>IF(F1179="Ingreso",J1179,-J1179)</f>
        <v>500000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725822.75999999931</v>
      </c>
      <c r="N1179" s="63">
        <f>IF(tblMovimientos[[#This Row],[Tipo de Movimiento]]="Ingreso",tblMovimientos[[#This Row],[Monto (S/)]],"0")</f>
        <v>500000</v>
      </c>
      <c r="O1179" s="63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500000</v>
      </c>
      <c r="Q1179" s="81" t="str">
        <f>IF(tblMovimientos[[#This Row],[Cuenta Bancaria]]="","",_xlfn.XLOOKUP(tblMovimientos[[#This Row],[Cuenta Bancaria]],Cuentas!$C:$C,Cuentas!$A:$A,"No encontrado"))</f>
        <v>SSP Group</v>
      </c>
      <c r="R1179" s="81" t="str">
        <f>TRIM(_xlfn.XLOOKUP(tblMovimientos[[#This Row],[Cuenta Bancaria]],Cuentas!$C:$C,Cuentas!$B:$B,""))</f>
        <v/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71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46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Externo</v>
      </c>
      <c r="J1180" s="43">
        <v>10000</v>
      </c>
      <c r="K1180" s="5">
        <f>IF(F1180="Ingreso",J1180,-J1180)</f>
        <v>-10000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3" t="str">
        <f>IF(tblMovimientos[[#This Row],[Tipo de Movimiento]]="Ingreso",tblMovimientos[[#This Row],[Monto (S/)]],"0")</f>
        <v>0</v>
      </c>
      <c r="O1180" s="63">
        <f>IF(tblMovimientos[[#This Row],[Tipo de Movimiento]]="Egreso",tblMovimientos[[#This Row],[Monto (S/)]],"0")</f>
        <v>10000</v>
      </c>
      <c r="P1180" s="28">
        <f>IF(tblMovimientos[[#This Row],[Tipo de Movimiento]]="Ingreso",tblMovimientos[[#This Row],[Ingreso]],-tblMovimientos[[#This Row],[Egreso]])</f>
        <v>-10000</v>
      </c>
      <c r="Q1180" s="81" t="str">
        <f>IF(tblMovimientos[[#This Row],[Cuenta Bancaria]]="","",_xlfn.XLOOKUP(tblMovimientos[[#This Row],[Cuenta Bancaria]],Cuentas!$C:$C,Cuentas!$A:$A,"No encontrado"))</f>
        <v>SSP Group</v>
      </c>
      <c r="R1180" s="81" t="str">
        <f>TRIM(_xlfn.XLOOKUP(tblMovimientos[[#This Row],[Cuenta Bancaria]],Cuentas!$C:$C,Cuentas!$B:$B,""))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71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60</v>
      </c>
      <c r="H1181" s="4" t="str">
        <f>IFERROR(_xlfn.XLOOKUP(G1181,Listas!E:E,Listas!F:F,""),"")</f>
        <v>Inversion</v>
      </c>
      <c r="I1181" s="4" t="str">
        <f>IFERROR(_xlfn.XLOOKUP(G1181,Listas!E:E,Listas!G:G,""),"")</f>
        <v>Interno</v>
      </c>
      <c r="J1181" s="43">
        <v>30000</v>
      </c>
      <c r="K1181" s="5">
        <f>IF(F1181="Ingreso",J1181,-J1181)</f>
        <v>-30000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3" t="str">
        <f>IF(tblMovimientos[[#This Row],[Tipo de Movimiento]]="Ingreso",tblMovimientos[[#This Row],[Monto (S/)]],"0")</f>
        <v>0</v>
      </c>
      <c r="O1181" s="63">
        <f>IF(tblMovimientos[[#This Row],[Tipo de Movimiento]]="Egreso",tblMovimientos[[#This Row],[Monto (S/)]],"0")</f>
        <v>30000</v>
      </c>
      <c r="P1181" s="28">
        <f>IF(tblMovimientos[[#This Row],[Tipo de Movimiento]]="Ingreso",tblMovimientos[[#This Row],[Ingreso]],-tblMovimientos[[#This Row],[Egreso]])</f>
        <v>-30000</v>
      </c>
      <c r="Q1181" s="81" t="str">
        <f>IF(tblMovimientos[[#This Row],[Cuenta Bancaria]]="","",_xlfn.XLOOKUP(tblMovimientos[[#This Row],[Cuenta Bancaria]],Cuentas!$C:$C,Cuentas!$A:$A,"No encontrado"))</f>
        <v>SSP Group</v>
      </c>
      <c r="R1181" s="81" t="str">
        <f>TRIM(_xlfn.XLOOKUP(tblMovimientos[[#This Row],[Cuenta Bancaria]],Cuentas!$C:$C,Cuentas!$B:$B,""))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Green Harbor Trust</v>
      </c>
      <c r="D1182" s="41" t="s">
        <v>125</v>
      </c>
      <c r="E1182" s="71" t="str">
        <f>_xlfn.XLOOKUP(tblMovimientos[[#This Row],[Cuenta Bancaria]],Listas!$B:$B,Listas!$C:$C,"")</f>
        <v xml:space="preserve">Amerant Bank </v>
      </c>
      <c r="F1182" s="41" t="s">
        <v>9</v>
      </c>
      <c r="G1182" s="41" t="s">
        <v>77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15000</v>
      </c>
      <c r="K1182" s="5">
        <f>IF(F1182="Ingreso",J1182,-J1182)</f>
        <v>15000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345</v>
      </c>
      <c r="N1182" s="63">
        <f>IF(tblMovimientos[[#This Row],[Tipo de Movimiento]]="Ingreso",tblMovimientos[[#This Row],[Monto (S/)]],"0")</f>
        <v>15000</v>
      </c>
      <c r="O1182" s="63" t="str">
        <f>IF(tblMovimientos[[#This Row],[Tipo de Movimiento]]="Egreso",tblMovimientos[[#This Row],[Monto (S/)]],"0")</f>
        <v>0</v>
      </c>
      <c r="P1182" s="28">
        <f>IF(tblMovimientos[[#This Row],[Tipo de Movimiento]]="Ingreso",tblMovimientos[[#This Row],[Ingreso]],-tblMovimientos[[#This Row],[Egreso]])</f>
        <v>15000</v>
      </c>
      <c r="Q1182" s="81" t="str">
        <f>IF(tblMovimientos[[#This Row],[Cuenta Bancaria]]="","",_xlfn.XLOOKUP(tblMovimientos[[#This Row],[Cuenta Bancaria]],Cuentas!$C:$C,Cuentas!$A:$A,"No encontrado"))</f>
        <v>SSP Group</v>
      </c>
      <c r="R1182" s="81" t="str">
        <f>TRIM(_xlfn.XLOOKUP(tblMovimientos[[#This Row],[Cuenta Bancaria]],Cuentas!$C:$C,Cuentas!$B:$B,""))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71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53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>IF(F1183="Ingreso",J1183,-J1183)</f>
        <v>-15000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3" t="str">
        <f>IF(tblMovimientos[[#This Row],[Tipo de Movimiento]]="Ingreso",tblMovimientos[[#This Row],[Monto (S/)]],"0")</f>
        <v>0</v>
      </c>
      <c r="O1183" s="63">
        <f>IF(tblMovimientos[[#This Row],[Tipo de Movimiento]]="Egreso",tblMovimientos[[#This Row],[Monto (S/)]],"0")</f>
        <v>15000</v>
      </c>
      <c r="P1183" s="28">
        <f>IF(tblMovimientos[[#This Row],[Tipo de Movimiento]]="Ingreso",tblMovimientos[[#This Row],[Ingreso]],-tblMovimientos[[#This Row],[Egreso]])</f>
        <v>-15000</v>
      </c>
      <c r="Q1183" s="81" t="str">
        <f>IF(tblMovimientos[[#This Row],[Cuenta Bancaria]]="","",_xlfn.XLOOKUP(tblMovimientos[[#This Row],[Cuenta Bancaria]],Cuentas!$C:$C,Cuentas!$A:$A,"No encontrado"))</f>
        <v>SSP Group</v>
      </c>
      <c r="R1183" s="81" t="str">
        <f>TRIM(_xlfn.XLOOKUP(tblMovimientos[[#This Row],[Cuenta Bancaria]],Cuentas!$C:$C,Cuentas!$B:$B,""))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Go Blue</v>
      </c>
      <c r="D1184" s="41" t="s">
        <v>126</v>
      </c>
      <c r="E1184" s="71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>IF(F1184="Ingreso",J1184,-J1184)</f>
        <v>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25982.69</v>
      </c>
      <c r="N1184" s="63">
        <f>IF(tblMovimientos[[#This Row],[Tipo de Movimiento]]="Ingreso",tblMovimientos[[#This Row],[Monto (S/)]],"0")</f>
        <v>15000</v>
      </c>
      <c r="O1184" s="63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81" t="str">
        <f>IF(tblMovimientos[[#This Row],[Cuenta Bancaria]]="","",_xlfn.XLOOKUP(tblMovimientos[[#This Row],[Cuenta Bancaria]],Cuentas!$C:$C,Cuentas!$A:$A,"No encontrado"))</f>
        <v>SSP Group</v>
      </c>
      <c r="R1184" s="81" t="str">
        <f>TRIM(_xlfn.XLOOKUP(tblMovimientos[[#This Row],[Cuenta Bancaria]],Cuentas!$C:$C,Cuentas!$B:$B,""))</f>
        <v/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71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38</v>
      </c>
      <c r="H1185" s="4" t="str">
        <f>IFERROR(_xlfn.XLOOKUP(G1185,Listas!E:E,Listas!F:F,""),"")</f>
        <v>Operativo</v>
      </c>
      <c r="I1185" s="4" t="str">
        <f>IFERROR(_xlfn.XLOOKUP(G1185,Listas!E:E,Listas!G:G,""),"")</f>
        <v>Externo</v>
      </c>
      <c r="J1185" s="43">
        <v>352</v>
      </c>
      <c r="K1185" s="5">
        <f>IF(F1185="Ingreso",J1185,-J1185)</f>
        <v>-352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3" t="str">
        <f>IF(tblMovimientos[[#This Row],[Tipo de Movimiento]]="Ingreso",tblMovimientos[[#This Row],[Monto (S/)]],"0")</f>
        <v>0</v>
      </c>
      <c r="O1185" s="63">
        <f>IF(tblMovimientos[[#This Row],[Tipo de Movimiento]]="Egreso",tblMovimientos[[#This Row],[Monto (S/)]],"0")</f>
        <v>352</v>
      </c>
      <c r="P1185" s="28">
        <f>IF(tblMovimientos[[#This Row],[Tipo de Movimiento]]="Ingreso",tblMovimientos[[#This Row],[Ingreso]],-tblMovimientos[[#This Row],[Egreso]])</f>
        <v>-352</v>
      </c>
      <c r="Q1185" s="81" t="str">
        <f>IF(tblMovimientos[[#This Row],[Cuenta Bancaria]]="","",_xlfn.XLOOKUP(tblMovimientos[[#This Row],[Cuenta Bancaria]],Cuentas!$C:$C,Cuentas!$A:$A,"No encontrado"))</f>
        <v>SSP Group</v>
      </c>
      <c r="R1185" s="81" t="str">
        <f>TRIM(_xlfn.XLOOKUP(tblMovimientos[[#This Row],[Cuenta Bancaria]],Cuentas!$C:$C,Cuentas!$B:$B,""))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71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44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15</v>
      </c>
      <c r="K1186" s="5">
        <f>IF(F1186="Ingreso",J1186,-J1186)</f>
        <v>-15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3" t="str">
        <f>IF(tblMovimientos[[#This Row],[Tipo de Movimiento]]="Ingreso",tblMovimientos[[#This Row],[Monto (S/)]],"0")</f>
        <v>0</v>
      </c>
      <c r="O1186" s="63">
        <f>IF(tblMovimientos[[#This Row],[Tipo de Movimiento]]="Egreso",tblMovimientos[[#This Row],[Monto (S/)]],"0")</f>
        <v>15</v>
      </c>
      <c r="P1186" s="28">
        <f>IF(tblMovimientos[[#This Row],[Tipo de Movimiento]]="Ingreso",tblMovimientos[[#This Row],[Ingreso]],-tblMovimientos[[#This Row],[Egreso]])</f>
        <v>-15</v>
      </c>
      <c r="Q1186" s="81" t="str">
        <f>IF(tblMovimientos[[#This Row],[Cuenta Bancaria]]="","",_xlfn.XLOOKUP(tblMovimientos[[#This Row],[Cuenta Bancaria]],Cuentas!$C:$C,Cuentas!$A:$A,"No encontrado"))</f>
        <v>SSP Group</v>
      </c>
      <c r="R1186" s="81" t="str">
        <f>TRIM(_xlfn.XLOOKUP(tblMovimientos[[#This Row],[Cuenta Bancaria]],Cuentas!$C:$C,Cuentas!$B:$B,""))</f>
        <v/>
      </c>
    </row>
    <row r="1187" spans="2:18" x14ac:dyDescent="0.3">
      <c r="B1187" s="39">
        <v>46297</v>
      </c>
      <c r="C1187" s="4" t="str">
        <f>_xlfn.XLOOKUP(tblMovimientos[[#This Row],[Cuenta Bancaria]],Listas!$B:$B,Listas!$A:$A,"")</f>
        <v>Nobe Aparments</v>
      </c>
      <c r="D1187" s="41" t="s">
        <v>191</v>
      </c>
      <c r="E1187" s="71" t="str">
        <f>_xlfn.XLOOKUP(tblMovimientos[[#This Row],[Cuenta Bancaria]],Listas!$B:$B,Listas!$C:$C,"")</f>
        <v>Bank of America</v>
      </c>
      <c r="F1187" s="41" t="s">
        <v>9</v>
      </c>
      <c r="G1187" s="41" t="s">
        <v>81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950</v>
      </c>
      <c r="K1187" s="5">
        <f>IF(F1187="Ingreso",J1187,-J1187)</f>
        <v>950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209379.46</v>
      </c>
      <c r="N1187" s="63">
        <f>IF(tblMovimientos[[#This Row],[Tipo de Movimiento]]="Ingreso",tblMovimientos[[#This Row],[Monto (S/)]],"0")</f>
        <v>950</v>
      </c>
      <c r="O1187" s="63" t="str">
        <f>IF(tblMovimientos[[#This Row],[Tipo de Movimiento]]="Egreso",tblMovimientos[[#This Row],[Monto (S/)]],"0")</f>
        <v>0</v>
      </c>
      <c r="P1187" s="28">
        <f>IF(tblMovimientos[[#This Row],[Tipo de Movimiento]]="Ingreso",tblMovimientos[[#This Row],[Ingreso]],-tblMovimientos[[#This Row],[Egreso]])</f>
        <v>950</v>
      </c>
      <c r="Q1187" s="81" t="str">
        <f>IF(tblMovimientos[[#This Row],[Cuenta Bancaria]]="","",_xlfn.XLOOKUP(tblMovimientos[[#This Row],[Cuenta Bancaria]],Cuentas!$C:$C,Cuentas!$A:$A,"No encontrado"))</f>
        <v>Carmen Cross / Estate</v>
      </c>
      <c r="R1187" s="81" t="str">
        <f>TRIM(_xlfn.XLOOKUP(tblMovimientos[[#This Row],[Cuenta Bancaria]],Cuentas!$C:$C,Cuentas!$B:$B,""))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Carmen Cross Irrevocable Trust</v>
      </c>
      <c r="D1188" s="41" t="s">
        <v>184</v>
      </c>
      <c r="E1188" s="71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38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82.62</v>
      </c>
      <c r="K1188" s="5">
        <f>IF(F1188="Ingreso",J1188,-J1188)</f>
        <v>-82.62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100884.42</v>
      </c>
      <c r="N1188" s="63" t="str">
        <f>IF(tblMovimientos[[#This Row],[Tipo de Movimiento]]="Ingreso",tblMovimientos[[#This Row],[Monto (S/)]],"0")</f>
        <v>0</v>
      </c>
      <c r="O1188" s="63">
        <f>IF(tblMovimientos[[#This Row],[Tipo de Movimiento]]="Egreso",tblMovimientos[[#This Row],[Monto (S/)]],"0")</f>
        <v>82.62</v>
      </c>
      <c r="P1188" s="28">
        <f>IF(tblMovimientos[[#This Row],[Tipo de Movimiento]]="Ingreso",tblMovimientos[[#This Row],[Ingreso]],-tblMovimientos[[#This Row],[Egreso]])</f>
        <v>-82.62</v>
      </c>
      <c r="Q1188" s="81" t="str">
        <f>IF(tblMovimientos[[#This Row],[Cuenta Bancaria]]="","",_xlfn.XLOOKUP(tblMovimientos[[#This Row],[Cuenta Bancaria]],Cuentas!$C:$C,Cuentas!$A:$A,"No encontrado"))</f>
        <v>Carmen Cross Irrevocable Trust</v>
      </c>
      <c r="R1188" s="81" t="str">
        <f>TRIM(_xlfn.XLOOKUP(tblMovimientos[[#This Row],[Cuenta Bancaria]],Cuentas!$C:$C,Cuentas!$B:$B,""))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Carmen Cross Irrevocable Trust</v>
      </c>
      <c r="D1189" s="41" t="s">
        <v>184</v>
      </c>
      <c r="E1189" s="71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29.35</v>
      </c>
      <c r="K1189" s="5">
        <f>IF(F1189="Ingreso",J1189,-J1189)</f>
        <v>-29.35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3" t="str">
        <f>IF(tblMovimientos[[#This Row],[Tipo de Movimiento]]="Ingreso",tblMovimientos[[#This Row],[Monto (S/)]],"0")</f>
        <v>0</v>
      </c>
      <c r="O1189" s="63">
        <f>IF(tblMovimientos[[#This Row],[Tipo de Movimiento]]="Egreso",tblMovimientos[[#This Row],[Monto (S/)]],"0")</f>
        <v>29.35</v>
      </c>
      <c r="P1189" s="28">
        <f>IF(tblMovimientos[[#This Row],[Tipo de Movimiento]]="Ingreso",tblMovimientos[[#This Row],[Ingreso]],-tblMovimientos[[#This Row],[Egreso]])</f>
        <v>-29.35</v>
      </c>
      <c r="Q1189" s="81" t="str">
        <f>IF(tblMovimientos[[#This Row],[Cuenta Bancaria]]="","",_xlfn.XLOOKUP(tblMovimientos[[#This Row],[Cuenta Bancaria]],Cuentas!$C:$C,Cuentas!$A:$A,"No encontrado"))</f>
        <v>Carmen Cross Irrevocable Trust</v>
      </c>
      <c r="R1189" s="81" t="str">
        <f>TRIM(_xlfn.XLOOKUP(tblMovimientos[[#This Row],[Cuenta Bancaria]],Cuentas!$C:$C,Cuentas!$B:$B,""))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Prendamas SRL</v>
      </c>
      <c r="D1190" s="41" t="s">
        <v>186</v>
      </c>
      <c r="E1190" s="71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514.42999999999995</v>
      </c>
      <c r="K1190" s="5">
        <f>IF(F1190="Ingreso",J1190,-J1190)</f>
        <v>-514.42999999999995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21434.939999999973</v>
      </c>
      <c r="N1190" s="63" t="str">
        <f>IF(tblMovimientos[[#This Row],[Tipo de Movimiento]]="Ingreso",tblMovimientos[[#This Row],[Monto (S/)]],"0")</f>
        <v>0</v>
      </c>
      <c r="O1190" s="63">
        <f>IF(tblMovimientos[[#This Row],[Tipo de Movimiento]]="Egreso",tblMovimientos[[#This Row],[Monto (S/)]],"0")</f>
        <v>514.42999999999995</v>
      </c>
      <c r="P1190" s="28">
        <f>IF(tblMovimientos[[#This Row],[Tipo de Movimiento]]="Ingreso",tblMovimientos[[#This Row],[Ingreso]],-tblMovimientos[[#This Row],[Egreso]])</f>
        <v>-514.42999999999995</v>
      </c>
      <c r="Q1190" s="81" t="str">
        <f>IF(tblMovimientos[[#This Row],[Cuenta Bancaria]]="","",_xlfn.XLOOKUP(tblMovimientos[[#This Row],[Cuenta Bancaria]],Cuentas!$C:$C,Cuentas!$A:$A,"No encontrado"))</f>
        <v>Unidades de Negocio</v>
      </c>
      <c r="R1190" s="81" t="str">
        <f>TRIM(_xlfn.XLOOKUP(tblMovimientos[[#This Row],[Cuenta Bancaria]],Cuentas!$C:$C,Cuentas!$B:$B,""))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71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44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15.43</v>
      </c>
      <c r="K1191" s="5">
        <f>IF(F1191="Ingreso",J1191,-J1191)</f>
        <v>-15.43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3" t="str">
        <f>IF(tblMovimientos[[#This Row],[Tipo de Movimiento]]="Ingreso",tblMovimientos[[#This Row],[Monto (S/)]],"0")</f>
        <v>0</v>
      </c>
      <c r="O1191" s="63">
        <f>IF(tblMovimientos[[#This Row],[Tipo de Movimiento]]="Egreso",tblMovimientos[[#This Row],[Monto (S/)]],"0")</f>
        <v>15.43</v>
      </c>
      <c r="P1191" s="28">
        <f>IF(tblMovimientos[[#This Row],[Tipo de Movimiento]]="Ingreso",tblMovimientos[[#This Row],[Ingreso]],-tblMovimientos[[#This Row],[Egreso]])</f>
        <v>-15.43</v>
      </c>
      <c r="Q1191" s="81" t="str">
        <f>IF(tblMovimientos[[#This Row],[Cuenta Bancaria]]="","",_xlfn.XLOOKUP(tblMovimientos[[#This Row],[Cuenta Bancaria]],Cuentas!$C:$C,Cuentas!$A:$A,"No encontrado"))</f>
        <v>Unidades de Negocio</v>
      </c>
      <c r="R1191" s="81" t="str">
        <f>TRIM(_xlfn.XLOOKUP(tblMovimientos[[#This Row],[Cuenta Bancaria]],Cuentas!$C:$C,Cuentas!$B:$B,""))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Go Blue</v>
      </c>
      <c r="D1192" s="41" t="s">
        <v>126</v>
      </c>
      <c r="E1192" s="71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38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55</v>
      </c>
      <c r="K1192" s="5">
        <f>IF(F1192="Ingreso",J1192,-J1192)</f>
        <v>-55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22169.35</v>
      </c>
      <c r="N1192" s="63" t="str">
        <f>IF(tblMovimientos[[#This Row],[Tipo de Movimiento]]="Ingreso",tblMovimientos[[#This Row],[Monto (S/)]],"0")</f>
        <v>0</v>
      </c>
      <c r="O1192" s="63">
        <f>IF(tblMovimientos[[#This Row],[Tipo de Movimiento]]="Egreso",tblMovimientos[[#This Row],[Monto (S/)]],"0")</f>
        <v>55</v>
      </c>
      <c r="P1192" s="28">
        <f>IF(tblMovimientos[[#This Row],[Tipo de Movimiento]]="Ingreso",tblMovimientos[[#This Row],[Ingreso]],-tblMovimientos[[#This Row],[Egreso]])</f>
        <v>-55</v>
      </c>
      <c r="Q1192" s="81" t="str">
        <f>IF(tblMovimientos[[#This Row],[Cuenta Bancaria]]="","",_xlfn.XLOOKUP(tblMovimientos[[#This Row],[Cuenta Bancaria]],Cuentas!$C:$C,Cuentas!$A:$A,"No encontrado"))</f>
        <v>SSP Group</v>
      </c>
      <c r="R1192" s="81" t="str">
        <f>TRIM(_xlfn.XLOOKUP(tblMovimientos[[#This Row],[Cuenta Bancaria]],Cuentas!$C:$C,Cuentas!$B:$B,""))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71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448.76</v>
      </c>
      <c r="K1193" s="5">
        <f>IF(F1193="Ingreso",J1193,-J1193)</f>
        <v>-448.76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3" t="str">
        <f>IF(tblMovimientos[[#This Row],[Tipo de Movimiento]]="Ingreso",tblMovimientos[[#This Row],[Monto (S/)]],"0")</f>
        <v>0</v>
      </c>
      <c r="O1193" s="63">
        <f>IF(tblMovimientos[[#This Row],[Tipo de Movimiento]]="Egreso",tblMovimientos[[#This Row],[Monto (S/)]],"0")</f>
        <v>448.76</v>
      </c>
      <c r="P1193" s="28">
        <f>IF(tblMovimientos[[#This Row],[Tipo de Movimiento]]="Ingreso",tblMovimientos[[#This Row],[Ingreso]],-tblMovimientos[[#This Row],[Egreso]])</f>
        <v>-448.76</v>
      </c>
      <c r="Q1193" s="81" t="str">
        <f>IF(tblMovimientos[[#This Row],[Cuenta Bancaria]]="","",_xlfn.XLOOKUP(tblMovimientos[[#This Row],[Cuenta Bancaria]],Cuentas!$C:$C,Cuentas!$A:$A,"No encontrado"))</f>
        <v>SSP Group</v>
      </c>
      <c r="R1193" s="81" t="str">
        <f>TRIM(_xlfn.XLOOKUP(tblMovimientos[[#This Row],[Cuenta Bancaria]],Cuentas!$C:$C,Cuentas!$B:$B,""))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71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3309.58</v>
      </c>
      <c r="K1194" s="5">
        <f>IF(F1194="Ingreso",J1194,-J1194)</f>
        <v>-3309.58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3" t="str">
        <f>IF(tblMovimientos[[#This Row],[Tipo de Movimiento]]="Ingreso",tblMovimientos[[#This Row],[Monto (S/)]],"0")</f>
        <v>0</v>
      </c>
      <c r="O1194" s="63">
        <f>IF(tblMovimientos[[#This Row],[Tipo de Movimiento]]="Egreso",tblMovimientos[[#This Row],[Monto (S/)]],"0")</f>
        <v>3309.58</v>
      </c>
      <c r="P1194" s="28">
        <f>IF(tblMovimientos[[#This Row],[Tipo de Movimiento]]="Ingreso",tblMovimientos[[#This Row],[Ingreso]],-tblMovimientos[[#This Row],[Egreso]])</f>
        <v>-3309.58</v>
      </c>
      <c r="Q1194" s="81" t="str">
        <f>IF(tblMovimientos[[#This Row],[Cuenta Bancaria]]="","",_xlfn.XLOOKUP(tblMovimientos[[#This Row],[Cuenta Bancaria]],Cuentas!$C:$C,Cuentas!$A:$A,"No encontrado"))</f>
        <v>SSP Group</v>
      </c>
      <c r="R1194" s="81" t="str">
        <f>TRIM(_xlfn.XLOOKUP(tblMovimientos[[#This Row],[Cuenta Bancaria]],Cuentas!$C:$C,Cuentas!$B:$B,""))</f>
        <v/>
      </c>
    </row>
    <row r="1195" spans="2:18" x14ac:dyDescent="0.3">
      <c r="E1195" s="71"/>
      <c r="I1195" s="71"/>
      <c r="Q1195" s="81"/>
      <c r="R1195" s="81"/>
    </row>
    <row r="1196" spans="2:18" x14ac:dyDescent="0.3">
      <c r="E1196" s="71"/>
      <c r="I1196" s="71"/>
      <c r="Q1196" s="81"/>
      <c r="R1196" s="81"/>
    </row>
    <row r="1197" spans="2:18" x14ac:dyDescent="0.3">
      <c r="E1197" s="71"/>
      <c r="I1197" s="71"/>
      <c r="Q1197" s="81"/>
      <c r="R1197" s="81"/>
    </row>
    <row r="1198" spans="2:18" x14ac:dyDescent="0.3">
      <c r="E1198" s="71"/>
      <c r="I1198" s="71"/>
      <c r="Q1198" s="81"/>
      <c r="R1198" s="81"/>
    </row>
    <row r="1199" spans="2:18" x14ac:dyDescent="0.3">
      <c r="E1199" s="71"/>
      <c r="I1199" s="71"/>
      <c r="Q1199" s="81"/>
      <c r="R1199" s="81"/>
    </row>
    <row r="1200" spans="2:18" x14ac:dyDescent="0.3">
      <c r="E1200" s="71"/>
      <c r="I1200" s="71"/>
      <c r="Q1200" s="81"/>
      <c r="R1200" s="81"/>
    </row>
    <row r="1201" spans="5:18" x14ac:dyDescent="0.3">
      <c r="E1201" s="71"/>
      <c r="I1201" s="71"/>
      <c r="Q1201" s="81"/>
      <c r="R1201" s="81"/>
    </row>
    <row r="1202" spans="5:18" x14ac:dyDescent="0.3">
      <c r="E1202" s="71"/>
      <c r="I1202" s="71"/>
      <c r="Q1202" s="81"/>
      <c r="R1202" s="81"/>
    </row>
    <row r="1203" spans="5:18" x14ac:dyDescent="0.3">
      <c r="E1203" s="71"/>
      <c r="I1203" s="71"/>
      <c r="Q1203" s="81"/>
      <c r="R1203" s="81"/>
    </row>
    <row r="1204" spans="5:18" x14ac:dyDescent="0.3">
      <c r="E1204" s="71"/>
      <c r="I1204" s="71"/>
      <c r="Q1204" s="81"/>
      <c r="R1204" s="81"/>
    </row>
    <row r="1205" spans="5:18" x14ac:dyDescent="0.3">
      <c r="E1205" s="71"/>
      <c r="I1205" s="71"/>
      <c r="Q1205" s="81"/>
      <c r="R1205" s="81"/>
    </row>
    <row r="1206" spans="5:18" x14ac:dyDescent="0.3">
      <c r="E1206" s="71"/>
      <c r="I1206" s="71"/>
      <c r="Q1206" s="81"/>
      <c r="R1206" s="81"/>
    </row>
    <row r="1207" spans="5:18" x14ac:dyDescent="0.3">
      <c r="E1207" s="71"/>
      <c r="I1207" s="71"/>
      <c r="Q1207" s="81"/>
      <c r="R1207" s="81"/>
    </row>
    <row r="1208" spans="5:18" x14ac:dyDescent="0.3">
      <c r="E1208" s="71"/>
      <c r="I1208" s="71"/>
      <c r="Q1208" s="81"/>
      <c r="R1208" s="81"/>
    </row>
    <row r="1209" spans="5:18" x14ac:dyDescent="0.3">
      <c r="E1209" s="71"/>
      <c r="I1209" s="71"/>
      <c r="Q1209" s="81"/>
      <c r="R1209" s="81"/>
    </row>
    <row r="1210" spans="5:18" x14ac:dyDescent="0.3">
      <c r="E1210" s="71"/>
      <c r="I1210" s="71"/>
      <c r="Q1210" s="81"/>
      <c r="R1210" s="81"/>
    </row>
    <row r="1211" spans="5:18" x14ac:dyDescent="0.3">
      <c r="E1211" s="71"/>
      <c r="I1211" s="71"/>
      <c r="Q1211" s="81"/>
      <c r="R1211" s="81"/>
    </row>
    <row r="1212" spans="5:18" x14ac:dyDescent="0.3">
      <c r="E1212" s="71"/>
      <c r="I1212" s="71"/>
      <c r="Q1212" s="81"/>
      <c r="R1212" s="81"/>
    </row>
    <row r="1213" spans="5:18" x14ac:dyDescent="0.3">
      <c r="E1213" s="71"/>
      <c r="I1213" s="71"/>
      <c r="Q1213" s="81"/>
      <c r="R1213" s="81"/>
    </row>
    <row r="1214" spans="5:18" x14ac:dyDescent="0.3">
      <c r="E1214" s="71"/>
      <c r="I1214" s="71"/>
      <c r="Q1214" s="81"/>
      <c r="R1214" s="81"/>
    </row>
    <row r="1215" spans="5:18" x14ac:dyDescent="0.3">
      <c r="E1215" s="71"/>
      <c r="I1215" s="71"/>
      <c r="Q1215" s="81"/>
      <c r="R1215" s="81"/>
    </row>
    <row r="1216" spans="5:18" x14ac:dyDescent="0.3">
      <c r="E1216" s="71"/>
      <c r="I1216" s="71"/>
      <c r="Q1216" s="81"/>
      <c r="R1216" s="81"/>
    </row>
    <row r="1217" spans="5:18" x14ac:dyDescent="0.3">
      <c r="E1217" s="71"/>
      <c r="I1217" s="71"/>
      <c r="Q1217" s="81"/>
      <c r="R1217" s="81"/>
    </row>
    <row r="1218" spans="5:18" x14ac:dyDescent="0.3">
      <c r="E1218" s="71"/>
      <c r="I1218" s="71"/>
      <c r="Q1218" s="81"/>
      <c r="R1218" s="81"/>
    </row>
    <row r="1219" spans="5:18" x14ac:dyDescent="0.3">
      <c r="E1219" s="71"/>
      <c r="I1219" s="71"/>
      <c r="Q1219" s="81"/>
      <c r="R1219" s="81"/>
    </row>
    <row r="1220" spans="5:18" x14ac:dyDescent="0.3">
      <c r="E1220" s="71"/>
      <c r="I1220" s="71"/>
      <c r="Q1220" s="81"/>
      <c r="R1220" s="81"/>
    </row>
    <row r="1221" spans="5:18" x14ac:dyDescent="0.3">
      <c r="E1221" s="71"/>
      <c r="I1221" s="71"/>
      <c r="Q1221" s="81"/>
      <c r="R1221" s="81"/>
    </row>
    <row r="1222" spans="5:18" x14ac:dyDescent="0.3">
      <c r="E1222" s="71"/>
      <c r="I1222" s="71"/>
      <c r="Q1222" s="81"/>
      <c r="R1222" s="81"/>
    </row>
    <row r="1223" spans="5:18" x14ac:dyDescent="0.3">
      <c r="E1223" s="71"/>
      <c r="I1223" s="71"/>
      <c r="Q1223" s="81"/>
      <c r="R1223" s="81"/>
    </row>
    <row r="1224" spans="5:18" x14ac:dyDescent="0.3">
      <c r="E1224" s="71"/>
      <c r="I1224" s="71"/>
      <c r="Q1224" s="81"/>
      <c r="R1224" s="81"/>
    </row>
    <row r="1225" spans="5:18" x14ac:dyDescent="0.3">
      <c r="E1225" s="71"/>
      <c r="I1225" s="71"/>
      <c r="Q1225" s="81"/>
      <c r="R1225" s="81"/>
    </row>
    <row r="1226" spans="5:18" x14ac:dyDescent="0.3">
      <c r="E1226" s="71"/>
      <c r="I1226" s="71"/>
      <c r="Q1226" s="81"/>
      <c r="R1226" s="81"/>
    </row>
    <row r="1227" spans="5:18" x14ac:dyDescent="0.3">
      <c r="E1227" s="71"/>
      <c r="I1227" s="71"/>
      <c r="Q1227" s="81"/>
      <c r="R1227" s="81"/>
    </row>
    <row r="1228" spans="5:18" x14ac:dyDescent="0.3">
      <c r="E1228" s="71"/>
      <c r="I1228" s="71"/>
      <c r="Q1228" s="81"/>
      <c r="R1228" s="81"/>
    </row>
    <row r="1229" spans="5:18" x14ac:dyDescent="0.3">
      <c r="E1229" s="71"/>
      <c r="I1229" s="71"/>
      <c r="Q1229" s="81"/>
      <c r="R1229" s="81"/>
    </row>
    <row r="1230" spans="5:18" x14ac:dyDescent="0.3">
      <c r="E1230" s="71"/>
      <c r="I1230" s="71"/>
      <c r="Q1230" s="81"/>
      <c r="R1230" s="81"/>
    </row>
    <row r="1231" spans="5:18" x14ac:dyDescent="0.3">
      <c r="E1231" s="71"/>
      <c r="I1231" s="71"/>
      <c r="Q1231" s="81"/>
      <c r="R1231" s="81"/>
    </row>
    <row r="1232" spans="5:18" x14ac:dyDescent="0.3">
      <c r="E1232" s="71"/>
      <c r="I1232" s="71"/>
      <c r="Q1232" s="81"/>
      <c r="R1232" s="81"/>
    </row>
    <row r="1233" spans="5:18" x14ac:dyDescent="0.3">
      <c r="E1233" s="71"/>
      <c r="I1233" s="71"/>
      <c r="Q1233" s="81"/>
      <c r="R1233" s="81"/>
    </row>
    <row r="1234" spans="5:18" x14ac:dyDescent="0.3">
      <c r="E1234" s="71"/>
      <c r="I1234" s="71"/>
      <c r="Q1234" s="81"/>
      <c r="R1234" s="81"/>
    </row>
    <row r="1235" spans="5:18" x14ac:dyDescent="0.3">
      <c r="E1235" s="71"/>
      <c r="I1235" s="71"/>
      <c r="Q1235" s="81"/>
      <c r="R1235" s="81"/>
    </row>
    <row r="1236" spans="5:18" x14ac:dyDescent="0.3">
      <c r="E1236" s="71"/>
      <c r="I1236" s="71"/>
      <c r="Q1236" s="81"/>
      <c r="R1236" s="81"/>
    </row>
    <row r="1237" spans="5:18" x14ac:dyDescent="0.3">
      <c r="E1237" s="71"/>
      <c r="I1237" s="71"/>
      <c r="Q1237" s="81"/>
      <c r="R1237" s="81"/>
    </row>
    <row r="1238" spans="5:18" x14ac:dyDescent="0.3">
      <c r="E1238" s="71"/>
      <c r="I1238" s="71"/>
      <c r="Q1238" s="81"/>
      <c r="R1238" s="81"/>
    </row>
    <row r="1239" spans="5:18" x14ac:dyDescent="0.3">
      <c r="E1239" s="71"/>
      <c r="I1239" s="71"/>
      <c r="Q1239" s="81"/>
      <c r="R1239" s="81"/>
    </row>
    <row r="1240" spans="5:18" x14ac:dyDescent="0.3">
      <c r="E1240" s="71"/>
      <c r="I1240" s="71"/>
      <c r="Q1240" s="81"/>
      <c r="R1240" s="81"/>
    </row>
    <row r="1241" spans="5:18" x14ac:dyDescent="0.3">
      <c r="E1241" s="71"/>
      <c r="I1241" s="71"/>
      <c r="Q1241" s="81"/>
      <c r="R1241" s="81"/>
    </row>
    <row r="1242" spans="5:18" x14ac:dyDescent="0.3">
      <c r="E1242" s="71"/>
      <c r="I1242" s="71"/>
      <c r="Q1242" s="81"/>
      <c r="R1242" s="81"/>
    </row>
    <row r="1243" spans="5:18" x14ac:dyDescent="0.3">
      <c r="E1243" s="71"/>
      <c r="I1243" s="71"/>
      <c r="Q1243" s="81"/>
      <c r="R1243" s="81"/>
    </row>
    <row r="1244" spans="5:18" x14ac:dyDescent="0.3">
      <c r="E1244" s="71"/>
      <c r="I1244" s="71"/>
      <c r="Q1244" s="81"/>
      <c r="R1244" s="81"/>
    </row>
    <row r="1245" spans="5:18" x14ac:dyDescent="0.3">
      <c r="E1245" s="71"/>
      <c r="I1245" s="71"/>
      <c r="Q1245" s="81"/>
      <c r="R1245" s="81"/>
    </row>
    <row r="1246" spans="5:18" x14ac:dyDescent="0.3">
      <c r="E1246" s="71"/>
      <c r="I1246" s="71"/>
      <c r="Q1246" s="81"/>
      <c r="R1246" s="81"/>
    </row>
    <row r="1247" spans="5:18" x14ac:dyDescent="0.3">
      <c r="E1247" s="71"/>
      <c r="I1247" s="71"/>
      <c r="Q1247" s="81"/>
      <c r="R1247" s="81"/>
    </row>
    <row r="1248" spans="5:18" x14ac:dyDescent="0.3">
      <c r="E1248" s="71"/>
      <c r="I1248" s="71"/>
      <c r="Q1248" s="81"/>
      <c r="R1248" s="81"/>
    </row>
    <row r="1249" spans="5:18" x14ac:dyDescent="0.3">
      <c r="E1249" s="71"/>
      <c r="I1249" s="71"/>
      <c r="Q1249" s="81"/>
      <c r="R1249" s="81"/>
    </row>
    <row r="1250" spans="5:18" x14ac:dyDescent="0.3">
      <c r="E1250" s="71"/>
      <c r="I1250" s="71"/>
      <c r="Q1250" s="81"/>
      <c r="R1250" s="81"/>
    </row>
    <row r="1251" spans="5:18" x14ac:dyDescent="0.3">
      <c r="E1251" s="71"/>
      <c r="I1251" s="71"/>
      <c r="Q1251" s="81"/>
      <c r="R1251" s="81"/>
    </row>
    <row r="1252" spans="5:18" x14ac:dyDescent="0.3">
      <c r="E1252" s="71"/>
      <c r="I1252" s="71"/>
      <c r="Q1252" s="81"/>
      <c r="R1252" s="81"/>
    </row>
    <row r="1253" spans="5:18" x14ac:dyDescent="0.3">
      <c r="E1253" s="71"/>
      <c r="I1253" s="71"/>
      <c r="Q1253" s="81"/>
      <c r="R1253" s="81"/>
    </row>
    <row r="1254" spans="5:18" x14ac:dyDescent="0.3">
      <c r="E1254" s="71"/>
      <c r="I1254" s="71"/>
      <c r="Q1254" s="81"/>
      <c r="R1254" s="81"/>
    </row>
    <row r="1255" spans="5:18" x14ac:dyDescent="0.3">
      <c r="E1255" s="71"/>
      <c r="I1255" s="71"/>
      <c r="Q1255" s="81"/>
      <c r="R1255" s="81"/>
    </row>
    <row r="1256" spans="5:18" x14ac:dyDescent="0.3">
      <c r="E1256" s="71"/>
      <c r="I1256" s="71"/>
      <c r="Q1256" s="81"/>
      <c r="R1256" s="81"/>
    </row>
    <row r="1257" spans="5:18" x14ac:dyDescent="0.3">
      <c r="E1257" s="71"/>
      <c r="I1257" s="71"/>
      <c r="Q1257" s="81"/>
      <c r="R1257" s="81"/>
    </row>
    <row r="1258" spans="5:18" x14ac:dyDescent="0.3">
      <c r="E1258" s="71"/>
      <c r="I1258" s="71"/>
      <c r="Q1258" s="81"/>
      <c r="R1258" s="81"/>
    </row>
    <row r="1259" spans="5:18" x14ac:dyDescent="0.3">
      <c r="E1259" s="71"/>
      <c r="I1259" s="71"/>
      <c r="Q1259" s="81"/>
      <c r="R1259" s="81"/>
    </row>
    <row r="1260" spans="5:18" x14ac:dyDescent="0.3">
      <c r="E1260" s="71"/>
      <c r="I1260" s="71"/>
      <c r="Q1260" s="81"/>
      <c r="R1260" s="81"/>
    </row>
    <row r="1261" spans="5:18" x14ac:dyDescent="0.3">
      <c r="E1261" s="71"/>
      <c r="I1261" s="71"/>
      <c r="Q1261" s="81"/>
      <c r="R1261" s="81"/>
    </row>
    <row r="1262" spans="5:18" x14ac:dyDescent="0.3">
      <c r="E1262" s="71"/>
      <c r="I1262" s="71"/>
      <c r="Q1262" s="81"/>
      <c r="R1262" s="81"/>
    </row>
    <row r="1263" spans="5:18" x14ac:dyDescent="0.3">
      <c r="E1263" s="71"/>
      <c r="I1263" s="71"/>
      <c r="Q1263" s="81"/>
      <c r="R1263" s="81"/>
    </row>
    <row r="1264" spans="5:18" x14ac:dyDescent="0.3">
      <c r="E1264" s="71"/>
      <c r="I1264" s="71"/>
      <c r="Q1264" s="81"/>
      <c r="R1264" s="81"/>
    </row>
    <row r="1265" spans="5:18" x14ac:dyDescent="0.3">
      <c r="E1265" s="71"/>
      <c r="I1265" s="71"/>
      <c r="Q1265" s="81"/>
      <c r="R1265" s="81"/>
    </row>
    <row r="1266" spans="5:18" x14ac:dyDescent="0.3">
      <c r="E1266" s="71"/>
      <c r="I1266" s="71"/>
      <c r="Q1266" s="81"/>
      <c r="R1266" s="81"/>
    </row>
    <row r="1267" spans="5:18" x14ac:dyDescent="0.3">
      <c r="E1267" s="71"/>
      <c r="I1267" s="71"/>
      <c r="Q1267" s="81"/>
      <c r="R1267" s="81"/>
    </row>
    <row r="1268" spans="5:18" x14ac:dyDescent="0.3">
      <c r="E1268" s="71"/>
      <c r="I1268" s="71"/>
      <c r="Q1268" s="81"/>
      <c r="R1268" s="81"/>
    </row>
    <row r="1269" spans="5:18" x14ac:dyDescent="0.3">
      <c r="E1269" s="71"/>
      <c r="I1269" s="71"/>
      <c r="Q1269" s="81"/>
      <c r="R1269" s="81"/>
    </row>
    <row r="1270" spans="5:18" x14ac:dyDescent="0.3">
      <c r="E1270" s="71"/>
      <c r="I1270" s="71"/>
      <c r="Q1270" s="81"/>
      <c r="R1270" s="81"/>
    </row>
    <row r="1271" spans="5:18" x14ac:dyDescent="0.3">
      <c r="E1271" s="71"/>
      <c r="I1271" s="71"/>
      <c r="Q1271" s="81"/>
      <c r="R1271" s="81"/>
    </row>
    <row r="1272" spans="5:18" x14ac:dyDescent="0.3">
      <c r="E1272" s="71"/>
      <c r="I1272" s="71"/>
      <c r="Q1272" s="81"/>
      <c r="R1272" s="81"/>
    </row>
    <row r="1273" spans="5:18" x14ac:dyDescent="0.3">
      <c r="E1273" s="71"/>
      <c r="I1273" s="71"/>
      <c r="Q1273" s="81"/>
      <c r="R1273" s="81"/>
    </row>
    <row r="1274" spans="5:18" x14ac:dyDescent="0.3">
      <c r="E1274" s="71"/>
      <c r="I1274" s="71"/>
      <c r="Q1274" s="81"/>
      <c r="R1274" s="81"/>
    </row>
    <row r="1275" spans="5:18" x14ac:dyDescent="0.3">
      <c r="E1275" s="71"/>
      <c r="I1275" s="71"/>
      <c r="Q1275" s="81"/>
      <c r="R1275" s="81"/>
    </row>
    <row r="1276" spans="5:18" x14ac:dyDescent="0.3">
      <c r="E1276" s="71"/>
      <c r="I1276" s="71"/>
      <c r="Q1276" s="81"/>
      <c r="R1276" s="81"/>
    </row>
    <row r="1277" spans="5:18" x14ac:dyDescent="0.3">
      <c r="E1277" s="71"/>
      <c r="I1277" s="71"/>
      <c r="Q1277" s="81"/>
      <c r="R1277" s="81"/>
    </row>
    <row r="1278" spans="5:18" x14ac:dyDescent="0.3">
      <c r="E1278" s="71"/>
      <c r="I1278" s="71"/>
      <c r="Q1278" s="81"/>
      <c r="R1278" s="81"/>
    </row>
    <row r="1279" spans="5:18" x14ac:dyDescent="0.3">
      <c r="E1279" s="71"/>
      <c r="I1279" s="71"/>
      <c r="Q1279" s="81"/>
      <c r="R1279" s="81"/>
    </row>
    <row r="1280" spans="5:18" x14ac:dyDescent="0.3">
      <c r="E1280" s="71"/>
      <c r="I1280" s="71"/>
      <c r="Q1280" s="81"/>
      <c r="R1280" s="81"/>
    </row>
    <row r="1281" spans="5:18" x14ac:dyDescent="0.3">
      <c r="E1281" s="71"/>
      <c r="I1281" s="71"/>
      <c r="Q1281" s="81"/>
      <c r="R1281" s="81"/>
    </row>
    <row r="1282" spans="5:18" x14ac:dyDescent="0.3">
      <c r="E1282" s="71"/>
      <c r="I1282" s="71"/>
      <c r="Q1282" s="81"/>
      <c r="R1282" s="81"/>
    </row>
    <row r="1283" spans="5:18" x14ac:dyDescent="0.3">
      <c r="E1283" s="71"/>
      <c r="I1283" s="71"/>
      <c r="Q1283" s="81"/>
      <c r="R1283" s="81"/>
    </row>
    <row r="1284" spans="5:18" x14ac:dyDescent="0.3">
      <c r="E1284" s="71"/>
      <c r="I1284" s="71"/>
      <c r="Q1284" s="81"/>
      <c r="R1284" s="81"/>
    </row>
    <row r="1285" spans="5:18" x14ac:dyDescent="0.3">
      <c r="E1285" s="71"/>
      <c r="I1285" s="71"/>
      <c r="Q1285" s="81"/>
      <c r="R1285" s="81"/>
    </row>
    <row r="1286" spans="5:18" x14ac:dyDescent="0.3">
      <c r="E1286" s="71"/>
      <c r="I1286" s="71"/>
      <c r="Q1286" s="81"/>
      <c r="R1286" s="81"/>
    </row>
    <row r="1287" spans="5:18" x14ac:dyDescent="0.3">
      <c r="E1287" s="71"/>
      <c r="I1287" s="71"/>
      <c r="Q1287" s="81"/>
      <c r="R1287" s="81"/>
    </row>
    <row r="1288" spans="5:18" x14ac:dyDescent="0.3">
      <c r="E1288" s="71"/>
      <c r="I1288" s="71"/>
      <c r="Q1288" s="81"/>
      <c r="R1288" s="81"/>
    </row>
    <row r="1289" spans="5:18" x14ac:dyDescent="0.3">
      <c r="E1289" s="71"/>
      <c r="I1289" s="71"/>
      <c r="Q1289" s="81"/>
      <c r="R1289" s="81"/>
    </row>
    <row r="1290" spans="5:18" x14ac:dyDescent="0.3">
      <c r="E1290" s="71"/>
      <c r="I1290" s="71"/>
      <c r="Q1290" s="81"/>
      <c r="R1290" s="81"/>
    </row>
    <row r="1291" spans="5:18" x14ac:dyDescent="0.3">
      <c r="E1291" s="71"/>
      <c r="I1291" s="71"/>
      <c r="Q1291" s="81"/>
      <c r="R1291" s="81"/>
    </row>
    <row r="1292" spans="5:18" x14ac:dyDescent="0.3">
      <c r="E1292" s="71"/>
      <c r="I1292" s="71"/>
      <c r="Q1292" s="81"/>
      <c r="R1292" s="81"/>
    </row>
    <row r="1293" spans="5:18" x14ac:dyDescent="0.3">
      <c r="E1293" s="71"/>
      <c r="I1293" s="71"/>
      <c r="Q1293" s="81"/>
      <c r="R1293" s="81"/>
    </row>
    <row r="1294" spans="5:18" x14ac:dyDescent="0.3">
      <c r="E1294" s="71"/>
      <c r="I1294" s="71"/>
      <c r="Q1294" s="81"/>
      <c r="R1294" s="81"/>
    </row>
    <row r="1295" spans="5:18" x14ac:dyDescent="0.3">
      <c r="E1295" s="71"/>
      <c r="I1295" s="71"/>
      <c r="Q1295" s="81"/>
      <c r="R1295" s="81"/>
    </row>
    <row r="1296" spans="5:18" x14ac:dyDescent="0.3">
      <c r="E1296" s="71"/>
      <c r="I1296" s="71"/>
      <c r="Q1296" s="81"/>
      <c r="R1296" s="81"/>
    </row>
    <row r="1297" spans="5:18" x14ac:dyDescent="0.3">
      <c r="E1297" s="71"/>
      <c r="I1297" s="71"/>
      <c r="Q1297" s="81"/>
      <c r="R1297" s="81"/>
    </row>
    <row r="1298" spans="5:18" x14ac:dyDescent="0.3">
      <c r="E1298" s="71"/>
      <c r="I1298" s="71"/>
      <c r="Q1298" s="81"/>
      <c r="R1298" s="81"/>
    </row>
    <row r="1299" spans="5:18" x14ac:dyDescent="0.3">
      <c r="E1299" s="71"/>
      <c r="I1299" s="71"/>
      <c r="Q1299" s="81"/>
      <c r="R1299" s="81"/>
    </row>
    <row r="1300" spans="5:18" x14ac:dyDescent="0.3">
      <c r="E1300" s="71"/>
      <c r="I1300" s="71"/>
      <c r="Q1300" s="81"/>
      <c r="R1300" s="81"/>
    </row>
    <row r="1301" spans="5:18" x14ac:dyDescent="0.3">
      <c r="E1301" s="71"/>
      <c r="I1301" s="71"/>
      <c r="Q1301" s="81"/>
      <c r="R1301" s="81"/>
    </row>
    <row r="1302" spans="5:18" x14ac:dyDescent="0.3">
      <c r="E1302" s="71"/>
      <c r="I1302" s="71"/>
      <c r="Q1302" s="81"/>
      <c r="R1302" s="81"/>
    </row>
    <row r="1303" spans="5:18" x14ac:dyDescent="0.3">
      <c r="E1303" s="71"/>
      <c r="I1303" s="71"/>
      <c r="Q1303" s="81"/>
      <c r="R1303" s="81"/>
    </row>
    <row r="1304" spans="5:18" x14ac:dyDescent="0.3">
      <c r="E1304" s="71"/>
      <c r="I1304" s="71"/>
      <c r="Q1304" s="81"/>
      <c r="R1304" s="81"/>
    </row>
    <row r="1305" spans="5:18" x14ac:dyDescent="0.3">
      <c r="E1305" s="71"/>
      <c r="I1305" s="71"/>
      <c r="Q1305" s="81"/>
      <c r="R1305" s="81"/>
    </row>
    <row r="1306" spans="5:18" x14ac:dyDescent="0.3">
      <c r="E1306" s="71"/>
      <c r="I1306" s="71"/>
      <c r="Q1306" s="81"/>
      <c r="R1306" s="81"/>
    </row>
    <row r="1307" spans="5:18" x14ac:dyDescent="0.3">
      <c r="E1307" s="71"/>
      <c r="I1307" s="71"/>
      <c r="Q1307" s="81"/>
      <c r="R1307" s="81"/>
    </row>
    <row r="1308" spans="5:18" x14ac:dyDescent="0.3">
      <c r="E1308" s="71"/>
      <c r="I1308" s="71"/>
      <c r="Q1308" s="81"/>
      <c r="R1308" s="81"/>
    </row>
    <row r="1309" spans="5:18" x14ac:dyDescent="0.3">
      <c r="E1309" s="71"/>
      <c r="I1309" s="71"/>
      <c r="Q1309" s="81"/>
      <c r="R1309" s="81"/>
    </row>
    <row r="1310" spans="5:18" x14ac:dyDescent="0.3">
      <c r="E1310" s="71"/>
      <c r="I1310" s="71"/>
      <c r="Q1310" s="81"/>
      <c r="R1310" s="81"/>
    </row>
    <row r="1311" spans="5:18" x14ac:dyDescent="0.3">
      <c r="E1311" s="71"/>
      <c r="I1311" s="71"/>
      <c r="Q1311" s="81"/>
      <c r="R1311" s="81"/>
    </row>
    <row r="1312" spans="5:18" x14ac:dyDescent="0.3">
      <c r="E1312" s="71"/>
      <c r="I1312" s="71"/>
      <c r="Q1312" s="81"/>
      <c r="R1312" s="81"/>
    </row>
    <row r="1313" spans="1:18" x14ac:dyDescent="0.3">
      <c r="E1313" s="71"/>
      <c r="I1313" s="71"/>
      <c r="Q1313" s="81"/>
      <c r="R1313" s="81"/>
    </row>
    <row r="1314" spans="1:18" x14ac:dyDescent="0.3">
      <c r="E1314" s="71"/>
      <c r="I1314" s="71"/>
      <c r="Q1314" s="81"/>
      <c r="R1314" s="81"/>
    </row>
    <row r="1315" spans="1:18" x14ac:dyDescent="0.3">
      <c r="E1315" s="71"/>
      <c r="I1315" s="71"/>
      <c r="Q1315" s="81"/>
      <c r="R1315" s="81"/>
    </row>
    <row r="1316" spans="1:18" x14ac:dyDescent="0.3">
      <c r="E1316" s="71"/>
      <c r="I1316" s="71"/>
      <c r="Q1316" s="81"/>
      <c r="R1316" s="81"/>
    </row>
    <row r="1317" spans="1:18" x14ac:dyDescent="0.3">
      <c r="E1317" s="71"/>
      <c r="I1317" s="71"/>
      <c r="Q1317" s="81"/>
      <c r="R1317" s="81"/>
    </row>
    <row r="1318" spans="1:18" x14ac:dyDescent="0.3">
      <c r="E1318" s="71"/>
      <c r="I1318" s="71"/>
      <c r="Q1318" s="81"/>
      <c r="R1318" s="81"/>
    </row>
    <row r="1319" spans="1:18" x14ac:dyDescent="0.3">
      <c r="E1319" s="71"/>
      <c r="I1319" s="71"/>
      <c r="Q1319" s="81"/>
      <c r="R1319" s="81"/>
    </row>
    <row r="1320" spans="1:18" x14ac:dyDescent="0.3">
      <c r="E1320" s="71"/>
      <c r="I1320" s="71"/>
      <c r="Q1320" s="81"/>
      <c r="R1320" s="81"/>
    </row>
    <row r="1321" spans="1:18" x14ac:dyDescent="0.3">
      <c r="E1321" s="71"/>
      <c r="I1321" s="71"/>
      <c r="Q1321" s="81"/>
      <c r="R1321" s="81"/>
    </row>
    <row r="1322" spans="1:18" x14ac:dyDescent="0.3">
      <c r="E1322" s="71"/>
      <c r="I1322" s="71"/>
      <c r="Q1322" s="81"/>
      <c r="R1322" s="81"/>
    </row>
    <row r="1323" spans="1:18" x14ac:dyDescent="0.3">
      <c r="E1323" s="71"/>
      <c r="I1323" s="71"/>
      <c r="Q1323" s="81"/>
      <c r="R1323" s="81"/>
    </row>
    <row r="1324" spans="1:18" x14ac:dyDescent="0.3">
      <c r="E1324" s="71"/>
      <c r="I1324" s="71"/>
      <c r="Q1324" s="81"/>
      <c r="R1324" s="81"/>
    </row>
    <row r="1325" spans="1:18" x14ac:dyDescent="0.3">
      <c r="A1325" s="45"/>
      <c r="C1325" s="46"/>
      <c r="E1325" s="72"/>
      <c r="H1325" s="46"/>
      <c r="I1325" s="72"/>
      <c r="K1325" s="47"/>
      <c r="M1325" s="56"/>
      <c r="Q1325" s="81"/>
      <c r="R1325" s="81"/>
    </row>
    <row r="1326" spans="1:18" x14ac:dyDescent="0.3">
      <c r="A1326" s="45"/>
      <c r="C1326" s="46"/>
      <c r="E1326" s="72"/>
      <c r="H1326" s="46"/>
      <c r="I1326" s="72"/>
      <c r="K1326" s="47"/>
      <c r="M1326" s="56"/>
      <c r="N1326" s="66"/>
      <c r="O1326" s="66"/>
      <c r="Q1326" s="81"/>
      <c r="R1326" s="8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C2:C1194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1010515.8400000015</v>
      </c>
      <c r="E2" s="37">
        <f>C2+D2</f>
        <v>1670710.7200000014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W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C158"/>
  <sheetViews>
    <sheetView showGridLines="0" zoomScale="80" zoomScaleNormal="80" workbookViewId="0">
      <pane xSplit="2" ySplit="1" topLeftCell="C137" activePane="bottomRight" state="frozen"/>
      <selection pane="topRight" activeCell="C1" sqref="C1"/>
      <selection pane="bottomLeft" activeCell="A2" sqref="A2"/>
      <selection pane="bottomRight" activeCell="G160" sqref="G160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0.88671875" customWidth="1"/>
    <col min="23" max="23" width="12" customWidth="1"/>
    <col min="24" max="28" width="10.88671875" customWidth="1"/>
    <col min="29" max="29" width="15.88671875" customWidth="1"/>
  </cols>
  <sheetData>
    <row r="1" spans="1:29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194</v>
      </c>
      <c r="X1" s="20" t="s">
        <v>195</v>
      </c>
      <c r="Y1" s="20" t="s">
        <v>196</v>
      </c>
      <c r="Z1" s="20" t="s">
        <v>197</v>
      </c>
      <c r="AA1" s="20" t="s">
        <v>214</v>
      </c>
      <c r="AB1" s="20" t="s">
        <v>199</v>
      </c>
      <c r="AC1" s="21" t="s">
        <v>145</v>
      </c>
    </row>
    <row r="2" spans="1:29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X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Y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Z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A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B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C2" s="25">
        <v>2065860.3599999996</v>
      </c>
    </row>
    <row r="3" spans="1:29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X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Y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Z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A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B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C3" s="25">
        <v>2065860.3599999996</v>
      </c>
    </row>
    <row r="4" spans="1:29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X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Y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Z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A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B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C4" s="25">
        <v>2065860.3599999996</v>
      </c>
    </row>
    <row r="5" spans="1:29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X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Y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Z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A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B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C5" s="25">
        <v>2855136.35</v>
      </c>
    </row>
    <row r="6" spans="1:29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X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Y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Z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A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B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C6" s="25">
        <v>3338601.0599999996</v>
      </c>
    </row>
    <row r="7" spans="1:29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X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Y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Z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A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B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C7" s="25">
        <v>3784202.4299999997</v>
      </c>
    </row>
    <row r="8" spans="1:29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X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Y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Z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A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B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C8" s="25">
        <v>3433881.52</v>
      </c>
    </row>
    <row r="9" spans="1:29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X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Y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Z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A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B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C9" s="25">
        <v>2529213.1199999996</v>
      </c>
    </row>
    <row r="10" spans="1:29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X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Y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Z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A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B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C10" s="25">
        <v>2529213.1199999996</v>
      </c>
    </row>
    <row r="11" spans="1:29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X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Y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Z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A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B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C11" s="25">
        <v>2529213.1199999996</v>
      </c>
    </row>
    <row r="12" spans="1:29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X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Y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Z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A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B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C12" s="25">
        <v>3335570.8099999996</v>
      </c>
    </row>
    <row r="13" spans="1:29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X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Y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Z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A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B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C13" s="25">
        <v>3286853.0199999991</v>
      </c>
    </row>
    <row r="14" spans="1:29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X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Y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Z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A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B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C14" s="25">
        <v>3301228.1399999997</v>
      </c>
    </row>
    <row r="15" spans="1:29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X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Y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Z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A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B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C15" s="25">
        <v>2238459.8799999994</v>
      </c>
    </row>
    <row r="16" spans="1:29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X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Y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Z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A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B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C16" s="25">
        <v>2233464.8899999997</v>
      </c>
    </row>
    <row r="17" spans="1:29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X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Y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Z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A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B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C17" s="25">
        <v>2233464.8899999997</v>
      </c>
    </row>
    <row r="18" spans="1:29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X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Y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Z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A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B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C18" s="25">
        <v>2233464.8899999997</v>
      </c>
    </row>
    <row r="19" spans="1:29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X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Y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Z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A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B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C19" s="25">
        <v>2206995.0399999996</v>
      </c>
    </row>
    <row r="20" spans="1:29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X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Y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Z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A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B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C20" s="25">
        <v>2828874.51</v>
      </c>
    </row>
    <row r="21" spans="1:29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X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Y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Z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A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B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C21" s="25">
        <v>2252452.4599999995</v>
      </c>
    </row>
    <row r="22" spans="1:29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X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Y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Z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A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B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C22" s="25">
        <v>2592452.4599999995</v>
      </c>
    </row>
    <row r="23" spans="1:29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X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Y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Z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A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B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C23" s="25">
        <v>2591689.4699999993</v>
      </c>
    </row>
    <row r="24" spans="1:29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X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Y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Z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A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B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C24" s="25">
        <v>2591689.4699999993</v>
      </c>
    </row>
    <row r="25" spans="1:29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X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Y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Z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A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B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C25" s="25">
        <v>2591689.4699999993</v>
      </c>
    </row>
    <row r="26" spans="1:29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X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Y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Z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A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B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C26" s="25">
        <v>2591689.4699999993</v>
      </c>
    </row>
    <row r="27" spans="1:29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X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Y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Z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A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B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C27" s="25">
        <v>3302521.9999999991</v>
      </c>
    </row>
    <row r="28" spans="1:29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X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Y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Z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A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B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C28" s="25">
        <v>3330099.8599999994</v>
      </c>
    </row>
    <row r="29" spans="1:29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X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Y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Z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A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B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C29" s="25">
        <v>2843785.38</v>
      </c>
    </row>
    <row r="30" spans="1:29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X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Y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Z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A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B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C30" s="25">
        <v>2812673.3600000003</v>
      </c>
    </row>
    <row r="31" spans="1:29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X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Y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Z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A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B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C31" s="25">
        <v>2812673.3600000003</v>
      </c>
    </row>
    <row r="32" spans="1:29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X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Y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Z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A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B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C32" s="25">
        <v>2812673.3600000003</v>
      </c>
    </row>
    <row r="33" spans="1:29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X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Y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Z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A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B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C33" s="25">
        <f>SUM(C33:AB33)</f>
        <v>3106582.3399999994</v>
      </c>
    </row>
    <row r="34" spans="1:29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X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Y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Z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A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B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C34" s="25">
        <f>SUM(C34:AB34)</f>
        <v>3102646.4599999995</v>
      </c>
    </row>
    <row r="35" spans="1:29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X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Y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Z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A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B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C35" s="25">
        <f>SUM(C35:AB35)</f>
        <v>3096356.4499999997</v>
      </c>
    </row>
    <row r="36" spans="1:29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X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Y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Z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A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B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C36" s="25">
        <f>SUM(C36:AB36)</f>
        <v>2916540.5599999996</v>
      </c>
    </row>
    <row r="37" spans="1:29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X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Y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Z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A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B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C37" s="25">
        <f>SUM(C37:AB37)</f>
        <v>2908854.4299999997</v>
      </c>
    </row>
    <row r="38" spans="1:29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X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Y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Z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A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B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C38" s="25">
        <f>SUM(C38:AB38)</f>
        <v>2908854.4299999997</v>
      </c>
    </row>
    <row r="39" spans="1:29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X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Y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Z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A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B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C39" s="25">
        <f>SUM(C39:AB39)</f>
        <v>2908854.4299999997</v>
      </c>
    </row>
    <row r="40" spans="1:29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X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Y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Z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A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B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C40" s="25">
        <f>SUM(C40:AB40)</f>
        <v>2907882.84</v>
      </c>
    </row>
    <row r="41" spans="1:29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X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Y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Z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A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B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C41" s="25">
        <f>SUM(C41:AB41)</f>
        <v>3017954.3</v>
      </c>
    </row>
    <row r="42" spans="1:29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X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Y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Z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A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B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C42" s="25">
        <f>SUM(C42:AB42)</f>
        <v>4473991.28</v>
      </c>
    </row>
    <row r="43" spans="1:29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X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Y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Z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A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B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C43" s="25">
        <f>SUM(C43:AB43)</f>
        <v>3525292.3499999996</v>
      </c>
    </row>
    <row r="44" spans="1:29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X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Y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Z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A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B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C44" s="25">
        <f>SUM(C44:AB44)</f>
        <v>6495650.8399999999</v>
      </c>
    </row>
    <row r="45" spans="1:29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X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Y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Z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A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B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C45" s="25">
        <f>SUM(C45:AB45)</f>
        <v>6495650.8399999999</v>
      </c>
    </row>
    <row r="46" spans="1:29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X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Y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Z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A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B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C46" s="25">
        <f>SUM(C46:AB46)</f>
        <v>6495650.8399999999</v>
      </c>
    </row>
    <row r="47" spans="1:29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X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Y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Z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A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B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C47" s="25">
        <f>SUM(C47:AB47)</f>
        <v>5149458.9499999993</v>
      </c>
    </row>
    <row r="48" spans="1:29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X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Y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Z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A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B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C48" s="25">
        <f>SUM(C48:AB48)</f>
        <v>5258994.18</v>
      </c>
    </row>
    <row r="49" spans="1:29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X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Y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Z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A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B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C49" s="25">
        <f>SUM(C49:AB49)</f>
        <v>5264480.6899999995</v>
      </c>
    </row>
    <row r="50" spans="1:29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X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Y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Z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A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B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C50" s="25">
        <f>SUM(C50:AB50)</f>
        <v>5264314.0299999993</v>
      </c>
    </row>
    <row r="51" spans="1:29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X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Y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Z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A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B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C51" s="25">
        <f>SUM(C51:AB51)</f>
        <v>5264314.0299999993</v>
      </c>
    </row>
    <row r="52" spans="1:29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X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Y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Z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A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B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C52" s="25">
        <f>SUM(C52:AB52)</f>
        <v>5264314.0299999993</v>
      </c>
    </row>
    <row r="53" spans="1:29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X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Y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Z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A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B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C53" s="25">
        <f>SUM(C53:AB53)</f>
        <v>5264314.0299999993</v>
      </c>
    </row>
    <row r="54" spans="1:29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X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Y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Z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A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B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C54" s="25">
        <f>SUM(C54:AB54)</f>
        <v>11779484.699999999</v>
      </c>
    </row>
    <row r="55" spans="1:29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X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Y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Z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A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B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C55" s="25">
        <f>SUM(C55:AB55)</f>
        <v>11841765.780000001</v>
      </c>
    </row>
    <row r="56" spans="1:29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X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Y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Z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A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B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C56" s="25">
        <f>SUM(C56:AB56)</f>
        <v>11940706.620000001</v>
      </c>
    </row>
    <row r="57" spans="1:29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X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Y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Z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A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B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C57" s="25">
        <f>SUM(C57:AB57)</f>
        <v>11233952.009999998</v>
      </c>
    </row>
    <row r="58" spans="1:29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X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Y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Z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A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B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C58" s="25">
        <f>SUM(C58:AB58)</f>
        <v>10614187.23</v>
      </c>
    </row>
    <row r="59" spans="1:29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X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Y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Z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A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B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C59" s="25">
        <f>SUM(C59:AB59)</f>
        <v>10614187.23</v>
      </c>
    </row>
    <row r="60" spans="1:29" hidden="1" outlineLevel="1" x14ac:dyDescent="0.3">
      <c r="A60" s="22">
        <f t="shared" ref="A60:A125" si="1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X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Y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Z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A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B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C60" s="25">
        <f>SUM(C60:AB60)</f>
        <v>10614187.23</v>
      </c>
    </row>
    <row r="61" spans="1:29" hidden="1" outlineLevel="1" x14ac:dyDescent="0.3">
      <c r="A61" s="22">
        <f t="shared" si="1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X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Y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Z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A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B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C61" s="25">
        <f>SUM(C61:AB61)</f>
        <v>9469047.5700000003</v>
      </c>
    </row>
    <row r="62" spans="1:29" collapsed="1" x14ac:dyDescent="0.3">
      <c r="A62" s="22">
        <f t="shared" si="1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X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Y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Z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A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B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C62" s="25">
        <f>SUM(C62:AB62)</f>
        <v>9334426.8099999987</v>
      </c>
    </row>
    <row r="63" spans="1:29" x14ac:dyDescent="0.3">
      <c r="A63" s="22">
        <f t="shared" si="1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X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Y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Z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A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B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C63" s="25">
        <f>SUM(C63:AB63)</f>
        <v>9324993.160000002</v>
      </c>
    </row>
    <row r="64" spans="1:29" hidden="1" outlineLevel="1" x14ac:dyDescent="0.3">
      <c r="A64" s="22">
        <f t="shared" si="1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X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Y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Z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A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B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C64" s="25">
        <f>SUM(C64:AB64)</f>
        <v>8381414.5000000009</v>
      </c>
    </row>
    <row r="65" spans="1:29" hidden="1" outlineLevel="1" x14ac:dyDescent="0.3">
      <c r="A65" s="22">
        <f t="shared" si="1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X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Y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Z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A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B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C65" s="25">
        <f>SUM(C65:AB65)</f>
        <v>8378252.3200000012</v>
      </c>
    </row>
    <row r="66" spans="1:29" hidden="1" outlineLevel="1" x14ac:dyDescent="0.3">
      <c r="A66" s="22">
        <f t="shared" si="1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X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Y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Z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A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B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C66" s="25">
        <f>SUM(C66:AB66)</f>
        <v>8378252.3200000012</v>
      </c>
    </row>
    <row r="67" spans="1:29" hidden="1" outlineLevel="1" x14ac:dyDescent="0.3">
      <c r="A67" s="22">
        <f t="shared" si="1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X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Y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Z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A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B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C67" s="25">
        <f>SUM(C67:AB67)</f>
        <v>8378252.3200000012</v>
      </c>
    </row>
    <row r="68" spans="1:29" hidden="1" outlineLevel="1" x14ac:dyDescent="0.3">
      <c r="A68" s="22">
        <f t="shared" si="1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X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Y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Z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A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B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C68" s="25">
        <f>SUM(C68:AB68)</f>
        <v>8359760.2000000011</v>
      </c>
    </row>
    <row r="69" spans="1:29" hidden="1" outlineLevel="1" x14ac:dyDescent="0.3">
      <c r="A69" s="22">
        <f t="shared" si="1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X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Y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Z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A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B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C69" s="25">
        <f>SUM(C69:AB69)</f>
        <v>8359093.4500000011</v>
      </c>
    </row>
    <row r="70" spans="1:29" hidden="1" outlineLevel="1" x14ac:dyDescent="0.3">
      <c r="A70" s="22">
        <f t="shared" si="1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X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Y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Z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A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B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C70" s="25">
        <f>SUM(C70:AB70)</f>
        <v>8345747.8300000019</v>
      </c>
    </row>
    <row r="71" spans="1:29" hidden="1" outlineLevel="1" x14ac:dyDescent="0.3">
      <c r="A71" s="22">
        <f t="shared" si="1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X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Y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Z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A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B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C71" s="25">
        <f>SUM(C71:AB71)</f>
        <v>8896351.8600000031</v>
      </c>
    </row>
    <row r="72" spans="1:29" hidden="1" outlineLevel="1" x14ac:dyDescent="0.3">
      <c r="A72" s="22">
        <f t="shared" si="1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X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Y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Z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A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B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C72" s="25">
        <f>SUM(C72:AB72)</f>
        <v>8483423.8600000013</v>
      </c>
    </row>
    <row r="73" spans="1:29" hidden="1" outlineLevel="1" x14ac:dyDescent="0.3">
      <c r="A73" s="22">
        <f t="shared" si="1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X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Y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Z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A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B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C73" s="25">
        <f>SUM(C73:AB73)</f>
        <v>8483423.8600000013</v>
      </c>
    </row>
    <row r="74" spans="1:29" hidden="1" outlineLevel="1" x14ac:dyDescent="0.3">
      <c r="A74" s="22">
        <f t="shared" si="1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X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Y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Z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A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B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C74" s="25">
        <f>SUM(C74:AB74)</f>
        <v>8483423.8600000013</v>
      </c>
    </row>
    <row r="75" spans="1:29" hidden="1" outlineLevel="1" x14ac:dyDescent="0.3">
      <c r="A75" s="22">
        <f t="shared" si="1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X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Y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Z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A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B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C75" s="25">
        <f>SUM(C75:AB75)</f>
        <v>8477240.6300000027</v>
      </c>
    </row>
    <row r="76" spans="1:29" hidden="1" outlineLevel="1" x14ac:dyDescent="0.3">
      <c r="A76" s="22">
        <f t="shared" si="1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X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Y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Z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A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B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C76" s="25">
        <f>SUM(C76:AB76)</f>
        <v>8411882.1799999997</v>
      </c>
    </row>
    <row r="77" spans="1:29" hidden="1" outlineLevel="1" x14ac:dyDescent="0.3">
      <c r="A77" s="22">
        <f t="shared" si="1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X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Y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Z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A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B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C77" s="25">
        <f>SUM(C77:AB77)</f>
        <v>8411340.8599999994</v>
      </c>
    </row>
    <row r="78" spans="1:29" hidden="1" outlineLevel="1" x14ac:dyDescent="0.3">
      <c r="A78" s="22">
        <f t="shared" si="1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X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Y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Z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A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B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C78" s="25">
        <f>SUM(C78:AB78)</f>
        <v>7915559.5500000007</v>
      </c>
    </row>
    <row r="79" spans="1:29" hidden="1" outlineLevel="1" x14ac:dyDescent="0.3">
      <c r="A79" s="22">
        <f t="shared" si="1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X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Y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Z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A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B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C79" s="25">
        <f>SUM(C79:AB79)</f>
        <v>7977811.3200000012</v>
      </c>
    </row>
    <row r="80" spans="1:29" hidden="1" outlineLevel="1" x14ac:dyDescent="0.3">
      <c r="A80" s="22">
        <f t="shared" si="1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X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Y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Z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A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B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C80" s="25">
        <f>SUM(C80:AB80)</f>
        <v>7977811.3200000012</v>
      </c>
    </row>
    <row r="81" spans="1:29" hidden="1" outlineLevel="1" x14ac:dyDescent="0.3">
      <c r="A81" s="22">
        <f t="shared" si="1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X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Y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Z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A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B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C81" s="25">
        <f>SUM(C81:AB81)</f>
        <v>7977811.3200000012</v>
      </c>
    </row>
    <row r="82" spans="1:29" hidden="1" outlineLevel="1" x14ac:dyDescent="0.3">
      <c r="A82" s="22">
        <f t="shared" si="1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X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Y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Z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A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B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C82" s="25">
        <f>SUM(C82:AB82)</f>
        <v>7971746.3000000007</v>
      </c>
    </row>
    <row r="83" spans="1:29" hidden="1" outlineLevel="1" x14ac:dyDescent="0.3">
      <c r="A83" s="22">
        <f t="shared" si="1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X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Y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Z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A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B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C83" s="25">
        <f>SUM(C83:AB83)</f>
        <v>7971394.6699999999</v>
      </c>
    </row>
    <row r="84" spans="1:29" hidden="1" outlineLevel="1" x14ac:dyDescent="0.3">
      <c r="A84" s="22">
        <f t="shared" si="1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X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Y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Z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A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B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C84" s="25">
        <f>SUM(C84:AB84)</f>
        <v>7364888.0200000005</v>
      </c>
    </row>
    <row r="85" spans="1:29" hidden="1" outlineLevel="1" x14ac:dyDescent="0.3">
      <c r="A85" s="22">
        <f t="shared" si="1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X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Y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Z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A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B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C85" s="25">
        <f>SUM(C85:AB85)</f>
        <v>7419579.1400000015</v>
      </c>
    </row>
    <row r="86" spans="1:29" hidden="1" outlineLevel="1" x14ac:dyDescent="0.3">
      <c r="A86" s="22">
        <f t="shared" si="1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X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Y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Z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A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B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C86" s="25">
        <f>SUM(C86:AB86)</f>
        <v>7419178.0600000015</v>
      </c>
    </row>
    <row r="87" spans="1:29" hidden="1" outlineLevel="1" x14ac:dyDescent="0.3">
      <c r="A87" s="22">
        <f t="shared" si="1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X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Y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Z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A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B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C87" s="25">
        <f>SUM(C87:AB87)</f>
        <v>7419178.0600000015</v>
      </c>
    </row>
    <row r="88" spans="1:29" hidden="1" outlineLevel="1" x14ac:dyDescent="0.3">
      <c r="A88" s="22">
        <f t="shared" si="1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X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Y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Z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A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B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C88" s="25">
        <f>SUM(C88:AB88)</f>
        <v>7419178.0600000015</v>
      </c>
    </row>
    <row r="89" spans="1:29" hidden="1" outlineLevel="1" x14ac:dyDescent="0.3">
      <c r="A89" s="22">
        <f t="shared" si="1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X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Y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Z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A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B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C89" s="25">
        <f>SUM(C89:AB89)</f>
        <v>7765038.6100000013</v>
      </c>
    </row>
    <row r="90" spans="1:29" hidden="1" outlineLevel="1" x14ac:dyDescent="0.3">
      <c r="A90" s="22">
        <f t="shared" si="1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X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Y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Z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A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B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C90" s="25">
        <f>SUM(C90:AB90)</f>
        <v>7630142.2400000002</v>
      </c>
    </row>
    <row r="91" spans="1:29" hidden="1" outlineLevel="1" x14ac:dyDescent="0.3">
      <c r="A91" s="22">
        <f t="shared" si="1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X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Y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Z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A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B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C91" s="25">
        <f>SUM(C91:AB91)</f>
        <v>7664941.3100000015</v>
      </c>
    </row>
    <row r="92" spans="1:29" hidden="1" outlineLevel="1" x14ac:dyDescent="0.3">
      <c r="A92" s="22">
        <f t="shared" si="1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X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Y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Z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A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B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C92" s="25">
        <f>SUM(C92:AB92)</f>
        <v>7886706.2199999997</v>
      </c>
    </row>
    <row r="93" spans="1:29" hidden="1" outlineLevel="1" x14ac:dyDescent="0.3">
      <c r="A93" s="22">
        <f t="shared" si="1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X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Y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Z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A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B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C93" s="25">
        <f>SUM(C93:AB93)</f>
        <v>7480968.8699999992</v>
      </c>
    </row>
    <row r="94" spans="1:29" hidden="1" outlineLevel="1" x14ac:dyDescent="0.3">
      <c r="A94" s="22">
        <f t="shared" si="1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X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Y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Z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A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B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C94" s="25">
        <f>SUM(C94:AB94)</f>
        <v>7480968.8699999992</v>
      </c>
    </row>
    <row r="95" spans="1:29" hidden="1" outlineLevel="1" x14ac:dyDescent="0.3">
      <c r="A95" s="22">
        <f t="shared" si="1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X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Y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Z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A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B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C95" s="25">
        <f>SUM(C95:AB95)</f>
        <v>7480968.8699999992</v>
      </c>
    </row>
    <row r="96" spans="1:29" hidden="1" outlineLevel="1" x14ac:dyDescent="0.3">
      <c r="A96" s="22">
        <f t="shared" si="1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X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Y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Z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A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B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C96" s="25">
        <f>SUM(C96:AB96)</f>
        <v>7445806.9699999988</v>
      </c>
    </row>
    <row r="97" spans="1:29" hidden="1" outlineLevel="1" x14ac:dyDescent="0.3">
      <c r="A97" s="22">
        <f t="shared" si="1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X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Y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Z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A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B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C97" s="25">
        <f>SUM(C97:AB97)</f>
        <v>7438806.3399999999</v>
      </c>
    </row>
    <row r="98" spans="1:29" hidden="1" outlineLevel="1" x14ac:dyDescent="0.3">
      <c r="A98" s="22">
        <f t="shared" si="1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X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Y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Z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A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B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C98" s="25">
        <f>SUM(C98:AB98)</f>
        <v>7431086.5599999996</v>
      </c>
    </row>
    <row r="99" spans="1:29" hidden="1" outlineLevel="1" x14ac:dyDescent="0.3">
      <c r="A99" s="22">
        <f t="shared" si="1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X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Y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Z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A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B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C99" s="25">
        <f>SUM(C99:AB99)</f>
        <v>6593654.1499999985</v>
      </c>
    </row>
    <row r="100" spans="1:29" hidden="1" outlineLevel="1" x14ac:dyDescent="0.3">
      <c r="A100" s="22">
        <f t="shared" si="1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X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Y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Z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A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B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C100" s="25">
        <f>SUM(C100:AB100)</f>
        <v>6596109.549999998</v>
      </c>
    </row>
    <row r="101" spans="1:29" hidden="1" outlineLevel="1" x14ac:dyDescent="0.3">
      <c r="A101" s="22">
        <f t="shared" si="1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X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Y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Z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A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B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C101" s="25">
        <f>SUM(C101:AB101)</f>
        <v>6596109.549999998</v>
      </c>
    </row>
    <row r="102" spans="1:29" hidden="1" outlineLevel="1" x14ac:dyDescent="0.3">
      <c r="A102" s="22">
        <f t="shared" si="1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X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Y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Z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A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B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C102" s="25">
        <f>SUM(C102:AB102)</f>
        <v>6596109.549999998</v>
      </c>
    </row>
    <row r="103" spans="1:29" hidden="1" outlineLevel="1" x14ac:dyDescent="0.3">
      <c r="A103" s="22">
        <f t="shared" si="1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X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Y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Z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A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B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C103" s="25">
        <f>SUM(C103:AB103)</f>
        <v>6691965.2999999989</v>
      </c>
    </row>
    <row r="104" spans="1:29" hidden="1" outlineLevel="1" x14ac:dyDescent="0.3">
      <c r="A104" s="22">
        <f t="shared" si="1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X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Y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Z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A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B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C104" s="25">
        <f>SUM(C104:AB104)</f>
        <v>6215420.5599999996</v>
      </c>
    </row>
    <row r="105" spans="1:29" hidden="1" outlineLevel="1" x14ac:dyDescent="0.3">
      <c r="A105" s="22">
        <f t="shared" si="1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X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Y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Z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A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B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C105" s="25">
        <f>SUM(C105:AB105)</f>
        <v>6145143.1599999992</v>
      </c>
    </row>
    <row r="106" spans="1:29" hidden="1" outlineLevel="1" x14ac:dyDescent="0.3">
      <c r="A106" s="22">
        <f t="shared" si="1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X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Y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Z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A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B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C106" s="25">
        <f>SUM(C106:AB106)</f>
        <v>5164454.4399999995</v>
      </c>
    </row>
    <row r="107" spans="1:29" hidden="1" outlineLevel="1" x14ac:dyDescent="0.3">
      <c r="A107" s="22">
        <f t="shared" si="1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X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Y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Z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A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B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C107" s="25">
        <f>SUM(C107:AB107)</f>
        <v>5064443.3100000005</v>
      </c>
    </row>
    <row r="108" spans="1:29" hidden="1" outlineLevel="1" x14ac:dyDescent="0.3">
      <c r="A108" s="22">
        <f t="shared" si="1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X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Y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Z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A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B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C108" s="25">
        <f>SUM(C108:AB108)</f>
        <v>5064443.3100000005</v>
      </c>
    </row>
    <row r="109" spans="1:29" hidden="1" outlineLevel="1" x14ac:dyDescent="0.3">
      <c r="A109" s="22">
        <f t="shared" si="1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X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Y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Z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A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B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C109" s="25">
        <f>SUM(C109:AB109)</f>
        <v>5064443.3100000005</v>
      </c>
    </row>
    <row r="110" spans="1:29" hidden="1" outlineLevel="1" x14ac:dyDescent="0.3">
      <c r="A110" s="22">
        <f t="shared" si="1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X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Y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Z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A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B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C110" s="25">
        <f>SUM(C110:AB110)</f>
        <v>5029016.62</v>
      </c>
    </row>
    <row r="111" spans="1:29" hidden="1" outlineLevel="1" x14ac:dyDescent="0.3">
      <c r="A111" s="22">
        <f t="shared" si="1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X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Y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Z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A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B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C111" s="25">
        <f>SUM(C111:AB111)</f>
        <v>5132388.04</v>
      </c>
    </row>
    <row r="112" spans="1:29" hidden="1" outlineLevel="1" x14ac:dyDescent="0.3">
      <c r="A112" s="22">
        <f t="shared" si="1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X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Y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Z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A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B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C112" s="25">
        <f>SUM(C112:AB112)</f>
        <v>5631484.3399999999</v>
      </c>
    </row>
    <row r="113" spans="1:29" hidden="1" outlineLevel="1" x14ac:dyDescent="0.3">
      <c r="A113" s="22">
        <f t="shared" si="1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X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Y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Z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A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B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C113" s="25">
        <f>SUM(C113:AB113)</f>
        <v>5088254.3099999996</v>
      </c>
    </row>
    <row r="114" spans="1:29" hidden="1" outlineLevel="1" x14ac:dyDescent="0.3">
      <c r="A114" s="22">
        <f t="shared" si="1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X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Y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Z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A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B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C114" s="25">
        <f>SUM(C114:AB114)</f>
        <v>5088054.3199999994</v>
      </c>
    </row>
    <row r="115" spans="1:29" hidden="1" outlineLevel="1" x14ac:dyDescent="0.3">
      <c r="A115" s="22">
        <f t="shared" si="1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X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Y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Z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A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B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C115" s="25">
        <f>SUM(C115:AB115)</f>
        <v>5088054.3199999994</v>
      </c>
    </row>
    <row r="116" spans="1:29" hidden="1" outlineLevel="1" x14ac:dyDescent="0.3">
      <c r="A116" s="22">
        <f t="shared" si="1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X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Y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Z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A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B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C116" s="25">
        <f>SUM(C116:AB116)</f>
        <v>5088054.3199999994</v>
      </c>
    </row>
    <row r="117" spans="1:29" hidden="1" outlineLevel="1" x14ac:dyDescent="0.3">
      <c r="A117" s="22">
        <f t="shared" si="1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X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Y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Z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A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B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C117" s="25">
        <f>SUM(C117:AB117)</f>
        <v>4763459.1100000003</v>
      </c>
    </row>
    <row r="118" spans="1:29" hidden="1" outlineLevel="1" x14ac:dyDescent="0.3">
      <c r="A118" s="22">
        <f t="shared" si="1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X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Y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Z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A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B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C118" s="25">
        <f>SUM(C118:AB118)</f>
        <v>4941665</v>
      </c>
    </row>
    <row r="119" spans="1:29" hidden="1" outlineLevel="1" x14ac:dyDescent="0.3">
      <c r="A119" s="22">
        <f t="shared" si="1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X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Y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Z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A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B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C119" s="25">
        <f>SUM(C119:AB119)</f>
        <v>4959210.53</v>
      </c>
    </row>
    <row r="120" spans="1:29" hidden="1" outlineLevel="1" x14ac:dyDescent="0.3">
      <c r="A120" s="22">
        <f t="shared" si="1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X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Y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Z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A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B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C120" s="25">
        <f>SUM(C120:AB120)</f>
        <v>5150471.58</v>
      </c>
    </row>
    <row r="121" spans="1:29" hidden="1" outlineLevel="1" x14ac:dyDescent="0.3">
      <c r="A121" s="22">
        <f t="shared" si="1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X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Y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Z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A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B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C121" s="25">
        <f>SUM(C121:AB121)</f>
        <v>5116059.16</v>
      </c>
    </row>
    <row r="122" spans="1:29" hidden="1" outlineLevel="1" x14ac:dyDescent="0.3">
      <c r="A122" s="22">
        <f t="shared" si="1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X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Y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Z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A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B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C122" s="25">
        <f>SUM(C122:AB122)</f>
        <v>5116059.16</v>
      </c>
    </row>
    <row r="123" spans="1:29" hidden="1" outlineLevel="1" x14ac:dyDescent="0.3">
      <c r="A123" s="22">
        <f t="shared" si="1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X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Y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Z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A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B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C123" s="25">
        <f>SUM(C123:AB123)</f>
        <v>5116059.16</v>
      </c>
    </row>
    <row r="124" spans="1:29" collapsed="1" x14ac:dyDescent="0.3">
      <c r="A124" s="22">
        <f t="shared" si="1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X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Y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Z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A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B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C124" s="25">
        <f>SUM(C124:AB124)</f>
        <v>5118117.5599999996</v>
      </c>
    </row>
    <row r="125" spans="1:29" x14ac:dyDescent="0.3">
      <c r="A125" s="22">
        <f t="shared" si="1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24274.03</v>
      </c>
      <c r="X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Y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Z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A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B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C125" s="25">
        <f>SUM(C125:AB125)</f>
        <v>5698727.5200000005</v>
      </c>
    </row>
    <row r="126" spans="1:29" outlineLevel="1" x14ac:dyDescent="0.3">
      <c r="A126" s="22">
        <f t="shared" ref="A126:A158" si="2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24274.03</v>
      </c>
      <c r="X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Y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Z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A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B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C126" s="25">
        <f>SUM(C126:AB126)</f>
        <v>5703041.3199999994</v>
      </c>
    </row>
    <row r="127" spans="1:29" outlineLevel="1" x14ac:dyDescent="0.3">
      <c r="A127" s="22">
        <f t="shared" si="2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24179.03</v>
      </c>
      <c r="X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Y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Z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A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B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C127" s="25">
        <f>SUM(C127:AB127)</f>
        <v>5130524.0600000015</v>
      </c>
    </row>
    <row r="128" spans="1:29" outlineLevel="1" x14ac:dyDescent="0.3">
      <c r="A128" s="22">
        <f t="shared" si="2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24099.03</v>
      </c>
      <c r="X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Y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Z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A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B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C128" s="25">
        <f>SUM(C128:AB128)</f>
        <v>5566109.8900000006</v>
      </c>
    </row>
    <row r="129" spans="1:29" outlineLevel="1" x14ac:dyDescent="0.3">
      <c r="A129" s="22">
        <f t="shared" si="2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24099.03</v>
      </c>
      <c r="X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Y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Z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A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B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C129" s="25">
        <f>SUM(C129:AB129)</f>
        <v>5566109.8900000006</v>
      </c>
    </row>
    <row r="130" spans="1:29" outlineLevel="1" x14ac:dyDescent="0.3">
      <c r="A130" s="22">
        <f t="shared" si="2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24099.03</v>
      </c>
      <c r="X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Y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Z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A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B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C130" s="25">
        <f>SUM(C130:AB130)</f>
        <v>5566109.8900000006</v>
      </c>
    </row>
    <row r="131" spans="1:29" outlineLevel="1" x14ac:dyDescent="0.3">
      <c r="A131" s="22">
        <f t="shared" si="2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24099.03</v>
      </c>
      <c r="X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Y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Z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A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B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C131" s="25">
        <f>SUM(C131:AB131)</f>
        <v>5566109.8900000006</v>
      </c>
    </row>
    <row r="132" spans="1:29" outlineLevel="1" x14ac:dyDescent="0.3">
      <c r="A132" s="22">
        <f t="shared" si="2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23195.079999999998</v>
      </c>
      <c r="X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Y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Z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A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B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C132" s="25">
        <f>SUM(C132:AB132)</f>
        <v>5817001.7699999996</v>
      </c>
    </row>
    <row r="133" spans="1:29" outlineLevel="1" x14ac:dyDescent="0.3">
      <c r="A133" s="22">
        <f t="shared" si="2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22281.940000000002</v>
      </c>
      <c r="X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Y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Z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A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B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C133" s="25">
        <f>SUM(C133:AB133)</f>
        <v>5812942.9100000001</v>
      </c>
    </row>
    <row r="134" spans="1:29" outlineLevel="1" x14ac:dyDescent="0.3">
      <c r="A134" s="22">
        <f t="shared" si="2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31636.930000000004</v>
      </c>
      <c r="X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Y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Z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A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B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C134" s="25">
        <f>SUM(C134:AB134)</f>
        <v>4930810.8899999997</v>
      </c>
    </row>
    <row r="135" spans="1:29" outlineLevel="1" x14ac:dyDescent="0.3">
      <c r="A135" s="22">
        <f t="shared" si="2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31636.930000000004</v>
      </c>
      <c r="X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Y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Z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A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B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C135" s="25">
        <f>SUM(C135:AB135)</f>
        <v>5482162.7599999998</v>
      </c>
    </row>
    <row r="136" spans="1:29" outlineLevel="1" x14ac:dyDescent="0.3">
      <c r="A136" s="22">
        <f t="shared" si="2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31636.930000000004</v>
      </c>
      <c r="X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Y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Z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A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B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C136" s="25">
        <f>SUM(C136:AB136)</f>
        <v>5482162.7599999998</v>
      </c>
    </row>
    <row r="137" spans="1:29" outlineLevel="1" x14ac:dyDescent="0.3">
      <c r="A137" s="22">
        <f t="shared" si="2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31636.930000000004</v>
      </c>
      <c r="X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Y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Z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A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B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C137" s="25">
        <f>SUM(C137:AB137)</f>
        <v>5482162.7599999998</v>
      </c>
    </row>
    <row r="138" spans="1:29" outlineLevel="1" x14ac:dyDescent="0.3">
      <c r="A138" s="22">
        <f t="shared" si="2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30525.040000000005</v>
      </c>
      <c r="X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Y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Z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A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B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C138" s="25">
        <f>SUM(C138:AB138)</f>
        <v>5599547.6800000006</v>
      </c>
    </row>
    <row r="139" spans="1:29" outlineLevel="1" x14ac:dyDescent="0.3">
      <c r="A139" s="22">
        <f t="shared" si="2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30525.040000000005</v>
      </c>
      <c r="X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Y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Z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A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B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C139" s="25">
        <f>SUM(C139:AB139)</f>
        <v>5605206.0600000005</v>
      </c>
    </row>
    <row r="140" spans="1:29" outlineLevel="1" x14ac:dyDescent="0.3">
      <c r="A140" s="22">
        <f t="shared" si="2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30525.040000000005</v>
      </c>
      <c r="X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Y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Z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A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B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C140" s="25">
        <f>SUM(C140:AB140)</f>
        <v>5601797.7000000002</v>
      </c>
    </row>
    <row r="141" spans="1:29" outlineLevel="1" x14ac:dyDescent="0.3">
      <c r="A141" s="22">
        <f t="shared" si="2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20757.310000000005</v>
      </c>
      <c r="X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Y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Z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A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B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C141" s="25">
        <f>SUM(C141:AB141)</f>
        <v>5222890.59</v>
      </c>
    </row>
    <row r="142" spans="1:29" outlineLevel="1" x14ac:dyDescent="0.3">
      <c r="A142" s="22">
        <f t="shared" si="2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107192.89000000001</v>
      </c>
      <c r="X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Y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Z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A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B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C142" s="25">
        <f>SUM(C142:AB142)</f>
        <v>6174409.5099999998</v>
      </c>
    </row>
    <row r="143" spans="1:29" outlineLevel="1" x14ac:dyDescent="0.3">
      <c r="A143" s="22">
        <f t="shared" si="2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107192.89000000001</v>
      </c>
      <c r="X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Y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Z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A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B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C143" s="25">
        <f>SUM(C143:AB143)</f>
        <v>6174409.5099999998</v>
      </c>
    </row>
    <row r="144" spans="1:29" outlineLevel="1" x14ac:dyDescent="0.3">
      <c r="A144" s="22">
        <f t="shared" si="2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107192.89000000001</v>
      </c>
      <c r="X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Y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Z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A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B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C144" s="25">
        <f>SUM(C144:AB144)</f>
        <v>6174409.5099999998</v>
      </c>
    </row>
    <row r="145" spans="1:29" outlineLevel="1" x14ac:dyDescent="0.3">
      <c r="A145" s="22">
        <f t="shared" si="2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107192.89000000001</v>
      </c>
      <c r="X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Y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Z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A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B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C145" s="25">
        <f>SUM(C145:AB145)</f>
        <v>6196070.709999999</v>
      </c>
    </row>
    <row r="146" spans="1:29" outlineLevel="1" x14ac:dyDescent="0.3">
      <c r="A146" s="22">
        <f t="shared" si="2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107192.89000000001</v>
      </c>
      <c r="X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Y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Z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A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B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C146" s="25">
        <f>SUM(C146:AB146)</f>
        <v>6185556.4399999985</v>
      </c>
    </row>
    <row r="147" spans="1:29" outlineLevel="1" x14ac:dyDescent="0.3">
      <c r="A147" s="22">
        <f t="shared" si="2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107192.89000000001</v>
      </c>
      <c r="X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Y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Z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A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B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C147" s="25">
        <f>SUM(C147:AB147)</f>
        <v>6187456.4399999985</v>
      </c>
    </row>
    <row r="148" spans="1:29" outlineLevel="1" x14ac:dyDescent="0.3">
      <c r="A148" s="22">
        <f t="shared" si="2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107192.89000000001</v>
      </c>
      <c r="X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Y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Z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A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B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C148" s="25">
        <f>SUM(C148:AB148)</f>
        <v>6186942.9699999988</v>
      </c>
    </row>
    <row r="149" spans="1:29" outlineLevel="1" x14ac:dyDescent="0.3">
      <c r="A149" s="22">
        <f t="shared" si="2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107192.89000000001</v>
      </c>
      <c r="X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Y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Z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A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B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C149" s="25">
        <f>SUM(C149:AB149)</f>
        <v>5852222.4099999992</v>
      </c>
    </row>
    <row r="150" spans="1:29" outlineLevel="1" x14ac:dyDescent="0.3">
      <c r="A150" s="22">
        <f t="shared" si="2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107192.89000000001</v>
      </c>
      <c r="X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Y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Z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A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B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C150" s="25">
        <f>SUM(C150:AB150)</f>
        <v>5852222.4099999992</v>
      </c>
    </row>
    <row r="151" spans="1:29" outlineLevel="1" x14ac:dyDescent="0.3">
      <c r="A151" s="22">
        <f t="shared" si="2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107192.89000000001</v>
      </c>
      <c r="X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Y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Z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A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B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C151" s="25">
        <f>SUM(C151:AB151)</f>
        <v>5852222.4099999992</v>
      </c>
    </row>
    <row r="152" spans="1:29" outlineLevel="1" x14ac:dyDescent="0.3">
      <c r="A152" s="22">
        <f t="shared" si="2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107192.89000000001</v>
      </c>
      <c r="X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Y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Z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A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B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C152" s="25">
        <f>SUM(C152:AB152)</f>
        <v>5877698.4699999988</v>
      </c>
    </row>
    <row r="153" spans="1:29" outlineLevel="1" x14ac:dyDescent="0.3">
      <c r="A153" s="22">
        <f t="shared" si="2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106025.97</v>
      </c>
      <c r="X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Y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Z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A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B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C153" s="25">
        <f>SUM(C153:AB153)</f>
        <v>5707948.5799999991</v>
      </c>
    </row>
    <row r="154" spans="1:29" x14ac:dyDescent="0.3">
      <c r="A154" s="22">
        <f t="shared" si="2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105975.97</v>
      </c>
      <c r="X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Y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Z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A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B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C154" s="25">
        <f>SUM(C154:AB154)</f>
        <v>5614960.669999999</v>
      </c>
    </row>
    <row r="155" spans="1:29" x14ac:dyDescent="0.3">
      <c r="A155" s="22">
        <f t="shared" si="2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202975.97000000003</v>
      </c>
      <c r="X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Y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Z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A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B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C155" s="25">
        <f>SUM(C155:AB155)</f>
        <v>7177811.0999999978</v>
      </c>
    </row>
    <row r="156" spans="1:29" x14ac:dyDescent="0.3">
      <c r="A156" s="22">
        <f t="shared" si="2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202864</v>
      </c>
      <c r="X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Y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Z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A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B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C156" s="25">
        <f>SUM(C156:AB156)</f>
        <v>7174305.9299999988</v>
      </c>
    </row>
    <row r="157" spans="1:29" x14ac:dyDescent="0.3">
      <c r="A157" s="22">
        <f t="shared" si="2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202864</v>
      </c>
      <c r="X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Y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Z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A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B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C157" s="25">
        <f>SUM(C157:AB157)</f>
        <v>7174305.9299999988</v>
      </c>
    </row>
    <row r="158" spans="1:29" x14ac:dyDescent="0.3">
      <c r="A158" s="22">
        <f t="shared" si="2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202864</v>
      </c>
      <c r="X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Y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Z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A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B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C158" s="25">
        <f t="shared" ref="AC158" si="3">SUM(C158:AB158)</f>
        <v>7174305.9299999988</v>
      </c>
    </row>
  </sheetData>
  <phoneticPr fontId="5" type="noConversion"/>
  <conditionalFormatting sqref="C2:AC158">
    <cfRule type="cellIs" dxfId="2" priority="1" operator="lessThan">
      <formula>0</formula>
    </cfRule>
  </conditionalFormatting>
  <conditionalFormatting sqref="AC2:AC158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083"/>
  <sheetViews>
    <sheetView tabSelected="1" zoomScale="80" zoomScaleNormal="80" workbookViewId="0">
      <pane ySplit="1" topLeftCell="A4073" activePane="bottomLeft" state="frozen"/>
      <selection pane="bottomLeft" activeCell="E4082" sqref="E4082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8" customFormat="1" x14ac:dyDescent="0.3">
      <c r="A1" s="59" t="s">
        <v>2</v>
      </c>
      <c r="B1" s="60" t="s">
        <v>130</v>
      </c>
      <c r="C1" s="61" t="s">
        <v>163</v>
      </c>
      <c r="D1" s="62" t="s">
        <v>131</v>
      </c>
      <c r="G1" s="59" t="s">
        <v>2</v>
      </c>
      <c r="H1" s="60" t="s">
        <v>130</v>
      </c>
      <c r="I1" s="61" t="s">
        <v>163</v>
      </c>
      <c r="J1" s="62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194</v>
      </c>
      <c r="C22" s="16">
        <v>46143</v>
      </c>
      <c r="D22">
        <v>0</v>
      </c>
    </row>
    <row r="23" spans="1:4" x14ac:dyDescent="0.3">
      <c r="A23" t="s">
        <v>195</v>
      </c>
      <c r="C23" s="16">
        <v>46143</v>
      </c>
      <c r="D23">
        <v>0</v>
      </c>
    </row>
    <row r="24" spans="1:4" x14ac:dyDescent="0.3">
      <c r="A24" t="s">
        <v>196</v>
      </c>
      <c r="C24" s="16">
        <v>46143</v>
      </c>
      <c r="D24">
        <v>0</v>
      </c>
    </row>
    <row r="25" spans="1:4" x14ac:dyDescent="0.3">
      <c r="A25" t="s">
        <v>197</v>
      </c>
      <c r="C25" s="16">
        <v>46143</v>
      </c>
      <c r="D25">
        <v>0</v>
      </c>
    </row>
    <row r="26" spans="1:4" x14ac:dyDescent="0.3">
      <c r="A26" t="s">
        <v>214</v>
      </c>
      <c r="C26" s="16">
        <v>46143</v>
      </c>
      <c r="D26">
        <v>0</v>
      </c>
    </row>
    <row r="27" spans="1:4" x14ac:dyDescent="0.3">
      <c r="A27" t="s">
        <v>199</v>
      </c>
      <c r="C27" s="16">
        <v>46143</v>
      </c>
      <c r="D27">
        <v>0</v>
      </c>
    </row>
    <row r="28" spans="1:4" x14ac:dyDescent="0.3">
      <c r="A28" t="s">
        <v>17</v>
      </c>
      <c r="C28" s="16">
        <v>46144</v>
      </c>
      <c r="D28">
        <v>200763.43000000025</v>
      </c>
    </row>
    <row r="29" spans="1:4" x14ac:dyDescent="0.3">
      <c r="A29" t="s">
        <v>18</v>
      </c>
      <c r="C29" s="16">
        <v>46144</v>
      </c>
      <c r="D29">
        <v>51288.029999999948</v>
      </c>
    </row>
    <row r="30" spans="1:4" x14ac:dyDescent="0.3">
      <c r="A30" t="s">
        <v>19</v>
      </c>
      <c r="C30" s="16">
        <v>46144</v>
      </c>
      <c r="D30">
        <v>1669.89</v>
      </c>
    </row>
    <row r="31" spans="1:4" x14ac:dyDescent="0.3">
      <c r="A31" t="s">
        <v>20</v>
      </c>
      <c r="C31" s="16">
        <v>46144</v>
      </c>
      <c r="D31">
        <v>589990.30000000005</v>
      </c>
    </row>
    <row r="32" spans="1:4" x14ac:dyDescent="0.3">
      <c r="A32" t="s">
        <v>21</v>
      </c>
      <c r="C32" s="16">
        <v>46144</v>
      </c>
      <c r="D32">
        <v>990387.37999999931</v>
      </c>
    </row>
    <row r="33" spans="1:4" x14ac:dyDescent="0.3">
      <c r="A33" t="s">
        <v>22</v>
      </c>
      <c r="C33" s="16">
        <v>46144</v>
      </c>
      <c r="D33">
        <v>142511.38</v>
      </c>
    </row>
    <row r="34" spans="1:4" x14ac:dyDescent="0.3">
      <c r="A34" t="s">
        <v>23</v>
      </c>
      <c r="C34" s="16">
        <v>46144</v>
      </c>
      <c r="D34">
        <v>13088.589999999997</v>
      </c>
    </row>
    <row r="35" spans="1:4" x14ac:dyDescent="0.3">
      <c r="A35" t="s">
        <v>24</v>
      </c>
      <c r="C35" s="16">
        <v>46144</v>
      </c>
      <c r="D35">
        <v>808.82999999999993</v>
      </c>
    </row>
    <row r="36" spans="1:4" x14ac:dyDescent="0.3">
      <c r="A36" t="s">
        <v>25</v>
      </c>
      <c r="C36" s="16">
        <v>46144</v>
      </c>
      <c r="D36">
        <v>114.3</v>
      </c>
    </row>
    <row r="37" spans="1:4" x14ac:dyDescent="0.3">
      <c r="A37" t="s">
        <v>26</v>
      </c>
      <c r="C37" s="16">
        <v>46144</v>
      </c>
      <c r="D37">
        <v>2267.7200000000003</v>
      </c>
    </row>
    <row r="38" spans="1:4" x14ac:dyDescent="0.3">
      <c r="A38" t="s">
        <v>27</v>
      </c>
      <c r="C38" s="16">
        <v>46144</v>
      </c>
      <c r="D38">
        <v>3364.94</v>
      </c>
    </row>
    <row r="39" spans="1:4" x14ac:dyDescent="0.3">
      <c r="A39" t="s">
        <v>28</v>
      </c>
      <c r="C39" s="16">
        <v>46144</v>
      </c>
      <c r="D39">
        <v>1968.99</v>
      </c>
    </row>
    <row r="40" spans="1:4" x14ac:dyDescent="0.3">
      <c r="A40" t="s">
        <v>29</v>
      </c>
      <c r="C40" s="16">
        <v>46144</v>
      </c>
      <c r="D40">
        <v>901.34</v>
      </c>
    </row>
    <row r="41" spans="1:4" x14ac:dyDescent="0.3">
      <c r="A41" t="s">
        <v>30</v>
      </c>
      <c r="C41" s="16">
        <v>46144</v>
      </c>
      <c r="D41">
        <v>1444.08</v>
      </c>
    </row>
    <row r="42" spans="1:4" x14ac:dyDescent="0.3">
      <c r="A42" t="s">
        <v>31</v>
      </c>
      <c r="C42" s="16">
        <v>46144</v>
      </c>
      <c r="D42">
        <v>23262.599999999962</v>
      </c>
    </row>
    <row r="43" spans="1:4" x14ac:dyDescent="0.3">
      <c r="A43" t="s">
        <v>32</v>
      </c>
      <c r="C43" s="16">
        <v>46144</v>
      </c>
      <c r="D43">
        <v>6853.9100000000017</v>
      </c>
    </row>
    <row r="44" spans="1:4" x14ac:dyDescent="0.3">
      <c r="A44" t="s">
        <v>33</v>
      </c>
      <c r="C44" s="16">
        <v>46144</v>
      </c>
      <c r="D44">
        <v>21338.39</v>
      </c>
    </row>
    <row r="45" spans="1:4" x14ac:dyDescent="0.3">
      <c r="A45" t="s">
        <v>34</v>
      </c>
      <c r="C45" s="16">
        <v>46144</v>
      </c>
      <c r="D45">
        <v>345</v>
      </c>
    </row>
    <row r="46" spans="1:4" x14ac:dyDescent="0.3">
      <c r="A46" t="s">
        <v>35</v>
      </c>
      <c r="C46" s="16">
        <v>46144</v>
      </c>
      <c r="D46">
        <v>13491.26</v>
      </c>
    </row>
    <row r="47" spans="1:4" x14ac:dyDescent="0.3">
      <c r="A47" t="s">
        <v>193</v>
      </c>
      <c r="C47" s="16">
        <v>46144</v>
      </c>
      <c r="D47">
        <v>0</v>
      </c>
    </row>
    <row r="48" spans="1:4" x14ac:dyDescent="0.3">
      <c r="A48" t="s">
        <v>194</v>
      </c>
      <c r="C48" s="16">
        <v>46144</v>
      </c>
      <c r="D48">
        <v>0</v>
      </c>
    </row>
    <row r="49" spans="1:4" x14ac:dyDescent="0.3">
      <c r="A49" t="s">
        <v>195</v>
      </c>
      <c r="C49" s="16">
        <v>46144</v>
      </c>
      <c r="D49">
        <v>0</v>
      </c>
    </row>
    <row r="50" spans="1:4" x14ac:dyDescent="0.3">
      <c r="A50" t="s">
        <v>196</v>
      </c>
      <c r="C50" s="16">
        <v>46144</v>
      </c>
      <c r="D50">
        <v>0</v>
      </c>
    </row>
    <row r="51" spans="1:4" x14ac:dyDescent="0.3">
      <c r="A51" t="s">
        <v>197</v>
      </c>
      <c r="C51" s="16">
        <v>46144</v>
      </c>
      <c r="D51">
        <v>0</v>
      </c>
    </row>
    <row r="52" spans="1:4" x14ac:dyDescent="0.3">
      <c r="A52" t="s">
        <v>214</v>
      </c>
      <c r="C52" s="16">
        <v>46144</v>
      </c>
      <c r="D52">
        <v>0</v>
      </c>
    </row>
    <row r="53" spans="1:4" x14ac:dyDescent="0.3">
      <c r="A53" t="s">
        <v>199</v>
      </c>
      <c r="C53" s="16">
        <v>46144</v>
      </c>
      <c r="D53">
        <v>0</v>
      </c>
    </row>
    <row r="54" spans="1:4" x14ac:dyDescent="0.3">
      <c r="A54" t="s">
        <v>17</v>
      </c>
      <c r="C54" s="16">
        <v>46145</v>
      </c>
      <c r="D54">
        <v>200763.43000000025</v>
      </c>
    </row>
    <row r="55" spans="1:4" x14ac:dyDescent="0.3">
      <c r="A55" t="s">
        <v>18</v>
      </c>
      <c r="C55" s="16">
        <v>46145</v>
      </c>
      <c r="D55">
        <v>51288.029999999948</v>
      </c>
    </row>
    <row r="56" spans="1:4" x14ac:dyDescent="0.3">
      <c r="A56" t="s">
        <v>19</v>
      </c>
      <c r="C56" s="16">
        <v>46145</v>
      </c>
      <c r="D56">
        <v>1669.89</v>
      </c>
    </row>
    <row r="57" spans="1:4" x14ac:dyDescent="0.3">
      <c r="A57" t="s">
        <v>20</v>
      </c>
      <c r="C57" s="16">
        <v>46145</v>
      </c>
      <c r="D57">
        <v>589990.30000000005</v>
      </c>
    </row>
    <row r="58" spans="1:4" x14ac:dyDescent="0.3">
      <c r="A58" t="s">
        <v>21</v>
      </c>
      <c r="C58" s="16">
        <v>46145</v>
      </c>
      <c r="D58">
        <v>990387.37999999931</v>
      </c>
    </row>
    <row r="59" spans="1:4" x14ac:dyDescent="0.3">
      <c r="A59" t="s">
        <v>22</v>
      </c>
      <c r="C59" s="16">
        <v>46145</v>
      </c>
      <c r="D59">
        <v>142511.38</v>
      </c>
    </row>
    <row r="60" spans="1:4" x14ac:dyDescent="0.3">
      <c r="A60" t="s">
        <v>23</v>
      </c>
      <c r="C60" s="16">
        <v>46145</v>
      </c>
      <c r="D60">
        <v>13088.589999999997</v>
      </c>
    </row>
    <row r="61" spans="1:4" x14ac:dyDescent="0.3">
      <c r="A61" t="s">
        <v>24</v>
      </c>
      <c r="C61" s="16">
        <v>46145</v>
      </c>
      <c r="D61">
        <v>808.82999999999993</v>
      </c>
    </row>
    <row r="62" spans="1:4" x14ac:dyDescent="0.3">
      <c r="A62" t="s">
        <v>25</v>
      </c>
      <c r="C62" s="16">
        <v>46145</v>
      </c>
      <c r="D62">
        <v>114.3</v>
      </c>
    </row>
    <row r="63" spans="1:4" x14ac:dyDescent="0.3">
      <c r="A63" t="s">
        <v>26</v>
      </c>
      <c r="C63" s="16">
        <v>46145</v>
      </c>
      <c r="D63">
        <v>2267.7200000000003</v>
      </c>
    </row>
    <row r="64" spans="1:4" x14ac:dyDescent="0.3">
      <c r="A64" t="s">
        <v>27</v>
      </c>
      <c r="C64" s="16">
        <v>46145</v>
      </c>
      <c r="D64">
        <v>3364.94</v>
      </c>
    </row>
    <row r="65" spans="1:4" x14ac:dyDescent="0.3">
      <c r="A65" t="s">
        <v>28</v>
      </c>
      <c r="C65" s="16">
        <v>46145</v>
      </c>
      <c r="D65">
        <v>1968.99</v>
      </c>
    </row>
    <row r="66" spans="1:4" x14ac:dyDescent="0.3">
      <c r="A66" t="s">
        <v>29</v>
      </c>
      <c r="C66" s="16">
        <v>46145</v>
      </c>
      <c r="D66">
        <v>901.34</v>
      </c>
    </row>
    <row r="67" spans="1:4" x14ac:dyDescent="0.3">
      <c r="A67" t="s">
        <v>30</v>
      </c>
      <c r="C67" s="16">
        <v>46145</v>
      </c>
      <c r="D67">
        <v>1444.08</v>
      </c>
    </row>
    <row r="68" spans="1:4" x14ac:dyDescent="0.3">
      <c r="A68" t="s">
        <v>31</v>
      </c>
      <c r="C68" s="16">
        <v>46145</v>
      </c>
      <c r="D68">
        <v>23262.599999999962</v>
      </c>
    </row>
    <row r="69" spans="1:4" x14ac:dyDescent="0.3">
      <c r="A69" t="s">
        <v>32</v>
      </c>
      <c r="C69" s="16">
        <v>46145</v>
      </c>
      <c r="D69">
        <v>6853.9100000000017</v>
      </c>
    </row>
    <row r="70" spans="1:4" x14ac:dyDescent="0.3">
      <c r="A70" t="s">
        <v>33</v>
      </c>
      <c r="C70" s="16">
        <v>46145</v>
      </c>
      <c r="D70">
        <v>21338.39</v>
      </c>
    </row>
    <row r="71" spans="1:4" x14ac:dyDescent="0.3">
      <c r="A71" t="s">
        <v>34</v>
      </c>
      <c r="C71" s="16">
        <v>46145</v>
      </c>
      <c r="D71">
        <v>345</v>
      </c>
    </row>
    <row r="72" spans="1:4" x14ac:dyDescent="0.3">
      <c r="A72" t="s">
        <v>35</v>
      </c>
      <c r="C72" s="16">
        <v>46145</v>
      </c>
      <c r="D72">
        <v>13491.26</v>
      </c>
    </row>
    <row r="73" spans="1:4" x14ac:dyDescent="0.3">
      <c r="A73" t="s">
        <v>193</v>
      </c>
      <c r="C73" s="16">
        <v>46145</v>
      </c>
      <c r="D73">
        <v>0</v>
      </c>
    </row>
    <row r="74" spans="1:4" x14ac:dyDescent="0.3">
      <c r="A74" t="s">
        <v>194</v>
      </c>
      <c r="C74" s="16">
        <v>46145</v>
      </c>
      <c r="D74">
        <v>0</v>
      </c>
    </row>
    <row r="75" spans="1:4" x14ac:dyDescent="0.3">
      <c r="A75" t="s">
        <v>195</v>
      </c>
      <c r="C75" s="16">
        <v>46145</v>
      </c>
      <c r="D75">
        <v>0</v>
      </c>
    </row>
    <row r="76" spans="1:4" x14ac:dyDescent="0.3">
      <c r="A76" t="s">
        <v>196</v>
      </c>
      <c r="C76" s="16">
        <v>46145</v>
      </c>
      <c r="D76">
        <v>0</v>
      </c>
    </row>
    <row r="77" spans="1:4" x14ac:dyDescent="0.3">
      <c r="A77" t="s">
        <v>197</v>
      </c>
      <c r="C77" s="16">
        <v>46145</v>
      </c>
      <c r="D77">
        <v>0</v>
      </c>
    </row>
    <row r="78" spans="1:4" x14ac:dyDescent="0.3">
      <c r="A78" t="s">
        <v>214</v>
      </c>
      <c r="C78" s="16">
        <v>46145</v>
      </c>
      <c r="D78">
        <v>0</v>
      </c>
    </row>
    <row r="79" spans="1:4" x14ac:dyDescent="0.3">
      <c r="A79" t="s">
        <v>199</v>
      </c>
      <c r="C79" s="16">
        <v>46145</v>
      </c>
      <c r="D79">
        <v>0</v>
      </c>
    </row>
    <row r="80" spans="1:4" x14ac:dyDescent="0.3">
      <c r="A80" t="s">
        <v>17</v>
      </c>
      <c r="C80" s="16">
        <v>46146</v>
      </c>
      <c r="D80">
        <v>200763.43000000025</v>
      </c>
    </row>
    <row r="81" spans="1:4" x14ac:dyDescent="0.3">
      <c r="A81" t="s">
        <v>18</v>
      </c>
      <c r="C81" s="16">
        <v>46146</v>
      </c>
      <c r="D81">
        <v>51288.029999999948</v>
      </c>
    </row>
    <row r="82" spans="1:4" x14ac:dyDescent="0.3">
      <c r="A82" t="s">
        <v>19</v>
      </c>
      <c r="C82" s="16">
        <v>46146</v>
      </c>
      <c r="D82">
        <v>1669.89</v>
      </c>
    </row>
    <row r="83" spans="1:4" x14ac:dyDescent="0.3">
      <c r="A83" t="s">
        <v>20</v>
      </c>
      <c r="C83" s="16">
        <v>46146</v>
      </c>
      <c r="D83">
        <v>589990.30000000005</v>
      </c>
    </row>
    <row r="84" spans="1:4" x14ac:dyDescent="0.3">
      <c r="A84" t="s">
        <v>21</v>
      </c>
      <c r="C84" s="16">
        <v>46146</v>
      </c>
      <c r="D84">
        <v>1790387.3799999994</v>
      </c>
    </row>
    <row r="85" spans="1:4" x14ac:dyDescent="0.3">
      <c r="A85" t="s">
        <v>22</v>
      </c>
      <c r="C85" s="16">
        <v>46146</v>
      </c>
      <c r="D85">
        <v>136511.38</v>
      </c>
    </row>
    <row r="86" spans="1:4" x14ac:dyDescent="0.3">
      <c r="A86" t="s">
        <v>23</v>
      </c>
      <c r="C86" s="16">
        <v>46146</v>
      </c>
      <c r="D86">
        <v>13088.589999999997</v>
      </c>
    </row>
    <row r="87" spans="1:4" x14ac:dyDescent="0.3">
      <c r="A87" t="s">
        <v>24</v>
      </c>
      <c r="C87" s="16">
        <v>46146</v>
      </c>
      <c r="D87">
        <v>808.82999999999993</v>
      </c>
    </row>
    <row r="88" spans="1:4" x14ac:dyDescent="0.3">
      <c r="A88" t="s">
        <v>25</v>
      </c>
      <c r="C88" s="16">
        <v>46146</v>
      </c>
      <c r="D88">
        <v>114.3</v>
      </c>
    </row>
    <row r="89" spans="1:4" x14ac:dyDescent="0.3">
      <c r="A89" t="s">
        <v>26</v>
      </c>
      <c r="C89" s="16">
        <v>46146</v>
      </c>
      <c r="D89">
        <v>2267.7200000000003</v>
      </c>
    </row>
    <row r="90" spans="1:4" x14ac:dyDescent="0.3">
      <c r="A90" t="s">
        <v>27</v>
      </c>
      <c r="C90" s="16">
        <v>46146</v>
      </c>
      <c r="D90">
        <v>3364.94</v>
      </c>
    </row>
    <row r="91" spans="1:4" x14ac:dyDescent="0.3">
      <c r="A91" t="s">
        <v>28</v>
      </c>
      <c r="C91" s="16">
        <v>46146</v>
      </c>
      <c r="D91">
        <v>1968.99</v>
      </c>
    </row>
    <row r="92" spans="1:4" x14ac:dyDescent="0.3">
      <c r="A92" t="s">
        <v>29</v>
      </c>
      <c r="C92" s="16">
        <v>46146</v>
      </c>
      <c r="D92">
        <v>901.34</v>
      </c>
    </row>
    <row r="93" spans="1:4" x14ac:dyDescent="0.3">
      <c r="A93" t="s">
        <v>30</v>
      </c>
      <c r="C93" s="16">
        <v>46146</v>
      </c>
      <c r="D93">
        <v>1444.08</v>
      </c>
    </row>
    <row r="94" spans="1:4" x14ac:dyDescent="0.3">
      <c r="A94" t="s">
        <v>31</v>
      </c>
      <c r="C94" s="16">
        <v>46146</v>
      </c>
      <c r="D94">
        <v>23247.599999999962</v>
      </c>
    </row>
    <row r="95" spans="1:4" x14ac:dyDescent="0.3">
      <c r="A95" t="s">
        <v>32</v>
      </c>
      <c r="C95" s="16">
        <v>46146</v>
      </c>
      <c r="D95">
        <v>6853.9100000000017</v>
      </c>
    </row>
    <row r="96" spans="1:4" x14ac:dyDescent="0.3">
      <c r="A96" t="s">
        <v>33</v>
      </c>
      <c r="C96" s="16">
        <v>46146</v>
      </c>
      <c r="D96">
        <v>21338.39</v>
      </c>
    </row>
    <row r="97" spans="1:4" x14ac:dyDescent="0.3">
      <c r="A97" t="s">
        <v>34</v>
      </c>
      <c r="C97" s="16">
        <v>46146</v>
      </c>
      <c r="D97">
        <v>345</v>
      </c>
    </row>
    <row r="98" spans="1:4" x14ac:dyDescent="0.3">
      <c r="A98" t="s">
        <v>35</v>
      </c>
      <c r="C98" s="16">
        <v>46146</v>
      </c>
      <c r="D98">
        <v>8782.25</v>
      </c>
    </row>
    <row r="99" spans="1:4" x14ac:dyDescent="0.3">
      <c r="A99" t="s">
        <v>193</v>
      </c>
      <c r="C99" s="16">
        <v>46146</v>
      </c>
      <c r="D99">
        <v>0</v>
      </c>
    </row>
    <row r="100" spans="1:4" x14ac:dyDescent="0.3">
      <c r="A100" t="s">
        <v>194</v>
      </c>
      <c r="C100" s="16">
        <v>46146</v>
      </c>
      <c r="D100">
        <v>0</v>
      </c>
    </row>
    <row r="101" spans="1:4" x14ac:dyDescent="0.3">
      <c r="A101" t="s">
        <v>195</v>
      </c>
      <c r="C101" s="16">
        <v>46146</v>
      </c>
      <c r="D101">
        <v>0</v>
      </c>
    </row>
    <row r="102" spans="1:4" x14ac:dyDescent="0.3">
      <c r="A102" t="s">
        <v>196</v>
      </c>
      <c r="C102" s="16">
        <v>46146</v>
      </c>
      <c r="D102">
        <v>0</v>
      </c>
    </row>
    <row r="103" spans="1:4" x14ac:dyDescent="0.3">
      <c r="A103" t="s">
        <v>197</v>
      </c>
      <c r="C103" s="16">
        <v>46146</v>
      </c>
      <c r="D103">
        <v>0</v>
      </c>
    </row>
    <row r="104" spans="1:4" x14ac:dyDescent="0.3">
      <c r="A104" t="s">
        <v>214</v>
      </c>
      <c r="C104" s="16">
        <v>46146</v>
      </c>
      <c r="D104">
        <v>0</v>
      </c>
    </row>
    <row r="105" spans="1:4" x14ac:dyDescent="0.3">
      <c r="A105" t="s">
        <v>199</v>
      </c>
      <c r="C105" s="16">
        <v>46146</v>
      </c>
      <c r="D105">
        <v>0</v>
      </c>
    </row>
    <row r="106" spans="1:4" x14ac:dyDescent="0.3">
      <c r="A106" t="s">
        <v>17</v>
      </c>
      <c r="C106" s="16">
        <v>46147</v>
      </c>
      <c r="D106">
        <v>197763.43000000025</v>
      </c>
    </row>
    <row r="107" spans="1:4" x14ac:dyDescent="0.3">
      <c r="A107" t="s">
        <v>18</v>
      </c>
      <c r="C107" s="16">
        <v>46147</v>
      </c>
      <c r="D107">
        <v>51288.029999999948</v>
      </c>
    </row>
    <row r="108" spans="1:4" x14ac:dyDescent="0.3">
      <c r="A108" t="s">
        <v>19</v>
      </c>
      <c r="C108" s="16">
        <v>46147</v>
      </c>
      <c r="D108">
        <v>1669.89</v>
      </c>
    </row>
    <row r="109" spans="1:4" x14ac:dyDescent="0.3">
      <c r="A109" t="s">
        <v>20</v>
      </c>
      <c r="C109" s="16">
        <v>46147</v>
      </c>
      <c r="D109">
        <v>989990.29999999993</v>
      </c>
    </row>
    <row r="110" spans="1:4" x14ac:dyDescent="0.3">
      <c r="A110" t="s">
        <v>21</v>
      </c>
      <c r="C110" s="16">
        <v>46147</v>
      </c>
      <c r="D110">
        <v>1088892.0899999994</v>
      </c>
    </row>
    <row r="111" spans="1:4" x14ac:dyDescent="0.3">
      <c r="A111" t="s">
        <v>22</v>
      </c>
      <c r="C111" s="16">
        <v>46147</v>
      </c>
      <c r="D111">
        <v>121511.38</v>
      </c>
    </row>
    <row r="112" spans="1:4" x14ac:dyDescent="0.3">
      <c r="A112" t="s">
        <v>23</v>
      </c>
      <c r="C112" s="16">
        <v>46147</v>
      </c>
      <c r="D112">
        <v>813088.59</v>
      </c>
    </row>
    <row r="113" spans="1:4" x14ac:dyDescent="0.3">
      <c r="A113" t="s">
        <v>24</v>
      </c>
      <c r="C113" s="16">
        <v>46147</v>
      </c>
      <c r="D113">
        <v>3768.83</v>
      </c>
    </row>
    <row r="114" spans="1:4" x14ac:dyDescent="0.3">
      <c r="A114" t="s">
        <v>25</v>
      </c>
      <c r="C114" s="16">
        <v>46147</v>
      </c>
      <c r="D114">
        <v>114.3</v>
      </c>
    </row>
    <row r="115" spans="1:4" x14ac:dyDescent="0.3">
      <c r="A115" t="s">
        <v>26</v>
      </c>
      <c r="C115" s="16">
        <v>46147</v>
      </c>
      <c r="D115">
        <v>2267.7200000000003</v>
      </c>
    </row>
    <row r="116" spans="1:4" x14ac:dyDescent="0.3">
      <c r="A116" t="s">
        <v>27</v>
      </c>
      <c r="C116" s="16">
        <v>46147</v>
      </c>
      <c r="D116">
        <v>3364.94</v>
      </c>
    </row>
    <row r="117" spans="1:4" x14ac:dyDescent="0.3">
      <c r="A117" t="s">
        <v>28</v>
      </c>
      <c r="C117" s="16">
        <v>46147</v>
      </c>
      <c r="D117">
        <v>1968.99</v>
      </c>
    </row>
    <row r="118" spans="1:4" x14ac:dyDescent="0.3">
      <c r="A118" t="s">
        <v>29</v>
      </c>
      <c r="C118" s="16">
        <v>46147</v>
      </c>
      <c r="D118">
        <v>901.34</v>
      </c>
    </row>
    <row r="119" spans="1:4" x14ac:dyDescent="0.3">
      <c r="A119" t="s">
        <v>30</v>
      </c>
      <c r="C119" s="16">
        <v>46147</v>
      </c>
      <c r="D119">
        <v>1444.08</v>
      </c>
    </row>
    <row r="120" spans="1:4" x14ac:dyDescent="0.3">
      <c r="A120" t="s">
        <v>31</v>
      </c>
      <c r="C120" s="16">
        <v>46147</v>
      </c>
      <c r="D120">
        <v>23247.599999999962</v>
      </c>
    </row>
    <row r="121" spans="1:4" x14ac:dyDescent="0.3">
      <c r="A121" t="s">
        <v>32</v>
      </c>
      <c r="C121" s="16">
        <v>46147</v>
      </c>
      <c r="D121">
        <v>6853.9100000000017</v>
      </c>
    </row>
    <row r="122" spans="1:4" x14ac:dyDescent="0.3">
      <c r="A122" t="s">
        <v>33</v>
      </c>
      <c r="C122" s="16">
        <v>46147</v>
      </c>
      <c r="D122">
        <v>21338.39</v>
      </c>
    </row>
    <row r="123" spans="1:4" x14ac:dyDescent="0.3">
      <c r="A123" t="s">
        <v>34</v>
      </c>
      <c r="C123" s="16">
        <v>46147</v>
      </c>
      <c r="D123">
        <v>345</v>
      </c>
    </row>
    <row r="124" spans="1:4" x14ac:dyDescent="0.3">
      <c r="A124" t="s">
        <v>35</v>
      </c>
      <c r="C124" s="16">
        <v>46147</v>
      </c>
      <c r="D124">
        <v>8782.25</v>
      </c>
    </row>
    <row r="125" spans="1:4" x14ac:dyDescent="0.3">
      <c r="A125" t="s">
        <v>193</v>
      </c>
      <c r="C125" s="16">
        <v>46147</v>
      </c>
      <c r="D125">
        <v>0</v>
      </c>
    </row>
    <row r="126" spans="1:4" x14ac:dyDescent="0.3">
      <c r="A126" t="s">
        <v>194</v>
      </c>
      <c r="C126" s="16">
        <v>46147</v>
      </c>
      <c r="D126">
        <v>0</v>
      </c>
    </row>
    <row r="127" spans="1:4" x14ac:dyDescent="0.3">
      <c r="A127" t="s">
        <v>195</v>
      </c>
      <c r="C127" s="16">
        <v>46147</v>
      </c>
      <c r="D127">
        <v>0</v>
      </c>
    </row>
    <row r="128" spans="1:4" x14ac:dyDescent="0.3">
      <c r="A128" t="s">
        <v>196</v>
      </c>
      <c r="C128" s="16">
        <v>46147</v>
      </c>
      <c r="D128">
        <v>0</v>
      </c>
    </row>
    <row r="129" spans="1:4" x14ac:dyDescent="0.3">
      <c r="A129" t="s">
        <v>197</v>
      </c>
      <c r="C129" s="16">
        <v>46147</v>
      </c>
      <c r="D129">
        <v>0</v>
      </c>
    </row>
    <row r="130" spans="1:4" x14ac:dyDescent="0.3">
      <c r="A130" t="s">
        <v>214</v>
      </c>
      <c r="C130" s="16">
        <v>46147</v>
      </c>
      <c r="D130">
        <v>0</v>
      </c>
    </row>
    <row r="131" spans="1:4" x14ac:dyDescent="0.3">
      <c r="A131" t="s">
        <v>199</v>
      </c>
      <c r="C131" s="16">
        <v>46147</v>
      </c>
      <c r="D131">
        <v>0</v>
      </c>
    </row>
    <row r="132" spans="1:4" x14ac:dyDescent="0.3">
      <c r="A132" t="s">
        <v>17</v>
      </c>
      <c r="C132" s="16">
        <v>46148</v>
      </c>
      <c r="D132">
        <v>197763.43000000025</v>
      </c>
    </row>
    <row r="133" spans="1:4" x14ac:dyDescent="0.3">
      <c r="A133" t="s">
        <v>18</v>
      </c>
      <c r="C133" s="16">
        <v>46148</v>
      </c>
      <c r="D133">
        <v>626288.02999999991</v>
      </c>
    </row>
    <row r="134" spans="1:4" x14ac:dyDescent="0.3">
      <c r="A134" t="s">
        <v>19</v>
      </c>
      <c r="C134" s="16">
        <v>46148</v>
      </c>
      <c r="D134">
        <v>1669.89</v>
      </c>
    </row>
    <row r="135" spans="1:4" x14ac:dyDescent="0.3">
      <c r="A135" t="s">
        <v>20</v>
      </c>
      <c r="C135" s="16">
        <v>46148</v>
      </c>
      <c r="D135">
        <v>989990.29999999993</v>
      </c>
    </row>
    <row r="136" spans="1:4" x14ac:dyDescent="0.3">
      <c r="A136" t="s">
        <v>21</v>
      </c>
      <c r="C136" s="16">
        <v>46148</v>
      </c>
      <c r="D136">
        <v>961212.30999999924</v>
      </c>
    </row>
    <row r="137" spans="1:4" x14ac:dyDescent="0.3">
      <c r="A137" t="s">
        <v>22</v>
      </c>
      <c r="C137" s="16">
        <v>46148</v>
      </c>
      <c r="D137">
        <v>121511.38</v>
      </c>
    </row>
    <row r="138" spans="1:4" x14ac:dyDescent="0.3">
      <c r="A138" t="s">
        <v>23</v>
      </c>
      <c r="C138" s="16">
        <v>46148</v>
      </c>
      <c r="D138">
        <v>813088.59</v>
      </c>
    </row>
    <row r="139" spans="1:4" x14ac:dyDescent="0.3">
      <c r="A139" t="s">
        <v>24</v>
      </c>
      <c r="C139" s="16">
        <v>46148</v>
      </c>
      <c r="D139">
        <v>3768.83</v>
      </c>
    </row>
    <row r="140" spans="1:4" x14ac:dyDescent="0.3">
      <c r="A140" t="s">
        <v>25</v>
      </c>
      <c r="C140" s="16">
        <v>46148</v>
      </c>
      <c r="D140">
        <v>114.3</v>
      </c>
    </row>
    <row r="141" spans="1:4" x14ac:dyDescent="0.3">
      <c r="A141" t="s">
        <v>26</v>
      </c>
      <c r="C141" s="16">
        <v>46148</v>
      </c>
      <c r="D141">
        <v>2267.7200000000003</v>
      </c>
    </row>
    <row r="142" spans="1:4" x14ac:dyDescent="0.3">
      <c r="A142" t="s">
        <v>27</v>
      </c>
      <c r="C142" s="16">
        <v>46148</v>
      </c>
      <c r="D142">
        <v>3364.94</v>
      </c>
    </row>
    <row r="143" spans="1:4" x14ac:dyDescent="0.3">
      <c r="A143" t="s">
        <v>28</v>
      </c>
      <c r="C143" s="16">
        <v>46148</v>
      </c>
      <c r="D143">
        <v>1968.99</v>
      </c>
    </row>
    <row r="144" spans="1:4" x14ac:dyDescent="0.3">
      <c r="A144" t="s">
        <v>29</v>
      </c>
      <c r="C144" s="16">
        <v>46148</v>
      </c>
      <c r="D144">
        <v>901.34</v>
      </c>
    </row>
    <row r="145" spans="1:4" x14ac:dyDescent="0.3">
      <c r="A145" t="s">
        <v>30</v>
      </c>
      <c r="C145" s="16">
        <v>46148</v>
      </c>
      <c r="D145">
        <v>1444.08</v>
      </c>
    </row>
    <row r="146" spans="1:4" x14ac:dyDescent="0.3">
      <c r="A146" t="s">
        <v>31</v>
      </c>
      <c r="C146" s="16">
        <v>46148</v>
      </c>
      <c r="D146">
        <v>23247.599999999962</v>
      </c>
    </row>
    <row r="147" spans="1:4" x14ac:dyDescent="0.3">
      <c r="A147" t="s">
        <v>32</v>
      </c>
      <c r="C147" s="16">
        <v>46148</v>
      </c>
      <c r="D147">
        <v>5135.0600000000013</v>
      </c>
    </row>
    <row r="148" spans="1:4" x14ac:dyDescent="0.3">
      <c r="A148" t="s">
        <v>33</v>
      </c>
      <c r="C148" s="16">
        <v>46148</v>
      </c>
      <c r="D148">
        <v>21338.39</v>
      </c>
    </row>
    <row r="149" spans="1:4" x14ac:dyDescent="0.3">
      <c r="A149" t="s">
        <v>34</v>
      </c>
      <c r="C149" s="16">
        <v>46148</v>
      </c>
      <c r="D149">
        <v>345</v>
      </c>
    </row>
    <row r="150" spans="1:4" x14ac:dyDescent="0.3">
      <c r="A150" t="s">
        <v>35</v>
      </c>
      <c r="C150" s="16">
        <v>46148</v>
      </c>
      <c r="D150">
        <v>8782.25</v>
      </c>
    </row>
    <row r="151" spans="1:4" x14ac:dyDescent="0.3">
      <c r="A151" t="s">
        <v>193</v>
      </c>
      <c r="C151" s="16">
        <v>46148</v>
      </c>
      <c r="D151">
        <v>0</v>
      </c>
    </row>
    <row r="152" spans="1:4" x14ac:dyDescent="0.3">
      <c r="A152" t="s">
        <v>194</v>
      </c>
      <c r="C152" s="16">
        <v>46148</v>
      </c>
      <c r="D152">
        <v>0</v>
      </c>
    </row>
    <row r="153" spans="1:4" x14ac:dyDescent="0.3">
      <c r="A153" t="s">
        <v>195</v>
      </c>
      <c r="C153" s="16">
        <v>46148</v>
      </c>
      <c r="D153">
        <v>0</v>
      </c>
    </row>
    <row r="154" spans="1:4" x14ac:dyDescent="0.3">
      <c r="A154" t="s">
        <v>196</v>
      </c>
      <c r="C154" s="16">
        <v>46148</v>
      </c>
      <c r="D154">
        <v>0</v>
      </c>
    </row>
    <row r="155" spans="1:4" x14ac:dyDescent="0.3">
      <c r="A155" t="s">
        <v>197</v>
      </c>
      <c r="C155" s="16">
        <v>46148</v>
      </c>
      <c r="D155">
        <v>0</v>
      </c>
    </row>
    <row r="156" spans="1:4" x14ac:dyDescent="0.3">
      <c r="A156" t="s">
        <v>214</v>
      </c>
      <c r="C156" s="16">
        <v>46148</v>
      </c>
      <c r="D156">
        <v>0</v>
      </c>
    </row>
    <row r="157" spans="1:4" x14ac:dyDescent="0.3">
      <c r="A157" t="s">
        <v>199</v>
      </c>
      <c r="C157" s="16">
        <v>46148</v>
      </c>
      <c r="D157">
        <v>0</v>
      </c>
    </row>
    <row r="158" spans="1:4" x14ac:dyDescent="0.3">
      <c r="A158" t="s">
        <v>17</v>
      </c>
      <c r="C158" s="16">
        <v>46149</v>
      </c>
      <c r="D158">
        <v>447763.43000000028</v>
      </c>
    </row>
    <row r="159" spans="1:4" x14ac:dyDescent="0.3">
      <c r="A159" t="s">
        <v>18</v>
      </c>
      <c r="C159" s="16">
        <v>46149</v>
      </c>
      <c r="D159">
        <v>56288.029999999941</v>
      </c>
    </row>
    <row r="160" spans="1:4" x14ac:dyDescent="0.3">
      <c r="A160" t="s">
        <v>19</v>
      </c>
      <c r="C160" s="16">
        <v>46149</v>
      </c>
      <c r="D160">
        <v>1669.89</v>
      </c>
    </row>
    <row r="161" spans="1:4" x14ac:dyDescent="0.3">
      <c r="A161" t="s">
        <v>20</v>
      </c>
      <c r="C161" s="16">
        <v>46149</v>
      </c>
      <c r="D161">
        <v>274668.55999999994</v>
      </c>
    </row>
    <row r="162" spans="1:4" x14ac:dyDescent="0.3">
      <c r="A162" t="s">
        <v>21</v>
      </c>
      <c r="C162" s="16">
        <v>46149</v>
      </c>
      <c r="D162">
        <v>926213.13999999932</v>
      </c>
    </row>
    <row r="163" spans="1:4" x14ac:dyDescent="0.3">
      <c r="A163" t="s">
        <v>22</v>
      </c>
      <c r="C163" s="16">
        <v>46149</v>
      </c>
      <c r="D163">
        <v>121511.38</v>
      </c>
    </row>
    <row r="164" spans="1:4" x14ac:dyDescent="0.3">
      <c r="A164" t="s">
        <v>23</v>
      </c>
      <c r="C164" s="16">
        <v>46149</v>
      </c>
      <c r="D164">
        <v>1513088.59</v>
      </c>
    </row>
    <row r="165" spans="1:4" x14ac:dyDescent="0.3">
      <c r="A165" t="s">
        <v>24</v>
      </c>
      <c r="C165" s="16">
        <v>46149</v>
      </c>
      <c r="D165">
        <v>3768.83</v>
      </c>
    </row>
    <row r="166" spans="1:4" x14ac:dyDescent="0.3">
      <c r="A166" t="s">
        <v>25</v>
      </c>
      <c r="C166" s="16">
        <v>46149</v>
      </c>
      <c r="D166">
        <v>114.3</v>
      </c>
    </row>
    <row r="167" spans="1:4" x14ac:dyDescent="0.3">
      <c r="A167" t="s">
        <v>26</v>
      </c>
      <c r="C167" s="16">
        <v>46149</v>
      </c>
      <c r="D167">
        <v>2267.7200000000003</v>
      </c>
    </row>
    <row r="168" spans="1:4" x14ac:dyDescent="0.3">
      <c r="A168" t="s">
        <v>27</v>
      </c>
      <c r="C168" s="16">
        <v>46149</v>
      </c>
      <c r="D168">
        <v>3364.94</v>
      </c>
    </row>
    <row r="169" spans="1:4" x14ac:dyDescent="0.3">
      <c r="A169" t="s">
        <v>28</v>
      </c>
      <c r="C169" s="16">
        <v>46149</v>
      </c>
      <c r="D169">
        <v>1968.99</v>
      </c>
    </row>
    <row r="170" spans="1:4" x14ac:dyDescent="0.3">
      <c r="A170" t="s">
        <v>29</v>
      </c>
      <c r="C170" s="16">
        <v>46149</v>
      </c>
      <c r="D170">
        <v>901.34</v>
      </c>
    </row>
    <row r="171" spans="1:4" x14ac:dyDescent="0.3">
      <c r="A171" t="s">
        <v>30</v>
      </c>
      <c r="C171" s="16">
        <v>46149</v>
      </c>
      <c r="D171">
        <v>1444.08</v>
      </c>
    </row>
    <row r="172" spans="1:4" x14ac:dyDescent="0.3">
      <c r="A172" t="s">
        <v>31</v>
      </c>
      <c r="C172" s="16">
        <v>46149</v>
      </c>
      <c r="D172">
        <v>23247.599999999962</v>
      </c>
    </row>
    <row r="173" spans="1:4" x14ac:dyDescent="0.3">
      <c r="A173" t="s">
        <v>32</v>
      </c>
      <c r="C173" s="16">
        <v>46149</v>
      </c>
      <c r="D173">
        <v>15135.060000000001</v>
      </c>
    </row>
    <row r="174" spans="1:4" x14ac:dyDescent="0.3">
      <c r="A174" t="s">
        <v>33</v>
      </c>
      <c r="C174" s="16">
        <v>46149</v>
      </c>
      <c r="D174">
        <v>31338.39</v>
      </c>
    </row>
    <row r="175" spans="1:4" x14ac:dyDescent="0.3">
      <c r="A175" t="s">
        <v>34</v>
      </c>
      <c r="C175" s="16">
        <v>46149</v>
      </c>
      <c r="D175">
        <v>345</v>
      </c>
    </row>
    <row r="176" spans="1:4" x14ac:dyDescent="0.3">
      <c r="A176" t="s">
        <v>35</v>
      </c>
      <c r="C176" s="16">
        <v>46149</v>
      </c>
      <c r="D176">
        <v>8782.25</v>
      </c>
    </row>
    <row r="177" spans="1:4" x14ac:dyDescent="0.3">
      <c r="A177" t="s">
        <v>193</v>
      </c>
      <c r="C177" s="16">
        <v>46149</v>
      </c>
      <c r="D177">
        <v>0</v>
      </c>
    </row>
    <row r="178" spans="1:4" x14ac:dyDescent="0.3">
      <c r="A178" t="s">
        <v>194</v>
      </c>
      <c r="C178" s="16">
        <v>46149</v>
      </c>
      <c r="D178">
        <v>0</v>
      </c>
    </row>
    <row r="179" spans="1:4" x14ac:dyDescent="0.3">
      <c r="A179" t="s">
        <v>195</v>
      </c>
      <c r="C179" s="16">
        <v>46149</v>
      </c>
      <c r="D179">
        <v>0</v>
      </c>
    </row>
    <row r="180" spans="1:4" x14ac:dyDescent="0.3">
      <c r="A180" t="s">
        <v>196</v>
      </c>
      <c r="C180" s="16">
        <v>46149</v>
      </c>
      <c r="D180">
        <v>0</v>
      </c>
    </row>
    <row r="181" spans="1:4" x14ac:dyDescent="0.3">
      <c r="A181" t="s">
        <v>197</v>
      </c>
      <c r="C181" s="16">
        <v>46149</v>
      </c>
      <c r="D181">
        <v>0</v>
      </c>
    </row>
    <row r="182" spans="1:4" x14ac:dyDescent="0.3">
      <c r="A182" t="s">
        <v>214</v>
      </c>
      <c r="C182" s="16">
        <v>46149</v>
      </c>
      <c r="D182">
        <v>0</v>
      </c>
    </row>
    <row r="183" spans="1:4" x14ac:dyDescent="0.3">
      <c r="A183" t="s">
        <v>199</v>
      </c>
      <c r="C183" s="16">
        <v>46149</v>
      </c>
      <c r="D183">
        <v>0</v>
      </c>
    </row>
    <row r="184" spans="1:4" x14ac:dyDescent="0.3">
      <c r="A184" t="s">
        <v>17</v>
      </c>
      <c r="C184" s="16">
        <v>46150</v>
      </c>
      <c r="D184">
        <v>512927.75000000023</v>
      </c>
    </row>
    <row r="185" spans="1:4" x14ac:dyDescent="0.3">
      <c r="A185" t="s">
        <v>18</v>
      </c>
      <c r="C185" s="16">
        <v>46150</v>
      </c>
      <c r="D185">
        <v>58840.089999999938</v>
      </c>
    </row>
    <row r="186" spans="1:4" x14ac:dyDescent="0.3">
      <c r="A186" t="s">
        <v>19</v>
      </c>
      <c r="C186" s="16">
        <v>46150</v>
      </c>
      <c r="D186">
        <v>1669.89</v>
      </c>
    </row>
    <row r="187" spans="1:4" x14ac:dyDescent="0.3">
      <c r="A187" t="s">
        <v>20</v>
      </c>
      <c r="C187" s="16">
        <v>46150</v>
      </c>
      <c r="D187">
        <v>792366.49999999988</v>
      </c>
    </row>
    <row r="188" spans="1:4" x14ac:dyDescent="0.3">
      <c r="A188" t="s">
        <v>21</v>
      </c>
      <c r="C188" s="16">
        <v>46150</v>
      </c>
      <c r="D188">
        <v>923830.41999999923</v>
      </c>
    </row>
    <row r="189" spans="1:4" x14ac:dyDescent="0.3">
      <c r="A189" t="s">
        <v>22</v>
      </c>
      <c r="C189" s="16">
        <v>46150</v>
      </c>
      <c r="D189">
        <v>121511.38</v>
      </c>
    </row>
    <row r="190" spans="1:4" x14ac:dyDescent="0.3">
      <c r="A190" t="s">
        <v>23</v>
      </c>
      <c r="C190" s="16">
        <v>46150</v>
      </c>
      <c r="D190">
        <v>13088.589999999997</v>
      </c>
    </row>
    <row r="191" spans="1:4" x14ac:dyDescent="0.3">
      <c r="A191" t="s">
        <v>24</v>
      </c>
      <c r="C191" s="16">
        <v>46150</v>
      </c>
      <c r="D191">
        <v>3768.83</v>
      </c>
    </row>
    <row r="192" spans="1:4" x14ac:dyDescent="0.3">
      <c r="A192" t="s">
        <v>25</v>
      </c>
      <c r="C192" s="16">
        <v>46150</v>
      </c>
      <c r="D192">
        <v>114.3</v>
      </c>
    </row>
    <row r="193" spans="1:4" x14ac:dyDescent="0.3">
      <c r="A193" t="s">
        <v>26</v>
      </c>
      <c r="C193" s="16">
        <v>46150</v>
      </c>
      <c r="D193">
        <v>2267.7200000000003</v>
      </c>
    </row>
    <row r="194" spans="1:4" x14ac:dyDescent="0.3">
      <c r="A194" t="s">
        <v>27</v>
      </c>
      <c r="C194" s="16">
        <v>46150</v>
      </c>
      <c r="D194">
        <v>3349.94</v>
      </c>
    </row>
    <row r="195" spans="1:4" x14ac:dyDescent="0.3">
      <c r="A195" t="s">
        <v>28</v>
      </c>
      <c r="C195" s="16">
        <v>46150</v>
      </c>
      <c r="D195">
        <v>1968.99</v>
      </c>
    </row>
    <row r="196" spans="1:4" x14ac:dyDescent="0.3">
      <c r="A196" t="s">
        <v>29</v>
      </c>
      <c r="C196" s="16">
        <v>46150</v>
      </c>
      <c r="D196">
        <v>901.34</v>
      </c>
    </row>
    <row r="197" spans="1:4" x14ac:dyDescent="0.3">
      <c r="A197" t="s">
        <v>30</v>
      </c>
      <c r="C197" s="16">
        <v>46150</v>
      </c>
      <c r="D197">
        <v>1444.08</v>
      </c>
    </row>
    <row r="198" spans="1:4" x14ac:dyDescent="0.3">
      <c r="A198" t="s">
        <v>31</v>
      </c>
      <c r="C198" s="16">
        <v>46150</v>
      </c>
      <c r="D198">
        <v>20592.599999999962</v>
      </c>
    </row>
    <row r="199" spans="1:4" x14ac:dyDescent="0.3">
      <c r="A199" t="s">
        <v>32</v>
      </c>
      <c r="C199" s="16">
        <v>46150</v>
      </c>
      <c r="D199">
        <v>15120.060000000001</v>
      </c>
    </row>
    <row r="200" spans="1:4" x14ac:dyDescent="0.3">
      <c r="A200" t="s">
        <v>33</v>
      </c>
      <c r="C200" s="16">
        <v>46150</v>
      </c>
      <c r="D200">
        <v>31323.39</v>
      </c>
    </row>
    <row r="201" spans="1:4" x14ac:dyDescent="0.3">
      <c r="A201" t="s">
        <v>34</v>
      </c>
      <c r="C201" s="16">
        <v>46150</v>
      </c>
      <c r="D201">
        <v>345</v>
      </c>
    </row>
    <row r="202" spans="1:4" x14ac:dyDescent="0.3">
      <c r="A202" t="s">
        <v>35</v>
      </c>
      <c r="C202" s="16">
        <v>46150</v>
      </c>
      <c r="D202">
        <v>23782.25</v>
      </c>
    </row>
    <row r="203" spans="1:4" x14ac:dyDescent="0.3">
      <c r="A203" t="s">
        <v>193</v>
      </c>
      <c r="C203" s="16">
        <v>46150</v>
      </c>
      <c r="D203">
        <v>0</v>
      </c>
    </row>
    <row r="204" spans="1:4" x14ac:dyDescent="0.3">
      <c r="A204" t="s">
        <v>194</v>
      </c>
      <c r="C204" s="16">
        <v>46150</v>
      </c>
      <c r="D204">
        <v>0</v>
      </c>
    </row>
    <row r="205" spans="1:4" x14ac:dyDescent="0.3">
      <c r="A205" t="s">
        <v>195</v>
      </c>
      <c r="C205" s="16">
        <v>46150</v>
      </c>
      <c r="D205">
        <v>0</v>
      </c>
    </row>
    <row r="206" spans="1:4" x14ac:dyDescent="0.3">
      <c r="A206" t="s">
        <v>196</v>
      </c>
      <c r="C206" s="16">
        <v>46150</v>
      </c>
      <c r="D206">
        <v>0</v>
      </c>
    </row>
    <row r="207" spans="1:4" x14ac:dyDescent="0.3">
      <c r="A207" t="s">
        <v>197</v>
      </c>
      <c r="C207" s="16">
        <v>46150</v>
      </c>
      <c r="D207">
        <v>0</v>
      </c>
    </row>
    <row r="208" spans="1:4" x14ac:dyDescent="0.3">
      <c r="A208" t="s">
        <v>214</v>
      </c>
      <c r="C208" s="16">
        <v>46150</v>
      </c>
      <c r="D208">
        <v>0</v>
      </c>
    </row>
    <row r="209" spans="1:4" x14ac:dyDescent="0.3">
      <c r="A209" t="s">
        <v>199</v>
      </c>
      <c r="C209" s="16">
        <v>46150</v>
      </c>
      <c r="D209">
        <v>0</v>
      </c>
    </row>
    <row r="210" spans="1:4" x14ac:dyDescent="0.3">
      <c r="A210" t="s">
        <v>17</v>
      </c>
      <c r="C210" s="16">
        <v>46151</v>
      </c>
      <c r="D210">
        <v>512927.75000000023</v>
      </c>
    </row>
    <row r="211" spans="1:4" x14ac:dyDescent="0.3">
      <c r="A211" t="s">
        <v>18</v>
      </c>
      <c r="C211" s="16">
        <v>46151</v>
      </c>
      <c r="D211">
        <v>58840.089999999938</v>
      </c>
    </row>
    <row r="212" spans="1:4" x14ac:dyDescent="0.3">
      <c r="A212" t="s">
        <v>19</v>
      </c>
      <c r="C212" s="16">
        <v>46151</v>
      </c>
      <c r="D212">
        <v>1669.89</v>
      </c>
    </row>
    <row r="213" spans="1:4" x14ac:dyDescent="0.3">
      <c r="A213" t="s">
        <v>20</v>
      </c>
      <c r="C213" s="16">
        <v>46151</v>
      </c>
      <c r="D213">
        <v>792366.49999999988</v>
      </c>
    </row>
    <row r="214" spans="1:4" x14ac:dyDescent="0.3">
      <c r="A214" t="s">
        <v>21</v>
      </c>
      <c r="C214" s="16">
        <v>46151</v>
      </c>
      <c r="D214">
        <v>923830.41999999923</v>
      </c>
    </row>
    <row r="215" spans="1:4" x14ac:dyDescent="0.3">
      <c r="A215" t="s">
        <v>22</v>
      </c>
      <c r="C215" s="16">
        <v>46151</v>
      </c>
      <c r="D215">
        <v>121511.38</v>
      </c>
    </row>
    <row r="216" spans="1:4" x14ac:dyDescent="0.3">
      <c r="A216" t="s">
        <v>23</v>
      </c>
      <c r="C216" s="16">
        <v>46151</v>
      </c>
      <c r="D216">
        <v>13088.589999999997</v>
      </c>
    </row>
    <row r="217" spans="1:4" x14ac:dyDescent="0.3">
      <c r="A217" t="s">
        <v>24</v>
      </c>
      <c r="C217" s="16">
        <v>46151</v>
      </c>
      <c r="D217">
        <v>3768.83</v>
      </c>
    </row>
    <row r="218" spans="1:4" x14ac:dyDescent="0.3">
      <c r="A218" t="s">
        <v>25</v>
      </c>
      <c r="C218" s="16">
        <v>46151</v>
      </c>
      <c r="D218">
        <v>114.3</v>
      </c>
    </row>
    <row r="219" spans="1:4" x14ac:dyDescent="0.3">
      <c r="A219" t="s">
        <v>26</v>
      </c>
      <c r="C219" s="16">
        <v>46151</v>
      </c>
      <c r="D219">
        <v>2267.7200000000003</v>
      </c>
    </row>
    <row r="220" spans="1:4" x14ac:dyDescent="0.3">
      <c r="A220" t="s">
        <v>27</v>
      </c>
      <c r="C220" s="16">
        <v>46151</v>
      </c>
      <c r="D220">
        <v>3349.94</v>
      </c>
    </row>
    <row r="221" spans="1:4" x14ac:dyDescent="0.3">
      <c r="A221" t="s">
        <v>28</v>
      </c>
      <c r="C221" s="16">
        <v>46151</v>
      </c>
      <c r="D221">
        <v>1968.99</v>
      </c>
    </row>
    <row r="222" spans="1:4" x14ac:dyDescent="0.3">
      <c r="A222" t="s">
        <v>29</v>
      </c>
      <c r="C222" s="16">
        <v>46151</v>
      </c>
      <c r="D222">
        <v>901.34</v>
      </c>
    </row>
    <row r="223" spans="1:4" x14ac:dyDescent="0.3">
      <c r="A223" t="s">
        <v>30</v>
      </c>
      <c r="C223" s="16">
        <v>46151</v>
      </c>
      <c r="D223">
        <v>1444.08</v>
      </c>
    </row>
    <row r="224" spans="1:4" x14ac:dyDescent="0.3">
      <c r="A224" t="s">
        <v>31</v>
      </c>
      <c r="C224" s="16">
        <v>46151</v>
      </c>
      <c r="D224">
        <v>20592.599999999962</v>
      </c>
    </row>
    <row r="225" spans="1:4" x14ac:dyDescent="0.3">
      <c r="A225" t="s">
        <v>32</v>
      </c>
      <c r="C225" s="16">
        <v>46151</v>
      </c>
      <c r="D225">
        <v>15120.060000000001</v>
      </c>
    </row>
    <row r="226" spans="1:4" x14ac:dyDescent="0.3">
      <c r="A226" t="s">
        <v>33</v>
      </c>
      <c r="C226" s="16">
        <v>46151</v>
      </c>
      <c r="D226">
        <v>31323.39</v>
      </c>
    </row>
    <row r="227" spans="1:4" x14ac:dyDescent="0.3">
      <c r="A227" t="s">
        <v>34</v>
      </c>
      <c r="C227" s="16">
        <v>46151</v>
      </c>
      <c r="D227">
        <v>345</v>
      </c>
    </row>
    <row r="228" spans="1:4" x14ac:dyDescent="0.3">
      <c r="A228" t="s">
        <v>35</v>
      </c>
      <c r="C228" s="16">
        <v>46151</v>
      </c>
      <c r="D228">
        <v>23782.25</v>
      </c>
    </row>
    <row r="229" spans="1:4" x14ac:dyDescent="0.3">
      <c r="A229" t="s">
        <v>193</v>
      </c>
      <c r="C229" s="16">
        <v>46151</v>
      </c>
      <c r="D229">
        <v>0</v>
      </c>
    </row>
    <row r="230" spans="1:4" x14ac:dyDescent="0.3">
      <c r="A230" t="s">
        <v>194</v>
      </c>
      <c r="C230" s="16">
        <v>46151</v>
      </c>
      <c r="D230">
        <v>0</v>
      </c>
    </row>
    <row r="231" spans="1:4" x14ac:dyDescent="0.3">
      <c r="A231" t="s">
        <v>195</v>
      </c>
      <c r="C231" s="16">
        <v>46151</v>
      </c>
      <c r="D231">
        <v>0</v>
      </c>
    </row>
    <row r="232" spans="1:4" x14ac:dyDescent="0.3">
      <c r="A232" t="s">
        <v>196</v>
      </c>
      <c r="C232" s="16">
        <v>46151</v>
      </c>
      <c r="D232">
        <v>0</v>
      </c>
    </row>
    <row r="233" spans="1:4" x14ac:dyDescent="0.3">
      <c r="A233" t="s">
        <v>197</v>
      </c>
      <c r="C233" s="16">
        <v>46151</v>
      </c>
      <c r="D233">
        <v>0</v>
      </c>
    </row>
    <row r="234" spans="1:4" x14ac:dyDescent="0.3">
      <c r="A234" t="s">
        <v>214</v>
      </c>
      <c r="C234" s="16">
        <v>46151</v>
      </c>
      <c r="D234">
        <v>0</v>
      </c>
    </row>
    <row r="235" spans="1:4" x14ac:dyDescent="0.3">
      <c r="A235" t="s">
        <v>199</v>
      </c>
      <c r="C235" s="16">
        <v>46151</v>
      </c>
      <c r="D235">
        <v>0</v>
      </c>
    </row>
    <row r="236" spans="1:4" x14ac:dyDescent="0.3">
      <c r="A236" t="s">
        <v>17</v>
      </c>
      <c r="C236" s="16">
        <v>46152</v>
      </c>
      <c r="D236">
        <v>512927.75000000023</v>
      </c>
    </row>
    <row r="237" spans="1:4" x14ac:dyDescent="0.3">
      <c r="A237" t="s">
        <v>18</v>
      </c>
      <c r="C237" s="16">
        <v>46152</v>
      </c>
      <c r="D237">
        <v>58840.089999999938</v>
      </c>
    </row>
    <row r="238" spans="1:4" x14ac:dyDescent="0.3">
      <c r="A238" t="s">
        <v>19</v>
      </c>
      <c r="C238" s="16">
        <v>46152</v>
      </c>
      <c r="D238">
        <v>1669.89</v>
      </c>
    </row>
    <row r="239" spans="1:4" x14ac:dyDescent="0.3">
      <c r="A239" t="s">
        <v>20</v>
      </c>
      <c r="C239" s="16">
        <v>46152</v>
      </c>
      <c r="D239">
        <v>792366.49999999988</v>
      </c>
    </row>
    <row r="240" spans="1:4" x14ac:dyDescent="0.3">
      <c r="A240" t="s">
        <v>21</v>
      </c>
      <c r="C240" s="16">
        <v>46152</v>
      </c>
      <c r="D240">
        <v>923830.41999999923</v>
      </c>
    </row>
    <row r="241" spans="1:4" x14ac:dyDescent="0.3">
      <c r="A241" t="s">
        <v>22</v>
      </c>
      <c r="C241" s="16">
        <v>46152</v>
      </c>
      <c r="D241">
        <v>121511.38</v>
      </c>
    </row>
    <row r="242" spans="1:4" x14ac:dyDescent="0.3">
      <c r="A242" t="s">
        <v>23</v>
      </c>
      <c r="C242" s="16">
        <v>46152</v>
      </c>
      <c r="D242">
        <v>13088.589999999997</v>
      </c>
    </row>
    <row r="243" spans="1:4" x14ac:dyDescent="0.3">
      <c r="A243" t="s">
        <v>24</v>
      </c>
      <c r="C243" s="16">
        <v>46152</v>
      </c>
      <c r="D243">
        <v>3768.83</v>
      </c>
    </row>
    <row r="244" spans="1:4" x14ac:dyDescent="0.3">
      <c r="A244" t="s">
        <v>25</v>
      </c>
      <c r="C244" s="16">
        <v>46152</v>
      </c>
      <c r="D244">
        <v>114.3</v>
      </c>
    </row>
    <row r="245" spans="1:4" x14ac:dyDescent="0.3">
      <c r="A245" t="s">
        <v>26</v>
      </c>
      <c r="C245" s="16">
        <v>46152</v>
      </c>
      <c r="D245">
        <v>2267.7200000000003</v>
      </c>
    </row>
    <row r="246" spans="1:4" x14ac:dyDescent="0.3">
      <c r="A246" t="s">
        <v>27</v>
      </c>
      <c r="C246" s="16">
        <v>46152</v>
      </c>
      <c r="D246">
        <v>3349.94</v>
      </c>
    </row>
    <row r="247" spans="1:4" x14ac:dyDescent="0.3">
      <c r="A247" t="s">
        <v>28</v>
      </c>
      <c r="C247" s="16">
        <v>46152</v>
      </c>
      <c r="D247">
        <v>1968.99</v>
      </c>
    </row>
    <row r="248" spans="1:4" x14ac:dyDescent="0.3">
      <c r="A248" t="s">
        <v>29</v>
      </c>
      <c r="C248" s="16">
        <v>46152</v>
      </c>
      <c r="D248">
        <v>901.34</v>
      </c>
    </row>
    <row r="249" spans="1:4" x14ac:dyDescent="0.3">
      <c r="A249" t="s">
        <v>30</v>
      </c>
      <c r="C249" s="16">
        <v>46152</v>
      </c>
      <c r="D249">
        <v>1444.08</v>
      </c>
    </row>
    <row r="250" spans="1:4" x14ac:dyDescent="0.3">
      <c r="A250" t="s">
        <v>31</v>
      </c>
      <c r="C250" s="16">
        <v>46152</v>
      </c>
      <c r="D250">
        <v>20592.599999999962</v>
      </c>
    </row>
    <row r="251" spans="1:4" x14ac:dyDescent="0.3">
      <c r="A251" t="s">
        <v>32</v>
      </c>
      <c r="C251" s="16">
        <v>46152</v>
      </c>
      <c r="D251">
        <v>15120.060000000001</v>
      </c>
    </row>
    <row r="252" spans="1:4" x14ac:dyDescent="0.3">
      <c r="A252" t="s">
        <v>33</v>
      </c>
      <c r="C252" s="16">
        <v>46152</v>
      </c>
      <c r="D252">
        <v>31323.39</v>
      </c>
    </row>
    <row r="253" spans="1:4" x14ac:dyDescent="0.3">
      <c r="A253" t="s">
        <v>34</v>
      </c>
      <c r="C253" s="16">
        <v>46152</v>
      </c>
      <c r="D253">
        <v>345</v>
      </c>
    </row>
    <row r="254" spans="1:4" x14ac:dyDescent="0.3">
      <c r="A254" t="s">
        <v>35</v>
      </c>
      <c r="C254" s="16">
        <v>46152</v>
      </c>
      <c r="D254">
        <v>23782.25</v>
      </c>
    </row>
    <row r="255" spans="1:4" x14ac:dyDescent="0.3">
      <c r="A255" t="s">
        <v>193</v>
      </c>
      <c r="C255" s="16">
        <v>46152</v>
      </c>
      <c r="D255">
        <v>0</v>
      </c>
    </row>
    <row r="256" spans="1:4" x14ac:dyDescent="0.3">
      <c r="A256" t="s">
        <v>194</v>
      </c>
      <c r="C256" s="16">
        <v>46152</v>
      </c>
      <c r="D256">
        <v>0</v>
      </c>
    </row>
    <row r="257" spans="1:4" x14ac:dyDescent="0.3">
      <c r="A257" t="s">
        <v>195</v>
      </c>
      <c r="C257" s="16">
        <v>46152</v>
      </c>
      <c r="D257">
        <v>0</v>
      </c>
    </row>
    <row r="258" spans="1:4" x14ac:dyDescent="0.3">
      <c r="A258" t="s">
        <v>196</v>
      </c>
      <c r="C258" s="16">
        <v>46152</v>
      </c>
      <c r="D258">
        <v>0</v>
      </c>
    </row>
    <row r="259" spans="1:4" x14ac:dyDescent="0.3">
      <c r="A259" t="s">
        <v>197</v>
      </c>
      <c r="C259" s="16">
        <v>46152</v>
      </c>
      <c r="D259">
        <v>0</v>
      </c>
    </row>
    <row r="260" spans="1:4" x14ac:dyDescent="0.3">
      <c r="A260" t="s">
        <v>214</v>
      </c>
      <c r="C260" s="16">
        <v>46152</v>
      </c>
      <c r="D260">
        <v>0</v>
      </c>
    </row>
    <row r="261" spans="1:4" x14ac:dyDescent="0.3">
      <c r="A261" t="s">
        <v>199</v>
      </c>
      <c r="C261" s="16">
        <v>46152</v>
      </c>
      <c r="D261">
        <v>0</v>
      </c>
    </row>
    <row r="262" spans="1:4" x14ac:dyDescent="0.3">
      <c r="A262" t="s">
        <v>17</v>
      </c>
      <c r="C262" s="16">
        <v>46153</v>
      </c>
      <c r="D262">
        <v>512927.75000000023</v>
      </c>
    </row>
    <row r="263" spans="1:4" x14ac:dyDescent="0.3">
      <c r="A263" t="s">
        <v>18</v>
      </c>
      <c r="C263" s="16">
        <v>46153</v>
      </c>
      <c r="D263">
        <v>58840.089999999938</v>
      </c>
    </row>
    <row r="264" spans="1:4" x14ac:dyDescent="0.3">
      <c r="A264" t="s">
        <v>19</v>
      </c>
      <c r="C264" s="16">
        <v>46153</v>
      </c>
      <c r="D264">
        <v>1669.89</v>
      </c>
    </row>
    <row r="265" spans="1:4" x14ac:dyDescent="0.3">
      <c r="A265" t="s">
        <v>20</v>
      </c>
      <c r="C265" s="16">
        <v>46153</v>
      </c>
      <c r="D265">
        <v>1368366.5</v>
      </c>
    </row>
    <row r="266" spans="1:4" x14ac:dyDescent="0.3">
      <c r="A266" t="s">
        <v>21</v>
      </c>
      <c r="C266" s="16">
        <v>46153</v>
      </c>
      <c r="D266">
        <v>1162513.7699999993</v>
      </c>
    </row>
    <row r="267" spans="1:4" x14ac:dyDescent="0.3">
      <c r="A267" t="s">
        <v>22</v>
      </c>
      <c r="C267" s="16">
        <v>46153</v>
      </c>
      <c r="D267">
        <v>121511.38</v>
      </c>
    </row>
    <row r="268" spans="1:4" x14ac:dyDescent="0.3">
      <c r="A268" t="s">
        <v>23</v>
      </c>
      <c r="C268" s="16">
        <v>46153</v>
      </c>
      <c r="D268">
        <v>13088.589999999997</v>
      </c>
    </row>
    <row r="269" spans="1:4" x14ac:dyDescent="0.3">
      <c r="A269" t="s">
        <v>24</v>
      </c>
      <c r="C269" s="16">
        <v>46153</v>
      </c>
      <c r="D269">
        <v>3768.83</v>
      </c>
    </row>
    <row r="270" spans="1:4" x14ac:dyDescent="0.3">
      <c r="A270" t="s">
        <v>25</v>
      </c>
      <c r="C270" s="16">
        <v>46153</v>
      </c>
      <c r="D270">
        <v>114.3</v>
      </c>
    </row>
    <row r="271" spans="1:4" x14ac:dyDescent="0.3">
      <c r="A271" t="s">
        <v>26</v>
      </c>
      <c r="C271" s="16">
        <v>46153</v>
      </c>
      <c r="D271">
        <v>2267.7200000000003</v>
      </c>
    </row>
    <row r="272" spans="1:4" x14ac:dyDescent="0.3">
      <c r="A272" t="s">
        <v>27</v>
      </c>
      <c r="C272" s="16">
        <v>46153</v>
      </c>
      <c r="D272">
        <v>3349.94</v>
      </c>
    </row>
    <row r="273" spans="1:4" x14ac:dyDescent="0.3">
      <c r="A273" t="s">
        <v>28</v>
      </c>
      <c r="C273" s="16">
        <v>46153</v>
      </c>
      <c r="D273">
        <v>1968.99</v>
      </c>
    </row>
    <row r="274" spans="1:4" x14ac:dyDescent="0.3">
      <c r="A274" t="s">
        <v>29</v>
      </c>
      <c r="C274" s="16">
        <v>46153</v>
      </c>
      <c r="D274">
        <v>901.34</v>
      </c>
    </row>
    <row r="275" spans="1:4" x14ac:dyDescent="0.3">
      <c r="A275" t="s">
        <v>30</v>
      </c>
      <c r="C275" s="16">
        <v>46153</v>
      </c>
      <c r="D275">
        <v>1444.08</v>
      </c>
    </row>
    <row r="276" spans="1:4" x14ac:dyDescent="0.3">
      <c r="A276" t="s">
        <v>31</v>
      </c>
      <c r="C276" s="16">
        <v>46153</v>
      </c>
      <c r="D276">
        <v>19092.599999999962</v>
      </c>
    </row>
    <row r="277" spans="1:4" x14ac:dyDescent="0.3">
      <c r="A277" t="s">
        <v>32</v>
      </c>
      <c r="C277" s="16">
        <v>46153</v>
      </c>
      <c r="D277">
        <v>15120.060000000001</v>
      </c>
    </row>
    <row r="278" spans="1:4" x14ac:dyDescent="0.3">
      <c r="A278" t="s">
        <v>33</v>
      </c>
      <c r="C278" s="16">
        <v>46153</v>
      </c>
      <c r="D278">
        <v>31323.39</v>
      </c>
    </row>
    <row r="279" spans="1:4" x14ac:dyDescent="0.3">
      <c r="A279" t="s">
        <v>34</v>
      </c>
      <c r="C279" s="16">
        <v>46153</v>
      </c>
      <c r="D279">
        <v>345</v>
      </c>
    </row>
    <row r="280" spans="1:4" x14ac:dyDescent="0.3">
      <c r="A280" t="s">
        <v>35</v>
      </c>
      <c r="C280" s="16">
        <v>46153</v>
      </c>
      <c r="D280">
        <v>16956.59</v>
      </c>
    </row>
    <row r="281" spans="1:4" x14ac:dyDescent="0.3">
      <c r="A281" t="s">
        <v>193</v>
      </c>
      <c r="C281" s="16">
        <v>46153</v>
      </c>
      <c r="D281">
        <v>0</v>
      </c>
    </row>
    <row r="282" spans="1:4" x14ac:dyDescent="0.3">
      <c r="A282" t="s">
        <v>194</v>
      </c>
      <c r="C282" s="16">
        <v>46153</v>
      </c>
      <c r="D282">
        <v>0</v>
      </c>
    </row>
    <row r="283" spans="1:4" x14ac:dyDescent="0.3">
      <c r="A283" t="s">
        <v>195</v>
      </c>
      <c r="C283" s="16">
        <v>46153</v>
      </c>
      <c r="D283">
        <v>0</v>
      </c>
    </row>
    <row r="284" spans="1:4" x14ac:dyDescent="0.3">
      <c r="A284" t="s">
        <v>196</v>
      </c>
      <c r="C284" s="16">
        <v>46153</v>
      </c>
      <c r="D284">
        <v>0</v>
      </c>
    </row>
    <row r="285" spans="1:4" x14ac:dyDescent="0.3">
      <c r="A285" t="s">
        <v>197</v>
      </c>
      <c r="C285" s="16">
        <v>46153</v>
      </c>
      <c r="D285">
        <v>0</v>
      </c>
    </row>
    <row r="286" spans="1:4" x14ac:dyDescent="0.3">
      <c r="A286" t="s">
        <v>214</v>
      </c>
      <c r="C286" s="16">
        <v>46153</v>
      </c>
      <c r="D286">
        <v>0</v>
      </c>
    </row>
    <row r="287" spans="1:4" x14ac:dyDescent="0.3">
      <c r="A287" t="s">
        <v>199</v>
      </c>
      <c r="C287" s="16">
        <v>46153</v>
      </c>
      <c r="D287">
        <v>0</v>
      </c>
    </row>
    <row r="288" spans="1:4" x14ac:dyDescent="0.3">
      <c r="A288" t="s">
        <v>17</v>
      </c>
      <c r="C288" s="16">
        <v>46154</v>
      </c>
      <c r="D288">
        <v>606714.4700000002</v>
      </c>
    </row>
    <row r="289" spans="1:4" x14ac:dyDescent="0.3">
      <c r="A289" t="s">
        <v>18</v>
      </c>
      <c r="C289" s="16">
        <v>46154</v>
      </c>
      <c r="D289">
        <v>58840.089999999938</v>
      </c>
    </row>
    <row r="290" spans="1:4" x14ac:dyDescent="0.3">
      <c r="A290" t="s">
        <v>19</v>
      </c>
      <c r="C290" s="16">
        <v>46154</v>
      </c>
      <c r="D290">
        <v>1669.89</v>
      </c>
    </row>
    <row r="291" spans="1:4" x14ac:dyDescent="0.3">
      <c r="A291" t="s">
        <v>20</v>
      </c>
      <c r="C291" s="16">
        <v>46154</v>
      </c>
      <c r="D291">
        <v>1226185.8999999999</v>
      </c>
    </row>
    <row r="292" spans="1:4" x14ac:dyDescent="0.3">
      <c r="A292" t="s">
        <v>21</v>
      </c>
      <c r="C292" s="16">
        <v>46154</v>
      </c>
      <c r="D292">
        <v>1162404.8599999992</v>
      </c>
    </row>
    <row r="293" spans="1:4" x14ac:dyDescent="0.3">
      <c r="A293" t="s">
        <v>22</v>
      </c>
      <c r="C293" s="16">
        <v>46154</v>
      </c>
      <c r="D293">
        <v>121511.38</v>
      </c>
    </row>
    <row r="294" spans="1:4" x14ac:dyDescent="0.3">
      <c r="A294" t="s">
        <v>23</v>
      </c>
      <c r="C294" s="16">
        <v>46154</v>
      </c>
      <c r="D294">
        <v>13088.589999999997</v>
      </c>
    </row>
    <row r="295" spans="1:4" x14ac:dyDescent="0.3">
      <c r="A295" t="s">
        <v>24</v>
      </c>
      <c r="C295" s="16">
        <v>46154</v>
      </c>
      <c r="D295">
        <v>3768.83</v>
      </c>
    </row>
    <row r="296" spans="1:4" x14ac:dyDescent="0.3">
      <c r="A296" t="s">
        <v>25</v>
      </c>
      <c r="C296" s="16">
        <v>46154</v>
      </c>
      <c r="D296">
        <v>114.3</v>
      </c>
    </row>
    <row r="297" spans="1:4" x14ac:dyDescent="0.3">
      <c r="A297" t="s">
        <v>26</v>
      </c>
      <c r="C297" s="16">
        <v>46154</v>
      </c>
      <c r="D297">
        <v>2267.7200000000003</v>
      </c>
    </row>
    <row r="298" spans="1:4" x14ac:dyDescent="0.3">
      <c r="A298" t="s">
        <v>27</v>
      </c>
      <c r="C298" s="16">
        <v>46154</v>
      </c>
      <c r="D298">
        <v>3349.94</v>
      </c>
    </row>
    <row r="299" spans="1:4" x14ac:dyDescent="0.3">
      <c r="A299" t="s">
        <v>28</v>
      </c>
      <c r="C299" s="16">
        <v>46154</v>
      </c>
      <c r="D299">
        <v>1968.99</v>
      </c>
    </row>
    <row r="300" spans="1:4" x14ac:dyDescent="0.3">
      <c r="A300" t="s">
        <v>29</v>
      </c>
      <c r="C300" s="16">
        <v>46154</v>
      </c>
      <c r="D300">
        <v>901.34</v>
      </c>
    </row>
    <row r="301" spans="1:4" x14ac:dyDescent="0.3">
      <c r="A301" t="s">
        <v>30</v>
      </c>
      <c r="C301" s="16">
        <v>46154</v>
      </c>
      <c r="D301">
        <v>1444.08</v>
      </c>
    </row>
    <row r="302" spans="1:4" x14ac:dyDescent="0.3">
      <c r="A302" t="s">
        <v>31</v>
      </c>
      <c r="C302" s="16">
        <v>46154</v>
      </c>
      <c r="D302">
        <v>19092.599999999962</v>
      </c>
    </row>
    <row r="303" spans="1:4" x14ac:dyDescent="0.3">
      <c r="A303" t="s">
        <v>32</v>
      </c>
      <c r="C303" s="16">
        <v>46154</v>
      </c>
      <c r="D303">
        <v>15120.060000000001</v>
      </c>
    </row>
    <row r="304" spans="1:4" x14ac:dyDescent="0.3">
      <c r="A304" t="s">
        <v>33</v>
      </c>
      <c r="C304" s="16">
        <v>46154</v>
      </c>
      <c r="D304">
        <v>31323.39</v>
      </c>
    </row>
    <row r="305" spans="1:4" x14ac:dyDescent="0.3">
      <c r="A305" t="s">
        <v>34</v>
      </c>
      <c r="C305" s="16">
        <v>46154</v>
      </c>
      <c r="D305">
        <v>345</v>
      </c>
    </row>
    <row r="306" spans="1:4" x14ac:dyDescent="0.3">
      <c r="A306" t="s">
        <v>35</v>
      </c>
      <c r="C306" s="16">
        <v>46154</v>
      </c>
      <c r="D306">
        <v>16741.59</v>
      </c>
    </row>
    <row r="307" spans="1:4" x14ac:dyDescent="0.3">
      <c r="A307" t="s">
        <v>193</v>
      </c>
      <c r="C307" s="16">
        <v>46154</v>
      </c>
      <c r="D307">
        <v>0</v>
      </c>
    </row>
    <row r="308" spans="1:4" x14ac:dyDescent="0.3">
      <c r="A308" t="s">
        <v>194</v>
      </c>
      <c r="C308" s="16">
        <v>46154</v>
      </c>
      <c r="D308">
        <v>0</v>
      </c>
    </row>
    <row r="309" spans="1:4" x14ac:dyDescent="0.3">
      <c r="A309" t="s">
        <v>195</v>
      </c>
      <c r="C309" s="16">
        <v>46154</v>
      </c>
      <c r="D309">
        <v>0</v>
      </c>
    </row>
    <row r="310" spans="1:4" x14ac:dyDescent="0.3">
      <c r="A310" t="s">
        <v>196</v>
      </c>
      <c r="C310" s="16">
        <v>46154</v>
      </c>
      <c r="D310">
        <v>0</v>
      </c>
    </row>
    <row r="311" spans="1:4" x14ac:dyDescent="0.3">
      <c r="A311" t="s">
        <v>197</v>
      </c>
      <c r="C311" s="16">
        <v>46154</v>
      </c>
      <c r="D311">
        <v>0</v>
      </c>
    </row>
    <row r="312" spans="1:4" x14ac:dyDescent="0.3">
      <c r="A312" t="s">
        <v>214</v>
      </c>
      <c r="C312" s="16">
        <v>46154</v>
      </c>
      <c r="D312">
        <v>0</v>
      </c>
    </row>
    <row r="313" spans="1:4" x14ac:dyDescent="0.3">
      <c r="A313" t="s">
        <v>199</v>
      </c>
      <c r="C313" s="16">
        <v>46154</v>
      </c>
      <c r="D313">
        <v>0</v>
      </c>
    </row>
    <row r="314" spans="1:4" x14ac:dyDescent="0.3">
      <c r="A314" t="s">
        <v>17</v>
      </c>
      <c r="C314" s="16">
        <v>46155</v>
      </c>
      <c r="D314">
        <v>606714.4700000002</v>
      </c>
    </row>
    <row r="315" spans="1:4" x14ac:dyDescent="0.3">
      <c r="A315" t="s">
        <v>18</v>
      </c>
      <c r="C315" s="16">
        <v>46155</v>
      </c>
      <c r="D315">
        <v>58840.089999999938</v>
      </c>
    </row>
    <row r="316" spans="1:4" x14ac:dyDescent="0.3">
      <c r="A316" t="s">
        <v>19</v>
      </c>
      <c r="C316" s="16">
        <v>46155</v>
      </c>
      <c r="D316">
        <v>1669.89</v>
      </c>
    </row>
    <row r="317" spans="1:4" x14ac:dyDescent="0.3">
      <c r="A317" t="s">
        <v>20</v>
      </c>
      <c r="C317" s="16">
        <v>46155</v>
      </c>
      <c r="D317">
        <v>1242679.67</v>
      </c>
    </row>
    <row r="318" spans="1:4" x14ac:dyDescent="0.3">
      <c r="A318" t="s">
        <v>21</v>
      </c>
      <c r="C318" s="16">
        <v>46155</v>
      </c>
      <c r="D318">
        <v>1162404.8599999992</v>
      </c>
    </row>
    <row r="319" spans="1:4" x14ac:dyDescent="0.3">
      <c r="A319" t="s">
        <v>22</v>
      </c>
      <c r="C319" s="16">
        <v>46155</v>
      </c>
      <c r="D319">
        <v>121511.38</v>
      </c>
    </row>
    <row r="320" spans="1:4" x14ac:dyDescent="0.3">
      <c r="A320" t="s">
        <v>23</v>
      </c>
      <c r="C320" s="16">
        <v>46155</v>
      </c>
      <c r="D320">
        <v>13090.369999999997</v>
      </c>
    </row>
    <row r="321" spans="1:4" x14ac:dyDescent="0.3">
      <c r="A321" t="s">
        <v>24</v>
      </c>
      <c r="C321" s="16">
        <v>46155</v>
      </c>
      <c r="D321">
        <v>2498.3999999999996</v>
      </c>
    </row>
    <row r="322" spans="1:4" x14ac:dyDescent="0.3">
      <c r="A322" t="s">
        <v>25</v>
      </c>
      <c r="C322" s="16">
        <v>46155</v>
      </c>
      <c r="D322">
        <v>114.3</v>
      </c>
    </row>
    <row r="323" spans="1:4" x14ac:dyDescent="0.3">
      <c r="A323" t="s">
        <v>26</v>
      </c>
      <c r="C323" s="16">
        <v>46155</v>
      </c>
      <c r="D323">
        <v>2267.7200000000003</v>
      </c>
    </row>
    <row r="324" spans="1:4" x14ac:dyDescent="0.3">
      <c r="A324" t="s">
        <v>27</v>
      </c>
      <c r="C324" s="16">
        <v>46155</v>
      </c>
      <c r="D324">
        <v>3349.94</v>
      </c>
    </row>
    <row r="325" spans="1:4" x14ac:dyDescent="0.3">
      <c r="A325" t="s">
        <v>28</v>
      </c>
      <c r="C325" s="16">
        <v>46155</v>
      </c>
      <c r="D325">
        <v>1968.99</v>
      </c>
    </row>
    <row r="326" spans="1:4" x14ac:dyDescent="0.3">
      <c r="A326" t="s">
        <v>29</v>
      </c>
      <c r="C326" s="16">
        <v>46155</v>
      </c>
      <c r="D326">
        <v>901.34</v>
      </c>
    </row>
    <row r="327" spans="1:4" x14ac:dyDescent="0.3">
      <c r="A327" t="s">
        <v>30</v>
      </c>
      <c r="C327" s="16">
        <v>46155</v>
      </c>
      <c r="D327">
        <v>1444.08</v>
      </c>
    </row>
    <row r="328" spans="1:4" x14ac:dyDescent="0.3">
      <c r="A328" t="s">
        <v>31</v>
      </c>
      <c r="C328" s="16">
        <v>46155</v>
      </c>
      <c r="D328">
        <v>18242.599999999962</v>
      </c>
    </row>
    <row r="329" spans="1:4" x14ac:dyDescent="0.3">
      <c r="A329" t="s">
        <v>32</v>
      </c>
      <c r="C329" s="16">
        <v>46155</v>
      </c>
      <c r="D329">
        <v>15120.060000000001</v>
      </c>
    </row>
    <row r="330" spans="1:4" x14ac:dyDescent="0.3">
      <c r="A330" t="s">
        <v>33</v>
      </c>
      <c r="C330" s="16">
        <v>46155</v>
      </c>
      <c r="D330">
        <v>31323.39</v>
      </c>
    </row>
    <row r="331" spans="1:4" x14ac:dyDescent="0.3">
      <c r="A331" t="s">
        <v>34</v>
      </c>
      <c r="C331" s="16">
        <v>46155</v>
      </c>
      <c r="D331">
        <v>345</v>
      </c>
    </row>
    <row r="332" spans="1:4" x14ac:dyDescent="0.3">
      <c r="A332" t="s">
        <v>35</v>
      </c>
      <c r="C332" s="16">
        <v>46155</v>
      </c>
      <c r="D332">
        <v>16741.59</v>
      </c>
    </row>
    <row r="333" spans="1:4" x14ac:dyDescent="0.3">
      <c r="A333" t="s">
        <v>193</v>
      </c>
      <c r="C333" s="16">
        <v>46155</v>
      </c>
      <c r="D333">
        <v>0</v>
      </c>
    </row>
    <row r="334" spans="1:4" x14ac:dyDescent="0.3">
      <c r="A334" t="s">
        <v>194</v>
      </c>
      <c r="C334" s="16">
        <v>46155</v>
      </c>
      <c r="D334">
        <v>0</v>
      </c>
    </row>
    <row r="335" spans="1:4" x14ac:dyDescent="0.3">
      <c r="A335" t="s">
        <v>195</v>
      </c>
      <c r="C335" s="16">
        <v>46155</v>
      </c>
      <c r="D335">
        <v>0</v>
      </c>
    </row>
    <row r="336" spans="1:4" x14ac:dyDescent="0.3">
      <c r="A336" t="s">
        <v>196</v>
      </c>
      <c r="C336" s="16">
        <v>46155</v>
      </c>
      <c r="D336">
        <v>0</v>
      </c>
    </row>
    <row r="337" spans="1:4" x14ac:dyDescent="0.3">
      <c r="A337" t="s">
        <v>197</v>
      </c>
      <c r="C337" s="16">
        <v>46155</v>
      </c>
      <c r="D337">
        <v>0</v>
      </c>
    </row>
    <row r="338" spans="1:4" x14ac:dyDescent="0.3">
      <c r="A338" t="s">
        <v>214</v>
      </c>
      <c r="C338" s="16">
        <v>46155</v>
      </c>
      <c r="D338">
        <v>0</v>
      </c>
    </row>
    <row r="339" spans="1:4" x14ac:dyDescent="0.3">
      <c r="A339" t="s">
        <v>199</v>
      </c>
      <c r="C339" s="16">
        <v>46155</v>
      </c>
      <c r="D339">
        <v>0</v>
      </c>
    </row>
    <row r="340" spans="1:4" x14ac:dyDescent="0.3">
      <c r="A340" t="s">
        <v>17</v>
      </c>
      <c r="C340" s="16">
        <v>46156</v>
      </c>
      <c r="D340">
        <v>165752.81000000023</v>
      </c>
    </row>
    <row r="341" spans="1:4" x14ac:dyDescent="0.3">
      <c r="A341" t="s">
        <v>18</v>
      </c>
      <c r="C341" s="16">
        <v>46156</v>
      </c>
      <c r="D341">
        <v>59760.159999999938</v>
      </c>
    </row>
    <row r="342" spans="1:4" x14ac:dyDescent="0.3">
      <c r="A342" t="s">
        <v>19</v>
      </c>
      <c r="C342" s="16">
        <v>46156</v>
      </c>
      <c r="D342">
        <v>1669.89</v>
      </c>
    </row>
    <row r="343" spans="1:4" x14ac:dyDescent="0.3">
      <c r="A343" t="s">
        <v>20</v>
      </c>
      <c r="C343" s="16">
        <v>46156</v>
      </c>
      <c r="D343">
        <v>832679.66999999981</v>
      </c>
    </row>
    <row r="344" spans="1:4" x14ac:dyDescent="0.3">
      <c r="A344" t="s">
        <v>21</v>
      </c>
      <c r="C344" s="16">
        <v>46156</v>
      </c>
      <c r="D344">
        <v>952193.18999999925</v>
      </c>
    </row>
    <row r="345" spans="1:4" x14ac:dyDescent="0.3">
      <c r="A345" t="s">
        <v>22</v>
      </c>
      <c r="C345" s="16">
        <v>46156</v>
      </c>
      <c r="D345">
        <v>121511.38</v>
      </c>
    </row>
    <row r="346" spans="1:4" x14ac:dyDescent="0.3">
      <c r="A346" t="s">
        <v>23</v>
      </c>
      <c r="C346" s="16">
        <v>46156</v>
      </c>
      <c r="D346">
        <v>13090.369999999997</v>
      </c>
    </row>
    <row r="347" spans="1:4" x14ac:dyDescent="0.3">
      <c r="A347" t="s">
        <v>24</v>
      </c>
      <c r="C347" s="16">
        <v>46156</v>
      </c>
      <c r="D347">
        <v>2498.3999999999996</v>
      </c>
    </row>
    <row r="348" spans="1:4" x14ac:dyDescent="0.3">
      <c r="A348" t="s">
        <v>25</v>
      </c>
      <c r="C348" s="16">
        <v>46156</v>
      </c>
      <c r="D348">
        <v>114.3</v>
      </c>
    </row>
    <row r="349" spans="1:4" x14ac:dyDescent="0.3">
      <c r="A349" t="s">
        <v>26</v>
      </c>
      <c r="C349" s="16">
        <v>46156</v>
      </c>
      <c r="D349">
        <v>2267.7200000000003</v>
      </c>
    </row>
    <row r="350" spans="1:4" x14ac:dyDescent="0.3">
      <c r="A350" t="s">
        <v>27</v>
      </c>
      <c r="C350" s="16">
        <v>46156</v>
      </c>
      <c r="D350">
        <v>3349.94</v>
      </c>
    </row>
    <row r="351" spans="1:4" x14ac:dyDescent="0.3">
      <c r="A351" t="s">
        <v>28</v>
      </c>
      <c r="C351" s="16">
        <v>46156</v>
      </c>
      <c r="D351">
        <v>1968.99</v>
      </c>
    </row>
    <row r="352" spans="1:4" x14ac:dyDescent="0.3">
      <c r="A352" t="s">
        <v>29</v>
      </c>
      <c r="C352" s="16">
        <v>46156</v>
      </c>
      <c r="D352">
        <v>901.34</v>
      </c>
    </row>
    <row r="353" spans="1:4" x14ac:dyDescent="0.3">
      <c r="A353" t="s">
        <v>30</v>
      </c>
      <c r="C353" s="16">
        <v>46156</v>
      </c>
      <c r="D353">
        <v>1444.08</v>
      </c>
    </row>
    <row r="354" spans="1:4" x14ac:dyDescent="0.3">
      <c r="A354" t="s">
        <v>31</v>
      </c>
      <c r="C354" s="16">
        <v>46156</v>
      </c>
      <c r="D354">
        <v>18242.599999999962</v>
      </c>
    </row>
    <row r="355" spans="1:4" x14ac:dyDescent="0.3">
      <c r="A355" t="s">
        <v>32</v>
      </c>
      <c r="C355" s="16">
        <v>46156</v>
      </c>
      <c r="D355">
        <v>15120.060000000001</v>
      </c>
    </row>
    <row r="356" spans="1:4" x14ac:dyDescent="0.3">
      <c r="A356" t="s">
        <v>33</v>
      </c>
      <c r="C356" s="16">
        <v>46156</v>
      </c>
      <c r="D356">
        <v>31323.39</v>
      </c>
    </row>
    <row r="357" spans="1:4" x14ac:dyDescent="0.3">
      <c r="A357" t="s">
        <v>34</v>
      </c>
      <c r="C357" s="16">
        <v>46156</v>
      </c>
      <c r="D357">
        <v>345</v>
      </c>
    </row>
    <row r="358" spans="1:4" x14ac:dyDescent="0.3">
      <c r="A358" t="s">
        <v>35</v>
      </c>
      <c r="C358" s="16">
        <v>46156</v>
      </c>
      <c r="D358">
        <v>14226.59</v>
      </c>
    </row>
    <row r="359" spans="1:4" x14ac:dyDescent="0.3">
      <c r="A359" t="s">
        <v>193</v>
      </c>
      <c r="C359" s="16">
        <v>46156</v>
      </c>
      <c r="D359">
        <v>0</v>
      </c>
    </row>
    <row r="360" spans="1:4" x14ac:dyDescent="0.3">
      <c r="A360" t="s">
        <v>194</v>
      </c>
      <c r="C360" s="16">
        <v>46156</v>
      </c>
      <c r="D360">
        <v>0</v>
      </c>
    </row>
    <row r="361" spans="1:4" x14ac:dyDescent="0.3">
      <c r="A361" t="s">
        <v>195</v>
      </c>
      <c r="C361" s="16">
        <v>46156</v>
      </c>
      <c r="D361">
        <v>0</v>
      </c>
    </row>
    <row r="362" spans="1:4" x14ac:dyDescent="0.3">
      <c r="A362" t="s">
        <v>196</v>
      </c>
      <c r="C362" s="16">
        <v>46156</v>
      </c>
      <c r="D362">
        <v>0</v>
      </c>
    </row>
    <row r="363" spans="1:4" x14ac:dyDescent="0.3">
      <c r="A363" t="s">
        <v>197</v>
      </c>
      <c r="C363" s="16">
        <v>46156</v>
      </c>
      <c r="D363">
        <v>0</v>
      </c>
    </row>
    <row r="364" spans="1:4" x14ac:dyDescent="0.3">
      <c r="A364" t="s">
        <v>214</v>
      </c>
      <c r="C364" s="16">
        <v>46156</v>
      </c>
      <c r="D364">
        <v>0</v>
      </c>
    </row>
    <row r="365" spans="1:4" x14ac:dyDescent="0.3">
      <c r="A365" t="s">
        <v>199</v>
      </c>
      <c r="C365" s="16">
        <v>46156</v>
      </c>
      <c r="D365">
        <v>0</v>
      </c>
    </row>
    <row r="366" spans="1:4" x14ac:dyDescent="0.3">
      <c r="A366" t="s">
        <v>17</v>
      </c>
      <c r="C366" s="16">
        <v>46157</v>
      </c>
      <c r="D366">
        <v>165752.81000000023</v>
      </c>
    </row>
    <row r="367" spans="1:4" x14ac:dyDescent="0.3">
      <c r="A367" t="s">
        <v>18</v>
      </c>
      <c r="C367" s="16">
        <v>46157</v>
      </c>
      <c r="D367">
        <v>59760.159999999938</v>
      </c>
    </row>
    <row r="368" spans="1:4" x14ac:dyDescent="0.3">
      <c r="A368" t="s">
        <v>19</v>
      </c>
      <c r="C368" s="16">
        <v>46157</v>
      </c>
      <c r="D368">
        <v>1669.89</v>
      </c>
    </row>
    <row r="369" spans="1:4" x14ac:dyDescent="0.3">
      <c r="A369" t="s">
        <v>20</v>
      </c>
      <c r="C369" s="16">
        <v>46157</v>
      </c>
      <c r="D369">
        <v>832076.20999999985</v>
      </c>
    </row>
    <row r="370" spans="1:4" x14ac:dyDescent="0.3">
      <c r="A370" t="s">
        <v>21</v>
      </c>
      <c r="C370" s="16">
        <v>46157</v>
      </c>
      <c r="D370">
        <v>952163.77999999933</v>
      </c>
    </row>
    <row r="371" spans="1:4" x14ac:dyDescent="0.3">
      <c r="A371" t="s">
        <v>22</v>
      </c>
      <c r="C371" s="16">
        <v>46157</v>
      </c>
      <c r="D371">
        <v>121511.38</v>
      </c>
    </row>
    <row r="372" spans="1:4" x14ac:dyDescent="0.3">
      <c r="A372" t="s">
        <v>23</v>
      </c>
      <c r="C372" s="16">
        <v>46157</v>
      </c>
      <c r="D372">
        <v>13090.369999999997</v>
      </c>
    </row>
    <row r="373" spans="1:4" x14ac:dyDescent="0.3">
      <c r="A373" t="s">
        <v>24</v>
      </c>
      <c r="C373" s="16">
        <v>46157</v>
      </c>
      <c r="D373">
        <v>2498.3999999999996</v>
      </c>
    </row>
    <row r="374" spans="1:4" x14ac:dyDescent="0.3">
      <c r="A374" t="s">
        <v>25</v>
      </c>
      <c r="C374" s="16">
        <v>46157</v>
      </c>
      <c r="D374">
        <v>114.3</v>
      </c>
    </row>
    <row r="375" spans="1:4" x14ac:dyDescent="0.3">
      <c r="A375" t="s">
        <v>26</v>
      </c>
      <c r="C375" s="16">
        <v>46157</v>
      </c>
      <c r="D375">
        <v>2267.7200000000003</v>
      </c>
    </row>
    <row r="376" spans="1:4" x14ac:dyDescent="0.3">
      <c r="A376" t="s">
        <v>27</v>
      </c>
      <c r="C376" s="16">
        <v>46157</v>
      </c>
      <c r="D376">
        <v>3349.94</v>
      </c>
    </row>
    <row r="377" spans="1:4" x14ac:dyDescent="0.3">
      <c r="A377" t="s">
        <v>28</v>
      </c>
      <c r="C377" s="16">
        <v>46157</v>
      </c>
      <c r="D377">
        <v>1968.99</v>
      </c>
    </row>
    <row r="378" spans="1:4" x14ac:dyDescent="0.3">
      <c r="A378" t="s">
        <v>29</v>
      </c>
      <c r="C378" s="16">
        <v>46157</v>
      </c>
      <c r="D378">
        <v>901.34</v>
      </c>
    </row>
    <row r="379" spans="1:4" x14ac:dyDescent="0.3">
      <c r="A379" t="s">
        <v>30</v>
      </c>
      <c r="C379" s="16">
        <v>46157</v>
      </c>
      <c r="D379">
        <v>1444.08</v>
      </c>
    </row>
    <row r="380" spans="1:4" x14ac:dyDescent="0.3">
      <c r="A380" t="s">
        <v>31</v>
      </c>
      <c r="C380" s="16">
        <v>46157</v>
      </c>
      <c r="D380">
        <v>18242.599999999962</v>
      </c>
    </row>
    <row r="381" spans="1:4" x14ac:dyDescent="0.3">
      <c r="A381" t="s">
        <v>32</v>
      </c>
      <c r="C381" s="16">
        <v>46157</v>
      </c>
      <c r="D381">
        <v>15120.060000000001</v>
      </c>
    </row>
    <row r="382" spans="1:4" x14ac:dyDescent="0.3">
      <c r="A382" t="s">
        <v>33</v>
      </c>
      <c r="C382" s="16">
        <v>46157</v>
      </c>
      <c r="D382">
        <v>27011.27</v>
      </c>
    </row>
    <row r="383" spans="1:4" x14ac:dyDescent="0.3">
      <c r="A383" t="s">
        <v>34</v>
      </c>
      <c r="C383" s="16">
        <v>46157</v>
      </c>
      <c r="D383">
        <v>345</v>
      </c>
    </row>
    <row r="384" spans="1:4" x14ac:dyDescent="0.3">
      <c r="A384" t="s">
        <v>35</v>
      </c>
      <c r="C384" s="16">
        <v>46157</v>
      </c>
      <c r="D384">
        <v>14176.59</v>
      </c>
    </row>
    <row r="385" spans="1:4" x14ac:dyDescent="0.3">
      <c r="A385" t="s">
        <v>193</v>
      </c>
      <c r="C385" s="16">
        <v>46157</v>
      </c>
      <c r="D385">
        <v>0</v>
      </c>
    </row>
    <row r="386" spans="1:4" x14ac:dyDescent="0.3">
      <c r="A386" t="s">
        <v>194</v>
      </c>
      <c r="C386" s="16">
        <v>46157</v>
      </c>
      <c r="D386">
        <v>0</v>
      </c>
    </row>
    <row r="387" spans="1:4" x14ac:dyDescent="0.3">
      <c r="A387" t="s">
        <v>195</v>
      </c>
      <c r="C387" s="16">
        <v>46157</v>
      </c>
      <c r="D387">
        <v>0</v>
      </c>
    </row>
    <row r="388" spans="1:4" x14ac:dyDescent="0.3">
      <c r="A388" t="s">
        <v>196</v>
      </c>
      <c r="C388" s="16">
        <v>46157</v>
      </c>
      <c r="D388">
        <v>0</v>
      </c>
    </row>
    <row r="389" spans="1:4" x14ac:dyDescent="0.3">
      <c r="A389" t="s">
        <v>197</v>
      </c>
      <c r="C389" s="16">
        <v>46157</v>
      </c>
      <c r="D389">
        <v>0</v>
      </c>
    </row>
    <row r="390" spans="1:4" x14ac:dyDescent="0.3">
      <c r="A390" t="s">
        <v>214</v>
      </c>
      <c r="C390" s="16">
        <v>46157</v>
      </c>
      <c r="D390">
        <v>0</v>
      </c>
    </row>
    <row r="391" spans="1:4" x14ac:dyDescent="0.3">
      <c r="A391" t="s">
        <v>199</v>
      </c>
      <c r="C391" s="16">
        <v>46157</v>
      </c>
      <c r="D391">
        <v>0</v>
      </c>
    </row>
    <row r="392" spans="1:4" x14ac:dyDescent="0.3">
      <c r="A392" t="s">
        <v>17</v>
      </c>
      <c r="C392" s="16">
        <v>46158</v>
      </c>
      <c r="D392">
        <v>165752.81000000023</v>
      </c>
    </row>
    <row r="393" spans="1:4" x14ac:dyDescent="0.3">
      <c r="A393" t="s">
        <v>18</v>
      </c>
      <c r="C393" s="16">
        <v>46158</v>
      </c>
      <c r="D393">
        <v>59760.159999999938</v>
      </c>
    </row>
    <row r="394" spans="1:4" x14ac:dyDescent="0.3">
      <c r="A394" t="s">
        <v>19</v>
      </c>
      <c r="C394" s="16">
        <v>46158</v>
      </c>
      <c r="D394">
        <v>1669.89</v>
      </c>
    </row>
    <row r="395" spans="1:4" x14ac:dyDescent="0.3">
      <c r="A395" t="s">
        <v>20</v>
      </c>
      <c r="C395" s="16">
        <v>46158</v>
      </c>
      <c r="D395">
        <v>832076.20999999985</v>
      </c>
    </row>
    <row r="396" spans="1:4" x14ac:dyDescent="0.3">
      <c r="A396" t="s">
        <v>21</v>
      </c>
      <c r="C396" s="16">
        <v>46158</v>
      </c>
      <c r="D396">
        <v>952163.77999999933</v>
      </c>
    </row>
    <row r="397" spans="1:4" x14ac:dyDescent="0.3">
      <c r="A397" t="s">
        <v>22</v>
      </c>
      <c r="C397" s="16">
        <v>46158</v>
      </c>
      <c r="D397">
        <v>121511.38</v>
      </c>
    </row>
    <row r="398" spans="1:4" x14ac:dyDescent="0.3">
      <c r="A398" t="s">
        <v>23</v>
      </c>
      <c r="C398" s="16">
        <v>46158</v>
      </c>
      <c r="D398">
        <v>13090.369999999997</v>
      </c>
    </row>
    <row r="399" spans="1:4" x14ac:dyDescent="0.3">
      <c r="A399" t="s">
        <v>24</v>
      </c>
      <c r="C399" s="16">
        <v>46158</v>
      </c>
      <c r="D399">
        <v>2498.3999999999996</v>
      </c>
    </row>
    <row r="400" spans="1:4" x14ac:dyDescent="0.3">
      <c r="A400" t="s">
        <v>25</v>
      </c>
      <c r="C400" s="16">
        <v>46158</v>
      </c>
      <c r="D400">
        <v>114.3</v>
      </c>
    </row>
    <row r="401" spans="1:4" x14ac:dyDescent="0.3">
      <c r="A401" t="s">
        <v>26</v>
      </c>
      <c r="C401" s="16">
        <v>46158</v>
      </c>
      <c r="D401">
        <v>2267.7200000000003</v>
      </c>
    </row>
    <row r="402" spans="1:4" x14ac:dyDescent="0.3">
      <c r="A402" t="s">
        <v>27</v>
      </c>
      <c r="C402" s="16">
        <v>46158</v>
      </c>
      <c r="D402">
        <v>3349.94</v>
      </c>
    </row>
    <row r="403" spans="1:4" x14ac:dyDescent="0.3">
      <c r="A403" t="s">
        <v>28</v>
      </c>
      <c r="C403" s="16">
        <v>46158</v>
      </c>
      <c r="D403">
        <v>1968.99</v>
      </c>
    </row>
    <row r="404" spans="1:4" x14ac:dyDescent="0.3">
      <c r="A404" t="s">
        <v>29</v>
      </c>
      <c r="C404" s="16">
        <v>46158</v>
      </c>
      <c r="D404">
        <v>901.34</v>
      </c>
    </row>
    <row r="405" spans="1:4" x14ac:dyDescent="0.3">
      <c r="A405" t="s">
        <v>30</v>
      </c>
      <c r="C405" s="16">
        <v>46158</v>
      </c>
      <c r="D405">
        <v>1444.08</v>
      </c>
    </row>
    <row r="406" spans="1:4" x14ac:dyDescent="0.3">
      <c r="A406" t="s">
        <v>31</v>
      </c>
      <c r="C406" s="16">
        <v>46158</v>
      </c>
      <c r="D406">
        <v>18242.599999999962</v>
      </c>
    </row>
    <row r="407" spans="1:4" x14ac:dyDescent="0.3">
      <c r="A407" t="s">
        <v>32</v>
      </c>
      <c r="C407" s="16">
        <v>46158</v>
      </c>
      <c r="D407">
        <v>15120.060000000001</v>
      </c>
    </row>
    <row r="408" spans="1:4" x14ac:dyDescent="0.3">
      <c r="A408" t="s">
        <v>33</v>
      </c>
      <c r="C408" s="16">
        <v>46158</v>
      </c>
      <c r="D408">
        <v>27011.27</v>
      </c>
    </row>
    <row r="409" spans="1:4" x14ac:dyDescent="0.3">
      <c r="A409" t="s">
        <v>34</v>
      </c>
      <c r="C409" s="16">
        <v>46158</v>
      </c>
      <c r="D409">
        <v>345</v>
      </c>
    </row>
    <row r="410" spans="1:4" x14ac:dyDescent="0.3">
      <c r="A410" t="s">
        <v>35</v>
      </c>
      <c r="C410" s="16">
        <v>46158</v>
      </c>
      <c r="D410">
        <v>14176.59</v>
      </c>
    </row>
    <row r="411" spans="1:4" x14ac:dyDescent="0.3">
      <c r="A411" t="s">
        <v>193</v>
      </c>
      <c r="C411" s="16">
        <v>46158</v>
      </c>
      <c r="D411">
        <v>0</v>
      </c>
    </row>
    <row r="412" spans="1:4" x14ac:dyDescent="0.3">
      <c r="A412" t="s">
        <v>194</v>
      </c>
      <c r="C412" s="16">
        <v>46158</v>
      </c>
      <c r="D412">
        <v>0</v>
      </c>
    </row>
    <row r="413" spans="1:4" x14ac:dyDescent="0.3">
      <c r="A413" t="s">
        <v>195</v>
      </c>
      <c r="C413" s="16">
        <v>46158</v>
      </c>
      <c r="D413">
        <v>0</v>
      </c>
    </row>
    <row r="414" spans="1:4" x14ac:dyDescent="0.3">
      <c r="A414" t="s">
        <v>196</v>
      </c>
      <c r="C414" s="16">
        <v>46158</v>
      </c>
      <c r="D414">
        <v>0</v>
      </c>
    </row>
    <row r="415" spans="1:4" x14ac:dyDescent="0.3">
      <c r="A415" t="s">
        <v>197</v>
      </c>
      <c r="C415" s="16">
        <v>46158</v>
      </c>
      <c r="D415">
        <v>0</v>
      </c>
    </row>
    <row r="416" spans="1:4" x14ac:dyDescent="0.3">
      <c r="A416" t="s">
        <v>214</v>
      </c>
      <c r="C416" s="16">
        <v>46158</v>
      </c>
      <c r="D416">
        <v>0</v>
      </c>
    </row>
    <row r="417" spans="1:4" x14ac:dyDescent="0.3">
      <c r="A417" t="s">
        <v>199</v>
      </c>
      <c r="C417" s="16">
        <v>46158</v>
      </c>
      <c r="D417">
        <v>0</v>
      </c>
    </row>
    <row r="418" spans="1:4" x14ac:dyDescent="0.3">
      <c r="A418" t="s">
        <v>17</v>
      </c>
      <c r="C418" s="16">
        <v>46159</v>
      </c>
      <c r="D418">
        <v>165752.81000000023</v>
      </c>
    </row>
    <row r="419" spans="1:4" x14ac:dyDescent="0.3">
      <c r="A419" t="s">
        <v>18</v>
      </c>
      <c r="C419" s="16">
        <v>46159</v>
      </c>
      <c r="D419">
        <v>59760.159999999938</v>
      </c>
    </row>
    <row r="420" spans="1:4" x14ac:dyDescent="0.3">
      <c r="A420" t="s">
        <v>19</v>
      </c>
      <c r="C420" s="16">
        <v>46159</v>
      </c>
      <c r="D420">
        <v>1669.89</v>
      </c>
    </row>
    <row r="421" spans="1:4" x14ac:dyDescent="0.3">
      <c r="A421" t="s">
        <v>20</v>
      </c>
      <c r="C421" s="16">
        <v>46159</v>
      </c>
      <c r="D421">
        <v>832076.20999999985</v>
      </c>
    </row>
    <row r="422" spans="1:4" x14ac:dyDescent="0.3">
      <c r="A422" t="s">
        <v>21</v>
      </c>
      <c r="C422" s="16">
        <v>46159</v>
      </c>
      <c r="D422">
        <v>952163.77999999933</v>
      </c>
    </row>
    <row r="423" spans="1:4" x14ac:dyDescent="0.3">
      <c r="A423" t="s">
        <v>22</v>
      </c>
      <c r="C423" s="16">
        <v>46159</v>
      </c>
      <c r="D423">
        <v>121511.38</v>
      </c>
    </row>
    <row r="424" spans="1:4" x14ac:dyDescent="0.3">
      <c r="A424" t="s">
        <v>23</v>
      </c>
      <c r="C424" s="16">
        <v>46159</v>
      </c>
      <c r="D424">
        <v>13090.369999999997</v>
      </c>
    </row>
    <row r="425" spans="1:4" x14ac:dyDescent="0.3">
      <c r="A425" t="s">
        <v>24</v>
      </c>
      <c r="C425" s="16">
        <v>46159</v>
      </c>
      <c r="D425">
        <v>2498.3999999999996</v>
      </c>
    </row>
    <row r="426" spans="1:4" x14ac:dyDescent="0.3">
      <c r="A426" t="s">
        <v>25</v>
      </c>
      <c r="C426" s="16">
        <v>46159</v>
      </c>
      <c r="D426">
        <v>114.3</v>
      </c>
    </row>
    <row r="427" spans="1:4" x14ac:dyDescent="0.3">
      <c r="A427" t="s">
        <v>26</v>
      </c>
      <c r="C427" s="16">
        <v>46159</v>
      </c>
      <c r="D427">
        <v>2267.7200000000003</v>
      </c>
    </row>
    <row r="428" spans="1:4" x14ac:dyDescent="0.3">
      <c r="A428" t="s">
        <v>27</v>
      </c>
      <c r="C428" s="16">
        <v>46159</v>
      </c>
      <c r="D428">
        <v>3349.94</v>
      </c>
    </row>
    <row r="429" spans="1:4" x14ac:dyDescent="0.3">
      <c r="A429" t="s">
        <v>28</v>
      </c>
      <c r="C429" s="16">
        <v>46159</v>
      </c>
      <c r="D429">
        <v>1968.99</v>
      </c>
    </row>
    <row r="430" spans="1:4" x14ac:dyDescent="0.3">
      <c r="A430" t="s">
        <v>29</v>
      </c>
      <c r="C430" s="16">
        <v>46159</v>
      </c>
      <c r="D430">
        <v>901.34</v>
      </c>
    </row>
    <row r="431" spans="1:4" x14ac:dyDescent="0.3">
      <c r="A431" t="s">
        <v>30</v>
      </c>
      <c r="C431" s="16">
        <v>46159</v>
      </c>
      <c r="D431">
        <v>1444.08</v>
      </c>
    </row>
    <row r="432" spans="1:4" x14ac:dyDescent="0.3">
      <c r="A432" t="s">
        <v>31</v>
      </c>
      <c r="C432" s="16">
        <v>46159</v>
      </c>
      <c r="D432">
        <v>18242.599999999962</v>
      </c>
    </row>
    <row r="433" spans="1:4" x14ac:dyDescent="0.3">
      <c r="A433" t="s">
        <v>32</v>
      </c>
      <c r="C433" s="16">
        <v>46159</v>
      </c>
      <c r="D433">
        <v>15120.060000000001</v>
      </c>
    </row>
    <row r="434" spans="1:4" x14ac:dyDescent="0.3">
      <c r="A434" t="s">
        <v>33</v>
      </c>
      <c r="C434" s="16">
        <v>46159</v>
      </c>
      <c r="D434">
        <v>27011.27</v>
      </c>
    </row>
    <row r="435" spans="1:4" x14ac:dyDescent="0.3">
      <c r="A435" t="s">
        <v>34</v>
      </c>
      <c r="C435" s="16">
        <v>46159</v>
      </c>
      <c r="D435">
        <v>345</v>
      </c>
    </row>
    <row r="436" spans="1:4" x14ac:dyDescent="0.3">
      <c r="A436" t="s">
        <v>35</v>
      </c>
      <c r="C436" s="16">
        <v>46159</v>
      </c>
      <c r="D436">
        <v>14176.59</v>
      </c>
    </row>
    <row r="437" spans="1:4" x14ac:dyDescent="0.3">
      <c r="A437" t="s">
        <v>193</v>
      </c>
      <c r="C437" s="16">
        <v>46159</v>
      </c>
      <c r="D437">
        <v>0</v>
      </c>
    </row>
    <row r="438" spans="1:4" x14ac:dyDescent="0.3">
      <c r="A438" t="s">
        <v>194</v>
      </c>
      <c r="C438" s="16">
        <v>46159</v>
      </c>
      <c r="D438">
        <v>0</v>
      </c>
    </row>
    <row r="439" spans="1:4" x14ac:dyDescent="0.3">
      <c r="A439" t="s">
        <v>195</v>
      </c>
      <c r="C439" s="16">
        <v>46159</v>
      </c>
      <c r="D439">
        <v>0</v>
      </c>
    </row>
    <row r="440" spans="1:4" x14ac:dyDescent="0.3">
      <c r="A440" t="s">
        <v>196</v>
      </c>
      <c r="C440" s="16">
        <v>46159</v>
      </c>
      <c r="D440">
        <v>0</v>
      </c>
    </row>
    <row r="441" spans="1:4" x14ac:dyDescent="0.3">
      <c r="A441" t="s">
        <v>197</v>
      </c>
      <c r="C441" s="16">
        <v>46159</v>
      </c>
      <c r="D441">
        <v>0</v>
      </c>
    </row>
    <row r="442" spans="1:4" x14ac:dyDescent="0.3">
      <c r="A442" t="s">
        <v>214</v>
      </c>
      <c r="C442" s="16">
        <v>46159</v>
      </c>
      <c r="D442">
        <v>0</v>
      </c>
    </row>
    <row r="443" spans="1:4" x14ac:dyDescent="0.3">
      <c r="A443" t="s">
        <v>199</v>
      </c>
      <c r="C443" s="16">
        <v>46159</v>
      </c>
      <c r="D443">
        <v>0</v>
      </c>
    </row>
    <row r="444" spans="1:4" x14ac:dyDescent="0.3">
      <c r="A444" t="s">
        <v>17</v>
      </c>
      <c r="C444" s="16">
        <v>46160</v>
      </c>
      <c r="D444">
        <v>165752.81000000023</v>
      </c>
    </row>
    <row r="445" spans="1:4" x14ac:dyDescent="0.3">
      <c r="A445" t="s">
        <v>18</v>
      </c>
      <c r="C445" s="16">
        <v>46160</v>
      </c>
      <c r="D445">
        <v>59760.159999999938</v>
      </c>
    </row>
    <row r="446" spans="1:4" x14ac:dyDescent="0.3">
      <c r="A446" t="s">
        <v>19</v>
      </c>
      <c r="C446" s="16">
        <v>46160</v>
      </c>
      <c r="D446">
        <v>1669.89</v>
      </c>
    </row>
    <row r="447" spans="1:4" x14ac:dyDescent="0.3">
      <c r="A447" t="s">
        <v>20</v>
      </c>
      <c r="C447" s="16">
        <v>46160</v>
      </c>
      <c r="D447">
        <v>832076.20999999985</v>
      </c>
    </row>
    <row r="448" spans="1:4" x14ac:dyDescent="0.3">
      <c r="A448" t="s">
        <v>21</v>
      </c>
      <c r="C448" s="16">
        <v>46160</v>
      </c>
      <c r="D448">
        <v>928713.30999999924</v>
      </c>
    </row>
    <row r="449" spans="1:4" x14ac:dyDescent="0.3">
      <c r="A449" t="s">
        <v>22</v>
      </c>
      <c r="C449" s="16">
        <v>46160</v>
      </c>
      <c r="D449">
        <v>121511.38</v>
      </c>
    </row>
    <row r="450" spans="1:4" x14ac:dyDescent="0.3">
      <c r="A450" t="s">
        <v>23</v>
      </c>
      <c r="C450" s="16">
        <v>46160</v>
      </c>
      <c r="D450">
        <v>13090.369999999997</v>
      </c>
    </row>
    <row r="451" spans="1:4" x14ac:dyDescent="0.3">
      <c r="A451" t="s">
        <v>24</v>
      </c>
      <c r="C451" s="16">
        <v>46160</v>
      </c>
      <c r="D451">
        <v>2498.3999999999996</v>
      </c>
    </row>
    <row r="452" spans="1:4" x14ac:dyDescent="0.3">
      <c r="A452" t="s">
        <v>25</v>
      </c>
      <c r="C452" s="16">
        <v>46160</v>
      </c>
      <c r="D452">
        <v>114.3</v>
      </c>
    </row>
    <row r="453" spans="1:4" x14ac:dyDescent="0.3">
      <c r="A453" t="s">
        <v>26</v>
      </c>
      <c r="C453" s="16">
        <v>46160</v>
      </c>
      <c r="D453">
        <v>2267.7200000000003</v>
      </c>
    </row>
    <row r="454" spans="1:4" x14ac:dyDescent="0.3">
      <c r="A454" t="s">
        <v>27</v>
      </c>
      <c r="C454" s="16">
        <v>46160</v>
      </c>
      <c r="D454">
        <v>3349.94</v>
      </c>
    </row>
    <row r="455" spans="1:4" x14ac:dyDescent="0.3">
      <c r="A455" t="s">
        <v>28</v>
      </c>
      <c r="C455" s="16">
        <v>46160</v>
      </c>
      <c r="D455">
        <v>1968.99</v>
      </c>
    </row>
    <row r="456" spans="1:4" x14ac:dyDescent="0.3">
      <c r="A456" t="s">
        <v>29</v>
      </c>
      <c r="C456" s="16">
        <v>46160</v>
      </c>
      <c r="D456">
        <v>901.34</v>
      </c>
    </row>
    <row r="457" spans="1:4" x14ac:dyDescent="0.3">
      <c r="A457" t="s">
        <v>30</v>
      </c>
      <c r="C457" s="16">
        <v>46160</v>
      </c>
      <c r="D457">
        <v>1444.08</v>
      </c>
    </row>
    <row r="458" spans="1:4" x14ac:dyDescent="0.3">
      <c r="A458" t="s">
        <v>31</v>
      </c>
      <c r="C458" s="16">
        <v>46160</v>
      </c>
      <c r="D458">
        <v>15463.59999999996</v>
      </c>
    </row>
    <row r="459" spans="1:4" x14ac:dyDescent="0.3">
      <c r="A459" t="s">
        <v>32</v>
      </c>
      <c r="C459" s="16">
        <v>46160</v>
      </c>
      <c r="D459">
        <v>15120.060000000001</v>
      </c>
    </row>
    <row r="460" spans="1:4" x14ac:dyDescent="0.3">
      <c r="A460" t="s">
        <v>33</v>
      </c>
      <c r="C460" s="16">
        <v>46160</v>
      </c>
      <c r="D460">
        <v>27006.27</v>
      </c>
    </row>
    <row r="461" spans="1:4" x14ac:dyDescent="0.3">
      <c r="A461" t="s">
        <v>34</v>
      </c>
      <c r="C461" s="16">
        <v>46160</v>
      </c>
      <c r="D461">
        <v>345</v>
      </c>
    </row>
    <row r="462" spans="1:4" x14ac:dyDescent="0.3">
      <c r="A462" t="s">
        <v>35</v>
      </c>
      <c r="C462" s="16">
        <v>46160</v>
      </c>
      <c r="D462">
        <v>13941.210000000001</v>
      </c>
    </row>
    <row r="463" spans="1:4" x14ac:dyDescent="0.3">
      <c r="A463" t="s">
        <v>193</v>
      </c>
      <c r="C463" s="16">
        <v>46160</v>
      </c>
      <c r="D463">
        <v>0</v>
      </c>
    </row>
    <row r="464" spans="1:4" x14ac:dyDescent="0.3">
      <c r="A464" t="s">
        <v>194</v>
      </c>
      <c r="C464" s="16">
        <v>46160</v>
      </c>
      <c r="D464">
        <v>0</v>
      </c>
    </row>
    <row r="465" spans="1:4" x14ac:dyDescent="0.3">
      <c r="A465" t="s">
        <v>195</v>
      </c>
      <c r="C465" s="16">
        <v>46160</v>
      </c>
      <c r="D465">
        <v>0</v>
      </c>
    </row>
    <row r="466" spans="1:4" x14ac:dyDescent="0.3">
      <c r="A466" t="s">
        <v>196</v>
      </c>
      <c r="C466" s="16">
        <v>46160</v>
      </c>
      <c r="D466">
        <v>0</v>
      </c>
    </row>
    <row r="467" spans="1:4" x14ac:dyDescent="0.3">
      <c r="A467" t="s">
        <v>197</v>
      </c>
      <c r="C467" s="16">
        <v>46160</v>
      </c>
      <c r="D467">
        <v>0</v>
      </c>
    </row>
    <row r="468" spans="1:4" x14ac:dyDescent="0.3">
      <c r="A468" t="s">
        <v>214</v>
      </c>
      <c r="C468" s="16">
        <v>46160</v>
      </c>
      <c r="D468">
        <v>0</v>
      </c>
    </row>
    <row r="469" spans="1:4" x14ac:dyDescent="0.3">
      <c r="A469" t="s">
        <v>199</v>
      </c>
      <c r="C469" s="16">
        <v>46160</v>
      </c>
      <c r="D469">
        <v>0</v>
      </c>
    </row>
    <row r="470" spans="1:4" x14ac:dyDescent="0.3">
      <c r="A470" t="s">
        <v>17</v>
      </c>
      <c r="C470" s="16">
        <v>46161</v>
      </c>
      <c r="D470">
        <v>815752.81000000029</v>
      </c>
    </row>
    <row r="471" spans="1:4" x14ac:dyDescent="0.3">
      <c r="A471" t="s">
        <v>18</v>
      </c>
      <c r="C471" s="16">
        <v>46161</v>
      </c>
      <c r="D471">
        <v>59760.159999999938</v>
      </c>
    </row>
    <row r="472" spans="1:4" x14ac:dyDescent="0.3">
      <c r="A472" t="s">
        <v>19</v>
      </c>
      <c r="C472" s="16">
        <v>46161</v>
      </c>
      <c r="D472">
        <v>1669.89</v>
      </c>
    </row>
    <row r="473" spans="1:4" x14ac:dyDescent="0.3">
      <c r="A473" t="s">
        <v>20</v>
      </c>
      <c r="C473" s="16">
        <v>46161</v>
      </c>
      <c r="D473">
        <v>832076.20999999985</v>
      </c>
    </row>
    <row r="474" spans="1:4" x14ac:dyDescent="0.3">
      <c r="A474" t="s">
        <v>21</v>
      </c>
      <c r="C474" s="16">
        <v>46161</v>
      </c>
      <c r="D474">
        <v>925592.77999999933</v>
      </c>
    </row>
    <row r="475" spans="1:4" x14ac:dyDescent="0.3">
      <c r="A475" t="s">
        <v>22</v>
      </c>
      <c r="C475" s="16">
        <v>46161</v>
      </c>
      <c r="D475">
        <v>91511.38</v>
      </c>
    </row>
    <row r="476" spans="1:4" x14ac:dyDescent="0.3">
      <c r="A476" t="s">
        <v>23</v>
      </c>
      <c r="C476" s="16">
        <v>46161</v>
      </c>
      <c r="D476">
        <v>13090.369999999997</v>
      </c>
    </row>
    <row r="477" spans="1:4" x14ac:dyDescent="0.3">
      <c r="A477" t="s">
        <v>24</v>
      </c>
      <c r="C477" s="16">
        <v>46161</v>
      </c>
      <c r="D477">
        <v>2498.3999999999996</v>
      </c>
    </row>
    <row r="478" spans="1:4" x14ac:dyDescent="0.3">
      <c r="A478" t="s">
        <v>25</v>
      </c>
      <c r="C478" s="16">
        <v>46161</v>
      </c>
      <c r="D478">
        <v>114.3</v>
      </c>
    </row>
    <row r="479" spans="1:4" x14ac:dyDescent="0.3">
      <c r="A479" t="s">
        <v>26</v>
      </c>
      <c r="C479" s="16">
        <v>46161</v>
      </c>
      <c r="D479">
        <v>2267.7200000000003</v>
      </c>
    </row>
    <row r="480" spans="1:4" x14ac:dyDescent="0.3">
      <c r="A480" t="s">
        <v>27</v>
      </c>
      <c r="C480" s="16">
        <v>46161</v>
      </c>
      <c r="D480">
        <v>3349.94</v>
      </c>
    </row>
    <row r="481" spans="1:4" x14ac:dyDescent="0.3">
      <c r="A481" t="s">
        <v>28</v>
      </c>
      <c r="C481" s="16">
        <v>46161</v>
      </c>
      <c r="D481">
        <v>1968.99</v>
      </c>
    </row>
    <row r="482" spans="1:4" x14ac:dyDescent="0.3">
      <c r="A482" t="s">
        <v>29</v>
      </c>
      <c r="C482" s="16">
        <v>46161</v>
      </c>
      <c r="D482">
        <v>901.34</v>
      </c>
    </row>
    <row r="483" spans="1:4" x14ac:dyDescent="0.3">
      <c r="A483" t="s">
        <v>30</v>
      </c>
      <c r="C483" s="16">
        <v>46161</v>
      </c>
      <c r="D483">
        <v>1444.08</v>
      </c>
    </row>
    <row r="484" spans="1:4" x14ac:dyDescent="0.3">
      <c r="A484" t="s">
        <v>31</v>
      </c>
      <c r="C484" s="16">
        <v>46161</v>
      </c>
      <c r="D484">
        <v>15463.59999999996</v>
      </c>
    </row>
    <row r="485" spans="1:4" x14ac:dyDescent="0.3">
      <c r="A485" t="s">
        <v>32</v>
      </c>
      <c r="C485" s="16">
        <v>46161</v>
      </c>
      <c r="D485">
        <v>15120.060000000001</v>
      </c>
    </row>
    <row r="486" spans="1:4" x14ac:dyDescent="0.3">
      <c r="A486" t="s">
        <v>33</v>
      </c>
      <c r="C486" s="16">
        <v>46161</v>
      </c>
      <c r="D486">
        <v>27006.27</v>
      </c>
    </row>
    <row r="487" spans="1:4" x14ac:dyDescent="0.3">
      <c r="A487" t="s">
        <v>34</v>
      </c>
      <c r="C487" s="16">
        <v>46161</v>
      </c>
      <c r="D487">
        <v>345</v>
      </c>
    </row>
    <row r="488" spans="1:4" x14ac:dyDescent="0.3">
      <c r="A488" t="s">
        <v>35</v>
      </c>
      <c r="C488" s="16">
        <v>46161</v>
      </c>
      <c r="D488">
        <v>18941.21</v>
      </c>
    </row>
    <row r="489" spans="1:4" x14ac:dyDescent="0.3">
      <c r="A489" t="s">
        <v>193</v>
      </c>
      <c r="C489" s="16">
        <v>46161</v>
      </c>
      <c r="D489">
        <v>0</v>
      </c>
    </row>
    <row r="490" spans="1:4" x14ac:dyDescent="0.3">
      <c r="A490" t="s">
        <v>194</v>
      </c>
      <c r="C490" s="16">
        <v>46161</v>
      </c>
      <c r="D490">
        <v>0</v>
      </c>
    </row>
    <row r="491" spans="1:4" x14ac:dyDescent="0.3">
      <c r="A491" t="s">
        <v>195</v>
      </c>
      <c r="C491" s="16">
        <v>46161</v>
      </c>
      <c r="D491">
        <v>0</v>
      </c>
    </row>
    <row r="492" spans="1:4" x14ac:dyDescent="0.3">
      <c r="A492" t="s">
        <v>196</v>
      </c>
      <c r="C492" s="16">
        <v>46161</v>
      </c>
      <c r="D492">
        <v>0</v>
      </c>
    </row>
    <row r="493" spans="1:4" x14ac:dyDescent="0.3">
      <c r="A493" t="s">
        <v>197</v>
      </c>
      <c r="C493" s="16">
        <v>46161</v>
      </c>
      <c r="D493">
        <v>0</v>
      </c>
    </row>
    <row r="494" spans="1:4" x14ac:dyDescent="0.3">
      <c r="A494" t="s">
        <v>214</v>
      </c>
      <c r="C494" s="16">
        <v>46161</v>
      </c>
      <c r="D494">
        <v>0</v>
      </c>
    </row>
    <row r="495" spans="1:4" x14ac:dyDescent="0.3">
      <c r="A495" t="s">
        <v>199</v>
      </c>
      <c r="C495" s="16">
        <v>46161</v>
      </c>
      <c r="D495">
        <v>0</v>
      </c>
    </row>
    <row r="496" spans="1:4" x14ac:dyDescent="0.3">
      <c r="A496" t="s">
        <v>17</v>
      </c>
      <c r="C496" s="16">
        <v>46162</v>
      </c>
      <c r="D496">
        <v>142321.80000000013</v>
      </c>
    </row>
    <row r="497" spans="1:4" x14ac:dyDescent="0.3">
      <c r="A497" t="s">
        <v>18</v>
      </c>
      <c r="C497" s="16">
        <v>46162</v>
      </c>
      <c r="D497">
        <v>59760.159999999938</v>
      </c>
    </row>
    <row r="498" spans="1:4" x14ac:dyDescent="0.3">
      <c r="A498" t="s">
        <v>19</v>
      </c>
      <c r="C498" s="16">
        <v>46162</v>
      </c>
      <c r="D498">
        <v>1669.89</v>
      </c>
    </row>
    <row r="499" spans="1:4" x14ac:dyDescent="0.3">
      <c r="A499" t="s">
        <v>20</v>
      </c>
      <c r="C499" s="16">
        <v>46162</v>
      </c>
      <c r="D499">
        <v>832076.20999999985</v>
      </c>
    </row>
    <row r="500" spans="1:4" x14ac:dyDescent="0.3">
      <c r="A500" t="s">
        <v>21</v>
      </c>
      <c r="C500" s="16">
        <v>46162</v>
      </c>
      <c r="D500">
        <v>981189.87999999931</v>
      </c>
    </row>
    <row r="501" spans="1:4" x14ac:dyDescent="0.3">
      <c r="A501" t="s">
        <v>22</v>
      </c>
      <c r="C501" s="16">
        <v>46162</v>
      </c>
      <c r="D501">
        <v>141496.38</v>
      </c>
    </row>
    <row r="502" spans="1:4" x14ac:dyDescent="0.3">
      <c r="A502" t="s">
        <v>23</v>
      </c>
      <c r="C502" s="16">
        <v>46162</v>
      </c>
      <c r="D502">
        <v>13090.369999999997</v>
      </c>
    </row>
    <row r="503" spans="1:4" x14ac:dyDescent="0.3">
      <c r="A503" t="s">
        <v>24</v>
      </c>
      <c r="C503" s="16">
        <v>46162</v>
      </c>
      <c r="D503">
        <v>2498.3999999999996</v>
      </c>
    </row>
    <row r="504" spans="1:4" x14ac:dyDescent="0.3">
      <c r="A504" t="s">
        <v>25</v>
      </c>
      <c r="C504" s="16">
        <v>46162</v>
      </c>
      <c r="D504">
        <v>114.3</v>
      </c>
    </row>
    <row r="505" spans="1:4" x14ac:dyDescent="0.3">
      <c r="A505" t="s">
        <v>26</v>
      </c>
      <c r="C505" s="16">
        <v>46162</v>
      </c>
      <c r="D505">
        <v>2267.7200000000003</v>
      </c>
    </row>
    <row r="506" spans="1:4" x14ac:dyDescent="0.3">
      <c r="A506" t="s">
        <v>27</v>
      </c>
      <c r="C506" s="16">
        <v>46162</v>
      </c>
      <c r="D506">
        <v>3349.94</v>
      </c>
    </row>
    <row r="507" spans="1:4" x14ac:dyDescent="0.3">
      <c r="A507" t="s">
        <v>28</v>
      </c>
      <c r="C507" s="16">
        <v>46162</v>
      </c>
      <c r="D507">
        <v>1968.99</v>
      </c>
    </row>
    <row r="508" spans="1:4" x14ac:dyDescent="0.3">
      <c r="A508" t="s">
        <v>29</v>
      </c>
      <c r="C508" s="16">
        <v>46162</v>
      </c>
      <c r="D508">
        <v>901.34</v>
      </c>
    </row>
    <row r="509" spans="1:4" x14ac:dyDescent="0.3">
      <c r="A509" t="s">
        <v>30</v>
      </c>
      <c r="C509" s="16">
        <v>46162</v>
      </c>
      <c r="D509">
        <v>1444.08</v>
      </c>
    </row>
    <row r="510" spans="1:4" x14ac:dyDescent="0.3">
      <c r="A510" t="s">
        <v>31</v>
      </c>
      <c r="C510" s="16">
        <v>46162</v>
      </c>
      <c r="D510">
        <v>15463.59999999996</v>
      </c>
    </row>
    <row r="511" spans="1:4" x14ac:dyDescent="0.3">
      <c r="A511" t="s">
        <v>32</v>
      </c>
      <c r="C511" s="16">
        <v>46162</v>
      </c>
      <c r="D511">
        <v>15120.060000000001</v>
      </c>
    </row>
    <row r="512" spans="1:4" x14ac:dyDescent="0.3">
      <c r="A512" t="s">
        <v>33</v>
      </c>
      <c r="C512" s="16">
        <v>46162</v>
      </c>
      <c r="D512">
        <v>29206.27</v>
      </c>
    </row>
    <row r="513" spans="1:4" x14ac:dyDescent="0.3">
      <c r="A513" t="s">
        <v>34</v>
      </c>
      <c r="C513" s="16">
        <v>46162</v>
      </c>
      <c r="D513">
        <v>345</v>
      </c>
    </row>
    <row r="514" spans="1:4" x14ac:dyDescent="0.3">
      <c r="A514" t="s">
        <v>35</v>
      </c>
      <c r="C514" s="16">
        <v>46162</v>
      </c>
      <c r="D514">
        <v>8168.0700000000006</v>
      </c>
    </row>
    <row r="515" spans="1:4" x14ac:dyDescent="0.3">
      <c r="A515" t="s">
        <v>193</v>
      </c>
      <c r="C515" s="16">
        <v>46162</v>
      </c>
      <c r="D515">
        <v>0</v>
      </c>
    </row>
    <row r="516" spans="1:4" x14ac:dyDescent="0.3">
      <c r="A516" t="s">
        <v>194</v>
      </c>
      <c r="C516" s="16">
        <v>46162</v>
      </c>
      <c r="D516">
        <v>0</v>
      </c>
    </row>
    <row r="517" spans="1:4" x14ac:dyDescent="0.3">
      <c r="A517" t="s">
        <v>195</v>
      </c>
      <c r="C517" s="16">
        <v>46162</v>
      </c>
      <c r="D517">
        <v>0</v>
      </c>
    </row>
    <row r="518" spans="1:4" x14ac:dyDescent="0.3">
      <c r="A518" t="s">
        <v>196</v>
      </c>
      <c r="C518" s="16">
        <v>46162</v>
      </c>
      <c r="D518">
        <v>0</v>
      </c>
    </row>
    <row r="519" spans="1:4" x14ac:dyDescent="0.3">
      <c r="A519" t="s">
        <v>197</v>
      </c>
      <c r="C519" s="16">
        <v>46162</v>
      </c>
      <c r="D519">
        <v>0</v>
      </c>
    </row>
    <row r="520" spans="1:4" x14ac:dyDescent="0.3">
      <c r="A520" t="s">
        <v>214</v>
      </c>
      <c r="C520" s="16">
        <v>46162</v>
      </c>
      <c r="D520">
        <v>0</v>
      </c>
    </row>
    <row r="521" spans="1:4" x14ac:dyDescent="0.3">
      <c r="A521" t="s">
        <v>199</v>
      </c>
      <c r="C521" s="16">
        <v>46162</v>
      </c>
      <c r="D521">
        <v>0</v>
      </c>
    </row>
    <row r="522" spans="1:4" x14ac:dyDescent="0.3">
      <c r="A522" t="s">
        <v>17</v>
      </c>
      <c r="C522" s="16">
        <v>46163</v>
      </c>
      <c r="D522">
        <v>142321.80000000013</v>
      </c>
    </row>
    <row r="523" spans="1:4" x14ac:dyDescent="0.3">
      <c r="A523" t="s">
        <v>18</v>
      </c>
      <c r="C523" s="16">
        <v>46163</v>
      </c>
      <c r="D523">
        <v>659760.15999999992</v>
      </c>
    </row>
    <row r="524" spans="1:4" x14ac:dyDescent="0.3">
      <c r="A524" t="s">
        <v>19</v>
      </c>
      <c r="C524" s="16">
        <v>46163</v>
      </c>
      <c r="D524">
        <v>1669.89</v>
      </c>
    </row>
    <row r="525" spans="1:4" x14ac:dyDescent="0.3">
      <c r="A525" t="s">
        <v>20</v>
      </c>
      <c r="C525" s="16">
        <v>46163</v>
      </c>
      <c r="D525">
        <v>497076.20999999985</v>
      </c>
    </row>
    <row r="526" spans="1:4" x14ac:dyDescent="0.3">
      <c r="A526" t="s">
        <v>21</v>
      </c>
      <c r="C526" s="16">
        <v>46163</v>
      </c>
      <c r="D526">
        <v>981189.87999999931</v>
      </c>
    </row>
    <row r="527" spans="1:4" x14ac:dyDescent="0.3">
      <c r="A527" t="s">
        <v>22</v>
      </c>
      <c r="C527" s="16">
        <v>46163</v>
      </c>
      <c r="D527">
        <v>141496.38</v>
      </c>
    </row>
    <row r="528" spans="1:4" x14ac:dyDescent="0.3">
      <c r="A528" t="s">
        <v>23</v>
      </c>
      <c r="C528" s="16">
        <v>46163</v>
      </c>
      <c r="D528">
        <v>88090.37</v>
      </c>
    </row>
    <row r="529" spans="1:4" x14ac:dyDescent="0.3">
      <c r="A529" t="s">
        <v>24</v>
      </c>
      <c r="C529" s="16">
        <v>46163</v>
      </c>
      <c r="D529">
        <v>2498.3999999999996</v>
      </c>
    </row>
    <row r="530" spans="1:4" x14ac:dyDescent="0.3">
      <c r="A530" t="s">
        <v>25</v>
      </c>
      <c r="C530" s="16">
        <v>46163</v>
      </c>
      <c r="D530">
        <v>114.3</v>
      </c>
    </row>
    <row r="531" spans="1:4" x14ac:dyDescent="0.3">
      <c r="A531" t="s">
        <v>26</v>
      </c>
      <c r="C531" s="16">
        <v>46163</v>
      </c>
      <c r="D531">
        <v>2267.7200000000003</v>
      </c>
    </row>
    <row r="532" spans="1:4" x14ac:dyDescent="0.3">
      <c r="A532" t="s">
        <v>27</v>
      </c>
      <c r="C532" s="16">
        <v>46163</v>
      </c>
      <c r="D532">
        <v>3349.94</v>
      </c>
    </row>
    <row r="533" spans="1:4" x14ac:dyDescent="0.3">
      <c r="A533" t="s">
        <v>28</v>
      </c>
      <c r="C533" s="16">
        <v>46163</v>
      </c>
      <c r="D533">
        <v>1968.99</v>
      </c>
    </row>
    <row r="534" spans="1:4" x14ac:dyDescent="0.3">
      <c r="A534" t="s">
        <v>29</v>
      </c>
      <c r="C534" s="16">
        <v>46163</v>
      </c>
      <c r="D534">
        <v>901.34</v>
      </c>
    </row>
    <row r="535" spans="1:4" x14ac:dyDescent="0.3">
      <c r="A535" t="s">
        <v>30</v>
      </c>
      <c r="C535" s="16">
        <v>46163</v>
      </c>
      <c r="D535">
        <v>1444.08</v>
      </c>
    </row>
    <row r="536" spans="1:4" x14ac:dyDescent="0.3">
      <c r="A536" t="s">
        <v>31</v>
      </c>
      <c r="C536" s="16">
        <v>46163</v>
      </c>
      <c r="D536">
        <v>15463.59999999996</v>
      </c>
    </row>
    <row r="537" spans="1:4" x14ac:dyDescent="0.3">
      <c r="A537" t="s">
        <v>32</v>
      </c>
      <c r="C537" s="16">
        <v>46163</v>
      </c>
      <c r="D537">
        <v>15120.060000000001</v>
      </c>
    </row>
    <row r="538" spans="1:4" x14ac:dyDescent="0.3">
      <c r="A538" t="s">
        <v>33</v>
      </c>
      <c r="C538" s="16">
        <v>46163</v>
      </c>
      <c r="D538">
        <v>29206.27</v>
      </c>
    </row>
    <row r="539" spans="1:4" x14ac:dyDescent="0.3">
      <c r="A539" t="s">
        <v>34</v>
      </c>
      <c r="C539" s="16">
        <v>46163</v>
      </c>
      <c r="D539">
        <v>345</v>
      </c>
    </row>
    <row r="540" spans="1:4" x14ac:dyDescent="0.3">
      <c r="A540" t="s">
        <v>35</v>
      </c>
      <c r="C540" s="16">
        <v>46163</v>
      </c>
      <c r="D540">
        <v>8168.0700000000006</v>
      </c>
    </row>
    <row r="541" spans="1:4" x14ac:dyDescent="0.3">
      <c r="A541" t="s">
        <v>193</v>
      </c>
      <c r="C541" s="16">
        <v>46163</v>
      </c>
      <c r="D541">
        <v>0</v>
      </c>
    </row>
    <row r="542" spans="1:4" x14ac:dyDescent="0.3">
      <c r="A542" t="s">
        <v>194</v>
      </c>
      <c r="C542" s="16">
        <v>46163</v>
      </c>
      <c r="D542">
        <v>0</v>
      </c>
    </row>
    <row r="543" spans="1:4" x14ac:dyDescent="0.3">
      <c r="A543" t="s">
        <v>195</v>
      </c>
      <c r="C543" s="16">
        <v>46163</v>
      </c>
      <c r="D543">
        <v>0</v>
      </c>
    </row>
    <row r="544" spans="1:4" x14ac:dyDescent="0.3">
      <c r="A544" t="s">
        <v>196</v>
      </c>
      <c r="C544" s="16">
        <v>46163</v>
      </c>
      <c r="D544">
        <v>0</v>
      </c>
    </row>
    <row r="545" spans="1:4" x14ac:dyDescent="0.3">
      <c r="A545" t="s">
        <v>197</v>
      </c>
      <c r="C545" s="16">
        <v>46163</v>
      </c>
      <c r="D545">
        <v>0</v>
      </c>
    </row>
    <row r="546" spans="1:4" x14ac:dyDescent="0.3">
      <c r="A546" t="s">
        <v>214</v>
      </c>
      <c r="C546" s="16">
        <v>46163</v>
      </c>
      <c r="D546">
        <v>0</v>
      </c>
    </row>
    <row r="547" spans="1:4" x14ac:dyDescent="0.3">
      <c r="A547" t="s">
        <v>199</v>
      </c>
      <c r="C547" s="16">
        <v>46163</v>
      </c>
      <c r="D547">
        <v>0</v>
      </c>
    </row>
    <row r="548" spans="1:4" x14ac:dyDescent="0.3">
      <c r="A548" t="s">
        <v>17</v>
      </c>
      <c r="C548" s="16">
        <v>46164</v>
      </c>
      <c r="D548">
        <v>142321.80000000013</v>
      </c>
    </row>
    <row r="549" spans="1:4" x14ac:dyDescent="0.3">
      <c r="A549" t="s">
        <v>18</v>
      </c>
      <c r="C549" s="16">
        <v>46164</v>
      </c>
      <c r="D549">
        <v>659760.15999999992</v>
      </c>
    </row>
    <row r="550" spans="1:4" x14ac:dyDescent="0.3">
      <c r="A550" t="s">
        <v>19</v>
      </c>
      <c r="C550" s="16">
        <v>46164</v>
      </c>
      <c r="D550">
        <v>1669.89</v>
      </c>
    </row>
    <row r="551" spans="1:4" x14ac:dyDescent="0.3">
      <c r="A551" t="s">
        <v>20</v>
      </c>
      <c r="C551" s="16">
        <v>46164</v>
      </c>
      <c r="D551">
        <v>497076.20999999985</v>
      </c>
    </row>
    <row r="552" spans="1:4" x14ac:dyDescent="0.3">
      <c r="A552" t="s">
        <v>21</v>
      </c>
      <c r="C552" s="16">
        <v>46164</v>
      </c>
      <c r="D552">
        <v>980426.88999999932</v>
      </c>
    </row>
    <row r="553" spans="1:4" x14ac:dyDescent="0.3">
      <c r="A553" t="s">
        <v>22</v>
      </c>
      <c r="C553" s="16">
        <v>46164</v>
      </c>
      <c r="D553">
        <v>141496.38</v>
      </c>
    </row>
    <row r="554" spans="1:4" x14ac:dyDescent="0.3">
      <c r="A554" t="s">
        <v>23</v>
      </c>
      <c r="C554" s="16">
        <v>46164</v>
      </c>
      <c r="D554">
        <v>88090.37</v>
      </c>
    </row>
    <row r="555" spans="1:4" x14ac:dyDescent="0.3">
      <c r="A555" t="s">
        <v>24</v>
      </c>
      <c r="C555" s="16">
        <v>46164</v>
      </c>
      <c r="D555">
        <v>2498.3999999999996</v>
      </c>
    </row>
    <row r="556" spans="1:4" x14ac:dyDescent="0.3">
      <c r="A556" t="s">
        <v>25</v>
      </c>
      <c r="C556" s="16">
        <v>46164</v>
      </c>
      <c r="D556">
        <v>114.3</v>
      </c>
    </row>
    <row r="557" spans="1:4" x14ac:dyDescent="0.3">
      <c r="A557" t="s">
        <v>26</v>
      </c>
      <c r="C557" s="16">
        <v>46164</v>
      </c>
      <c r="D557">
        <v>2267.7200000000003</v>
      </c>
    </row>
    <row r="558" spans="1:4" x14ac:dyDescent="0.3">
      <c r="A558" t="s">
        <v>27</v>
      </c>
      <c r="C558" s="16">
        <v>46164</v>
      </c>
      <c r="D558">
        <v>3349.94</v>
      </c>
    </row>
    <row r="559" spans="1:4" x14ac:dyDescent="0.3">
      <c r="A559" t="s">
        <v>28</v>
      </c>
      <c r="C559" s="16">
        <v>46164</v>
      </c>
      <c r="D559">
        <v>1968.99</v>
      </c>
    </row>
    <row r="560" spans="1:4" x14ac:dyDescent="0.3">
      <c r="A560" t="s">
        <v>29</v>
      </c>
      <c r="C560" s="16">
        <v>46164</v>
      </c>
      <c r="D560">
        <v>901.34</v>
      </c>
    </row>
    <row r="561" spans="1:4" x14ac:dyDescent="0.3">
      <c r="A561" t="s">
        <v>30</v>
      </c>
      <c r="C561" s="16">
        <v>46164</v>
      </c>
      <c r="D561">
        <v>1444.08</v>
      </c>
    </row>
    <row r="562" spans="1:4" x14ac:dyDescent="0.3">
      <c r="A562" t="s">
        <v>31</v>
      </c>
      <c r="C562" s="16">
        <v>46164</v>
      </c>
      <c r="D562">
        <v>15463.59999999996</v>
      </c>
    </row>
    <row r="563" spans="1:4" x14ac:dyDescent="0.3">
      <c r="A563" t="s">
        <v>32</v>
      </c>
      <c r="C563" s="16">
        <v>46164</v>
      </c>
      <c r="D563">
        <v>15120.060000000001</v>
      </c>
    </row>
    <row r="564" spans="1:4" x14ac:dyDescent="0.3">
      <c r="A564" t="s">
        <v>33</v>
      </c>
      <c r="C564" s="16">
        <v>46164</v>
      </c>
      <c r="D564">
        <v>29206.27</v>
      </c>
    </row>
    <row r="565" spans="1:4" x14ac:dyDescent="0.3">
      <c r="A565" t="s">
        <v>34</v>
      </c>
      <c r="C565" s="16">
        <v>46164</v>
      </c>
      <c r="D565">
        <v>345</v>
      </c>
    </row>
    <row r="566" spans="1:4" x14ac:dyDescent="0.3">
      <c r="A566" t="s">
        <v>35</v>
      </c>
      <c r="C566" s="16">
        <v>46164</v>
      </c>
      <c r="D566">
        <v>8168.0700000000006</v>
      </c>
    </row>
    <row r="567" spans="1:4" x14ac:dyDescent="0.3">
      <c r="A567" t="s">
        <v>193</v>
      </c>
      <c r="C567" s="16">
        <v>46164</v>
      </c>
      <c r="D567">
        <v>0</v>
      </c>
    </row>
    <row r="568" spans="1:4" x14ac:dyDescent="0.3">
      <c r="A568" t="s">
        <v>194</v>
      </c>
      <c r="C568" s="16">
        <v>46164</v>
      </c>
      <c r="D568">
        <v>0</v>
      </c>
    </row>
    <row r="569" spans="1:4" x14ac:dyDescent="0.3">
      <c r="A569" t="s">
        <v>195</v>
      </c>
      <c r="C569" s="16">
        <v>46164</v>
      </c>
      <c r="D569">
        <v>0</v>
      </c>
    </row>
    <row r="570" spans="1:4" x14ac:dyDescent="0.3">
      <c r="A570" t="s">
        <v>196</v>
      </c>
      <c r="C570" s="16">
        <v>46164</v>
      </c>
      <c r="D570">
        <v>0</v>
      </c>
    </row>
    <row r="571" spans="1:4" x14ac:dyDescent="0.3">
      <c r="A571" t="s">
        <v>197</v>
      </c>
      <c r="C571" s="16">
        <v>46164</v>
      </c>
      <c r="D571">
        <v>0</v>
      </c>
    </row>
    <row r="572" spans="1:4" x14ac:dyDescent="0.3">
      <c r="A572" t="s">
        <v>214</v>
      </c>
      <c r="C572" s="16">
        <v>46164</v>
      </c>
      <c r="D572">
        <v>0</v>
      </c>
    </row>
    <row r="573" spans="1:4" x14ac:dyDescent="0.3">
      <c r="A573" t="s">
        <v>199</v>
      </c>
      <c r="C573" s="16">
        <v>46164</v>
      </c>
      <c r="D573">
        <v>0</v>
      </c>
    </row>
    <row r="574" spans="1:4" x14ac:dyDescent="0.3">
      <c r="A574" t="s">
        <v>17</v>
      </c>
      <c r="C574" s="16">
        <v>46165</v>
      </c>
      <c r="D574">
        <v>142321.80000000013</v>
      </c>
    </row>
    <row r="575" spans="1:4" x14ac:dyDescent="0.3">
      <c r="A575" t="s">
        <v>18</v>
      </c>
      <c r="C575" s="16">
        <v>46165</v>
      </c>
      <c r="D575">
        <v>659760.15999999992</v>
      </c>
    </row>
    <row r="576" spans="1:4" x14ac:dyDescent="0.3">
      <c r="A576" t="s">
        <v>19</v>
      </c>
      <c r="C576" s="16">
        <v>46165</v>
      </c>
      <c r="D576">
        <v>1669.89</v>
      </c>
    </row>
    <row r="577" spans="1:4" x14ac:dyDescent="0.3">
      <c r="A577" t="s">
        <v>20</v>
      </c>
      <c r="C577" s="16">
        <v>46165</v>
      </c>
      <c r="D577">
        <v>497076.20999999985</v>
      </c>
    </row>
    <row r="578" spans="1:4" x14ac:dyDescent="0.3">
      <c r="A578" t="s">
        <v>21</v>
      </c>
      <c r="C578" s="16">
        <v>46165</v>
      </c>
      <c r="D578">
        <v>980426.88999999932</v>
      </c>
    </row>
    <row r="579" spans="1:4" x14ac:dyDescent="0.3">
      <c r="A579" t="s">
        <v>22</v>
      </c>
      <c r="C579" s="16">
        <v>46165</v>
      </c>
      <c r="D579">
        <v>141496.38</v>
      </c>
    </row>
    <row r="580" spans="1:4" x14ac:dyDescent="0.3">
      <c r="A580" t="s">
        <v>23</v>
      </c>
      <c r="C580" s="16">
        <v>46165</v>
      </c>
      <c r="D580">
        <v>88090.37</v>
      </c>
    </row>
    <row r="581" spans="1:4" x14ac:dyDescent="0.3">
      <c r="A581" t="s">
        <v>24</v>
      </c>
      <c r="C581" s="16">
        <v>46165</v>
      </c>
      <c r="D581">
        <v>2498.3999999999996</v>
      </c>
    </row>
    <row r="582" spans="1:4" x14ac:dyDescent="0.3">
      <c r="A582" t="s">
        <v>25</v>
      </c>
      <c r="C582" s="16">
        <v>46165</v>
      </c>
      <c r="D582">
        <v>114.3</v>
      </c>
    </row>
    <row r="583" spans="1:4" x14ac:dyDescent="0.3">
      <c r="A583" t="s">
        <v>26</v>
      </c>
      <c r="C583" s="16">
        <v>46165</v>
      </c>
      <c r="D583">
        <v>2267.7200000000003</v>
      </c>
    </row>
    <row r="584" spans="1:4" x14ac:dyDescent="0.3">
      <c r="A584" t="s">
        <v>27</v>
      </c>
      <c r="C584" s="16">
        <v>46165</v>
      </c>
      <c r="D584">
        <v>3349.94</v>
      </c>
    </row>
    <row r="585" spans="1:4" x14ac:dyDescent="0.3">
      <c r="A585" t="s">
        <v>28</v>
      </c>
      <c r="C585" s="16">
        <v>46165</v>
      </c>
      <c r="D585">
        <v>1968.99</v>
      </c>
    </row>
    <row r="586" spans="1:4" x14ac:dyDescent="0.3">
      <c r="A586" t="s">
        <v>29</v>
      </c>
      <c r="C586" s="16">
        <v>46165</v>
      </c>
      <c r="D586">
        <v>901.34</v>
      </c>
    </row>
    <row r="587" spans="1:4" x14ac:dyDescent="0.3">
      <c r="A587" t="s">
        <v>30</v>
      </c>
      <c r="C587" s="16">
        <v>46165</v>
      </c>
      <c r="D587">
        <v>1444.08</v>
      </c>
    </row>
    <row r="588" spans="1:4" x14ac:dyDescent="0.3">
      <c r="A588" t="s">
        <v>31</v>
      </c>
      <c r="C588" s="16">
        <v>46165</v>
      </c>
      <c r="D588">
        <v>15463.59999999996</v>
      </c>
    </row>
    <row r="589" spans="1:4" x14ac:dyDescent="0.3">
      <c r="A589" t="s">
        <v>32</v>
      </c>
      <c r="C589" s="16">
        <v>46165</v>
      </c>
      <c r="D589">
        <v>15120.060000000001</v>
      </c>
    </row>
    <row r="590" spans="1:4" x14ac:dyDescent="0.3">
      <c r="A590" t="s">
        <v>33</v>
      </c>
      <c r="C590" s="16">
        <v>46165</v>
      </c>
      <c r="D590">
        <v>29206.27</v>
      </c>
    </row>
    <row r="591" spans="1:4" x14ac:dyDescent="0.3">
      <c r="A591" t="s">
        <v>34</v>
      </c>
      <c r="C591" s="16">
        <v>46165</v>
      </c>
      <c r="D591">
        <v>345</v>
      </c>
    </row>
    <row r="592" spans="1:4" x14ac:dyDescent="0.3">
      <c r="A592" t="s">
        <v>35</v>
      </c>
      <c r="C592" s="16">
        <v>46165</v>
      </c>
      <c r="D592">
        <v>8168.0700000000006</v>
      </c>
    </row>
    <row r="593" spans="1:4" x14ac:dyDescent="0.3">
      <c r="A593" t="s">
        <v>193</v>
      </c>
      <c r="C593" s="16">
        <v>46165</v>
      </c>
      <c r="D593">
        <v>0</v>
      </c>
    </row>
    <row r="594" spans="1:4" x14ac:dyDescent="0.3">
      <c r="A594" t="s">
        <v>194</v>
      </c>
      <c r="C594" s="16">
        <v>46165</v>
      </c>
      <c r="D594">
        <v>0</v>
      </c>
    </row>
    <row r="595" spans="1:4" x14ac:dyDescent="0.3">
      <c r="A595" t="s">
        <v>195</v>
      </c>
      <c r="C595" s="16">
        <v>46165</v>
      </c>
      <c r="D595">
        <v>0</v>
      </c>
    </row>
    <row r="596" spans="1:4" x14ac:dyDescent="0.3">
      <c r="A596" t="s">
        <v>196</v>
      </c>
      <c r="C596" s="16">
        <v>46165</v>
      </c>
      <c r="D596">
        <v>0</v>
      </c>
    </row>
    <row r="597" spans="1:4" x14ac:dyDescent="0.3">
      <c r="A597" t="s">
        <v>197</v>
      </c>
      <c r="C597" s="16">
        <v>46165</v>
      </c>
      <c r="D597">
        <v>0</v>
      </c>
    </row>
    <row r="598" spans="1:4" x14ac:dyDescent="0.3">
      <c r="A598" t="s">
        <v>214</v>
      </c>
      <c r="C598" s="16">
        <v>46165</v>
      </c>
      <c r="D598">
        <v>0</v>
      </c>
    </row>
    <row r="599" spans="1:4" x14ac:dyDescent="0.3">
      <c r="A599" t="s">
        <v>199</v>
      </c>
      <c r="C599" s="16">
        <v>46165</v>
      </c>
      <c r="D599">
        <v>0</v>
      </c>
    </row>
    <row r="600" spans="1:4" x14ac:dyDescent="0.3">
      <c r="A600" t="s">
        <v>17</v>
      </c>
      <c r="C600" s="16">
        <v>46166</v>
      </c>
      <c r="D600">
        <v>142321.80000000013</v>
      </c>
    </row>
    <row r="601" spans="1:4" x14ac:dyDescent="0.3">
      <c r="A601" t="s">
        <v>18</v>
      </c>
      <c r="C601" s="16">
        <v>46166</v>
      </c>
      <c r="D601">
        <v>659760.15999999992</v>
      </c>
    </row>
    <row r="602" spans="1:4" x14ac:dyDescent="0.3">
      <c r="A602" t="s">
        <v>19</v>
      </c>
      <c r="C602" s="16">
        <v>46166</v>
      </c>
      <c r="D602">
        <v>1669.89</v>
      </c>
    </row>
    <row r="603" spans="1:4" x14ac:dyDescent="0.3">
      <c r="A603" t="s">
        <v>20</v>
      </c>
      <c r="C603" s="16">
        <v>46166</v>
      </c>
      <c r="D603">
        <v>497076.20999999985</v>
      </c>
    </row>
    <row r="604" spans="1:4" x14ac:dyDescent="0.3">
      <c r="A604" t="s">
        <v>21</v>
      </c>
      <c r="C604" s="16">
        <v>46166</v>
      </c>
      <c r="D604">
        <v>980426.88999999932</v>
      </c>
    </row>
    <row r="605" spans="1:4" x14ac:dyDescent="0.3">
      <c r="A605" t="s">
        <v>22</v>
      </c>
      <c r="C605" s="16">
        <v>46166</v>
      </c>
      <c r="D605">
        <v>141496.38</v>
      </c>
    </row>
    <row r="606" spans="1:4" x14ac:dyDescent="0.3">
      <c r="A606" t="s">
        <v>23</v>
      </c>
      <c r="C606" s="16">
        <v>46166</v>
      </c>
      <c r="D606">
        <v>88090.37</v>
      </c>
    </row>
    <row r="607" spans="1:4" x14ac:dyDescent="0.3">
      <c r="A607" t="s">
        <v>24</v>
      </c>
      <c r="C607" s="16">
        <v>46166</v>
      </c>
      <c r="D607">
        <v>2498.3999999999996</v>
      </c>
    </row>
    <row r="608" spans="1:4" x14ac:dyDescent="0.3">
      <c r="A608" t="s">
        <v>25</v>
      </c>
      <c r="C608" s="16">
        <v>46166</v>
      </c>
      <c r="D608">
        <v>114.3</v>
      </c>
    </row>
    <row r="609" spans="1:4" x14ac:dyDescent="0.3">
      <c r="A609" t="s">
        <v>26</v>
      </c>
      <c r="C609" s="16">
        <v>46166</v>
      </c>
      <c r="D609">
        <v>2267.7200000000003</v>
      </c>
    </row>
    <row r="610" spans="1:4" x14ac:dyDescent="0.3">
      <c r="A610" t="s">
        <v>27</v>
      </c>
      <c r="C610" s="16">
        <v>46166</v>
      </c>
      <c r="D610">
        <v>3349.94</v>
      </c>
    </row>
    <row r="611" spans="1:4" x14ac:dyDescent="0.3">
      <c r="A611" t="s">
        <v>28</v>
      </c>
      <c r="C611" s="16">
        <v>46166</v>
      </c>
      <c r="D611">
        <v>1968.99</v>
      </c>
    </row>
    <row r="612" spans="1:4" x14ac:dyDescent="0.3">
      <c r="A612" t="s">
        <v>29</v>
      </c>
      <c r="C612" s="16">
        <v>46166</v>
      </c>
      <c r="D612">
        <v>901.34</v>
      </c>
    </row>
    <row r="613" spans="1:4" x14ac:dyDescent="0.3">
      <c r="A613" t="s">
        <v>30</v>
      </c>
      <c r="C613" s="16">
        <v>46166</v>
      </c>
      <c r="D613">
        <v>1444.08</v>
      </c>
    </row>
    <row r="614" spans="1:4" x14ac:dyDescent="0.3">
      <c r="A614" t="s">
        <v>31</v>
      </c>
      <c r="C614" s="16">
        <v>46166</v>
      </c>
      <c r="D614">
        <v>15463.59999999996</v>
      </c>
    </row>
    <row r="615" spans="1:4" x14ac:dyDescent="0.3">
      <c r="A615" t="s">
        <v>32</v>
      </c>
      <c r="C615" s="16">
        <v>46166</v>
      </c>
      <c r="D615">
        <v>15120.060000000001</v>
      </c>
    </row>
    <row r="616" spans="1:4" x14ac:dyDescent="0.3">
      <c r="A616" t="s">
        <v>33</v>
      </c>
      <c r="C616" s="16">
        <v>46166</v>
      </c>
      <c r="D616">
        <v>29206.27</v>
      </c>
    </row>
    <row r="617" spans="1:4" x14ac:dyDescent="0.3">
      <c r="A617" t="s">
        <v>34</v>
      </c>
      <c r="C617" s="16">
        <v>46166</v>
      </c>
      <c r="D617">
        <v>345</v>
      </c>
    </row>
    <row r="618" spans="1:4" x14ac:dyDescent="0.3">
      <c r="A618" t="s">
        <v>35</v>
      </c>
      <c r="C618" s="16">
        <v>46166</v>
      </c>
      <c r="D618">
        <v>8168.0700000000006</v>
      </c>
    </row>
    <row r="619" spans="1:4" x14ac:dyDescent="0.3">
      <c r="A619" t="s">
        <v>193</v>
      </c>
      <c r="C619" s="16">
        <v>46166</v>
      </c>
      <c r="D619">
        <v>0</v>
      </c>
    </row>
    <row r="620" spans="1:4" x14ac:dyDescent="0.3">
      <c r="A620" t="s">
        <v>194</v>
      </c>
      <c r="C620" s="16">
        <v>46166</v>
      </c>
      <c r="D620">
        <v>0</v>
      </c>
    </row>
    <row r="621" spans="1:4" x14ac:dyDescent="0.3">
      <c r="A621" t="s">
        <v>195</v>
      </c>
      <c r="C621" s="16">
        <v>46166</v>
      </c>
      <c r="D621">
        <v>0</v>
      </c>
    </row>
    <row r="622" spans="1:4" x14ac:dyDescent="0.3">
      <c r="A622" t="s">
        <v>196</v>
      </c>
      <c r="C622" s="16">
        <v>46166</v>
      </c>
      <c r="D622">
        <v>0</v>
      </c>
    </row>
    <row r="623" spans="1:4" x14ac:dyDescent="0.3">
      <c r="A623" t="s">
        <v>197</v>
      </c>
      <c r="C623" s="16">
        <v>46166</v>
      </c>
      <c r="D623">
        <v>0</v>
      </c>
    </row>
    <row r="624" spans="1:4" x14ac:dyDescent="0.3">
      <c r="A624" t="s">
        <v>214</v>
      </c>
      <c r="C624" s="16">
        <v>46166</v>
      </c>
      <c r="D624">
        <v>0</v>
      </c>
    </row>
    <row r="625" spans="1:4" x14ac:dyDescent="0.3">
      <c r="A625" t="s">
        <v>199</v>
      </c>
      <c r="C625" s="16">
        <v>46166</v>
      </c>
      <c r="D625">
        <v>0</v>
      </c>
    </row>
    <row r="626" spans="1:4" x14ac:dyDescent="0.3">
      <c r="A626" t="s">
        <v>17</v>
      </c>
      <c r="C626" s="16">
        <v>46167</v>
      </c>
      <c r="D626">
        <v>142321.80000000013</v>
      </c>
    </row>
    <row r="627" spans="1:4" x14ac:dyDescent="0.3">
      <c r="A627" t="s">
        <v>18</v>
      </c>
      <c r="C627" s="16">
        <v>46167</v>
      </c>
      <c r="D627">
        <v>659760.15999999992</v>
      </c>
    </row>
    <row r="628" spans="1:4" x14ac:dyDescent="0.3">
      <c r="A628" t="s">
        <v>19</v>
      </c>
      <c r="C628" s="16">
        <v>46167</v>
      </c>
      <c r="D628">
        <v>1669.89</v>
      </c>
    </row>
    <row r="629" spans="1:4" x14ac:dyDescent="0.3">
      <c r="A629" t="s">
        <v>20</v>
      </c>
      <c r="C629" s="16">
        <v>46167</v>
      </c>
      <c r="D629">
        <v>497076.20999999985</v>
      </c>
    </row>
    <row r="630" spans="1:4" x14ac:dyDescent="0.3">
      <c r="A630" t="s">
        <v>21</v>
      </c>
      <c r="C630" s="16">
        <v>46167</v>
      </c>
      <c r="D630">
        <v>980426.88999999932</v>
      </c>
    </row>
    <row r="631" spans="1:4" x14ac:dyDescent="0.3">
      <c r="A631" t="s">
        <v>22</v>
      </c>
      <c r="C631" s="16">
        <v>46167</v>
      </c>
      <c r="D631">
        <v>141496.38</v>
      </c>
    </row>
    <row r="632" spans="1:4" x14ac:dyDescent="0.3">
      <c r="A632" t="s">
        <v>23</v>
      </c>
      <c r="C632" s="16">
        <v>46167</v>
      </c>
      <c r="D632">
        <v>88090.37</v>
      </c>
    </row>
    <row r="633" spans="1:4" x14ac:dyDescent="0.3">
      <c r="A633" t="s">
        <v>24</v>
      </c>
      <c r="C633" s="16">
        <v>46167</v>
      </c>
      <c r="D633">
        <v>2498.3999999999996</v>
      </c>
    </row>
    <row r="634" spans="1:4" x14ac:dyDescent="0.3">
      <c r="A634" t="s">
        <v>25</v>
      </c>
      <c r="C634" s="16">
        <v>46167</v>
      </c>
      <c r="D634">
        <v>114.3</v>
      </c>
    </row>
    <row r="635" spans="1:4" x14ac:dyDescent="0.3">
      <c r="A635" t="s">
        <v>26</v>
      </c>
      <c r="C635" s="16">
        <v>46167</v>
      </c>
      <c r="D635">
        <v>2267.7200000000003</v>
      </c>
    </row>
    <row r="636" spans="1:4" x14ac:dyDescent="0.3">
      <c r="A636" t="s">
        <v>27</v>
      </c>
      <c r="C636" s="16">
        <v>46167</v>
      </c>
      <c r="D636">
        <v>3349.94</v>
      </c>
    </row>
    <row r="637" spans="1:4" x14ac:dyDescent="0.3">
      <c r="A637" t="s">
        <v>28</v>
      </c>
      <c r="C637" s="16">
        <v>46167</v>
      </c>
      <c r="D637">
        <v>1968.99</v>
      </c>
    </row>
    <row r="638" spans="1:4" x14ac:dyDescent="0.3">
      <c r="A638" t="s">
        <v>29</v>
      </c>
      <c r="C638" s="16">
        <v>46167</v>
      </c>
      <c r="D638">
        <v>901.34</v>
      </c>
    </row>
    <row r="639" spans="1:4" x14ac:dyDescent="0.3">
      <c r="A639" t="s">
        <v>30</v>
      </c>
      <c r="C639" s="16">
        <v>46167</v>
      </c>
      <c r="D639">
        <v>1444.08</v>
      </c>
    </row>
    <row r="640" spans="1:4" x14ac:dyDescent="0.3">
      <c r="A640" t="s">
        <v>31</v>
      </c>
      <c r="C640" s="16">
        <v>46167</v>
      </c>
      <c r="D640">
        <v>15463.59999999996</v>
      </c>
    </row>
    <row r="641" spans="1:4" x14ac:dyDescent="0.3">
      <c r="A641" t="s">
        <v>32</v>
      </c>
      <c r="C641" s="16">
        <v>46167</v>
      </c>
      <c r="D641">
        <v>15120.060000000001</v>
      </c>
    </row>
    <row r="642" spans="1:4" x14ac:dyDescent="0.3">
      <c r="A642" t="s">
        <v>33</v>
      </c>
      <c r="C642" s="16">
        <v>46167</v>
      </c>
      <c r="D642">
        <v>29206.27</v>
      </c>
    </row>
    <row r="643" spans="1:4" x14ac:dyDescent="0.3">
      <c r="A643" t="s">
        <v>34</v>
      </c>
      <c r="C643" s="16">
        <v>46167</v>
      </c>
      <c r="D643">
        <v>345</v>
      </c>
    </row>
    <row r="644" spans="1:4" x14ac:dyDescent="0.3">
      <c r="A644" t="s">
        <v>35</v>
      </c>
      <c r="C644" s="16">
        <v>46167</v>
      </c>
      <c r="D644">
        <v>8168.0700000000006</v>
      </c>
    </row>
    <row r="645" spans="1:4" x14ac:dyDescent="0.3">
      <c r="A645" t="s">
        <v>193</v>
      </c>
      <c r="C645" s="16">
        <v>46167</v>
      </c>
      <c r="D645">
        <v>0</v>
      </c>
    </row>
    <row r="646" spans="1:4" x14ac:dyDescent="0.3">
      <c r="A646" t="s">
        <v>194</v>
      </c>
      <c r="C646" s="16">
        <v>46167</v>
      </c>
      <c r="D646">
        <v>0</v>
      </c>
    </row>
    <row r="647" spans="1:4" x14ac:dyDescent="0.3">
      <c r="A647" t="s">
        <v>195</v>
      </c>
      <c r="C647" s="16">
        <v>46167</v>
      </c>
      <c r="D647">
        <v>0</v>
      </c>
    </row>
    <row r="648" spans="1:4" x14ac:dyDescent="0.3">
      <c r="A648" t="s">
        <v>196</v>
      </c>
      <c r="C648" s="16">
        <v>46167</v>
      </c>
      <c r="D648">
        <v>0</v>
      </c>
    </row>
    <row r="649" spans="1:4" x14ac:dyDescent="0.3">
      <c r="A649" t="s">
        <v>197</v>
      </c>
      <c r="C649" s="16">
        <v>46167</v>
      </c>
      <c r="D649">
        <v>0</v>
      </c>
    </row>
    <row r="650" spans="1:4" x14ac:dyDescent="0.3">
      <c r="A650" t="s">
        <v>214</v>
      </c>
      <c r="C650" s="16">
        <v>46167</v>
      </c>
      <c r="D650">
        <v>0</v>
      </c>
    </row>
    <row r="651" spans="1:4" x14ac:dyDescent="0.3">
      <c r="A651" t="s">
        <v>199</v>
      </c>
      <c r="C651" s="16">
        <v>46167</v>
      </c>
      <c r="D651">
        <v>0</v>
      </c>
    </row>
    <row r="652" spans="1:4" x14ac:dyDescent="0.3">
      <c r="A652" t="s">
        <v>17</v>
      </c>
      <c r="C652" s="16">
        <v>46168</v>
      </c>
      <c r="D652">
        <v>253154.33000000013</v>
      </c>
    </row>
    <row r="653" spans="1:4" x14ac:dyDescent="0.3">
      <c r="A653" t="s">
        <v>18</v>
      </c>
      <c r="C653" s="16">
        <v>46168</v>
      </c>
      <c r="D653">
        <v>1259760.1600000001</v>
      </c>
    </row>
    <row r="654" spans="1:4" x14ac:dyDescent="0.3">
      <c r="A654" t="s">
        <v>19</v>
      </c>
      <c r="C654" s="16">
        <v>46168</v>
      </c>
      <c r="D654">
        <v>1669.89</v>
      </c>
    </row>
    <row r="655" spans="1:4" x14ac:dyDescent="0.3">
      <c r="A655" t="s">
        <v>20</v>
      </c>
      <c r="C655" s="16">
        <v>46168</v>
      </c>
      <c r="D655">
        <v>497076.20999999985</v>
      </c>
    </row>
    <row r="656" spans="1:4" x14ac:dyDescent="0.3">
      <c r="A656" t="s">
        <v>21</v>
      </c>
      <c r="C656" s="16">
        <v>46168</v>
      </c>
      <c r="D656">
        <v>980426.88999999932</v>
      </c>
    </row>
    <row r="657" spans="1:4" x14ac:dyDescent="0.3">
      <c r="A657" t="s">
        <v>22</v>
      </c>
      <c r="C657" s="16">
        <v>46168</v>
      </c>
      <c r="D657">
        <v>141496.38</v>
      </c>
    </row>
    <row r="658" spans="1:4" x14ac:dyDescent="0.3">
      <c r="A658" t="s">
        <v>23</v>
      </c>
      <c r="C658" s="16">
        <v>46168</v>
      </c>
      <c r="D658">
        <v>88090.37</v>
      </c>
    </row>
    <row r="659" spans="1:4" x14ac:dyDescent="0.3">
      <c r="A659" t="s">
        <v>24</v>
      </c>
      <c r="C659" s="16">
        <v>46168</v>
      </c>
      <c r="D659">
        <v>2498.3999999999996</v>
      </c>
    </row>
    <row r="660" spans="1:4" x14ac:dyDescent="0.3">
      <c r="A660" t="s">
        <v>25</v>
      </c>
      <c r="C660" s="16">
        <v>46168</v>
      </c>
      <c r="D660">
        <v>114.3</v>
      </c>
    </row>
    <row r="661" spans="1:4" x14ac:dyDescent="0.3">
      <c r="A661" t="s">
        <v>26</v>
      </c>
      <c r="C661" s="16">
        <v>46168</v>
      </c>
      <c r="D661">
        <v>2267.7200000000003</v>
      </c>
    </row>
    <row r="662" spans="1:4" x14ac:dyDescent="0.3">
      <c r="A662" t="s">
        <v>27</v>
      </c>
      <c r="C662" s="16">
        <v>46168</v>
      </c>
      <c r="D662">
        <v>3349.94</v>
      </c>
    </row>
    <row r="663" spans="1:4" x14ac:dyDescent="0.3">
      <c r="A663" t="s">
        <v>28</v>
      </c>
      <c r="C663" s="16">
        <v>46168</v>
      </c>
      <c r="D663">
        <v>1968.99</v>
      </c>
    </row>
    <row r="664" spans="1:4" x14ac:dyDescent="0.3">
      <c r="A664" t="s">
        <v>29</v>
      </c>
      <c r="C664" s="16">
        <v>46168</v>
      </c>
      <c r="D664">
        <v>901.34</v>
      </c>
    </row>
    <row r="665" spans="1:4" x14ac:dyDescent="0.3">
      <c r="A665" t="s">
        <v>30</v>
      </c>
      <c r="C665" s="16">
        <v>46168</v>
      </c>
      <c r="D665">
        <v>1444.08</v>
      </c>
    </row>
    <row r="666" spans="1:4" x14ac:dyDescent="0.3">
      <c r="A666" t="s">
        <v>31</v>
      </c>
      <c r="C666" s="16">
        <v>46168</v>
      </c>
      <c r="D666">
        <v>15463.59999999996</v>
      </c>
    </row>
    <row r="667" spans="1:4" x14ac:dyDescent="0.3">
      <c r="A667" t="s">
        <v>32</v>
      </c>
      <c r="C667" s="16">
        <v>46168</v>
      </c>
      <c r="D667">
        <v>15120.060000000001</v>
      </c>
    </row>
    <row r="668" spans="1:4" x14ac:dyDescent="0.3">
      <c r="A668" t="s">
        <v>33</v>
      </c>
      <c r="C668" s="16">
        <v>46168</v>
      </c>
      <c r="D668">
        <v>29206.27</v>
      </c>
    </row>
    <row r="669" spans="1:4" x14ac:dyDescent="0.3">
      <c r="A669" t="s">
        <v>34</v>
      </c>
      <c r="C669" s="16">
        <v>46168</v>
      </c>
      <c r="D669">
        <v>345</v>
      </c>
    </row>
    <row r="670" spans="1:4" x14ac:dyDescent="0.3">
      <c r="A670" t="s">
        <v>35</v>
      </c>
      <c r="C670" s="16">
        <v>46168</v>
      </c>
      <c r="D670">
        <v>8168.0700000000006</v>
      </c>
    </row>
    <row r="671" spans="1:4" x14ac:dyDescent="0.3">
      <c r="A671" t="s">
        <v>193</v>
      </c>
      <c r="C671" s="16">
        <v>46168</v>
      </c>
      <c r="D671">
        <v>0</v>
      </c>
    </row>
    <row r="672" spans="1:4" x14ac:dyDescent="0.3">
      <c r="A672" t="s">
        <v>194</v>
      </c>
      <c r="C672" s="16">
        <v>46168</v>
      </c>
      <c r="D672">
        <v>0</v>
      </c>
    </row>
    <row r="673" spans="1:4" x14ac:dyDescent="0.3">
      <c r="A673" t="s">
        <v>195</v>
      </c>
      <c r="C673" s="16">
        <v>46168</v>
      </c>
      <c r="D673">
        <v>0</v>
      </c>
    </row>
    <row r="674" spans="1:4" x14ac:dyDescent="0.3">
      <c r="A674" t="s">
        <v>196</v>
      </c>
      <c r="C674" s="16">
        <v>46168</v>
      </c>
      <c r="D674">
        <v>0</v>
      </c>
    </row>
    <row r="675" spans="1:4" x14ac:dyDescent="0.3">
      <c r="A675" t="s">
        <v>197</v>
      </c>
      <c r="C675" s="16">
        <v>46168</v>
      </c>
      <c r="D675">
        <v>0</v>
      </c>
    </row>
    <row r="676" spans="1:4" x14ac:dyDescent="0.3">
      <c r="A676" t="s">
        <v>214</v>
      </c>
      <c r="C676" s="16">
        <v>46168</v>
      </c>
      <c r="D676">
        <v>0</v>
      </c>
    </row>
    <row r="677" spans="1:4" x14ac:dyDescent="0.3">
      <c r="A677" t="s">
        <v>199</v>
      </c>
      <c r="C677" s="16">
        <v>46168</v>
      </c>
      <c r="D677">
        <v>0</v>
      </c>
    </row>
    <row r="678" spans="1:4" x14ac:dyDescent="0.3">
      <c r="A678" t="s">
        <v>17</v>
      </c>
      <c r="C678" s="16">
        <v>46169</v>
      </c>
      <c r="D678">
        <v>259371.70000000013</v>
      </c>
    </row>
    <row r="679" spans="1:4" x14ac:dyDescent="0.3">
      <c r="A679" t="s">
        <v>18</v>
      </c>
      <c r="C679" s="16">
        <v>46169</v>
      </c>
      <c r="D679">
        <v>1259760.1600000001</v>
      </c>
    </row>
    <row r="680" spans="1:4" x14ac:dyDescent="0.3">
      <c r="A680" t="s">
        <v>19</v>
      </c>
      <c r="C680" s="16">
        <v>46169</v>
      </c>
      <c r="D680">
        <v>1669.89</v>
      </c>
    </row>
    <row r="681" spans="1:4" x14ac:dyDescent="0.3">
      <c r="A681" t="s">
        <v>20</v>
      </c>
      <c r="C681" s="16">
        <v>46169</v>
      </c>
      <c r="D681">
        <v>514616.73999999987</v>
      </c>
    </row>
    <row r="682" spans="1:4" x14ac:dyDescent="0.3">
      <c r="A682" t="s">
        <v>21</v>
      </c>
      <c r="C682" s="16">
        <v>46169</v>
      </c>
      <c r="D682">
        <v>980426.88999999932</v>
      </c>
    </row>
    <row r="683" spans="1:4" x14ac:dyDescent="0.3">
      <c r="A683" t="s">
        <v>22</v>
      </c>
      <c r="C683" s="16">
        <v>46169</v>
      </c>
      <c r="D683">
        <v>131496.38</v>
      </c>
    </row>
    <row r="684" spans="1:4" x14ac:dyDescent="0.3">
      <c r="A684" t="s">
        <v>23</v>
      </c>
      <c r="C684" s="16">
        <v>46169</v>
      </c>
      <c r="D684">
        <v>88090.37</v>
      </c>
    </row>
    <row r="685" spans="1:4" x14ac:dyDescent="0.3">
      <c r="A685" t="s">
        <v>24</v>
      </c>
      <c r="C685" s="16">
        <v>46169</v>
      </c>
      <c r="D685">
        <v>2498.3999999999996</v>
      </c>
    </row>
    <row r="686" spans="1:4" x14ac:dyDescent="0.3">
      <c r="A686" t="s">
        <v>25</v>
      </c>
      <c r="C686" s="16">
        <v>46169</v>
      </c>
      <c r="D686">
        <v>114.3</v>
      </c>
    </row>
    <row r="687" spans="1:4" x14ac:dyDescent="0.3">
      <c r="A687" t="s">
        <v>26</v>
      </c>
      <c r="C687" s="16">
        <v>46169</v>
      </c>
      <c r="D687">
        <v>2267.7200000000003</v>
      </c>
    </row>
    <row r="688" spans="1:4" x14ac:dyDescent="0.3">
      <c r="A688" t="s">
        <v>27</v>
      </c>
      <c r="C688" s="16">
        <v>46169</v>
      </c>
      <c r="D688">
        <v>3349.94</v>
      </c>
    </row>
    <row r="689" spans="1:4" x14ac:dyDescent="0.3">
      <c r="A689" t="s">
        <v>28</v>
      </c>
      <c r="C689" s="16">
        <v>46169</v>
      </c>
      <c r="D689">
        <v>1968.99</v>
      </c>
    </row>
    <row r="690" spans="1:4" x14ac:dyDescent="0.3">
      <c r="A690" t="s">
        <v>29</v>
      </c>
      <c r="C690" s="16">
        <v>46169</v>
      </c>
      <c r="D690">
        <v>901.34</v>
      </c>
    </row>
    <row r="691" spans="1:4" x14ac:dyDescent="0.3">
      <c r="A691" t="s">
        <v>30</v>
      </c>
      <c r="C691" s="16">
        <v>46169</v>
      </c>
      <c r="D691">
        <v>1444.08</v>
      </c>
    </row>
    <row r="692" spans="1:4" x14ac:dyDescent="0.3">
      <c r="A692" t="s">
        <v>31</v>
      </c>
      <c r="C692" s="16">
        <v>46169</v>
      </c>
      <c r="D692">
        <v>15463.59999999996</v>
      </c>
    </row>
    <row r="693" spans="1:4" x14ac:dyDescent="0.3">
      <c r="A693" t="s">
        <v>32</v>
      </c>
      <c r="C693" s="16">
        <v>46169</v>
      </c>
      <c r="D693">
        <v>15120.060000000001</v>
      </c>
    </row>
    <row r="694" spans="1:4" x14ac:dyDescent="0.3">
      <c r="A694" t="s">
        <v>33</v>
      </c>
      <c r="C694" s="16">
        <v>46169</v>
      </c>
      <c r="D694">
        <v>33606.270000000004</v>
      </c>
    </row>
    <row r="695" spans="1:4" x14ac:dyDescent="0.3">
      <c r="A695" t="s">
        <v>34</v>
      </c>
      <c r="C695" s="16">
        <v>46169</v>
      </c>
      <c r="D695">
        <v>345</v>
      </c>
    </row>
    <row r="696" spans="1:4" x14ac:dyDescent="0.3">
      <c r="A696" t="s">
        <v>35</v>
      </c>
      <c r="C696" s="16">
        <v>46169</v>
      </c>
      <c r="D696">
        <v>17588.03</v>
      </c>
    </row>
    <row r="697" spans="1:4" x14ac:dyDescent="0.3">
      <c r="A697" t="s">
        <v>193</v>
      </c>
      <c r="C697" s="16">
        <v>46169</v>
      </c>
      <c r="D697">
        <v>0</v>
      </c>
    </row>
    <row r="698" spans="1:4" x14ac:dyDescent="0.3">
      <c r="A698" t="s">
        <v>194</v>
      </c>
      <c r="C698" s="16">
        <v>46169</v>
      </c>
      <c r="D698">
        <v>0</v>
      </c>
    </row>
    <row r="699" spans="1:4" x14ac:dyDescent="0.3">
      <c r="A699" t="s">
        <v>195</v>
      </c>
      <c r="C699" s="16">
        <v>46169</v>
      </c>
      <c r="D699">
        <v>0</v>
      </c>
    </row>
    <row r="700" spans="1:4" x14ac:dyDescent="0.3">
      <c r="A700" t="s">
        <v>196</v>
      </c>
      <c r="C700" s="16">
        <v>46169</v>
      </c>
      <c r="D700">
        <v>0</v>
      </c>
    </row>
    <row r="701" spans="1:4" x14ac:dyDescent="0.3">
      <c r="A701" t="s">
        <v>197</v>
      </c>
      <c r="C701" s="16">
        <v>46169</v>
      </c>
      <c r="D701">
        <v>0</v>
      </c>
    </row>
    <row r="702" spans="1:4" x14ac:dyDescent="0.3">
      <c r="A702" t="s">
        <v>214</v>
      </c>
      <c r="C702" s="16">
        <v>46169</v>
      </c>
      <c r="D702">
        <v>0</v>
      </c>
    </row>
    <row r="703" spans="1:4" x14ac:dyDescent="0.3">
      <c r="A703" t="s">
        <v>199</v>
      </c>
      <c r="C703" s="16">
        <v>46169</v>
      </c>
      <c r="D703">
        <v>0</v>
      </c>
    </row>
    <row r="704" spans="1:4" x14ac:dyDescent="0.3">
      <c r="A704" t="s">
        <v>17</v>
      </c>
      <c r="C704" s="16">
        <v>46170</v>
      </c>
      <c r="D704">
        <v>986983.19000000006</v>
      </c>
    </row>
    <row r="705" spans="1:4" x14ac:dyDescent="0.3">
      <c r="A705" t="s">
        <v>18</v>
      </c>
      <c r="C705" s="16">
        <v>46170</v>
      </c>
      <c r="D705">
        <v>62397.280000000173</v>
      </c>
    </row>
    <row r="706" spans="1:4" x14ac:dyDescent="0.3">
      <c r="A706" t="s">
        <v>19</v>
      </c>
      <c r="C706" s="16">
        <v>46170</v>
      </c>
      <c r="D706">
        <v>1669.89</v>
      </c>
    </row>
    <row r="707" spans="1:4" x14ac:dyDescent="0.3">
      <c r="A707" t="s">
        <v>20</v>
      </c>
      <c r="C707" s="16">
        <v>46170</v>
      </c>
      <c r="D707">
        <v>376595.84999999986</v>
      </c>
    </row>
    <row r="708" spans="1:4" x14ac:dyDescent="0.3">
      <c r="A708" t="s">
        <v>21</v>
      </c>
      <c r="C708" s="16">
        <v>46170</v>
      </c>
      <c r="D708">
        <v>1090396.4799999993</v>
      </c>
    </row>
    <row r="709" spans="1:4" x14ac:dyDescent="0.3">
      <c r="A709" t="s">
        <v>22</v>
      </c>
      <c r="C709" s="16">
        <v>46170</v>
      </c>
      <c r="D709">
        <v>131496.38</v>
      </c>
    </row>
    <row r="710" spans="1:4" x14ac:dyDescent="0.3">
      <c r="A710" t="s">
        <v>23</v>
      </c>
      <c r="C710" s="16">
        <v>46170</v>
      </c>
      <c r="D710">
        <v>88090.37</v>
      </c>
    </row>
    <row r="711" spans="1:4" x14ac:dyDescent="0.3">
      <c r="A711" t="s">
        <v>24</v>
      </c>
      <c r="C711" s="16">
        <v>46170</v>
      </c>
      <c r="D711">
        <v>2498.3999999999996</v>
      </c>
    </row>
    <row r="712" spans="1:4" x14ac:dyDescent="0.3">
      <c r="A712" t="s">
        <v>25</v>
      </c>
      <c r="C712" s="16">
        <v>46170</v>
      </c>
      <c r="D712">
        <v>114.3</v>
      </c>
    </row>
    <row r="713" spans="1:4" x14ac:dyDescent="0.3">
      <c r="A713" t="s">
        <v>26</v>
      </c>
      <c r="C713" s="16">
        <v>46170</v>
      </c>
      <c r="D713">
        <v>2267.7200000000003</v>
      </c>
    </row>
    <row r="714" spans="1:4" x14ac:dyDescent="0.3">
      <c r="A714" t="s">
        <v>27</v>
      </c>
      <c r="C714" s="16">
        <v>46170</v>
      </c>
      <c r="D714">
        <v>3349.94</v>
      </c>
    </row>
    <row r="715" spans="1:4" x14ac:dyDescent="0.3">
      <c r="A715" t="s">
        <v>28</v>
      </c>
      <c r="C715" s="16">
        <v>46170</v>
      </c>
      <c r="D715">
        <v>1968.99</v>
      </c>
    </row>
    <row r="716" spans="1:4" x14ac:dyDescent="0.3">
      <c r="A716" t="s">
        <v>29</v>
      </c>
      <c r="C716" s="16">
        <v>46170</v>
      </c>
      <c r="D716">
        <v>901.34</v>
      </c>
    </row>
    <row r="717" spans="1:4" x14ac:dyDescent="0.3">
      <c r="A717" t="s">
        <v>30</v>
      </c>
      <c r="C717" s="16">
        <v>46170</v>
      </c>
      <c r="D717">
        <v>1444.08</v>
      </c>
    </row>
    <row r="718" spans="1:4" x14ac:dyDescent="0.3">
      <c r="A718" t="s">
        <v>31</v>
      </c>
      <c r="C718" s="16">
        <v>46170</v>
      </c>
      <c r="D718">
        <v>35463.599999999962</v>
      </c>
    </row>
    <row r="719" spans="1:4" x14ac:dyDescent="0.3">
      <c r="A719" t="s">
        <v>32</v>
      </c>
      <c r="C719" s="16">
        <v>46170</v>
      </c>
      <c r="D719">
        <v>15120.060000000001</v>
      </c>
    </row>
    <row r="720" spans="1:4" x14ac:dyDescent="0.3">
      <c r="A720" t="s">
        <v>33</v>
      </c>
      <c r="C720" s="16">
        <v>46170</v>
      </c>
      <c r="D720">
        <v>33606.270000000004</v>
      </c>
    </row>
    <row r="721" spans="1:4" x14ac:dyDescent="0.3">
      <c r="A721" t="s">
        <v>34</v>
      </c>
      <c r="C721" s="16">
        <v>46170</v>
      </c>
      <c r="D721">
        <v>345</v>
      </c>
    </row>
    <row r="722" spans="1:4" x14ac:dyDescent="0.3">
      <c r="A722" t="s">
        <v>35</v>
      </c>
      <c r="C722" s="16">
        <v>46170</v>
      </c>
      <c r="D722">
        <v>9076.2400000000016</v>
      </c>
    </row>
    <row r="723" spans="1:4" x14ac:dyDescent="0.3">
      <c r="A723" t="s">
        <v>193</v>
      </c>
      <c r="C723" s="16">
        <v>46170</v>
      </c>
      <c r="D723">
        <v>0</v>
      </c>
    </row>
    <row r="724" spans="1:4" x14ac:dyDescent="0.3">
      <c r="A724" t="s">
        <v>194</v>
      </c>
      <c r="C724" s="16">
        <v>46170</v>
      </c>
      <c r="D724">
        <v>0</v>
      </c>
    </row>
    <row r="725" spans="1:4" x14ac:dyDescent="0.3">
      <c r="A725" t="s">
        <v>195</v>
      </c>
      <c r="C725" s="16">
        <v>46170</v>
      </c>
      <c r="D725">
        <v>0</v>
      </c>
    </row>
    <row r="726" spans="1:4" x14ac:dyDescent="0.3">
      <c r="A726" t="s">
        <v>196</v>
      </c>
      <c r="C726" s="16">
        <v>46170</v>
      </c>
      <c r="D726">
        <v>0</v>
      </c>
    </row>
    <row r="727" spans="1:4" x14ac:dyDescent="0.3">
      <c r="A727" t="s">
        <v>197</v>
      </c>
      <c r="C727" s="16">
        <v>46170</v>
      </c>
      <c r="D727">
        <v>0</v>
      </c>
    </row>
    <row r="728" spans="1:4" x14ac:dyDescent="0.3">
      <c r="A728" t="s">
        <v>214</v>
      </c>
      <c r="C728" s="16">
        <v>46170</v>
      </c>
      <c r="D728">
        <v>0</v>
      </c>
    </row>
    <row r="729" spans="1:4" x14ac:dyDescent="0.3">
      <c r="A729" t="s">
        <v>199</v>
      </c>
      <c r="C729" s="16">
        <v>46170</v>
      </c>
      <c r="D729">
        <v>0</v>
      </c>
    </row>
    <row r="730" spans="1:4" x14ac:dyDescent="0.3">
      <c r="A730" t="s">
        <v>17</v>
      </c>
      <c r="C730" s="16">
        <v>46171</v>
      </c>
      <c r="D730">
        <v>983394.14000000013</v>
      </c>
    </row>
    <row r="731" spans="1:4" x14ac:dyDescent="0.3">
      <c r="A731" t="s">
        <v>18</v>
      </c>
      <c r="C731" s="16">
        <v>46171</v>
      </c>
      <c r="D731">
        <v>62397.280000000173</v>
      </c>
    </row>
    <row r="732" spans="1:4" x14ac:dyDescent="0.3">
      <c r="A732" t="s">
        <v>19</v>
      </c>
      <c r="C732" s="16">
        <v>46171</v>
      </c>
      <c r="D732">
        <v>1669.89</v>
      </c>
    </row>
    <row r="733" spans="1:4" x14ac:dyDescent="0.3">
      <c r="A733" t="s">
        <v>20</v>
      </c>
      <c r="C733" s="16">
        <v>46171</v>
      </c>
      <c r="D733">
        <v>424853.11999999988</v>
      </c>
    </row>
    <row r="734" spans="1:4" x14ac:dyDescent="0.3">
      <c r="A734" t="s">
        <v>21</v>
      </c>
      <c r="C734" s="16">
        <v>46171</v>
      </c>
      <c r="D734">
        <v>1015901.6699999992</v>
      </c>
    </row>
    <row r="735" spans="1:4" x14ac:dyDescent="0.3">
      <c r="A735" t="s">
        <v>22</v>
      </c>
      <c r="C735" s="16">
        <v>46171</v>
      </c>
      <c r="D735">
        <v>131496.38</v>
      </c>
    </row>
    <row r="736" spans="1:4" x14ac:dyDescent="0.3">
      <c r="A736" t="s">
        <v>23</v>
      </c>
      <c r="C736" s="16">
        <v>46171</v>
      </c>
      <c r="D736">
        <v>88090.37</v>
      </c>
    </row>
    <row r="737" spans="1:4" x14ac:dyDescent="0.3">
      <c r="A737" t="s">
        <v>24</v>
      </c>
      <c r="C737" s="16">
        <v>46171</v>
      </c>
      <c r="D737">
        <v>1227.9699999999998</v>
      </c>
    </row>
    <row r="738" spans="1:4" x14ac:dyDescent="0.3">
      <c r="A738" t="s">
        <v>25</v>
      </c>
      <c r="C738" s="16">
        <v>46171</v>
      </c>
      <c r="D738">
        <v>114.3</v>
      </c>
    </row>
    <row r="739" spans="1:4" x14ac:dyDescent="0.3">
      <c r="A739" t="s">
        <v>26</v>
      </c>
      <c r="C739" s="16">
        <v>46171</v>
      </c>
      <c r="D739">
        <v>2267.7200000000003</v>
      </c>
    </row>
    <row r="740" spans="1:4" x14ac:dyDescent="0.3">
      <c r="A740" t="s">
        <v>27</v>
      </c>
      <c r="C740" s="16">
        <v>46171</v>
      </c>
      <c r="D740">
        <v>3349.94</v>
      </c>
    </row>
    <row r="741" spans="1:4" x14ac:dyDescent="0.3">
      <c r="A741" t="s">
        <v>28</v>
      </c>
      <c r="C741" s="16">
        <v>46171</v>
      </c>
      <c r="D741">
        <v>1968.99</v>
      </c>
    </row>
    <row r="742" spans="1:4" x14ac:dyDescent="0.3">
      <c r="A742" t="s">
        <v>29</v>
      </c>
      <c r="C742" s="16">
        <v>46171</v>
      </c>
      <c r="D742">
        <v>901.34</v>
      </c>
    </row>
    <row r="743" spans="1:4" x14ac:dyDescent="0.3">
      <c r="A743" t="s">
        <v>30</v>
      </c>
      <c r="C743" s="16">
        <v>46171</v>
      </c>
      <c r="D743">
        <v>1444.08</v>
      </c>
    </row>
    <row r="744" spans="1:4" x14ac:dyDescent="0.3">
      <c r="A744" t="s">
        <v>31</v>
      </c>
      <c r="C744" s="16">
        <v>46171</v>
      </c>
      <c r="D744">
        <v>35448.599999999962</v>
      </c>
    </row>
    <row r="745" spans="1:4" x14ac:dyDescent="0.3">
      <c r="A745" t="s">
        <v>32</v>
      </c>
      <c r="C745" s="16">
        <v>46171</v>
      </c>
      <c r="D745">
        <v>15120.060000000001</v>
      </c>
    </row>
    <row r="746" spans="1:4" x14ac:dyDescent="0.3">
      <c r="A746" t="s">
        <v>33</v>
      </c>
      <c r="C746" s="16">
        <v>46171</v>
      </c>
      <c r="D746">
        <v>33606.270000000004</v>
      </c>
    </row>
    <row r="747" spans="1:4" x14ac:dyDescent="0.3">
      <c r="A747" t="s">
        <v>34</v>
      </c>
      <c r="C747" s="16">
        <v>46171</v>
      </c>
      <c r="D747">
        <v>345</v>
      </c>
    </row>
    <row r="748" spans="1:4" x14ac:dyDescent="0.3">
      <c r="A748" t="s">
        <v>35</v>
      </c>
      <c r="C748" s="16">
        <v>46171</v>
      </c>
      <c r="D748">
        <v>9076.2400000000016</v>
      </c>
    </row>
    <row r="749" spans="1:4" x14ac:dyDescent="0.3">
      <c r="A749" t="s">
        <v>193</v>
      </c>
      <c r="C749" s="16">
        <v>46171</v>
      </c>
      <c r="D749">
        <v>0</v>
      </c>
    </row>
    <row r="750" spans="1:4" x14ac:dyDescent="0.3">
      <c r="A750" t="s">
        <v>194</v>
      </c>
      <c r="C750" s="16">
        <v>46171</v>
      </c>
      <c r="D750">
        <v>0</v>
      </c>
    </row>
    <row r="751" spans="1:4" x14ac:dyDescent="0.3">
      <c r="A751" t="s">
        <v>195</v>
      </c>
      <c r="C751" s="16">
        <v>46171</v>
      </c>
      <c r="D751">
        <v>0</v>
      </c>
    </row>
    <row r="752" spans="1:4" x14ac:dyDescent="0.3">
      <c r="A752" t="s">
        <v>196</v>
      </c>
      <c r="C752" s="16">
        <v>46171</v>
      </c>
      <c r="D752">
        <v>0</v>
      </c>
    </row>
    <row r="753" spans="1:4" x14ac:dyDescent="0.3">
      <c r="A753" t="s">
        <v>197</v>
      </c>
      <c r="C753" s="16">
        <v>46171</v>
      </c>
      <c r="D753">
        <v>0</v>
      </c>
    </row>
    <row r="754" spans="1:4" x14ac:dyDescent="0.3">
      <c r="A754" t="s">
        <v>214</v>
      </c>
      <c r="C754" s="16">
        <v>46171</v>
      </c>
      <c r="D754">
        <v>0</v>
      </c>
    </row>
    <row r="755" spans="1:4" x14ac:dyDescent="0.3">
      <c r="A755" t="s">
        <v>199</v>
      </c>
      <c r="C755" s="16">
        <v>46171</v>
      </c>
      <c r="D755">
        <v>0</v>
      </c>
    </row>
    <row r="756" spans="1:4" x14ac:dyDescent="0.3">
      <c r="A756" t="s">
        <v>17</v>
      </c>
      <c r="C756" s="16">
        <v>46172</v>
      </c>
      <c r="D756">
        <v>983394.14000000013</v>
      </c>
    </row>
    <row r="757" spans="1:4" x14ac:dyDescent="0.3">
      <c r="A757" t="s">
        <v>18</v>
      </c>
      <c r="C757" s="16">
        <v>46172</v>
      </c>
      <c r="D757">
        <v>62397.280000000173</v>
      </c>
    </row>
    <row r="758" spans="1:4" x14ac:dyDescent="0.3">
      <c r="A758" t="s">
        <v>19</v>
      </c>
      <c r="C758" s="16">
        <v>46172</v>
      </c>
      <c r="D758">
        <v>1669.89</v>
      </c>
    </row>
    <row r="759" spans="1:4" x14ac:dyDescent="0.3">
      <c r="A759" t="s">
        <v>20</v>
      </c>
      <c r="C759" s="16">
        <v>46172</v>
      </c>
      <c r="D759">
        <v>424853.11999999988</v>
      </c>
    </row>
    <row r="760" spans="1:4" x14ac:dyDescent="0.3">
      <c r="A760" t="s">
        <v>21</v>
      </c>
      <c r="C760" s="16">
        <v>46172</v>
      </c>
      <c r="D760">
        <v>1015901.6699999992</v>
      </c>
    </row>
    <row r="761" spans="1:4" x14ac:dyDescent="0.3">
      <c r="A761" t="s">
        <v>22</v>
      </c>
      <c r="C761" s="16">
        <v>46172</v>
      </c>
      <c r="D761">
        <v>131496.38</v>
      </c>
    </row>
    <row r="762" spans="1:4" x14ac:dyDescent="0.3">
      <c r="A762" t="s">
        <v>23</v>
      </c>
      <c r="C762" s="16">
        <v>46172</v>
      </c>
      <c r="D762">
        <v>88090.37</v>
      </c>
    </row>
    <row r="763" spans="1:4" x14ac:dyDescent="0.3">
      <c r="A763" t="s">
        <v>24</v>
      </c>
      <c r="C763" s="16">
        <v>46172</v>
      </c>
      <c r="D763">
        <v>1227.9699999999998</v>
      </c>
    </row>
    <row r="764" spans="1:4" x14ac:dyDescent="0.3">
      <c r="A764" t="s">
        <v>25</v>
      </c>
      <c r="C764" s="16">
        <v>46172</v>
      </c>
      <c r="D764">
        <v>114.3</v>
      </c>
    </row>
    <row r="765" spans="1:4" x14ac:dyDescent="0.3">
      <c r="A765" t="s">
        <v>26</v>
      </c>
      <c r="C765" s="16">
        <v>46172</v>
      </c>
      <c r="D765">
        <v>2267.7200000000003</v>
      </c>
    </row>
    <row r="766" spans="1:4" x14ac:dyDescent="0.3">
      <c r="A766" t="s">
        <v>27</v>
      </c>
      <c r="C766" s="16">
        <v>46172</v>
      </c>
      <c r="D766">
        <v>3349.94</v>
      </c>
    </row>
    <row r="767" spans="1:4" x14ac:dyDescent="0.3">
      <c r="A767" t="s">
        <v>28</v>
      </c>
      <c r="C767" s="16">
        <v>46172</v>
      </c>
      <c r="D767">
        <v>1968.99</v>
      </c>
    </row>
    <row r="768" spans="1:4" x14ac:dyDescent="0.3">
      <c r="A768" t="s">
        <v>29</v>
      </c>
      <c r="C768" s="16">
        <v>46172</v>
      </c>
      <c r="D768">
        <v>901.34</v>
      </c>
    </row>
    <row r="769" spans="1:4" x14ac:dyDescent="0.3">
      <c r="A769" t="s">
        <v>30</v>
      </c>
      <c r="C769" s="16">
        <v>46172</v>
      </c>
      <c r="D769">
        <v>1444.08</v>
      </c>
    </row>
    <row r="770" spans="1:4" x14ac:dyDescent="0.3">
      <c r="A770" t="s">
        <v>31</v>
      </c>
      <c r="C770" s="16">
        <v>46172</v>
      </c>
      <c r="D770">
        <v>35448.599999999962</v>
      </c>
    </row>
    <row r="771" spans="1:4" x14ac:dyDescent="0.3">
      <c r="A771" t="s">
        <v>32</v>
      </c>
      <c r="C771" s="16">
        <v>46172</v>
      </c>
      <c r="D771">
        <v>15120.060000000001</v>
      </c>
    </row>
    <row r="772" spans="1:4" x14ac:dyDescent="0.3">
      <c r="A772" t="s">
        <v>33</v>
      </c>
      <c r="C772" s="16">
        <v>46172</v>
      </c>
      <c r="D772">
        <v>33606.270000000004</v>
      </c>
    </row>
    <row r="773" spans="1:4" x14ac:dyDescent="0.3">
      <c r="A773" t="s">
        <v>34</v>
      </c>
      <c r="C773" s="16">
        <v>46172</v>
      </c>
      <c r="D773">
        <v>345</v>
      </c>
    </row>
    <row r="774" spans="1:4" x14ac:dyDescent="0.3">
      <c r="A774" t="s">
        <v>35</v>
      </c>
      <c r="C774" s="16">
        <v>46172</v>
      </c>
      <c r="D774">
        <v>9076.2400000000016</v>
      </c>
    </row>
    <row r="775" spans="1:4" x14ac:dyDescent="0.3">
      <c r="A775" t="s">
        <v>193</v>
      </c>
      <c r="C775" s="16">
        <v>46172</v>
      </c>
      <c r="D775">
        <v>0</v>
      </c>
    </row>
    <row r="776" spans="1:4" x14ac:dyDescent="0.3">
      <c r="A776" t="s">
        <v>194</v>
      </c>
      <c r="C776" s="16">
        <v>46172</v>
      </c>
      <c r="D776">
        <v>0</v>
      </c>
    </row>
    <row r="777" spans="1:4" x14ac:dyDescent="0.3">
      <c r="A777" t="s">
        <v>195</v>
      </c>
      <c r="C777" s="16">
        <v>46172</v>
      </c>
      <c r="D777">
        <v>0</v>
      </c>
    </row>
    <row r="778" spans="1:4" x14ac:dyDescent="0.3">
      <c r="A778" t="s">
        <v>196</v>
      </c>
      <c r="C778" s="16">
        <v>46172</v>
      </c>
      <c r="D778">
        <v>0</v>
      </c>
    </row>
    <row r="779" spans="1:4" x14ac:dyDescent="0.3">
      <c r="A779" t="s">
        <v>197</v>
      </c>
      <c r="C779" s="16">
        <v>46172</v>
      </c>
      <c r="D779">
        <v>0</v>
      </c>
    </row>
    <row r="780" spans="1:4" x14ac:dyDescent="0.3">
      <c r="A780" t="s">
        <v>214</v>
      </c>
      <c r="C780" s="16">
        <v>46172</v>
      </c>
      <c r="D780">
        <v>0</v>
      </c>
    </row>
    <row r="781" spans="1:4" x14ac:dyDescent="0.3">
      <c r="A781" t="s">
        <v>199</v>
      </c>
      <c r="C781" s="16">
        <v>46172</v>
      </c>
      <c r="D781">
        <v>0</v>
      </c>
    </row>
    <row r="782" spans="1:4" x14ac:dyDescent="0.3">
      <c r="A782" t="s">
        <v>17</v>
      </c>
      <c r="C782" s="16">
        <v>46173</v>
      </c>
      <c r="D782">
        <v>983394.14000000013</v>
      </c>
    </row>
    <row r="783" spans="1:4" x14ac:dyDescent="0.3">
      <c r="A783" t="s">
        <v>18</v>
      </c>
      <c r="C783" s="16">
        <v>46173</v>
      </c>
      <c r="D783">
        <v>62397.280000000173</v>
      </c>
    </row>
    <row r="784" spans="1:4" x14ac:dyDescent="0.3">
      <c r="A784" t="s">
        <v>19</v>
      </c>
      <c r="C784" s="16">
        <v>46173</v>
      </c>
      <c r="D784">
        <v>1669.89</v>
      </c>
    </row>
    <row r="785" spans="1:4" x14ac:dyDescent="0.3">
      <c r="A785" t="s">
        <v>20</v>
      </c>
      <c r="C785" s="16">
        <v>46173</v>
      </c>
      <c r="D785">
        <v>424853.11999999988</v>
      </c>
    </row>
    <row r="786" spans="1:4" x14ac:dyDescent="0.3">
      <c r="A786" t="s">
        <v>21</v>
      </c>
      <c r="C786" s="16">
        <v>46173</v>
      </c>
      <c r="D786">
        <v>1015901.6699999992</v>
      </c>
    </row>
    <row r="787" spans="1:4" x14ac:dyDescent="0.3">
      <c r="A787" t="s">
        <v>22</v>
      </c>
      <c r="C787" s="16">
        <v>46173</v>
      </c>
      <c r="D787">
        <v>131496.38</v>
      </c>
    </row>
    <row r="788" spans="1:4" x14ac:dyDescent="0.3">
      <c r="A788" t="s">
        <v>23</v>
      </c>
      <c r="C788" s="16">
        <v>46173</v>
      </c>
      <c r="D788">
        <v>88090.37</v>
      </c>
    </row>
    <row r="789" spans="1:4" x14ac:dyDescent="0.3">
      <c r="A789" t="s">
        <v>24</v>
      </c>
      <c r="C789" s="16">
        <v>46173</v>
      </c>
      <c r="D789">
        <v>1227.9699999999998</v>
      </c>
    </row>
    <row r="790" spans="1:4" x14ac:dyDescent="0.3">
      <c r="A790" t="s">
        <v>25</v>
      </c>
      <c r="C790" s="16">
        <v>46173</v>
      </c>
      <c r="D790">
        <v>114.3</v>
      </c>
    </row>
    <row r="791" spans="1:4" x14ac:dyDescent="0.3">
      <c r="A791" t="s">
        <v>26</v>
      </c>
      <c r="C791" s="16">
        <v>46173</v>
      </c>
      <c r="D791">
        <v>2267.7200000000003</v>
      </c>
    </row>
    <row r="792" spans="1:4" x14ac:dyDescent="0.3">
      <c r="A792" t="s">
        <v>27</v>
      </c>
      <c r="C792" s="16">
        <v>46173</v>
      </c>
      <c r="D792">
        <v>3349.94</v>
      </c>
    </row>
    <row r="793" spans="1:4" x14ac:dyDescent="0.3">
      <c r="A793" t="s">
        <v>28</v>
      </c>
      <c r="C793" s="16">
        <v>46173</v>
      </c>
      <c r="D793">
        <v>1968.99</v>
      </c>
    </row>
    <row r="794" spans="1:4" x14ac:dyDescent="0.3">
      <c r="A794" t="s">
        <v>29</v>
      </c>
      <c r="C794" s="16">
        <v>46173</v>
      </c>
      <c r="D794">
        <v>901.34</v>
      </c>
    </row>
    <row r="795" spans="1:4" x14ac:dyDescent="0.3">
      <c r="A795" t="s">
        <v>30</v>
      </c>
      <c r="C795" s="16">
        <v>46173</v>
      </c>
      <c r="D795">
        <v>1444.08</v>
      </c>
    </row>
    <row r="796" spans="1:4" x14ac:dyDescent="0.3">
      <c r="A796" t="s">
        <v>31</v>
      </c>
      <c r="C796" s="16">
        <v>46173</v>
      </c>
      <c r="D796">
        <v>35448.599999999962</v>
      </c>
    </row>
    <row r="797" spans="1:4" x14ac:dyDescent="0.3">
      <c r="A797" t="s">
        <v>32</v>
      </c>
      <c r="C797" s="16">
        <v>46173</v>
      </c>
      <c r="D797">
        <v>15120.060000000001</v>
      </c>
    </row>
    <row r="798" spans="1:4" x14ac:dyDescent="0.3">
      <c r="A798" t="s">
        <v>33</v>
      </c>
      <c r="C798" s="16">
        <v>46173</v>
      </c>
      <c r="D798">
        <v>33606.270000000004</v>
      </c>
    </row>
    <row r="799" spans="1:4" x14ac:dyDescent="0.3">
      <c r="A799" t="s">
        <v>34</v>
      </c>
      <c r="C799" s="16">
        <v>46173</v>
      </c>
      <c r="D799">
        <v>345</v>
      </c>
    </row>
    <row r="800" spans="1:4" x14ac:dyDescent="0.3">
      <c r="A800" t="s">
        <v>35</v>
      </c>
      <c r="C800" s="16">
        <v>46173</v>
      </c>
      <c r="D800">
        <v>9076.2400000000016</v>
      </c>
    </row>
    <row r="801" spans="1:4" x14ac:dyDescent="0.3">
      <c r="A801" t="s">
        <v>193</v>
      </c>
      <c r="C801" s="16">
        <v>46173</v>
      </c>
      <c r="D801">
        <v>0</v>
      </c>
    </row>
    <row r="802" spans="1:4" x14ac:dyDescent="0.3">
      <c r="A802" t="s">
        <v>194</v>
      </c>
      <c r="C802" s="16">
        <v>46173</v>
      </c>
      <c r="D802">
        <v>0</v>
      </c>
    </row>
    <row r="803" spans="1:4" x14ac:dyDescent="0.3">
      <c r="A803" t="s">
        <v>195</v>
      </c>
      <c r="C803" s="16">
        <v>46173</v>
      </c>
      <c r="D803">
        <v>0</v>
      </c>
    </row>
    <row r="804" spans="1:4" x14ac:dyDescent="0.3">
      <c r="A804" t="s">
        <v>196</v>
      </c>
      <c r="C804" s="16">
        <v>46173</v>
      </c>
      <c r="D804">
        <v>0</v>
      </c>
    </row>
    <row r="805" spans="1:4" x14ac:dyDescent="0.3">
      <c r="A805" t="s">
        <v>197</v>
      </c>
      <c r="C805" s="16">
        <v>46173</v>
      </c>
      <c r="D805">
        <v>0</v>
      </c>
    </row>
    <row r="806" spans="1:4" x14ac:dyDescent="0.3">
      <c r="A806" t="s">
        <v>214</v>
      </c>
      <c r="C806" s="16">
        <v>46173</v>
      </c>
      <c r="D806">
        <v>0</v>
      </c>
    </row>
    <row r="807" spans="1:4" x14ac:dyDescent="0.3">
      <c r="A807" t="s">
        <v>199</v>
      </c>
      <c r="C807" s="16">
        <v>46173</v>
      </c>
      <c r="D807">
        <v>0</v>
      </c>
    </row>
    <row r="808" spans="1:4" x14ac:dyDescent="0.3">
      <c r="A808" t="s">
        <v>17</v>
      </c>
      <c r="C808" s="16">
        <v>46174</v>
      </c>
      <c r="D808">
        <v>983394.14000000013</v>
      </c>
    </row>
    <row r="809" spans="1:4" x14ac:dyDescent="0.3">
      <c r="A809" t="s">
        <v>18</v>
      </c>
      <c r="C809" s="16">
        <v>46174</v>
      </c>
      <c r="D809">
        <v>69376.390000000174</v>
      </c>
    </row>
    <row r="810" spans="1:4" x14ac:dyDescent="0.3">
      <c r="A810" t="s">
        <v>19</v>
      </c>
      <c r="C810" s="16">
        <v>46174</v>
      </c>
      <c r="D810">
        <v>1669.89</v>
      </c>
    </row>
    <row r="811" spans="1:4" x14ac:dyDescent="0.3">
      <c r="A811" t="s">
        <v>20</v>
      </c>
      <c r="C811" s="16">
        <v>46174</v>
      </c>
      <c r="D811">
        <v>804853.11999999988</v>
      </c>
    </row>
    <row r="812" spans="1:4" x14ac:dyDescent="0.3">
      <c r="A812" t="s">
        <v>21</v>
      </c>
      <c r="C812" s="16">
        <v>46174</v>
      </c>
      <c r="D812">
        <v>1015901.6699999992</v>
      </c>
    </row>
    <row r="813" spans="1:4" x14ac:dyDescent="0.3">
      <c r="A813" t="s">
        <v>22</v>
      </c>
      <c r="C813" s="16">
        <v>46174</v>
      </c>
      <c r="D813">
        <v>131496.38</v>
      </c>
    </row>
    <row r="814" spans="1:4" x14ac:dyDescent="0.3">
      <c r="A814" t="s">
        <v>23</v>
      </c>
      <c r="C814" s="16">
        <v>46174</v>
      </c>
      <c r="D814">
        <v>20375.37</v>
      </c>
    </row>
    <row r="815" spans="1:4" x14ac:dyDescent="0.3">
      <c r="A815" t="s">
        <v>24</v>
      </c>
      <c r="C815" s="16">
        <v>46174</v>
      </c>
      <c r="D815">
        <v>511.15999999999985</v>
      </c>
    </row>
    <row r="816" spans="1:4" x14ac:dyDescent="0.3">
      <c r="A816" t="s">
        <v>25</v>
      </c>
      <c r="C816" s="16">
        <v>46174</v>
      </c>
      <c r="D816">
        <v>84.35</v>
      </c>
    </row>
    <row r="817" spans="1:4" x14ac:dyDescent="0.3">
      <c r="A817" t="s">
        <v>26</v>
      </c>
      <c r="C817" s="16">
        <v>46174</v>
      </c>
      <c r="D817">
        <v>2237.77</v>
      </c>
    </row>
    <row r="818" spans="1:4" x14ac:dyDescent="0.3">
      <c r="A818" t="s">
        <v>27</v>
      </c>
      <c r="C818" s="16">
        <v>46174</v>
      </c>
      <c r="D818">
        <v>3349.94</v>
      </c>
    </row>
    <row r="819" spans="1:4" x14ac:dyDescent="0.3">
      <c r="A819" t="s">
        <v>28</v>
      </c>
      <c r="C819" s="16">
        <v>46174</v>
      </c>
      <c r="D819">
        <v>1968.99</v>
      </c>
    </row>
    <row r="820" spans="1:4" x14ac:dyDescent="0.3">
      <c r="A820" t="s">
        <v>29</v>
      </c>
      <c r="C820" s="16">
        <v>46174</v>
      </c>
      <c r="D820">
        <v>901.34</v>
      </c>
    </row>
    <row r="821" spans="1:4" x14ac:dyDescent="0.3">
      <c r="A821" t="s">
        <v>30</v>
      </c>
      <c r="C821" s="16">
        <v>46174</v>
      </c>
      <c r="D821">
        <v>1428.08</v>
      </c>
    </row>
    <row r="822" spans="1:4" x14ac:dyDescent="0.3">
      <c r="A822" t="s">
        <v>31</v>
      </c>
      <c r="C822" s="16">
        <v>46174</v>
      </c>
      <c r="D822">
        <v>26416.26999999996</v>
      </c>
    </row>
    <row r="823" spans="1:4" x14ac:dyDescent="0.3">
      <c r="A823" t="s">
        <v>32</v>
      </c>
      <c r="C823" s="16">
        <v>46174</v>
      </c>
      <c r="D823">
        <v>5321.4300000000021</v>
      </c>
    </row>
    <row r="824" spans="1:4" x14ac:dyDescent="0.3">
      <c r="A824" t="s">
        <v>33</v>
      </c>
      <c r="C824" s="16">
        <v>46174</v>
      </c>
      <c r="D824">
        <v>24833.23</v>
      </c>
    </row>
    <row r="825" spans="1:4" x14ac:dyDescent="0.3">
      <c r="A825" t="s">
        <v>34</v>
      </c>
      <c r="C825" s="16">
        <v>46174</v>
      </c>
      <c r="D825">
        <v>345</v>
      </c>
    </row>
    <row r="826" spans="1:4" x14ac:dyDescent="0.3">
      <c r="A826" t="s">
        <v>35</v>
      </c>
      <c r="C826" s="16">
        <v>46174</v>
      </c>
      <c r="D826">
        <v>12117.82</v>
      </c>
    </row>
    <row r="827" spans="1:4" x14ac:dyDescent="0.3">
      <c r="A827" t="s">
        <v>193</v>
      </c>
      <c r="C827" s="16">
        <v>46174</v>
      </c>
      <c r="D827">
        <v>0</v>
      </c>
    </row>
    <row r="828" spans="1:4" x14ac:dyDescent="0.3">
      <c r="A828" t="s">
        <v>194</v>
      </c>
      <c r="C828" s="16">
        <v>46174</v>
      </c>
      <c r="D828">
        <v>0</v>
      </c>
    </row>
    <row r="829" spans="1:4" x14ac:dyDescent="0.3">
      <c r="A829" t="s">
        <v>195</v>
      </c>
      <c r="C829" s="16">
        <v>46174</v>
      </c>
      <c r="D829">
        <v>0</v>
      </c>
    </row>
    <row r="830" spans="1:4" x14ac:dyDescent="0.3">
      <c r="A830" t="s">
        <v>196</v>
      </c>
      <c r="C830" s="16">
        <v>46174</v>
      </c>
      <c r="D830">
        <v>0</v>
      </c>
    </row>
    <row r="831" spans="1:4" x14ac:dyDescent="0.3">
      <c r="A831" t="s">
        <v>197</v>
      </c>
      <c r="C831" s="16">
        <v>46174</v>
      </c>
      <c r="D831">
        <v>0</v>
      </c>
    </row>
    <row r="832" spans="1:4" x14ac:dyDescent="0.3">
      <c r="A832" t="s">
        <v>214</v>
      </c>
      <c r="C832" s="16">
        <v>46174</v>
      </c>
      <c r="D832">
        <v>0</v>
      </c>
    </row>
    <row r="833" spans="1:4" x14ac:dyDescent="0.3">
      <c r="A833" t="s">
        <v>199</v>
      </c>
      <c r="C833" s="16">
        <v>46174</v>
      </c>
      <c r="D833">
        <v>0</v>
      </c>
    </row>
    <row r="834" spans="1:4" x14ac:dyDescent="0.3">
      <c r="A834" t="s">
        <v>17</v>
      </c>
      <c r="C834" s="16">
        <v>46175</v>
      </c>
      <c r="D834">
        <v>983394.14000000013</v>
      </c>
    </row>
    <row r="835" spans="1:4" x14ac:dyDescent="0.3">
      <c r="A835" t="s">
        <v>18</v>
      </c>
      <c r="C835" s="16">
        <v>46175</v>
      </c>
      <c r="D835">
        <v>69376.390000000174</v>
      </c>
    </row>
    <row r="836" spans="1:4" x14ac:dyDescent="0.3">
      <c r="A836" t="s">
        <v>19</v>
      </c>
      <c r="C836" s="16">
        <v>46175</v>
      </c>
      <c r="D836">
        <v>1669.89</v>
      </c>
    </row>
    <row r="837" spans="1:4" x14ac:dyDescent="0.3">
      <c r="A837" t="s">
        <v>20</v>
      </c>
      <c r="C837" s="16">
        <v>46175</v>
      </c>
      <c r="D837">
        <v>804853.11999999988</v>
      </c>
    </row>
    <row r="838" spans="1:4" x14ac:dyDescent="0.3">
      <c r="A838" t="s">
        <v>21</v>
      </c>
      <c r="C838" s="16">
        <v>46175</v>
      </c>
      <c r="D838">
        <v>1015901.6699999992</v>
      </c>
    </row>
    <row r="839" spans="1:4" x14ac:dyDescent="0.3">
      <c r="A839" t="s">
        <v>22</v>
      </c>
      <c r="C839" s="16">
        <v>46175</v>
      </c>
      <c r="D839">
        <v>131496.38</v>
      </c>
    </row>
    <row r="840" spans="1:4" x14ac:dyDescent="0.3">
      <c r="A840" t="s">
        <v>23</v>
      </c>
      <c r="C840" s="16">
        <v>46175</v>
      </c>
      <c r="D840">
        <v>20375.37</v>
      </c>
    </row>
    <row r="841" spans="1:4" x14ac:dyDescent="0.3">
      <c r="A841" t="s">
        <v>24</v>
      </c>
      <c r="C841" s="16">
        <v>46175</v>
      </c>
      <c r="D841">
        <v>511.15999999999985</v>
      </c>
    </row>
    <row r="842" spans="1:4" x14ac:dyDescent="0.3">
      <c r="A842" t="s">
        <v>25</v>
      </c>
      <c r="C842" s="16">
        <v>46175</v>
      </c>
      <c r="D842">
        <v>84.35</v>
      </c>
    </row>
    <row r="843" spans="1:4" x14ac:dyDescent="0.3">
      <c r="A843" t="s">
        <v>26</v>
      </c>
      <c r="C843" s="16">
        <v>46175</v>
      </c>
      <c r="D843">
        <v>2237.77</v>
      </c>
    </row>
    <row r="844" spans="1:4" x14ac:dyDescent="0.3">
      <c r="A844" t="s">
        <v>27</v>
      </c>
      <c r="C844" s="16">
        <v>46175</v>
      </c>
      <c r="D844">
        <v>3349.94</v>
      </c>
    </row>
    <row r="845" spans="1:4" x14ac:dyDescent="0.3">
      <c r="A845" t="s">
        <v>28</v>
      </c>
      <c r="C845" s="16">
        <v>46175</v>
      </c>
      <c r="D845">
        <v>1968.99</v>
      </c>
    </row>
    <row r="846" spans="1:4" x14ac:dyDescent="0.3">
      <c r="A846" t="s">
        <v>29</v>
      </c>
      <c r="C846" s="16">
        <v>46175</v>
      </c>
      <c r="D846">
        <v>901.34</v>
      </c>
    </row>
    <row r="847" spans="1:4" x14ac:dyDescent="0.3">
      <c r="A847" t="s">
        <v>30</v>
      </c>
      <c r="C847" s="16">
        <v>46175</v>
      </c>
      <c r="D847">
        <v>1428.08</v>
      </c>
    </row>
    <row r="848" spans="1:4" x14ac:dyDescent="0.3">
      <c r="A848" t="s">
        <v>31</v>
      </c>
      <c r="C848" s="16">
        <v>46175</v>
      </c>
      <c r="D848">
        <v>25789.969999999961</v>
      </c>
    </row>
    <row r="849" spans="1:4" x14ac:dyDescent="0.3">
      <c r="A849" t="s">
        <v>32</v>
      </c>
      <c r="C849" s="16">
        <v>46175</v>
      </c>
      <c r="D849">
        <v>5321.4300000000021</v>
      </c>
    </row>
    <row r="850" spans="1:4" x14ac:dyDescent="0.3">
      <c r="A850" t="s">
        <v>33</v>
      </c>
      <c r="C850" s="16">
        <v>46175</v>
      </c>
      <c r="D850">
        <v>24833.23</v>
      </c>
    </row>
    <row r="851" spans="1:4" x14ac:dyDescent="0.3">
      <c r="A851" t="s">
        <v>34</v>
      </c>
      <c r="C851" s="16">
        <v>46175</v>
      </c>
      <c r="D851">
        <v>345</v>
      </c>
    </row>
    <row r="852" spans="1:4" x14ac:dyDescent="0.3">
      <c r="A852" t="s">
        <v>35</v>
      </c>
      <c r="C852" s="16">
        <v>46175</v>
      </c>
      <c r="D852">
        <v>8808.2400000000016</v>
      </c>
    </row>
    <row r="853" spans="1:4" x14ac:dyDescent="0.3">
      <c r="A853" t="s">
        <v>193</v>
      </c>
      <c r="C853" s="16">
        <v>46175</v>
      </c>
      <c r="D853">
        <v>0</v>
      </c>
    </row>
    <row r="854" spans="1:4" x14ac:dyDescent="0.3">
      <c r="A854" t="s">
        <v>194</v>
      </c>
      <c r="C854" s="16">
        <v>46175</v>
      </c>
      <c r="D854">
        <v>0</v>
      </c>
    </row>
    <row r="855" spans="1:4" x14ac:dyDescent="0.3">
      <c r="A855" t="s">
        <v>195</v>
      </c>
      <c r="C855" s="16">
        <v>46175</v>
      </c>
      <c r="D855">
        <v>0</v>
      </c>
    </row>
    <row r="856" spans="1:4" x14ac:dyDescent="0.3">
      <c r="A856" t="s">
        <v>196</v>
      </c>
      <c r="C856" s="16">
        <v>46175</v>
      </c>
      <c r="D856">
        <v>0</v>
      </c>
    </row>
    <row r="857" spans="1:4" x14ac:dyDescent="0.3">
      <c r="A857" t="s">
        <v>197</v>
      </c>
      <c r="C857" s="16">
        <v>46175</v>
      </c>
      <c r="D857">
        <v>0</v>
      </c>
    </row>
    <row r="858" spans="1:4" x14ac:dyDescent="0.3">
      <c r="A858" t="s">
        <v>214</v>
      </c>
      <c r="C858" s="16">
        <v>46175</v>
      </c>
      <c r="D858">
        <v>0</v>
      </c>
    </row>
    <row r="859" spans="1:4" x14ac:dyDescent="0.3">
      <c r="A859" t="s">
        <v>199</v>
      </c>
      <c r="C859" s="16">
        <v>46175</v>
      </c>
      <c r="D859">
        <v>0</v>
      </c>
    </row>
    <row r="860" spans="1:4" x14ac:dyDescent="0.3">
      <c r="A860" t="s">
        <v>17</v>
      </c>
      <c r="C860" s="16">
        <v>46176</v>
      </c>
      <c r="D860">
        <v>983394.14000000013</v>
      </c>
    </row>
    <row r="861" spans="1:4" x14ac:dyDescent="0.3">
      <c r="A861" t="s">
        <v>18</v>
      </c>
      <c r="C861" s="16">
        <v>46176</v>
      </c>
      <c r="D861">
        <v>69376.390000000174</v>
      </c>
    </row>
    <row r="862" spans="1:4" x14ac:dyDescent="0.3">
      <c r="A862" t="s">
        <v>19</v>
      </c>
      <c r="C862" s="16">
        <v>46176</v>
      </c>
      <c r="D862">
        <v>1669.89</v>
      </c>
    </row>
    <row r="863" spans="1:4" x14ac:dyDescent="0.3">
      <c r="A863" t="s">
        <v>20</v>
      </c>
      <c r="C863" s="16">
        <v>46176</v>
      </c>
      <c r="D863">
        <v>804853.11999999988</v>
      </c>
    </row>
    <row r="864" spans="1:4" x14ac:dyDescent="0.3">
      <c r="A864" t="s">
        <v>21</v>
      </c>
      <c r="C864" s="16">
        <v>46176</v>
      </c>
      <c r="D864">
        <v>1015611.6599999993</v>
      </c>
    </row>
    <row r="865" spans="1:4" x14ac:dyDescent="0.3">
      <c r="A865" t="s">
        <v>22</v>
      </c>
      <c r="C865" s="16">
        <v>46176</v>
      </c>
      <c r="D865">
        <v>125496.38</v>
      </c>
    </row>
    <row r="866" spans="1:4" x14ac:dyDescent="0.3">
      <c r="A866" t="s">
        <v>23</v>
      </c>
      <c r="C866" s="16">
        <v>46176</v>
      </c>
      <c r="D866">
        <v>20375.37</v>
      </c>
    </row>
    <row r="867" spans="1:4" x14ac:dyDescent="0.3">
      <c r="A867" t="s">
        <v>24</v>
      </c>
      <c r="C867" s="16">
        <v>46176</v>
      </c>
      <c r="D867">
        <v>511.15999999999985</v>
      </c>
    </row>
    <row r="868" spans="1:4" x14ac:dyDescent="0.3">
      <c r="A868" t="s">
        <v>25</v>
      </c>
      <c r="C868" s="16">
        <v>46176</v>
      </c>
      <c r="D868">
        <v>84.35</v>
      </c>
    </row>
    <row r="869" spans="1:4" x14ac:dyDescent="0.3">
      <c r="A869" t="s">
        <v>26</v>
      </c>
      <c r="C869" s="16">
        <v>46176</v>
      </c>
      <c r="D869">
        <v>2237.77</v>
      </c>
    </row>
    <row r="870" spans="1:4" x14ac:dyDescent="0.3">
      <c r="A870" t="s">
        <v>27</v>
      </c>
      <c r="C870" s="16">
        <v>46176</v>
      </c>
      <c r="D870">
        <v>3349.94</v>
      </c>
    </row>
    <row r="871" spans="1:4" x14ac:dyDescent="0.3">
      <c r="A871" t="s">
        <v>28</v>
      </c>
      <c r="C871" s="16">
        <v>46176</v>
      </c>
      <c r="D871">
        <v>1968.99</v>
      </c>
    </row>
    <row r="872" spans="1:4" x14ac:dyDescent="0.3">
      <c r="A872" t="s">
        <v>29</v>
      </c>
      <c r="C872" s="16">
        <v>46176</v>
      </c>
      <c r="D872">
        <v>901.34</v>
      </c>
    </row>
    <row r="873" spans="1:4" x14ac:dyDescent="0.3">
      <c r="A873" t="s">
        <v>30</v>
      </c>
      <c r="C873" s="16">
        <v>46176</v>
      </c>
      <c r="D873">
        <v>1428.08</v>
      </c>
    </row>
    <row r="874" spans="1:4" x14ac:dyDescent="0.3">
      <c r="A874" t="s">
        <v>31</v>
      </c>
      <c r="C874" s="16">
        <v>46176</v>
      </c>
      <c r="D874">
        <v>25789.969999999961</v>
      </c>
    </row>
    <row r="875" spans="1:4" x14ac:dyDescent="0.3">
      <c r="A875" t="s">
        <v>32</v>
      </c>
      <c r="C875" s="16">
        <v>46176</v>
      </c>
      <c r="D875">
        <v>5321.4300000000021</v>
      </c>
    </row>
    <row r="876" spans="1:4" x14ac:dyDescent="0.3">
      <c r="A876" t="s">
        <v>33</v>
      </c>
      <c r="C876" s="16">
        <v>46176</v>
      </c>
      <c r="D876">
        <v>24833.23</v>
      </c>
    </row>
    <row r="877" spans="1:4" x14ac:dyDescent="0.3">
      <c r="A877" t="s">
        <v>34</v>
      </c>
      <c r="C877" s="16">
        <v>46176</v>
      </c>
      <c r="D877">
        <v>345</v>
      </c>
    </row>
    <row r="878" spans="1:4" x14ac:dyDescent="0.3">
      <c r="A878" t="s">
        <v>35</v>
      </c>
      <c r="C878" s="16">
        <v>46176</v>
      </c>
      <c r="D878">
        <v>8808.2400000000016</v>
      </c>
    </row>
    <row r="879" spans="1:4" x14ac:dyDescent="0.3">
      <c r="A879" t="s">
        <v>193</v>
      </c>
      <c r="C879" s="16">
        <v>46176</v>
      </c>
      <c r="D879">
        <v>0</v>
      </c>
    </row>
    <row r="880" spans="1:4" x14ac:dyDescent="0.3">
      <c r="A880" t="s">
        <v>194</v>
      </c>
      <c r="C880" s="16">
        <v>46176</v>
      </c>
      <c r="D880">
        <v>0</v>
      </c>
    </row>
    <row r="881" spans="1:4" x14ac:dyDescent="0.3">
      <c r="A881" t="s">
        <v>195</v>
      </c>
      <c r="C881" s="16">
        <v>46176</v>
      </c>
      <c r="D881">
        <v>0</v>
      </c>
    </row>
    <row r="882" spans="1:4" x14ac:dyDescent="0.3">
      <c r="A882" t="s">
        <v>196</v>
      </c>
      <c r="C882" s="16">
        <v>46176</v>
      </c>
      <c r="D882">
        <v>0</v>
      </c>
    </row>
    <row r="883" spans="1:4" x14ac:dyDescent="0.3">
      <c r="A883" t="s">
        <v>197</v>
      </c>
      <c r="C883" s="16">
        <v>46176</v>
      </c>
      <c r="D883">
        <v>0</v>
      </c>
    </row>
    <row r="884" spans="1:4" x14ac:dyDescent="0.3">
      <c r="A884" t="s">
        <v>214</v>
      </c>
      <c r="C884" s="16">
        <v>46176</v>
      </c>
      <c r="D884">
        <v>0</v>
      </c>
    </row>
    <row r="885" spans="1:4" x14ac:dyDescent="0.3">
      <c r="A885" t="s">
        <v>199</v>
      </c>
      <c r="C885" s="16">
        <v>46176</v>
      </c>
      <c r="D885">
        <v>0</v>
      </c>
    </row>
    <row r="886" spans="1:4" x14ac:dyDescent="0.3">
      <c r="A886" t="s">
        <v>17</v>
      </c>
      <c r="C886" s="16">
        <v>46177</v>
      </c>
      <c r="D886">
        <v>733394.14000000013</v>
      </c>
    </row>
    <row r="887" spans="1:4" x14ac:dyDescent="0.3">
      <c r="A887" t="s">
        <v>18</v>
      </c>
      <c r="C887" s="16">
        <v>46177</v>
      </c>
      <c r="D887">
        <v>69376.390000000174</v>
      </c>
    </row>
    <row r="888" spans="1:4" x14ac:dyDescent="0.3">
      <c r="A888" t="s">
        <v>19</v>
      </c>
      <c r="C888" s="16">
        <v>46177</v>
      </c>
      <c r="D888">
        <v>1669.89</v>
      </c>
    </row>
    <row r="889" spans="1:4" x14ac:dyDescent="0.3">
      <c r="A889" t="s">
        <v>20</v>
      </c>
      <c r="C889" s="16">
        <v>46177</v>
      </c>
      <c r="D889">
        <v>729545.23999999987</v>
      </c>
    </row>
    <row r="890" spans="1:4" x14ac:dyDescent="0.3">
      <c r="A890" t="s">
        <v>21</v>
      </c>
      <c r="C890" s="16">
        <v>46177</v>
      </c>
      <c r="D890">
        <v>1171714.4499999993</v>
      </c>
    </row>
    <row r="891" spans="1:4" x14ac:dyDescent="0.3">
      <c r="A891" t="s">
        <v>22</v>
      </c>
      <c r="C891" s="16">
        <v>46177</v>
      </c>
      <c r="D891">
        <v>116496.38</v>
      </c>
    </row>
    <row r="892" spans="1:4" x14ac:dyDescent="0.3">
      <c r="A892" t="s">
        <v>23</v>
      </c>
      <c r="C892" s="16">
        <v>46177</v>
      </c>
      <c r="D892">
        <v>20375.37</v>
      </c>
    </row>
    <row r="893" spans="1:4" x14ac:dyDescent="0.3">
      <c r="A893" t="s">
        <v>24</v>
      </c>
      <c r="C893" s="16">
        <v>46177</v>
      </c>
      <c r="D893">
        <v>511.15999999999985</v>
      </c>
    </row>
    <row r="894" spans="1:4" x14ac:dyDescent="0.3">
      <c r="A894" t="s">
        <v>25</v>
      </c>
      <c r="C894" s="16">
        <v>46177</v>
      </c>
      <c r="D894">
        <v>84.35</v>
      </c>
    </row>
    <row r="895" spans="1:4" x14ac:dyDescent="0.3">
      <c r="A895" t="s">
        <v>26</v>
      </c>
      <c r="C895" s="16">
        <v>46177</v>
      </c>
      <c r="D895">
        <v>2237.77</v>
      </c>
    </row>
    <row r="896" spans="1:4" x14ac:dyDescent="0.3">
      <c r="A896" t="s">
        <v>27</v>
      </c>
      <c r="C896" s="16">
        <v>46177</v>
      </c>
      <c r="D896">
        <v>3349.94</v>
      </c>
    </row>
    <row r="897" spans="1:4" x14ac:dyDescent="0.3">
      <c r="A897" t="s">
        <v>28</v>
      </c>
      <c r="C897" s="16">
        <v>46177</v>
      </c>
      <c r="D897">
        <v>1968.99</v>
      </c>
    </row>
    <row r="898" spans="1:4" x14ac:dyDescent="0.3">
      <c r="A898" t="s">
        <v>29</v>
      </c>
      <c r="C898" s="16">
        <v>46177</v>
      </c>
      <c r="D898">
        <v>382.69000000000005</v>
      </c>
    </row>
    <row r="899" spans="1:4" x14ac:dyDescent="0.3">
      <c r="A899" t="s">
        <v>30</v>
      </c>
      <c r="C899" s="16">
        <v>46177</v>
      </c>
      <c r="D899">
        <v>1428.08</v>
      </c>
    </row>
    <row r="900" spans="1:4" x14ac:dyDescent="0.3">
      <c r="A900" t="s">
        <v>31</v>
      </c>
      <c r="C900" s="16">
        <v>46177</v>
      </c>
      <c r="D900">
        <v>25789.969999999961</v>
      </c>
    </row>
    <row r="901" spans="1:4" x14ac:dyDescent="0.3">
      <c r="A901" t="s">
        <v>32</v>
      </c>
      <c r="C901" s="16">
        <v>46177</v>
      </c>
      <c r="D901">
        <v>5321.4300000000021</v>
      </c>
    </row>
    <row r="902" spans="1:4" x14ac:dyDescent="0.3">
      <c r="A902" t="s">
        <v>33</v>
      </c>
      <c r="C902" s="16">
        <v>46177</v>
      </c>
      <c r="D902">
        <v>24833.23</v>
      </c>
    </row>
    <row r="903" spans="1:4" x14ac:dyDescent="0.3">
      <c r="A903" t="s">
        <v>34</v>
      </c>
      <c r="C903" s="16">
        <v>46177</v>
      </c>
      <c r="D903">
        <v>345</v>
      </c>
    </row>
    <row r="904" spans="1:4" x14ac:dyDescent="0.3">
      <c r="A904" t="s">
        <v>35</v>
      </c>
      <c r="C904" s="16">
        <v>46177</v>
      </c>
      <c r="D904">
        <v>7716.0900000000038</v>
      </c>
    </row>
    <row r="905" spans="1:4" x14ac:dyDescent="0.3">
      <c r="A905" t="s">
        <v>193</v>
      </c>
      <c r="C905" s="16">
        <v>46177</v>
      </c>
      <c r="D905">
        <v>0</v>
      </c>
    </row>
    <row r="906" spans="1:4" x14ac:dyDescent="0.3">
      <c r="A906" t="s">
        <v>194</v>
      </c>
      <c r="C906" s="16">
        <v>46177</v>
      </c>
      <c r="D906">
        <v>0</v>
      </c>
    </row>
    <row r="907" spans="1:4" x14ac:dyDescent="0.3">
      <c r="A907" t="s">
        <v>195</v>
      </c>
      <c r="C907" s="16">
        <v>46177</v>
      </c>
      <c r="D907">
        <v>0</v>
      </c>
    </row>
    <row r="908" spans="1:4" x14ac:dyDescent="0.3">
      <c r="A908" t="s">
        <v>196</v>
      </c>
      <c r="C908" s="16">
        <v>46177</v>
      </c>
      <c r="D908">
        <v>0</v>
      </c>
    </row>
    <row r="909" spans="1:4" x14ac:dyDescent="0.3">
      <c r="A909" t="s">
        <v>197</v>
      </c>
      <c r="C909" s="16">
        <v>46177</v>
      </c>
      <c r="D909">
        <v>0</v>
      </c>
    </row>
    <row r="910" spans="1:4" x14ac:dyDescent="0.3">
      <c r="A910" t="s">
        <v>214</v>
      </c>
      <c r="C910" s="16">
        <v>46177</v>
      </c>
      <c r="D910">
        <v>0</v>
      </c>
    </row>
    <row r="911" spans="1:4" x14ac:dyDescent="0.3">
      <c r="A911" t="s">
        <v>199</v>
      </c>
      <c r="C911" s="16">
        <v>46177</v>
      </c>
      <c r="D911">
        <v>0</v>
      </c>
    </row>
    <row r="912" spans="1:4" x14ac:dyDescent="0.3">
      <c r="A912" t="s">
        <v>17</v>
      </c>
      <c r="C912" s="16">
        <v>46178</v>
      </c>
      <c r="D912">
        <v>733394.14000000013</v>
      </c>
    </row>
    <row r="913" spans="1:4" x14ac:dyDescent="0.3">
      <c r="A913" t="s">
        <v>18</v>
      </c>
      <c r="C913" s="16">
        <v>46178</v>
      </c>
      <c r="D913">
        <v>69376.390000000174</v>
      </c>
    </row>
    <row r="914" spans="1:4" x14ac:dyDescent="0.3">
      <c r="A914" t="s">
        <v>19</v>
      </c>
      <c r="C914" s="16">
        <v>46178</v>
      </c>
      <c r="D914">
        <v>1669.89</v>
      </c>
    </row>
    <row r="915" spans="1:4" x14ac:dyDescent="0.3">
      <c r="A915" t="s">
        <v>20</v>
      </c>
      <c r="C915" s="16">
        <v>46178</v>
      </c>
      <c r="D915">
        <v>729545.23999999987</v>
      </c>
    </row>
    <row r="916" spans="1:4" x14ac:dyDescent="0.3">
      <c r="A916" t="s">
        <v>21</v>
      </c>
      <c r="C916" s="16">
        <v>46178</v>
      </c>
      <c r="D916">
        <v>1164028.3199999994</v>
      </c>
    </row>
    <row r="917" spans="1:4" x14ac:dyDescent="0.3">
      <c r="A917" t="s">
        <v>22</v>
      </c>
      <c r="C917" s="16">
        <v>46178</v>
      </c>
      <c r="D917">
        <v>116496.38</v>
      </c>
    </row>
    <row r="918" spans="1:4" x14ac:dyDescent="0.3">
      <c r="A918" t="s">
        <v>23</v>
      </c>
      <c r="C918" s="16">
        <v>46178</v>
      </c>
      <c r="D918">
        <v>20375.37</v>
      </c>
    </row>
    <row r="919" spans="1:4" x14ac:dyDescent="0.3">
      <c r="A919" t="s">
        <v>24</v>
      </c>
      <c r="C919" s="16">
        <v>46178</v>
      </c>
      <c r="D919">
        <v>511.15999999999985</v>
      </c>
    </row>
    <row r="920" spans="1:4" x14ac:dyDescent="0.3">
      <c r="A920" t="s">
        <v>25</v>
      </c>
      <c r="C920" s="16">
        <v>46178</v>
      </c>
      <c r="D920">
        <v>84.35</v>
      </c>
    </row>
    <row r="921" spans="1:4" x14ac:dyDescent="0.3">
      <c r="A921" t="s">
        <v>26</v>
      </c>
      <c r="C921" s="16">
        <v>46178</v>
      </c>
      <c r="D921">
        <v>2237.77</v>
      </c>
    </row>
    <row r="922" spans="1:4" x14ac:dyDescent="0.3">
      <c r="A922" t="s">
        <v>27</v>
      </c>
      <c r="C922" s="16">
        <v>46178</v>
      </c>
      <c r="D922">
        <v>3349.94</v>
      </c>
    </row>
    <row r="923" spans="1:4" x14ac:dyDescent="0.3">
      <c r="A923" t="s">
        <v>28</v>
      </c>
      <c r="C923" s="16">
        <v>46178</v>
      </c>
      <c r="D923">
        <v>1968.99</v>
      </c>
    </row>
    <row r="924" spans="1:4" x14ac:dyDescent="0.3">
      <c r="A924" t="s">
        <v>29</v>
      </c>
      <c r="C924" s="16">
        <v>46178</v>
      </c>
      <c r="D924">
        <v>382.69000000000005</v>
      </c>
    </row>
    <row r="925" spans="1:4" x14ac:dyDescent="0.3">
      <c r="A925" t="s">
        <v>30</v>
      </c>
      <c r="C925" s="16">
        <v>46178</v>
      </c>
      <c r="D925">
        <v>1428.08</v>
      </c>
    </row>
    <row r="926" spans="1:4" x14ac:dyDescent="0.3">
      <c r="A926" t="s">
        <v>31</v>
      </c>
      <c r="C926" s="16">
        <v>46178</v>
      </c>
      <c r="D926">
        <v>25789.969999999961</v>
      </c>
    </row>
    <row r="927" spans="1:4" x14ac:dyDescent="0.3">
      <c r="A927" t="s">
        <v>32</v>
      </c>
      <c r="C927" s="16">
        <v>46178</v>
      </c>
      <c r="D927">
        <v>5321.4300000000021</v>
      </c>
    </row>
    <row r="928" spans="1:4" x14ac:dyDescent="0.3">
      <c r="A928" t="s">
        <v>33</v>
      </c>
      <c r="C928" s="16">
        <v>46178</v>
      </c>
      <c r="D928">
        <v>24833.23</v>
      </c>
    </row>
    <row r="929" spans="1:4" x14ac:dyDescent="0.3">
      <c r="A929" t="s">
        <v>34</v>
      </c>
      <c r="C929" s="16">
        <v>46178</v>
      </c>
      <c r="D929">
        <v>345</v>
      </c>
    </row>
    <row r="930" spans="1:4" x14ac:dyDescent="0.3">
      <c r="A930" t="s">
        <v>35</v>
      </c>
      <c r="C930" s="16">
        <v>46178</v>
      </c>
      <c r="D930">
        <v>7716.0900000000038</v>
      </c>
    </row>
    <row r="931" spans="1:4" x14ac:dyDescent="0.3">
      <c r="A931" t="s">
        <v>193</v>
      </c>
      <c r="C931" s="16">
        <v>46178</v>
      </c>
      <c r="D931">
        <v>0</v>
      </c>
    </row>
    <row r="932" spans="1:4" x14ac:dyDescent="0.3">
      <c r="A932" t="s">
        <v>194</v>
      </c>
      <c r="C932" s="16">
        <v>46178</v>
      </c>
      <c r="D932">
        <v>0</v>
      </c>
    </row>
    <row r="933" spans="1:4" x14ac:dyDescent="0.3">
      <c r="A933" t="s">
        <v>195</v>
      </c>
      <c r="C933" s="16">
        <v>46178</v>
      </c>
      <c r="D933">
        <v>0</v>
      </c>
    </row>
    <row r="934" spans="1:4" x14ac:dyDescent="0.3">
      <c r="A934" t="s">
        <v>196</v>
      </c>
      <c r="C934" s="16">
        <v>46178</v>
      </c>
      <c r="D934">
        <v>0</v>
      </c>
    </row>
    <row r="935" spans="1:4" x14ac:dyDescent="0.3">
      <c r="A935" t="s">
        <v>197</v>
      </c>
      <c r="C935" s="16">
        <v>46178</v>
      </c>
      <c r="D935">
        <v>0</v>
      </c>
    </row>
    <row r="936" spans="1:4" x14ac:dyDescent="0.3">
      <c r="A936" t="s">
        <v>214</v>
      </c>
      <c r="C936" s="16">
        <v>46178</v>
      </c>
      <c r="D936">
        <v>0</v>
      </c>
    </row>
    <row r="937" spans="1:4" x14ac:dyDescent="0.3">
      <c r="A937" t="s">
        <v>199</v>
      </c>
      <c r="C937" s="16">
        <v>46178</v>
      </c>
      <c r="D937">
        <v>0</v>
      </c>
    </row>
    <row r="938" spans="1:4" x14ac:dyDescent="0.3">
      <c r="A938" t="s">
        <v>17</v>
      </c>
      <c r="C938" s="16">
        <v>46179</v>
      </c>
      <c r="D938">
        <v>733394.14000000013</v>
      </c>
    </row>
    <row r="939" spans="1:4" x14ac:dyDescent="0.3">
      <c r="A939" t="s">
        <v>18</v>
      </c>
      <c r="C939" s="16">
        <v>46179</v>
      </c>
      <c r="D939">
        <v>69376.390000000174</v>
      </c>
    </row>
    <row r="940" spans="1:4" x14ac:dyDescent="0.3">
      <c r="A940" t="s">
        <v>19</v>
      </c>
      <c r="C940" s="16">
        <v>46179</v>
      </c>
      <c r="D940">
        <v>1669.89</v>
      </c>
    </row>
    <row r="941" spans="1:4" x14ac:dyDescent="0.3">
      <c r="A941" t="s">
        <v>20</v>
      </c>
      <c r="C941" s="16">
        <v>46179</v>
      </c>
      <c r="D941">
        <v>729545.23999999987</v>
      </c>
    </row>
    <row r="942" spans="1:4" x14ac:dyDescent="0.3">
      <c r="A942" t="s">
        <v>21</v>
      </c>
      <c r="C942" s="16">
        <v>46179</v>
      </c>
      <c r="D942">
        <v>1164028.3199999994</v>
      </c>
    </row>
    <row r="943" spans="1:4" x14ac:dyDescent="0.3">
      <c r="A943" t="s">
        <v>22</v>
      </c>
      <c r="C943" s="16">
        <v>46179</v>
      </c>
      <c r="D943">
        <v>116496.38</v>
      </c>
    </row>
    <row r="944" spans="1:4" x14ac:dyDescent="0.3">
      <c r="A944" t="s">
        <v>23</v>
      </c>
      <c r="C944" s="16">
        <v>46179</v>
      </c>
      <c r="D944">
        <v>20375.37</v>
      </c>
    </row>
    <row r="945" spans="1:4" x14ac:dyDescent="0.3">
      <c r="A945" t="s">
        <v>24</v>
      </c>
      <c r="C945" s="16">
        <v>46179</v>
      </c>
      <c r="D945">
        <v>511.15999999999985</v>
      </c>
    </row>
    <row r="946" spans="1:4" x14ac:dyDescent="0.3">
      <c r="A946" t="s">
        <v>25</v>
      </c>
      <c r="C946" s="16">
        <v>46179</v>
      </c>
      <c r="D946">
        <v>84.35</v>
      </c>
    </row>
    <row r="947" spans="1:4" x14ac:dyDescent="0.3">
      <c r="A947" t="s">
        <v>26</v>
      </c>
      <c r="C947" s="16">
        <v>46179</v>
      </c>
      <c r="D947">
        <v>2237.77</v>
      </c>
    </row>
    <row r="948" spans="1:4" x14ac:dyDescent="0.3">
      <c r="A948" t="s">
        <v>27</v>
      </c>
      <c r="C948" s="16">
        <v>46179</v>
      </c>
      <c r="D948">
        <v>3349.94</v>
      </c>
    </row>
    <row r="949" spans="1:4" x14ac:dyDescent="0.3">
      <c r="A949" t="s">
        <v>28</v>
      </c>
      <c r="C949" s="16">
        <v>46179</v>
      </c>
      <c r="D949">
        <v>1968.99</v>
      </c>
    </row>
    <row r="950" spans="1:4" x14ac:dyDescent="0.3">
      <c r="A950" t="s">
        <v>29</v>
      </c>
      <c r="C950" s="16">
        <v>46179</v>
      </c>
      <c r="D950">
        <v>382.69000000000005</v>
      </c>
    </row>
    <row r="951" spans="1:4" x14ac:dyDescent="0.3">
      <c r="A951" t="s">
        <v>30</v>
      </c>
      <c r="C951" s="16">
        <v>46179</v>
      </c>
      <c r="D951">
        <v>1428.08</v>
      </c>
    </row>
    <row r="952" spans="1:4" x14ac:dyDescent="0.3">
      <c r="A952" t="s">
        <v>31</v>
      </c>
      <c r="C952" s="16">
        <v>46179</v>
      </c>
      <c r="D952">
        <v>25789.969999999961</v>
      </c>
    </row>
    <row r="953" spans="1:4" x14ac:dyDescent="0.3">
      <c r="A953" t="s">
        <v>32</v>
      </c>
      <c r="C953" s="16">
        <v>46179</v>
      </c>
      <c r="D953">
        <v>5321.4300000000021</v>
      </c>
    </row>
    <row r="954" spans="1:4" x14ac:dyDescent="0.3">
      <c r="A954" t="s">
        <v>33</v>
      </c>
      <c r="C954" s="16">
        <v>46179</v>
      </c>
      <c r="D954">
        <v>24833.23</v>
      </c>
    </row>
    <row r="955" spans="1:4" x14ac:dyDescent="0.3">
      <c r="A955" t="s">
        <v>34</v>
      </c>
      <c r="C955" s="16">
        <v>46179</v>
      </c>
      <c r="D955">
        <v>345</v>
      </c>
    </row>
    <row r="956" spans="1:4" x14ac:dyDescent="0.3">
      <c r="A956" t="s">
        <v>35</v>
      </c>
      <c r="C956" s="16">
        <v>46179</v>
      </c>
      <c r="D956">
        <v>7716.0900000000038</v>
      </c>
    </row>
    <row r="957" spans="1:4" x14ac:dyDescent="0.3">
      <c r="A957" t="s">
        <v>193</v>
      </c>
      <c r="C957" s="16">
        <v>46179</v>
      </c>
      <c r="D957">
        <v>0</v>
      </c>
    </row>
    <row r="958" spans="1:4" x14ac:dyDescent="0.3">
      <c r="A958" t="s">
        <v>194</v>
      </c>
      <c r="C958" s="16">
        <v>46179</v>
      </c>
      <c r="D958">
        <v>0</v>
      </c>
    </row>
    <row r="959" spans="1:4" x14ac:dyDescent="0.3">
      <c r="A959" t="s">
        <v>195</v>
      </c>
      <c r="C959" s="16">
        <v>46179</v>
      </c>
      <c r="D959">
        <v>0</v>
      </c>
    </row>
    <row r="960" spans="1:4" x14ac:dyDescent="0.3">
      <c r="A960" t="s">
        <v>196</v>
      </c>
      <c r="C960" s="16">
        <v>46179</v>
      </c>
      <c r="D960">
        <v>0</v>
      </c>
    </row>
    <row r="961" spans="1:4" x14ac:dyDescent="0.3">
      <c r="A961" t="s">
        <v>197</v>
      </c>
      <c r="C961" s="16">
        <v>46179</v>
      </c>
      <c r="D961">
        <v>0</v>
      </c>
    </row>
    <row r="962" spans="1:4" x14ac:dyDescent="0.3">
      <c r="A962" t="s">
        <v>214</v>
      </c>
      <c r="C962" s="16">
        <v>46179</v>
      </c>
      <c r="D962">
        <v>0</v>
      </c>
    </row>
    <row r="963" spans="1:4" x14ac:dyDescent="0.3">
      <c r="A963" t="s">
        <v>199</v>
      </c>
      <c r="C963" s="16">
        <v>46179</v>
      </c>
      <c r="D963">
        <v>0</v>
      </c>
    </row>
    <row r="964" spans="1:4" x14ac:dyDescent="0.3">
      <c r="A964" t="s">
        <v>17</v>
      </c>
      <c r="C964" s="16">
        <v>46180</v>
      </c>
      <c r="D964">
        <v>733394.14000000013</v>
      </c>
    </row>
    <row r="965" spans="1:4" x14ac:dyDescent="0.3">
      <c r="A965" t="s">
        <v>18</v>
      </c>
      <c r="C965" s="16">
        <v>46180</v>
      </c>
      <c r="D965">
        <v>69376.390000000174</v>
      </c>
    </row>
    <row r="966" spans="1:4" x14ac:dyDescent="0.3">
      <c r="A966" t="s">
        <v>19</v>
      </c>
      <c r="C966" s="16">
        <v>46180</v>
      </c>
      <c r="D966">
        <v>1669.89</v>
      </c>
    </row>
    <row r="967" spans="1:4" x14ac:dyDescent="0.3">
      <c r="A967" t="s">
        <v>20</v>
      </c>
      <c r="C967" s="16">
        <v>46180</v>
      </c>
      <c r="D967">
        <v>729545.23999999987</v>
      </c>
    </row>
    <row r="968" spans="1:4" x14ac:dyDescent="0.3">
      <c r="A968" t="s">
        <v>21</v>
      </c>
      <c r="C968" s="16">
        <v>46180</v>
      </c>
      <c r="D968">
        <v>1164028.3199999994</v>
      </c>
    </row>
    <row r="969" spans="1:4" x14ac:dyDescent="0.3">
      <c r="A969" t="s">
        <v>22</v>
      </c>
      <c r="C969" s="16">
        <v>46180</v>
      </c>
      <c r="D969">
        <v>116496.38</v>
      </c>
    </row>
    <row r="970" spans="1:4" x14ac:dyDescent="0.3">
      <c r="A970" t="s">
        <v>23</v>
      </c>
      <c r="C970" s="16">
        <v>46180</v>
      </c>
      <c r="D970">
        <v>20375.37</v>
      </c>
    </row>
    <row r="971" spans="1:4" x14ac:dyDescent="0.3">
      <c r="A971" t="s">
        <v>24</v>
      </c>
      <c r="C971" s="16">
        <v>46180</v>
      </c>
      <c r="D971">
        <v>511.15999999999985</v>
      </c>
    </row>
    <row r="972" spans="1:4" x14ac:dyDescent="0.3">
      <c r="A972" t="s">
        <v>25</v>
      </c>
      <c r="C972" s="16">
        <v>46180</v>
      </c>
      <c r="D972">
        <v>84.35</v>
      </c>
    </row>
    <row r="973" spans="1:4" x14ac:dyDescent="0.3">
      <c r="A973" t="s">
        <v>26</v>
      </c>
      <c r="C973" s="16">
        <v>46180</v>
      </c>
      <c r="D973">
        <v>2237.77</v>
      </c>
    </row>
    <row r="974" spans="1:4" x14ac:dyDescent="0.3">
      <c r="A974" t="s">
        <v>27</v>
      </c>
      <c r="C974" s="16">
        <v>46180</v>
      </c>
      <c r="D974">
        <v>3349.94</v>
      </c>
    </row>
    <row r="975" spans="1:4" x14ac:dyDescent="0.3">
      <c r="A975" t="s">
        <v>28</v>
      </c>
      <c r="C975" s="16">
        <v>46180</v>
      </c>
      <c r="D975">
        <v>1968.99</v>
      </c>
    </row>
    <row r="976" spans="1:4" x14ac:dyDescent="0.3">
      <c r="A976" t="s">
        <v>29</v>
      </c>
      <c r="C976" s="16">
        <v>46180</v>
      </c>
      <c r="D976">
        <v>382.69000000000005</v>
      </c>
    </row>
    <row r="977" spans="1:4" x14ac:dyDescent="0.3">
      <c r="A977" t="s">
        <v>30</v>
      </c>
      <c r="C977" s="16">
        <v>46180</v>
      </c>
      <c r="D977">
        <v>1428.08</v>
      </c>
    </row>
    <row r="978" spans="1:4" x14ac:dyDescent="0.3">
      <c r="A978" t="s">
        <v>31</v>
      </c>
      <c r="C978" s="16">
        <v>46180</v>
      </c>
      <c r="D978">
        <v>25789.969999999961</v>
      </c>
    </row>
    <row r="979" spans="1:4" x14ac:dyDescent="0.3">
      <c r="A979" t="s">
        <v>32</v>
      </c>
      <c r="C979" s="16">
        <v>46180</v>
      </c>
      <c r="D979">
        <v>5321.4300000000021</v>
      </c>
    </row>
    <row r="980" spans="1:4" x14ac:dyDescent="0.3">
      <c r="A980" t="s">
        <v>33</v>
      </c>
      <c r="C980" s="16">
        <v>46180</v>
      </c>
      <c r="D980">
        <v>24833.23</v>
      </c>
    </row>
    <row r="981" spans="1:4" x14ac:dyDescent="0.3">
      <c r="A981" t="s">
        <v>34</v>
      </c>
      <c r="C981" s="16">
        <v>46180</v>
      </c>
      <c r="D981">
        <v>345</v>
      </c>
    </row>
    <row r="982" spans="1:4" x14ac:dyDescent="0.3">
      <c r="A982" t="s">
        <v>35</v>
      </c>
      <c r="C982" s="16">
        <v>46180</v>
      </c>
      <c r="D982">
        <v>7716.0900000000038</v>
      </c>
    </row>
    <row r="983" spans="1:4" x14ac:dyDescent="0.3">
      <c r="A983" t="s">
        <v>193</v>
      </c>
      <c r="C983" s="16">
        <v>46180</v>
      </c>
      <c r="D983">
        <v>0</v>
      </c>
    </row>
    <row r="984" spans="1:4" x14ac:dyDescent="0.3">
      <c r="A984" t="s">
        <v>194</v>
      </c>
      <c r="C984" s="16">
        <v>46180</v>
      </c>
      <c r="D984">
        <v>0</v>
      </c>
    </row>
    <row r="985" spans="1:4" x14ac:dyDescent="0.3">
      <c r="A985" t="s">
        <v>195</v>
      </c>
      <c r="C985" s="16">
        <v>46180</v>
      </c>
      <c r="D985">
        <v>0</v>
      </c>
    </row>
    <row r="986" spans="1:4" x14ac:dyDescent="0.3">
      <c r="A986" t="s">
        <v>196</v>
      </c>
      <c r="C986" s="16">
        <v>46180</v>
      </c>
      <c r="D986">
        <v>0</v>
      </c>
    </row>
    <row r="987" spans="1:4" x14ac:dyDescent="0.3">
      <c r="A987" t="s">
        <v>197</v>
      </c>
      <c r="C987" s="16">
        <v>46180</v>
      </c>
      <c r="D987">
        <v>0</v>
      </c>
    </row>
    <row r="988" spans="1:4" x14ac:dyDescent="0.3">
      <c r="A988" t="s">
        <v>214</v>
      </c>
      <c r="C988" s="16">
        <v>46180</v>
      </c>
      <c r="D988">
        <v>0</v>
      </c>
    </row>
    <row r="989" spans="1:4" x14ac:dyDescent="0.3">
      <c r="A989" t="s">
        <v>199</v>
      </c>
      <c r="C989" s="16">
        <v>46180</v>
      </c>
      <c r="D989">
        <v>0</v>
      </c>
    </row>
    <row r="990" spans="1:4" x14ac:dyDescent="0.3">
      <c r="A990" t="s">
        <v>17</v>
      </c>
      <c r="C990" s="16">
        <v>46181</v>
      </c>
      <c r="D990">
        <v>733394.14000000013</v>
      </c>
    </row>
    <row r="991" spans="1:4" x14ac:dyDescent="0.3">
      <c r="A991" t="s">
        <v>18</v>
      </c>
      <c r="C991" s="16">
        <v>46181</v>
      </c>
      <c r="D991">
        <v>69376.390000000174</v>
      </c>
    </row>
    <row r="992" spans="1:4" x14ac:dyDescent="0.3">
      <c r="A992" t="s">
        <v>19</v>
      </c>
      <c r="C992" s="16">
        <v>46181</v>
      </c>
      <c r="D992">
        <v>1669.89</v>
      </c>
    </row>
    <row r="993" spans="1:4" x14ac:dyDescent="0.3">
      <c r="A993" t="s">
        <v>20</v>
      </c>
      <c r="C993" s="16">
        <v>46181</v>
      </c>
      <c r="D993">
        <v>729545.23999999987</v>
      </c>
    </row>
    <row r="994" spans="1:4" x14ac:dyDescent="0.3">
      <c r="A994" t="s">
        <v>21</v>
      </c>
      <c r="C994" s="16">
        <v>46181</v>
      </c>
      <c r="D994">
        <v>1164028.3199999994</v>
      </c>
    </row>
    <row r="995" spans="1:4" x14ac:dyDescent="0.3">
      <c r="A995" t="s">
        <v>22</v>
      </c>
      <c r="C995" s="16">
        <v>46181</v>
      </c>
      <c r="D995">
        <v>116496.38</v>
      </c>
    </row>
    <row r="996" spans="1:4" x14ac:dyDescent="0.3">
      <c r="A996" t="s">
        <v>23</v>
      </c>
      <c r="C996" s="16">
        <v>46181</v>
      </c>
      <c r="D996">
        <v>20375.37</v>
      </c>
    </row>
    <row r="997" spans="1:4" x14ac:dyDescent="0.3">
      <c r="A997" t="s">
        <v>24</v>
      </c>
      <c r="C997" s="16">
        <v>46181</v>
      </c>
      <c r="D997">
        <v>511.15999999999985</v>
      </c>
    </row>
    <row r="998" spans="1:4" x14ac:dyDescent="0.3">
      <c r="A998" t="s">
        <v>25</v>
      </c>
      <c r="C998" s="16">
        <v>46181</v>
      </c>
      <c r="D998">
        <v>84.35</v>
      </c>
    </row>
    <row r="999" spans="1:4" x14ac:dyDescent="0.3">
      <c r="A999" t="s">
        <v>26</v>
      </c>
      <c r="C999" s="16">
        <v>46181</v>
      </c>
      <c r="D999">
        <v>2237.77</v>
      </c>
    </row>
    <row r="1000" spans="1:4" x14ac:dyDescent="0.3">
      <c r="A1000" t="s">
        <v>27</v>
      </c>
      <c r="C1000" s="16">
        <v>46181</v>
      </c>
      <c r="D1000">
        <v>3349.94</v>
      </c>
    </row>
    <row r="1001" spans="1:4" x14ac:dyDescent="0.3">
      <c r="A1001" t="s">
        <v>28</v>
      </c>
      <c r="C1001" s="16">
        <v>46181</v>
      </c>
      <c r="D1001">
        <v>1968.99</v>
      </c>
    </row>
    <row r="1002" spans="1:4" x14ac:dyDescent="0.3">
      <c r="A1002" t="s">
        <v>29</v>
      </c>
      <c r="C1002" s="16">
        <v>46181</v>
      </c>
      <c r="D1002">
        <v>382.69000000000005</v>
      </c>
    </row>
    <row r="1003" spans="1:4" x14ac:dyDescent="0.3">
      <c r="A1003" t="s">
        <v>30</v>
      </c>
      <c r="C1003" s="16">
        <v>46181</v>
      </c>
      <c r="D1003">
        <v>1428.08</v>
      </c>
    </row>
    <row r="1004" spans="1:4" x14ac:dyDescent="0.3">
      <c r="A1004" t="s">
        <v>31</v>
      </c>
      <c r="C1004" s="16">
        <v>46181</v>
      </c>
      <c r="D1004">
        <v>25789.969999999961</v>
      </c>
    </row>
    <row r="1005" spans="1:4" x14ac:dyDescent="0.3">
      <c r="A1005" t="s">
        <v>32</v>
      </c>
      <c r="C1005" s="16">
        <v>46181</v>
      </c>
      <c r="D1005">
        <v>5321.4300000000021</v>
      </c>
    </row>
    <row r="1006" spans="1:4" x14ac:dyDescent="0.3">
      <c r="A1006" t="s">
        <v>33</v>
      </c>
      <c r="C1006" s="16">
        <v>46181</v>
      </c>
      <c r="D1006">
        <v>24833.23</v>
      </c>
    </row>
    <row r="1007" spans="1:4" x14ac:dyDescent="0.3">
      <c r="A1007" t="s">
        <v>34</v>
      </c>
      <c r="C1007" s="16">
        <v>46181</v>
      </c>
      <c r="D1007">
        <v>345</v>
      </c>
    </row>
    <row r="1008" spans="1:4" x14ac:dyDescent="0.3">
      <c r="A1008" t="s">
        <v>35</v>
      </c>
      <c r="C1008" s="16">
        <v>46181</v>
      </c>
      <c r="D1008">
        <v>6744.5000000000036</v>
      </c>
    </row>
    <row r="1009" spans="1:4" x14ac:dyDescent="0.3">
      <c r="A1009" t="s">
        <v>193</v>
      </c>
      <c r="C1009" s="16">
        <v>46181</v>
      </c>
      <c r="D1009">
        <v>0</v>
      </c>
    </row>
    <row r="1010" spans="1:4" x14ac:dyDescent="0.3">
      <c r="A1010" t="s">
        <v>194</v>
      </c>
      <c r="C1010" s="16">
        <v>46181</v>
      </c>
      <c r="D1010">
        <v>0</v>
      </c>
    </row>
    <row r="1011" spans="1:4" x14ac:dyDescent="0.3">
      <c r="A1011" t="s">
        <v>195</v>
      </c>
      <c r="C1011" s="16">
        <v>46181</v>
      </c>
      <c r="D1011">
        <v>0</v>
      </c>
    </row>
    <row r="1012" spans="1:4" x14ac:dyDescent="0.3">
      <c r="A1012" t="s">
        <v>196</v>
      </c>
      <c r="C1012" s="16">
        <v>46181</v>
      </c>
      <c r="D1012">
        <v>0</v>
      </c>
    </row>
    <row r="1013" spans="1:4" x14ac:dyDescent="0.3">
      <c r="A1013" t="s">
        <v>197</v>
      </c>
      <c r="C1013" s="16">
        <v>46181</v>
      </c>
      <c r="D1013">
        <v>0</v>
      </c>
    </row>
    <row r="1014" spans="1:4" x14ac:dyDescent="0.3">
      <c r="A1014" t="s">
        <v>214</v>
      </c>
      <c r="C1014" s="16">
        <v>46181</v>
      </c>
      <c r="D1014">
        <v>0</v>
      </c>
    </row>
    <row r="1015" spans="1:4" x14ac:dyDescent="0.3">
      <c r="A1015" t="s">
        <v>199</v>
      </c>
      <c r="C1015" s="16">
        <v>46181</v>
      </c>
      <c r="D1015">
        <v>0</v>
      </c>
    </row>
    <row r="1016" spans="1:4" x14ac:dyDescent="0.3">
      <c r="A1016" t="s">
        <v>17</v>
      </c>
      <c r="C1016" s="16">
        <v>46182</v>
      </c>
      <c r="D1016">
        <v>847381.29000000015</v>
      </c>
    </row>
    <row r="1017" spans="1:4" x14ac:dyDescent="0.3">
      <c r="A1017" t="s">
        <v>18</v>
      </c>
      <c r="C1017" s="16">
        <v>46182</v>
      </c>
      <c r="D1017">
        <v>69376.390000000174</v>
      </c>
    </row>
    <row r="1018" spans="1:4" x14ac:dyDescent="0.3">
      <c r="A1018" t="s">
        <v>19</v>
      </c>
      <c r="C1018" s="16">
        <v>46182</v>
      </c>
      <c r="D1018">
        <v>1669.89</v>
      </c>
    </row>
    <row r="1019" spans="1:4" x14ac:dyDescent="0.3">
      <c r="A1019" t="s">
        <v>20</v>
      </c>
      <c r="C1019" s="16">
        <v>46182</v>
      </c>
      <c r="D1019">
        <v>729545.23999999987</v>
      </c>
    </row>
    <row r="1020" spans="1:4" x14ac:dyDescent="0.3">
      <c r="A1020" t="s">
        <v>21</v>
      </c>
      <c r="C1020" s="16">
        <v>46182</v>
      </c>
      <c r="D1020">
        <v>1160274.0499999993</v>
      </c>
    </row>
    <row r="1021" spans="1:4" x14ac:dyDescent="0.3">
      <c r="A1021" t="s">
        <v>22</v>
      </c>
      <c r="C1021" s="16">
        <v>46182</v>
      </c>
      <c r="D1021">
        <v>116496.38</v>
      </c>
    </row>
    <row r="1022" spans="1:4" x14ac:dyDescent="0.3">
      <c r="A1022" t="s">
        <v>23</v>
      </c>
      <c r="C1022" s="16">
        <v>46182</v>
      </c>
      <c r="D1022">
        <v>20375.37</v>
      </c>
    </row>
    <row r="1023" spans="1:4" x14ac:dyDescent="0.3">
      <c r="A1023" t="s">
        <v>24</v>
      </c>
      <c r="C1023" s="16">
        <v>46182</v>
      </c>
      <c r="D1023">
        <v>511.15999999999985</v>
      </c>
    </row>
    <row r="1024" spans="1:4" x14ac:dyDescent="0.3">
      <c r="A1024" t="s">
        <v>25</v>
      </c>
      <c r="C1024" s="16">
        <v>46182</v>
      </c>
      <c r="D1024">
        <v>84.35</v>
      </c>
    </row>
    <row r="1025" spans="1:4" x14ac:dyDescent="0.3">
      <c r="A1025" t="s">
        <v>26</v>
      </c>
      <c r="C1025" s="16">
        <v>46182</v>
      </c>
      <c r="D1025">
        <v>2237.77</v>
      </c>
    </row>
    <row r="1026" spans="1:4" x14ac:dyDescent="0.3">
      <c r="A1026" t="s">
        <v>27</v>
      </c>
      <c r="C1026" s="16">
        <v>46182</v>
      </c>
      <c r="D1026">
        <v>3349.94</v>
      </c>
    </row>
    <row r="1027" spans="1:4" x14ac:dyDescent="0.3">
      <c r="A1027" t="s">
        <v>28</v>
      </c>
      <c r="C1027" s="16">
        <v>46182</v>
      </c>
      <c r="D1027">
        <v>1968.99</v>
      </c>
    </row>
    <row r="1028" spans="1:4" x14ac:dyDescent="0.3">
      <c r="A1028" t="s">
        <v>29</v>
      </c>
      <c r="C1028" s="16">
        <v>46182</v>
      </c>
      <c r="D1028">
        <v>382.69000000000005</v>
      </c>
    </row>
    <row r="1029" spans="1:4" x14ac:dyDescent="0.3">
      <c r="A1029" t="s">
        <v>30</v>
      </c>
      <c r="C1029" s="16">
        <v>46182</v>
      </c>
      <c r="D1029">
        <v>1428.08</v>
      </c>
    </row>
    <row r="1030" spans="1:4" x14ac:dyDescent="0.3">
      <c r="A1030" t="s">
        <v>31</v>
      </c>
      <c r="C1030" s="16">
        <v>46182</v>
      </c>
      <c r="D1030">
        <v>25789.969999999961</v>
      </c>
    </row>
    <row r="1031" spans="1:4" x14ac:dyDescent="0.3">
      <c r="A1031" t="s">
        <v>32</v>
      </c>
      <c r="C1031" s="16">
        <v>46182</v>
      </c>
      <c r="D1031">
        <v>5321.4300000000021</v>
      </c>
    </row>
    <row r="1032" spans="1:4" x14ac:dyDescent="0.3">
      <c r="A1032" t="s">
        <v>33</v>
      </c>
      <c r="C1032" s="16">
        <v>46182</v>
      </c>
      <c r="D1032">
        <v>24833.23</v>
      </c>
    </row>
    <row r="1033" spans="1:4" x14ac:dyDescent="0.3">
      <c r="A1033" t="s">
        <v>34</v>
      </c>
      <c r="C1033" s="16">
        <v>46182</v>
      </c>
      <c r="D1033">
        <v>345</v>
      </c>
    </row>
    <row r="1034" spans="1:4" x14ac:dyDescent="0.3">
      <c r="A1034" t="s">
        <v>35</v>
      </c>
      <c r="C1034" s="16">
        <v>46182</v>
      </c>
      <c r="D1034">
        <v>6583.0800000000036</v>
      </c>
    </row>
    <row r="1035" spans="1:4" x14ac:dyDescent="0.3">
      <c r="A1035" t="s">
        <v>193</v>
      </c>
      <c r="C1035" s="16">
        <v>46182</v>
      </c>
      <c r="D1035">
        <v>0</v>
      </c>
    </row>
    <row r="1036" spans="1:4" x14ac:dyDescent="0.3">
      <c r="A1036" t="s">
        <v>194</v>
      </c>
      <c r="C1036" s="16">
        <v>46182</v>
      </c>
      <c r="D1036">
        <v>0</v>
      </c>
    </row>
    <row r="1037" spans="1:4" x14ac:dyDescent="0.3">
      <c r="A1037" t="s">
        <v>195</v>
      </c>
      <c r="C1037" s="16">
        <v>46182</v>
      </c>
      <c r="D1037">
        <v>0</v>
      </c>
    </row>
    <row r="1038" spans="1:4" x14ac:dyDescent="0.3">
      <c r="A1038" t="s">
        <v>196</v>
      </c>
      <c r="C1038" s="16">
        <v>46182</v>
      </c>
      <c r="D1038">
        <v>0</v>
      </c>
    </row>
    <row r="1039" spans="1:4" x14ac:dyDescent="0.3">
      <c r="A1039" t="s">
        <v>197</v>
      </c>
      <c r="C1039" s="16">
        <v>46182</v>
      </c>
      <c r="D1039">
        <v>0</v>
      </c>
    </row>
    <row r="1040" spans="1:4" x14ac:dyDescent="0.3">
      <c r="A1040" t="s">
        <v>214</v>
      </c>
      <c r="C1040" s="16">
        <v>46182</v>
      </c>
      <c r="D1040">
        <v>0</v>
      </c>
    </row>
    <row r="1041" spans="1:4" x14ac:dyDescent="0.3">
      <c r="A1041" t="s">
        <v>199</v>
      </c>
      <c r="C1041" s="16">
        <v>46182</v>
      </c>
      <c r="D1041">
        <v>0</v>
      </c>
    </row>
    <row r="1042" spans="1:4" x14ac:dyDescent="0.3">
      <c r="A1042" t="s">
        <v>17</v>
      </c>
      <c r="C1042" s="16">
        <v>46183</v>
      </c>
      <c r="D1042">
        <v>2288745.9500000002</v>
      </c>
    </row>
    <row r="1043" spans="1:4" x14ac:dyDescent="0.3">
      <c r="A1043" t="s">
        <v>18</v>
      </c>
      <c r="C1043" s="16">
        <v>46183</v>
      </c>
      <c r="D1043">
        <v>69376.390000000174</v>
      </c>
    </row>
    <row r="1044" spans="1:4" x14ac:dyDescent="0.3">
      <c r="A1044" t="s">
        <v>19</v>
      </c>
      <c r="C1044" s="16">
        <v>46183</v>
      </c>
      <c r="D1044">
        <v>1669.89</v>
      </c>
    </row>
    <row r="1045" spans="1:4" x14ac:dyDescent="0.3">
      <c r="A1045" t="s">
        <v>20</v>
      </c>
      <c r="C1045" s="16">
        <v>46183</v>
      </c>
      <c r="D1045">
        <v>744306.80999999982</v>
      </c>
    </row>
    <row r="1046" spans="1:4" x14ac:dyDescent="0.3">
      <c r="A1046" t="s">
        <v>21</v>
      </c>
      <c r="C1046" s="16">
        <v>46183</v>
      </c>
      <c r="D1046">
        <v>1160274.0499999993</v>
      </c>
    </row>
    <row r="1047" spans="1:4" x14ac:dyDescent="0.3">
      <c r="A1047" t="s">
        <v>22</v>
      </c>
      <c r="C1047" s="16">
        <v>46183</v>
      </c>
      <c r="D1047">
        <v>116496.38</v>
      </c>
    </row>
    <row r="1048" spans="1:4" x14ac:dyDescent="0.3">
      <c r="A1048" t="s">
        <v>23</v>
      </c>
      <c r="C1048" s="16">
        <v>46183</v>
      </c>
      <c r="D1048">
        <v>20375.37</v>
      </c>
    </row>
    <row r="1049" spans="1:4" x14ac:dyDescent="0.3">
      <c r="A1049" t="s">
        <v>24</v>
      </c>
      <c r="C1049" s="16">
        <v>46183</v>
      </c>
      <c r="D1049">
        <v>511.15999999999985</v>
      </c>
    </row>
    <row r="1050" spans="1:4" x14ac:dyDescent="0.3">
      <c r="A1050" t="s">
        <v>25</v>
      </c>
      <c r="C1050" s="16">
        <v>46183</v>
      </c>
      <c r="D1050">
        <v>84.35</v>
      </c>
    </row>
    <row r="1051" spans="1:4" x14ac:dyDescent="0.3">
      <c r="A1051" t="s">
        <v>26</v>
      </c>
      <c r="C1051" s="16">
        <v>46183</v>
      </c>
      <c r="D1051">
        <v>2237.77</v>
      </c>
    </row>
    <row r="1052" spans="1:4" x14ac:dyDescent="0.3">
      <c r="A1052" t="s">
        <v>27</v>
      </c>
      <c r="C1052" s="16">
        <v>46183</v>
      </c>
      <c r="D1052">
        <v>3349.94</v>
      </c>
    </row>
    <row r="1053" spans="1:4" x14ac:dyDescent="0.3">
      <c r="A1053" t="s">
        <v>28</v>
      </c>
      <c r="C1053" s="16">
        <v>46183</v>
      </c>
      <c r="D1053">
        <v>1968.99</v>
      </c>
    </row>
    <row r="1054" spans="1:4" x14ac:dyDescent="0.3">
      <c r="A1054" t="s">
        <v>29</v>
      </c>
      <c r="C1054" s="16">
        <v>46183</v>
      </c>
      <c r="D1054">
        <v>382.69000000000005</v>
      </c>
    </row>
    <row r="1055" spans="1:4" x14ac:dyDescent="0.3">
      <c r="A1055" t="s">
        <v>30</v>
      </c>
      <c r="C1055" s="16">
        <v>46183</v>
      </c>
      <c r="D1055">
        <v>1428.08</v>
      </c>
    </row>
    <row r="1056" spans="1:4" x14ac:dyDescent="0.3">
      <c r="A1056" t="s">
        <v>31</v>
      </c>
      <c r="C1056" s="16">
        <v>46183</v>
      </c>
      <c r="D1056">
        <v>25789.969999999961</v>
      </c>
    </row>
    <row r="1057" spans="1:4" x14ac:dyDescent="0.3">
      <c r="A1057" t="s">
        <v>32</v>
      </c>
      <c r="C1057" s="16">
        <v>46183</v>
      </c>
      <c r="D1057">
        <v>5321.4300000000021</v>
      </c>
    </row>
    <row r="1058" spans="1:4" x14ac:dyDescent="0.3">
      <c r="A1058" t="s">
        <v>33</v>
      </c>
      <c r="C1058" s="16">
        <v>46183</v>
      </c>
      <c r="D1058">
        <v>24743.98</v>
      </c>
    </row>
    <row r="1059" spans="1:4" x14ac:dyDescent="0.3">
      <c r="A1059" t="s">
        <v>34</v>
      </c>
      <c r="C1059" s="16">
        <v>46183</v>
      </c>
      <c r="D1059">
        <v>345</v>
      </c>
    </row>
    <row r="1060" spans="1:4" x14ac:dyDescent="0.3">
      <c r="A1060" t="s">
        <v>35</v>
      </c>
      <c r="C1060" s="16">
        <v>46183</v>
      </c>
      <c r="D1060">
        <v>6583.0800000000036</v>
      </c>
    </row>
    <row r="1061" spans="1:4" x14ac:dyDescent="0.3">
      <c r="A1061" t="s">
        <v>193</v>
      </c>
      <c r="C1061" s="16">
        <v>46183</v>
      </c>
      <c r="D1061">
        <v>0</v>
      </c>
    </row>
    <row r="1062" spans="1:4" x14ac:dyDescent="0.3">
      <c r="A1062" t="s">
        <v>194</v>
      </c>
      <c r="C1062" s="16">
        <v>46183</v>
      </c>
      <c r="D1062">
        <v>0</v>
      </c>
    </row>
    <row r="1063" spans="1:4" x14ac:dyDescent="0.3">
      <c r="A1063" t="s">
        <v>195</v>
      </c>
      <c r="C1063" s="16">
        <v>46183</v>
      </c>
      <c r="D1063">
        <v>0</v>
      </c>
    </row>
    <row r="1064" spans="1:4" x14ac:dyDescent="0.3">
      <c r="A1064" t="s">
        <v>196</v>
      </c>
      <c r="C1064" s="16">
        <v>46183</v>
      </c>
      <c r="D1064">
        <v>0</v>
      </c>
    </row>
    <row r="1065" spans="1:4" x14ac:dyDescent="0.3">
      <c r="A1065" t="s">
        <v>197</v>
      </c>
      <c r="C1065" s="16">
        <v>46183</v>
      </c>
      <c r="D1065">
        <v>0</v>
      </c>
    </row>
    <row r="1066" spans="1:4" x14ac:dyDescent="0.3">
      <c r="A1066" t="s">
        <v>214</v>
      </c>
      <c r="C1066" s="16">
        <v>46183</v>
      </c>
      <c r="D1066">
        <v>0</v>
      </c>
    </row>
    <row r="1067" spans="1:4" x14ac:dyDescent="0.3">
      <c r="A1067" t="s">
        <v>199</v>
      </c>
      <c r="C1067" s="16">
        <v>46183</v>
      </c>
      <c r="D1067">
        <v>0</v>
      </c>
    </row>
    <row r="1068" spans="1:4" x14ac:dyDescent="0.3">
      <c r="A1068" t="s">
        <v>17</v>
      </c>
      <c r="C1068" s="16">
        <v>46184</v>
      </c>
      <c r="D1068">
        <v>1837784.84</v>
      </c>
    </row>
    <row r="1069" spans="1:4" x14ac:dyDescent="0.3">
      <c r="A1069" t="s">
        <v>18</v>
      </c>
      <c r="C1069" s="16">
        <v>46184</v>
      </c>
      <c r="D1069">
        <v>69376.390000000174</v>
      </c>
    </row>
    <row r="1070" spans="1:4" x14ac:dyDescent="0.3">
      <c r="A1070" t="s">
        <v>19</v>
      </c>
      <c r="C1070" s="16">
        <v>46184</v>
      </c>
      <c r="D1070">
        <v>1669.89</v>
      </c>
    </row>
    <row r="1071" spans="1:4" x14ac:dyDescent="0.3">
      <c r="A1071" t="s">
        <v>20</v>
      </c>
      <c r="C1071" s="16">
        <v>46184</v>
      </c>
      <c r="D1071">
        <v>564626.20999999985</v>
      </c>
    </row>
    <row r="1072" spans="1:4" x14ac:dyDescent="0.3">
      <c r="A1072" t="s">
        <v>21</v>
      </c>
      <c r="C1072" s="16">
        <v>46184</v>
      </c>
      <c r="D1072">
        <v>794731.82999999926</v>
      </c>
    </row>
    <row r="1073" spans="1:4" x14ac:dyDescent="0.3">
      <c r="A1073" t="s">
        <v>22</v>
      </c>
      <c r="C1073" s="16">
        <v>46184</v>
      </c>
      <c r="D1073">
        <v>116496.38</v>
      </c>
    </row>
    <row r="1074" spans="1:4" x14ac:dyDescent="0.3">
      <c r="A1074" t="s">
        <v>23</v>
      </c>
      <c r="C1074" s="16">
        <v>46184</v>
      </c>
      <c r="D1074">
        <v>20375.37</v>
      </c>
    </row>
    <row r="1075" spans="1:4" x14ac:dyDescent="0.3">
      <c r="A1075" t="s">
        <v>24</v>
      </c>
      <c r="C1075" s="16">
        <v>46184</v>
      </c>
      <c r="D1075">
        <v>511.15999999999985</v>
      </c>
    </row>
    <row r="1076" spans="1:4" x14ac:dyDescent="0.3">
      <c r="A1076" t="s">
        <v>25</v>
      </c>
      <c r="C1076" s="16">
        <v>46184</v>
      </c>
      <c r="D1076">
        <v>84.35</v>
      </c>
    </row>
    <row r="1077" spans="1:4" x14ac:dyDescent="0.3">
      <c r="A1077" t="s">
        <v>26</v>
      </c>
      <c r="C1077" s="16">
        <v>46184</v>
      </c>
      <c r="D1077">
        <v>2237.77</v>
      </c>
    </row>
    <row r="1078" spans="1:4" x14ac:dyDescent="0.3">
      <c r="A1078" t="s">
        <v>27</v>
      </c>
      <c r="C1078" s="16">
        <v>46184</v>
      </c>
      <c r="D1078">
        <v>3349.94</v>
      </c>
    </row>
    <row r="1079" spans="1:4" x14ac:dyDescent="0.3">
      <c r="A1079" t="s">
        <v>28</v>
      </c>
      <c r="C1079" s="16">
        <v>46184</v>
      </c>
      <c r="D1079">
        <v>1968.99</v>
      </c>
    </row>
    <row r="1080" spans="1:4" x14ac:dyDescent="0.3">
      <c r="A1080" t="s">
        <v>29</v>
      </c>
      <c r="C1080" s="16">
        <v>46184</v>
      </c>
      <c r="D1080">
        <v>382.69000000000005</v>
      </c>
    </row>
    <row r="1081" spans="1:4" x14ac:dyDescent="0.3">
      <c r="A1081" t="s">
        <v>30</v>
      </c>
      <c r="C1081" s="16">
        <v>46184</v>
      </c>
      <c r="D1081">
        <v>1428.08</v>
      </c>
    </row>
    <row r="1082" spans="1:4" x14ac:dyDescent="0.3">
      <c r="A1082" t="s">
        <v>31</v>
      </c>
      <c r="C1082" s="16">
        <v>46184</v>
      </c>
      <c r="D1082">
        <v>25789.969999999961</v>
      </c>
    </row>
    <row r="1083" spans="1:4" x14ac:dyDescent="0.3">
      <c r="A1083" t="s">
        <v>32</v>
      </c>
      <c r="C1083" s="16">
        <v>46184</v>
      </c>
      <c r="D1083">
        <v>5321.4300000000021</v>
      </c>
    </row>
    <row r="1084" spans="1:4" x14ac:dyDescent="0.3">
      <c r="A1084" t="s">
        <v>33</v>
      </c>
      <c r="C1084" s="16">
        <v>46184</v>
      </c>
      <c r="D1084">
        <v>24743.98</v>
      </c>
    </row>
    <row r="1085" spans="1:4" x14ac:dyDescent="0.3">
      <c r="A1085" t="s">
        <v>34</v>
      </c>
      <c r="C1085" s="16">
        <v>46184</v>
      </c>
      <c r="D1085">
        <v>345</v>
      </c>
    </row>
    <row r="1086" spans="1:4" x14ac:dyDescent="0.3">
      <c r="A1086" t="s">
        <v>35</v>
      </c>
      <c r="C1086" s="16">
        <v>46184</v>
      </c>
      <c r="D1086">
        <v>54068.08</v>
      </c>
    </row>
    <row r="1087" spans="1:4" x14ac:dyDescent="0.3">
      <c r="A1087" t="s">
        <v>193</v>
      </c>
      <c r="C1087" s="16">
        <v>46184</v>
      </c>
      <c r="D1087">
        <v>0</v>
      </c>
    </row>
    <row r="1088" spans="1:4" x14ac:dyDescent="0.3">
      <c r="A1088" t="s">
        <v>194</v>
      </c>
      <c r="C1088" s="16">
        <v>46184</v>
      </c>
      <c r="D1088">
        <v>0</v>
      </c>
    </row>
    <row r="1089" spans="1:4" x14ac:dyDescent="0.3">
      <c r="A1089" t="s">
        <v>195</v>
      </c>
      <c r="C1089" s="16">
        <v>46184</v>
      </c>
      <c r="D1089">
        <v>0</v>
      </c>
    </row>
    <row r="1090" spans="1:4" x14ac:dyDescent="0.3">
      <c r="A1090" t="s">
        <v>196</v>
      </c>
      <c r="C1090" s="16">
        <v>46184</v>
      </c>
      <c r="D1090">
        <v>0</v>
      </c>
    </row>
    <row r="1091" spans="1:4" x14ac:dyDescent="0.3">
      <c r="A1091" t="s">
        <v>197</v>
      </c>
      <c r="C1091" s="16">
        <v>46184</v>
      </c>
      <c r="D1091">
        <v>0</v>
      </c>
    </row>
    <row r="1092" spans="1:4" x14ac:dyDescent="0.3">
      <c r="A1092" t="s">
        <v>214</v>
      </c>
      <c r="C1092" s="16">
        <v>46184</v>
      </c>
      <c r="D1092">
        <v>0</v>
      </c>
    </row>
    <row r="1093" spans="1:4" x14ac:dyDescent="0.3">
      <c r="A1093" t="s">
        <v>199</v>
      </c>
      <c r="C1093" s="16">
        <v>46184</v>
      </c>
      <c r="D1093">
        <v>0</v>
      </c>
    </row>
    <row r="1094" spans="1:4" x14ac:dyDescent="0.3">
      <c r="A1094" t="s">
        <v>17</v>
      </c>
      <c r="C1094" s="16">
        <v>46185</v>
      </c>
      <c r="D1094">
        <v>1837784.84</v>
      </c>
    </row>
    <row r="1095" spans="1:4" x14ac:dyDescent="0.3">
      <c r="A1095" t="s">
        <v>18</v>
      </c>
      <c r="C1095" s="16">
        <v>46185</v>
      </c>
      <c r="D1095">
        <v>69376.390000000174</v>
      </c>
    </row>
    <row r="1096" spans="1:4" x14ac:dyDescent="0.3">
      <c r="A1096" t="s">
        <v>19</v>
      </c>
      <c r="C1096" s="16">
        <v>46185</v>
      </c>
      <c r="D1096">
        <v>1669.89</v>
      </c>
    </row>
    <row r="1097" spans="1:4" x14ac:dyDescent="0.3">
      <c r="A1097" t="s">
        <v>20</v>
      </c>
      <c r="C1097" s="16">
        <v>46185</v>
      </c>
      <c r="D1097">
        <v>564626.20999999985</v>
      </c>
    </row>
    <row r="1098" spans="1:4" x14ac:dyDescent="0.3">
      <c r="A1098" t="s">
        <v>21</v>
      </c>
      <c r="C1098" s="16">
        <v>46185</v>
      </c>
      <c r="D1098">
        <v>3763348.8299999996</v>
      </c>
    </row>
    <row r="1099" spans="1:4" x14ac:dyDescent="0.3">
      <c r="A1099" t="s">
        <v>22</v>
      </c>
      <c r="C1099" s="16">
        <v>46185</v>
      </c>
      <c r="D1099">
        <v>116496.38</v>
      </c>
    </row>
    <row r="1100" spans="1:4" x14ac:dyDescent="0.3">
      <c r="A1100" t="s">
        <v>23</v>
      </c>
      <c r="C1100" s="16">
        <v>46185</v>
      </c>
      <c r="D1100">
        <v>20375.989999999998</v>
      </c>
    </row>
    <row r="1101" spans="1:4" x14ac:dyDescent="0.3">
      <c r="A1101" t="s">
        <v>24</v>
      </c>
      <c r="C1101" s="16">
        <v>46185</v>
      </c>
      <c r="D1101">
        <v>511.15999999999985</v>
      </c>
    </row>
    <row r="1102" spans="1:4" x14ac:dyDescent="0.3">
      <c r="A1102" t="s">
        <v>25</v>
      </c>
      <c r="C1102" s="16">
        <v>46185</v>
      </c>
      <c r="D1102">
        <v>84.35</v>
      </c>
    </row>
    <row r="1103" spans="1:4" x14ac:dyDescent="0.3">
      <c r="A1103" t="s">
        <v>26</v>
      </c>
      <c r="C1103" s="16">
        <v>46185</v>
      </c>
      <c r="D1103">
        <v>2237.77</v>
      </c>
    </row>
    <row r="1104" spans="1:4" x14ac:dyDescent="0.3">
      <c r="A1104" t="s">
        <v>27</v>
      </c>
      <c r="C1104" s="16">
        <v>46185</v>
      </c>
      <c r="D1104">
        <v>3349.94</v>
      </c>
    </row>
    <row r="1105" spans="1:4" x14ac:dyDescent="0.3">
      <c r="A1105" t="s">
        <v>28</v>
      </c>
      <c r="C1105" s="16">
        <v>46185</v>
      </c>
      <c r="D1105">
        <v>1968.99</v>
      </c>
    </row>
    <row r="1106" spans="1:4" x14ac:dyDescent="0.3">
      <c r="A1106" t="s">
        <v>29</v>
      </c>
      <c r="C1106" s="16">
        <v>46185</v>
      </c>
      <c r="D1106">
        <v>382.69000000000005</v>
      </c>
    </row>
    <row r="1107" spans="1:4" x14ac:dyDescent="0.3">
      <c r="A1107" t="s">
        <v>30</v>
      </c>
      <c r="C1107" s="16">
        <v>46185</v>
      </c>
      <c r="D1107">
        <v>1428.08</v>
      </c>
    </row>
    <row r="1108" spans="1:4" x14ac:dyDescent="0.3">
      <c r="A1108" t="s">
        <v>31</v>
      </c>
      <c r="C1108" s="16">
        <v>46185</v>
      </c>
      <c r="D1108">
        <v>27789.969999999961</v>
      </c>
    </row>
    <row r="1109" spans="1:4" x14ac:dyDescent="0.3">
      <c r="A1109" t="s">
        <v>32</v>
      </c>
      <c r="C1109" s="16">
        <v>46185</v>
      </c>
      <c r="D1109">
        <v>5321.4300000000021</v>
      </c>
    </row>
    <row r="1110" spans="1:4" x14ac:dyDescent="0.3">
      <c r="A1110" t="s">
        <v>33</v>
      </c>
      <c r="C1110" s="16">
        <v>46185</v>
      </c>
      <c r="D1110">
        <v>24484.85</v>
      </c>
    </row>
    <row r="1111" spans="1:4" x14ac:dyDescent="0.3">
      <c r="A1111" t="s">
        <v>34</v>
      </c>
      <c r="C1111" s="16">
        <v>46185</v>
      </c>
      <c r="D1111">
        <v>345</v>
      </c>
    </row>
    <row r="1112" spans="1:4" x14ac:dyDescent="0.3">
      <c r="A1112" t="s">
        <v>35</v>
      </c>
      <c r="C1112" s="16">
        <v>46185</v>
      </c>
      <c r="D1112">
        <v>54068.08</v>
      </c>
    </row>
    <row r="1113" spans="1:4" x14ac:dyDescent="0.3">
      <c r="A1113" t="s">
        <v>193</v>
      </c>
      <c r="C1113" s="16">
        <v>46185</v>
      </c>
      <c r="D1113">
        <v>0</v>
      </c>
    </row>
    <row r="1114" spans="1:4" x14ac:dyDescent="0.3">
      <c r="A1114" t="s">
        <v>194</v>
      </c>
      <c r="C1114" s="16">
        <v>46185</v>
      </c>
      <c r="D1114">
        <v>0</v>
      </c>
    </row>
    <row r="1115" spans="1:4" x14ac:dyDescent="0.3">
      <c r="A1115" t="s">
        <v>195</v>
      </c>
      <c r="C1115" s="16">
        <v>46185</v>
      </c>
      <c r="D1115">
        <v>0</v>
      </c>
    </row>
    <row r="1116" spans="1:4" x14ac:dyDescent="0.3">
      <c r="A1116" t="s">
        <v>196</v>
      </c>
      <c r="C1116" s="16">
        <v>46185</v>
      </c>
      <c r="D1116">
        <v>0</v>
      </c>
    </row>
    <row r="1117" spans="1:4" x14ac:dyDescent="0.3">
      <c r="A1117" t="s">
        <v>197</v>
      </c>
      <c r="C1117" s="16">
        <v>46185</v>
      </c>
      <c r="D1117">
        <v>0</v>
      </c>
    </row>
    <row r="1118" spans="1:4" x14ac:dyDescent="0.3">
      <c r="A1118" t="s">
        <v>214</v>
      </c>
      <c r="C1118" s="16">
        <v>46185</v>
      </c>
      <c r="D1118">
        <v>0</v>
      </c>
    </row>
    <row r="1119" spans="1:4" x14ac:dyDescent="0.3">
      <c r="A1119" t="s">
        <v>199</v>
      </c>
      <c r="C1119" s="16">
        <v>46185</v>
      </c>
      <c r="D1119">
        <v>0</v>
      </c>
    </row>
    <row r="1120" spans="1:4" x14ac:dyDescent="0.3">
      <c r="A1120" t="s">
        <v>17</v>
      </c>
      <c r="C1120" s="16">
        <v>46186</v>
      </c>
      <c r="D1120">
        <v>1837784.84</v>
      </c>
    </row>
    <row r="1121" spans="1:4" x14ac:dyDescent="0.3">
      <c r="A1121" t="s">
        <v>18</v>
      </c>
      <c r="C1121" s="16">
        <v>46186</v>
      </c>
      <c r="D1121">
        <v>69376.390000000174</v>
      </c>
    </row>
    <row r="1122" spans="1:4" x14ac:dyDescent="0.3">
      <c r="A1122" t="s">
        <v>19</v>
      </c>
      <c r="C1122" s="16">
        <v>46186</v>
      </c>
      <c r="D1122">
        <v>1669.89</v>
      </c>
    </row>
    <row r="1123" spans="1:4" x14ac:dyDescent="0.3">
      <c r="A1123" t="s">
        <v>20</v>
      </c>
      <c r="C1123" s="16">
        <v>46186</v>
      </c>
      <c r="D1123">
        <v>564626.20999999985</v>
      </c>
    </row>
    <row r="1124" spans="1:4" x14ac:dyDescent="0.3">
      <c r="A1124" t="s">
        <v>21</v>
      </c>
      <c r="C1124" s="16">
        <v>46186</v>
      </c>
      <c r="D1124">
        <v>3763348.8299999996</v>
      </c>
    </row>
    <row r="1125" spans="1:4" x14ac:dyDescent="0.3">
      <c r="A1125" t="s">
        <v>22</v>
      </c>
      <c r="C1125" s="16">
        <v>46186</v>
      </c>
      <c r="D1125">
        <v>116496.38</v>
      </c>
    </row>
    <row r="1126" spans="1:4" x14ac:dyDescent="0.3">
      <c r="A1126" t="s">
        <v>23</v>
      </c>
      <c r="C1126" s="16">
        <v>46186</v>
      </c>
      <c r="D1126">
        <v>20375.989999999998</v>
      </c>
    </row>
    <row r="1127" spans="1:4" x14ac:dyDescent="0.3">
      <c r="A1127" t="s">
        <v>24</v>
      </c>
      <c r="C1127" s="16">
        <v>46186</v>
      </c>
      <c r="D1127">
        <v>511.15999999999985</v>
      </c>
    </row>
    <row r="1128" spans="1:4" x14ac:dyDescent="0.3">
      <c r="A1128" t="s">
        <v>25</v>
      </c>
      <c r="C1128" s="16">
        <v>46186</v>
      </c>
      <c r="D1128">
        <v>84.35</v>
      </c>
    </row>
    <row r="1129" spans="1:4" x14ac:dyDescent="0.3">
      <c r="A1129" t="s">
        <v>26</v>
      </c>
      <c r="C1129" s="16">
        <v>46186</v>
      </c>
      <c r="D1129">
        <v>2237.77</v>
      </c>
    </row>
    <row r="1130" spans="1:4" x14ac:dyDescent="0.3">
      <c r="A1130" t="s">
        <v>27</v>
      </c>
      <c r="C1130" s="16">
        <v>46186</v>
      </c>
      <c r="D1130">
        <v>3349.94</v>
      </c>
    </row>
    <row r="1131" spans="1:4" x14ac:dyDescent="0.3">
      <c r="A1131" t="s">
        <v>28</v>
      </c>
      <c r="C1131" s="16">
        <v>46186</v>
      </c>
      <c r="D1131">
        <v>1968.99</v>
      </c>
    </row>
    <row r="1132" spans="1:4" x14ac:dyDescent="0.3">
      <c r="A1132" t="s">
        <v>29</v>
      </c>
      <c r="C1132" s="16">
        <v>46186</v>
      </c>
      <c r="D1132">
        <v>382.69000000000005</v>
      </c>
    </row>
    <row r="1133" spans="1:4" x14ac:dyDescent="0.3">
      <c r="A1133" t="s">
        <v>30</v>
      </c>
      <c r="C1133" s="16">
        <v>46186</v>
      </c>
      <c r="D1133">
        <v>1428.08</v>
      </c>
    </row>
    <row r="1134" spans="1:4" x14ac:dyDescent="0.3">
      <c r="A1134" t="s">
        <v>31</v>
      </c>
      <c r="C1134" s="16">
        <v>46186</v>
      </c>
      <c r="D1134">
        <v>27789.969999999961</v>
      </c>
    </row>
    <row r="1135" spans="1:4" x14ac:dyDescent="0.3">
      <c r="A1135" t="s">
        <v>32</v>
      </c>
      <c r="C1135" s="16">
        <v>46186</v>
      </c>
      <c r="D1135">
        <v>5321.4300000000021</v>
      </c>
    </row>
    <row r="1136" spans="1:4" x14ac:dyDescent="0.3">
      <c r="A1136" t="s">
        <v>33</v>
      </c>
      <c r="C1136" s="16">
        <v>46186</v>
      </c>
      <c r="D1136">
        <v>24484.85</v>
      </c>
    </row>
    <row r="1137" spans="1:4" x14ac:dyDescent="0.3">
      <c r="A1137" t="s">
        <v>34</v>
      </c>
      <c r="C1137" s="16">
        <v>46186</v>
      </c>
      <c r="D1137">
        <v>345</v>
      </c>
    </row>
    <row r="1138" spans="1:4" x14ac:dyDescent="0.3">
      <c r="A1138" t="s">
        <v>35</v>
      </c>
      <c r="C1138" s="16">
        <v>46186</v>
      </c>
      <c r="D1138">
        <v>54068.08</v>
      </c>
    </row>
    <row r="1139" spans="1:4" x14ac:dyDescent="0.3">
      <c r="A1139" t="s">
        <v>193</v>
      </c>
      <c r="C1139" s="16">
        <v>46186</v>
      </c>
      <c r="D1139">
        <v>0</v>
      </c>
    </row>
    <row r="1140" spans="1:4" x14ac:dyDescent="0.3">
      <c r="A1140" t="s">
        <v>194</v>
      </c>
      <c r="C1140" s="16">
        <v>46186</v>
      </c>
      <c r="D1140">
        <v>0</v>
      </c>
    </row>
    <row r="1141" spans="1:4" x14ac:dyDescent="0.3">
      <c r="A1141" t="s">
        <v>195</v>
      </c>
      <c r="C1141" s="16">
        <v>46186</v>
      </c>
      <c r="D1141">
        <v>0</v>
      </c>
    </row>
    <row r="1142" spans="1:4" x14ac:dyDescent="0.3">
      <c r="A1142" t="s">
        <v>196</v>
      </c>
      <c r="C1142" s="16">
        <v>46186</v>
      </c>
      <c r="D1142">
        <v>0</v>
      </c>
    </row>
    <row r="1143" spans="1:4" x14ac:dyDescent="0.3">
      <c r="A1143" t="s">
        <v>197</v>
      </c>
      <c r="C1143" s="16">
        <v>46186</v>
      </c>
      <c r="D1143">
        <v>0</v>
      </c>
    </row>
    <row r="1144" spans="1:4" x14ac:dyDescent="0.3">
      <c r="A1144" t="s">
        <v>214</v>
      </c>
      <c r="C1144" s="16">
        <v>46186</v>
      </c>
      <c r="D1144">
        <v>0</v>
      </c>
    </row>
    <row r="1145" spans="1:4" x14ac:dyDescent="0.3">
      <c r="A1145" t="s">
        <v>199</v>
      </c>
      <c r="C1145" s="16">
        <v>46186</v>
      </c>
      <c r="D1145">
        <v>0</v>
      </c>
    </row>
    <row r="1146" spans="1:4" x14ac:dyDescent="0.3">
      <c r="A1146" t="s">
        <v>17</v>
      </c>
      <c r="C1146" s="16">
        <v>46187</v>
      </c>
      <c r="D1146">
        <v>1837784.84</v>
      </c>
    </row>
    <row r="1147" spans="1:4" x14ac:dyDescent="0.3">
      <c r="A1147" t="s">
        <v>18</v>
      </c>
      <c r="C1147" s="16">
        <v>46187</v>
      </c>
      <c r="D1147">
        <v>69376.390000000174</v>
      </c>
    </row>
    <row r="1148" spans="1:4" x14ac:dyDescent="0.3">
      <c r="A1148" t="s">
        <v>19</v>
      </c>
      <c r="C1148" s="16">
        <v>46187</v>
      </c>
      <c r="D1148">
        <v>1669.89</v>
      </c>
    </row>
    <row r="1149" spans="1:4" x14ac:dyDescent="0.3">
      <c r="A1149" t="s">
        <v>20</v>
      </c>
      <c r="C1149" s="16">
        <v>46187</v>
      </c>
      <c r="D1149">
        <v>564626.20999999985</v>
      </c>
    </row>
    <row r="1150" spans="1:4" x14ac:dyDescent="0.3">
      <c r="A1150" t="s">
        <v>21</v>
      </c>
      <c r="C1150" s="16">
        <v>46187</v>
      </c>
      <c r="D1150">
        <v>3763348.8299999996</v>
      </c>
    </row>
    <row r="1151" spans="1:4" x14ac:dyDescent="0.3">
      <c r="A1151" t="s">
        <v>22</v>
      </c>
      <c r="C1151" s="16">
        <v>46187</v>
      </c>
      <c r="D1151">
        <v>116496.38</v>
      </c>
    </row>
    <row r="1152" spans="1:4" x14ac:dyDescent="0.3">
      <c r="A1152" t="s">
        <v>23</v>
      </c>
      <c r="C1152" s="16">
        <v>46187</v>
      </c>
      <c r="D1152">
        <v>20375.989999999998</v>
      </c>
    </row>
    <row r="1153" spans="1:4" x14ac:dyDescent="0.3">
      <c r="A1153" t="s">
        <v>24</v>
      </c>
      <c r="C1153" s="16">
        <v>46187</v>
      </c>
      <c r="D1153">
        <v>511.15999999999985</v>
      </c>
    </row>
    <row r="1154" spans="1:4" x14ac:dyDescent="0.3">
      <c r="A1154" t="s">
        <v>25</v>
      </c>
      <c r="C1154" s="16">
        <v>46187</v>
      </c>
      <c r="D1154">
        <v>84.35</v>
      </c>
    </row>
    <row r="1155" spans="1:4" x14ac:dyDescent="0.3">
      <c r="A1155" t="s">
        <v>26</v>
      </c>
      <c r="C1155" s="16">
        <v>46187</v>
      </c>
      <c r="D1155">
        <v>2237.77</v>
      </c>
    </row>
    <row r="1156" spans="1:4" x14ac:dyDescent="0.3">
      <c r="A1156" t="s">
        <v>27</v>
      </c>
      <c r="C1156" s="16">
        <v>46187</v>
      </c>
      <c r="D1156">
        <v>3349.94</v>
      </c>
    </row>
    <row r="1157" spans="1:4" x14ac:dyDescent="0.3">
      <c r="A1157" t="s">
        <v>28</v>
      </c>
      <c r="C1157" s="16">
        <v>46187</v>
      </c>
      <c r="D1157">
        <v>1968.99</v>
      </c>
    </row>
    <row r="1158" spans="1:4" x14ac:dyDescent="0.3">
      <c r="A1158" t="s">
        <v>29</v>
      </c>
      <c r="C1158" s="16">
        <v>46187</v>
      </c>
      <c r="D1158">
        <v>382.69000000000005</v>
      </c>
    </row>
    <row r="1159" spans="1:4" x14ac:dyDescent="0.3">
      <c r="A1159" t="s">
        <v>30</v>
      </c>
      <c r="C1159" s="16">
        <v>46187</v>
      </c>
      <c r="D1159">
        <v>1428.08</v>
      </c>
    </row>
    <row r="1160" spans="1:4" x14ac:dyDescent="0.3">
      <c r="A1160" t="s">
        <v>31</v>
      </c>
      <c r="C1160" s="16">
        <v>46187</v>
      </c>
      <c r="D1160">
        <v>27789.969999999961</v>
      </c>
    </row>
    <row r="1161" spans="1:4" x14ac:dyDescent="0.3">
      <c r="A1161" t="s">
        <v>32</v>
      </c>
      <c r="C1161" s="16">
        <v>46187</v>
      </c>
      <c r="D1161">
        <v>5321.4300000000021</v>
      </c>
    </row>
    <row r="1162" spans="1:4" x14ac:dyDescent="0.3">
      <c r="A1162" t="s">
        <v>33</v>
      </c>
      <c r="C1162" s="16">
        <v>46187</v>
      </c>
      <c r="D1162">
        <v>24484.85</v>
      </c>
    </row>
    <row r="1163" spans="1:4" x14ac:dyDescent="0.3">
      <c r="A1163" t="s">
        <v>34</v>
      </c>
      <c r="C1163" s="16">
        <v>46187</v>
      </c>
      <c r="D1163">
        <v>345</v>
      </c>
    </row>
    <row r="1164" spans="1:4" x14ac:dyDescent="0.3">
      <c r="A1164" t="s">
        <v>35</v>
      </c>
      <c r="C1164" s="16">
        <v>46187</v>
      </c>
      <c r="D1164">
        <v>54068.08</v>
      </c>
    </row>
    <row r="1165" spans="1:4" x14ac:dyDescent="0.3">
      <c r="A1165" t="s">
        <v>193</v>
      </c>
      <c r="C1165" s="16">
        <v>46187</v>
      </c>
      <c r="D1165">
        <v>0</v>
      </c>
    </row>
    <row r="1166" spans="1:4" x14ac:dyDescent="0.3">
      <c r="A1166" t="s">
        <v>194</v>
      </c>
      <c r="C1166" s="16">
        <v>46187</v>
      </c>
      <c r="D1166">
        <v>0</v>
      </c>
    </row>
    <row r="1167" spans="1:4" x14ac:dyDescent="0.3">
      <c r="A1167" t="s">
        <v>195</v>
      </c>
      <c r="C1167" s="16">
        <v>46187</v>
      </c>
      <c r="D1167">
        <v>0</v>
      </c>
    </row>
    <row r="1168" spans="1:4" x14ac:dyDescent="0.3">
      <c r="A1168" t="s">
        <v>196</v>
      </c>
      <c r="C1168" s="16">
        <v>46187</v>
      </c>
      <c r="D1168">
        <v>0</v>
      </c>
    </row>
    <row r="1169" spans="1:4" x14ac:dyDescent="0.3">
      <c r="A1169" t="s">
        <v>197</v>
      </c>
      <c r="C1169" s="16">
        <v>46187</v>
      </c>
      <c r="D1169">
        <v>0</v>
      </c>
    </row>
    <row r="1170" spans="1:4" x14ac:dyDescent="0.3">
      <c r="A1170" t="s">
        <v>214</v>
      </c>
      <c r="C1170" s="16">
        <v>46187</v>
      </c>
      <c r="D1170">
        <v>0</v>
      </c>
    </row>
    <row r="1171" spans="1:4" x14ac:dyDescent="0.3">
      <c r="A1171" t="s">
        <v>199</v>
      </c>
      <c r="C1171" s="16">
        <v>46187</v>
      </c>
      <c r="D1171">
        <v>0</v>
      </c>
    </row>
    <row r="1172" spans="1:4" x14ac:dyDescent="0.3">
      <c r="A1172" t="s">
        <v>17</v>
      </c>
      <c r="C1172" s="16">
        <v>46188</v>
      </c>
      <c r="D1172">
        <v>985975.94000000029</v>
      </c>
    </row>
    <row r="1173" spans="1:4" x14ac:dyDescent="0.3">
      <c r="A1173" t="s">
        <v>18</v>
      </c>
      <c r="C1173" s="16">
        <v>46188</v>
      </c>
      <c r="D1173">
        <v>69376.390000000174</v>
      </c>
    </row>
    <row r="1174" spans="1:4" x14ac:dyDescent="0.3">
      <c r="A1174" t="s">
        <v>19</v>
      </c>
      <c r="C1174" s="16">
        <v>46188</v>
      </c>
      <c r="D1174">
        <v>1669.89</v>
      </c>
    </row>
    <row r="1175" spans="1:4" x14ac:dyDescent="0.3">
      <c r="A1175" t="s">
        <v>20</v>
      </c>
      <c r="C1175" s="16">
        <v>46188</v>
      </c>
      <c r="D1175">
        <v>503904.80999999982</v>
      </c>
    </row>
    <row r="1176" spans="1:4" x14ac:dyDescent="0.3">
      <c r="A1176" t="s">
        <v>21</v>
      </c>
      <c r="C1176" s="16">
        <v>46188</v>
      </c>
      <c r="D1176">
        <v>3331737.2399999998</v>
      </c>
    </row>
    <row r="1177" spans="1:4" x14ac:dyDescent="0.3">
      <c r="A1177" t="s">
        <v>22</v>
      </c>
      <c r="C1177" s="16">
        <v>46188</v>
      </c>
      <c r="D1177">
        <v>116496.38</v>
      </c>
    </row>
    <row r="1178" spans="1:4" x14ac:dyDescent="0.3">
      <c r="A1178" t="s">
        <v>23</v>
      </c>
      <c r="C1178" s="16">
        <v>46188</v>
      </c>
      <c r="D1178">
        <v>20375.989999999998</v>
      </c>
    </row>
    <row r="1179" spans="1:4" x14ac:dyDescent="0.3">
      <c r="A1179" t="s">
        <v>24</v>
      </c>
      <c r="C1179" s="16">
        <v>46188</v>
      </c>
      <c r="D1179">
        <v>511.15999999999985</v>
      </c>
    </row>
    <row r="1180" spans="1:4" x14ac:dyDescent="0.3">
      <c r="A1180" t="s">
        <v>25</v>
      </c>
      <c r="C1180" s="16">
        <v>46188</v>
      </c>
      <c r="D1180">
        <v>84.35</v>
      </c>
    </row>
    <row r="1181" spans="1:4" x14ac:dyDescent="0.3">
      <c r="A1181" t="s">
        <v>26</v>
      </c>
      <c r="C1181" s="16">
        <v>46188</v>
      </c>
      <c r="D1181">
        <v>2237.77</v>
      </c>
    </row>
    <row r="1182" spans="1:4" x14ac:dyDescent="0.3">
      <c r="A1182" t="s">
        <v>27</v>
      </c>
      <c r="C1182" s="16">
        <v>46188</v>
      </c>
      <c r="D1182">
        <v>3349.94</v>
      </c>
    </row>
    <row r="1183" spans="1:4" x14ac:dyDescent="0.3">
      <c r="A1183" t="s">
        <v>28</v>
      </c>
      <c r="C1183" s="16">
        <v>46188</v>
      </c>
      <c r="D1183">
        <v>1968.99</v>
      </c>
    </row>
    <row r="1184" spans="1:4" x14ac:dyDescent="0.3">
      <c r="A1184" t="s">
        <v>29</v>
      </c>
      <c r="C1184" s="16">
        <v>46188</v>
      </c>
      <c r="D1184">
        <v>382.69000000000005</v>
      </c>
    </row>
    <row r="1185" spans="1:4" x14ac:dyDescent="0.3">
      <c r="A1185" t="s">
        <v>30</v>
      </c>
      <c r="C1185" s="16">
        <v>46188</v>
      </c>
      <c r="D1185">
        <v>1428.08</v>
      </c>
    </row>
    <row r="1186" spans="1:4" x14ac:dyDescent="0.3">
      <c r="A1186" t="s">
        <v>31</v>
      </c>
      <c r="C1186" s="16">
        <v>46188</v>
      </c>
      <c r="D1186">
        <v>29789.969999999961</v>
      </c>
    </row>
    <row r="1187" spans="1:4" x14ac:dyDescent="0.3">
      <c r="A1187" t="s">
        <v>32</v>
      </c>
      <c r="C1187" s="16">
        <v>46188</v>
      </c>
      <c r="D1187">
        <v>5321.4300000000021</v>
      </c>
    </row>
    <row r="1188" spans="1:4" x14ac:dyDescent="0.3">
      <c r="A1188" t="s">
        <v>33</v>
      </c>
      <c r="C1188" s="16">
        <v>46188</v>
      </c>
      <c r="D1188">
        <v>20484.849999999999</v>
      </c>
    </row>
    <row r="1189" spans="1:4" x14ac:dyDescent="0.3">
      <c r="A1189" t="s">
        <v>34</v>
      </c>
      <c r="C1189" s="16">
        <v>46188</v>
      </c>
      <c r="D1189">
        <v>345</v>
      </c>
    </row>
    <row r="1190" spans="1:4" x14ac:dyDescent="0.3">
      <c r="A1190" t="s">
        <v>35</v>
      </c>
      <c r="C1190" s="16">
        <v>46188</v>
      </c>
      <c r="D1190">
        <v>54018.080000000002</v>
      </c>
    </row>
    <row r="1191" spans="1:4" x14ac:dyDescent="0.3">
      <c r="A1191" t="s">
        <v>193</v>
      </c>
      <c r="C1191" s="16">
        <v>46188</v>
      </c>
      <c r="D1191">
        <v>0</v>
      </c>
    </row>
    <row r="1192" spans="1:4" x14ac:dyDescent="0.3">
      <c r="A1192" t="s">
        <v>194</v>
      </c>
      <c r="C1192" s="16">
        <v>46188</v>
      </c>
      <c r="D1192">
        <v>0</v>
      </c>
    </row>
    <row r="1193" spans="1:4" x14ac:dyDescent="0.3">
      <c r="A1193" t="s">
        <v>195</v>
      </c>
      <c r="C1193" s="16">
        <v>46188</v>
      </c>
      <c r="D1193">
        <v>0</v>
      </c>
    </row>
    <row r="1194" spans="1:4" x14ac:dyDescent="0.3">
      <c r="A1194" t="s">
        <v>196</v>
      </c>
      <c r="C1194" s="16">
        <v>46188</v>
      </c>
      <c r="D1194">
        <v>0</v>
      </c>
    </row>
    <row r="1195" spans="1:4" x14ac:dyDescent="0.3">
      <c r="A1195" t="s">
        <v>197</v>
      </c>
      <c r="C1195" s="16">
        <v>46188</v>
      </c>
      <c r="D1195">
        <v>0</v>
      </c>
    </row>
    <row r="1196" spans="1:4" x14ac:dyDescent="0.3">
      <c r="A1196" t="s">
        <v>214</v>
      </c>
      <c r="C1196" s="16">
        <v>46188</v>
      </c>
      <c r="D1196">
        <v>0</v>
      </c>
    </row>
    <row r="1197" spans="1:4" x14ac:dyDescent="0.3">
      <c r="A1197" t="s">
        <v>199</v>
      </c>
      <c r="C1197" s="16">
        <v>46188</v>
      </c>
      <c r="D1197">
        <v>0</v>
      </c>
    </row>
    <row r="1198" spans="1:4" x14ac:dyDescent="0.3">
      <c r="A1198" t="s">
        <v>17</v>
      </c>
      <c r="C1198" s="16">
        <v>46189</v>
      </c>
      <c r="D1198">
        <v>1086358.7500000002</v>
      </c>
    </row>
    <row r="1199" spans="1:4" x14ac:dyDescent="0.3">
      <c r="A1199" t="s">
        <v>18</v>
      </c>
      <c r="C1199" s="16">
        <v>46189</v>
      </c>
      <c r="D1199">
        <v>69376.390000000174</v>
      </c>
    </row>
    <row r="1200" spans="1:4" x14ac:dyDescent="0.3">
      <c r="A1200" t="s">
        <v>19</v>
      </c>
      <c r="C1200" s="16">
        <v>46189</v>
      </c>
      <c r="D1200">
        <v>1669.89</v>
      </c>
    </row>
    <row r="1201" spans="1:4" x14ac:dyDescent="0.3">
      <c r="A1201" t="s">
        <v>20</v>
      </c>
      <c r="C1201" s="16">
        <v>46189</v>
      </c>
      <c r="D1201">
        <v>503904.80999999982</v>
      </c>
    </row>
    <row r="1202" spans="1:4" x14ac:dyDescent="0.3">
      <c r="A1202" t="s">
        <v>21</v>
      </c>
      <c r="C1202" s="16">
        <v>46189</v>
      </c>
      <c r="D1202">
        <v>3329246.88</v>
      </c>
    </row>
    <row r="1203" spans="1:4" x14ac:dyDescent="0.3">
      <c r="A1203" t="s">
        <v>22</v>
      </c>
      <c r="C1203" s="16">
        <v>46189</v>
      </c>
      <c r="D1203">
        <v>116496.38</v>
      </c>
    </row>
    <row r="1204" spans="1:4" x14ac:dyDescent="0.3">
      <c r="A1204" t="s">
        <v>23</v>
      </c>
      <c r="C1204" s="16">
        <v>46189</v>
      </c>
      <c r="D1204">
        <v>20375.989999999998</v>
      </c>
    </row>
    <row r="1205" spans="1:4" x14ac:dyDescent="0.3">
      <c r="A1205" t="s">
        <v>24</v>
      </c>
      <c r="C1205" s="16">
        <v>46189</v>
      </c>
      <c r="D1205">
        <v>511.15999999999985</v>
      </c>
    </row>
    <row r="1206" spans="1:4" x14ac:dyDescent="0.3">
      <c r="A1206" t="s">
        <v>25</v>
      </c>
      <c r="C1206" s="16">
        <v>46189</v>
      </c>
      <c r="D1206">
        <v>84.35</v>
      </c>
    </row>
    <row r="1207" spans="1:4" x14ac:dyDescent="0.3">
      <c r="A1207" t="s">
        <v>26</v>
      </c>
      <c r="C1207" s="16">
        <v>46189</v>
      </c>
      <c r="D1207">
        <v>2237.77</v>
      </c>
    </row>
    <row r="1208" spans="1:4" x14ac:dyDescent="0.3">
      <c r="A1208" t="s">
        <v>27</v>
      </c>
      <c r="C1208" s="16">
        <v>46189</v>
      </c>
      <c r="D1208">
        <v>3349.94</v>
      </c>
    </row>
    <row r="1209" spans="1:4" x14ac:dyDescent="0.3">
      <c r="A1209" t="s">
        <v>28</v>
      </c>
      <c r="C1209" s="16">
        <v>46189</v>
      </c>
      <c r="D1209">
        <v>1968.99</v>
      </c>
    </row>
    <row r="1210" spans="1:4" x14ac:dyDescent="0.3">
      <c r="A1210" t="s">
        <v>29</v>
      </c>
      <c r="C1210" s="16">
        <v>46189</v>
      </c>
      <c r="D1210">
        <v>382.69000000000005</v>
      </c>
    </row>
    <row r="1211" spans="1:4" x14ac:dyDescent="0.3">
      <c r="A1211" t="s">
        <v>30</v>
      </c>
      <c r="C1211" s="16">
        <v>46189</v>
      </c>
      <c r="D1211">
        <v>1428.08</v>
      </c>
    </row>
    <row r="1212" spans="1:4" x14ac:dyDescent="0.3">
      <c r="A1212" t="s">
        <v>31</v>
      </c>
      <c r="C1212" s="16">
        <v>46189</v>
      </c>
      <c r="D1212">
        <v>29789.969999999961</v>
      </c>
    </row>
    <row r="1213" spans="1:4" x14ac:dyDescent="0.3">
      <c r="A1213" t="s">
        <v>32</v>
      </c>
      <c r="C1213" s="16">
        <v>46189</v>
      </c>
      <c r="D1213">
        <v>20321.43</v>
      </c>
    </row>
    <row r="1214" spans="1:4" x14ac:dyDescent="0.3">
      <c r="A1214" t="s">
        <v>33</v>
      </c>
      <c r="C1214" s="16">
        <v>46189</v>
      </c>
      <c r="D1214">
        <v>19811.349999999999</v>
      </c>
    </row>
    <row r="1215" spans="1:4" x14ac:dyDescent="0.3">
      <c r="A1215" t="s">
        <v>34</v>
      </c>
      <c r="C1215" s="16">
        <v>46189</v>
      </c>
      <c r="D1215">
        <v>345</v>
      </c>
    </row>
    <row r="1216" spans="1:4" x14ac:dyDescent="0.3">
      <c r="A1216" t="s">
        <v>35</v>
      </c>
      <c r="C1216" s="16">
        <v>46189</v>
      </c>
      <c r="D1216">
        <v>51334.36</v>
      </c>
    </row>
    <row r="1217" spans="1:4" x14ac:dyDescent="0.3">
      <c r="A1217" t="s">
        <v>193</v>
      </c>
      <c r="C1217" s="16">
        <v>46189</v>
      </c>
      <c r="D1217">
        <v>0</v>
      </c>
    </row>
    <row r="1218" spans="1:4" x14ac:dyDescent="0.3">
      <c r="A1218" t="s">
        <v>194</v>
      </c>
      <c r="C1218" s="16">
        <v>46189</v>
      </c>
      <c r="D1218">
        <v>0</v>
      </c>
    </row>
    <row r="1219" spans="1:4" x14ac:dyDescent="0.3">
      <c r="A1219" t="s">
        <v>195</v>
      </c>
      <c r="C1219" s="16">
        <v>46189</v>
      </c>
      <c r="D1219">
        <v>0</v>
      </c>
    </row>
    <row r="1220" spans="1:4" x14ac:dyDescent="0.3">
      <c r="A1220" t="s">
        <v>196</v>
      </c>
      <c r="C1220" s="16">
        <v>46189</v>
      </c>
      <c r="D1220">
        <v>0</v>
      </c>
    </row>
    <row r="1221" spans="1:4" x14ac:dyDescent="0.3">
      <c r="A1221" t="s">
        <v>197</v>
      </c>
      <c r="C1221" s="16">
        <v>46189</v>
      </c>
      <c r="D1221">
        <v>0</v>
      </c>
    </row>
    <row r="1222" spans="1:4" x14ac:dyDescent="0.3">
      <c r="A1222" t="s">
        <v>214</v>
      </c>
      <c r="C1222" s="16">
        <v>46189</v>
      </c>
      <c r="D1222">
        <v>0</v>
      </c>
    </row>
    <row r="1223" spans="1:4" x14ac:dyDescent="0.3">
      <c r="A1223" t="s">
        <v>199</v>
      </c>
      <c r="C1223" s="16">
        <v>46189</v>
      </c>
      <c r="D1223">
        <v>0</v>
      </c>
    </row>
    <row r="1224" spans="1:4" x14ac:dyDescent="0.3">
      <c r="A1224" t="s">
        <v>17</v>
      </c>
      <c r="C1224" s="16">
        <v>46190</v>
      </c>
      <c r="D1224">
        <v>1098358.7500000002</v>
      </c>
    </row>
    <row r="1225" spans="1:4" x14ac:dyDescent="0.3">
      <c r="A1225" t="s">
        <v>18</v>
      </c>
      <c r="C1225" s="16">
        <v>46190</v>
      </c>
      <c r="D1225">
        <v>69376.390000000174</v>
      </c>
    </row>
    <row r="1226" spans="1:4" x14ac:dyDescent="0.3">
      <c r="A1226" t="s">
        <v>19</v>
      </c>
      <c r="C1226" s="16">
        <v>46190</v>
      </c>
      <c r="D1226">
        <v>1669.89</v>
      </c>
    </row>
    <row r="1227" spans="1:4" x14ac:dyDescent="0.3">
      <c r="A1227" t="s">
        <v>20</v>
      </c>
      <c r="C1227" s="16">
        <v>46190</v>
      </c>
      <c r="D1227">
        <v>503904.80999999982</v>
      </c>
    </row>
    <row r="1228" spans="1:4" x14ac:dyDescent="0.3">
      <c r="A1228" t="s">
        <v>21</v>
      </c>
      <c r="C1228" s="16">
        <v>46190</v>
      </c>
      <c r="D1228">
        <v>3326863.3899999997</v>
      </c>
    </row>
    <row r="1229" spans="1:4" x14ac:dyDescent="0.3">
      <c r="A1229" t="s">
        <v>22</v>
      </c>
      <c r="C1229" s="16">
        <v>46190</v>
      </c>
      <c r="D1229">
        <v>116496.38</v>
      </c>
    </row>
    <row r="1230" spans="1:4" x14ac:dyDescent="0.3">
      <c r="A1230" t="s">
        <v>23</v>
      </c>
      <c r="C1230" s="16">
        <v>46190</v>
      </c>
      <c r="D1230">
        <v>20375.989999999998</v>
      </c>
    </row>
    <row r="1231" spans="1:4" x14ac:dyDescent="0.3">
      <c r="A1231" t="s">
        <v>24</v>
      </c>
      <c r="C1231" s="16">
        <v>46190</v>
      </c>
      <c r="D1231">
        <v>511.15999999999985</v>
      </c>
    </row>
    <row r="1232" spans="1:4" x14ac:dyDescent="0.3">
      <c r="A1232" t="s">
        <v>25</v>
      </c>
      <c r="C1232" s="16">
        <v>46190</v>
      </c>
      <c r="D1232">
        <v>84.35</v>
      </c>
    </row>
    <row r="1233" spans="1:4" x14ac:dyDescent="0.3">
      <c r="A1233" t="s">
        <v>26</v>
      </c>
      <c r="C1233" s="16">
        <v>46190</v>
      </c>
      <c r="D1233">
        <v>2237.77</v>
      </c>
    </row>
    <row r="1234" spans="1:4" x14ac:dyDescent="0.3">
      <c r="A1234" t="s">
        <v>27</v>
      </c>
      <c r="C1234" s="16">
        <v>46190</v>
      </c>
      <c r="D1234">
        <v>3349.94</v>
      </c>
    </row>
    <row r="1235" spans="1:4" x14ac:dyDescent="0.3">
      <c r="A1235" t="s">
        <v>28</v>
      </c>
      <c r="C1235" s="16">
        <v>46190</v>
      </c>
      <c r="D1235">
        <v>1968.99</v>
      </c>
    </row>
    <row r="1236" spans="1:4" x14ac:dyDescent="0.3">
      <c r="A1236" t="s">
        <v>29</v>
      </c>
      <c r="C1236" s="16">
        <v>46190</v>
      </c>
      <c r="D1236">
        <v>382.69000000000005</v>
      </c>
    </row>
    <row r="1237" spans="1:4" x14ac:dyDescent="0.3">
      <c r="A1237" t="s">
        <v>30</v>
      </c>
      <c r="C1237" s="16">
        <v>46190</v>
      </c>
      <c r="D1237">
        <v>1428.08</v>
      </c>
    </row>
    <row r="1238" spans="1:4" x14ac:dyDescent="0.3">
      <c r="A1238" t="s">
        <v>31</v>
      </c>
      <c r="C1238" s="16">
        <v>46190</v>
      </c>
      <c r="D1238">
        <v>29789.969999999961</v>
      </c>
    </row>
    <row r="1239" spans="1:4" x14ac:dyDescent="0.3">
      <c r="A1239" t="s">
        <v>32</v>
      </c>
      <c r="C1239" s="16">
        <v>46190</v>
      </c>
      <c r="D1239">
        <v>20321.43</v>
      </c>
    </row>
    <row r="1240" spans="1:4" x14ac:dyDescent="0.3">
      <c r="A1240" t="s">
        <v>33</v>
      </c>
      <c r="C1240" s="16">
        <v>46190</v>
      </c>
      <c r="D1240">
        <v>16681.349999999999</v>
      </c>
    </row>
    <row r="1241" spans="1:4" x14ac:dyDescent="0.3">
      <c r="A1241" t="s">
        <v>34</v>
      </c>
      <c r="C1241" s="16">
        <v>46190</v>
      </c>
      <c r="D1241">
        <v>345</v>
      </c>
    </row>
    <row r="1242" spans="1:4" x14ac:dyDescent="0.3">
      <c r="A1242" t="s">
        <v>35</v>
      </c>
      <c r="C1242" s="16">
        <v>46190</v>
      </c>
      <c r="D1242">
        <v>50334.36</v>
      </c>
    </row>
    <row r="1243" spans="1:4" x14ac:dyDescent="0.3">
      <c r="A1243" t="s">
        <v>193</v>
      </c>
      <c r="C1243" s="16">
        <v>46190</v>
      </c>
      <c r="D1243">
        <v>0</v>
      </c>
    </row>
    <row r="1244" spans="1:4" x14ac:dyDescent="0.3">
      <c r="A1244" t="s">
        <v>194</v>
      </c>
      <c r="C1244" s="16">
        <v>46190</v>
      </c>
      <c r="D1244">
        <v>0</v>
      </c>
    </row>
    <row r="1245" spans="1:4" x14ac:dyDescent="0.3">
      <c r="A1245" t="s">
        <v>195</v>
      </c>
      <c r="C1245" s="16">
        <v>46190</v>
      </c>
      <c r="D1245">
        <v>0</v>
      </c>
    </row>
    <row r="1246" spans="1:4" x14ac:dyDescent="0.3">
      <c r="A1246" t="s">
        <v>196</v>
      </c>
      <c r="C1246" s="16">
        <v>46190</v>
      </c>
      <c r="D1246">
        <v>0</v>
      </c>
    </row>
    <row r="1247" spans="1:4" x14ac:dyDescent="0.3">
      <c r="A1247" t="s">
        <v>197</v>
      </c>
      <c r="C1247" s="16">
        <v>46190</v>
      </c>
      <c r="D1247">
        <v>0</v>
      </c>
    </row>
    <row r="1248" spans="1:4" x14ac:dyDescent="0.3">
      <c r="A1248" t="s">
        <v>214</v>
      </c>
      <c r="C1248" s="16">
        <v>46190</v>
      </c>
      <c r="D1248">
        <v>0</v>
      </c>
    </row>
    <row r="1249" spans="1:4" x14ac:dyDescent="0.3">
      <c r="A1249" t="s">
        <v>199</v>
      </c>
      <c r="C1249" s="16">
        <v>46190</v>
      </c>
      <c r="D1249">
        <v>0</v>
      </c>
    </row>
    <row r="1250" spans="1:4" x14ac:dyDescent="0.3">
      <c r="A1250" t="s">
        <v>17</v>
      </c>
      <c r="C1250" s="16">
        <v>46191</v>
      </c>
      <c r="D1250">
        <v>1098358.7500000002</v>
      </c>
    </row>
    <row r="1251" spans="1:4" x14ac:dyDescent="0.3">
      <c r="A1251" t="s">
        <v>18</v>
      </c>
      <c r="C1251" s="16">
        <v>46191</v>
      </c>
      <c r="D1251">
        <v>69376.390000000174</v>
      </c>
    </row>
    <row r="1252" spans="1:4" x14ac:dyDescent="0.3">
      <c r="A1252" t="s">
        <v>19</v>
      </c>
      <c r="C1252" s="16">
        <v>46191</v>
      </c>
      <c r="D1252">
        <v>1669.89</v>
      </c>
    </row>
    <row r="1253" spans="1:4" x14ac:dyDescent="0.3">
      <c r="A1253" t="s">
        <v>20</v>
      </c>
      <c r="C1253" s="16">
        <v>46191</v>
      </c>
      <c r="D1253">
        <v>503904.80999999982</v>
      </c>
    </row>
    <row r="1254" spans="1:4" x14ac:dyDescent="0.3">
      <c r="A1254" t="s">
        <v>21</v>
      </c>
      <c r="C1254" s="16">
        <v>46191</v>
      </c>
      <c r="D1254">
        <v>3326696.7299999995</v>
      </c>
    </row>
    <row r="1255" spans="1:4" x14ac:dyDescent="0.3">
      <c r="A1255" t="s">
        <v>22</v>
      </c>
      <c r="C1255" s="16">
        <v>46191</v>
      </c>
      <c r="D1255">
        <v>116496.38</v>
      </c>
    </row>
    <row r="1256" spans="1:4" x14ac:dyDescent="0.3">
      <c r="A1256" t="s">
        <v>23</v>
      </c>
      <c r="C1256" s="16">
        <v>46191</v>
      </c>
      <c r="D1256">
        <v>20375.989999999998</v>
      </c>
    </row>
    <row r="1257" spans="1:4" x14ac:dyDescent="0.3">
      <c r="A1257" t="s">
        <v>24</v>
      </c>
      <c r="C1257" s="16">
        <v>46191</v>
      </c>
      <c r="D1257">
        <v>511.15999999999985</v>
      </c>
    </row>
    <row r="1258" spans="1:4" x14ac:dyDescent="0.3">
      <c r="A1258" t="s">
        <v>25</v>
      </c>
      <c r="C1258" s="16">
        <v>46191</v>
      </c>
      <c r="D1258">
        <v>84.35</v>
      </c>
    </row>
    <row r="1259" spans="1:4" x14ac:dyDescent="0.3">
      <c r="A1259" t="s">
        <v>26</v>
      </c>
      <c r="C1259" s="16">
        <v>46191</v>
      </c>
      <c r="D1259">
        <v>2237.77</v>
      </c>
    </row>
    <row r="1260" spans="1:4" x14ac:dyDescent="0.3">
      <c r="A1260" t="s">
        <v>27</v>
      </c>
      <c r="C1260" s="16">
        <v>46191</v>
      </c>
      <c r="D1260">
        <v>3349.94</v>
      </c>
    </row>
    <row r="1261" spans="1:4" x14ac:dyDescent="0.3">
      <c r="A1261" t="s">
        <v>28</v>
      </c>
      <c r="C1261" s="16">
        <v>46191</v>
      </c>
      <c r="D1261">
        <v>1968.99</v>
      </c>
    </row>
    <row r="1262" spans="1:4" x14ac:dyDescent="0.3">
      <c r="A1262" t="s">
        <v>29</v>
      </c>
      <c r="C1262" s="16">
        <v>46191</v>
      </c>
      <c r="D1262">
        <v>382.69000000000005</v>
      </c>
    </row>
    <row r="1263" spans="1:4" x14ac:dyDescent="0.3">
      <c r="A1263" t="s">
        <v>30</v>
      </c>
      <c r="C1263" s="16">
        <v>46191</v>
      </c>
      <c r="D1263">
        <v>1428.08</v>
      </c>
    </row>
    <row r="1264" spans="1:4" x14ac:dyDescent="0.3">
      <c r="A1264" t="s">
        <v>31</v>
      </c>
      <c r="C1264" s="16">
        <v>46191</v>
      </c>
      <c r="D1264">
        <v>29789.969999999961</v>
      </c>
    </row>
    <row r="1265" spans="1:4" x14ac:dyDescent="0.3">
      <c r="A1265" t="s">
        <v>32</v>
      </c>
      <c r="C1265" s="16">
        <v>46191</v>
      </c>
      <c r="D1265">
        <v>20321.43</v>
      </c>
    </row>
    <row r="1266" spans="1:4" x14ac:dyDescent="0.3">
      <c r="A1266" t="s">
        <v>33</v>
      </c>
      <c r="C1266" s="16">
        <v>46191</v>
      </c>
      <c r="D1266">
        <v>16681.349999999999</v>
      </c>
    </row>
    <row r="1267" spans="1:4" x14ac:dyDescent="0.3">
      <c r="A1267" t="s">
        <v>34</v>
      </c>
      <c r="C1267" s="16">
        <v>46191</v>
      </c>
      <c r="D1267">
        <v>345</v>
      </c>
    </row>
    <row r="1268" spans="1:4" x14ac:dyDescent="0.3">
      <c r="A1268" t="s">
        <v>35</v>
      </c>
      <c r="C1268" s="16">
        <v>46191</v>
      </c>
      <c r="D1268">
        <v>50334.36</v>
      </c>
    </row>
    <row r="1269" spans="1:4" x14ac:dyDescent="0.3">
      <c r="A1269" t="s">
        <v>193</v>
      </c>
      <c r="C1269" s="16">
        <v>46191</v>
      </c>
      <c r="D1269">
        <v>0</v>
      </c>
    </row>
    <row r="1270" spans="1:4" x14ac:dyDescent="0.3">
      <c r="A1270" t="s">
        <v>194</v>
      </c>
      <c r="C1270" s="16">
        <v>46191</v>
      </c>
      <c r="D1270">
        <v>0</v>
      </c>
    </row>
    <row r="1271" spans="1:4" x14ac:dyDescent="0.3">
      <c r="A1271" t="s">
        <v>195</v>
      </c>
      <c r="C1271" s="16">
        <v>46191</v>
      </c>
      <c r="D1271">
        <v>0</v>
      </c>
    </row>
    <row r="1272" spans="1:4" x14ac:dyDescent="0.3">
      <c r="A1272" t="s">
        <v>196</v>
      </c>
      <c r="C1272" s="16">
        <v>46191</v>
      </c>
      <c r="D1272">
        <v>0</v>
      </c>
    </row>
    <row r="1273" spans="1:4" x14ac:dyDescent="0.3">
      <c r="A1273" t="s">
        <v>197</v>
      </c>
      <c r="C1273" s="16">
        <v>46191</v>
      </c>
      <c r="D1273">
        <v>0</v>
      </c>
    </row>
    <row r="1274" spans="1:4" x14ac:dyDescent="0.3">
      <c r="A1274" t="s">
        <v>214</v>
      </c>
      <c r="C1274" s="16">
        <v>46191</v>
      </c>
      <c r="D1274">
        <v>0</v>
      </c>
    </row>
    <row r="1275" spans="1:4" x14ac:dyDescent="0.3">
      <c r="A1275" t="s">
        <v>199</v>
      </c>
      <c r="C1275" s="16">
        <v>46191</v>
      </c>
      <c r="D1275">
        <v>0</v>
      </c>
    </row>
    <row r="1276" spans="1:4" x14ac:dyDescent="0.3">
      <c r="A1276" t="s">
        <v>17</v>
      </c>
      <c r="C1276" s="16">
        <v>46192</v>
      </c>
      <c r="D1276">
        <v>1098358.7500000002</v>
      </c>
    </row>
    <row r="1277" spans="1:4" x14ac:dyDescent="0.3">
      <c r="A1277" t="s">
        <v>18</v>
      </c>
      <c r="C1277" s="16">
        <v>46192</v>
      </c>
      <c r="D1277">
        <v>69376.390000000174</v>
      </c>
    </row>
    <row r="1278" spans="1:4" x14ac:dyDescent="0.3">
      <c r="A1278" t="s">
        <v>19</v>
      </c>
      <c r="C1278" s="16">
        <v>46192</v>
      </c>
      <c r="D1278">
        <v>1669.89</v>
      </c>
    </row>
    <row r="1279" spans="1:4" x14ac:dyDescent="0.3">
      <c r="A1279" t="s">
        <v>20</v>
      </c>
      <c r="C1279" s="16">
        <v>46192</v>
      </c>
      <c r="D1279">
        <v>503904.80999999982</v>
      </c>
    </row>
    <row r="1280" spans="1:4" x14ac:dyDescent="0.3">
      <c r="A1280" t="s">
        <v>21</v>
      </c>
      <c r="C1280" s="16">
        <v>46192</v>
      </c>
      <c r="D1280">
        <v>3326696.7299999995</v>
      </c>
    </row>
    <row r="1281" spans="1:4" x14ac:dyDescent="0.3">
      <c r="A1281" t="s">
        <v>22</v>
      </c>
      <c r="C1281" s="16">
        <v>46192</v>
      </c>
      <c r="D1281">
        <v>116496.38</v>
      </c>
    </row>
    <row r="1282" spans="1:4" x14ac:dyDescent="0.3">
      <c r="A1282" t="s">
        <v>23</v>
      </c>
      <c r="C1282" s="16">
        <v>46192</v>
      </c>
      <c r="D1282">
        <v>20375.989999999998</v>
      </c>
    </row>
    <row r="1283" spans="1:4" x14ac:dyDescent="0.3">
      <c r="A1283" t="s">
        <v>24</v>
      </c>
      <c r="C1283" s="16">
        <v>46192</v>
      </c>
      <c r="D1283">
        <v>511.15999999999985</v>
      </c>
    </row>
    <row r="1284" spans="1:4" x14ac:dyDescent="0.3">
      <c r="A1284" t="s">
        <v>25</v>
      </c>
      <c r="C1284" s="16">
        <v>46192</v>
      </c>
      <c r="D1284">
        <v>84.35</v>
      </c>
    </row>
    <row r="1285" spans="1:4" x14ac:dyDescent="0.3">
      <c r="A1285" t="s">
        <v>26</v>
      </c>
      <c r="C1285" s="16">
        <v>46192</v>
      </c>
      <c r="D1285">
        <v>2237.77</v>
      </c>
    </row>
    <row r="1286" spans="1:4" x14ac:dyDescent="0.3">
      <c r="A1286" t="s">
        <v>27</v>
      </c>
      <c r="C1286" s="16">
        <v>46192</v>
      </c>
      <c r="D1286">
        <v>3349.94</v>
      </c>
    </row>
    <row r="1287" spans="1:4" x14ac:dyDescent="0.3">
      <c r="A1287" t="s">
        <v>28</v>
      </c>
      <c r="C1287" s="16">
        <v>46192</v>
      </c>
      <c r="D1287">
        <v>1968.99</v>
      </c>
    </row>
    <row r="1288" spans="1:4" x14ac:dyDescent="0.3">
      <c r="A1288" t="s">
        <v>29</v>
      </c>
      <c r="C1288" s="16">
        <v>46192</v>
      </c>
      <c r="D1288">
        <v>382.69000000000005</v>
      </c>
    </row>
    <row r="1289" spans="1:4" x14ac:dyDescent="0.3">
      <c r="A1289" t="s">
        <v>30</v>
      </c>
      <c r="C1289" s="16">
        <v>46192</v>
      </c>
      <c r="D1289">
        <v>1428.08</v>
      </c>
    </row>
    <row r="1290" spans="1:4" x14ac:dyDescent="0.3">
      <c r="A1290" t="s">
        <v>31</v>
      </c>
      <c r="C1290" s="16">
        <v>46192</v>
      </c>
      <c r="D1290">
        <v>29789.969999999961</v>
      </c>
    </row>
    <row r="1291" spans="1:4" x14ac:dyDescent="0.3">
      <c r="A1291" t="s">
        <v>32</v>
      </c>
      <c r="C1291" s="16">
        <v>46192</v>
      </c>
      <c r="D1291">
        <v>20321.43</v>
      </c>
    </row>
    <row r="1292" spans="1:4" x14ac:dyDescent="0.3">
      <c r="A1292" t="s">
        <v>33</v>
      </c>
      <c r="C1292" s="16">
        <v>46192</v>
      </c>
      <c r="D1292">
        <v>16681.349999999999</v>
      </c>
    </row>
    <row r="1293" spans="1:4" x14ac:dyDescent="0.3">
      <c r="A1293" t="s">
        <v>34</v>
      </c>
      <c r="C1293" s="16">
        <v>46192</v>
      </c>
      <c r="D1293">
        <v>345</v>
      </c>
    </row>
    <row r="1294" spans="1:4" x14ac:dyDescent="0.3">
      <c r="A1294" t="s">
        <v>35</v>
      </c>
      <c r="C1294" s="16">
        <v>46192</v>
      </c>
      <c r="D1294">
        <v>50334.36</v>
      </c>
    </row>
    <row r="1295" spans="1:4" x14ac:dyDescent="0.3">
      <c r="A1295" t="s">
        <v>193</v>
      </c>
      <c r="C1295" s="16">
        <v>46192</v>
      </c>
      <c r="D1295">
        <v>0</v>
      </c>
    </row>
    <row r="1296" spans="1:4" x14ac:dyDescent="0.3">
      <c r="A1296" t="s">
        <v>194</v>
      </c>
      <c r="C1296" s="16">
        <v>46192</v>
      </c>
      <c r="D1296">
        <v>0</v>
      </c>
    </row>
    <row r="1297" spans="1:4" x14ac:dyDescent="0.3">
      <c r="A1297" t="s">
        <v>195</v>
      </c>
      <c r="C1297" s="16">
        <v>46192</v>
      </c>
      <c r="D1297">
        <v>0</v>
      </c>
    </row>
    <row r="1298" spans="1:4" x14ac:dyDescent="0.3">
      <c r="A1298" t="s">
        <v>196</v>
      </c>
      <c r="C1298" s="16">
        <v>46192</v>
      </c>
      <c r="D1298">
        <v>0</v>
      </c>
    </row>
    <row r="1299" spans="1:4" x14ac:dyDescent="0.3">
      <c r="A1299" t="s">
        <v>197</v>
      </c>
      <c r="C1299" s="16">
        <v>46192</v>
      </c>
      <c r="D1299">
        <v>0</v>
      </c>
    </row>
    <row r="1300" spans="1:4" x14ac:dyDescent="0.3">
      <c r="A1300" t="s">
        <v>214</v>
      </c>
      <c r="C1300" s="16">
        <v>46192</v>
      </c>
      <c r="D1300">
        <v>0</v>
      </c>
    </row>
    <row r="1301" spans="1:4" x14ac:dyDescent="0.3">
      <c r="A1301" t="s">
        <v>199</v>
      </c>
      <c r="C1301" s="16">
        <v>46192</v>
      </c>
      <c r="D1301">
        <v>0</v>
      </c>
    </row>
    <row r="1302" spans="1:4" x14ac:dyDescent="0.3">
      <c r="A1302" t="s">
        <v>17</v>
      </c>
      <c r="C1302" s="16">
        <v>46193</v>
      </c>
      <c r="D1302">
        <v>1098358.7500000002</v>
      </c>
    </row>
    <row r="1303" spans="1:4" x14ac:dyDescent="0.3">
      <c r="A1303" t="s">
        <v>18</v>
      </c>
      <c r="C1303" s="16">
        <v>46193</v>
      </c>
      <c r="D1303">
        <v>69376.390000000174</v>
      </c>
    </row>
    <row r="1304" spans="1:4" x14ac:dyDescent="0.3">
      <c r="A1304" t="s">
        <v>19</v>
      </c>
      <c r="C1304" s="16">
        <v>46193</v>
      </c>
      <c r="D1304">
        <v>1669.89</v>
      </c>
    </row>
    <row r="1305" spans="1:4" x14ac:dyDescent="0.3">
      <c r="A1305" t="s">
        <v>20</v>
      </c>
      <c r="C1305" s="16">
        <v>46193</v>
      </c>
      <c r="D1305">
        <v>503904.80999999982</v>
      </c>
    </row>
    <row r="1306" spans="1:4" x14ac:dyDescent="0.3">
      <c r="A1306" t="s">
        <v>21</v>
      </c>
      <c r="C1306" s="16">
        <v>46193</v>
      </c>
      <c r="D1306">
        <v>3326696.7299999995</v>
      </c>
    </row>
    <row r="1307" spans="1:4" x14ac:dyDescent="0.3">
      <c r="A1307" t="s">
        <v>22</v>
      </c>
      <c r="C1307" s="16">
        <v>46193</v>
      </c>
      <c r="D1307">
        <v>116496.38</v>
      </c>
    </row>
    <row r="1308" spans="1:4" x14ac:dyDescent="0.3">
      <c r="A1308" t="s">
        <v>23</v>
      </c>
      <c r="C1308" s="16">
        <v>46193</v>
      </c>
      <c r="D1308">
        <v>20375.989999999998</v>
      </c>
    </row>
    <row r="1309" spans="1:4" x14ac:dyDescent="0.3">
      <c r="A1309" t="s">
        <v>24</v>
      </c>
      <c r="C1309" s="16">
        <v>46193</v>
      </c>
      <c r="D1309">
        <v>511.15999999999985</v>
      </c>
    </row>
    <row r="1310" spans="1:4" x14ac:dyDescent="0.3">
      <c r="A1310" t="s">
        <v>25</v>
      </c>
      <c r="C1310" s="16">
        <v>46193</v>
      </c>
      <c r="D1310">
        <v>84.35</v>
      </c>
    </row>
    <row r="1311" spans="1:4" x14ac:dyDescent="0.3">
      <c r="A1311" t="s">
        <v>26</v>
      </c>
      <c r="C1311" s="16">
        <v>46193</v>
      </c>
      <c r="D1311">
        <v>2237.77</v>
      </c>
    </row>
    <row r="1312" spans="1:4" x14ac:dyDescent="0.3">
      <c r="A1312" t="s">
        <v>27</v>
      </c>
      <c r="C1312" s="16">
        <v>46193</v>
      </c>
      <c r="D1312">
        <v>3349.94</v>
      </c>
    </row>
    <row r="1313" spans="1:4" x14ac:dyDescent="0.3">
      <c r="A1313" t="s">
        <v>28</v>
      </c>
      <c r="C1313" s="16">
        <v>46193</v>
      </c>
      <c r="D1313">
        <v>1968.99</v>
      </c>
    </row>
    <row r="1314" spans="1:4" x14ac:dyDescent="0.3">
      <c r="A1314" t="s">
        <v>29</v>
      </c>
      <c r="C1314" s="16">
        <v>46193</v>
      </c>
      <c r="D1314">
        <v>382.69000000000005</v>
      </c>
    </row>
    <row r="1315" spans="1:4" x14ac:dyDescent="0.3">
      <c r="A1315" t="s">
        <v>30</v>
      </c>
      <c r="C1315" s="16">
        <v>46193</v>
      </c>
      <c r="D1315">
        <v>1428.08</v>
      </c>
    </row>
    <row r="1316" spans="1:4" x14ac:dyDescent="0.3">
      <c r="A1316" t="s">
        <v>31</v>
      </c>
      <c r="C1316" s="16">
        <v>46193</v>
      </c>
      <c r="D1316">
        <v>29789.969999999961</v>
      </c>
    </row>
    <row r="1317" spans="1:4" x14ac:dyDescent="0.3">
      <c r="A1317" t="s">
        <v>32</v>
      </c>
      <c r="C1317" s="16">
        <v>46193</v>
      </c>
      <c r="D1317">
        <v>20321.43</v>
      </c>
    </row>
    <row r="1318" spans="1:4" x14ac:dyDescent="0.3">
      <c r="A1318" t="s">
        <v>33</v>
      </c>
      <c r="C1318" s="16">
        <v>46193</v>
      </c>
      <c r="D1318">
        <v>16681.349999999999</v>
      </c>
    </row>
    <row r="1319" spans="1:4" x14ac:dyDescent="0.3">
      <c r="A1319" t="s">
        <v>34</v>
      </c>
      <c r="C1319" s="16">
        <v>46193</v>
      </c>
      <c r="D1319">
        <v>345</v>
      </c>
    </row>
    <row r="1320" spans="1:4" x14ac:dyDescent="0.3">
      <c r="A1320" t="s">
        <v>35</v>
      </c>
      <c r="C1320" s="16">
        <v>46193</v>
      </c>
      <c r="D1320">
        <v>50334.36</v>
      </c>
    </row>
    <row r="1321" spans="1:4" x14ac:dyDescent="0.3">
      <c r="A1321" t="s">
        <v>193</v>
      </c>
      <c r="C1321" s="16">
        <v>46193</v>
      </c>
      <c r="D1321">
        <v>0</v>
      </c>
    </row>
    <row r="1322" spans="1:4" x14ac:dyDescent="0.3">
      <c r="A1322" t="s">
        <v>194</v>
      </c>
      <c r="C1322" s="16">
        <v>46193</v>
      </c>
      <c r="D1322">
        <v>0</v>
      </c>
    </row>
    <row r="1323" spans="1:4" x14ac:dyDescent="0.3">
      <c r="A1323" t="s">
        <v>195</v>
      </c>
      <c r="C1323" s="16">
        <v>46193</v>
      </c>
      <c r="D1323">
        <v>0</v>
      </c>
    </row>
    <row r="1324" spans="1:4" x14ac:dyDescent="0.3">
      <c r="A1324" t="s">
        <v>196</v>
      </c>
      <c r="C1324" s="16">
        <v>46193</v>
      </c>
      <c r="D1324">
        <v>0</v>
      </c>
    </row>
    <row r="1325" spans="1:4" x14ac:dyDescent="0.3">
      <c r="A1325" t="s">
        <v>197</v>
      </c>
      <c r="C1325" s="16">
        <v>46193</v>
      </c>
      <c r="D1325">
        <v>0</v>
      </c>
    </row>
    <row r="1326" spans="1:4" x14ac:dyDescent="0.3">
      <c r="A1326" t="s">
        <v>214</v>
      </c>
      <c r="C1326" s="16">
        <v>46193</v>
      </c>
      <c r="D1326">
        <v>0</v>
      </c>
    </row>
    <row r="1327" spans="1:4" x14ac:dyDescent="0.3">
      <c r="A1327" t="s">
        <v>199</v>
      </c>
      <c r="C1327" s="16">
        <v>46193</v>
      </c>
      <c r="D1327">
        <v>0</v>
      </c>
    </row>
    <row r="1328" spans="1:4" x14ac:dyDescent="0.3">
      <c r="A1328" t="s">
        <v>17</v>
      </c>
      <c r="C1328" s="16">
        <v>46194</v>
      </c>
      <c r="D1328">
        <v>1098358.7500000002</v>
      </c>
    </row>
    <row r="1329" spans="1:4" x14ac:dyDescent="0.3">
      <c r="A1329" t="s">
        <v>18</v>
      </c>
      <c r="C1329" s="16">
        <v>46194</v>
      </c>
      <c r="D1329">
        <v>69376.390000000174</v>
      </c>
    </row>
    <row r="1330" spans="1:4" x14ac:dyDescent="0.3">
      <c r="A1330" t="s">
        <v>19</v>
      </c>
      <c r="C1330" s="16">
        <v>46194</v>
      </c>
      <c r="D1330">
        <v>1669.89</v>
      </c>
    </row>
    <row r="1331" spans="1:4" x14ac:dyDescent="0.3">
      <c r="A1331" t="s">
        <v>20</v>
      </c>
      <c r="C1331" s="16">
        <v>46194</v>
      </c>
      <c r="D1331">
        <v>503904.80999999982</v>
      </c>
    </row>
    <row r="1332" spans="1:4" x14ac:dyDescent="0.3">
      <c r="A1332" t="s">
        <v>21</v>
      </c>
      <c r="C1332" s="16">
        <v>46194</v>
      </c>
      <c r="D1332">
        <v>3326696.7299999995</v>
      </c>
    </row>
    <row r="1333" spans="1:4" x14ac:dyDescent="0.3">
      <c r="A1333" t="s">
        <v>22</v>
      </c>
      <c r="C1333" s="16">
        <v>46194</v>
      </c>
      <c r="D1333">
        <v>116496.38</v>
      </c>
    </row>
    <row r="1334" spans="1:4" x14ac:dyDescent="0.3">
      <c r="A1334" t="s">
        <v>23</v>
      </c>
      <c r="C1334" s="16">
        <v>46194</v>
      </c>
      <c r="D1334">
        <v>20375.989999999998</v>
      </c>
    </row>
    <row r="1335" spans="1:4" x14ac:dyDescent="0.3">
      <c r="A1335" t="s">
        <v>24</v>
      </c>
      <c r="C1335" s="16">
        <v>46194</v>
      </c>
      <c r="D1335">
        <v>511.15999999999985</v>
      </c>
    </row>
    <row r="1336" spans="1:4" x14ac:dyDescent="0.3">
      <c r="A1336" t="s">
        <v>25</v>
      </c>
      <c r="C1336" s="16">
        <v>46194</v>
      </c>
      <c r="D1336">
        <v>84.35</v>
      </c>
    </row>
    <row r="1337" spans="1:4" x14ac:dyDescent="0.3">
      <c r="A1337" t="s">
        <v>26</v>
      </c>
      <c r="C1337" s="16">
        <v>46194</v>
      </c>
      <c r="D1337">
        <v>2237.77</v>
      </c>
    </row>
    <row r="1338" spans="1:4" x14ac:dyDescent="0.3">
      <c r="A1338" t="s">
        <v>27</v>
      </c>
      <c r="C1338" s="16">
        <v>46194</v>
      </c>
      <c r="D1338">
        <v>3349.94</v>
      </c>
    </row>
    <row r="1339" spans="1:4" x14ac:dyDescent="0.3">
      <c r="A1339" t="s">
        <v>28</v>
      </c>
      <c r="C1339" s="16">
        <v>46194</v>
      </c>
      <c r="D1339">
        <v>1968.99</v>
      </c>
    </row>
    <row r="1340" spans="1:4" x14ac:dyDescent="0.3">
      <c r="A1340" t="s">
        <v>29</v>
      </c>
      <c r="C1340" s="16">
        <v>46194</v>
      </c>
      <c r="D1340">
        <v>382.69000000000005</v>
      </c>
    </row>
    <row r="1341" spans="1:4" x14ac:dyDescent="0.3">
      <c r="A1341" t="s">
        <v>30</v>
      </c>
      <c r="C1341" s="16">
        <v>46194</v>
      </c>
      <c r="D1341">
        <v>1428.08</v>
      </c>
    </row>
    <row r="1342" spans="1:4" x14ac:dyDescent="0.3">
      <c r="A1342" t="s">
        <v>31</v>
      </c>
      <c r="C1342" s="16">
        <v>46194</v>
      </c>
      <c r="D1342">
        <v>29789.969999999961</v>
      </c>
    </row>
    <row r="1343" spans="1:4" x14ac:dyDescent="0.3">
      <c r="A1343" t="s">
        <v>32</v>
      </c>
      <c r="C1343" s="16">
        <v>46194</v>
      </c>
      <c r="D1343">
        <v>20321.43</v>
      </c>
    </row>
    <row r="1344" spans="1:4" x14ac:dyDescent="0.3">
      <c r="A1344" t="s">
        <v>33</v>
      </c>
      <c r="C1344" s="16">
        <v>46194</v>
      </c>
      <c r="D1344">
        <v>16681.349999999999</v>
      </c>
    </row>
    <row r="1345" spans="1:4" x14ac:dyDescent="0.3">
      <c r="A1345" t="s">
        <v>34</v>
      </c>
      <c r="C1345" s="16">
        <v>46194</v>
      </c>
      <c r="D1345">
        <v>345</v>
      </c>
    </row>
    <row r="1346" spans="1:4" x14ac:dyDescent="0.3">
      <c r="A1346" t="s">
        <v>35</v>
      </c>
      <c r="C1346" s="16">
        <v>46194</v>
      </c>
      <c r="D1346">
        <v>50334.36</v>
      </c>
    </row>
    <row r="1347" spans="1:4" x14ac:dyDescent="0.3">
      <c r="A1347" t="s">
        <v>193</v>
      </c>
      <c r="C1347" s="16">
        <v>46194</v>
      </c>
      <c r="D1347">
        <v>0</v>
      </c>
    </row>
    <row r="1348" spans="1:4" x14ac:dyDescent="0.3">
      <c r="A1348" t="s">
        <v>194</v>
      </c>
      <c r="C1348" s="16">
        <v>46194</v>
      </c>
      <c r="D1348">
        <v>0</v>
      </c>
    </row>
    <row r="1349" spans="1:4" x14ac:dyDescent="0.3">
      <c r="A1349" t="s">
        <v>195</v>
      </c>
      <c r="C1349" s="16">
        <v>46194</v>
      </c>
      <c r="D1349">
        <v>0</v>
      </c>
    </row>
    <row r="1350" spans="1:4" x14ac:dyDescent="0.3">
      <c r="A1350" t="s">
        <v>196</v>
      </c>
      <c r="C1350" s="16">
        <v>46194</v>
      </c>
      <c r="D1350">
        <v>0</v>
      </c>
    </row>
    <row r="1351" spans="1:4" x14ac:dyDescent="0.3">
      <c r="A1351" t="s">
        <v>197</v>
      </c>
      <c r="C1351" s="16">
        <v>46194</v>
      </c>
      <c r="D1351">
        <v>0</v>
      </c>
    </row>
    <row r="1352" spans="1:4" x14ac:dyDescent="0.3">
      <c r="A1352" t="s">
        <v>214</v>
      </c>
      <c r="C1352" s="16">
        <v>46194</v>
      </c>
      <c r="D1352">
        <v>0</v>
      </c>
    </row>
    <row r="1353" spans="1:4" x14ac:dyDescent="0.3">
      <c r="A1353" t="s">
        <v>199</v>
      </c>
      <c r="C1353" s="16">
        <v>46194</v>
      </c>
      <c r="D1353">
        <v>0</v>
      </c>
    </row>
    <row r="1354" spans="1:4" x14ac:dyDescent="0.3">
      <c r="A1354" t="s">
        <v>17</v>
      </c>
      <c r="C1354" s="16">
        <v>46195</v>
      </c>
      <c r="D1354">
        <v>7613332.1400000006</v>
      </c>
    </row>
    <row r="1355" spans="1:4" x14ac:dyDescent="0.3">
      <c r="A1355" t="s">
        <v>18</v>
      </c>
      <c r="C1355" s="16">
        <v>46195</v>
      </c>
      <c r="D1355">
        <v>69376.390000000174</v>
      </c>
    </row>
    <row r="1356" spans="1:4" x14ac:dyDescent="0.3">
      <c r="A1356" t="s">
        <v>19</v>
      </c>
      <c r="C1356" s="16">
        <v>46195</v>
      </c>
      <c r="D1356">
        <v>1669.89</v>
      </c>
    </row>
    <row r="1357" spans="1:4" x14ac:dyDescent="0.3">
      <c r="A1357" t="s">
        <v>20</v>
      </c>
      <c r="C1357" s="16">
        <v>46195</v>
      </c>
      <c r="D1357">
        <v>503904.80999999982</v>
      </c>
    </row>
    <row r="1358" spans="1:4" x14ac:dyDescent="0.3">
      <c r="A1358" t="s">
        <v>21</v>
      </c>
      <c r="C1358" s="16">
        <v>46195</v>
      </c>
      <c r="D1358">
        <v>3325868.6899999995</v>
      </c>
    </row>
    <row r="1359" spans="1:4" x14ac:dyDescent="0.3">
      <c r="A1359" t="s">
        <v>22</v>
      </c>
      <c r="C1359" s="16">
        <v>46195</v>
      </c>
      <c r="D1359">
        <v>116496.38</v>
      </c>
    </row>
    <row r="1360" spans="1:4" x14ac:dyDescent="0.3">
      <c r="A1360" t="s">
        <v>23</v>
      </c>
      <c r="C1360" s="16">
        <v>46195</v>
      </c>
      <c r="D1360">
        <v>20375.989999999998</v>
      </c>
    </row>
    <row r="1361" spans="1:4" x14ac:dyDescent="0.3">
      <c r="A1361" t="s">
        <v>24</v>
      </c>
      <c r="C1361" s="16">
        <v>46195</v>
      </c>
      <c r="D1361">
        <v>511.15999999999985</v>
      </c>
    </row>
    <row r="1362" spans="1:4" x14ac:dyDescent="0.3">
      <c r="A1362" t="s">
        <v>25</v>
      </c>
      <c r="C1362" s="16">
        <v>46195</v>
      </c>
      <c r="D1362">
        <v>84.35</v>
      </c>
    </row>
    <row r="1363" spans="1:4" x14ac:dyDescent="0.3">
      <c r="A1363" t="s">
        <v>26</v>
      </c>
      <c r="C1363" s="16">
        <v>46195</v>
      </c>
      <c r="D1363">
        <v>2237.77</v>
      </c>
    </row>
    <row r="1364" spans="1:4" x14ac:dyDescent="0.3">
      <c r="A1364" t="s">
        <v>27</v>
      </c>
      <c r="C1364" s="16">
        <v>46195</v>
      </c>
      <c r="D1364">
        <v>3349.94</v>
      </c>
    </row>
    <row r="1365" spans="1:4" x14ac:dyDescent="0.3">
      <c r="A1365" t="s">
        <v>28</v>
      </c>
      <c r="C1365" s="16">
        <v>46195</v>
      </c>
      <c r="D1365">
        <v>1968.99</v>
      </c>
    </row>
    <row r="1366" spans="1:4" x14ac:dyDescent="0.3">
      <c r="A1366" t="s">
        <v>29</v>
      </c>
      <c r="C1366" s="16">
        <v>46195</v>
      </c>
      <c r="D1366">
        <v>382.69000000000005</v>
      </c>
    </row>
    <row r="1367" spans="1:4" x14ac:dyDescent="0.3">
      <c r="A1367" t="s">
        <v>30</v>
      </c>
      <c r="C1367" s="16">
        <v>46195</v>
      </c>
      <c r="D1367">
        <v>1428.08</v>
      </c>
    </row>
    <row r="1368" spans="1:4" x14ac:dyDescent="0.3">
      <c r="A1368" t="s">
        <v>31</v>
      </c>
      <c r="C1368" s="16">
        <v>46195</v>
      </c>
      <c r="D1368">
        <v>31039.969999999961</v>
      </c>
    </row>
    <row r="1369" spans="1:4" x14ac:dyDescent="0.3">
      <c r="A1369" t="s">
        <v>32</v>
      </c>
      <c r="C1369" s="16">
        <v>46195</v>
      </c>
      <c r="D1369">
        <v>20321.43</v>
      </c>
    </row>
    <row r="1370" spans="1:4" x14ac:dyDescent="0.3">
      <c r="A1370" t="s">
        <v>33</v>
      </c>
      <c r="C1370" s="16">
        <v>46195</v>
      </c>
      <c r="D1370">
        <v>16681.349999999999</v>
      </c>
    </row>
    <row r="1371" spans="1:4" x14ac:dyDescent="0.3">
      <c r="A1371" t="s">
        <v>34</v>
      </c>
      <c r="C1371" s="16">
        <v>46195</v>
      </c>
      <c r="D1371">
        <v>345</v>
      </c>
    </row>
    <row r="1372" spans="1:4" x14ac:dyDescent="0.3">
      <c r="A1372" t="s">
        <v>35</v>
      </c>
      <c r="C1372" s="16">
        <v>46195</v>
      </c>
      <c r="D1372">
        <v>50109.68</v>
      </c>
    </row>
    <row r="1373" spans="1:4" x14ac:dyDescent="0.3">
      <c r="A1373" t="s">
        <v>193</v>
      </c>
      <c r="C1373" s="16">
        <v>46195</v>
      </c>
      <c r="D1373">
        <v>0</v>
      </c>
    </row>
    <row r="1374" spans="1:4" x14ac:dyDescent="0.3">
      <c r="A1374" t="s">
        <v>194</v>
      </c>
      <c r="C1374" s="16">
        <v>46195</v>
      </c>
      <c r="D1374">
        <v>0</v>
      </c>
    </row>
    <row r="1375" spans="1:4" x14ac:dyDescent="0.3">
      <c r="A1375" t="s">
        <v>195</v>
      </c>
      <c r="C1375" s="16">
        <v>46195</v>
      </c>
      <c r="D1375">
        <v>0</v>
      </c>
    </row>
    <row r="1376" spans="1:4" x14ac:dyDescent="0.3">
      <c r="A1376" t="s">
        <v>196</v>
      </c>
      <c r="C1376" s="16">
        <v>46195</v>
      </c>
      <c r="D1376">
        <v>0</v>
      </c>
    </row>
    <row r="1377" spans="1:4" x14ac:dyDescent="0.3">
      <c r="A1377" t="s">
        <v>197</v>
      </c>
      <c r="C1377" s="16">
        <v>46195</v>
      </c>
      <c r="D1377">
        <v>0</v>
      </c>
    </row>
    <row r="1378" spans="1:4" x14ac:dyDescent="0.3">
      <c r="A1378" t="s">
        <v>214</v>
      </c>
      <c r="C1378" s="16">
        <v>46195</v>
      </c>
      <c r="D1378">
        <v>0</v>
      </c>
    </row>
    <row r="1379" spans="1:4" x14ac:dyDescent="0.3">
      <c r="A1379" t="s">
        <v>199</v>
      </c>
      <c r="C1379" s="16">
        <v>46195</v>
      </c>
      <c r="D1379">
        <v>0</v>
      </c>
    </row>
    <row r="1380" spans="1:4" x14ac:dyDescent="0.3">
      <c r="A1380" t="s">
        <v>17</v>
      </c>
      <c r="C1380" s="16">
        <v>46196</v>
      </c>
      <c r="D1380">
        <v>7675741.5900000008</v>
      </c>
    </row>
    <row r="1381" spans="1:4" x14ac:dyDescent="0.3">
      <c r="A1381" t="s">
        <v>18</v>
      </c>
      <c r="C1381" s="16">
        <v>46196</v>
      </c>
      <c r="D1381">
        <v>69376.390000000174</v>
      </c>
    </row>
    <row r="1382" spans="1:4" x14ac:dyDescent="0.3">
      <c r="A1382" t="s">
        <v>19</v>
      </c>
      <c r="C1382" s="16">
        <v>46196</v>
      </c>
      <c r="D1382">
        <v>1669.89</v>
      </c>
    </row>
    <row r="1383" spans="1:4" x14ac:dyDescent="0.3">
      <c r="A1383" t="s">
        <v>20</v>
      </c>
      <c r="C1383" s="16">
        <v>46196</v>
      </c>
      <c r="D1383">
        <v>503904.80999999982</v>
      </c>
    </row>
    <row r="1384" spans="1:4" x14ac:dyDescent="0.3">
      <c r="A1384" t="s">
        <v>21</v>
      </c>
      <c r="C1384" s="16">
        <v>46196</v>
      </c>
      <c r="D1384">
        <v>3325868.6899999995</v>
      </c>
    </row>
    <row r="1385" spans="1:4" x14ac:dyDescent="0.3">
      <c r="A1385" t="s">
        <v>22</v>
      </c>
      <c r="C1385" s="16">
        <v>46196</v>
      </c>
      <c r="D1385">
        <v>116496.38</v>
      </c>
    </row>
    <row r="1386" spans="1:4" x14ac:dyDescent="0.3">
      <c r="A1386" t="s">
        <v>23</v>
      </c>
      <c r="C1386" s="16">
        <v>46196</v>
      </c>
      <c r="D1386">
        <v>20375.989999999998</v>
      </c>
    </row>
    <row r="1387" spans="1:4" x14ac:dyDescent="0.3">
      <c r="A1387" t="s">
        <v>24</v>
      </c>
      <c r="C1387" s="16">
        <v>46196</v>
      </c>
      <c r="D1387">
        <v>511.15999999999985</v>
      </c>
    </row>
    <row r="1388" spans="1:4" x14ac:dyDescent="0.3">
      <c r="A1388" t="s">
        <v>25</v>
      </c>
      <c r="C1388" s="16">
        <v>46196</v>
      </c>
      <c r="D1388">
        <v>84.35</v>
      </c>
    </row>
    <row r="1389" spans="1:4" x14ac:dyDescent="0.3">
      <c r="A1389" t="s">
        <v>26</v>
      </c>
      <c r="C1389" s="16">
        <v>46196</v>
      </c>
      <c r="D1389">
        <v>2237.77</v>
      </c>
    </row>
    <row r="1390" spans="1:4" x14ac:dyDescent="0.3">
      <c r="A1390" t="s">
        <v>27</v>
      </c>
      <c r="C1390" s="16">
        <v>46196</v>
      </c>
      <c r="D1390">
        <v>3349.94</v>
      </c>
    </row>
    <row r="1391" spans="1:4" x14ac:dyDescent="0.3">
      <c r="A1391" t="s">
        <v>28</v>
      </c>
      <c r="C1391" s="16">
        <v>46196</v>
      </c>
      <c r="D1391">
        <v>1968.99</v>
      </c>
    </row>
    <row r="1392" spans="1:4" x14ac:dyDescent="0.3">
      <c r="A1392" t="s">
        <v>29</v>
      </c>
      <c r="C1392" s="16">
        <v>46196</v>
      </c>
      <c r="D1392">
        <v>382.69000000000005</v>
      </c>
    </row>
    <row r="1393" spans="1:4" x14ac:dyDescent="0.3">
      <c r="A1393" t="s">
        <v>30</v>
      </c>
      <c r="C1393" s="16">
        <v>46196</v>
      </c>
      <c r="D1393">
        <v>1428.08</v>
      </c>
    </row>
    <row r="1394" spans="1:4" x14ac:dyDescent="0.3">
      <c r="A1394" t="s">
        <v>31</v>
      </c>
      <c r="C1394" s="16">
        <v>46196</v>
      </c>
      <c r="D1394">
        <v>31039.969999999961</v>
      </c>
    </row>
    <row r="1395" spans="1:4" x14ac:dyDescent="0.3">
      <c r="A1395" t="s">
        <v>32</v>
      </c>
      <c r="C1395" s="16">
        <v>46196</v>
      </c>
      <c r="D1395">
        <v>20321.43</v>
      </c>
    </row>
    <row r="1396" spans="1:4" x14ac:dyDescent="0.3">
      <c r="A1396" t="s">
        <v>33</v>
      </c>
      <c r="C1396" s="16">
        <v>46196</v>
      </c>
      <c r="D1396">
        <v>16681.349999999999</v>
      </c>
    </row>
    <row r="1397" spans="1:4" x14ac:dyDescent="0.3">
      <c r="A1397" t="s">
        <v>34</v>
      </c>
      <c r="C1397" s="16">
        <v>46196</v>
      </c>
      <c r="D1397">
        <v>345</v>
      </c>
    </row>
    <row r="1398" spans="1:4" x14ac:dyDescent="0.3">
      <c r="A1398" t="s">
        <v>35</v>
      </c>
      <c r="C1398" s="16">
        <v>46196</v>
      </c>
      <c r="D1398">
        <v>49981.31</v>
      </c>
    </row>
    <row r="1399" spans="1:4" x14ac:dyDescent="0.3">
      <c r="A1399" t="s">
        <v>193</v>
      </c>
      <c r="C1399" s="16">
        <v>46196</v>
      </c>
      <c r="D1399">
        <v>0</v>
      </c>
    </row>
    <row r="1400" spans="1:4" x14ac:dyDescent="0.3">
      <c r="A1400" t="s">
        <v>194</v>
      </c>
      <c r="C1400" s="16">
        <v>46196</v>
      </c>
      <c r="D1400">
        <v>0</v>
      </c>
    </row>
    <row r="1401" spans="1:4" x14ac:dyDescent="0.3">
      <c r="A1401" t="s">
        <v>195</v>
      </c>
      <c r="C1401" s="16">
        <v>46196</v>
      </c>
      <c r="D1401">
        <v>0</v>
      </c>
    </row>
    <row r="1402" spans="1:4" x14ac:dyDescent="0.3">
      <c r="A1402" t="s">
        <v>196</v>
      </c>
      <c r="C1402" s="16">
        <v>46196</v>
      </c>
      <c r="D1402">
        <v>0</v>
      </c>
    </row>
    <row r="1403" spans="1:4" x14ac:dyDescent="0.3">
      <c r="A1403" t="s">
        <v>197</v>
      </c>
      <c r="C1403" s="16">
        <v>46196</v>
      </c>
      <c r="D1403">
        <v>0</v>
      </c>
    </row>
    <row r="1404" spans="1:4" x14ac:dyDescent="0.3">
      <c r="A1404" t="s">
        <v>214</v>
      </c>
      <c r="C1404" s="16">
        <v>46196</v>
      </c>
      <c r="D1404">
        <v>0</v>
      </c>
    </row>
    <row r="1405" spans="1:4" x14ac:dyDescent="0.3">
      <c r="A1405" t="s">
        <v>199</v>
      </c>
      <c r="C1405" s="16">
        <v>46196</v>
      </c>
      <c r="D1405">
        <v>0</v>
      </c>
    </row>
    <row r="1406" spans="1:4" x14ac:dyDescent="0.3">
      <c r="A1406" t="s">
        <v>17</v>
      </c>
      <c r="C1406" s="16">
        <v>46197</v>
      </c>
      <c r="D1406">
        <v>7742810.7100000009</v>
      </c>
    </row>
    <row r="1407" spans="1:4" x14ac:dyDescent="0.3">
      <c r="A1407" t="s">
        <v>18</v>
      </c>
      <c r="C1407" s="16">
        <v>46197</v>
      </c>
      <c r="D1407">
        <v>72386.190000000177</v>
      </c>
    </row>
    <row r="1408" spans="1:4" x14ac:dyDescent="0.3">
      <c r="A1408" t="s">
        <v>19</v>
      </c>
      <c r="C1408" s="16">
        <v>46197</v>
      </c>
      <c r="D1408">
        <v>1669.89</v>
      </c>
    </row>
    <row r="1409" spans="1:4" x14ac:dyDescent="0.3">
      <c r="A1409" t="s">
        <v>20</v>
      </c>
      <c r="C1409" s="16">
        <v>46197</v>
      </c>
      <c r="D1409">
        <v>532766.72999999986</v>
      </c>
    </row>
    <row r="1410" spans="1:4" x14ac:dyDescent="0.3">
      <c r="A1410" t="s">
        <v>21</v>
      </c>
      <c r="C1410" s="16">
        <v>46197</v>
      </c>
      <c r="D1410">
        <v>3325868.6899999995</v>
      </c>
    </row>
    <row r="1411" spans="1:4" x14ac:dyDescent="0.3">
      <c r="A1411" t="s">
        <v>22</v>
      </c>
      <c r="C1411" s="16">
        <v>46197</v>
      </c>
      <c r="D1411">
        <v>116496.38</v>
      </c>
    </row>
    <row r="1412" spans="1:4" x14ac:dyDescent="0.3">
      <c r="A1412" t="s">
        <v>23</v>
      </c>
      <c r="C1412" s="16">
        <v>46197</v>
      </c>
      <c r="D1412">
        <v>20375.989999999998</v>
      </c>
    </row>
    <row r="1413" spans="1:4" x14ac:dyDescent="0.3">
      <c r="A1413" t="s">
        <v>24</v>
      </c>
      <c r="C1413" s="16">
        <v>46197</v>
      </c>
      <c r="D1413">
        <v>511.15999999999985</v>
      </c>
    </row>
    <row r="1414" spans="1:4" x14ac:dyDescent="0.3">
      <c r="A1414" t="s">
        <v>25</v>
      </c>
      <c r="C1414" s="16">
        <v>46197</v>
      </c>
      <c r="D1414">
        <v>84.35</v>
      </c>
    </row>
    <row r="1415" spans="1:4" x14ac:dyDescent="0.3">
      <c r="A1415" t="s">
        <v>26</v>
      </c>
      <c r="C1415" s="16">
        <v>46197</v>
      </c>
      <c r="D1415">
        <v>2237.77</v>
      </c>
    </row>
    <row r="1416" spans="1:4" x14ac:dyDescent="0.3">
      <c r="A1416" t="s">
        <v>27</v>
      </c>
      <c r="C1416" s="16">
        <v>46197</v>
      </c>
      <c r="D1416">
        <v>3349.94</v>
      </c>
    </row>
    <row r="1417" spans="1:4" x14ac:dyDescent="0.3">
      <c r="A1417" t="s">
        <v>28</v>
      </c>
      <c r="C1417" s="16">
        <v>46197</v>
      </c>
      <c r="D1417">
        <v>1968.99</v>
      </c>
    </row>
    <row r="1418" spans="1:4" x14ac:dyDescent="0.3">
      <c r="A1418" t="s">
        <v>29</v>
      </c>
      <c r="C1418" s="16">
        <v>46197</v>
      </c>
      <c r="D1418">
        <v>382.69000000000005</v>
      </c>
    </row>
    <row r="1419" spans="1:4" x14ac:dyDescent="0.3">
      <c r="A1419" t="s">
        <v>30</v>
      </c>
      <c r="C1419" s="16">
        <v>46197</v>
      </c>
      <c r="D1419">
        <v>1428.08</v>
      </c>
    </row>
    <row r="1420" spans="1:4" x14ac:dyDescent="0.3">
      <c r="A1420" t="s">
        <v>31</v>
      </c>
      <c r="C1420" s="16">
        <v>46197</v>
      </c>
      <c r="D1420">
        <v>31039.969999999961</v>
      </c>
    </row>
    <row r="1421" spans="1:4" x14ac:dyDescent="0.3">
      <c r="A1421" t="s">
        <v>32</v>
      </c>
      <c r="C1421" s="16">
        <v>46197</v>
      </c>
      <c r="D1421">
        <v>20321.43</v>
      </c>
    </row>
    <row r="1422" spans="1:4" x14ac:dyDescent="0.3">
      <c r="A1422" t="s">
        <v>33</v>
      </c>
      <c r="C1422" s="16">
        <v>46197</v>
      </c>
      <c r="D1422">
        <v>16681.349999999999</v>
      </c>
    </row>
    <row r="1423" spans="1:4" x14ac:dyDescent="0.3">
      <c r="A1423" t="s">
        <v>34</v>
      </c>
      <c r="C1423" s="16">
        <v>46197</v>
      </c>
      <c r="D1423">
        <v>345</v>
      </c>
    </row>
    <row r="1424" spans="1:4" x14ac:dyDescent="0.3">
      <c r="A1424" t="s">
        <v>35</v>
      </c>
      <c r="C1424" s="16">
        <v>46197</v>
      </c>
      <c r="D1424">
        <v>49981.31</v>
      </c>
    </row>
    <row r="1425" spans="1:4" x14ac:dyDescent="0.3">
      <c r="A1425" t="s">
        <v>193</v>
      </c>
      <c r="C1425" s="16">
        <v>46197</v>
      </c>
      <c r="D1425">
        <v>0</v>
      </c>
    </row>
    <row r="1426" spans="1:4" x14ac:dyDescent="0.3">
      <c r="A1426" t="s">
        <v>194</v>
      </c>
      <c r="C1426" s="16">
        <v>46197</v>
      </c>
      <c r="D1426">
        <v>0</v>
      </c>
    </row>
    <row r="1427" spans="1:4" x14ac:dyDescent="0.3">
      <c r="A1427" t="s">
        <v>195</v>
      </c>
      <c r="C1427" s="16">
        <v>46197</v>
      </c>
      <c r="D1427">
        <v>0</v>
      </c>
    </row>
    <row r="1428" spans="1:4" x14ac:dyDescent="0.3">
      <c r="A1428" t="s">
        <v>196</v>
      </c>
      <c r="C1428" s="16">
        <v>46197</v>
      </c>
      <c r="D1428">
        <v>0</v>
      </c>
    </row>
    <row r="1429" spans="1:4" x14ac:dyDescent="0.3">
      <c r="A1429" t="s">
        <v>197</v>
      </c>
      <c r="C1429" s="16">
        <v>46197</v>
      </c>
      <c r="D1429">
        <v>0</v>
      </c>
    </row>
    <row r="1430" spans="1:4" x14ac:dyDescent="0.3">
      <c r="A1430" t="s">
        <v>214</v>
      </c>
      <c r="C1430" s="16">
        <v>46197</v>
      </c>
      <c r="D1430">
        <v>0</v>
      </c>
    </row>
    <row r="1431" spans="1:4" x14ac:dyDescent="0.3">
      <c r="A1431" t="s">
        <v>199</v>
      </c>
      <c r="C1431" s="16">
        <v>46197</v>
      </c>
      <c r="D1431">
        <v>0</v>
      </c>
    </row>
    <row r="1432" spans="1:4" x14ac:dyDescent="0.3">
      <c r="A1432" t="s">
        <v>17</v>
      </c>
      <c r="C1432" s="16">
        <v>46198</v>
      </c>
      <c r="D1432">
        <v>6298935.7100000009</v>
      </c>
    </row>
    <row r="1433" spans="1:4" x14ac:dyDescent="0.3">
      <c r="A1433" t="s">
        <v>18</v>
      </c>
      <c r="C1433" s="16">
        <v>46198</v>
      </c>
      <c r="D1433">
        <v>72386.190000000177</v>
      </c>
    </row>
    <row r="1434" spans="1:4" x14ac:dyDescent="0.3">
      <c r="A1434" t="s">
        <v>19</v>
      </c>
      <c r="C1434" s="16">
        <v>46198</v>
      </c>
      <c r="D1434">
        <v>1669.89</v>
      </c>
    </row>
    <row r="1435" spans="1:4" x14ac:dyDescent="0.3">
      <c r="A1435" t="s">
        <v>20</v>
      </c>
      <c r="C1435" s="16">
        <v>46198</v>
      </c>
      <c r="D1435">
        <v>472766.72999999986</v>
      </c>
    </row>
    <row r="1436" spans="1:4" x14ac:dyDescent="0.3">
      <c r="A1436" t="s">
        <v>21</v>
      </c>
      <c r="C1436" s="16">
        <v>46198</v>
      </c>
      <c r="D1436">
        <v>1933152.7099999995</v>
      </c>
    </row>
    <row r="1437" spans="1:4" x14ac:dyDescent="0.3">
      <c r="A1437" t="s">
        <v>22</v>
      </c>
      <c r="C1437" s="16">
        <v>46198</v>
      </c>
      <c r="D1437">
        <v>1996496.38</v>
      </c>
    </row>
    <row r="1438" spans="1:4" x14ac:dyDescent="0.3">
      <c r="A1438" t="s">
        <v>23</v>
      </c>
      <c r="C1438" s="16">
        <v>46198</v>
      </c>
      <c r="D1438">
        <v>330375.99000000005</v>
      </c>
    </row>
    <row r="1439" spans="1:4" x14ac:dyDescent="0.3">
      <c r="A1439" t="s">
        <v>24</v>
      </c>
      <c r="C1439" s="16">
        <v>46198</v>
      </c>
      <c r="D1439">
        <v>511.15999999999985</v>
      </c>
    </row>
    <row r="1440" spans="1:4" x14ac:dyDescent="0.3">
      <c r="A1440" t="s">
        <v>25</v>
      </c>
      <c r="C1440" s="16">
        <v>46198</v>
      </c>
      <c r="D1440">
        <v>84.35</v>
      </c>
    </row>
    <row r="1441" spans="1:4" x14ac:dyDescent="0.3">
      <c r="A1441" t="s">
        <v>26</v>
      </c>
      <c r="C1441" s="16">
        <v>46198</v>
      </c>
      <c r="D1441">
        <v>2237.77</v>
      </c>
    </row>
    <row r="1442" spans="1:4" x14ac:dyDescent="0.3">
      <c r="A1442" t="s">
        <v>27</v>
      </c>
      <c r="C1442" s="16">
        <v>46198</v>
      </c>
      <c r="D1442">
        <v>3349.94</v>
      </c>
    </row>
    <row r="1443" spans="1:4" x14ac:dyDescent="0.3">
      <c r="A1443" t="s">
        <v>28</v>
      </c>
      <c r="C1443" s="16">
        <v>46198</v>
      </c>
      <c r="D1443">
        <v>1968.99</v>
      </c>
    </row>
    <row r="1444" spans="1:4" x14ac:dyDescent="0.3">
      <c r="A1444" t="s">
        <v>29</v>
      </c>
      <c r="C1444" s="16">
        <v>46198</v>
      </c>
      <c r="D1444">
        <v>382.69000000000005</v>
      </c>
    </row>
    <row r="1445" spans="1:4" x14ac:dyDescent="0.3">
      <c r="A1445" t="s">
        <v>30</v>
      </c>
      <c r="C1445" s="16">
        <v>46198</v>
      </c>
      <c r="D1445">
        <v>1428.08</v>
      </c>
    </row>
    <row r="1446" spans="1:4" x14ac:dyDescent="0.3">
      <c r="A1446" t="s">
        <v>31</v>
      </c>
      <c r="C1446" s="16">
        <v>46198</v>
      </c>
      <c r="D1446">
        <v>31039.969999999961</v>
      </c>
    </row>
    <row r="1447" spans="1:4" x14ac:dyDescent="0.3">
      <c r="A1447" t="s">
        <v>32</v>
      </c>
      <c r="C1447" s="16">
        <v>46198</v>
      </c>
      <c r="D1447">
        <v>20321.43</v>
      </c>
    </row>
    <row r="1448" spans="1:4" x14ac:dyDescent="0.3">
      <c r="A1448" t="s">
        <v>33</v>
      </c>
      <c r="C1448" s="16">
        <v>46198</v>
      </c>
      <c r="D1448">
        <v>28473.599999999999</v>
      </c>
    </row>
    <row r="1449" spans="1:4" x14ac:dyDescent="0.3">
      <c r="A1449" t="s">
        <v>34</v>
      </c>
      <c r="C1449" s="16">
        <v>46198</v>
      </c>
      <c r="D1449">
        <v>345</v>
      </c>
    </row>
    <row r="1450" spans="1:4" x14ac:dyDescent="0.3">
      <c r="A1450" t="s">
        <v>35</v>
      </c>
      <c r="C1450" s="16">
        <v>46198</v>
      </c>
      <c r="D1450">
        <v>38025.43</v>
      </c>
    </row>
    <row r="1451" spans="1:4" x14ac:dyDescent="0.3">
      <c r="A1451" t="s">
        <v>193</v>
      </c>
      <c r="C1451" s="16">
        <v>46198</v>
      </c>
      <c r="D1451">
        <v>0</v>
      </c>
    </row>
    <row r="1452" spans="1:4" x14ac:dyDescent="0.3">
      <c r="A1452" t="s">
        <v>194</v>
      </c>
      <c r="C1452" s="16">
        <v>46198</v>
      </c>
      <c r="D1452">
        <v>0</v>
      </c>
    </row>
    <row r="1453" spans="1:4" x14ac:dyDescent="0.3">
      <c r="A1453" t="s">
        <v>195</v>
      </c>
      <c r="C1453" s="16">
        <v>46198</v>
      </c>
      <c r="D1453">
        <v>0</v>
      </c>
    </row>
    <row r="1454" spans="1:4" x14ac:dyDescent="0.3">
      <c r="A1454" t="s">
        <v>196</v>
      </c>
      <c r="C1454" s="16">
        <v>46198</v>
      </c>
      <c r="D1454">
        <v>0</v>
      </c>
    </row>
    <row r="1455" spans="1:4" x14ac:dyDescent="0.3">
      <c r="A1455" t="s">
        <v>197</v>
      </c>
      <c r="C1455" s="16">
        <v>46198</v>
      </c>
      <c r="D1455">
        <v>0</v>
      </c>
    </row>
    <row r="1456" spans="1:4" x14ac:dyDescent="0.3">
      <c r="A1456" t="s">
        <v>214</v>
      </c>
      <c r="C1456" s="16">
        <v>46198</v>
      </c>
      <c r="D1456">
        <v>0</v>
      </c>
    </row>
    <row r="1457" spans="1:4" x14ac:dyDescent="0.3">
      <c r="A1457" t="s">
        <v>199</v>
      </c>
      <c r="C1457" s="16">
        <v>46198</v>
      </c>
      <c r="D1457">
        <v>0</v>
      </c>
    </row>
    <row r="1458" spans="1:4" x14ac:dyDescent="0.3">
      <c r="A1458" t="s">
        <v>17</v>
      </c>
      <c r="C1458" s="16">
        <v>46199</v>
      </c>
      <c r="D1458">
        <v>6288055.7100000009</v>
      </c>
    </row>
    <row r="1459" spans="1:4" x14ac:dyDescent="0.3">
      <c r="A1459" t="s">
        <v>18</v>
      </c>
      <c r="C1459" s="16">
        <v>46199</v>
      </c>
      <c r="D1459">
        <v>72386.190000000177</v>
      </c>
    </row>
    <row r="1460" spans="1:4" x14ac:dyDescent="0.3">
      <c r="A1460" t="s">
        <v>19</v>
      </c>
      <c r="C1460" s="16">
        <v>46199</v>
      </c>
      <c r="D1460">
        <v>1669.89</v>
      </c>
    </row>
    <row r="1461" spans="1:4" x14ac:dyDescent="0.3">
      <c r="A1461" t="s">
        <v>20</v>
      </c>
      <c r="C1461" s="16">
        <v>46199</v>
      </c>
      <c r="D1461">
        <v>472766.72999999986</v>
      </c>
    </row>
    <row r="1462" spans="1:4" x14ac:dyDescent="0.3">
      <c r="A1462" t="s">
        <v>21</v>
      </c>
      <c r="C1462" s="16">
        <v>46199</v>
      </c>
      <c r="D1462">
        <v>1932389.7199999993</v>
      </c>
    </row>
    <row r="1463" spans="1:4" x14ac:dyDescent="0.3">
      <c r="A1463" t="s">
        <v>22</v>
      </c>
      <c r="C1463" s="16">
        <v>46199</v>
      </c>
      <c r="D1463">
        <v>1396496.38</v>
      </c>
    </row>
    <row r="1464" spans="1:4" x14ac:dyDescent="0.3">
      <c r="A1464" t="s">
        <v>23</v>
      </c>
      <c r="C1464" s="16">
        <v>46199</v>
      </c>
      <c r="D1464">
        <v>330375.99000000005</v>
      </c>
    </row>
    <row r="1465" spans="1:4" x14ac:dyDescent="0.3">
      <c r="A1465" t="s">
        <v>24</v>
      </c>
      <c r="C1465" s="16">
        <v>46199</v>
      </c>
      <c r="D1465">
        <v>511.15999999999985</v>
      </c>
    </row>
    <row r="1466" spans="1:4" x14ac:dyDescent="0.3">
      <c r="A1466" t="s">
        <v>25</v>
      </c>
      <c r="C1466" s="16">
        <v>46199</v>
      </c>
      <c r="D1466">
        <v>84.35</v>
      </c>
    </row>
    <row r="1467" spans="1:4" x14ac:dyDescent="0.3">
      <c r="A1467" t="s">
        <v>26</v>
      </c>
      <c r="C1467" s="16">
        <v>46199</v>
      </c>
      <c r="D1467">
        <v>2237.77</v>
      </c>
    </row>
    <row r="1468" spans="1:4" x14ac:dyDescent="0.3">
      <c r="A1468" t="s">
        <v>27</v>
      </c>
      <c r="C1468" s="16">
        <v>46199</v>
      </c>
      <c r="D1468">
        <v>3349.94</v>
      </c>
    </row>
    <row r="1469" spans="1:4" x14ac:dyDescent="0.3">
      <c r="A1469" t="s">
        <v>28</v>
      </c>
      <c r="C1469" s="16">
        <v>46199</v>
      </c>
      <c r="D1469">
        <v>1968.99</v>
      </c>
    </row>
    <row r="1470" spans="1:4" x14ac:dyDescent="0.3">
      <c r="A1470" t="s">
        <v>29</v>
      </c>
      <c r="C1470" s="16">
        <v>46199</v>
      </c>
      <c r="D1470">
        <v>382.69000000000005</v>
      </c>
    </row>
    <row r="1471" spans="1:4" x14ac:dyDescent="0.3">
      <c r="A1471" t="s">
        <v>30</v>
      </c>
      <c r="C1471" s="16">
        <v>46199</v>
      </c>
      <c r="D1471">
        <v>1428.08</v>
      </c>
    </row>
    <row r="1472" spans="1:4" x14ac:dyDescent="0.3">
      <c r="A1472" t="s">
        <v>31</v>
      </c>
      <c r="C1472" s="16">
        <v>46199</v>
      </c>
      <c r="D1472">
        <v>31039.969999999961</v>
      </c>
    </row>
    <row r="1473" spans="1:4" x14ac:dyDescent="0.3">
      <c r="A1473" t="s">
        <v>32</v>
      </c>
      <c r="C1473" s="16">
        <v>46199</v>
      </c>
      <c r="D1473">
        <v>20321.43</v>
      </c>
    </row>
    <row r="1474" spans="1:4" x14ac:dyDescent="0.3">
      <c r="A1474" t="s">
        <v>33</v>
      </c>
      <c r="C1474" s="16">
        <v>46199</v>
      </c>
      <c r="D1474">
        <v>28458.6</v>
      </c>
    </row>
    <row r="1475" spans="1:4" x14ac:dyDescent="0.3">
      <c r="A1475" t="s">
        <v>34</v>
      </c>
      <c r="C1475" s="16">
        <v>46199</v>
      </c>
      <c r="D1475">
        <v>345</v>
      </c>
    </row>
    <row r="1476" spans="1:4" x14ac:dyDescent="0.3">
      <c r="A1476" t="s">
        <v>35</v>
      </c>
      <c r="C1476" s="16">
        <v>46199</v>
      </c>
      <c r="D1476">
        <v>29918.639999999999</v>
      </c>
    </row>
    <row r="1477" spans="1:4" x14ac:dyDescent="0.3">
      <c r="A1477" t="s">
        <v>193</v>
      </c>
      <c r="C1477" s="16">
        <v>46199</v>
      </c>
      <c r="D1477">
        <v>0</v>
      </c>
    </row>
    <row r="1478" spans="1:4" x14ac:dyDescent="0.3">
      <c r="A1478" t="s">
        <v>194</v>
      </c>
      <c r="C1478" s="16">
        <v>46199</v>
      </c>
      <c r="D1478">
        <v>0</v>
      </c>
    </row>
    <row r="1479" spans="1:4" x14ac:dyDescent="0.3">
      <c r="A1479" t="s">
        <v>195</v>
      </c>
      <c r="C1479" s="16">
        <v>46199</v>
      </c>
      <c r="D1479">
        <v>0</v>
      </c>
    </row>
    <row r="1480" spans="1:4" x14ac:dyDescent="0.3">
      <c r="A1480" t="s">
        <v>196</v>
      </c>
      <c r="C1480" s="16">
        <v>46199</v>
      </c>
      <c r="D1480">
        <v>0</v>
      </c>
    </row>
    <row r="1481" spans="1:4" x14ac:dyDescent="0.3">
      <c r="A1481" t="s">
        <v>197</v>
      </c>
      <c r="C1481" s="16">
        <v>46199</v>
      </c>
      <c r="D1481">
        <v>0</v>
      </c>
    </row>
    <row r="1482" spans="1:4" x14ac:dyDescent="0.3">
      <c r="A1482" t="s">
        <v>214</v>
      </c>
      <c r="C1482" s="16">
        <v>46199</v>
      </c>
      <c r="D1482">
        <v>0</v>
      </c>
    </row>
    <row r="1483" spans="1:4" x14ac:dyDescent="0.3">
      <c r="A1483" t="s">
        <v>199</v>
      </c>
      <c r="C1483" s="16">
        <v>46199</v>
      </c>
      <c r="D1483">
        <v>0</v>
      </c>
    </row>
    <row r="1484" spans="1:4" x14ac:dyDescent="0.3">
      <c r="A1484" t="s">
        <v>17</v>
      </c>
      <c r="C1484" s="16">
        <v>46200</v>
      </c>
      <c r="D1484">
        <v>6288055.7100000009</v>
      </c>
    </row>
    <row r="1485" spans="1:4" x14ac:dyDescent="0.3">
      <c r="A1485" t="s">
        <v>18</v>
      </c>
      <c r="C1485" s="16">
        <v>46200</v>
      </c>
      <c r="D1485">
        <v>72386.190000000177</v>
      </c>
    </row>
    <row r="1486" spans="1:4" x14ac:dyDescent="0.3">
      <c r="A1486" t="s">
        <v>19</v>
      </c>
      <c r="C1486" s="16">
        <v>46200</v>
      </c>
      <c r="D1486">
        <v>1669.89</v>
      </c>
    </row>
    <row r="1487" spans="1:4" x14ac:dyDescent="0.3">
      <c r="A1487" t="s">
        <v>20</v>
      </c>
      <c r="C1487" s="16">
        <v>46200</v>
      </c>
      <c r="D1487">
        <v>472766.72999999986</v>
      </c>
    </row>
    <row r="1488" spans="1:4" x14ac:dyDescent="0.3">
      <c r="A1488" t="s">
        <v>21</v>
      </c>
      <c r="C1488" s="16">
        <v>46200</v>
      </c>
      <c r="D1488">
        <v>1932389.7199999993</v>
      </c>
    </row>
    <row r="1489" spans="1:4" x14ac:dyDescent="0.3">
      <c r="A1489" t="s">
        <v>22</v>
      </c>
      <c r="C1489" s="16">
        <v>46200</v>
      </c>
      <c r="D1489">
        <v>1396496.38</v>
      </c>
    </row>
    <row r="1490" spans="1:4" x14ac:dyDescent="0.3">
      <c r="A1490" t="s">
        <v>23</v>
      </c>
      <c r="C1490" s="16">
        <v>46200</v>
      </c>
      <c r="D1490">
        <v>330375.99000000005</v>
      </c>
    </row>
    <row r="1491" spans="1:4" x14ac:dyDescent="0.3">
      <c r="A1491" t="s">
        <v>24</v>
      </c>
      <c r="C1491" s="16">
        <v>46200</v>
      </c>
      <c r="D1491">
        <v>511.15999999999985</v>
      </c>
    </row>
    <row r="1492" spans="1:4" x14ac:dyDescent="0.3">
      <c r="A1492" t="s">
        <v>25</v>
      </c>
      <c r="C1492" s="16">
        <v>46200</v>
      </c>
      <c r="D1492">
        <v>84.35</v>
      </c>
    </row>
    <row r="1493" spans="1:4" x14ac:dyDescent="0.3">
      <c r="A1493" t="s">
        <v>26</v>
      </c>
      <c r="C1493" s="16">
        <v>46200</v>
      </c>
      <c r="D1493">
        <v>2237.77</v>
      </c>
    </row>
    <row r="1494" spans="1:4" x14ac:dyDescent="0.3">
      <c r="A1494" t="s">
        <v>27</v>
      </c>
      <c r="C1494" s="16">
        <v>46200</v>
      </c>
      <c r="D1494">
        <v>3349.94</v>
      </c>
    </row>
    <row r="1495" spans="1:4" x14ac:dyDescent="0.3">
      <c r="A1495" t="s">
        <v>28</v>
      </c>
      <c r="C1495" s="16">
        <v>46200</v>
      </c>
      <c r="D1495">
        <v>1968.99</v>
      </c>
    </row>
    <row r="1496" spans="1:4" x14ac:dyDescent="0.3">
      <c r="A1496" t="s">
        <v>29</v>
      </c>
      <c r="C1496" s="16">
        <v>46200</v>
      </c>
      <c r="D1496">
        <v>382.69000000000005</v>
      </c>
    </row>
    <row r="1497" spans="1:4" x14ac:dyDescent="0.3">
      <c r="A1497" t="s">
        <v>30</v>
      </c>
      <c r="C1497" s="16">
        <v>46200</v>
      </c>
      <c r="D1497">
        <v>1428.08</v>
      </c>
    </row>
    <row r="1498" spans="1:4" x14ac:dyDescent="0.3">
      <c r="A1498" t="s">
        <v>31</v>
      </c>
      <c r="C1498" s="16">
        <v>46200</v>
      </c>
      <c r="D1498">
        <v>31039.969999999961</v>
      </c>
    </row>
    <row r="1499" spans="1:4" x14ac:dyDescent="0.3">
      <c r="A1499" t="s">
        <v>32</v>
      </c>
      <c r="C1499" s="16">
        <v>46200</v>
      </c>
      <c r="D1499">
        <v>20321.43</v>
      </c>
    </row>
    <row r="1500" spans="1:4" x14ac:dyDescent="0.3">
      <c r="A1500" t="s">
        <v>33</v>
      </c>
      <c r="C1500" s="16">
        <v>46200</v>
      </c>
      <c r="D1500">
        <v>28458.6</v>
      </c>
    </row>
    <row r="1501" spans="1:4" x14ac:dyDescent="0.3">
      <c r="A1501" t="s">
        <v>34</v>
      </c>
      <c r="C1501" s="16">
        <v>46200</v>
      </c>
      <c r="D1501">
        <v>345</v>
      </c>
    </row>
    <row r="1502" spans="1:4" x14ac:dyDescent="0.3">
      <c r="A1502" t="s">
        <v>35</v>
      </c>
      <c r="C1502" s="16">
        <v>46200</v>
      </c>
      <c r="D1502">
        <v>29918.639999999999</v>
      </c>
    </row>
    <row r="1503" spans="1:4" x14ac:dyDescent="0.3">
      <c r="A1503" t="s">
        <v>193</v>
      </c>
      <c r="C1503" s="16">
        <v>46200</v>
      </c>
      <c r="D1503">
        <v>0</v>
      </c>
    </row>
    <row r="1504" spans="1:4" x14ac:dyDescent="0.3">
      <c r="A1504" t="s">
        <v>194</v>
      </c>
      <c r="C1504" s="16">
        <v>46200</v>
      </c>
      <c r="D1504">
        <v>0</v>
      </c>
    </row>
    <row r="1505" spans="1:4" x14ac:dyDescent="0.3">
      <c r="A1505" t="s">
        <v>195</v>
      </c>
      <c r="C1505" s="16">
        <v>46200</v>
      </c>
      <c r="D1505">
        <v>0</v>
      </c>
    </row>
    <row r="1506" spans="1:4" x14ac:dyDescent="0.3">
      <c r="A1506" t="s">
        <v>196</v>
      </c>
      <c r="C1506" s="16">
        <v>46200</v>
      </c>
      <c r="D1506">
        <v>0</v>
      </c>
    </row>
    <row r="1507" spans="1:4" x14ac:dyDescent="0.3">
      <c r="A1507" t="s">
        <v>197</v>
      </c>
      <c r="C1507" s="16">
        <v>46200</v>
      </c>
      <c r="D1507">
        <v>0</v>
      </c>
    </row>
    <row r="1508" spans="1:4" x14ac:dyDescent="0.3">
      <c r="A1508" t="s">
        <v>214</v>
      </c>
      <c r="C1508" s="16">
        <v>46200</v>
      </c>
      <c r="D1508">
        <v>0</v>
      </c>
    </row>
    <row r="1509" spans="1:4" x14ac:dyDescent="0.3">
      <c r="A1509" t="s">
        <v>199</v>
      </c>
      <c r="C1509" s="16">
        <v>46200</v>
      </c>
      <c r="D1509">
        <v>0</v>
      </c>
    </row>
    <row r="1510" spans="1:4" x14ac:dyDescent="0.3">
      <c r="A1510" t="s">
        <v>17</v>
      </c>
      <c r="C1510" s="16">
        <v>46201</v>
      </c>
      <c r="D1510">
        <v>6288055.7100000009</v>
      </c>
    </row>
    <row r="1511" spans="1:4" x14ac:dyDescent="0.3">
      <c r="A1511" t="s">
        <v>18</v>
      </c>
      <c r="C1511" s="16">
        <v>46201</v>
      </c>
      <c r="D1511">
        <v>72386.190000000177</v>
      </c>
    </row>
    <row r="1512" spans="1:4" x14ac:dyDescent="0.3">
      <c r="A1512" t="s">
        <v>19</v>
      </c>
      <c r="C1512" s="16">
        <v>46201</v>
      </c>
      <c r="D1512">
        <v>1669.89</v>
      </c>
    </row>
    <row r="1513" spans="1:4" x14ac:dyDescent="0.3">
      <c r="A1513" t="s">
        <v>20</v>
      </c>
      <c r="C1513" s="16">
        <v>46201</v>
      </c>
      <c r="D1513">
        <v>472766.72999999986</v>
      </c>
    </row>
    <row r="1514" spans="1:4" x14ac:dyDescent="0.3">
      <c r="A1514" t="s">
        <v>21</v>
      </c>
      <c r="C1514" s="16">
        <v>46201</v>
      </c>
      <c r="D1514">
        <v>1932389.7199999993</v>
      </c>
    </row>
    <row r="1515" spans="1:4" x14ac:dyDescent="0.3">
      <c r="A1515" t="s">
        <v>22</v>
      </c>
      <c r="C1515" s="16">
        <v>46201</v>
      </c>
      <c r="D1515">
        <v>1396496.38</v>
      </c>
    </row>
    <row r="1516" spans="1:4" x14ac:dyDescent="0.3">
      <c r="A1516" t="s">
        <v>23</v>
      </c>
      <c r="C1516" s="16">
        <v>46201</v>
      </c>
      <c r="D1516">
        <v>330375.99000000005</v>
      </c>
    </row>
    <row r="1517" spans="1:4" x14ac:dyDescent="0.3">
      <c r="A1517" t="s">
        <v>24</v>
      </c>
      <c r="C1517" s="16">
        <v>46201</v>
      </c>
      <c r="D1517">
        <v>511.15999999999985</v>
      </c>
    </row>
    <row r="1518" spans="1:4" x14ac:dyDescent="0.3">
      <c r="A1518" t="s">
        <v>25</v>
      </c>
      <c r="C1518" s="16">
        <v>46201</v>
      </c>
      <c r="D1518">
        <v>84.35</v>
      </c>
    </row>
    <row r="1519" spans="1:4" x14ac:dyDescent="0.3">
      <c r="A1519" t="s">
        <v>26</v>
      </c>
      <c r="C1519" s="16">
        <v>46201</v>
      </c>
      <c r="D1519">
        <v>2237.77</v>
      </c>
    </row>
    <row r="1520" spans="1:4" x14ac:dyDescent="0.3">
      <c r="A1520" t="s">
        <v>27</v>
      </c>
      <c r="C1520" s="16">
        <v>46201</v>
      </c>
      <c r="D1520">
        <v>3349.94</v>
      </c>
    </row>
    <row r="1521" spans="1:4" x14ac:dyDescent="0.3">
      <c r="A1521" t="s">
        <v>28</v>
      </c>
      <c r="C1521" s="16">
        <v>46201</v>
      </c>
      <c r="D1521">
        <v>1968.99</v>
      </c>
    </row>
    <row r="1522" spans="1:4" x14ac:dyDescent="0.3">
      <c r="A1522" t="s">
        <v>29</v>
      </c>
      <c r="C1522" s="16">
        <v>46201</v>
      </c>
      <c r="D1522">
        <v>382.69000000000005</v>
      </c>
    </row>
    <row r="1523" spans="1:4" x14ac:dyDescent="0.3">
      <c r="A1523" t="s">
        <v>30</v>
      </c>
      <c r="C1523" s="16">
        <v>46201</v>
      </c>
      <c r="D1523">
        <v>1428.08</v>
      </c>
    </row>
    <row r="1524" spans="1:4" x14ac:dyDescent="0.3">
      <c r="A1524" t="s">
        <v>31</v>
      </c>
      <c r="C1524" s="16">
        <v>46201</v>
      </c>
      <c r="D1524">
        <v>31039.969999999961</v>
      </c>
    </row>
    <row r="1525" spans="1:4" x14ac:dyDescent="0.3">
      <c r="A1525" t="s">
        <v>32</v>
      </c>
      <c r="C1525" s="16">
        <v>46201</v>
      </c>
      <c r="D1525">
        <v>20321.43</v>
      </c>
    </row>
    <row r="1526" spans="1:4" x14ac:dyDescent="0.3">
      <c r="A1526" t="s">
        <v>33</v>
      </c>
      <c r="C1526" s="16">
        <v>46201</v>
      </c>
      <c r="D1526">
        <v>28458.6</v>
      </c>
    </row>
    <row r="1527" spans="1:4" x14ac:dyDescent="0.3">
      <c r="A1527" t="s">
        <v>34</v>
      </c>
      <c r="C1527" s="16">
        <v>46201</v>
      </c>
      <c r="D1527">
        <v>345</v>
      </c>
    </row>
    <row r="1528" spans="1:4" x14ac:dyDescent="0.3">
      <c r="A1528" t="s">
        <v>35</v>
      </c>
      <c r="C1528" s="16">
        <v>46201</v>
      </c>
      <c r="D1528">
        <v>29918.639999999999</v>
      </c>
    </row>
    <row r="1529" spans="1:4" x14ac:dyDescent="0.3">
      <c r="A1529" t="s">
        <v>193</v>
      </c>
      <c r="C1529" s="16">
        <v>46201</v>
      </c>
      <c r="D1529">
        <v>0</v>
      </c>
    </row>
    <row r="1530" spans="1:4" x14ac:dyDescent="0.3">
      <c r="A1530" t="s">
        <v>194</v>
      </c>
      <c r="C1530" s="16">
        <v>46201</v>
      </c>
      <c r="D1530">
        <v>0</v>
      </c>
    </row>
    <row r="1531" spans="1:4" x14ac:dyDescent="0.3">
      <c r="A1531" t="s">
        <v>195</v>
      </c>
      <c r="C1531" s="16">
        <v>46201</v>
      </c>
      <c r="D1531">
        <v>0</v>
      </c>
    </row>
    <row r="1532" spans="1:4" x14ac:dyDescent="0.3">
      <c r="A1532" t="s">
        <v>196</v>
      </c>
      <c r="C1532" s="16">
        <v>46201</v>
      </c>
      <c r="D1532">
        <v>0</v>
      </c>
    </row>
    <row r="1533" spans="1:4" x14ac:dyDescent="0.3">
      <c r="A1533" t="s">
        <v>197</v>
      </c>
      <c r="C1533" s="16">
        <v>46201</v>
      </c>
      <c r="D1533">
        <v>0</v>
      </c>
    </row>
    <row r="1534" spans="1:4" x14ac:dyDescent="0.3">
      <c r="A1534" t="s">
        <v>214</v>
      </c>
      <c r="C1534" s="16">
        <v>46201</v>
      </c>
      <c r="D1534">
        <v>0</v>
      </c>
    </row>
    <row r="1535" spans="1:4" x14ac:dyDescent="0.3">
      <c r="A1535" t="s">
        <v>199</v>
      </c>
      <c r="C1535" s="16">
        <v>46201</v>
      </c>
      <c r="D1535">
        <v>0</v>
      </c>
    </row>
    <row r="1536" spans="1:4" x14ac:dyDescent="0.3">
      <c r="A1536" t="s">
        <v>17</v>
      </c>
      <c r="C1536" s="16">
        <v>46202</v>
      </c>
      <c r="D1536">
        <v>6299174.8100000015</v>
      </c>
    </row>
    <row r="1537" spans="1:4" x14ac:dyDescent="0.3">
      <c r="A1537" t="s">
        <v>18</v>
      </c>
      <c r="C1537" s="16">
        <v>46202</v>
      </c>
      <c r="D1537">
        <v>72386.190000000177</v>
      </c>
    </row>
    <row r="1538" spans="1:4" x14ac:dyDescent="0.3">
      <c r="A1538" t="s">
        <v>19</v>
      </c>
      <c r="C1538" s="16">
        <v>46202</v>
      </c>
      <c r="D1538">
        <v>1669.89</v>
      </c>
    </row>
    <row r="1539" spans="1:4" x14ac:dyDescent="0.3">
      <c r="A1539" t="s">
        <v>20</v>
      </c>
      <c r="C1539" s="16">
        <v>46202</v>
      </c>
      <c r="D1539">
        <v>489745.62999999989</v>
      </c>
    </row>
    <row r="1540" spans="1:4" x14ac:dyDescent="0.3">
      <c r="A1540" t="s">
        <v>21</v>
      </c>
      <c r="C1540" s="16">
        <v>46202</v>
      </c>
      <c r="D1540">
        <v>1768167.9199999995</v>
      </c>
    </row>
    <row r="1541" spans="1:4" x14ac:dyDescent="0.3">
      <c r="A1541" t="s">
        <v>22</v>
      </c>
      <c r="C1541" s="16">
        <v>46202</v>
      </c>
      <c r="D1541">
        <v>396496.38</v>
      </c>
    </row>
    <row r="1542" spans="1:4" x14ac:dyDescent="0.3">
      <c r="A1542" t="s">
        <v>23</v>
      </c>
      <c r="C1542" s="16">
        <v>46202</v>
      </c>
      <c r="D1542">
        <v>327405.99000000005</v>
      </c>
    </row>
    <row r="1543" spans="1:4" x14ac:dyDescent="0.3">
      <c r="A1543" t="s">
        <v>24</v>
      </c>
      <c r="C1543" s="16">
        <v>46202</v>
      </c>
      <c r="D1543">
        <v>511.15999999999985</v>
      </c>
    </row>
    <row r="1544" spans="1:4" x14ac:dyDescent="0.3">
      <c r="A1544" t="s">
        <v>25</v>
      </c>
      <c r="C1544" s="16">
        <v>46202</v>
      </c>
      <c r="D1544">
        <v>84.35</v>
      </c>
    </row>
    <row r="1545" spans="1:4" x14ac:dyDescent="0.3">
      <c r="A1545" t="s">
        <v>26</v>
      </c>
      <c r="C1545" s="16">
        <v>46202</v>
      </c>
      <c r="D1545">
        <v>2237.77</v>
      </c>
    </row>
    <row r="1546" spans="1:4" x14ac:dyDescent="0.3">
      <c r="A1546" t="s">
        <v>27</v>
      </c>
      <c r="C1546" s="16">
        <v>46202</v>
      </c>
      <c r="D1546">
        <v>3349.94</v>
      </c>
    </row>
    <row r="1547" spans="1:4" x14ac:dyDescent="0.3">
      <c r="A1547" t="s">
        <v>28</v>
      </c>
      <c r="C1547" s="16">
        <v>46202</v>
      </c>
      <c r="D1547">
        <v>1968.99</v>
      </c>
    </row>
    <row r="1548" spans="1:4" x14ac:dyDescent="0.3">
      <c r="A1548" t="s">
        <v>29</v>
      </c>
      <c r="C1548" s="16">
        <v>46202</v>
      </c>
      <c r="D1548">
        <v>382.69000000000005</v>
      </c>
    </row>
    <row r="1549" spans="1:4" x14ac:dyDescent="0.3">
      <c r="A1549" t="s">
        <v>30</v>
      </c>
      <c r="C1549" s="16">
        <v>46202</v>
      </c>
      <c r="D1549">
        <v>1428.08</v>
      </c>
    </row>
    <row r="1550" spans="1:4" x14ac:dyDescent="0.3">
      <c r="A1550" t="s">
        <v>31</v>
      </c>
      <c r="C1550" s="16">
        <v>46202</v>
      </c>
      <c r="D1550">
        <v>31039.969999999961</v>
      </c>
    </row>
    <row r="1551" spans="1:4" x14ac:dyDescent="0.3">
      <c r="A1551" t="s">
        <v>32</v>
      </c>
      <c r="C1551" s="16">
        <v>46202</v>
      </c>
      <c r="D1551">
        <v>20321.43</v>
      </c>
    </row>
    <row r="1552" spans="1:4" x14ac:dyDescent="0.3">
      <c r="A1552" t="s">
        <v>33</v>
      </c>
      <c r="C1552" s="16">
        <v>46202</v>
      </c>
      <c r="D1552">
        <v>28458.6</v>
      </c>
    </row>
    <row r="1553" spans="1:4" x14ac:dyDescent="0.3">
      <c r="A1553" t="s">
        <v>34</v>
      </c>
      <c r="C1553" s="16">
        <v>46202</v>
      </c>
      <c r="D1553">
        <v>345</v>
      </c>
    </row>
    <row r="1554" spans="1:4" x14ac:dyDescent="0.3">
      <c r="A1554" t="s">
        <v>35</v>
      </c>
      <c r="C1554" s="16">
        <v>46202</v>
      </c>
      <c r="D1554">
        <v>23872.78</v>
      </c>
    </row>
    <row r="1555" spans="1:4" x14ac:dyDescent="0.3">
      <c r="A1555" t="s">
        <v>193</v>
      </c>
      <c r="C1555" s="16">
        <v>46202</v>
      </c>
      <c r="D1555">
        <v>0</v>
      </c>
    </row>
    <row r="1556" spans="1:4" x14ac:dyDescent="0.3">
      <c r="A1556" t="s">
        <v>194</v>
      </c>
      <c r="C1556" s="16">
        <v>46202</v>
      </c>
      <c r="D1556">
        <v>0</v>
      </c>
    </row>
    <row r="1557" spans="1:4" x14ac:dyDescent="0.3">
      <c r="A1557" t="s">
        <v>195</v>
      </c>
      <c r="C1557" s="16">
        <v>46202</v>
      </c>
      <c r="D1557">
        <v>0</v>
      </c>
    </row>
    <row r="1558" spans="1:4" x14ac:dyDescent="0.3">
      <c r="A1558" t="s">
        <v>196</v>
      </c>
      <c r="C1558" s="16">
        <v>46202</v>
      </c>
      <c r="D1558">
        <v>0</v>
      </c>
    </row>
    <row r="1559" spans="1:4" x14ac:dyDescent="0.3">
      <c r="A1559" t="s">
        <v>197</v>
      </c>
      <c r="C1559" s="16">
        <v>46202</v>
      </c>
      <c r="D1559">
        <v>0</v>
      </c>
    </row>
    <row r="1560" spans="1:4" x14ac:dyDescent="0.3">
      <c r="A1560" t="s">
        <v>214</v>
      </c>
      <c r="C1560" s="16">
        <v>46202</v>
      </c>
      <c r="D1560">
        <v>0</v>
      </c>
    </row>
    <row r="1561" spans="1:4" x14ac:dyDescent="0.3">
      <c r="A1561" t="s">
        <v>199</v>
      </c>
      <c r="C1561" s="16">
        <v>46202</v>
      </c>
      <c r="D1561">
        <v>0</v>
      </c>
    </row>
    <row r="1562" spans="1:4" x14ac:dyDescent="0.3">
      <c r="A1562" t="s">
        <v>17</v>
      </c>
      <c r="C1562" s="16">
        <v>46203</v>
      </c>
      <c r="D1562">
        <v>6295585.7500000009</v>
      </c>
    </row>
    <row r="1563" spans="1:4" x14ac:dyDescent="0.3">
      <c r="A1563" t="s">
        <v>18</v>
      </c>
      <c r="C1563" s="16">
        <v>46203</v>
      </c>
      <c r="D1563">
        <v>79139.680000000168</v>
      </c>
    </row>
    <row r="1564" spans="1:4" x14ac:dyDescent="0.3">
      <c r="A1564" t="s">
        <v>19</v>
      </c>
      <c r="C1564" s="16">
        <v>46203</v>
      </c>
      <c r="D1564">
        <v>1669.89</v>
      </c>
    </row>
    <row r="1565" spans="1:4" x14ac:dyDescent="0.3">
      <c r="A1565" t="s">
        <v>20</v>
      </c>
      <c r="C1565" s="16">
        <v>46203</v>
      </c>
      <c r="D1565">
        <v>489745.62999999989</v>
      </c>
    </row>
    <row r="1566" spans="1:4" x14ac:dyDescent="0.3">
      <c r="A1566" t="s">
        <v>21</v>
      </c>
      <c r="C1566" s="16">
        <v>46203</v>
      </c>
      <c r="D1566">
        <v>1696284.7299999995</v>
      </c>
    </row>
    <row r="1567" spans="1:4" x14ac:dyDescent="0.3">
      <c r="A1567" t="s">
        <v>22</v>
      </c>
      <c r="C1567" s="16">
        <v>46203</v>
      </c>
      <c r="D1567">
        <v>390496.38</v>
      </c>
    </row>
    <row r="1568" spans="1:4" x14ac:dyDescent="0.3">
      <c r="A1568" t="s">
        <v>23</v>
      </c>
      <c r="C1568" s="16">
        <v>46203</v>
      </c>
      <c r="D1568">
        <v>267503.99000000005</v>
      </c>
    </row>
    <row r="1569" spans="1:4" x14ac:dyDescent="0.3">
      <c r="A1569" t="s">
        <v>24</v>
      </c>
      <c r="C1569" s="16">
        <v>46203</v>
      </c>
      <c r="D1569">
        <v>511.15999999999985</v>
      </c>
    </row>
    <row r="1570" spans="1:4" x14ac:dyDescent="0.3">
      <c r="A1570" t="s">
        <v>25</v>
      </c>
      <c r="C1570" s="16">
        <v>46203</v>
      </c>
      <c r="D1570">
        <v>84.35</v>
      </c>
    </row>
    <row r="1571" spans="1:4" x14ac:dyDescent="0.3">
      <c r="A1571" t="s">
        <v>26</v>
      </c>
      <c r="C1571" s="16">
        <v>46203</v>
      </c>
      <c r="D1571">
        <v>2237.77</v>
      </c>
    </row>
    <row r="1572" spans="1:4" x14ac:dyDescent="0.3">
      <c r="A1572" t="s">
        <v>27</v>
      </c>
      <c r="C1572" s="16">
        <v>46203</v>
      </c>
      <c r="D1572">
        <v>3349.94</v>
      </c>
    </row>
    <row r="1573" spans="1:4" x14ac:dyDescent="0.3">
      <c r="A1573" t="s">
        <v>28</v>
      </c>
      <c r="C1573" s="16">
        <v>46203</v>
      </c>
      <c r="D1573">
        <v>1968.99</v>
      </c>
    </row>
    <row r="1574" spans="1:4" x14ac:dyDescent="0.3">
      <c r="A1574" t="s">
        <v>29</v>
      </c>
      <c r="C1574" s="16">
        <v>46203</v>
      </c>
      <c r="D1574">
        <v>382.69000000000005</v>
      </c>
    </row>
    <row r="1575" spans="1:4" x14ac:dyDescent="0.3">
      <c r="A1575" t="s">
        <v>30</v>
      </c>
      <c r="C1575" s="16">
        <v>46203</v>
      </c>
      <c r="D1575">
        <v>1428.08</v>
      </c>
    </row>
    <row r="1576" spans="1:4" x14ac:dyDescent="0.3">
      <c r="A1576" t="s">
        <v>31</v>
      </c>
      <c r="C1576" s="16">
        <v>46203</v>
      </c>
      <c r="D1576">
        <v>31039.969999999961</v>
      </c>
    </row>
    <row r="1577" spans="1:4" x14ac:dyDescent="0.3">
      <c r="A1577" t="s">
        <v>32</v>
      </c>
      <c r="C1577" s="16">
        <v>46203</v>
      </c>
      <c r="D1577">
        <v>20321.43</v>
      </c>
    </row>
    <row r="1578" spans="1:4" x14ac:dyDescent="0.3">
      <c r="A1578" t="s">
        <v>33</v>
      </c>
      <c r="C1578" s="16">
        <v>46203</v>
      </c>
      <c r="D1578">
        <v>28458.6</v>
      </c>
    </row>
    <row r="1579" spans="1:4" x14ac:dyDescent="0.3">
      <c r="A1579" t="s">
        <v>34</v>
      </c>
      <c r="C1579" s="16">
        <v>46203</v>
      </c>
      <c r="D1579">
        <v>345</v>
      </c>
    </row>
    <row r="1580" spans="1:4" x14ac:dyDescent="0.3">
      <c r="A1580" t="s">
        <v>35</v>
      </c>
      <c r="C1580" s="16">
        <v>46203</v>
      </c>
      <c r="D1580">
        <v>23872.78</v>
      </c>
    </row>
    <row r="1581" spans="1:4" x14ac:dyDescent="0.3">
      <c r="A1581" t="s">
        <v>193</v>
      </c>
      <c r="C1581" s="16">
        <v>46203</v>
      </c>
      <c r="D1581">
        <v>0</v>
      </c>
    </row>
    <row r="1582" spans="1:4" x14ac:dyDescent="0.3">
      <c r="A1582" t="s">
        <v>194</v>
      </c>
      <c r="C1582" s="16">
        <v>46203</v>
      </c>
      <c r="D1582">
        <v>0</v>
      </c>
    </row>
    <row r="1583" spans="1:4" x14ac:dyDescent="0.3">
      <c r="A1583" t="s">
        <v>195</v>
      </c>
      <c r="C1583" s="16">
        <v>46203</v>
      </c>
      <c r="D1583">
        <v>0</v>
      </c>
    </row>
    <row r="1584" spans="1:4" x14ac:dyDescent="0.3">
      <c r="A1584" t="s">
        <v>196</v>
      </c>
      <c r="C1584" s="16">
        <v>46203</v>
      </c>
      <c r="D1584">
        <v>0</v>
      </c>
    </row>
    <row r="1585" spans="1:4" x14ac:dyDescent="0.3">
      <c r="A1585" t="s">
        <v>197</v>
      </c>
      <c r="C1585" s="16">
        <v>46203</v>
      </c>
      <c r="D1585">
        <v>0</v>
      </c>
    </row>
    <row r="1586" spans="1:4" x14ac:dyDescent="0.3">
      <c r="A1586" t="s">
        <v>214</v>
      </c>
      <c r="C1586" s="16">
        <v>46203</v>
      </c>
      <c r="D1586">
        <v>0</v>
      </c>
    </row>
    <row r="1587" spans="1:4" x14ac:dyDescent="0.3">
      <c r="A1587" t="s">
        <v>199</v>
      </c>
      <c r="C1587" s="16">
        <v>46203</v>
      </c>
      <c r="D1587">
        <v>0</v>
      </c>
    </row>
    <row r="1588" spans="1:4" x14ac:dyDescent="0.3">
      <c r="A1588" t="s">
        <v>17</v>
      </c>
      <c r="C1588" s="16">
        <v>46204</v>
      </c>
      <c r="D1588">
        <v>6295585.7500000009</v>
      </c>
    </row>
    <row r="1589" spans="1:4" x14ac:dyDescent="0.3">
      <c r="A1589" t="s">
        <v>18</v>
      </c>
      <c r="C1589" s="16">
        <v>46204</v>
      </c>
      <c r="D1589">
        <v>79139.680000000168</v>
      </c>
    </row>
    <row r="1590" spans="1:4" x14ac:dyDescent="0.3">
      <c r="A1590" t="s">
        <v>19</v>
      </c>
      <c r="C1590" s="16">
        <v>46204</v>
      </c>
      <c r="D1590">
        <v>1669.89</v>
      </c>
    </row>
    <row r="1591" spans="1:4" x14ac:dyDescent="0.3">
      <c r="A1591" t="s">
        <v>20</v>
      </c>
      <c r="C1591" s="16">
        <v>46204</v>
      </c>
      <c r="D1591">
        <v>507936.37999999989</v>
      </c>
    </row>
    <row r="1592" spans="1:4" x14ac:dyDescent="0.3">
      <c r="A1592" t="s">
        <v>21</v>
      </c>
      <c r="C1592" s="16">
        <v>46204</v>
      </c>
      <c r="D1592">
        <v>1696284.7299999995</v>
      </c>
    </row>
    <row r="1593" spans="1:4" x14ac:dyDescent="0.3">
      <c r="A1593" t="s">
        <v>22</v>
      </c>
      <c r="C1593" s="16">
        <v>46204</v>
      </c>
      <c r="D1593">
        <v>390496.38</v>
      </c>
    </row>
    <row r="1594" spans="1:4" x14ac:dyDescent="0.3">
      <c r="A1594" t="s">
        <v>23</v>
      </c>
      <c r="C1594" s="16">
        <v>46204</v>
      </c>
      <c r="D1594">
        <v>267503.99000000005</v>
      </c>
    </row>
    <row r="1595" spans="1:4" x14ac:dyDescent="0.3">
      <c r="A1595" t="s">
        <v>24</v>
      </c>
      <c r="C1595" s="16">
        <v>46204</v>
      </c>
      <c r="D1595">
        <v>511.15999999999985</v>
      </c>
    </row>
    <row r="1596" spans="1:4" x14ac:dyDescent="0.3">
      <c r="A1596" t="s">
        <v>25</v>
      </c>
      <c r="C1596" s="16">
        <v>46204</v>
      </c>
      <c r="D1596">
        <v>54.400000000000006</v>
      </c>
    </row>
    <row r="1597" spans="1:4" x14ac:dyDescent="0.3">
      <c r="A1597" t="s">
        <v>26</v>
      </c>
      <c r="C1597" s="16">
        <v>46204</v>
      </c>
      <c r="D1597">
        <v>2207.8200000000002</v>
      </c>
    </row>
    <row r="1598" spans="1:4" x14ac:dyDescent="0.3">
      <c r="A1598" t="s">
        <v>27</v>
      </c>
      <c r="C1598" s="16">
        <v>46204</v>
      </c>
      <c r="D1598">
        <v>3349.94</v>
      </c>
    </row>
    <row r="1599" spans="1:4" x14ac:dyDescent="0.3">
      <c r="A1599" t="s">
        <v>28</v>
      </c>
      <c r="C1599" s="16">
        <v>46204</v>
      </c>
      <c r="D1599">
        <v>1968.99</v>
      </c>
    </row>
    <row r="1600" spans="1:4" x14ac:dyDescent="0.3">
      <c r="A1600" t="s">
        <v>29</v>
      </c>
      <c r="C1600" s="16">
        <v>46204</v>
      </c>
      <c r="D1600">
        <v>382.69000000000005</v>
      </c>
    </row>
    <row r="1601" spans="1:4" x14ac:dyDescent="0.3">
      <c r="A1601" t="s">
        <v>30</v>
      </c>
      <c r="C1601" s="16">
        <v>46204</v>
      </c>
      <c r="D1601">
        <v>1412.08</v>
      </c>
    </row>
    <row r="1602" spans="1:4" x14ac:dyDescent="0.3">
      <c r="A1602" t="s">
        <v>31</v>
      </c>
      <c r="C1602" s="16">
        <v>46204</v>
      </c>
      <c r="D1602">
        <v>22496.639999999959</v>
      </c>
    </row>
    <row r="1603" spans="1:4" x14ac:dyDescent="0.3">
      <c r="A1603" t="s">
        <v>32</v>
      </c>
      <c r="C1603" s="16">
        <v>46204</v>
      </c>
      <c r="D1603">
        <v>10522.800000000003</v>
      </c>
    </row>
    <row r="1604" spans="1:4" x14ac:dyDescent="0.3">
      <c r="A1604" t="s">
        <v>33</v>
      </c>
      <c r="C1604" s="16">
        <v>46204</v>
      </c>
      <c r="D1604">
        <v>19685.559999999998</v>
      </c>
    </row>
    <row r="1605" spans="1:4" x14ac:dyDescent="0.3">
      <c r="A1605" t="s">
        <v>34</v>
      </c>
      <c r="C1605" s="16">
        <v>46204</v>
      </c>
      <c r="D1605">
        <v>345</v>
      </c>
    </row>
    <row r="1606" spans="1:4" x14ac:dyDescent="0.3">
      <c r="A1606" t="s">
        <v>35</v>
      </c>
      <c r="C1606" s="16">
        <v>46204</v>
      </c>
      <c r="D1606">
        <v>23439.279999999999</v>
      </c>
    </row>
    <row r="1607" spans="1:4" x14ac:dyDescent="0.3">
      <c r="A1607" t="s">
        <v>193</v>
      </c>
      <c r="C1607" s="16">
        <v>46204</v>
      </c>
      <c r="D1607">
        <v>0</v>
      </c>
    </row>
    <row r="1608" spans="1:4" x14ac:dyDescent="0.3">
      <c r="A1608" t="s">
        <v>194</v>
      </c>
      <c r="C1608" s="16">
        <v>46204</v>
      </c>
      <c r="D1608">
        <v>0</v>
      </c>
    </row>
    <row r="1609" spans="1:4" x14ac:dyDescent="0.3">
      <c r="A1609" t="s">
        <v>195</v>
      </c>
      <c r="C1609" s="16">
        <v>46204</v>
      </c>
      <c r="D1609">
        <v>0</v>
      </c>
    </row>
    <row r="1610" spans="1:4" x14ac:dyDescent="0.3">
      <c r="A1610" t="s">
        <v>196</v>
      </c>
      <c r="C1610" s="16">
        <v>46204</v>
      </c>
      <c r="D1610">
        <v>0</v>
      </c>
    </row>
    <row r="1611" spans="1:4" x14ac:dyDescent="0.3">
      <c r="A1611" t="s">
        <v>197</v>
      </c>
      <c r="C1611" s="16">
        <v>46204</v>
      </c>
      <c r="D1611">
        <v>0</v>
      </c>
    </row>
    <row r="1612" spans="1:4" x14ac:dyDescent="0.3">
      <c r="A1612" t="s">
        <v>214</v>
      </c>
      <c r="C1612" s="16">
        <v>46204</v>
      </c>
      <c r="D1612">
        <v>0</v>
      </c>
    </row>
    <row r="1613" spans="1:4" x14ac:dyDescent="0.3">
      <c r="A1613" t="s">
        <v>199</v>
      </c>
      <c r="C1613" s="16">
        <v>46204</v>
      </c>
      <c r="D1613">
        <v>0</v>
      </c>
    </row>
    <row r="1614" spans="1:4" x14ac:dyDescent="0.3">
      <c r="A1614" t="s">
        <v>17</v>
      </c>
      <c r="C1614" s="16">
        <v>46205</v>
      </c>
      <c r="D1614">
        <v>5592585.7500000009</v>
      </c>
    </row>
    <row r="1615" spans="1:4" x14ac:dyDescent="0.3">
      <c r="A1615" t="s">
        <v>18</v>
      </c>
      <c r="C1615" s="16">
        <v>46205</v>
      </c>
      <c r="D1615">
        <v>79139.680000000168</v>
      </c>
    </row>
    <row r="1616" spans="1:4" x14ac:dyDescent="0.3">
      <c r="A1616" t="s">
        <v>19</v>
      </c>
      <c r="C1616" s="16">
        <v>46205</v>
      </c>
      <c r="D1616">
        <v>1669.89</v>
      </c>
    </row>
    <row r="1617" spans="1:4" x14ac:dyDescent="0.3">
      <c r="A1617" t="s">
        <v>20</v>
      </c>
      <c r="C1617" s="16">
        <v>46205</v>
      </c>
      <c r="D1617">
        <v>350475.62999999989</v>
      </c>
    </row>
    <row r="1618" spans="1:4" x14ac:dyDescent="0.3">
      <c r="A1618" t="s">
        <v>21</v>
      </c>
      <c r="C1618" s="16">
        <v>46205</v>
      </c>
      <c r="D1618">
        <v>1761564.8799999994</v>
      </c>
    </row>
    <row r="1619" spans="1:4" x14ac:dyDescent="0.3">
      <c r="A1619" t="s">
        <v>22</v>
      </c>
      <c r="C1619" s="16">
        <v>46205</v>
      </c>
      <c r="D1619">
        <v>220496.38</v>
      </c>
    </row>
    <row r="1620" spans="1:4" x14ac:dyDescent="0.3">
      <c r="A1620" t="s">
        <v>23</v>
      </c>
      <c r="C1620" s="16">
        <v>46205</v>
      </c>
      <c r="D1620">
        <v>267503.99000000005</v>
      </c>
    </row>
    <row r="1621" spans="1:4" x14ac:dyDescent="0.3">
      <c r="A1621" t="s">
        <v>24</v>
      </c>
      <c r="C1621" s="16">
        <v>46205</v>
      </c>
      <c r="D1621">
        <v>511.15999999999985</v>
      </c>
    </row>
    <row r="1622" spans="1:4" x14ac:dyDescent="0.3">
      <c r="A1622" t="s">
        <v>25</v>
      </c>
      <c r="C1622" s="16">
        <v>46205</v>
      </c>
      <c r="D1622">
        <v>54.400000000000006</v>
      </c>
    </row>
    <row r="1623" spans="1:4" x14ac:dyDescent="0.3">
      <c r="A1623" t="s">
        <v>26</v>
      </c>
      <c r="C1623" s="16">
        <v>46205</v>
      </c>
      <c r="D1623">
        <v>2207.8200000000002</v>
      </c>
    </row>
    <row r="1624" spans="1:4" x14ac:dyDescent="0.3">
      <c r="A1624" t="s">
        <v>27</v>
      </c>
      <c r="C1624" s="16">
        <v>46205</v>
      </c>
      <c r="D1624">
        <v>3349.94</v>
      </c>
    </row>
    <row r="1625" spans="1:4" x14ac:dyDescent="0.3">
      <c r="A1625" t="s">
        <v>28</v>
      </c>
      <c r="C1625" s="16">
        <v>46205</v>
      </c>
      <c r="D1625">
        <v>1968.99</v>
      </c>
    </row>
    <row r="1626" spans="1:4" x14ac:dyDescent="0.3">
      <c r="A1626" t="s">
        <v>29</v>
      </c>
      <c r="C1626" s="16">
        <v>46205</v>
      </c>
      <c r="D1626">
        <v>382.69000000000005</v>
      </c>
    </row>
    <row r="1627" spans="1:4" x14ac:dyDescent="0.3">
      <c r="A1627" t="s">
        <v>30</v>
      </c>
      <c r="C1627" s="16">
        <v>46205</v>
      </c>
      <c r="D1627">
        <v>1412.08</v>
      </c>
    </row>
    <row r="1628" spans="1:4" x14ac:dyDescent="0.3">
      <c r="A1628" t="s">
        <v>31</v>
      </c>
      <c r="C1628" s="16">
        <v>46205</v>
      </c>
      <c r="D1628">
        <v>22496.639999999959</v>
      </c>
    </row>
    <row r="1629" spans="1:4" x14ac:dyDescent="0.3">
      <c r="A1629" t="s">
        <v>32</v>
      </c>
      <c r="C1629" s="16">
        <v>46205</v>
      </c>
      <c r="D1629">
        <v>10522.800000000003</v>
      </c>
    </row>
    <row r="1630" spans="1:4" x14ac:dyDescent="0.3">
      <c r="A1630" t="s">
        <v>33</v>
      </c>
      <c r="C1630" s="16">
        <v>46205</v>
      </c>
      <c r="D1630">
        <v>28485.559999999998</v>
      </c>
    </row>
    <row r="1631" spans="1:4" x14ac:dyDescent="0.3">
      <c r="A1631" t="s">
        <v>34</v>
      </c>
      <c r="C1631" s="16">
        <v>46205</v>
      </c>
      <c r="D1631">
        <v>345</v>
      </c>
    </row>
    <row r="1632" spans="1:4" x14ac:dyDescent="0.3">
      <c r="A1632" t="s">
        <v>35</v>
      </c>
      <c r="C1632" s="16">
        <v>46205</v>
      </c>
      <c r="D1632">
        <v>36241.22</v>
      </c>
    </row>
    <row r="1633" spans="1:4" x14ac:dyDescent="0.3">
      <c r="A1633" t="s">
        <v>193</v>
      </c>
      <c r="C1633" s="16">
        <v>46205</v>
      </c>
      <c r="D1633">
        <v>0</v>
      </c>
    </row>
    <row r="1634" spans="1:4" x14ac:dyDescent="0.3">
      <c r="A1634" t="s">
        <v>194</v>
      </c>
      <c r="C1634" s="16">
        <v>46205</v>
      </c>
      <c r="D1634">
        <v>0</v>
      </c>
    </row>
    <row r="1635" spans="1:4" x14ac:dyDescent="0.3">
      <c r="A1635" t="s">
        <v>195</v>
      </c>
      <c r="C1635" s="16">
        <v>46205</v>
      </c>
      <c r="D1635">
        <v>0</v>
      </c>
    </row>
    <row r="1636" spans="1:4" x14ac:dyDescent="0.3">
      <c r="A1636" t="s">
        <v>196</v>
      </c>
      <c r="C1636" s="16">
        <v>46205</v>
      </c>
      <c r="D1636">
        <v>0</v>
      </c>
    </row>
    <row r="1637" spans="1:4" x14ac:dyDescent="0.3">
      <c r="A1637" t="s">
        <v>197</v>
      </c>
      <c r="C1637" s="16">
        <v>46205</v>
      </c>
      <c r="D1637">
        <v>0</v>
      </c>
    </row>
    <row r="1638" spans="1:4" x14ac:dyDescent="0.3">
      <c r="A1638" t="s">
        <v>214</v>
      </c>
      <c r="C1638" s="16">
        <v>46205</v>
      </c>
      <c r="D1638">
        <v>0</v>
      </c>
    </row>
    <row r="1639" spans="1:4" x14ac:dyDescent="0.3">
      <c r="A1639" t="s">
        <v>199</v>
      </c>
      <c r="C1639" s="16">
        <v>46205</v>
      </c>
      <c r="D1639">
        <v>0</v>
      </c>
    </row>
    <row r="1640" spans="1:4" x14ac:dyDescent="0.3">
      <c r="A1640" t="s">
        <v>17</v>
      </c>
      <c r="C1640" s="16">
        <v>46206</v>
      </c>
      <c r="D1640">
        <v>5592585.7500000009</v>
      </c>
    </row>
    <row r="1641" spans="1:4" x14ac:dyDescent="0.3">
      <c r="A1641" t="s">
        <v>18</v>
      </c>
      <c r="C1641" s="16">
        <v>46206</v>
      </c>
      <c r="D1641">
        <v>79139.680000000168</v>
      </c>
    </row>
    <row r="1642" spans="1:4" x14ac:dyDescent="0.3">
      <c r="A1642" t="s">
        <v>19</v>
      </c>
      <c r="C1642" s="16">
        <v>46206</v>
      </c>
      <c r="D1642">
        <v>1669.89</v>
      </c>
    </row>
    <row r="1643" spans="1:4" x14ac:dyDescent="0.3">
      <c r="A1643" t="s">
        <v>20</v>
      </c>
      <c r="C1643" s="16">
        <v>46206</v>
      </c>
      <c r="D1643">
        <v>350475.62999999989</v>
      </c>
    </row>
    <row r="1644" spans="1:4" x14ac:dyDescent="0.3">
      <c r="A1644" t="s">
        <v>21</v>
      </c>
      <c r="C1644" s="16">
        <v>46206</v>
      </c>
      <c r="D1644">
        <v>1761564.8799999994</v>
      </c>
    </row>
    <row r="1645" spans="1:4" x14ac:dyDescent="0.3">
      <c r="A1645" t="s">
        <v>22</v>
      </c>
      <c r="C1645" s="16">
        <v>46206</v>
      </c>
      <c r="D1645">
        <v>220496.38</v>
      </c>
    </row>
    <row r="1646" spans="1:4" x14ac:dyDescent="0.3">
      <c r="A1646" t="s">
        <v>23</v>
      </c>
      <c r="C1646" s="16">
        <v>46206</v>
      </c>
      <c r="D1646">
        <v>267503.99000000005</v>
      </c>
    </row>
    <row r="1647" spans="1:4" x14ac:dyDescent="0.3">
      <c r="A1647" t="s">
        <v>24</v>
      </c>
      <c r="C1647" s="16">
        <v>46206</v>
      </c>
      <c r="D1647">
        <v>471.15999999999985</v>
      </c>
    </row>
    <row r="1648" spans="1:4" x14ac:dyDescent="0.3">
      <c r="A1648" t="s">
        <v>25</v>
      </c>
      <c r="C1648" s="16">
        <v>46206</v>
      </c>
      <c r="D1648">
        <v>54.400000000000006</v>
      </c>
    </row>
    <row r="1649" spans="1:4" x14ac:dyDescent="0.3">
      <c r="A1649" t="s">
        <v>26</v>
      </c>
      <c r="C1649" s="16">
        <v>46206</v>
      </c>
      <c r="D1649">
        <v>2207.8200000000002</v>
      </c>
    </row>
    <row r="1650" spans="1:4" x14ac:dyDescent="0.3">
      <c r="A1650" t="s">
        <v>27</v>
      </c>
      <c r="C1650" s="16">
        <v>46206</v>
      </c>
      <c r="D1650">
        <v>3349.94</v>
      </c>
    </row>
    <row r="1651" spans="1:4" x14ac:dyDescent="0.3">
      <c r="A1651" t="s">
        <v>28</v>
      </c>
      <c r="C1651" s="16">
        <v>46206</v>
      </c>
      <c r="D1651">
        <v>1968.99</v>
      </c>
    </row>
    <row r="1652" spans="1:4" x14ac:dyDescent="0.3">
      <c r="A1652" t="s">
        <v>29</v>
      </c>
      <c r="C1652" s="16">
        <v>46206</v>
      </c>
      <c r="D1652">
        <v>382.69000000000005</v>
      </c>
    </row>
    <row r="1653" spans="1:4" x14ac:dyDescent="0.3">
      <c r="A1653" t="s">
        <v>30</v>
      </c>
      <c r="C1653" s="16">
        <v>46206</v>
      </c>
      <c r="D1653">
        <v>1412.08</v>
      </c>
    </row>
    <row r="1654" spans="1:4" x14ac:dyDescent="0.3">
      <c r="A1654" t="s">
        <v>31</v>
      </c>
      <c r="C1654" s="16">
        <v>46206</v>
      </c>
      <c r="D1654">
        <v>22496.639999999959</v>
      </c>
    </row>
    <row r="1655" spans="1:4" x14ac:dyDescent="0.3">
      <c r="A1655" t="s">
        <v>32</v>
      </c>
      <c r="C1655" s="16">
        <v>46206</v>
      </c>
      <c r="D1655">
        <v>10522.800000000003</v>
      </c>
    </row>
    <row r="1656" spans="1:4" x14ac:dyDescent="0.3">
      <c r="A1656" t="s">
        <v>33</v>
      </c>
      <c r="C1656" s="16">
        <v>46206</v>
      </c>
      <c r="D1656">
        <v>28485.559999999998</v>
      </c>
    </row>
    <row r="1657" spans="1:4" x14ac:dyDescent="0.3">
      <c r="A1657" t="s">
        <v>34</v>
      </c>
      <c r="C1657" s="16">
        <v>46206</v>
      </c>
      <c r="D1657">
        <v>345</v>
      </c>
    </row>
    <row r="1658" spans="1:4" x14ac:dyDescent="0.3">
      <c r="A1658" t="s">
        <v>35</v>
      </c>
      <c r="C1658" s="16">
        <v>46206</v>
      </c>
      <c r="D1658">
        <v>33119.040000000001</v>
      </c>
    </row>
    <row r="1659" spans="1:4" x14ac:dyDescent="0.3">
      <c r="A1659" t="s">
        <v>193</v>
      </c>
      <c r="C1659" s="16">
        <v>46206</v>
      </c>
      <c r="D1659">
        <v>0</v>
      </c>
    </row>
    <row r="1660" spans="1:4" x14ac:dyDescent="0.3">
      <c r="A1660" t="s">
        <v>194</v>
      </c>
      <c r="C1660" s="16">
        <v>46206</v>
      </c>
      <c r="D1660">
        <v>0</v>
      </c>
    </row>
    <row r="1661" spans="1:4" x14ac:dyDescent="0.3">
      <c r="A1661" t="s">
        <v>195</v>
      </c>
      <c r="C1661" s="16">
        <v>46206</v>
      </c>
      <c r="D1661">
        <v>0</v>
      </c>
    </row>
    <row r="1662" spans="1:4" x14ac:dyDescent="0.3">
      <c r="A1662" t="s">
        <v>196</v>
      </c>
      <c r="C1662" s="16">
        <v>46206</v>
      </c>
      <c r="D1662">
        <v>0</v>
      </c>
    </row>
    <row r="1663" spans="1:4" x14ac:dyDescent="0.3">
      <c r="A1663" t="s">
        <v>197</v>
      </c>
      <c r="C1663" s="16">
        <v>46206</v>
      </c>
      <c r="D1663">
        <v>0</v>
      </c>
    </row>
    <row r="1664" spans="1:4" x14ac:dyDescent="0.3">
      <c r="A1664" t="s">
        <v>214</v>
      </c>
      <c r="C1664" s="16">
        <v>46206</v>
      </c>
      <c r="D1664">
        <v>0</v>
      </c>
    </row>
    <row r="1665" spans="1:4" x14ac:dyDescent="0.3">
      <c r="A1665" t="s">
        <v>199</v>
      </c>
      <c r="C1665" s="16">
        <v>46206</v>
      </c>
      <c r="D1665">
        <v>0</v>
      </c>
    </row>
    <row r="1666" spans="1:4" x14ac:dyDescent="0.3">
      <c r="A1666" t="s">
        <v>17</v>
      </c>
      <c r="C1666" s="16">
        <v>46207</v>
      </c>
      <c r="D1666">
        <v>5592585.7500000009</v>
      </c>
    </row>
    <row r="1667" spans="1:4" x14ac:dyDescent="0.3">
      <c r="A1667" t="s">
        <v>18</v>
      </c>
      <c r="C1667" s="16">
        <v>46207</v>
      </c>
      <c r="D1667">
        <v>79139.680000000168</v>
      </c>
    </row>
    <row r="1668" spans="1:4" x14ac:dyDescent="0.3">
      <c r="A1668" t="s">
        <v>19</v>
      </c>
      <c r="C1668" s="16">
        <v>46207</v>
      </c>
      <c r="D1668">
        <v>1669.89</v>
      </c>
    </row>
    <row r="1669" spans="1:4" x14ac:dyDescent="0.3">
      <c r="A1669" t="s">
        <v>20</v>
      </c>
      <c r="C1669" s="16">
        <v>46207</v>
      </c>
      <c r="D1669">
        <v>350475.62999999989</v>
      </c>
    </row>
    <row r="1670" spans="1:4" x14ac:dyDescent="0.3">
      <c r="A1670" t="s">
        <v>21</v>
      </c>
      <c r="C1670" s="16">
        <v>46207</v>
      </c>
      <c r="D1670">
        <v>1761564.8799999994</v>
      </c>
    </row>
    <row r="1671" spans="1:4" x14ac:dyDescent="0.3">
      <c r="A1671" t="s">
        <v>22</v>
      </c>
      <c r="C1671" s="16">
        <v>46207</v>
      </c>
      <c r="D1671">
        <v>220496.38</v>
      </c>
    </row>
    <row r="1672" spans="1:4" x14ac:dyDescent="0.3">
      <c r="A1672" t="s">
        <v>23</v>
      </c>
      <c r="C1672" s="16">
        <v>46207</v>
      </c>
      <c r="D1672">
        <v>267503.99000000005</v>
      </c>
    </row>
    <row r="1673" spans="1:4" x14ac:dyDescent="0.3">
      <c r="A1673" t="s">
        <v>24</v>
      </c>
      <c r="C1673" s="16">
        <v>46207</v>
      </c>
      <c r="D1673">
        <v>471.15999999999985</v>
      </c>
    </row>
    <row r="1674" spans="1:4" x14ac:dyDescent="0.3">
      <c r="A1674" t="s">
        <v>25</v>
      </c>
      <c r="C1674" s="16">
        <v>46207</v>
      </c>
      <c r="D1674">
        <v>54.400000000000006</v>
      </c>
    </row>
    <row r="1675" spans="1:4" x14ac:dyDescent="0.3">
      <c r="A1675" t="s">
        <v>26</v>
      </c>
      <c r="C1675" s="16">
        <v>46207</v>
      </c>
      <c r="D1675">
        <v>2207.8200000000002</v>
      </c>
    </row>
    <row r="1676" spans="1:4" x14ac:dyDescent="0.3">
      <c r="A1676" t="s">
        <v>27</v>
      </c>
      <c r="C1676" s="16">
        <v>46207</v>
      </c>
      <c r="D1676">
        <v>3349.94</v>
      </c>
    </row>
    <row r="1677" spans="1:4" x14ac:dyDescent="0.3">
      <c r="A1677" t="s">
        <v>28</v>
      </c>
      <c r="C1677" s="16">
        <v>46207</v>
      </c>
      <c r="D1677">
        <v>1968.99</v>
      </c>
    </row>
    <row r="1678" spans="1:4" x14ac:dyDescent="0.3">
      <c r="A1678" t="s">
        <v>29</v>
      </c>
      <c r="C1678" s="16">
        <v>46207</v>
      </c>
      <c r="D1678">
        <v>382.69000000000005</v>
      </c>
    </row>
    <row r="1679" spans="1:4" x14ac:dyDescent="0.3">
      <c r="A1679" t="s">
        <v>30</v>
      </c>
      <c r="C1679" s="16">
        <v>46207</v>
      </c>
      <c r="D1679">
        <v>1412.08</v>
      </c>
    </row>
    <row r="1680" spans="1:4" x14ac:dyDescent="0.3">
      <c r="A1680" t="s">
        <v>31</v>
      </c>
      <c r="C1680" s="16">
        <v>46207</v>
      </c>
      <c r="D1680">
        <v>22496.639999999959</v>
      </c>
    </row>
    <row r="1681" spans="1:4" x14ac:dyDescent="0.3">
      <c r="A1681" t="s">
        <v>32</v>
      </c>
      <c r="C1681" s="16">
        <v>46207</v>
      </c>
      <c r="D1681">
        <v>10522.800000000003</v>
      </c>
    </row>
    <row r="1682" spans="1:4" x14ac:dyDescent="0.3">
      <c r="A1682" t="s">
        <v>33</v>
      </c>
      <c r="C1682" s="16">
        <v>46207</v>
      </c>
      <c r="D1682">
        <v>28485.559999999998</v>
      </c>
    </row>
    <row r="1683" spans="1:4" x14ac:dyDescent="0.3">
      <c r="A1683" t="s">
        <v>34</v>
      </c>
      <c r="C1683" s="16">
        <v>46207</v>
      </c>
      <c r="D1683">
        <v>345</v>
      </c>
    </row>
    <row r="1684" spans="1:4" x14ac:dyDescent="0.3">
      <c r="A1684" t="s">
        <v>35</v>
      </c>
      <c r="C1684" s="16">
        <v>46207</v>
      </c>
      <c r="D1684">
        <v>33119.040000000001</v>
      </c>
    </row>
    <row r="1685" spans="1:4" x14ac:dyDescent="0.3">
      <c r="A1685" t="s">
        <v>193</v>
      </c>
      <c r="C1685" s="16">
        <v>46207</v>
      </c>
      <c r="D1685">
        <v>0</v>
      </c>
    </row>
    <row r="1686" spans="1:4" x14ac:dyDescent="0.3">
      <c r="A1686" t="s">
        <v>194</v>
      </c>
      <c r="C1686" s="16">
        <v>46207</v>
      </c>
      <c r="D1686">
        <v>0</v>
      </c>
    </row>
    <row r="1687" spans="1:4" x14ac:dyDescent="0.3">
      <c r="A1687" t="s">
        <v>195</v>
      </c>
      <c r="C1687" s="16">
        <v>46207</v>
      </c>
      <c r="D1687">
        <v>0</v>
      </c>
    </row>
    <row r="1688" spans="1:4" x14ac:dyDescent="0.3">
      <c r="A1688" t="s">
        <v>196</v>
      </c>
      <c r="C1688" s="16">
        <v>46207</v>
      </c>
      <c r="D1688">
        <v>0</v>
      </c>
    </row>
    <row r="1689" spans="1:4" x14ac:dyDescent="0.3">
      <c r="A1689" t="s">
        <v>197</v>
      </c>
      <c r="C1689" s="16">
        <v>46207</v>
      </c>
      <c r="D1689">
        <v>0</v>
      </c>
    </row>
    <row r="1690" spans="1:4" x14ac:dyDescent="0.3">
      <c r="A1690" t="s">
        <v>214</v>
      </c>
      <c r="C1690" s="16">
        <v>46207</v>
      </c>
      <c r="D1690">
        <v>0</v>
      </c>
    </row>
    <row r="1691" spans="1:4" x14ac:dyDescent="0.3">
      <c r="A1691" t="s">
        <v>199</v>
      </c>
      <c r="C1691" s="16">
        <v>46207</v>
      </c>
      <c r="D1691">
        <v>0</v>
      </c>
    </row>
    <row r="1692" spans="1:4" x14ac:dyDescent="0.3">
      <c r="A1692" t="s">
        <v>17</v>
      </c>
      <c r="C1692" s="16">
        <v>46208</v>
      </c>
      <c r="D1692">
        <v>5592585.7500000009</v>
      </c>
    </row>
    <row r="1693" spans="1:4" x14ac:dyDescent="0.3">
      <c r="A1693" t="s">
        <v>18</v>
      </c>
      <c r="C1693" s="16">
        <v>46208</v>
      </c>
      <c r="D1693">
        <v>79139.680000000168</v>
      </c>
    </row>
    <row r="1694" spans="1:4" x14ac:dyDescent="0.3">
      <c r="A1694" t="s">
        <v>19</v>
      </c>
      <c r="C1694" s="16">
        <v>46208</v>
      </c>
      <c r="D1694">
        <v>1669.89</v>
      </c>
    </row>
    <row r="1695" spans="1:4" x14ac:dyDescent="0.3">
      <c r="A1695" t="s">
        <v>20</v>
      </c>
      <c r="C1695" s="16">
        <v>46208</v>
      </c>
      <c r="D1695">
        <v>350475.62999999989</v>
      </c>
    </row>
    <row r="1696" spans="1:4" x14ac:dyDescent="0.3">
      <c r="A1696" t="s">
        <v>21</v>
      </c>
      <c r="C1696" s="16">
        <v>46208</v>
      </c>
      <c r="D1696">
        <v>1761564.8799999994</v>
      </c>
    </row>
    <row r="1697" spans="1:4" x14ac:dyDescent="0.3">
      <c r="A1697" t="s">
        <v>22</v>
      </c>
      <c r="C1697" s="16">
        <v>46208</v>
      </c>
      <c r="D1697">
        <v>220496.38</v>
      </c>
    </row>
    <row r="1698" spans="1:4" x14ac:dyDescent="0.3">
      <c r="A1698" t="s">
        <v>23</v>
      </c>
      <c r="C1698" s="16">
        <v>46208</v>
      </c>
      <c r="D1698">
        <v>267503.99000000005</v>
      </c>
    </row>
    <row r="1699" spans="1:4" x14ac:dyDescent="0.3">
      <c r="A1699" t="s">
        <v>24</v>
      </c>
      <c r="C1699" s="16">
        <v>46208</v>
      </c>
      <c r="D1699">
        <v>471.15999999999985</v>
      </c>
    </row>
    <row r="1700" spans="1:4" x14ac:dyDescent="0.3">
      <c r="A1700" t="s">
        <v>25</v>
      </c>
      <c r="C1700" s="16">
        <v>46208</v>
      </c>
      <c r="D1700">
        <v>54.400000000000006</v>
      </c>
    </row>
    <row r="1701" spans="1:4" x14ac:dyDescent="0.3">
      <c r="A1701" t="s">
        <v>26</v>
      </c>
      <c r="C1701" s="16">
        <v>46208</v>
      </c>
      <c r="D1701">
        <v>2207.8200000000002</v>
      </c>
    </row>
    <row r="1702" spans="1:4" x14ac:dyDescent="0.3">
      <c r="A1702" t="s">
        <v>27</v>
      </c>
      <c r="C1702" s="16">
        <v>46208</v>
      </c>
      <c r="D1702">
        <v>3349.94</v>
      </c>
    </row>
    <row r="1703" spans="1:4" x14ac:dyDescent="0.3">
      <c r="A1703" t="s">
        <v>28</v>
      </c>
      <c r="C1703" s="16">
        <v>46208</v>
      </c>
      <c r="D1703">
        <v>1968.99</v>
      </c>
    </row>
    <row r="1704" spans="1:4" x14ac:dyDescent="0.3">
      <c r="A1704" t="s">
        <v>29</v>
      </c>
      <c r="C1704" s="16">
        <v>46208</v>
      </c>
      <c r="D1704">
        <v>382.69000000000005</v>
      </c>
    </row>
    <row r="1705" spans="1:4" x14ac:dyDescent="0.3">
      <c r="A1705" t="s">
        <v>30</v>
      </c>
      <c r="C1705" s="16">
        <v>46208</v>
      </c>
      <c r="D1705">
        <v>1412.08</v>
      </c>
    </row>
    <row r="1706" spans="1:4" x14ac:dyDescent="0.3">
      <c r="A1706" t="s">
        <v>31</v>
      </c>
      <c r="C1706" s="16">
        <v>46208</v>
      </c>
      <c r="D1706">
        <v>22496.639999999959</v>
      </c>
    </row>
    <row r="1707" spans="1:4" x14ac:dyDescent="0.3">
      <c r="A1707" t="s">
        <v>32</v>
      </c>
      <c r="C1707" s="16">
        <v>46208</v>
      </c>
      <c r="D1707">
        <v>10522.800000000003</v>
      </c>
    </row>
    <row r="1708" spans="1:4" x14ac:dyDescent="0.3">
      <c r="A1708" t="s">
        <v>33</v>
      </c>
      <c r="C1708" s="16">
        <v>46208</v>
      </c>
      <c r="D1708">
        <v>28485.559999999998</v>
      </c>
    </row>
    <row r="1709" spans="1:4" x14ac:dyDescent="0.3">
      <c r="A1709" t="s">
        <v>34</v>
      </c>
      <c r="C1709" s="16">
        <v>46208</v>
      </c>
      <c r="D1709">
        <v>345</v>
      </c>
    </row>
    <row r="1710" spans="1:4" x14ac:dyDescent="0.3">
      <c r="A1710" t="s">
        <v>35</v>
      </c>
      <c r="C1710" s="16">
        <v>46208</v>
      </c>
      <c r="D1710">
        <v>33119.040000000001</v>
      </c>
    </row>
    <row r="1711" spans="1:4" x14ac:dyDescent="0.3">
      <c r="A1711" t="s">
        <v>193</v>
      </c>
      <c r="C1711" s="16">
        <v>46208</v>
      </c>
      <c r="D1711">
        <v>0</v>
      </c>
    </row>
    <row r="1712" spans="1:4" x14ac:dyDescent="0.3">
      <c r="A1712" t="s">
        <v>194</v>
      </c>
      <c r="C1712" s="16">
        <v>46208</v>
      </c>
      <c r="D1712">
        <v>0</v>
      </c>
    </row>
    <row r="1713" spans="1:4" x14ac:dyDescent="0.3">
      <c r="A1713" t="s">
        <v>195</v>
      </c>
      <c r="C1713" s="16">
        <v>46208</v>
      </c>
      <c r="D1713">
        <v>0</v>
      </c>
    </row>
    <row r="1714" spans="1:4" x14ac:dyDescent="0.3">
      <c r="A1714" t="s">
        <v>196</v>
      </c>
      <c r="C1714" s="16">
        <v>46208</v>
      </c>
      <c r="D1714">
        <v>0</v>
      </c>
    </row>
    <row r="1715" spans="1:4" x14ac:dyDescent="0.3">
      <c r="A1715" t="s">
        <v>197</v>
      </c>
      <c r="C1715" s="16">
        <v>46208</v>
      </c>
      <c r="D1715">
        <v>0</v>
      </c>
    </row>
    <row r="1716" spans="1:4" x14ac:dyDescent="0.3">
      <c r="A1716" t="s">
        <v>214</v>
      </c>
      <c r="C1716" s="16">
        <v>46208</v>
      </c>
      <c r="D1716">
        <v>0</v>
      </c>
    </row>
    <row r="1717" spans="1:4" x14ac:dyDescent="0.3">
      <c r="A1717" t="s">
        <v>199</v>
      </c>
      <c r="C1717" s="16">
        <v>46208</v>
      </c>
      <c r="D1717">
        <v>0</v>
      </c>
    </row>
    <row r="1718" spans="1:4" x14ac:dyDescent="0.3">
      <c r="A1718" t="s">
        <v>17</v>
      </c>
      <c r="C1718" s="16">
        <v>46209</v>
      </c>
      <c r="D1718">
        <v>5592585.7500000009</v>
      </c>
    </row>
    <row r="1719" spans="1:4" x14ac:dyDescent="0.3">
      <c r="A1719" t="s">
        <v>18</v>
      </c>
      <c r="C1719" s="16">
        <v>46209</v>
      </c>
      <c r="D1719">
        <v>79139.680000000168</v>
      </c>
    </row>
    <row r="1720" spans="1:4" x14ac:dyDescent="0.3">
      <c r="A1720" t="s">
        <v>19</v>
      </c>
      <c r="C1720" s="16">
        <v>46209</v>
      </c>
      <c r="D1720">
        <v>1669.89</v>
      </c>
    </row>
    <row r="1721" spans="1:4" x14ac:dyDescent="0.3">
      <c r="A1721" t="s">
        <v>20</v>
      </c>
      <c r="C1721" s="16">
        <v>46209</v>
      </c>
      <c r="D1721">
        <v>350475.62999999989</v>
      </c>
    </row>
    <row r="1722" spans="1:4" x14ac:dyDescent="0.3">
      <c r="A1722" t="s">
        <v>21</v>
      </c>
      <c r="C1722" s="16">
        <v>46209</v>
      </c>
      <c r="D1722">
        <v>1761026.4599999995</v>
      </c>
    </row>
    <row r="1723" spans="1:4" x14ac:dyDescent="0.3">
      <c r="A1723" t="s">
        <v>22</v>
      </c>
      <c r="C1723" s="16">
        <v>46209</v>
      </c>
      <c r="D1723">
        <v>220496.38</v>
      </c>
    </row>
    <row r="1724" spans="1:4" x14ac:dyDescent="0.3">
      <c r="A1724" t="s">
        <v>23</v>
      </c>
      <c r="C1724" s="16">
        <v>46209</v>
      </c>
      <c r="D1724">
        <v>267503.99000000005</v>
      </c>
    </row>
    <row r="1725" spans="1:4" x14ac:dyDescent="0.3">
      <c r="A1725" t="s">
        <v>24</v>
      </c>
      <c r="C1725" s="16">
        <v>46209</v>
      </c>
      <c r="D1725">
        <v>471.15999999999985</v>
      </c>
    </row>
    <row r="1726" spans="1:4" x14ac:dyDescent="0.3">
      <c r="A1726" t="s">
        <v>25</v>
      </c>
      <c r="C1726" s="16">
        <v>46209</v>
      </c>
      <c r="D1726">
        <v>54.400000000000006</v>
      </c>
    </row>
    <row r="1727" spans="1:4" x14ac:dyDescent="0.3">
      <c r="A1727" t="s">
        <v>26</v>
      </c>
      <c r="C1727" s="16">
        <v>46209</v>
      </c>
      <c r="D1727">
        <v>2207.8200000000002</v>
      </c>
    </row>
    <row r="1728" spans="1:4" x14ac:dyDescent="0.3">
      <c r="A1728" t="s">
        <v>27</v>
      </c>
      <c r="C1728" s="16">
        <v>46209</v>
      </c>
      <c r="D1728">
        <v>3349.94</v>
      </c>
    </row>
    <row r="1729" spans="1:4" x14ac:dyDescent="0.3">
      <c r="A1729" t="s">
        <v>28</v>
      </c>
      <c r="C1729" s="16">
        <v>46209</v>
      </c>
      <c r="D1729">
        <v>1968.99</v>
      </c>
    </row>
    <row r="1730" spans="1:4" x14ac:dyDescent="0.3">
      <c r="A1730" t="s">
        <v>29</v>
      </c>
      <c r="C1730" s="16">
        <v>46209</v>
      </c>
      <c r="D1730">
        <v>382.69000000000005</v>
      </c>
    </row>
    <row r="1731" spans="1:4" x14ac:dyDescent="0.3">
      <c r="A1731" t="s">
        <v>30</v>
      </c>
      <c r="C1731" s="16">
        <v>46209</v>
      </c>
      <c r="D1731">
        <v>1412.08</v>
      </c>
    </row>
    <row r="1732" spans="1:4" x14ac:dyDescent="0.3">
      <c r="A1732" t="s">
        <v>31</v>
      </c>
      <c r="C1732" s="16">
        <v>46209</v>
      </c>
      <c r="D1732">
        <v>22496.639999999959</v>
      </c>
    </row>
    <row r="1733" spans="1:4" x14ac:dyDescent="0.3">
      <c r="A1733" t="s">
        <v>32</v>
      </c>
      <c r="C1733" s="16">
        <v>46209</v>
      </c>
      <c r="D1733">
        <v>10522.800000000003</v>
      </c>
    </row>
    <row r="1734" spans="1:4" x14ac:dyDescent="0.3">
      <c r="A1734" t="s">
        <v>33</v>
      </c>
      <c r="C1734" s="16">
        <v>46209</v>
      </c>
      <c r="D1734">
        <v>28485.559999999998</v>
      </c>
    </row>
    <row r="1735" spans="1:4" x14ac:dyDescent="0.3">
      <c r="A1735" t="s">
        <v>34</v>
      </c>
      <c r="C1735" s="16">
        <v>46209</v>
      </c>
      <c r="D1735">
        <v>345</v>
      </c>
    </row>
    <row r="1736" spans="1:4" x14ac:dyDescent="0.3">
      <c r="A1736" t="s">
        <v>35</v>
      </c>
      <c r="C1736" s="16">
        <v>46209</v>
      </c>
      <c r="D1736">
        <v>15165.34</v>
      </c>
    </row>
    <row r="1737" spans="1:4" x14ac:dyDescent="0.3">
      <c r="A1737" t="s">
        <v>193</v>
      </c>
      <c r="C1737" s="16">
        <v>46209</v>
      </c>
      <c r="D1737">
        <v>0</v>
      </c>
    </row>
    <row r="1738" spans="1:4" x14ac:dyDescent="0.3">
      <c r="A1738" t="s">
        <v>194</v>
      </c>
      <c r="C1738" s="16">
        <v>46209</v>
      </c>
      <c r="D1738">
        <v>0</v>
      </c>
    </row>
    <row r="1739" spans="1:4" x14ac:dyDescent="0.3">
      <c r="A1739" t="s">
        <v>195</v>
      </c>
      <c r="C1739" s="16">
        <v>46209</v>
      </c>
      <c r="D1739">
        <v>0</v>
      </c>
    </row>
    <row r="1740" spans="1:4" x14ac:dyDescent="0.3">
      <c r="A1740" t="s">
        <v>196</v>
      </c>
      <c r="C1740" s="16">
        <v>46209</v>
      </c>
      <c r="D1740">
        <v>0</v>
      </c>
    </row>
    <row r="1741" spans="1:4" x14ac:dyDescent="0.3">
      <c r="A1741" t="s">
        <v>197</v>
      </c>
      <c r="C1741" s="16">
        <v>46209</v>
      </c>
      <c r="D1741">
        <v>0</v>
      </c>
    </row>
    <row r="1742" spans="1:4" x14ac:dyDescent="0.3">
      <c r="A1742" t="s">
        <v>214</v>
      </c>
      <c r="C1742" s="16">
        <v>46209</v>
      </c>
      <c r="D1742">
        <v>0</v>
      </c>
    </row>
    <row r="1743" spans="1:4" x14ac:dyDescent="0.3">
      <c r="A1743" t="s">
        <v>199</v>
      </c>
      <c r="C1743" s="16">
        <v>46209</v>
      </c>
      <c r="D1743">
        <v>0</v>
      </c>
    </row>
    <row r="1744" spans="1:4" x14ac:dyDescent="0.3">
      <c r="A1744" t="s">
        <v>17</v>
      </c>
      <c r="C1744" s="16">
        <v>46210</v>
      </c>
      <c r="D1744">
        <v>5592585.7500000009</v>
      </c>
    </row>
    <row r="1745" spans="1:4" x14ac:dyDescent="0.3">
      <c r="A1745" t="s">
        <v>18</v>
      </c>
      <c r="C1745" s="16">
        <v>46210</v>
      </c>
      <c r="D1745">
        <v>79139.680000000168</v>
      </c>
    </row>
    <row r="1746" spans="1:4" x14ac:dyDescent="0.3">
      <c r="A1746" t="s">
        <v>19</v>
      </c>
      <c r="C1746" s="16">
        <v>46210</v>
      </c>
      <c r="D1746">
        <v>1669.89</v>
      </c>
    </row>
    <row r="1747" spans="1:4" x14ac:dyDescent="0.3">
      <c r="A1747" t="s">
        <v>20</v>
      </c>
      <c r="C1747" s="16">
        <v>46210</v>
      </c>
      <c r="D1747">
        <v>350475.62999999989</v>
      </c>
    </row>
    <row r="1748" spans="1:4" x14ac:dyDescent="0.3">
      <c r="A1748" t="s">
        <v>21</v>
      </c>
      <c r="C1748" s="16">
        <v>46210</v>
      </c>
      <c r="D1748">
        <v>1761026.4599999995</v>
      </c>
    </row>
    <row r="1749" spans="1:4" x14ac:dyDescent="0.3">
      <c r="A1749" t="s">
        <v>22</v>
      </c>
      <c r="C1749" s="16">
        <v>46210</v>
      </c>
      <c r="D1749">
        <v>220496.38</v>
      </c>
    </row>
    <row r="1750" spans="1:4" x14ac:dyDescent="0.3">
      <c r="A1750" t="s">
        <v>23</v>
      </c>
      <c r="C1750" s="16">
        <v>46210</v>
      </c>
      <c r="D1750">
        <v>267503.99000000005</v>
      </c>
    </row>
    <row r="1751" spans="1:4" x14ac:dyDescent="0.3">
      <c r="A1751" t="s">
        <v>24</v>
      </c>
      <c r="C1751" s="16">
        <v>46210</v>
      </c>
      <c r="D1751">
        <v>471.15999999999985</v>
      </c>
    </row>
    <row r="1752" spans="1:4" x14ac:dyDescent="0.3">
      <c r="A1752" t="s">
        <v>25</v>
      </c>
      <c r="C1752" s="16">
        <v>46210</v>
      </c>
      <c r="D1752">
        <v>54.400000000000006</v>
      </c>
    </row>
    <row r="1753" spans="1:4" x14ac:dyDescent="0.3">
      <c r="A1753" t="s">
        <v>26</v>
      </c>
      <c r="C1753" s="16">
        <v>46210</v>
      </c>
      <c r="D1753">
        <v>2207.8200000000002</v>
      </c>
    </row>
    <row r="1754" spans="1:4" x14ac:dyDescent="0.3">
      <c r="A1754" t="s">
        <v>27</v>
      </c>
      <c r="C1754" s="16">
        <v>46210</v>
      </c>
      <c r="D1754">
        <v>3349.94</v>
      </c>
    </row>
    <row r="1755" spans="1:4" x14ac:dyDescent="0.3">
      <c r="A1755" t="s">
        <v>28</v>
      </c>
      <c r="C1755" s="16">
        <v>46210</v>
      </c>
      <c r="D1755">
        <v>1968.99</v>
      </c>
    </row>
    <row r="1756" spans="1:4" x14ac:dyDescent="0.3">
      <c r="A1756" t="s">
        <v>29</v>
      </c>
      <c r="C1756" s="16">
        <v>46210</v>
      </c>
      <c r="D1756">
        <v>382.69000000000005</v>
      </c>
    </row>
    <row r="1757" spans="1:4" x14ac:dyDescent="0.3">
      <c r="A1757" t="s">
        <v>30</v>
      </c>
      <c r="C1757" s="16">
        <v>46210</v>
      </c>
      <c r="D1757">
        <v>1412.08</v>
      </c>
    </row>
    <row r="1758" spans="1:4" x14ac:dyDescent="0.3">
      <c r="A1758" t="s">
        <v>31</v>
      </c>
      <c r="C1758" s="16">
        <v>46210</v>
      </c>
      <c r="D1758">
        <v>22496.639999999959</v>
      </c>
    </row>
    <row r="1759" spans="1:4" x14ac:dyDescent="0.3">
      <c r="A1759" t="s">
        <v>32</v>
      </c>
      <c r="C1759" s="16">
        <v>46210</v>
      </c>
      <c r="D1759">
        <v>10522.800000000003</v>
      </c>
    </row>
    <row r="1760" spans="1:4" x14ac:dyDescent="0.3">
      <c r="A1760" t="s">
        <v>33</v>
      </c>
      <c r="C1760" s="16">
        <v>46210</v>
      </c>
      <c r="D1760">
        <v>28485.559999999998</v>
      </c>
    </row>
    <row r="1761" spans="1:4" x14ac:dyDescent="0.3">
      <c r="A1761" t="s">
        <v>34</v>
      </c>
      <c r="C1761" s="16">
        <v>46210</v>
      </c>
      <c r="D1761">
        <v>345</v>
      </c>
    </row>
    <row r="1762" spans="1:4" x14ac:dyDescent="0.3">
      <c r="A1762" t="s">
        <v>35</v>
      </c>
      <c r="C1762" s="16">
        <v>46210</v>
      </c>
      <c r="D1762">
        <v>14498.59</v>
      </c>
    </row>
    <row r="1763" spans="1:4" x14ac:dyDescent="0.3">
      <c r="A1763" t="s">
        <v>193</v>
      </c>
      <c r="C1763" s="16">
        <v>46210</v>
      </c>
      <c r="D1763">
        <v>0</v>
      </c>
    </row>
    <row r="1764" spans="1:4" x14ac:dyDescent="0.3">
      <c r="A1764" t="s">
        <v>194</v>
      </c>
      <c r="C1764" s="16">
        <v>46210</v>
      </c>
      <c r="D1764">
        <v>0</v>
      </c>
    </row>
    <row r="1765" spans="1:4" x14ac:dyDescent="0.3">
      <c r="A1765" t="s">
        <v>195</v>
      </c>
      <c r="C1765" s="16">
        <v>46210</v>
      </c>
      <c r="D1765">
        <v>0</v>
      </c>
    </row>
    <row r="1766" spans="1:4" x14ac:dyDescent="0.3">
      <c r="A1766" t="s">
        <v>196</v>
      </c>
      <c r="C1766" s="16">
        <v>46210</v>
      </c>
      <c r="D1766">
        <v>0</v>
      </c>
    </row>
    <row r="1767" spans="1:4" x14ac:dyDescent="0.3">
      <c r="A1767" t="s">
        <v>197</v>
      </c>
      <c r="C1767" s="16">
        <v>46210</v>
      </c>
      <c r="D1767">
        <v>0</v>
      </c>
    </row>
    <row r="1768" spans="1:4" x14ac:dyDescent="0.3">
      <c r="A1768" t="s">
        <v>214</v>
      </c>
      <c r="C1768" s="16">
        <v>46210</v>
      </c>
      <c r="D1768">
        <v>0</v>
      </c>
    </row>
    <row r="1769" spans="1:4" x14ac:dyDescent="0.3">
      <c r="A1769" t="s">
        <v>199</v>
      </c>
      <c r="C1769" s="16">
        <v>46210</v>
      </c>
      <c r="D1769">
        <v>0</v>
      </c>
    </row>
    <row r="1770" spans="1:4" x14ac:dyDescent="0.3">
      <c r="A1770" t="s">
        <v>17</v>
      </c>
      <c r="C1770" s="16">
        <v>46211</v>
      </c>
      <c r="D1770">
        <v>5592585.7500000009</v>
      </c>
    </row>
    <row r="1771" spans="1:4" x14ac:dyDescent="0.3">
      <c r="A1771" t="s">
        <v>18</v>
      </c>
      <c r="C1771" s="16">
        <v>46211</v>
      </c>
      <c r="D1771">
        <v>79139.680000000168</v>
      </c>
    </row>
    <row r="1772" spans="1:4" x14ac:dyDescent="0.3">
      <c r="A1772" t="s">
        <v>19</v>
      </c>
      <c r="C1772" s="16">
        <v>46211</v>
      </c>
      <c r="D1772">
        <v>1669.89</v>
      </c>
    </row>
    <row r="1773" spans="1:4" x14ac:dyDescent="0.3">
      <c r="A1773" t="s">
        <v>20</v>
      </c>
      <c r="C1773" s="16">
        <v>46211</v>
      </c>
      <c r="D1773">
        <v>350475.62999999989</v>
      </c>
    </row>
    <row r="1774" spans="1:4" x14ac:dyDescent="0.3">
      <c r="A1774" t="s">
        <v>21</v>
      </c>
      <c r="C1774" s="16">
        <v>46211</v>
      </c>
      <c r="D1774">
        <v>1751695.8399999994</v>
      </c>
    </row>
    <row r="1775" spans="1:4" x14ac:dyDescent="0.3">
      <c r="A1775" t="s">
        <v>22</v>
      </c>
      <c r="C1775" s="16">
        <v>46211</v>
      </c>
      <c r="D1775">
        <v>220496.38</v>
      </c>
    </row>
    <row r="1776" spans="1:4" x14ac:dyDescent="0.3">
      <c r="A1776" t="s">
        <v>23</v>
      </c>
      <c r="C1776" s="16">
        <v>46211</v>
      </c>
      <c r="D1776">
        <v>267503.99000000005</v>
      </c>
    </row>
    <row r="1777" spans="1:4" x14ac:dyDescent="0.3">
      <c r="A1777" t="s">
        <v>24</v>
      </c>
      <c r="C1777" s="16">
        <v>46211</v>
      </c>
      <c r="D1777">
        <v>471.15999999999985</v>
      </c>
    </row>
    <row r="1778" spans="1:4" x14ac:dyDescent="0.3">
      <c r="A1778" t="s">
        <v>25</v>
      </c>
      <c r="C1778" s="16">
        <v>46211</v>
      </c>
      <c r="D1778">
        <v>54.400000000000006</v>
      </c>
    </row>
    <row r="1779" spans="1:4" x14ac:dyDescent="0.3">
      <c r="A1779" t="s">
        <v>26</v>
      </c>
      <c r="C1779" s="16">
        <v>46211</v>
      </c>
      <c r="D1779">
        <v>2207.8200000000002</v>
      </c>
    </row>
    <row r="1780" spans="1:4" x14ac:dyDescent="0.3">
      <c r="A1780" t="s">
        <v>27</v>
      </c>
      <c r="C1780" s="16">
        <v>46211</v>
      </c>
      <c r="D1780">
        <v>3334.94</v>
      </c>
    </row>
    <row r="1781" spans="1:4" x14ac:dyDescent="0.3">
      <c r="A1781" t="s">
        <v>28</v>
      </c>
      <c r="C1781" s="16">
        <v>46211</v>
      </c>
      <c r="D1781">
        <v>1968.99</v>
      </c>
    </row>
    <row r="1782" spans="1:4" x14ac:dyDescent="0.3">
      <c r="A1782" t="s">
        <v>29</v>
      </c>
      <c r="C1782" s="16">
        <v>46211</v>
      </c>
      <c r="D1782">
        <v>382.69000000000005</v>
      </c>
    </row>
    <row r="1783" spans="1:4" x14ac:dyDescent="0.3">
      <c r="A1783" t="s">
        <v>30</v>
      </c>
      <c r="C1783" s="16">
        <v>46211</v>
      </c>
      <c r="D1783">
        <v>1412.08</v>
      </c>
    </row>
    <row r="1784" spans="1:4" x14ac:dyDescent="0.3">
      <c r="A1784" t="s">
        <v>31</v>
      </c>
      <c r="C1784" s="16">
        <v>46211</v>
      </c>
      <c r="D1784">
        <v>22496.639999999959</v>
      </c>
    </row>
    <row r="1785" spans="1:4" x14ac:dyDescent="0.3">
      <c r="A1785" t="s">
        <v>32</v>
      </c>
      <c r="C1785" s="16">
        <v>46211</v>
      </c>
      <c r="D1785">
        <v>6522.8000000000029</v>
      </c>
    </row>
    <row r="1786" spans="1:4" x14ac:dyDescent="0.3">
      <c r="A1786" t="s">
        <v>33</v>
      </c>
      <c r="C1786" s="16">
        <v>46211</v>
      </c>
      <c r="D1786">
        <v>28485.559999999998</v>
      </c>
    </row>
    <row r="1787" spans="1:4" x14ac:dyDescent="0.3">
      <c r="A1787" t="s">
        <v>34</v>
      </c>
      <c r="C1787" s="16">
        <v>46211</v>
      </c>
      <c r="D1787">
        <v>345</v>
      </c>
    </row>
    <row r="1788" spans="1:4" x14ac:dyDescent="0.3">
      <c r="A1788" t="s">
        <v>35</v>
      </c>
      <c r="C1788" s="16">
        <v>46211</v>
      </c>
      <c r="D1788">
        <v>14498.59</v>
      </c>
    </row>
    <row r="1789" spans="1:4" x14ac:dyDescent="0.3">
      <c r="A1789" t="s">
        <v>193</v>
      </c>
      <c r="C1789" s="16">
        <v>46211</v>
      </c>
      <c r="D1789">
        <v>0</v>
      </c>
    </row>
    <row r="1790" spans="1:4" x14ac:dyDescent="0.3">
      <c r="A1790" t="s">
        <v>194</v>
      </c>
      <c r="C1790" s="16">
        <v>46211</v>
      </c>
      <c r="D1790">
        <v>0</v>
      </c>
    </row>
    <row r="1791" spans="1:4" x14ac:dyDescent="0.3">
      <c r="A1791" t="s">
        <v>195</v>
      </c>
      <c r="C1791" s="16">
        <v>46211</v>
      </c>
      <c r="D1791">
        <v>0</v>
      </c>
    </row>
    <row r="1792" spans="1:4" x14ac:dyDescent="0.3">
      <c r="A1792" t="s">
        <v>196</v>
      </c>
      <c r="C1792" s="16">
        <v>46211</v>
      </c>
      <c r="D1792">
        <v>0</v>
      </c>
    </row>
    <row r="1793" spans="1:4" x14ac:dyDescent="0.3">
      <c r="A1793" t="s">
        <v>197</v>
      </c>
      <c r="C1793" s="16">
        <v>46211</v>
      </c>
      <c r="D1793">
        <v>0</v>
      </c>
    </row>
    <row r="1794" spans="1:4" x14ac:dyDescent="0.3">
      <c r="A1794" t="s">
        <v>214</v>
      </c>
      <c r="C1794" s="16">
        <v>46211</v>
      </c>
      <c r="D1794">
        <v>0</v>
      </c>
    </row>
    <row r="1795" spans="1:4" x14ac:dyDescent="0.3">
      <c r="A1795" t="s">
        <v>199</v>
      </c>
      <c r="C1795" s="16">
        <v>46211</v>
      </c>
      <c r="D1795">
        <v>0</v>
      </c>
    </row>
    <row r="1796" spans="1:4" x14ac:dyDescent="0.3">
      <c r="A1796" t="s">
        <v>17</v>
      </c>
      <c r="C1796" s="16">
        <v>46212</v>
      </c>
      <c r="D1796">
        <v>4377944.080000001</v>
      </c>
    </row>
    <row r="1797" spans="1:4" x14ac:dyDescent="0.3">
      <c r="A1797" t="s">
        <v>18</v>
      </c>
      <c r="C1797" s="16">
        <v>46212</v>
      </c>
      <c r="D1797">
        <v>73157.680000000168</v>
      </c>
    </row>
    <row r="1798" spans="1:4" x14ac:dyDescent="0.3">
      <c r="A1798" t="s">
        <v>19</v>
      </c>
      <c r="C1798" s="16">
        <v>46212</v>
      </c>
      <c r="D1798">
        <v>1669.89</v>
      </c>
    </row>
    <row r="1799" spans="1:4" x14ac:dyDescent="0.3">
      <c r="A1799" t="s">
        <v>20</v>
      </c>
      <c r="C1799" s="16">
        <v>46212</v>
      </c>
      <c r="D1799">
        <v>290475.62999999989</v>
      </c>
    </row>
    <row r="1800" spans="1:4" x14ac:dyDescent="0.3">
      <c r="A1800" t="s">
        <v>21</v>
      </c>
      <c r="C1800" s="16">
        <v>46212</v>
      </c>
      <c r="D1800">
        <v>2119592.9399999995</v>
      </c>
    </row>
    <row r="1801" spans="1:4" x14ac:dyDescent="0.3">
      <c r="A1801" t="s">
        <v>22</v>
      </c>
      <c r="C1801" s="16">
        <v>46212</v>
      </c>
      <c r="D1801">
        <v>200496.38</v>
      </c>
    </row>
    <row r="1802" spans="1:4" x14ac:dyDescent="0.3">
      <c r="A1802" t="s">
        <v>23</v>
      </c>
      <c r="C1802" s="16">
        <v>46212</v>
      </c>
      <c r="D1802">
        <v>267503.99000000005</v>
      </c>
    </row>
    <row r="1803" spans="1:4" x14ac:dyDescent="0.3">
      <c r="A1803" t="s">
        <v>24</v>
      </c>
      <c r="C1803" s="16">
        <v>46212</v>
      </c>
      <c r="D1803">
        <v>15130.45</v>
      </c>
    </row>
    <row r="1804" spans="1:4" x14ac:dyDescent="0.3">
      <c r="A1804" t="s">
        <v>25</v>
      </c>
      <c r="C1804" s="16">
        <v>46212</v>
      </c>
      <c r="D1804">
        <v>54.400000000000006</v>
      </c>
    </row>
    <row r="1805" spans="1:4" x14ac:dyDescent="0.3">
      <c r="A1805" t="s">
        <v>26</v>
      </c>
      <c r="C1805" s="16">
        <v>46212</v>
      </c>
      <c r="D1805">
        <v>2207.8200000000002</v>
      </c>
    </row>
    <row r="1806" spans="1:4" x14ac:dyDescent="0.3">
      <c r="A1806" t="s">
        <v>27</v>
      </c>
      <c r="C1806" s="16">
        <v>46212</v>
      </c>
      <c r="D1806">
        <v>1454604.72</v>
      </c>
    </row>
    <row r="1807" spans="1:4" x14ac:dyDescent="0.3">
      <c r="A1807" t="s">
        <v>28</v>
      </c>
      <c r="C1807" s="16">
        <v>46212</v>
      </c>
      <c r="D1807">
        <v>1968.99</v>
      </c>
    </row>
    <row r="1808" spans="1:4" x14ac:dyDescent="0.3">
      <c r="A1808" t="s">
        <v>29</v>
      </c>
      <c r="C1808" s="16">
        <v>46212</v>
      </c>
      <c r="D1808">
        <v>382.69000000000005</v>
      </c>
    </row>
    <row r="1809" spans="1:4" x14ac:dyDescent="0.3">
      <c r="A1809" t="s">
        <v>30</v>
      </c>
      <c r="C1809" s="16">
        <v>46212</v>
      </c>
      <c r="D1809">
        <v>1412.08</v>
      </c>
    </row>
    <row r="1810" spans="1:4" x14ac:dyDescent="0.3">
      <c r="A1810" t="s">
        <v>31</v>
      </c>
      <c r="C1810" s="16">
        <v>46212</v>
      </c>
      <c r="D1810">
        <v>22496.639999999959</v>
      </c>
    </row>
    <row r="1811" spans="1:4" x14ac:dyDescent="0.3">
      <c r="A1811" t="s">
        <v>32</v>
      </c>
      <c r="C1811" s="16">
        <v>46212</v>
      </c>
      <c r="D1811">
        <v>6522.8000000000029</v>
      </c>
    </row>
    <row r="1812" spans="1:4" x14ac:dyDescent="0.3">
      <c r="A1812" t="s">
        <v>33</v>
      </c>
      <c r="C1812" s="16">
        <v>46212</v>
      </c>
      <c r="D1812">
        <v>28485.559999999998</v>
      </c>
    </row>
    <row r="1813" spans="1:4" x14ac:dyDescent="0.3">
      <c r="A1813" t="s">
        <v>34</v>
      </c>
      <c r="C1813" s="16">
        <v>46212</v>
      </c>
      <c r="D1813">
        <v>345</v>
      </c>
    </row>
    <row r="1814" spans="1:4" x14ac:dyDescent="0.3">
      <c r="A1814" t="s">
        <v>35</v>
      </c>
      <c r="C1814" s="16">
        <v>46212</v>
      </c>
      <c r="D1814">
        <v>31900.120000000003</v>
      </c>
    </row>
    <row r="1815" spans="1:4" x14ac:dyDescent="0.3">
      <c r="A1815" t="s">
        <v>193</v>
      </c>
      <c r="C1815" s="16">
        <v>46212</v>
      </c>
      <c r="D1815">
        <v>0</v>
      </c>
    </row>
    <row r="1816" spans="1:4" x14ac:dyDescent="0.3">
      <c r="A1816" t="s">
        <v>194</v>
      </c>
      <c r="C1816" s="16">
        <v>46212</v>
      </c>
      <c r="D1816">
        <v>0</v>
      </c>
    </row>
    <row r="1817" spans="1:4" x14ac:dyDescent="0.3">
      <c r="A1817" t="s">
        <v>195</v>
      </c>
      <c r="C1817" s="16">
        <v>46212</v>
      </c>
      <c r="D1817">
        <v>0</v>
      </c>
    </row>
    <row r="1818" spans="1:4" x14ac:dyDescent="0.3">
      <c r="A1818" t="s">
        <v>196</v>
      </c>
      <c r="C1818" s="16">
        <v>46212</v>
      </c>
      <c r="D1818">
        <v>0</v>
      </c>
    </row>
    <row r="1819" spans="1:4" x14ac:dyDescent="0.3">
      <c r="A1819" t="s">
        <v>197</v>
      </c>
      <c r="C1819" s="16">
        <v>46212</v>
      </c>
      <c r="D1819">
        <v>0</v>
      </c>
    </row>
    <row r="1820" spans="1:4" x14ac:dyDescent="0.3">
      <c r="A1820" t="s">
        <v>214</v>
      </c>
      <c r="C1820" s="16">
        <v>46212</v>
      </c>
      <c r="D1820">
        <v>0</v>
      </c>
    </row>
    <row r="1821" spans="1:4" x14ac:dyDescent="0.3">
      <c r="A1821" t="s">
        <v>199</v>
      </c>
      <c r="C1821" s="16">
        <v>46212</v>
      </c>
      <c r="D1821">
        <v>0</v>
      </c>
    </row>
    <row r="1822" spans="1:4" x14ac:dyDescent="0.3">
      <c r="A1822" t="s">
        <v>17</v>
      </c>
      <c r="C1822" s="16">
        <v>46213</v>
      </c>
      <c r="D1822">
        <v>4163755.7500000005</v>
      </c>
    </row>
    <row r="1823" spans="1:4" x14ac:dyDescent="0.3">
      <c r="A1823" t="s">
        <v>18</v>
      </c>
      <c r="C1823" s="16">
        <v>46213</v>
      </c>
      <c r="D1823">
        <v>73157.680000000168</v>
      </c>
    </row>
    <row r="1824" spans="1:4" x14ac:dyDescent="0.3">
      <c r="A1824" t="s">
        <v>19</v>
      </c>
      <c r="C1824" s="16">
        <v>46213</v>
      </c>
      <c r="D1824">
        <v>1669.89</v>
      </c>
    </row>
    <row r="1825" spans="1:4" x14ac:dyDescent="0.3">
      <c r="A1825" t="s">
        <v>20</v>
      </c>
      <c r="C1825" s="16">
        <v>46213</v>
      </c>
      <c r="D1825">
        <v>290141.62999999989</v>
      </c>
    </row>
    <row r="1826" spans="1:4" x14ac:dyDescent="0.3">
      <c r="A1826" t="s">
        <v>21</v>
      </c>
      <c r="C1826" s="16">
        <v>46213</v>
      </c>
      <c r="D1826">
        <v>1921752.2699999993</v>
      </c>
    </row>
    <row r="1827" spans="1:4" x14ac:dyDescent="0.3">
      <c r="A1827" t="s">
        <v>22</v>
      </c>
      <c r="C1827" s="16">
        <v>46213</v>
      </c>
      <c r="D1827">
        <v>200496.38</v>
      </c>
    </row>
    <row r="1828" spans="1:4" x14ac:dyDescent="0.3">
      <c r="A1828" t="s">
        <v>23</v>
      </c>
      <c r="C1828" s="16">
        <v>46213</v>
      </c>
      <c r="D1828">
        <v>267503.99000000005</v>
      </c>
    </row>
    <row r="1829" spans="1:4" x14ac:dyDescent="0.3">
      <c r="A1829" t="s">
        <v>24</v>
      </c>
      <c r="C1829" s="16">
        <v>46213</v>
      </c>
      <c r="D1829">
        <v>14580.45</v>
      </c>
    </row>
    <row r="1830" spans="1:4" x14ac:dyDescent="0.3">
      <c r="A1830" t="s">
        <v>25</v>
      </c>
      <c r="C1830" s="16">
        <v>46213</v>
      </c>
      <c r="D1830">
        <v>54.400000000000006</v>
      </c>
    </row>
    <row r="1831" spans="1:4" x14ac:dyDescent="0.3">
      <c r="A1831" t="s">
        <v>26</v>
      </c>
      <c r="C1831" s="16">
        <v>46213</v>
      </c>
      <c r="D1831">
        <v>2207.8200000000002</v>
      </c>
    </row>
    <row r="1832" spans="1:4" x14ac:dyDescent="0.3">
      <c r="A1832" t="s">
        <v>27</v>
      </c>
      <c r="C1832" s="16">
        <v>46213</v>
      </c>
      <c r="D1832">
        <v>1454589.72</v>
      </c>
    </row>
    <row r="1833" spans="1:4" x14ac:dyDescent="0.3">
      <c r="A1833" t="s">
        <v>28</v>
      </c>
      <c r="C1833" s="16">
        <v>46213</v>
      </c>
      <c r="D1833">
        <v>1968.99</v>
      </c>
    </row>
    <row r="1834" spans="1:4" x14ac:dyDescent="0.3">
      <c r="A1834" t="s">
        <v>29</v>
      </c>
      <c r="C1834" s="16">
        <v>46213</v>
      </c>
      <c r="D1834">
        <v>382.69000000000005</v>
      </c>
    </row>
    <row r="1835" spans="1:4" x14ac:dyDescent="0.3">
      <c r="A1835" t="s">
        <v>30</v>
      </c>
      <c r="C1835" s="16">
        <v>46213</v>
      </c>
      <c r="D1835">
        <v>1412.08</v>
      </c>
    </row>
    <row r="1836" spans="1:4" x14ac:dyDescent="0.3">
      <c r="A1836" t="s">
        <v>31</v>
      </c>
      <c r="C1836" s="16">
        <v>46213</v>
      </c>
      <c r="D1836">
        <v>22496.639999999959</v>
      </c>
    </row>
    <row r="1837" spans="1:4" x14ac:dyDescent="0.3">
      <c r="A1837" t="s">
        <v>32</v>
      </c>
      <c r="C1837" s="16">
        <v>46213</v>
      </c>
      <c r="D1837">
        <v>6522.8000000000029</v>
      </c>
    </row>
    <row r="1838" spans="1:4" x14ac:dyDescent="0.3">
      <c r="A1838" t="s">
        <v>33</v>
      </c>
      <c r="C1838" s="16">
        <v>46213</v>
      </c>
      <c r="D1838">
        <v>28485.559999999998</v>
      </c>
    </row>
    <row r="1839" spans="1:4" x14ac:dyDescent="0.3">
      <c r="A1839" t="s">
        <v>34</v>
      </c>
      <c r="C1839" s="16">
        <v>46213</v>
      </c>
      <c r="D1839">
        <v>345</v>
      </c>
    </row>
    <row r="1840" spans="1:4" x14ac:dyDescent="0.3">
      <c r="A1840" t="s">
        <v>35</v>
      </c>
      <c r="C1840" s="16">
        <v>46213</v>
      </c>
      <c r="D1840">
        <v>31900.120000000003</v>
      </c>
    </row>
    <row r="1841" spans="1:4" x14ac:dyDescent="0.3">
      <c r="A1841" t="s">
        <v>193</v>
      </c>
      <c r="C1841" s="16">
        <v>46213</v>
      </c>
      <c r="D1841">
        <v>0</v>
      </c>
    </row>
    <row r="1842" spans="1:4" x14ac:dyDescent="0.3">
      <c r="A1842" t="s">
        <v>194</v>
      </c>
      <c r="C1842" s="16">
        <v>46213</v>
      </c>
      <c r="D1842">
        <v>0</v>
      </c>
    </row>
    <row r="1843" spans="1:4" x14ac:dyDescent="0.3">
      <c r="A1843" t="s">
        <v>195</v>
      </c>
      <c r="C1843" s="16">
        <v>46213</v>
      </c>
      <c r="D1843">
        <v>0</v>
      </c>
    </row>
    <row r="1844" spans="1:4" x14ac:dyDescent="0.3">
      <c r="A1844" t="s">
        <v>196</v>
      </c>
      <c r="C1844" s="16">
        <v>46213</v>
      </c>
      <c r="D1844">
        <v>0</v>
      </c>
    </row>
    <row r="1845" spans="1:4" x14ac:dyDescent="0.3">
      <c r="A1845" t="s">
        <v>197</v>
      </c>
      <c r="C1845" s="16">
        <v>46213</v>
      </c>
      <c r="D1845">
        <v>0</v>
      </c>
    </row>
    <row r="1846" spans="1:4" x14ac:dyDescent="0.3">
      <c r="A1846" t="s">
        <v>214</v>
      </c>
      <c r="C1846" s="16">
        <v>46213</v>
      </c>
      <c r="D1846">
        <v>0</v>
      </c>
    </row>
    <row r="1847" spans="1:4" x14ac:dyDescent="0.3">
      <c r="A1847" t="s">
        <v>199</v>
      </c>
      <c r="C1847" s="16">
        <v>46213</v>
      </c>
      <c r="D1847">
        <v>0</v>
      </c>
    </row>
    <row r="1848" spans="1:4" x14ac:dyDescent="0.3">
      <c r="A1848" t="s">
        <v>17</v>
      </c>
      <c r="C1848" s="16">
        <v>46214</v>
      </c>
      <c r="D1848">
        <v>4163755.7500000005</v>
      </c>
    </row>
    <row r="1849" spans="1:4" x14ac:dyDescent="0.3">
      <c r="A1849" t="s">
        <v>18</v>
      </c>
      <c r="C1849" s="16">
        <v>46214</v>
      </c>
      <c r="D1849">
        <v>73157.680000000168</v>
      </c>
    </row>
    <row r="1850" spans="1:4" x14ac:dyDescent="0.3">
      <c r="A1850" t="s">
        <v>19</v>
      </c>
      <c r="C1850" s="16">
        <v>46214</v>
      </c>
      <c r="D1850">
        <v>1669.89</v>
      </c>
    </row>
    <row r="1851" spans="1:4" x14ac:dyDescent="0.3">
      <c r="A1851" t="s">
        <v>20</v>
      </c>
      <c r="C1851" s="16">
        <v>46214</v>
      </c>
      <c r="D1851">
        <v>290141.62999999989</v>
      </c>
    </row>
    <row r="1852" spans="1:4" x14ac:dyDescent="0.3">
      <c r="A1852" t="s">
        <v>21</v>
      </c>
      <c r="C1852" s="16">
        <v>46214</v>
      </c>
      <c r="D1852">
        <v>1921752.2699999993</v>
      </c>
    </row>
    <row r="1853" spans="1:4" x14ac:dyDescent="0.3">
      <c r="A1853" t="s">
        <v>22</v>
      </c>
      <c r="C1853" s="16">
        <v>46214</v>
      </c>
      <c r="D1853">
        <v>200496.38</v>
      </c>
    </row>
    <row r="1854" spans="1:4" x14ac:dyDescent="0.3">
      <c r="A1854" t="s">
        <v>23</v>
      </c>
      <c r="C1854" s="16">
        <v>46214</v>
      </c>
      <c r="D1854">
        <v>267503.99000000005</v>
      </c>
    </row>
    <row r="1855" spans="1:4" x14ac:dyDescent="0.3">
      <c r="A1855" t="s">
        <v>24</v>
      </c>
      <c r="C1855" s="16">
        <v>46214</v>
      </c>
      <c r="D1855">
        <v>14580.45</v>
      </c>
    </row>
    <row r="1856" spans="1:4" x14ac:dyDescent="0.3">
      <c r="A1856" t="s">
        <v>25</v>
      </c>
      <c r="C1856" s="16">
        <v>46214</v>
      </c>
      <c r="D1856">
        <v>54.400000000000006</v>
      </c>
    </row>
    <row r="1857" spans="1:4" x14ac:dyDescent="0.3">
      <c r="A1857" t="s">
        <v>26</v>
      </c>
      <c r="C1857" s="16">
        <v>46214</v>
      </c>
      <c r="D1857">
        <v>2207.8200000000002</v>
      </c>
    </row>
    <row r="1858" spans="1:4" x14ac:dyDescent="0.3">
      <c r="A1858" t="s">
        <v>27</v>
      </c>
      <c r="C1858" s="16">
        <v>46214</v>
      </c>
      <c r="D1858">
        <v>1454589.72</v>
      </c>
    </row>
    <row r="1859" spans="1:4" x14ac:dyDescent="0.3">
      <c r="A1859" t="s">
        <v>28</v>
      </c>
      <c r="C1859" s="16">
        <v>46214</v>
      </c>
      <c r="D1859">
        <v>1968.99</v>
      </c>
    </row>
    <row r="1860" spans="1:4" x14ac:dyDescent="0.3">
      <c r="A1860" t="s">
        <v>29</v>
      </c>
      <c r="C1860" s="16">
        <v>46214</v>
      </c>
      <c r="D1860">
        <v>382.69000000000005</v>
      </c>
    </row>
    <row r="1861" spans="1:4" x14ac:dyDescent="0.3">
      <c r="A1861" t="s">
        <v>30</v>
      </c>
      <c r="C1861" s="16">
        <v>46214</v>
      </c>
      <c r="D1861">
        <v>1412.08</v>
      </c>
    </row>
    <row r="1862" spans="1:4" x14ac:dyDescent="0.3">
      <c r="A1862" t="s">
        <v>31</v>
      </c>
      <c r="C1862" s="16">
        <v>46214</v>
      </c>
      <c r="D1862">
        <v>22496.639999999959</v>
      </c>
    </row>
    <row r="1863" spans="1:4" x14ac:dyDescent="0.3">
      <c r="A1863" t="s">
        <v>32</v>
      </c>
      <c r="C1863" s="16">
        <v>46214</v>
      </c>
      <c r="D1863">
        <v>6522.8000000000029</v>
      </c>
    </row>
    <row r="1864" spans="1:4" x14ac:dyDescent="0.3">
      <c r="A1864" t="s">
        <v>33</v>
      </c>
      <c r="C1864" s="16">
        <v>46214</v>
      </c>
      <c r="D1864">
        <v>28485.559999999998</v>
      </c>
    </row>
    <row r="1865" spans="1:4" x14ac:dyDescent="0.3">
      <c r="A1865" t="s">
        <v>34</v>
      </c>
      <c r="C1865" s="16">
        <v>46214</v>
      </c>
      <c r="D1865">
        <v>345</v>
      </c>
    </row>
    <row r="1866" spans="1:4" x14ac:dyDescent="0.3">
      <c r="A1866" t="s">
        <v>35</v>
      </c>
      <c r="C1866" s="16">
        <v>46214</v>
      </c>
      <c r="D1866">
        <v>31900.120000000003</v>
      </c>
    </row>
    <row r="1867" spans="1:4" x14ac:dyDescent="0.3">
      <c r="A1867" t="s">
        <v>193</v>
      </c>
      <c r="C1867" s="16">
        <v>46214</v>
      </c>
      <c r="D1867">
        <v>0</v>
      </c>
    </row>
    <row r="1868" spans="1:4" x14ac:dyDescent="0.3">
      <c r="A1868" t="s">
        <v>194</v>
      </c>
      <c r="C1868" s="16">
        <v>46214</v>
      </c>
      <c r="D1868">
        <v>0</v>
      </c>
    </row>
    <row r="1869" spans="1:4" x14ac:dyDescent="0.3">
      <c r="A1869" t="s">
        <v>195</v>
      </c>
      <c r="C1869" s="16">
        <v>46214</v>
      </c>
      <c r="D1869">
        <v>0</v>
      </c>
    </row>
    <row r="1870" spans="1:4" x14ac:dyDescent="0.3">
      <c r="A1870" t="s">
        <v>196</v>
      </c>
      <c r="C1870" s="16">
        <v>46214</v>
      </c>
      <c r="D1870">
        <v>0</v>
      </c>
    </row>
    <row r="1871" spans="1:4" x14ac:dyDescent="0.3">
      <c r="A1871" t="s">
        <v>197</v>
      </c>
      <c r="C1871" s="16">
        <v>46214</v>
      </c>
      <c r="D1871">
        <v>0</v>
      </c>
    </row>
    <row r="1872" spans="1:4" x14ac:dyDescent="0.3">
      <c r="A1872" t="s">
        <v>214</v>
      </c>
      <c r="C1872" s="16">
        <v>46214</v>
      </c>
      <c r="D1872">
        <v>0</v>
      </c>
    </row>
    <row r="1873" spans="1:4" x14ac:dyDescent="0.3">
      <c r="A1873" t="s">
        <v>199</v>
      </c>
      <c r="C1873" s="16">
        <v>46214</v>
      </c>
      <c r="D1873">
        <v>0</v>
      </c>
    </row>
    <row r="1874" spans="1:4" x14ac:dyDescent="0.3">
      <c r="A1874" t="s">
        <v>17</v>
      </c>
      <c r="C1874" s="16">
        <v>46215</v>
      </c>
      <c r="D1874">
        <v>4163755.7500000005</v>
      </c>
    </row>
    <row r="1875" spans="1:4" x14ac:dyDescent="0.3">
      <c r="A1875" t="s">
        <v>18</v>
      </c>
      <c r="C1875" s="16">
        <v>46215</v>
      </c>
      <c r="D1875">
        <v>73157.680000000168</v>
      </c>
    </row>
    <row r="1876" spans="1:4" x14ac:dyDescent="0.3">
      <c r="A1876" t="s">
        <v>19</v>
      </c>
      <c r="C1876" s="16">
        <v>46215</v>
      </c>
      <c r="D1876">
        <v>1669.89</v>
      </c>
    </row>
    <row r="1877" spans="1:4" x14ac:dyDescent="0.3">
      <c r="A1877" t="s">
        <v>20</v>
      </c>
      <c r="C1877" s="16">
        <v>46215</v>
      </c>
      <c r="D1877">
        <v>290141.62999999989</v>
      </c>
    </row>
    <row r="1878" spans="1:4" x14ac:dyDescent="0.3">
      <c r="A1878" t="s">
        <v>21</v>
      </c>
      <c r="C1878" s="16">
        <v>46215</v>
      </c>
      <c r="D1878">
        <v>1921752.2699999993</v>
      </c>
    </row>
    <row r="1879" spans="1:4" x14ac:dyDescent="0.3">
      <c r="A1879" t="s">
        <v>22</v>
      </c>
      <c r="C1879" s="16">
        <v>46215</v>
      </c>
      <c r="D1879">
        <v>200496.38</v>
      </c>
    </row>
    <row r="1880" spans="1:4" x14ac:dyDescent="0.3">
      <c r="A1880" t="s">
        <v>23</v>
      </c>
      <c r="C1880" s="16">
        <v>46215</v>
      </c>
      <c r="D1880">
        <v>267503.99000000005</v>
      </c>
    </row>
    <row r="1881" spans="1:4" x14ac:dyDescent="0.3">
      <c r="A1881" t="s">
        <v>24</v>
      </c>
      <c r="C1881" s="16">
        <v>46215</v>
      </c>
      <c r="D1881">
        <v>14580.45</v>
      </c>
    </row>
    <row r="1882" spans="1:4" x14ac:dyDescent="0.3">
      <c r="A1882" t="s">
        <v>25</v>
      </c>
      <c r="C1882" s="16">
        <v>46215</v>
      </c>
      <c r="D1882">
        <v>54.400000000000006</v>
      </c>
    </row>
    <row r="1883" spans="1:4" x14ac:dyDescent="0.3">
      <c r="A1883" t="s">
        <v>26</v>
      </c>
      <c r="C1883" s="16">
        <v>46215</v>
      </c>
      <c r="D1883">
        <v>2207.8200000000002</v>
      </c>
    </row>
    <row r="1884" spans="1:4" x14ac:dyDescent="0.3">
      <c r="A1884" t="s">
        <v>27</v>
      </c>
      <c r="C1884" s="16">
        <v>46215</v>
      </c>
      <c r="D1884">
        <v>1454589.72</v>
      </c>
    </row>
    <row r="1885" spans="1:4" x14ac:dyDescent="0.3">
      <c r="A1885" t="s">
        <v>28</v>
      </c>
      <c r="C1885" s="16">
        <v>46215</v>
      </c>
      <c r="D1885">
        <v>1968.99</v>
      </c>
    </row>
    <row r="1886" spans="1:4" x14ac:dyDescent="0.3">
      <c r="A1886" t="s">
        <v>29</v>
      </c>
      <c r="C1886" s="16">
        <v>46215</v>
      </c>
      <c r="D1886">
        <v>382.69000000000005</v>
      </c>
    </row>
    <row r="1887" spans="1:4" x14ac:dyDescent="0.3">
      <c r="A1887" t="s">
        <v>30</v>
      </c>
      <c r="C1887" s="16">
        <v>46215</v>
      </c>
      <c r="D1887">
        <v>1412.08</v>
      </c>
    </row>
    <row r="1888" spans="1:4" x14ac:dyDescent="0.3">
      <c r="A1888" t="s">
        <v>31</v>
      </c>
      <c r="C1888" s="16">
        <v>46215</v>
      </c>
      <c r="D1888">
        <v>22496.639999999959</v>
      </c>
    </row>
    <row r="1889" spans="1:4" x14ac:dyDescent="0.3">
      <c r="A1889" t="s">
        <v>32</v>
      </c>
      <c r="C1889" s="16">
        <v>46215</v>
      </c>
      <c r="D1889">
        <v>6522.8000000000029</v>
      </c>
    </row>
    <row r="1890" spans="1:4" x14ac:dyDescent="0.3">
      <c r="A1890" t="s">
        <v>33</v>
      </c>
      <c r="C1890" s="16">
        <v>46215</v>
      </c>
      <c r="D1890">
        <v>28485.559999999998</v>
      </c>
    </row>
    <row r="1891" spans="1:4" x14ac:dyDescent="0.3">
      <c r="A1891" t="s">
        <v>34</v>
      </c>
      <c r="C1891" s="16">
        <v>46215</v>
      </c>
      <c r="D1891">
        <v>345</v>
      </c>
    </row>
    <row r="1892" spans="1:4" x14ac:dyDescent="0.3">
      <c r="A1892" t="s">
        <v>35</v>
      </c>
      <c r="C1892" s="16">
        <v>46215</v>
      </c>
      <c r="D1892">
        <v>31900.120000000003</v>
      </c>
    </row>
    <row r="1893" spans="1:4" x14ac:dyDescent="0.3">
      <c r="A1893" t="s">
        <v>193</v>
      </c>
      <c r="C1893" s="16">
        <v>46215</v>
      </c>
      <c r="D1893">
        <v>0</v>
      </c>
    </row>
    <row r="1894" spans="1:4" x14ac:dyDescent="0.3">
      <c r="A1894" t="s">
        <v>194</v>
      </c>
      <c r="C1894" s="16">
        <v>46215</v>
      </c>
      <c r="D1894">
        <v>0</v>
      </c>
    </row>
    <row r="1895" spans="1:4" x14ac:dyDescent="0.3">
      <c r="A1895" t="s">
        <v>195</v>
      </c>
      <c r="C1895" s="16">
        <v>46215</v>
      </c>
      <c r="D1895">
        <v>0</v>
      </c>
    </row>
    <row r="1896" spans="1:4" x14ac:dyDescent="0.3">
      <c r="A1896" t="s">
        <v>196</v>
      </c>
      <c r="C1896" s="16">
        <v>46215</v>
      </c>
      <c r="D1896">
        <v>0</v>
      </c>
    </row>
    <row r="1897" spans="1:4" x14ac:dyDescent="0.3">
      <c r="A1897" t="s">
        <v>197</v>
      </c>
      <c r="C1897" s="16">
        <v>46215</v>
      </c>
      <c r="D1897">
        <v>0</v>
      </c>
    </row>
    <row r="1898" spans="1:4" x14ac:dyDescent="0.3">
      <c r="A1898" t="s">
        <v>214</v>
      </c>
      <c r="C1898" s="16">
        <v>46215</v>
      </c>
      <c r="D1898">
        <v>0</v>
      </c>
    </row>
    <row r="1899" spans="1:4" x14ac:dyDescent="0.3">
      <c r="A1899" t="s">
        <v>199</v>
      </c>
      <c r="C1899" s="16">
        <v>46215</v>
      </c>
      <c r="D1899">
        <v>0</v>
      </c>
    </row>
    <row r="1900" spans="1:4" x14ac:dyDescent="0.3">
      <c r="A1900" t="s">
        <v>17</v>
      </c>
      <c r="C1900" s="16">
        <v>46216</v>
      </c>
      <c r="D1900">
        <v>4163755.7500000005</v>
      </c>
    </row>
    <row r="1901" spans="1:4" x14ac:dyDescent="0.3">
      <c r="A1901" t="s">
        <v>18</v>
      </c>
      <c r="C1901" s="16">
        <v>46216</v>
      </c>
      <c r="D1901">
        <v>73157.680000000168</v>
      </c>
    </row>
    <row r="1902" spans="1:4" x14ac:dyDescent="0.3">
      <c r="A1902" t="s">
        <v>19</v>
      </c>
      <c r="C1902" s="16">
        <v>46216</v>
      </c>
      <c r="D1902">
        <v>1669.89</v>
      </c>
    </row>
    <row r="1903" spans="1:4" x14ac:dyDescent="0.3">
      <c r="A1903" t="s">
        <v>20</v>
      </c>
      <c r="C1903" s="16">
        <v>46216</v>
      </c>
      <c r="D1903">
        <v>290141.62999999989</v>
      </c>
    </row>
    <row r="1904" spans="1:4" x14ac:dyDescent="0.3">
      <c r="A1904" t="s">
        <v>21</v>
      </c>
      <c r="C1904" s="16">
        <v>46216</v>
      </c>
      <c r="D1904">
        <v>1921752.2699999993</v>
      </c>
    </row>
    <row r="1905" spans="1:4" x14ac:dyDescent="0.3">
      <c r="A1905" t="s">
        <v>22</v>
      </c>
      <c r="C1905" s="16">
        <v>46216</v>
      </c>
      <c r="D1905">
        <v>200496.38</v>
      </c>
    </row>
    <row r="1906" spans="1:4" x14ac:dyDescent="0.3">
      <c r="A1906" t="s">
        <v>23</v>
      </c>
      <c r="C1906" s="16">
        <v>46216</v>
      </c>
      <c r="D1906">
        <v>267503.99000000005</v>
      </c>
    </row>
    <row r="1907" spans="1:4" x14ac:dyDescent="0.3">
      <c r="A1907" t="s">
        <v>24</v>
      </c>
      <c r="C1907" s="16">
        <v>46216</v>
      </c>
      <c r="D1907">
        <v>14580.45</v>
      </c>
    </row>
    <row r="1908" spans="1:4" x14ac:dyDescent="0.3">
      <c r="A1908" t="s">
        <v>25</v>
      </c>
      <c r="C1908" s="16">
        <v>46216</v>
      </c>
      <c r="D1908">
        <v>54.400000000000006</v>
      </c>
    </row>
    <row r="1909" spans="1:4" x14ac:dyDescent="0.3">
      <c r="A1909" t="s">
        <v>26</v>
      </c>
      <c r="C1909" s="16">
        <v>46216</v>
      </c>
      <c r="D1909">
        <v>2207.8200000000002</v>
      </c>
    </row>
    <row r="1910" spans="1:4" x14ac:dyDescent="0.3">
      <c r="A1910" t="s">
        <v>27</v>
      </c>
      <c r="C1910" s="16">
        <v>46216</v>
      </c>
      <c r="D1910">
        <v>1454589.72</v>
      </c>
    </row>
    <row r="1911" spans="1:4" x14ac:dyDescent="0.3">
      <c r="A1911" t="s">
        <v>28</v>
      </c>
      <c r="C1911" s="16">
        <v>46216</v>
      </c>
      <c r="D1911">
        <v>1968.99</v>
      </c>
    </row>
    <row r="1912" spans="1:4" x14ac:dyDescent="0.3">
      <c r="A1912" t="s">
        <v>29</v>
      </c>
      <c r="C1912" s="16">
        <v>46216</v>
      </c>
      <c r="D1912">
        <v>901.34</v>
      </c>
    </row>
    <row r="1913" spans="1:4" x14ac:dyDescent="0.3">
      <c r="A1913" t="s">
        <v>30</v>
      </c>
      <c r="C1913" s="16">
        <v>46216</v>
      </c>
      <c r="D1913">
        <v>1412.08</v>
      </c>
    </row>
    <row r="1914" spans="1:4" x14ac:dyDescent="0.3">
      <c r="A1914" t="s">
        <v>31</v>
      </c>
      <c r="C1914" s="16">
        <v>46216</v>
      </c>
      <c r="D1914">
        <v>22496.639999999959</v>
      </c>
    </row>
    <row r="1915" spans="1:4" x14ac:dyDescent="0.3">
      <c r="A1915" t="s">
        <v>32</v>
      </c>
      <c r="C1915" s="16">
        <v>46216</v>
      </c>
      <c r="D1915">
        <v>6522.8000000000029</v>
      </c>
    </row>
    <row r="1916" spans="1:4" x14ac:dyDescent="0.3">
      <c r="A1916" t="s">
        <v>33</v>
      </c>
      <c r="C1916" s="16">
        <v>46216</v>
      </c>
      <c r="D1916">
        <v>28485.559999999998</v>
      </c>
    </row>
    <row r="1917" spans="1:4" x14ac:dyDescent="0.3">
      <c r="A1917" t="s">
        <v>34</v>
      </c>
      <c r="C1917" s="16">
        <v>46216</v>
      </c>
      <c r="D1917">
        <v>345</v>
      </c>
    </row>
    <row r="1918" spans="1:4" x14ac:dyDescent="0.3">
      <c r="A1918" t="s">
        <v>35</v>
      </c>
      <c r="C1918" s="16">
        <v>46216</v>
      </c>
      <c r="D1918">
        <v>25198.240000000002</v>
      </c>
    </row>
    <row r="1919" spans="1:4" x14ac:dyDescent="0.3">
      <c r="A1919" t="s">
        <v>193</v>
      </c>
      <c r="C1919" s="16">
        <v>46216</v>
      </c>
      <c r="D1919">
        <v>0</v>
      </c>
    </row>
    <row r="1920" spans="1:4" x14ac:dyDescent="0.3">
      <c r="A1920" t="s">
        <v>194</v>
      </c>
      <c r="C1920" s="16">
        <v>46216</v>
      </c>
      <c r="D1920">
        <v>0</v>
      </c>
    </row>
    <row r="1921" spans="1:4" x14ac:dyDescent="0.3">
      <c r="A1921" t="s">
        <v>195</v>
      </c>
      <c r="C1921" s="16">
        <v>46216</v>
      </c>
      <c r="D1921">
        <v>0</v>
      </c>
    </row>
    <row r="1922" spans="1:4" x14ac:dyDescent="0.3">
      <c r="A1922" t="s">
        <v>196</v>
      </c>
      <c r="C1922" s="16">
        <v>46216</v>
      </c>
      <c r="D1922">
        <v>0</v>
      </c>
    </row>
    <row r="1923" spans="1:4" x14ac:dyDescent="0.3">
      <c r="A1923" t="s">
        <v>197</v>
      </c>
      <c r="C1923" s="16">
        <v>46216</v>
      </c>
      <c r="D1923">
        <v>0</v>
      </c>
    </row>
    <row r="1924" spans="1:4" x14ac:dyDescent="0.3">
      <c r="A1924" t="s">
        <v>214</v>
      </c>
      <c r="C1924" s="16">
        <v>46216</v>
      </c>
      <c r="D1924">
        <v>0</v>
      </c>
    </row>
    <row r="1925" spans="1:4" x14ac:dyDescent="0.3">
      <c r="A1925" t="s">
        <v>199</v>
      </c>
      <c r="C1925" s="16">
        <v>46216</v>
      </c>
      <c r="D1925">
        <v>0</v>
      </c>
    </row>
    <row r="1926" spans="1:4" x14ac:dyDescent="0.3">
      <c r="A1926" t="s">
        <v>17</v>
      </c>
      <c r="C1926" s="16">
        <v>46217</v>
      </c>
      <c r="D1926">
        <v>3363755.7500000005</v>
      </c>
    </row>
    <row r="1927" spans="1:4" x14ac:dyDescent="0.3">
      <c r="A1927" t="s">
        <v>18</v>
      </c>
      <c r="C1927" s="16">
        <v>46217</v>
      </c>
      <c r="D1927">
        <v>73157.680000000168</v>
      </c>
    </row>
    <row r="1928" spans="1:4" x14ac:dyDescent="0.3">
      <c r="A1928" t="s">
        <v>19</v>
      </c>
      <c r="C1928" s="16">
        <v>46217</v>
      </c>
      <c r="D1928">
        <v>1669.89</v>
      </c>
    </row>
    <row r="1929" spans="1:4" x14ac:dyDescent="0.3">
      <c r="A1929" t="s">
        <v>20</v>
      </c>
      <c r="C1929" s="16">
        <v>46217</v>
      </c>
      <c r="D1929">
        <v>1090141.6299999999</v>
      </c>
    </row>
    <row r="1930" spans="1:4" x14ac:dyDescent="0.3">
      <c r="A1930" t="s">
        <v>21</v>
      </c>
      <c r="C1930" s="16">
        <v>46217</v>
      </c>
      <c r="D1930">
        <v>1856542.8899999992</v>
      </c>
    </row>
    <row r="1931" spans="1:4" x14ac:dyDescent="0.3">
      <c r="A1931" t="s">
        <v>22</v>
      </c>
      <c r="C1931" s="16">
        <v>46217</v>
      </c>
      <c r="D1931">
        <v>200496.38</v>
      </c>
    </row>
    <row r="1932" spans="1:4" x14ac:dyDescent="0.3">
      <c r="A1932" t="s">
        <v>23</v>
      </c>
      <c r="C1932" s="16">
        <v>46217</v>
      </c>
      <c r="D1932">
        <v>267503.99000000005</v>
      </c>
    </row>
    <row r="1933" spans="1:4" x14ac:dyDescent="0.3">
      <c r="A1933" t="s">
        <v>24</v>
      </c>
      <c r="C1933" s="16">
        <v>46217</v>
      </c>
      <c r="D1933">
        <v>14580.45</v>
      </c>
    </row>
    <row r="1934" spans="1:4" x14ac:dyDescent="0.3">
      <c r="A1934" t="s">
        <v>25</v>
      </c>
      <c r="C1934" s="16">
        <v>46217</v>
      </c>
      <c r="D1934">
        <v>54.400000000000006</v>
      </c>
    </row>
    <row r="1935" spans="1:4" x14ac:dyDescent="0.3">
      <c r="A1935" t="s">
        <v>26</v>
      </c>
      <c r="C1935" s="16">
        <v>46217</v>
      </c>
      <c r="D1935">
        <v>2207.8200000000002</v>
      </c>
    </row>
    <row r="1936" spans="1:4" x14ac:dyDescent="0.3">
      <c r="A1936" t="s">
        <v>27</v>
      </c>
      <c r="C1936" s="16">
        <v>46217</v>
      </c>
      <c r="D1936">
        <v>1454589.72</v>
      </c>
    </row>
    <row r="1937" spans="1:4" x14ac:dyDescent="0.3">
      <c r="A1937" t="s">
        <v>28</v>
      </c>
      <c r="C1937" s="16">
        <v>46217</v>
      </c>
      <c r="D1937">
        <v>1968.99</v>
      </c>
    </row>
    <row r="1938" spans="1:4" x14ac:dyDescent="0.3">
      <c r="A1938" t="s">
        <v>29</v>
      </c>
      <c r="C1938" s="16">
        <v>46217</v>
      </c>
      <c r="D1938">
        <v>901.34</v>
      </c>
    </row>
    <row r="1939" spans="1:4" x14ac:dyDescent="0.3">
      <c r="A1939" t="s">
        <v>30</v>
      </c>
      <c r="C1939" s="16">
        <v>46217</v>
      </c>
      <c r="D1939">
        <v>1412.08</v>
      </c>
    </row>
    <row r="1940" spans="1:4" x14ac:dyDescent="0.3">
      <c r="A1940" t="s">
        <v>31</v>
      </c>
      <c r="C1940" s="16">
        <v>46217</v>
      </c>
      <c r="D1940">
        <v>22347.56999999996</v>
      </c>
    </row>
    <row r="1941" spans="1:4" x14ac:dyDescent="0.3">
      <c r="A1941" t="s">
        <v>32</v>
      </c>
      <c r="C1941" s="16">
        <v>46217</v>
      </c>
      <c r="D1941">
        <v>6522.8000000000029</v>
      </c>
    </row>
    <row r="1942" spans="1:4" x14ac:dyDescent="0.3">
      <c r="A1942" t="s">
        <v>33</v>
      </c>
      <c r="C1942" s="16">
        <v>46217</v>
      </c>
      <c r="D1942">
        <v>28485.559999999998</v>
      </c>
    </row>
    <row r="1943" spans="1:4" x14ac:dyDescent="0.3">
      <c r="A1943" t="s">
        <v>34</v>
      </c>
      <c r="C1943" s="16">
        <v>46217</v>
      </c>
      <c r="D1943">
        <v>345</v>
      </c>
    </row>
    <row r="1944" spans="1:4" x14ac:dyDescent="0.3">
      <c r="A1944" t="s">
        <v>35</v>
      </c>
      <c r="C1944" s="16">
        <v>46217</v>
      </c>
      <c r="D1944">
        <v>25198.240000000002</v>
      </c>
    </row>
    <row r="1945" spans="1:4" x14ac:dyDescent="0.3">
      <c r="A1945" t="s">
        <v>193</v>
      </c>
      <c r="C1945" s="16">
        <v>46217</v>
      </c>
      <c r="D1945">
        <v>0</v>
      </c>
    </row>
    <row r="1946" spans="1:4" x14ac:dyDescent="0.3">
      <c r="A1946" t="s">
        <v>194</v>
      </c>
      <c r="C1946" s="16">
        <v>46217</v>
      </c>
      <c r="D1946">
        <v>0</v>
      </c>
    </row>
    <row r="1947" spans="1:4" x14ac:dyDescent="0.3">
      <c r="A1947" t="s">
        <v>195</v>
      </c>
      <c r="C1947" s="16">
        <v>46217</v>
      </c>
      <c r="D1947">
        <v>0</v>
      </c>
    </row>
    <row r="1948" spans="1:4" x14ac:dyDescent="0.3">
      <c r="A1948" t="s">
        <v>196</v>
      </c>
      <c r="C1948" s="16">
        <v>46217</v>
      </c>
      <c r="D1948">
        <v>0</v>
      </c>
    </row>
    <row r="1949" spans="1:4" x14ac:dyDescent="0.3">
      <c r="A1949" t="s">
        <v>197</v>
      </c>
      <c r="C1949" s="16">
        <v>46217</v>
      </c>
      <c r="D1949">
        <v>0</v>
      </c>
    </row>
    <row r="1950" spans="1:4" x14ac:dyDescent="0.3">
      <c r="A1950" t="s">
        <v>214</v>
      </c>
      <c r="C1950" s="16">
        <v>46217</v>
      </c>
      <c r="D1950">
        <v>0</v>
      </c>
    </row>
    <row r="1951" spans="1:4" x14ac:dyDescent="0.3">
      <c r="A1951" t="s">
        <v>199</v>
      </c>
      <c r="C1951" s="16">
        <v>46217</v>
      </c>
      <c r="D1951">
        <v>0</v>
      </c>
    </row>
    <row r="1952" spans="1:4" x14ac:dyDescent="0.3">
      <c r="A1952" t="s">
        <v>17</v>
      </c>
      <c r="C1952" s="16">
        <v>46218</v>
      </c>
      <c r="D1952">
        <v>3363755.7500000005</v>
      </c>
    </row>
    <row r="1953" spans="1:4" x14ac:dyDescent="0.3">
      <c r="A1953" t="s">
        <v>18</v>
      </c>
      <c r="C1953" s="16">
        <v>46218</v>
      </c>
      <c r="D1953">
        <v>73157.680000000168</v>
      </c>
    </row>
    <row r="1954" spans="1:4" x14ac:dyDescent="0.3">
      <c r="A1954" t="s">
        <v>19</v>
      </c>
      <c r="C1954" s="16">
        <v>46218</v>
      </c>
      <c r="D1954">
        <v>1669.89</v>
      </c>
    </row>
    <row r="1955" spans="1:4" x14ac:dyDescent="0.3">
      <c r="A1955" t="s">
        <v>20</v>
      </c>
      <c r="C1955" s="16">
        <v>46218</v>
      </c>
      <c r="D1955">
        <v>1089804.7499999998</v>
      </c>
    </row>
    <row r="1956" spans="1:4" x14ac:dyDescent="0.3">
      <c r="A1956" t="s">
        <v>21</v>
      </c>
      <c r="C1956" s="16">
        <v>46218</v>
      </c>
      <c r="D1956">
        <v>1856513.4499999993</v>
      </c>
    </row>
    <row r="1957" spans="1:4" x14ac:dyDescent="0.3">
      <c r="A1957" t="s">
        <v>22</v>
      </c>
      <c r="C1957" s="16">
        <v>46218</v>
      </c>
      <c r="D1957">
        <v>200496.38</v>
      </c>
    </row>
    <row r="1958" spans="1:4" x14ac:dyDescent="0.3">
      <c r="A1958" t="s">
        <v>23</v>
      </c>
      <c r="C1958" s="16">
        <v>46218</v>
      </c>
      <c r="D1958">
        <v>267503.99000000005</v>
      </c>
    </row>
    <row r="1959" spans="1:4" x14ac:dyDescent="0.3">
      <c r="A1959" t="s">
        <v>24</v>
      </c>
      <c r="C1959" s="16">
        <v>46218</v>
      </c>
      <c r="D1959">
        <v>14580.45</v>
      </c>
    </row>
    <row r="1960" spans="1:4" x14ac:dyDescent="0.3">
      <c r="A1960" t="s">
        <v>25</v>
      </c>
      <c r="C1960" s="16">
        <v>46218</v>
      </c>
      <c r="D1960">
        <v>54.400000000000006</v>
      </c>
    </row>
    <row r="1961" spans="1:4" x14ac:dyDescent="0.3">
      <c r="A1961" t="s">
        <v>26</v>
      </c>
      <c r="C1961" s="16">
        <v>46218</v>
      </c>
      <c r="D1961">
        <v>2207.8200000000002</v>
      </c>
    </row>
    <row r="1962" spans="1:4" x14ac:dyDescent="0.3">
      <c r="A1962" t="s">
        <v>27</v>
      </c>
      <c r="C1962" s="16">
        <v>46218</v>
      </c>
      <c r="D1962">
        <v>1454589.72</v>
      </c>
    </row>
    <row r="1963" spans="1:4" x14ac:dyDescent="0.3">
      <c r="A1963" t="s">
        <v>28</v>
      </c>
      <c r="C1963" s="16">
        <v>46218</v>
      </c>
      <c r="D1963">
        <v>1968.99</v>
      </c>
    </row>
    <row r="1964" spans="1:4" x14ac:dyDescent="0.3">
      <c r="A1964" t="s">
        <v>29</v>
      </c>
      <c r="C1964" s="16">
        <v>46218</v>
      </c>
      <c r="D1964">
        <v>901.34</v>
      </c>
    </row>
    <row r="1965" spans="1:4" x14ac:dyDescent="0.3">
      <c r="A1965" t="s">
        <v>30</v>
      </c>
      <c r="C1965" s="16">
        <v>46218</v>
      </c>
      <c r="D1965">
        <v>1412.08</v>
      </c>
    </row>
    <row r="1966" spans="1:4" x14ac:dyDescent="0.3">
      <c r="A1966" t="s">
        <v>31</v>
      </c>
      <c r="C1966" s="16">
        <v>46218</v>
      </c>
      <c r="D1966">
        <v>22347.56999999996</v>
      </c>
    </row>
    <row r="1967" spans="1:4" x14ac:dyDescent="0.3">
      <c r="A1967" t="s">
        <v>32</v>
      </c>
      <c r="C1967" s="16">
        <v>46218</v>
      </c>
      <c r="D1967">
        <v>6522.8000000000029</v>
      </c>
    </row>
    <row r="1968" spans="1:4" x14ac:dyDescent="0.3">
      <c r="A1968" t="s">
        <v>33</v>
      </c>
      <c r="C1968" s="16">
        <v>46218</v>
      </c>
      <c r="D1968">
        <v>28485.559999999998</v>
      </c>
    </row>
    <row r="1969" spans="1:4" x14ac:dyDescent="0.3">
      <c r="A1969" t="s">
        <v>34</v>
      </c>
      <c r="C1969" s="16">
        <v>46218</v>
      </c>
      <c r="D1969">
        <v>345</v>
      </c>
    </row>
    <row r="1970" spans="1:4" x14ac:dyDescent="0.3">
      <c r="A1970" t="s">
        <v>35</v>
      </c>
      <c r="C1970" s="16">
        <v>46218</v>
      </c>
      <c r="D1970">
        <v>25023.24</v>
      </c>
    </row>
    <row r="1971" spans="1:4" x14ac:dyDescent="0.3">
      <c r="A1971" t="s">
        <v>193</v>
      </c>
      <c r="C1971" s="16">
        <v>46218</v>
      </c>
      <c r="D1971">
        <v>0</v>
      </c>
    </row>
    <row r="1972" spans="1:4" x14ac:dyDescent="0.3">
      <c r="A1972" t="s">
        <v>194</v>
      </c>
      <c r="C1972" s="16">
        <v>46218</v>
      </c>
      <c r="D1972">
        <v>0</v>
      </c>
    </row>
    <row r="1973" spans="1:4" x14ac:dyDescent="0.3">
      <c r="A1973" t="s">
        <v>195</v>
      </c>
      <c r="C1973" s="16">
        <v>46218</v>
      </c>
      <c r="D1973">
        <v>0</v>
      </c>
    </row>
    <row r="1974" spans="1:4" x14ac:dyDescent="0.3">
      <c r="A1974" t="s">
        <v>196</v>
      </c>
      <c r="C1974" s="16">
        <v>46218</v>
      </c>
      <c r="D1974">
        <v>0</v>
      </c>
    </row>
    <row r="1975" spans="1:4" x14ac:dyDescent="0.3">
      <c r="A1975" t="s">
        <v>197</v>
      </c>
      <c r="C1975" s="16">
        <v>46218</v>
      </c>
      <c r="D1975">
        <v>0</v>
      </c>
    </row>
    <row r="1976" spans="1:4" x14ac:dyDescent="0.3">
      <c r="A1976" t="s">
        <v>214</v>
      </c>
      <c r="C1976" s="16">
        <v>46218</v>
      </c>
      <c r="D1976">
        <v>0</v>
      </c>
    </row>
    <row r="1977" spans="1:4" x14ac:dyDescent="0.3">
      <c r="A1977" t="s">
        <v>199</v>
      </c>
      <c r="C1977" s="16">
        <v>46218</v>
      </c>
      <c r="D1977">
        <v>0</v>
      </c>
    </row>
    <row r="1978" spans="1:4" x14ac:dyDescent="0.3">
      <c r="A1978" t="s">
        <v>17</v>
      </c>
      <c r="C1978" s="16">
        <v>46219</v>
      </c>
      <c r="D1978">
        <v>3110339.0700000008</v>
      </c>
    </row>
    <row r="1979" spans="1:4" x14ac:dyDescent="0.3">
      <c r="A1979" t="s">
        <v>18</v>
      </c>
      <c r="C1979" s="16">
        <v>46219</v>
      </c>
      <c r="D1979">
        <v>73157.680000000168</v>
      </c>
    </row>
    <row r="1980" spans="1:4" x14ac:dyDescent="0.3">
      <c r="A1980" t="s">
        <v>19</v>
      </c>
      <c r="C1980" s="16">
        <v>46219</v>
      </c>
      <c r="D1980">
        <v>1669.89</v>
      </c>
    </row>
    <row r="1981" spans="1:4" x14ac:dyDescent="0.3">
      <c r="A1981" t="s">
        <v>20</v>
      </c>
      <c r="C1981" s="16">
        <v>46219</v>
      </c>
      <c r="D1981">
        <v>1029804.7499999998</v>
      </c>
    </row>
    <row r="1982" spans="1:4" x14ac:dyDescent="0.3">
      <c r="A1982" t="s">
        <v>21</v>
      </c>
      <c r="C1982" s="16">
        <v>46219</v>
      </c>
      <c r="D1982">
        <v>1678189.7499999995</v>
      </c>
    </row>
    <row r="1983" spans="1:4" x14ac:dyDescent="0.3">
      <c r="A1983" t="s">
        <v>22</v>
      </c>
      <c r="C1983" s="16">
        <v>46219</v>
      </c>
      <c r="D1983">
        <v>200496.38</v>
      </c>
    </row>
    <row r="1984" spans="1:4" x14ac:dyDescent="0.3">
      <c r="A1984" t="s">
        <v>23</v>
      </c>
      <c r="C1984" s="16">
        <v>46219</v>
      </c>
      <c r="D1984">
        <v>267507.45</v>
      </c>
    </row>
    <row r="1985" spans="1:4" x14ac:dyDescent="0.3">
      <c r="A1985" t="s">
        <v>24</v>
      </c>
      <c r="C1985" s="16">
        <v>46219</v>
      </c>
      <c r="D1985">
        <v>14580.45</v>
      </c>
    </row>
    <row r="1986" spans="1:4" x14ac:dyDescent="0.3">
      <c r="A1986" t="s">
        <v>25</v>
      </c>
      <c r="C1986" s="16">
        <v>46219</v>
      </c>
      <c r="D1986">
        <v>54.400000000000006</v>
      </c>
    </row>
    <row r="1987" spans="1:4" x14ac:dyDescent="0.3">
      <c r="A1987" t="s">
        <v>26</v>
      </c>
      <c r="C1987" s="16">
        <v>46219</v>
      </c>
      <c r="D1987">
        <v>2207.8200000000002</v>
      </c>
    </row>
    <row r="1988" spans="1:4" x14ac:dyDescent="0.3">
      <c r="A1988" t="s">
        <v>27</v>
      </c>
      <c r="C1988" s="16">
        <v>46219</v>
      </c>
      <c r="D1988">
        <v>1454589.72</v>
      </c>
    </row>
    <row r="1989" spans="1:4" x14ac:dyDescent="0.3">
      <c r="A1989" t="s">
        <v>28</v>
      </c>
      <c r="C1989" s="16">
        <v>46219</v>
      </c>
      <c r="D1989">
        <v>1968.99</v>
      </c>
    </row>
    <row r="1990" spans="1:4" x14ac:dyDescent="0.3">
      <c r="A1990" t="s">
        <v>29</v>
      </c>
      <c r="C1990" s="16">
        <v>46219</v>
      </c>
      <c r="D1990">
        <v>901.34</v>
      </c>
    </row>
    <row r="1991" spans="1:4" x14ac:dyDescent="0.3">
      <c r="A1991" t="s">
        <v>30</v>
      </c>
      <c r="C1991" s="16">
        <v>46219</v>
      </c>
      <c r="D1991">
        <v>1412.08</v>
      </c>
    </row>
    <row r="1992" spans="1:4" x14ac:dyDescent="0.3">
      <c r="A1992" t="s">
        <v>31</v>
      </c>
      <c r="C1992" s="16">
        <v>46219</v>
      </c>
      <c r="D1992">
        <v>22347.56999999996</v>
      </c>
    </row>
    <row r="1993" spans="1:4" x14ac:dyDescent="0.3">
      <c r="A1993" t="s">
        <v>32</v>
      </c>
      <c r="C1993" s="16">
        <v>46219</v>
      </c>
      <c r="D1993">
        <v>3522.8000000000029</v>
      </c>
    </row>
    <row r="1994" spans="1:4" x14ac:dyDescent="0.3">
      <c r="A1994" t="s">
        <v>33</v>
      </c>
      <c r="C1994" s="16">
        <v>46219</v>
      </c>
      <c r="D1994">
        <v>28485.559999999998</v>
      </c>
    </row>
    <row r="1995" spans="1:4" x14ac:dyDescent="0.3">
      <c r="A1995" t="s">
        <v>34</v>
      </c>
      <c r="C1995" s="16">
        <v>46219</v>
      </c>
      <c r="D1995">
        <v>345</v>
      </c>
    </row>
    <row r="1996" spans="1:4" x14ac:dyDescent="0.3">
      <c r="A1996" t="s">
        <v>35</v>
      </c>
      <c r="C1996" s="16">
        <v>46219</v>
      </c>
      <c r="D1996">
        <v>23978.850000000002</v>
      </c>
    </row>
    <row r="1997" spans="1:4" x14ac:dyDescent="0.3">
      <c r="A1997" t="s">
        <v>193</v>
      </c>
      <c r="C1997" s="16">
        <v>46219</v>
      </c>
      <c r="D1997">
        <v>0</v>
      </c>
    </row>
    <row r="1998" spans="1:4" x14ac:dyDescent="0.3">
      <c r="A1998" t="s">
        <v>194</v>
      </c>
      <c r="C1998" s="16">
        <v>46219</v>
      </c>
      <c r="D1998">
        <v>0</v>
      </c>
    </row>
    <row r="1999" spans="1:4" x14ac:dyDescent="0.3">
      <c r="A1999" t="s">
        <v>195</v>
      </c>
      <c r="C1999" s="16">
        <v>46219</v>
      </c>
      <c r="D1999">
        <v>0</v>
      </c>
    </row>
    <row r="2000" spans="1:4" x14ac:dyDescent="0.3">
      <c r="A2000" t="s">
        <v>196</v>
      </c>
      <c r="C2000" s="16">
        <v>46219</v>
      </c>
      <c r="D2000">
        <v>0</v>
      </c>
    </row>
    <row r="2001" spans="1:4" x14ac:dyDescent="0.3">
      <c r="A2001" t="s">
        <v>197</v>
      </c>
      <c r="C2001" s="16">
        <v>46219</v>
      </c>
      <c r="D2001">
        <v>0</v>
      </c>
    </row>
    <row r="2002" spans="1:4" x14ac:dyDescent="0.3">
      <c r="A2002" t="s">
        <v>214</v>
      </c>
      <c r="C2002" s="16">
        <v>46219</v>
      </c>
      <c r="D2002">
        <v>0</v>
      </c>
    </row>
    <row r="2003" spans="1:4" x14ac:dyDescent="0.3">
      <c r="A2003" t="s">
        <v>199</v>
      </c>
      <c r="C2003" s="16">
        <v>46219</v>
      </c>
      <c r="D2003">
        <v>0</v>
      </c>
    </row>
    <row r="2004" spans="1:4" x14ac:dyDescent="0.3">
      <c r="A2004" t="s">
        <v>17</v>
      </c>
      <c r="C2004" s="16">
        <v>46220</v>
      </c>
      <c r="D2004">
        <v>3110339.0700000008</v>
      </c>
    </row>
    <row r="2005" spans="1:4" x14ac:dyDescent="0.3">
      <c r="A2005" t="s">
        <v>18</v>
      </c>
      <c r="C2005" s="16">
        <v>46220</v>
      </c>
      <c r="D2005">
        <v>73157.680000000168</v>
      </c>
    </row>
    <row r="2006" spans="1:4" x14ac:dyDescent="0.3">
      <c r="A2006" t="s">
        <v>19</v>
      </c>
      <c r="C2006" s="16">
        <v>46220</v>
      </c>
      <c r="D2006">
        <v>1669.89</v>
      </c>
    </row>
    <row r="2007" spans="1:4" x14ac:dyDescent="0.3">
      <c r="A2007" t="s">
        <v>20</v>
      </c>
      <c r="C2007" s="16">
        <v>46220</v>
      </c>
      <c r="D2007">
        <v>1029804.7499999998</v>
      </c>
    </row>
    <row r="2008" spans="1:4" x14ac:dyDescent="0.3">
      <c r="A2008" t="s">
        <v>21</v>
      </c>
      <c r="C2008" s="16">
        <v>46220</v>
      </c>
      <c r="D2008">
        <v>1748189.7499999995</v>
      </c>
    </row>
    <row r="2009" spans="1:4" x14ac:dyDescent="0.3">
      <c r="A2009" t="s">
        <v>22</v>
      </c>
      <c r="C2009" s="16">
        <v>46220</v>
      </c>
      <c r="D2009">
        <v>200496.38</v>
      </c>
    </row>
    <row r="2010" spans="1:4" x14ac:dyDescent="0.3">
      <c r="A2010" t="s">
        <v>23</v>
      </c>
      <c r="C2010" s="16">
        <v>46220</v>
      </c>
      <c r="D2010">
        <v>267507.45</v>
      </c>
    </row>
    <row r="2011" spans="1:4" x14ac:dyDescent="0.3">
      <c r="A2011" t="s">
        <v>24</v>
      </c>
      <c r="C2011" s="16">
        <v>46220</v>
      </c>
      <c r="D2011">
        <v>14580.45</v>
      </c>
    </row>
    <row r="2012" spans="1:4" x14ac:dyDescent="0.3">
      <c r="A2012" t="s">
        <v>25</v>
      </c>
      <c r="C2012" s="16">
        <v>46220</v>
      </c>
      <c r="D2012">
        <v>54.400000000000006</v>
      </c>
    </row>
    <row r="2013" spans="1:4" x14ac:dyDescent="0.3">
      <c r="A2013" t="s">
        <v>26</v>
      </c>
      <c r="C2013" s="16">
        <v>46220</v>
      </c>
      <c r="D2013">
        <v>2207.8200000000002</v>
      </c>
    </row>
    <row r="2014" spans="1:4" x14ac:dyDescent="0.3">
      <c r="A2014" t="s">
        <v>27</v>
      </c>
      <c r="C2014" s="16">
        <v>46220</v>
      </c>
      <c r="D2014">
        <v>1454589.72</v>
      </c>
    </row>
    <row r="2015" spans="1:4" x14ac:dyDescent="0.3">
      <c r="A2015" t="s">
        <v>28</v>
      </c>
      <c r="C2015" s="16">
        <v>46220</v>
      </c>
      <c r="D2015">
        <v>1968.99</v>
      </c>
    </row>
    <row r="2016" spans="1:4" x14ac:dyDescent="0.3">
      <c r="A2016" t="s">
        <v>29</v>
      </c>
      <c r="C2016" s="16">
        <v>46220</v>
      </c>
      <c r="D2016">
        <v>901.34</v>
      </c>
    </row>
    <row r="2017" spans="1:4" x14ac:dyDescent="0.3">
      <c r="A2017" t="s">
        <v>30</v>
      </c>
      <c r="C2017" s="16">
        <v>46220</v>
      </c>
      <c r="D2017">
        <v>1412.08</v>
      </c>
    </row>
    <row r="2018" spans="1:4" x14ac:dyDescent="0.3">
      <c r="A2018" t="s">
        <v>31</v>
      </c>
      <c r="C2018" s="16">
        <v>46220</v>
      </c>
      <c r="D2018">
        <v>22347.56999999996</v>
      </c>
    </row>
    <row r="2019" spans="1:4" x14ac:dyDescent="0.3">
      <c r="A2019" t="s">
        <v>32</v>
      </c>
      <c r="C2019" s="16">
        <v>46220</v>
      </c>
      <c r="D2019">
        <v>3522.8000000000029</v>
      </c>
    </row>
    <row r="2020" spans="1:4" x14ac:dyDescent="0.3">
      <c r="A2020" t="s">
        <v>33</v>
      </c>
      <c r="C2020" s="16">
        <v>46220</v>
      </c>
      <c r="D2020">
        <v>28485.559999999998</v>
      </c>
    </row>
    <row r="2021" spans="1:4" x14ac:dyDescent="0.3">
      <c r="A2021" t="s">
        <v>34</v>
      </c>
      <c r="C2021" s="16">
        <v>46220</v>
      </c>
      <c r="D2021">
        <v>345</v>
      </c>
    </row>
    <row r="2022" spans="1:4" x14ac:dyDescent="0.3">
      <c r="A2022" t="s">
        <v>35</v>
      </c>
      <c r="C2022" s="16">
        <v>46220</v>
      </c>
      <c r="D2022">
        <v>16230.620000000003</v>
      </c>
    </row>
    <row r="2023" spans="1:4" x14ac:dyDescent="0.3">
      <c r="A2023" t="s">
        <v>193</v>
      </c>
      <c r="C2023" s="16">
        <v>46220</v>
      </c>
      <c r="D2023">
        <v>0</v>
      </c>
    </row>
    <row r="2024" spans="1:4" x14ac:dyDescent="0.3">
      <c r="A2024" t="s">
        <v>194</v>
      </c>
      <c r="C2024" s="16">
        <v>46220</v>
      </c>
      <c r="D2024">
        <v>0</v>
      </c>
    </row>
    <row r="2025" spans="1:4" x14ac:dyDescent="0.3">
      <c r="A2025" t="s">
        <v>195</v>
      </c>
      <c r="C2025" s="16">
        <v>46220</v>
      </c>
      <c r="D2025">
        <v>0</v>
      </c>
    </row>
    <row r="2026" spans="1:4" x14ac:dyDescent="0.3">
      <c r="A2026" t="s">
        <v>196</v>
      </c>
      <c r="C2026" s="16">
        <v>46220</v>
      </c>
      <c r="D2026">
        <v>0</v>
      </c>
    </row>
    <row r="2027" spans="1:4" x14ac:dyDescent="0.3">
      <c r="A2027" t="s">
        <v>197</v>
      </c>
      <c r="C2027" s="16">
        <v>46220</v>
      </c>
      <c r="D2027">
        <v>0</v>
      </c>
    </row>
    <row r="2028" spans="1:4" x14ac:dyDescent="0.3">
      <c r="A2028" t="s">
        <v>214</v>
      </c>
      <c r="C2028" s="16">
        <v>46220</v>
      </c>
      <c r="D2028">
        <v>0</v>
      </c>
    </row>
    <row r="2029" spans="1:4" x14ac:dyDescent="0.3">
      <c r="A2029" t="s">
        <v>199</v>
      </c>
      <c r="C2029" s="16">
        <v>46220</v>
      </c>
      <c r="D2029">
        <v>0</v>
      </c>
    </row>
    <row r="2030" spans="1:4" x14ac:dyDescent="0.3">
      <c r="A2030" t="s">
        <v>17</v>
      </c>
      <c r="C2030" s="16">
        <v>46221</v>
      </c>
      <c r="D2030">
        <v>3110339.0700000008</v>
      </c>
    </row>
    <row r="2031" spans="1:4" x14ac:dyDescent="0.3">
      <c r="A2031" t="s">
        <v>18</v>
      </c>
      <c r="C2031" s="16">
        <v>46221</v>
      </c>
      <c r="D2031">
        <v>73157.680000000168</v>
      </c>
    </row>
    <row r="2032" spans="1:4" x14ac:dyDescent="0.3">
      <c r="A2032" t="s">
        <v>19</v>
      </c>
      <c r="C2032" s="16">
        <v>46221</v>
      </c>
      <c r="D2032">
        <v>1669.89</v>
      </c>
    </row>
    <row r="2033" spans="1:4" x14ac:dyDescent="0.3">
      <c r="A2033" t="s">
        <v>20</v>
      </c>
      <c r="C2033" s="16">
        <v>46221</v>
      </c>
      <c r="D2033">
        <v>1029804.7499999998</v>
      </c>
    </row>
    <row r="2034" spans="1:4" x14ac:dyDescent="0.3">
      <c r="A2034" t="s">
        <v>21</v>
      </c>
      <c r="C2034" s="16">
        <v>46221</v>
      </c>
      <c r="D2034">
        <v>1748189.7499999995</v>
      </c>
    </row>
    <row r="2035" spans="1:4" x14ac:dyDescent="0.3">
      <c r="A2035" t="s">
        <v>22</v>
      </c>
      <c r="C2035" s="16">
        <v>46221</v>
      </c>
      <c r="D2035">
        <v>200496.38</v>
      </c>
    </row>
    <row r="2036" spans="1:4" x14ac:dyDescent="0.3">
      <c r="A2036" t="s">
        <v>23</v>
      </c>
      <c r="C2036" s="16">
        <v>46221</v>
      </c>
      <c r="D2036">
        <v>267507.45</v>
      </c>
    </row>
    <row r="2037" spans="1:4" x14ac:dyDescent="0.3">
      <c r="A2037" t="s">
        <v>24</v>
      </c>
      <c r="C2037" s="16">
        <v>46221</v>
      </c>
      <c r="D2037">
        <v>14580.45</v>
      </c>
    </row>
    <row r="2038" spans="1:4" x14ac:dyDescent="0.3">
      <c r="A2038" t="s">
        <v>25</v>
      </c>
      <c r="C2038" s="16">
        <v>46221</v>
      </c>
      <c r="D2038">
        <v>54.400000000000006</v>
      </c>
    </row>
    <row r="2039" spans="1:4" x14ac:dyDescent="0.3">
      <c r="A2039" t="s">
        <v>26</v>
      </c>
      <c r="C2039" s="16">
        <v>46221</v>
      </c>
      <c r="D2039">
        <v>2207.8200000000002</v>
      </c>
    </row>
    <row r="2040" spans="1:4" x14ac:dyDescent="0.3">
      <c r="A2040" t="s">
        <v>27</v>
      </c>
      <c r="C2040" s="16">
        <v>46221</v>
      </c>
      <c r="D2040">
        <v>1454589.72</v>
      </c>
    </row>
    <row r="2041" spans="1:4" x14ac:dyDescent="0.3">
      <c r="A2041" t="s">
        <v>28</v>
      </c>
      <c r="C2041" s="16">
        <v>46221</v>
      </c>
      <c r="D2041">
        <v>1968.99</v>
      </c>
    </row>
    <row r="2042" spans="1:4" x14ac:dyDescent="0.3">
      <c r="A2042" t="s">
        <v>29</v>
      </c>
      <c r="C2042" s="16">
        <v>46221</v>
      </c>
      <c r="D2042">
        <v>901.34</v>
      </c>
    </row>
    <row r="2043" spans="1:4" x14ac:dyDescent="0.3">
      <c r="A2043" t="s">
        <v>30</v>
      </c>
      <c r="C2043" s="16">
        <v>46221</v>
      </c>
      <c r="D2043">
        <v>1412.08</v>
      </c>
    </row>
    <row r="2044" spans="1:4" x14ac:dyDescent="0.3">
      <c r="A2044" t="s">
        <v>31</v>
      </c>
      <c r="C2044" s="16">
        <v>46221</v>
      </c>
      <c r="D2044">
        <v>22347.56999999996</v>
      </c>
    </row>
    <row r="2045" spans="1:4" x14ac:dyDescent="0.3">
      <c r="A2045" t="s">
        <v>32</v>
      </c>
      <c r="C2045" s="16">
        <v>46221</v>
      </c>
      <c r="D2045">
        <v>3522.8000000000029</v>
      </c>
    </row>
    <row r="2046" spans="1:4" x14ac:dyDescent="0.3">
      <c r="A2046" t="s">
        <v>33</v>
      </c>
      <c r="C2046" s="16">
        <v>46221</v>
      </c>
      <c r="D2046">
        <v>28485.559999999998</v>
      </c>
    </row>
    <row r="2047" spans="1:4" x14ac:dyDescent="0.3">
      <c r="A2047" t="s">
        <v>34</v>
      </c>
      <c r="C2047" s="16">
        <v>46221</v>
      </c>
      <c r="D2047">
        <v>345</v>
      </c>
    </row>
    <row r="2048" spans="1:4" x14ac:dyDescent="0.3">
      <c r="A2048" t="s">
        <v>35</v>
      </c>
      <c r="C2048" s="16">
        <v>46221</v>
      </c>
      <c r="D2048">
        <v>16230.620000000003</v>
      </c>
    </row>
    <row r="2049" spans="1:4" x14ac:dyDescent="0.3">
      <c r="A2049" t="s">
        <v>193</v>
      </c>
      <c r="C2049" s="16">
        <v>46221</v>
      </c>
      <c r="D2049">
        <v>0</v>
      </c>
    </row>
    <row r="2050" spans="1:4" x14ac:dyDescent="0.3">
      <c r="A2050" t="s">
        <v>194</v>
      </c>
      <c r="C2050" s="16">
        <v>46221</v>
      </c>
      <c r="D2050">
        <v>0</v>
      </c>
    </row>
    <row r="2051" spans="1:4" x14ac:dyDescent="0.3">
      <c r="A2051" t="s">
        <v>195</v>
      </c>
      <c r="C2051" s="16">
        <v>46221</v>
      </c>
      <c r="D2051">
        <v>0</v>
      </c>
    </row>
    <row r="2052" spans="1:4" x14ac:dyDescent="0.3">
      <c r="A2052" t="s">
        <v>196</v>
      </c>
      <c r="C2052" s="16">
        <v>46221</v>
      </c>
      <c r="D2052">
        <v>0</v>
      </c>
    </row>
    <row r="2053" spans="1:4" x14ac:dyDescent="0.3">
      <c r="A2053" t="s">
        <v>197</v>
      </c>
      <c r="C2053" s="16">
        <v>46221</v>
      </c>
      <c r="D2053">
        <v>0</v>
      </c>
    </row>
    <row r="2054" spans="1:4" x14ac:dyDescent="0.3">
      <c r="A2054" t="s">
        <v>214</v>
      </c>
      <c r="C2054" s="16">
        <v>46221</v>
      </c>
      <c r="D2054">
        <v>0</v>
      </c>
    </row>
    <row r="2055" spans="1:4" x14ac:dyDescent="0.3">
      <c r="A2055" t="s">
        <v>199</v>
      </c>
      <c r="C2055" s="16">
        <v>46221</v>
      </c>
      <c r="D2055">
        <v>0</v>
      </c>
    </row>
    <row r="2056" spans="1:4" x14ac:dyDescent="0.3">
      <c r="A2056" t="s">
        <v>17</v>
      </c>
      <c r="C2056" s="16">
        <v>46222</v>
      </c>
      <c r="D2056">
        <v>3110339.0700000008</v>
      </c>
    </row>
    <row r="2057" spans="1:4" x14ac:dyDescent="0.3">
      <c r="A2057" t="s">
        <v>18</v>
      </c>
      <c r="C2057" s="16">
        <v>46222</v>
      </c>
      <c r="D2057">
        <v>73157.680000000168</v>
      </c>
    </row>
    <row r="2058" spans="1:4" x14ac:dyDescent="0.3">
      <c r="A2058" t="s">
        <v>19</v>
      </c>
      <c r="C2058" s="16">
        <v>46222</v>
      </c>
      <c r="D2058">
        <v>1669.89</v>
      </c>
    </row>
    <row r="2059" spans="1:4" x14ac:dyDescent="0.3">
      <c r="A2059" t="s">
        <v>20</v>
      </c>
      <c r="C2059" s="16">
        <v>46222</v>
      </c>
      <c r="D2059">
        <v>1029804.7499999998</v>
      </c>
    </row>
    <row r="2060" spans="1:4" x14ac:dyDescent="0.3">
      <c r="A2060" t="s">
        <v>21</v>
      </c>
      <c r="C2060" s="16">
        <v>46222</v>
      </c>
      <c r="D2060">
        <v>1748189.7499999995</v>
      </c>
    </row>
    <row r="2061" spans="1:4" x14ac:dyDescent="0.3">
      <c r="A2061" t="s">
        <v>22</v>
      </c>
      <c r="C2061" s="16">
        <v>46222</v>
      </c>
      <c r="D2061">
        <v>200496.38</v>
      </c>
    </row>
    <row r="2062" spans="1:4" x14ac:dyDescent="0.3">
      <c r="A2062" t="s">
        <v>23</v>
      </c>
      <c r="C2062" s="16">
        <v>46222</v>
      </c>
      <c r="D2062">
        <v>267507.45</v>
      </c>
    </row>
    <row r="2063" spans="1:4" x14ac:dyDescent="0.3">
      <c r="A2063" t="s">
        <v>24</v>
      </c>
      <c r="C2063" s="16">
        <v>46222</v>
      </c>
      <c r="D2063">
        <v>14580.45</v>
      </c>
    </row>
    <row r="2064" spans="1:4" x14ac:dyDescent="0.3">
      <c r="A2064" t="s">
        <v>25</v>
      </c>
      <c r="C2064" s="16">
        <v>46222</v>
      </c>
      <c r="D2064">
        <v>54.400000000000006</v>
      </c>
    </row>
    <row r="2065" spans="1:4" x14ac:dyDescent="0.3">
      <c r="A2065" t="s">
        <v>26</v>
      </c>
      <c r="C2065" s="16">
        <v>46222</v>
      </c>
      <c r="D2065">
        <v>2207.8200000000002</v>
      </c>
    </row>
    <row r="2066" spans="1:4" x14ac:dyDescent="0.3">
      <c r="A2066" t="s">
        <v>27</v>
      </c>
      <c r="C2066" s="16">
        <v>46222</v>
      </c>
      <c r="D2066">
        <v>1454589.72</v>
      </c>
    </row>
    <row r="2067" spans="1:4" x14ac:dyDescent="0.3">
      <c r="A2067" t="s">
        <v>28</v>
      </c>
      <c r="C2067" s="16">
        <v>46222</v>
      </c>
      <c r="D2067">
        <v>1968.99</v>
      </c>
    </row>
    <row r="2068" spans="1:4" x14ac:dyDescent="0.3">
      <c r="A2068" t="s">
        <v>29</v>
      </c>
      <c r="C2068" s="16">
        <v>46222</v>
      </c>
      <c r="D2068">
        <v>901.34</v>
      </c>
    </row>
    <row r="2069" spans="1:4" x14ac:dyDescent="0.3">
      <c r="A2069" t="s">
        <v>30</v>
      </c>
      <c r="C2069" s="16">
        <v>46222</v>
      </c>
      <c r="D2069">
        <v>1412.08</v>
      </c>
    </row>
    <row r="2070" spans="1:4" x14ac:dyDescent="0.3">
      <c r="A2070" t="s">
        <v>31</v>
      </c>
      <c r="C2070" s="16">
        <v>46222</v>
      </c>
      <c r="D2070">
        <v>22347.56999999996</v>
      </c>
    </row>
    <row r="2071" spans="1:4" x14ac:dyDescent="0.3">
      <c r="A2071" t="s">
        <v>32</v>
      </c>
      <c r="C2071" s="16">
        <v>46222</v>
      </c>
      <c r="D2071">
        <v>3522.8000000000029</v>
      </c>
    </row>
    <row r="2072" spans="1:4" x14ac:dyDescent="0.3">
      <c r="A2072" t="s">
        <v>33</v>
      </c>
      <c r="C2072" s="16">
        <v>46222</v>
      </c>
      <c r="D2072">
        <v>28485.559999999998</v>
      </c>
    </row>
    <row r="2073" spans="1:4" x14ac:dyDescent="0.3">
      <c r="A2073" t="s">
        <v>34</v>
      </c>
      <c r="C2073" s="16">
        <v>46222</v>
      </c>
      <c r="D2073">
        <v>345</v>
      </c>
    </row>
    <row r="2074" spans="1:4" x14ac:dyDescent="0.3">
      <c r="A2074" t="s">
        <v>35</v>
      </c>
      <c r="C2074" s="16">
        <v>46222</v>
      </c>
      <c r="D2074">
        <v>16230.620000000003</v>
      </c>
    </row>
    <row r="2075" spans="1:4" x14ac:dyDescent="0.3">
      <c r="A2075" t="s">
        <v>193</v>
      </c>
      <c r="C2075" s="16">
        <v>46222</v>
      </c>
      <c r="D2075">
        <v>0</v>
      </c>
    </row>
    <row r="2076" spans="1:4" x14ac:dyDescent="0.3">
      <c r="A2076" t="s">
        <v>194</v>
      </c>
      <c r="C2076" s="16">
        <v>46222</v>
      </c>
      <c r="D2076">
        <v>0</v>
      </c>
    </row>
    <row r="2077" spans="1:4" x14ac:dyDescent="0.3">
      <c r="A2077" t="s">
        <v>195</v>
      </c>
      <c r="C2077" s="16">
        <v>46222</v>
      </c>
      <c r="D2077">
        <v>0</v>
      </c>
    </row>
    <row r="2078" spans="1:4" x14ac:dyDescent="0.3">
      <c r="A2078" t="s">
        <v>196</v>
      </c>
      <c r="C2078" s="16">
        <v>46222</v>
      </c>
      <c r="D2078">
        <v>0</v>
      </c>
    </row>
    <row r="2079" spans="1:4" x14ac:dyDescent="0.3">
      <c r="A2079" t="s">
        <v>197</v>
      </c>
      <c r="C2079" s="16">
        <v>46222</v>
      </c>
      <c r="D2079">
        <v>0</v>
      </c>
    </row>
    <row r="2080" spans="1:4" x14ac:dyDescent="0.3">
      <c r="A2080" t="s">
        <v>214</v>
      </c>
      <c r="C2080" s="16">
        <v>46222</v>
      </c>
      <c r="D2080">
        <v>0</v>
      </c>
    </row>
    <row r="2081" spans="1:4" x14ac:dyDescent="0.3">
      <c r="A2081" t="s">
        <v>199</v>
      </c>
      <c r="C2081" s="16">
        <v>46222</v>
      </c>
      <c r="D2081">
        <v>0</v>
      </c>
    </row>
    <row r="2082" spans="1:4" x14ac:dyDescent="0.3">
      <c r="A2082" t="s">
        <v>17</v>
      </c>
      <c r="C2082" s="16">
        <v>46223</v>
      </c>
      <c r="D2082">
        <v>3110339.0700000008</v>
      </c>
    </row>
    <row r="2083" spans="1:4" x14ac:dyDescent="0.3">
      <c r="A2083" t="s">
        <v>18</v>
      </c>
      <c r="C2083" s="16">
        <v>46223</v>
      </c>
      <c r="D2083">
        <v>73157.680000000168</v>
      </c>
    </row>
    <row r="2084" spans="1:4" x14ac:dyDescent="0.3">
      <c r="A2084" t="s">
        <v>19</v>
      </c>
      <c r="C2084" s="16">
        <v>46223</v>
      </c>
      <c r="D2084">
        <v>1669.89</v>
      </c>
    </row>
    <row r="2085" spans="1:4" x14ac:dyDescent="0.3">
      <c r="A2085" t="s">
        <v>20</v>
      </c>
      <c r="C2085" s="16">
        <v>46223</v>
      </c>
      <c r="D2085">
        <v>1029804.7499999998</v>
      </c>
    </row>
    <row r="2086" spans="1:4" x14ac:dyDescent="0.3">
      <c r="A2086" t="s">
        <v>21</v>
      </c>
      <c r="C2086" s="16">
        <v>46223</v>
      </c>
      <c r="D2086">
        <v>1744257.8699999994</v>
      </c>
    </row>
    <row r="2087" spans="1:4" x14ac:dyDescent="0.3">
      <c r="A2087" t="s">
        <v>22</v>
      </c>
      <c r="C2087" s="16">
        <v>46223</v>
      </c>
      <c r="D2087">
        <v>200496.38</v>
      </c>
    </row>
    <row r="2088" spans="1:4" x14ac:dyDescent="0.3">
      <c r="A2088" t="s">
        <v>23</v>
      </c>
      <c r="C2088" s="16">
        <v>46223</v>
      </c>
      <c r="D2088">
        <v>267507.45</v>
      </c>
    </row>
    <row r="2089" spans="1:4" x14ac:dyDescent="0.3">
      <c r="A2089" t="s">
        <v>24</v>
      </c>
      <c r="C2089" s="16">
        <v>46223</v>
      </c>
      <c r="D2089">
        <v>14580.45</v>
      </c>
    </row>
    <row r="2090" spans="1:4" x14ac:dyDescent="0.3">
      <c r="A2090" t="s">
        <v>25</v>
      </c>
      <c r="C2090" s="16">
        <v>46223</v>
      </c>
      <c r="D2090">
        <v>54.400000000000006</v>
      </c>
    </row>
    <row r="2091" spans="1:4" x14ac:dyDescent="0.3">
      <c r="A2091" t="s">
        <v>26</v>
      </c>
      <c r="C2091" s="16">
        <v>46223</v>
      </c>
      <c r="D2091">
        <v>2207.8200000000002</v>
      </c>
    </row>
    <row r="2092" spans="1:4" x14ac:dyDescent="0.3">
      <c r="A2092" t="s">
        <v>27</v>
      </c>
      <c r="C2092" s="16">
        <v>46223</v>
      </c>
      <c r="D2092">
        <v>1454589.72</v>
      </c>
    </row>
    <row r="2093" spans="1:4" x14ac:dyDescent="0.3">
      <c r="A2093" t="s">
        <v>28</v>
      </c>
      <c r="C2093" s="16">
        <v>46223</v>
      </c>
      <c r="D2093">
        <v>1968.99</v>
      </c>
    </row>
    <row r="2094" spans="1:4" x14ac:dyDescent="0.3">
      <c r="A2094" t="s">
        <v>29</v>
      </c>
      <c r="C2094" s="16">
        <v>46223</v>
      </c>
      <c r="D2094">
        <v>901.34</v>
      </c>
    </row>
    <row r="2095" spans="1:4" x14ac:dyDescent="0.3">
      <c r="A2095" t="s">
        <v>30</v>
      </c>
      <c r="C2095" s="16">
        <v>46223</v>
      </c>
      <c r="D2095">
        <v>1412.08</v>
      </c>
    </row>
    <row r="2096" spans="1:4" x14ac:dyDescent="0.3">
      <c r="A2096" t="s">
        <v>31</v>
      </c>
      <c r="C2096" s="16">
        <v>46223</v>
      </c>
      <c r="D2096">
        <v>22347.56999999996</v>
      </c>
    </row>
    <row r="2097" spans="1:4" x14ac:dyDescent="0.3">
      <c r="A2097" t="s">
        <v>32</v>
      </c>
      <c r="C2097" s="16">
        <v>46223</v>
      </c>
      <c r="D2097">
        <v>3522.8000000000029</v>
      </c>
    </row>
    <row r="2098" spans="1:4" x14ac:dyDescent="0.3">
      <c r="A2098" t="s">
        <v>33</v>
      </c>
      <c r="C2098" s="16">
        <v>46223</v>
      </c>
      <c r="D2098">
        <v>28485.559999999998</v>
      </c>
    </row>
    <row r="2099" spans="1:4" x14ac:dyDescent="0.3">
      <c r="A2099" t="s">
        <v>34</v>
      </c>
      <c r="C2099" s="16">
        <v>46223</v>
      </c>
      <c r="D2099">
        <v>345</v>
      </c>
    </row>
    <row r="2100" spans="1:4" x14ac:dyDescent="0.3">
      <c r="A2100" t="s">
        <v>35</v>
      </c>
      <c r="C2100" s="16">
        <v>46223</v>
      </c>
      <c r="D2100">
        <v>14097.480000000003</v>
      </c>
    </row>
    <row r="2101" spans="1:4" x14ac:dyDescent="0.3">
      <c r="A2101" t="s">
        <v>193</v>
      </c>
      <c r="C2101" s="16">
        <v>46223</v>
      </c>
      <c r="D2101">
        <v>0</v>
      </c>
    </row>
    <row r="2102" spans="1:4" x14ac:dyDescent="0.3">
      <c r="A2102" t="s">
        <v>194</v>
      </c>
      <c r="C2102" s="16">
        <v>46223</v>
      </c>
      <c r="D2102">
        <v>0</v>
      </c>
    </row>
    <row r="2103" spans="1:4" x14ac:dyDescent="0.3">
      <c r="A2103" t="s">
        <v>195</v>
      </c>
      <c r="C2103" s="16">
        <v>46223</v>
      </c>
      <c r="D2103">
        <v>0</v>
      </c>
    </row>
    <row r="2104" spans="1:4" x14ac:dyDescent="0.3">
      <c r="A2104" t="s">
        <v>196</v>
      </c>
      <c r="C2104" s="16">
        <v>46223</v>
      </c>
      <c r="D2104">
        <v>0</v>
      </c>
    </row>
    <row r="2105" spans="1:4" x14ac:dyDescent="0.3">
      <c r="A2105" t="s">
        <v>197</v>
      </c>
      <c r="C2105" s="16">
        <v>46223</v>
      </c>
      <c r="D2105">
        <v>0</v>
      </c>
    </row>
    <row r="2106" spans="1:4" x14ac:dyDescent="0.3">
      <c r="A2106" t="s">
        <v>214</v>
      </c>
      <c r="C2106" s="16">
        <v>46223</v>
      </c>
      <c r="D2106">
        <v>0</v>
      </c>
    </row>
    <row r="2107" spans="1:4" x14ac:dyDescent="0.3">
      <c r="A2107" t="s">
        <v>199</v>
      </c>
      <c r="C2107" s="16">
        <v>46223</v>
      </c>
      <c r="D2107">
        <v>0</v>
      </c>
    </row>
    <row r="2108" spans="1:4" x14ac:dyDescent="0.3">
      <c r="A2108" t="s">
        <v>17</v>
      </c>
      <c r="C2108" s="16">
        <v>46224</v>
      </c>
      <c r="D2108">
        <v>3110339.0700000008</v>
      </c>
    </row>
    <row r="2109" spans="1:4" x14ac:dyDescent="0.3">
      <c r="A2109" t="s">
        <v>18</v>
      </c>
      <c r="C2109" s="16">
        <v>46224</v>
      </c>
      <c r="D2109">
        <v>73157.680000000168</v>
      </c>
    </row>
    <row r="2110" spans="1:4" x14ac:dyDescent="0.3">
      <c r="A2110" t="s">
        <v>19</v>
      </c>
      <c r="C2110" s="16">
        <v>46224</v>
      </c>
      <c r="D2110">
        <v>1669.89</v>
      </c>
    </row>
    <row r="2111" spans="1:4" x14ac:dyDescent="0.3">
      <c r="A2111" t="s">
        <v>20</v>
      </c>
      <c r="C2111" s="16">
        <v>46224</v>
      </c>
      <c r="D2111">
        <v>1029804.7499999998</v>
      </c>
    </row>
    <row r="2112" spans="1:4" x14ac:dyDescent="0.3">
      <c r="A2112" t="s">
        <v>21</v>
      </c>
      <c r="C2112" s="16">
        <v>46224</v>
      </c>
      <c r="D2112">
        <v>1744257.8699999994</v>
      </c>
    </row>
    <row r="2113" spans="1:4" x14ac:dyDescent="0.3">
      <c r="A2113" t="s">
        <v>22</v>
      </c>
      <c r="C2113" s="16">
        <v>46224</v>
      </c>
      <c r="D2113">
        <v>200496.38</v>
      </c>
    </row>
    <row r="2114" spans="1:4" x14ac:dyDescent="0.3">
      <c r="A2114" t="s">
        <v>23</v>
      </c>
      <c r="C2114" s="16">
        <v>46224</v>
      </c>
      <c r="D2114">
        <v>267507.45</v>
      </c>
    </row>
    <row r="2115" spans="1:4" x14ac:dyDescent="0.3">
      <c r="A2115" t="s">
        <v>24</v>
      </c>
      <c r="C2115" s="16">
        <v>46224</v>
      </c>
      <c r="D2115">
        <v>14580.45</v>
      </c>
    </row>
    <row r="2116" spans="1:4" x14ac:dyDescent="0.3">
      <c r="A2116" t="s">
        <v>25</v>
      </c>
      <c r="C2116" s="16">
        <v>46224</v>
      </c>
      <c r="D2116">
        <v>54.400000000000006</v>
      </c>
    </row>
    <row r="2117" spans="1:4" x14ac:dyDescent="0.3">
      <c r="A2117" t="s">
        <v>26</v>
      </c>
      <c r="C2117" s="16">
        <v>46224</v>
      </c>
      <c r="D2117">
        <v>2207.8200000000002</v>
      </c>
    </row>
    <row r="2118" spans="1:4" x14ac:dyDescent="0.3">
      <c r="A2118" t="s">
        <v>27</v>
      </c>
      <c r="C2118" s="16">
        <v>46224</v>
      </c>
      <c r="D2118">
        <v>1454589.72</v>
      </c>
    </row>
    <row r="2119" spans="1:4" x14ac:dyDescent="0.3">
      <c r="A2119" t="s">
        <v>28</v>
      </c>
      <c r="C2119" s="16">
        <v>46224</v>
      </c>
      <c r="D2119">
        <v>1968.99</v>
      </c>
    </row>
    <row r="2120" spans="1:4" x14ac:dyDescent="0.3">
      <c r="A2120" t="s">
        <v>29</v>
      </c>
      <c r="C2120" s="16">
        <v>46224</v>
      </c>
      <c r="D2120">
        <v>901.34</v>
      </c>
    </row>
    <row r="2121" spans="1:4" x14ac:dyDescent="0.3">
      <c r="A2121" t="s">
        <v>30</v>
      </c>
      <c r="C2121" s="16">
        <v>46224</v>
      </c>
      <c r="D2121">
        <v>1412.08</v>
      </c>
    </row>
    <row r="2122" spans="1:4" x14ac:dyDescent="0.3">
      <c r="A2122" t="s">
        <v>31</v>
      </c>
      <c r="C2122" s="16">
        <v>46224</v>
      </c>
      <c r="D2122">
        <v>22347.56999999996</v>
      </c>
    </row>
    <row r="2123" spans="1:4" x14ac:dyDescent="0.3">
      <c r="A2123" t="s">
        <v>32</v>
      </c>
      <c r="C2123" s="16">
        <v>46224</v>
      </c>
      <c r="D2123">
        <v>3522.8000000000029</v>
      </c>
    </row>
    <row r="2124" spans="1:4" x14ac:dyDescent="0.3">
      <c r="A2124" t="s">
        <v>33</v>
      </c>
      <c r="C2124" s="16">
        <v>46224</v>
      </c>
      <c r="D2124">
        <v>28485.559999999998</v>
      </c>
    </row>
    <row r="2125" spans="1:4" x14ac:dyDescent="0.3">
      <c r="A2125" t="s">
        <v>34</v>
      </c>
      <c r="C2125" s="16">
        <v>46224</v>
      </c>
      <c r="D2125">
        <v>345</v>
      </c>
    </row>
    <row r="2126" spans="1:4" x14ac:dyDescent="0.3">
      <c r="A2126" t="s">
        <v>35</v>
      </c>
      <c r="C2126" s="16">
        <v>46224</v>
      </c>
      <c r="D2126">
        <v>13745.850000000002</v>
      </c>
    </row>
    <row r="2127" spans="1:4" x14ac:dyDescent="0.3">
      <c r="A2127" t="s">
        <v>193</v>
      </c>
      <c r="C2127" s="16">
        <v>46224</v>
      </c>
      <c r="D2127">
        <v>0</v>
      </c>
    </row>
    <row r="2128" spans="1:4" x14ac:dyDescent="0.3">
      <c r="A2128" t="s">
        <v>194</v>
      </c>
      <c r="C2128" s="16">
        <v>46224</v>
      </c>
      <c r="D2128">
        <v>0</v>
      </c>
    </row>
    <row r="2129" spans="1:4" x14ac:dyDescent="0.3">
      <c r="A2129" t="s">
        <v>195</v>
      </c>
      <c r="C2129" s="16">
        <v>46224</v>
      </c>
      <c r="D2129">
        <v>0</v>
      </c>
    </row>
    <row r="2130" spans="1:4" x14ac:dyDescent="0.3">
      <c r="A2130" t="s">
        <v>196</v>
      </c>
      <c r="C2130" s="16">
        <v>46224</v>
      </c>
      <c r="D2130">
        <v>0</v>
      </c>
    </row>
    <row r="2131" spans="1:4" x14ac:dyDescent="0.3">
      <c r="A2131" t="s">
        <v>197</v>
      </c>
      <c r="C2131" s="16">
        <v>46224</v>
      </c>
      <c r="D2131">
        <v>0</v>
      </c>
    </row>
    <row r="2132" spans="1:4" x14ac:dyDescent="0.3">
      <c r="A2132" t="s">
        <v>214</v>
      </c>
      <c r="C2132" s="16">
        <v>46224</v>
      </c>
      <c r="D2132">
        <v>0</v>
      </c>
    </row>
    <row r="2133" spans="1:4" x14ac:dyDescent="0.3">
      <c r="A2133" t="s">
        <v>199</v>
      </c>
      <c r="C2133" s="16">
        <v>46224</v>
      </c>
      <c r="D2133">
        <v>0</v>
      </c>
    </row>
    <row r="2134" spans="1:4" x14ac:dyDescent="0.3">
      <c r="A2134" t="s">
        <v>17</v>
      </c>
      <c r="C2134" s="16">
        <v>46225</v>
      </c>
      <c r="D2134">
        <v>2255755.7400000007</v>
      </c>
    </row>
    <row r="2135" spans="1:4" x14ac:dyDescent="0.3">
      <c r="A2135" t="s">
        <v>18</v>
      </c>
      <c r="C2135" s="16">
        <v>46225</v>
      </c>
      <c r="D2135">
        <v>73157.680000000168</v>
      </c>
    </row>
    <row r="2136" spans="1:4" x14ac:dyDescent="0.3">
      <c r="A2136" t="s">
        <v>19</v>
      </c>
      <c r="C2136" s="16">
        <v>46225</v>
      </c>
      <c r="D2136">
        <v>1669.89</v>
      </c>
    </row>
    <row r="2137" spans="1:4" x14ac:dyDescent="0.3">
      <c r="A2137" t="s">
        <v>20</v>
      </c>
      <c r="C2137" s="16">
        <v>46225</v>
      </c>
      <c r="D2137">
        <v>1002754.9899999998</v>
      </c>
    </row>
    <row r="2138" spans="1:4" x14ac:dyDescent="0.3">
      <c r="A2138" t="s">
        <v>21</v>
      </c>
      <c r="C2138" s="16">
        <v>46225</v>
      </c>
      <c r="D2138">
        <v>2022877.8699999996</v>
      </c>
    </row>
    <row r="2139" spans="1:4" x14ac:dyDescent="0.3">
      <c r="A2139" t="s">
        <v>22</v>
      </c>
      <c r="C2139" s="16">
        <v>46225</v>
      </c>
      <c r="D2139">
        <v>200496.38</v>
      </c>
    </row>
    <row r="2140" spans="1:4" x14ac:dyDescent="0.3">
      <c r="A2140" t="s">
        <v>23</v>
      </c>
      <c r="C2140" s="16">
        <v>46225</v>
      </c>
      <c r="D2140">
        <v>267507.45</v>
      </c>
    </row>
    <row r="2141" spans="1:4" x14ac:dyDescent="0.3">
      <c r="A2141" t="s">
        <v>24</v>
      </c>
      <c r="C2141" s="16">
        <v>46225</v>
      </c>
      <c r="D2141">
        <v>14580.45</v>
      </c>
    </row>
    <row r="2142" spans="1:4" x14ac:dyDescent="0.3">
      <c r="A2142" t="s">
        <v>25</v>
      </c>
      <c r="C2142" s="16">
        <v>46225</v>
      </c>
      <c r="D2142">
        <v>54.400000000000006</v>
      </c>
    </row>
    <row r="2143" spans="1:4" x14ac:dyDescent="0.3">
      <c r="A2143" t="s">
        <v>26</v>
      </c>
      <c r="C2143" s="16">
        <v>46225</v>
      </c>
      <c r="D2143">
        <v>2207.8200000000002</v>
      </c>
    </row>
    <row r="2144" spans="1:4" x14ac:dyDescent="0.3">
      <c r="A2144" t="s">
        <v>27</v>
      </c>
      <c r="C2144" s="16">
        <v>46225</v>
      </c>
      <c r="D2144">
        <v>1454589.72</v>
      </c>
    </row>
    <row r="2145" spans="1:4" x14ac:dyDescent="0.3">
      <c r="A2145" t="s">
        <v>28</v>
      </c>
      <c r="C2145" s="16">
        <v>46225</v>
      </c>
      <c r="D2145">
        <v>1968.99</v>
      </c>
    </row>
    <row r="2146" spans="1:4" x14ac:dyDescent="0.3">
      <c r="A2146" t="s">
        <v>29</v>
      </c>
      <c r="C2146" s="16">
        <v>46225</v>
      </c>
      <c r="D2146">
        <v>901.34</v>
      </c>
    </row>
    <row r="2147" spans="1:4" x14ac:dyDescent="0.3">
      <c r="A2147" t="s">
        <v>30</v>
      </c>
      <c r="C2147" s="16">
        <v>46225</v>
      </c>
      <c r="D2147">
        <v>1412.08</v>
      </c>
    </row>
    <row r="2148" spans="1:4" x14ac:dyDescent="0.3">
      <c r="A2148" t="s">
        <v>31</v>
      </c>
      <c r="C2148" s="16">
        <v>46225</v>
      </c>
      <c r="D2148">
        <v>22347.56999999996</v>
      </c>
    </row>
    <row r="2149" spans="1:4" x14ac:dyDescent="0.3">
      <c r="A2149" t="s">
        <v>32</v>
      </c>
      <c r="C2149" s="16">
        <v>46225</v>
      </c>
      <c r="D2149">
        <v>3522.8000000000029</v>
      </c>
    </row>
    <row r="2150" spans="1:4" x14ac:dyDescent="0.3">
      <c r="A2150" t="s">
        <v>33</v>
      </c>
      <c r="C2150" s="16">
        <v>46225</v>
      </c>
      <c r="D2150">
        <v>28485.559999999998</v>
      </c>
    </row>
    <row r="2151" spans="1:4" x14ac:dyDescent="0.3">
      <c r="A2151" t="s">
        <v>34</v>
      </c>
      <c r="C2151" s="16">
        <v>46225</v>
      </c>
      <c r="D2151">
        <v>345</v>
      </c>
    </row>
    <row r="2152" spans="1:4" x14ac:dyDescent="0.3">
      <c r="A2152" t="s">
        <v>35</v>
      </c>
      <c r="C2152" s="16">
        <v>46225</v>
      </c>
      <c r="D2152">
        <v>10252.290000000003</v>
      </c>
    </row>
    <row r="2153" spans="1:4" x14ac:dyDescent="0.3">
      <c r="A2153" t="s">
        <v>193</v>
      </c>
      <c r="C2153" s="16">
        <v>46225</v>
      </c>
      <c r="D2153">
        <v>0</v>
      </c>
    </row>
    <row r="2154" spans="1:4" x14ac:dyDescent="0.3">
      <c r="A2154" t="s">
        <v>194</v>
      </c>
      <c r="C2154" s="16">
        <v>46225</v>
      </c>
      <c r="D2154">
        <v>0</v>
      </c>
    </row>
    <row r="2155" spans="1:4" x14ac:dyDescent="0.3">
      <c r="A2155" t="s">
        <v>195</v>
      </c>
      <c r="C2155" s="16">
        <v>46225</v>
      </c>
      <c r="D2155">
        <v>0</v>
      </c>
    </row>
    <row r="2156" spans="1:4" x14ac:dyDescent="0.3">
      <c r="A2156" t="s">
        <v>196</v>
      </c>
      <c r="C2156" s="16">
        <v>46225</v>
      </c>
      <c r="D2156">
        <v>0</v>
      </c>
    </row>
    <row r="2157" spans="1:4" x14ac:dyDescent="0.3">
      <c r="A2157" t="s">
        <v>197</v>
      </c>
      <c r="C2157" s="16">
        <v>46225</v>
      </c>
      <c r="D2157">
        <v>0</v>
      </c>
    </row>
    <row r="2158" spans="1:4" x14ac:dyDescent="0.3">
      <c r="A2158" t="s">
        <v>214</v>
      </c>
      <c r="C2158" s="16">
        <v>46225</v>
      </c>
      <c r="D2158">
        <v>0</v>
      </c>
    </row>
    <row r="2159" spans="1:4" x14ac:dyDescent="0.3">
      <c r="A2159" t="s">
        <v>199</v>
      </c>
      <c r="C2159" s="16">
        <v>46225</v>
      </c>
      <c r="D2159">
        <v>0</v>
      </c>
    </row>
    <row r="2160" spans="1:4" x14ac:dyDescent="0.3">
      <c r="A2160" t="s">
        <v>17</v>
      </c>
      <c r="C2160" s="16">
        <v>46226</v>
      </c>
      <c r="D2160">
        <v>2255750.7400000007</v>
      </c>
    </row>
    <row r="2161" spans="1:4" x14ac:dyDescent="0.3">
      <c r="A2161" t="s">
        <v>18</v>
      </c>
      <c r="C2161" s="16">
        <v>46226</v>
      </c>
      <c r="D2161">
        <v>73157.680000000168</v>
      </c>
    </row>
    <row r="2162" spans="1:4" x14ac:dyDescent="0.3">
      <c r="A2162" t="s">
        <v>19</v>
      </c>
      <c r="C2162" s="16">
        <v>46226</v>
      </c>
      <c r="D2162">
        <v>1669.89</v>
      </c>
    </row>
    <row r="2163" spans="1:4" x14ac:dyDescent="0.3">
      <c r="A2163" t="s">
        <v>20</v>
      </c>
      <c r="C2163" s="16">
        <v>46226</v>
      </c>
      <c r="D2163">
        <v>1042744.6899999997</v>
      </c>
    </row>
    <row r="2164" spans="1:4" x14ac:dyDescent="0.3">
      <c r="A2164" t="s">
        <v>21</v>
      </c>
      <c r="C2164" s="16">
        <v>46226</v>
      </c>
      <c r="D2164">
        <v>2022877.8699999996</v>
      </c>
    </row>
    <row r="2165" spans="1:4" x14ac:dyDescent="0.3">
      <c r="A2165" t="s">
        <v>22</v>
      </c>
      <c r="C2165" s="16">
        <v>46226</v>
      </c>
      <c r="D2165">
        <v>200496.38</v>
      </c>
    </row>
    <row r="2166" spans="1:4" x14ac:dyDescent="0.3">
      <c r="A2166" t="s">
        <v>23</v>
      </c>
      <c r="C2166" s="16">
        <v>46226</v>
      </c>
      <c r="D2166">
        <v>267507.45</v>
      </c>
    </row>
    <row r="2167" spans="1:4" x14ac:dyDescent="0.3">
      <c r="A2167" t="s">
        <v>24</v>
      </c>
      <c r="C2167" s="16">
        <v>46226</v>
      </c>
      <c r="D2167">
        <v>14580.45</v>
      </c>
    </row>
    <row r="2168" spans="1:4" x14ac:dyDescent="0.3">
      <c r="A2168" t="s">
        <v>25</v>
      </c>
      <c r="C2168" s="16">
        <v>46226</v>
      </c>
      <c r="D2168">
        <v>54.400000000000006</v>
      </c>
    </row>
    <row r="2169" spans="1:4" x14ac:dyDescent="0.3">
      <c r="A2169" t="s">
        <v>26</v>
      </c>
      <c r="C2169" s="16">
        <v>46226</v>
      </c>
      <c r="D2169">
        <v>2207.8200000000002</v>
      </c>
    </row>
    <row r="2170" spans="1:4" x14ac:dyDescent="0.3">
      <c r="A2170" t="s">
        <v>27</v>
      </c>
      <c r="C2170" s="16">
        <v>46226</v>
      </c>
      <c r="D2170">
        <v>1454589.72</v>
      </c>
    </row>
    <row r="2171" spans="1:4" x14ac:dyDescent="0.3">
      <c r="A2171" t="s">
        <v>28</v>
      </c>
      <c r="C2171" s="16">
        <v>46226</v>
      </c>
      <c r="D2171">
        <v>1968.99</v>
      </c>
    </row>
    <row r="2172" spans="1:4" x14ac:dyDescent="0.3">
      <c r="A2172" t="s">
        <v>29</v>
      </c>
      <c r="C2172" s="16">
        <v>46226</v>
      </c>
      <c r="D2172">
        <v>901.34</v>
      </c>
    </row>
    <row r="2173" spans="1:4" x14ac:dyDescent="0.3">
      <c r="A2173" t="s">
        <v>30</v>
      </c>
      <c r="C2173" s="16">
        <v>46226</v>
      </c>
      <c r="D2173">
        <v>1412.08</v>
      </c>
    </row>
    <row r="2174" spans="1:4" x14ac:dyDescent="0.3">
      <c r="A2174" t="s">
        <v>31</v>
      </c>
      <c r="C2174" s="16">
        <v>46226</v>
      </c>
      <c r="D2174">
        <v>22347.56999999996</v>
      </c>
    </row>
    <row r="2175" spans="1:4" x14ac:dyDescent="0.3">
      <c r="A2175" t="s">
        <v>32</v>
      </c>
      <c r="C2175" s="16">
        <v>46226</v>
      </c>
      <c r="D2175">
        <v>18522.800000000003</v>
      </c>
    </row>
    <row r="2176" spans="1:4" x14ac:dyDescent="0.3">
      <c r="A2176" t="s">
        <v>33</v>
      </c>
      <c r="C2176" s="16">
        <v>46226</v>
      </c>
      <c r="D2176">
        <v>28485.559999999998</v>
      </c>
    </row>
    <row r="2177" spans="1:4" x14ac:dyDescent="0.3">
      <c r="A2177" t="s">
        <v>34</v>
      </c>
      <c r="C2177" s="16">
        <v>46226</v>
      </c>
      <c r="D2177">
        <v>345</v>
      </c>
    </row>
    <row r="2178" spans="1:4" x14ac:dyDescent="0.3">
      <c r="A2178" t="s">
        <v>35</v>
      </c>
      <c r="C2178" s="16">
        <v>46226</v>
      </c>
      <c r="D2178">
        <v>9958.7100000000028</v>
      </c>
    </row>
    <row r="2179" spans="1:4" x14ac:dyDescent="0.3">
      <c r="A2179" t="s">
        <v>193</v>
      </c>
      <c r="C2179" s="16">
        <v>46226</v>
      </c>
      <c r="D2179">
        <v>0</v>
      </c>
    </row>
    <row r="2180" spans="1:4" x14ac:dyDescent="0.3">
      <c r="A2180" t="s">
        <v>194</v>
      </c>
      <c r="C2180" s="16">
        <v>46226</v>
      </c>
      <c r="D2180">
        <v>0</v>
      </c>
    </row>
    <row r="2181" spans="1:4" x14ac:dyDescent="0.3">
      <c r="A2181" t="s">
        <v>195</v>
      </c>
      <c r="C2181" s="16">
        <v>46226</v>
      </c>
      <c r="D2181">
        <v>0</v>
      </c>
    </row>
    <row r="2182" spans="1:4" x14ac:dyDescent="0.3">
      <c r="A2182" t="s">
        <v>196</v>
      </c>
      <c r="C2182" s="16">
        <v>46226</v>
      </c>
      <c r="D2182">
        <v>0</v>
      </c>
    </row>
    <row r="2183" spans="1:4" x14ac:dyDescent="0.3">
      <c r="A2183" t="s">
        <v>197</v>
      </c>
      <c r="C2183" s="16">
        <v>46226</v>
      </c>
      <c r="D2183">
        <v>0</v>
      </c>
    </row>
    <row r="2184" spans="1:4" x14ac:dyDescent="0.3">
      <c r="A2184" t="s">
        <v>214</v>
      </c>
      <c r="C2184" s="16">
        <v>46226</v>
      </c>
      <c r="D2184">
        <v>0</v>
      </c>
    </row>
    <row r="2185" spans="1:4" x14ac:dyDescent="0.3">
      <c r="A2185" t="s">
        <v>199</v>
      </c>
      <c r="C2185" s="16">
        <v>46226</v>
      </c>
      <c r="D2185">
        <v>0</v>
      </c>
    </row>
    <row r="2186" spans="1:4" x14ac:dyDescent="0.3">
      <c r="A2186" t="s">
        <v>17</v>
      </c>
      <c r="C2186" s="16">
        <v>46227</v>
      </c>
      <c r="D2186">
        <v>2255750.7400000007</v>
      </c>
    </row>
    <row r="2187" spans="1:4" x14ac:dyDescent="0.3">
      <c r="A2187" t="s">
        <v>18</v>
      </c>
      <c r="C2187" s="16">
        <v>46227</v>
      </c>
      <c r="D2187">
        <v>73157.680000000168</v>
      </c>
    </row>
    <row r="2188" spans="1:4" x14ac:dyDescent="0.3">
      <c r="A2188" t="s">
        <v>19</v>
      </c>
      <c r="C2188" s="16">
        <v>46227</v>
      </c>
      <c r="D2188">
        <v>1669.89</v>
      </c>
    </row>
    <row r="2189" spans="1:4" x14ac:dyDescent="0.3">
      <c r="A2189" t="s">
        <v>20</v>
      </c>
      <c r="C2189" s="16">
        <v>46227</v>
      </c>
      <c r="D2189">
        <v>1042744.6899999997</v>
      </c>
    </row>
    <row r="2190" spans="1:4" x14ac:dyDescent="0.3">
      <c r="A2190" t="s">
        <v>21</v>
      </c>
      <c r="C2190" s="16">
        <v>46227</v>
      </c>
      <c r="D2190">
        <v>2022877.8699999996</v>
      </c>
    </row>
    <row r="2191" spans="1:4" x14ac:dyDescent="0.3">
      <c r="A2191" t="s">
        <v>22</v>
      </c>
      <c r="C2191" s="16">
        <v>46227</v>
      </c>
      <c r="D2191">
        <v>200496.38</v>
      </c>
    </row>
    <row r="2192" spans="1:4" x14ac:dyDescent="0.3">
      <c r="A2192" t="s">
        <v>23</v>
      </c>
      <c r="C2192" s="16">
        <v>46227</v>
      </c>
      <c r="D2192">
        <v>267507.45</v>
      </c>
    </row>
    <row r="2193" spans="1:4" x14ac:dyDescent="0.3">
      <c r="A2193" t="s">
        <v>24</v>
      </c>
      <c r="C2193" s="16">
        <v>46227</v>
      </c>
      <c r="D2193">
        <v>14580.45</v>
      </c>
    </row>
    <row r="2194" spans="1:4" x14ac:dyDescent="0.3">
      <c r="A2194" t="s">
        <v>25</v>
      </c>
      <c r="C2194" s="16">
        <v>46227</v>
      </c>
      <c r="D2194">
        <v>54.400000000000006</v>
      </c>
    </row>
    <row r="2195" spans="1:4" x14ac:dyDescent="0.3">
      <c r="A2195" t="s">
        <v>26</v>
      </c>
      <c r="C2195" s="16">
        <v>46227</v>
      </c>
      <c r="D2195">
        <v>2207.8200000000002</v>
      </c>
    </row>
    <row r="2196" spans="1:4" x14ac:dyDescent="0.3">
      <c r="A2196" t="s">
        <v>27</v>
      </c>
      <c r="C2196" s="16">
        <v>46227</v>
      </c>
      <c r="D2196">
        <v>1454589.72</v>
      </c>
    </row>
    <row r="2197" spans="1:4" x14ac:dyDescent="0.3">
      <c r="A2197" t="s">
        <v>28</v>
      </c>
      <c r="C2197" s="16">
        <v>46227</v>
      </c>
      <c r="D2197">
        <v>1968.99</v>
      </c>
    </row>
    <row r="2198" spans="1:4" x14ac:dyDescent="0.3">
      <c r="A2198" t="s">
        <v>29</v>
      </c>
      <c r="C2198" s="16">
        <v>46227</v>
      </c>
      <c r="D2198">
        <v>901.34</v>
      </c>
    </row>
    <row r="2199" spans="1:4" x14ac:dyDescent="0.3">
      <c r="A2199" t="s">
        <v>30</v>
      </c>
      <c r="C2199" s="16">
        <v>46227</v>
      </c>
      <c r="D2199">
        <v>1412.08</v>
      </c>
    </row>
    <row r="2200" spans="1:4" x14ac:dyDescent="0.3">
      <c r="A2200" t="s">
        <v>31</v>
      </c>
      <c r="C2200" s="16">
        <v>46227</v>
      </c>
      <c r="D2200">
        <v>22347.56999999996</v>
      </c>
    </row>
    <row r="2201" spans="1:4" x14ac:dyDescent="0.3">
      <c r="A2201" t="s">
        <v>32</v>
      </c>
      <c r="C2201" s="16">
        <v>46227</v>
      </c>
      <c r="D2201">
        <v>18522.800000000003</v>
      </c>
    </row>
    <row r="2202" spans="1:4" x14ac:dyDescent="0.3">
      <c r="A2202" t="s">
        <v>33</v>
      </c>
      <c r="C2202" s="16">
        <v>46227</v>
      </c>
      <c r="D2202">
        <v>28485.559999999998</v>
      </c>
    </row>
    <row r="2203" spans="1:4" x14ac:dyDescent="0.3">
      <c r="A2203" t="s">
        <v>34</v>
      </c>
      <c r="C2203" s="16">
        <v>46227</v>
      </c>
      <c r="D2203">
        <v>345</v>
      </c>
    </row>
    <row r="2204" spans="1:4" x14ac:dyDescent="0.3">
      <c r="A2204" t="s">
        <v>35</v>
      </c>
      <c r="C2204" s="16">
        <v>46227</v>
      </c>
      <c r="D2204">
        <v>9557.6300000000028</v>
      </c>
    </row>
    <row r="2205" spans="1:4" x14ac:dyDescent="0.3">
      <c r="A2205" t="s">
        <v>193</v>
      </c>
      <c r="C2205" s="16">
        <v>46227</v>
      </c>
      <c r="D2205">
        <v>0</v>
      </c>
    </row>
    <row r="2206" spans="1:4" x14ac:dyDescent="0.3">
      <c r="A2206" t="s">
        <v>194</v>
      </c>
      <c r="C2206" s="16">
        <v>46227</v>
      </c>
      <c r="D2206">
        <v>0</v>
      </c>
    </row>
    <row r="2207" spans="1:4" x14ac:dyDescent="0.3">
      <c r="A2207" t="s">
        <v>195</v>
      </c>
      <c r="C2207" s="16">
        <v>46227</v>
      </c>
      <c r="D2207">
        <v>0</v>
      </c>
    </row>
    <row r="2208" spans="1:4" x14ac:dyDescent="0.3">
      <c r="A2208" t="s">
        <v>196</v>
      </c>
      <c r="C2208" s="16">
        <v>46227</v>
      </c>
      <c r="D2208">
        <v>0</v>
      </c>
    </row>
    <row r="2209" spans="1:4" x14ac:dyDescent="0.3">
      <c r="A2209" t="s">
        <v>197</v>
      </c>
      <c r="C2209" s="16">
        <v>46227</v>
      </c>
      <c r="D2209">
        <v>0</v>
      </c>
    </row>
    <row r="2210" spans="1:4" x14ac:dyDescent="0.3">
      <c r="A2210" t="s">
        <v>214</v>
      </c>
      <c r="C2210" s="16">
        <v>46227</v>
      </c>
      <c r="D2210">
        <v>0</v>
      </c>
    </row>
    <row r="2211" spans="1:4" x14ac:dyDescent="0.3">
      <c r="A2211" t="s">
        <v>199</v>
      </c>
      <c r="C2211" s="16">
        <v>46227</v>
      </c>
      <c r="D2211">
        <v>0</v>
      </c>
    </row>
    <row r="2212" spans="1:4" x14ac:dyDescent="0.3">
      <c r="A2212" t="s">
        <v>17</v>
      </c>
      <c r="C2212" s="16">
        <v>46228</v>
      </c>
      <c r="D2212">
        <v>2255750.7400000007</v>
      </c>
    </row>
    <row r="2213" spans="1:4" x14ac:dyDescent="0.3">
      <c r="A2213" t="s">
        <v>18</v>
      </c>
      <c r="C2213" s="16">
        <v>46228</v>
      </c>
      <c r="D2213">
        <v>73157.680000000168</v>
      </c>
    </row>
    <row r="2214" spans="1:4" x14ac:dyDescent="0.3">
      <c r="A2214" t="s">
        <v>19</v>
      </c>
      <c r="C2214" s="16">
        <v>46228</v>
      </c>
      <c r="D2214">
        <v>1669.89</v>
      </c>
    </row>
    <row r="2215" spans="1:4" x14ac:dyDescent="0.3">
      <c r="A2215" t="s">
        <v>20</v>
      </c>
      <c r="C2215" s="16">
        <v>46228</v>
      </c>
      <c r="D2215">
        <v>1042744.6899999997</v>
      </c>
    </row>
    <row r="2216" spans="1:4" x14ac:dyDescent="0.3">
      <c r="A2216" t="s">
        <v>21</v>
      </c>
      <c r="C2216" s="16">
        <v>46228</v>
      </c>
      <c r="D2216">
        <v>2022877.8699999996</v>
      </c>
    </row>
    <row r="2217" spans="1:4" x14ac:dyDescent="0.3">
      <c r="A2217" t="s">
        <v>22</v>
      </c>
      <c r="C2217" s="16">
        <v>46228</v>
      </c>
      <c r="D2217">
        <v>200496.38</v>
      </c>
    </row>
    <row r="2218" spans="1:4" x14ac:dyDescent="0.3">
      <c r="A2218" t="s">
        <v>23</v>
      </c>
      <c r="C2218" s="16">
        <v>46228</v>
      </c>
      <c r="D2218">
        <v>267507.45</v>
      </c>
    </row>
    <row r="2219" spans="1:4" x14ac:dyDescent="0.3">
      <c r="A2219" t="s">
        <v>24</v>
      </c>
      <c r="C2219" s="16">
        <v>46228</v>
      </c>
      <c r="D2219">
        <v>14580.45</v>
      </c>
    </row>
    <row r="2220" spans="1:4" x14ac:dyDescent="0.3">
      <c r="A2220" t="s">
        <v>25</v>
      </c>
      <c r="C2220" s="16">
        <v>46228</v>
      </c>
      <c r="D2220">
        <v>54.400000000000006</v>
      </c>
    </row>
    <row r="2221" spans="1:4" x14ac:dyDescent="0.3">
      <c r="A2221" t="s">
        <v>26</v>
      </c>
      <c r="C2221" s="16">
        <v>46228</v>
      </c>
      <c r="D2221">
        <v>2207.8200000000002</v>
      </c>
    </row>
    <row r="2222" spans="1:4" x14ac:dyDescent="0.3">
      <c r="A2222" t="s">
        <v>27</v>
      </c>
      <c r="C2222" s="16">
        <v>46228</v>
      </c>
      <c r="D2222">
        <v>1454589.72</v>
      </c>
    </row>
    <row r="2223" spans="1:4" x14ac:dyDescent="0.3">
      <c r="A2223" t="s">
        <v>28</v>
      </c>
      <c r="C2223" s="16">
        <v>46228</v>
      </c>
      <c r="D2223">
        <v>1968.99</v>
      </c>
    </row>
    <row r="2224" spans="1:4" x14ac:dyDescent="0.3">
      <c r="A2224" t="s">
        <v>29</v>
      </c>
      <c r="C2224" s="16">
        <v>46228</v>
      </c>
      <c r="D2224">
        <v>901.34</v>
      </c>
    </row>
    <row r="2225" spans="1:4" x14ac:dyDescent="0.3">
      <c r="A2225" t="s">
        <v>30</v>
      </c>
      <c r="C2225" s="16">
        <v>46228</v>
      </c>
      <c r="D2225">
        <v>1412.08</v>
      </c>
    </row>
    <row r="2226" spans="1:4" x14ac:dyDescent="0.3">
      <c r="A2226" t="s">
        <v>31</v>
      </c>
      <c r="C2226" s="16">
        <v>46228</v>
      </c>
      <c r="D2226">
        <v>22347.56999999996</v>
      </c>
    </row>
    <row r="2227" spans="1:4" x14ac:dyDescent="0.3">
      <c r="A2227" t="s">
        <v>32</v>
      </c>
      <c r="C2227" s="16">
        <v>46228</v>
      </c>
      <c r="D2227">
        <v>18522.800000000003</v>
      </c>
    </row>
    <row r="2228" spans="1:4" x14ac:dyDescent="0.3">
      <c r="A2228" t="s">
        <v>33</v>
      </c>
      <c r="C2228" s="16">
        <v>46228</v>
      </c>
      <c r="D2228">
        <v>28485.559999999998</v>
      </c>
    </row>
    <row r="2229" spans="1:4" x14ac:dyDescent="0.3">
      <c r="A2229" t="s">
        <v>34</v>
      </c>
      <c r="C2229" s="16">
        <v>46228</v>
      </c>
      <c r="D2229">
        <v>345</v>
      </c>
    </row>
    <row r="2230" spans="1:4" x14ac:dyDescent="0.3">
      <c r="A2230" t="s">
        <v>35</v>
      </c>
      <c r="C2230" s="16">
        <v>46228</v>
      </c>
      <c r="D2230">
        <v>9557.6300000000028</v>
      </c>
    </row>
    <row r="2231" spans="1:4" x14ac:dyDescent="0.3">
      <c r="A2231" t="s">
        <v>193</v>
      </c>
      <c r="C2231" s="16">
        <v>46228</v>
      </c>
      <c r="D2231">
        <v>0</v>
      </c>
    </row>
    <row r="2232" spans="1:4" x14ac:dyDescent="0.3">
      <c r="A2232" t="s">
        <v>194</v>
      </c>
      <c r="C2232" s="16">
        <v>46228</v>
      </c>
      <c r="D2232">
        <v>0</v>
      </c>
    </row>
    <row r="2233" spans="1:4" x14ac:dyDescent="0.3">
      <c r="A2233" t="s">
        <v>195</v>
      </c>
      <c r="C2233" s="16">
        <v>46228</v>
      </c>
      <c r="D2233">
        <v>0</v>
      </c>
    </row>
    <row r="2234" spans="1:4" x14ac:dyDescent="0.3">
      <c r="A2234" t="s">
        <v>196</v>
      </c>
      <c r="C2234" s="16">
        <v>46228</v>
      </c>
      <c r="D2234">
        <v>0</v>
      </c>
    </row>
    <row r="2235" spans="1:4" x14ac:dyDescent="0.3">
      <c r="A2235" t="s">
        <v>197</v>
      </c>
      <c r="C2235" s="16">
        <v>46228</v>
      </c>
      <c r="D2235">
        <v>0</v>
      </c>
    </row>
    <row r="2236" spans="1:4" x14ac:dyDescent="0.3">
      <c r="A2236" t="s">
        <v>214</v>
      </c>
      <c r="C2236" s="16">
        <v>46228</v>
      </c>
      <c r="D2236">
        <v>0</v>
      </c>
    </row>
    <row r="2237" spans="1:4" x14ac:dyDescent="0.3">
      <c r="A2237" t="s">
        <v>199</v>
      </c>
      <c r="C2237" s="16">
        <v>46228</v>
      </c>
      <c r="D2237">
        <v>0</v>
      </c>
    </row>
    <row r="2238" spans="1:4" x14ac:dyDescent="0.3">
      <c r="A2238" t="s">
        <v>17</v>
      </c>
      <c r="C2238" s="16">
        <v>46229</v>
      </c>
      <c r="D2238">
        <v>2255750.7400000007</v>
      </c>
    </row>
    <row r="2239" spans="1:4" x14ac:dyDescent="0.3">
      <c r="A2239" t="s">
        <v>18</v>
      </c>
      <c r="C2239" s="16">
        <v>46229</v>
      </c>
      <c r="D2239">
        <v>73157.680000000168</v>
      </c>
    </row>
    <row r="2240" spans="1:4" x14ac:dyDescent="0.3">
      <c r="A2240" t="s">
        <v>19</v>
      </c>
      <c r="C2240" s="16">
        <v>46229</v>
      </c>
      <c r="D2240">
        <v>1669.89</v>
      </c>
    </row>
    <row r="2241" spans="1:4" x14ac:dyDescent="0.3">
      <c r="A2241" t="s">
        <v>20</v>
      </c>
      <c r="C2241" s="16">
        <v>46229</v>
      </c>
      <c r="D2241">
        <v>1042744.6899999997</v>
      </c>
    </row>
    <row r="2242" spans="1:4" x14ac:dyDescent="0.3">
      <c r="A2242" t="s">
        <v>21</v>
      </c>
      <c r="C2242" s="16">
        <v>46229</v>
      </c>
      <c r="D2242">
        <v>2022877.8699999996</v>
      </c>
    </row>
    <row r="2243" spans="1:4" x14ac:dyDescent="0.3">
      <c r="A2243" t="s">
        <v>22</v>
      </c>
      <c r="C2243" s="16">
        <v>46229</v>
      </c>
      <c r="D2243">
        <v>200496.38</v>
      </c>
    </row>
    <row r="2244" spans="1:4" x14ac:dyDescent="0.3">
      <c r="A2244" t="s">
        <v>23</v>
      </c>
      <c r="C2244" s="16">
        <v>46229</v>
      </c>
      <c r="D2244">
        <v>267507.45</v>
      </c>
    </row>
    <row r="2245" spans="1:4" x14ac:dyDescent="0.3">
      <c r="A2245" t="s">
        <v>24</v>
      </c>
      <c r="C2245" s="16">
        <v>46229</v>
      </c>
      <c r="D2245">
        <v>14580.45</v>
      </c>
    </row>
    <row r="2246" spans="1:4" x14ac:dyDescent="0.3">
      <c r="A2246" t="s">
        <v>25</v>
      </c>
      <c r="C2246" s="16">
        <v>46229</v>
      </c>
      <c r="D2246">
        <v>54.400000000000006</v>
      </c>
    </row>
    <row r="2247" spans="1:4" x14ac:dyDescent="0.3">
      <c r="A2247" t="s">
        <v>26</v>
      </c>
      <c r="C2247" s="16">
        <v>46229</v>
      </c>
      <c r="D2247">
        <v>2207.8200000000002</v>
      </c>
    </row>
    <row r="2248" spans="1:4" x14ac:dyDescent="0.3">
      <c r="A2248" t="s">
        <v>27</v>
      </c>
      <c r="C2248" s="16">
        <v>46229</v>
      </c>
      <c r="D2248">
        <v>1454589.72</v>
      </c>
    </row>
    <row r="2249" spans="1:4" x14ac:dyDescent="0.3">
      <c r="A2249" t="s">
        <v>28</v>
      </c>
      <c r="C2249" s="16">
        <v>46229</v>
      </c>
      <c r="D2249">
        <v>1968.99</v>
      </c>
    </row>
    <row r="2250" spans="1:4" x14ac:dyDescent="0.3">
      <c r="A2250" t="s">
        <v>29</v>
      </c>
      <c r="C2250" s="16">
        <v>46229</v>
      </c>
      <c r="D2250">
        <v>901.34</v>
      </c>
    </row>
    <row r="2251" spans="1:4" x14ac:dyDescent="0.3">
      <c r="A2251" t="s">
        <v>30</v>
      </c>
      <c r="C2251" s="16">
        <v>46229</v>
      </c>
      <c r="D2251">
        <v>1412.08</v>
      </c>
    </row>
    <row r="2252" spans="1:4" x14ac:dyDescent="0.3">
      <c r="A2252" t="s">
        <v>31</v>
      </c>
      <c r="C2252" s="16">
        <v>46229</v>
      </c>
      <c r="D2252">
        <v>22347.56999999996</v>
      </c>
    </row>
    <row r="2253" spans="1:4" x14ac:dyDescent="0.3">
      <c r="A2253" t="s">
        <v>32</v>
      </c>
      <c r="C2253" s="16">
        <v>46229</v>
      </c>
      <c r="D2253">
        <v>18522.800000000003</v>
      </c>
    </row>
    <row r="2254" spans="1:4" x14ac:dyDescent="0.3">
      <c r="A2254" t="s">
        <v>33</v>
      </c>
      <c r="C2254" s="16">
        <v>46229</v>
      </c>
      <c r="D2254">
        <v>28485.559999999998</v>
      </c>
    </row>
    <row r="2255" spans="1:4" x14ac:dyDescent="0.3">
      <c r="A2255" t="s">
        <v>34</v>
      </c>
      <c r="C2255" s="16">
        <v>46229</v>
      </c>
      <c r="D2255">
        <v>345</v>
      </c>
    </row>
    <row r="2256" spans="1:4" x14ac:dyDescent="0.3">
      <c r="A2256" t="s">
        <v>35</v>
      </c>
      <c r="C2256" s="16">
        <v>46229</v>
      </c>
      <c r="D2256">
        <v>9557.6300000000028</v>
      </c>
    </row>
    <row r="2257" spans="1:4" x14ac:dyDescent="0.3">
      <c r="A2257" t="s">
        <v>193</v>
      </c>
      <c r="C2257" s="16">
        <v>46229</v>
      </c>
      <c r="D2257">
        <v>0</v>
      </c>
    </row>
    <row r="2258" spans="1:4" x14ac:dyDescent="0.3">
      <c r="A2258" t="s">
        <v>194</v>
      </c>
      <c r="C2258" s="16">
        <v>46229</v>
      </c>
      <c r="D2258">
        <v>0</v>
      </c>
    </row>
    <row r="2259" spans="1:4" x14ac:dyDescent="0.3">
      <c r="A2259" t="s">
        <v>195</v>
      </c>
      <c r="C2259" s="16">
        <v>46229</v>
      </c>
      <c r="D2259">
        <v>0</v>
      </c>
    </row>
    <row r="2260" spans="1:4" x14ac:dyDescent="0.3">
      <c r="A2260" t="s">
        <v>196</v>
      </c>
      <c r="C2260" s="16">
        <v>46229</v>
      </c>
      <c r="D2260">
        <v>0</v>
      </c>
    </row>
    <row r="2261" spans="1:4" x14ac:dyDescent="0.3">
      <c r="A2261" t="s">
        <v>197</v>
      </c>
      <c r="C2261" s="16">
        <v>46229</v>
      </c>
      <c r="D2261">
        <v>0</v>
      </c>
    </row>
    <row r="2262" spans="1:4" x14ac:dyDescent="0.3">
      <c r="A2262" t="s">
        <v>214</v>
      </c>
      <c r="C2262" s="16">
        <v>46229</v>
      </c>
      <c r="D2262">
        <v>0</v>
      </c>
    </row>
    <row r="2263" spans="1:4" x14ac:dyDescent="0.3">
      <c r="A2263" t="s">
        <v>199</v>
      </c>
      <c r="C2263" s="16">
        <v>46229</v>
      </c>
      <c r="D2263">
        <v>0</v>
      </c>
    </row>
    <row r="2264" spans="1:4" x14ac:dyDescent="0.3">
      <c r="A2264" t="s">
        <v>17</v>
      </c>
      <c r="C2264" s="16">
        <v>46230</v>
      </c>
      <c r="D2264">
        <v>2255750.7400000007</v>
      </c>
    </row>
    <row r="2265" spans="1:4" x14ac:dyDescent="0.3">
      <c r="A2265" t="s">
        <v>18</v>
      </c>
      <c r="C2265" s="16">
        <v>46230</v>
      </c>
      <c r="D2265">
        <v>73157.680000000168</v>
      </c>
    </row>
    <row r="2266" spans="1:4" x14ac:dyDescent="0.3">
      <c r="A2266" t="s">
        <v>19</v>
      </c>
      <c r="C2266" s="16">
        <v>46230</v>
      </c>
      <c r="D2266">
        <v>1669.89</v>
      </c>
    </row>
    <row r="2267" spans="1:4" x14ac:dyDescent="0.3">
      <c r="A2267" t="s">
        <v>20</v>
      </c>
      <c r="C2267" s="16">
        <v>46230</v>
      </c>
      <c r="D2267">
        <v>1392744.6899999997</v>
      </c>
    </row>
    <row r="2268" spans="1:4" x14ac:dyDescent="0.3">
      <c r="A2268" t="s">
        <v>21</v>
      </c>
      <c r="C2268" s="16">
        <v>46230</v>
      </c>
      <c r="D2268">
        <v>2022877.8699999996</v>
      </c>
    </row>
    <row r="2269" spans="1:4" x14ac:dyDescent="0.3">
      <c r="A2269" t="s">
        <v>22</v>
      </c>
      <c r="C2269" s="16">
        <v>46230</v>
      </c>
      <c r="D2269">
        <v>190496.38</v>
      </c>
    </row>
    <row r="2270" spans="1:4" x14ac:dyDescent="0.3">
      <c r="A2270" t="s">
        <v>23</v>
      </c>
      <c r="C2270" s="16">
        <v>46230</v>
      </c>
      <c r="D2270">
        <v>267507.45</v>
      </c>
    </row>
    <row r="2271" spans="1:4" x14ac:dyDescent="0.3">
      <c r="A2271" t="s">
        <v>24</v>
      </c>
      <c r="C2271" s="16">
        <v>46230</v>
      </c>
      <c r="D2271">
        <v>14580.45</v>
      </c>
    </row>
    <row r="2272" spans="1:4" x14ac:dyDescent="0.3">
      <c r="A2272" t="s">
        <v>25</v>
      </c>
      <c r="C2272" s="16">
        <v>46230</v>
      </c>
      <c r="D2272">
        <v>54.400000000000006</v>
      </c>
    </row>
    <row r="2273" spans="1:4" x14ac:dyDescent="0.3">
      <c r="A2273" t="s">
        <v>26</v>
      </c>
      <c r="C2273" s="16">
        <v>46230</v>
      </c>
      <c r="D2273">
        <v>2207.8200000000002</v>
      </c>
    </row>
    <row r="2274" spans="1:4" x14ac:dyDescent="0.3">
      <c r="A2274" t="s">
        <v>27</v>
      </c>
      <c r="C2274" s="16">
        <v>46230</v>
      </c>
      <c r="D2274">
        <v>1454589.72</v>
      </c>
    </row>
    <row r="2275" spans="1:4" x14ac:dyDescent="0.3">
      <c r="A2275" t="s">
        <v>28</v>
      </c>
      <c r="C2275" s="16">
        <v>46230</v>
      </c>
      <c r="D2275">
        <v>1968.99</v>
      </c>
    </row>
    <row r="2276" spans="1:4" x14ac:dyDescent="0.3">
      <c r="A2276" t="s">
        <v>29</v>
      </c>
      <c r="C2276" s="16">
        <v>46230</v>
      </c>
      <c r="D2276">
        <v>901.34</v>
      </c>
    </row>
    <row r="2277" spans="1:4" x14ac:dyDescent="0.3">
      <c r="A2277" t="s">
        <v>30</v>
      </c>
      <c r="C2277" s="16">
        <v>46230</v>
      </c>
      <c r="D2277">
        <v>1412.08</v>
      </c>
    </row>
    <row r="2278" spans="1:4" x14ac:dyDescent="0.3">
      <c r="A2278" t="s">
        <v>31</v>
      </c>
      <c r="C2278" s="16">
        <v>46230</v>
      </c>
      <c r="D2278">
        <v>22347.56999999996</v>
      </c>
    </row>
    <row r="2279" spans="1:4" x14ac:dyDescent="0.3">
      <c r="A2279" t="s">
        <v>32</v>
      </c>
      <c r="C2279" s="16">
        <v>46230</v>
      </c>
      <c r="D2279">
        <v>18522.800000000003</v>
      </c>
    </row>
    <row r="2280" spans="1:4" x14ac:dyDescent="0.3">
      <c r="A2280" t="s">
        <v>33</v>
      </c>
      <c r="C2280" s="16">
        <v>46230</v>
      </c>
      <c r="D2280">
        <v>28485.559999999998</v>
      </c>
    </row>
    <row r="2281" spans="1:4" x14ac:dyDescent="0.3">
      <c r="A2281" t="s">
        <v>34</v>
      </c>
      <c r="C2281" s="16">
        <v>46230</v>
      </c>
      <c r="D2281">
        <v>345</v>
      </c>
    </row>
    <row r="2282" spans="1:4" x14ac:dyDescent="0.3">
      <c r="A2282" t="s">
        <v>35</v>
      </c>
      <c r="C2282" s="16">
        <v>46230</v>
      </c>
      <c r="D2282">
        <v>15418.180000000004</v>
      </c>
    </row>
    <row r="2283" spans="1:4" x14ac:dyDescent="0.3">
      <c r="A2283" t="s">
        <v>193</v>
      </c>
      <c r="C2283" s="16">
        <v>46230</v>
      </c>
      <c r="D2283">
        <v>0</v>
      </c>
    </row>
    <row r="2284" spans="1:4" x14ac:dyDescent="0.3">
      <c r="A2284" t="s">
        <v>194</v>
      </c>
      <c r="C2284" s="16">
        <v>46230</v>
      </c>
      <c r="D2284">
        <v>0</v>
      </c>
    </row>
    <row r="2285" spans="1:4" x14ac:dyDescent="0.3">
      <c r="A2285" t="s">
        <v>195</v>
      </c>
      <c r="C2285" s="16">
        <v>46230</v>
      </c>
      <c r="D2285">
        <v>0</v>
      </c>
    </row>
    <row r="2286" spans="1:4" x14ac:dyDescent="0.3">
      <c r="A2286" t="s">
        <v>196</v>
      </c>
      <c r="C2286" s="16">
        <v>46230</v>
      </c>
      <c r="D2286">
        <v>0</v>
      </c>
    </row>
    <row r="2287" spans="1:4" x14ac:dyDescent="0.3">
      <c r="A2287" t="s">
        <v>197</v>
      </c>
      <c r="C2287" s="16">
        <v>46230</v>
      </c>
      <c r="D2287">
        <v>0</v>
      </c>
    </row>
    <row r="2288" spans="1:4" x14ac:dyDescent="0.3">
      <c r="A2288" t="s">
        <v>214</v>
      </c>
      <c r="C2288" s="16">
        <v>46230</v>
      </c>
      <c r="D2288">
        <v>0</v>
      </c>
    </row>
    <row r="2289" spans="1:4" x14ac:dyDescent="0.3">
      <c r="A2289" t="s">
        <v>199</v>
      </c>
      <c r="C2289" s="16">
        <v>46230</v>
      </c>
      <c r="D2289">
        <v>0</v>
      </c>
    </row>
    <row r="2290" spans="1:4" x14ac:dyDescent="0.3">
      <c r="A2290" t="s">
        <v>17</v>
      </c>
      <c r="C2290" s="16">
        <v>46231</v>
      </c>
      <c r="D2290">
        <v>2255750.7400000007</v>
      </c>
    </row>
    <row r="2291" spans="1:4" x14ac:dyDescent="0.3">
      <c r="A2291" t="s">
        <v>18</v>
      </c>
      <c r="C2291" s="16">
        <v>46231</v>
      </c>
      <c r="D2291">
        <v>80574.12000000017</v>
      </c>
    </row>
    <row r="2292" spans="1:4" x14ac:dyDescent="0.3">
      <c r="A2292" t="s">
        <v>19</v>
      </c>
      <c r="C2292" s="16">
        <v>46231</v>
      </c>
      <c r="D2292">
        <v>1669.89</v>
      </c>
    </row>
    <row r="2293" spans="1:4" x14ac:dyDescent="0.3">
      <c r="A2293" t="s">
        <v>20</v>
      </c>
      <c r="C2293" s="16">
        <v>46231</v>
      </c>
      <c r="D2293">
        <v>1415636.7399999998</v>
      </c>
    </row>
    <row r="2294" spans="1:4" x14ac:dyDescent="0.3">
      <c r="A2294" t="s">
        <v>21</v>
      </c>
      <c r="C2294" s="16">
        <v>46231</v>
      </c>
      <c r="D2294">
        <v>1857997.0999999996</v>
      </c>
    </row>
    <row r="2295" spans="1:4" x14ac:dyDescent="0.3">
      <c r="A2295" t="s">
        <v>22</v>
      </c>
      <c r="C2295" s="16">
        <v>46231</v>
      </c>
      <c r="D2295">
        <v>190496.38</v>
      </c>
    </row>
    <row r="2296" spans="1:4" x14ac:dyDescent="0.3">
      <c r="A2296" t="s">
        <v>23</v>
      </c>
      <c r="C2296" s="16">
        <v>46231</v>
      </c>
      <c r="D2296">
        <v>267507.45</v>
      </c>
    </row>
    <row r="2297" spans="1:4" x14ac:dyDescent="0.3">
      <c r="A2297" t="s">
        <v>24</v>
      </c>
      <c r="C2297" s="16">
        <v>46231</v>
      </c>
      <c r="D2297">
        <v>14580.45</v>
      </c>
    </row>
    <row r="2298" spans="1:4" x14ac:dyDescent="0.3">
      <c r="A2298" t="s">
        <v>25</v>
      </c>
      <c r="C2298" s="16">
        <v>46231</v>
      </c>
      <c r="D2298">
        <v>54.400000000000006</v>
      </c>
    </row>
    <row r="2299" spans="1:4" x14ac:dyDescent="0.3">
      <c r="A2299" t="s">
        <v>26</v>
      </c>
      <c r="C2299" s="16">
        <v>46231</v>
      </c>
      <c r="D2299">
        <v>2207.8200000000002</v>
      </c>
    </row>
    <row r="2300" spans="1:4" x14ac:dyDescent="0.3">
      <c r="A2300" t="s">
        <v>27</v>
      </c>
      <c r="C2300" s="16">
        <v>46231</v>
      </c>
      <c r="D2300">
        <v>1454589.72</v>
      </c>
    </row>
    <row r="2301" spans="1:4" x14ac:dyDescent="0.3">
      <c r="A2301" t="s">
        <v>28</v>
      </c>
      <c r="C2301" s="16">
        <v>46231</v>
      </c>
      <c r="D2301">
        <v>1968.99</v>
      </c>
    </row>
    <row r="2302" spans="1:4" x14ac:dyDescent="0.3">
      <c r="A2302" t="s">
        <v>29</v>
      </c>
      <c r="C2302" s="16">
        <v>46231</v>
      </c>
      <c r="D2302">
        <v>901.34</v>
      </c>
    </row>
    <row r="2303" spans="1:4" x14ac:dyDescent="0.3">
      <c r="A2303" t="s">
        <v>30</v>
      </c>
      <c r="C2303" s="16">
        <v>46231</v>
      </c>
      <c r="D2303">
        <v>1412.08</v>
      </c>
    </row>
    <row r="2304" spans="1:4" x14ac:dyDescent="0.3">
      <c r="A2304" t="s">
        <v>31</v>
      </c>
      <c r="C2304" s="16">
        <v>46231</v>
      </c>
      <c r="D2304">
        <v>22347.56999999996</v>
      </c>
    </row>
    <row r="2305" spans="1:4" x14ac:dyDescent="0.3">
      <c r="A2305" t="s">
        <v>32</v>
      </c>
      <c r="C2305" s="16">
        <v>46231</v>
      </c>
      <c r="D2305">
        <v>18522.800000000003</v>
      </c>
    </row>
    <row r="2306" spans="1:4" x14ac:dyDescent="0.3">
      <c r="A2306" t="s">
        <v>33</v>
      </c>
      <c r="C2306" s="16">
        <v>46231</v>
      </c>
      <c r="D2306">
        <v>28485.559999999998</v>
      </c>
    </row>
    <row r="2307" spans="1:4" x14ac:dyDescent="0.3">
      <c r="A2307" t="s">
        <v>34</v>
      </c>
      <c r="C2307" s="16">
        <v>46231</v>
      </c>
      <c r="D2307">
        <v>345</v>
      </c>
    </row>
    <row r="2308" spans="1:4" x14ac:dyDescent="0.3">
      <c r="A2308" t="s">
        <v>35</v>
      </c>
      <c r="C2308" s="16">
        <v>46231</v>
      </c>
      <c r="D2308">
        <v>15094.090000000004</v>
      </c>
    </row>
    <row r="2309" spans="1:4" x14ac:dyDescent="0.3">
      <c r="A2309" t="s">
        <v>193</v>
      </c>
      <c r="C2309" s="16">
        <v>46231</v>
      </c>
      <c r="D2309">
        <v>0</v>
      </c>
    </row>
    <row r="2310" spans="1:4" x14ac:dyDescent="0.3">
      <c r="A2310" t="s">
        <v>194</v>
      </c>
      <c r="C2310" s="16">
        <v>46231</v>
      </c>
      <c r="D2310">
        <v>0</v>
      </c>
    </row>
    <row r="2311" spans="1:4" x14ac:dyDescent="0.3">
      <c r="A2311" t="s">
        <v>195</v>
      </c>
      <c r="C2311" s="16">
        <v>46231</v>
      </c>
      <c r="D2311">
        <v>0</v>
      </c>
    </row>
    <row r="2312" spans="1:4" x14ac:dyDescent="0.3">
      <c r="A2312" t="s">
        <v>196</v>
      </c>
      <c r="C2312" s="16">
        <v>46231</v>
      </c>
      <c r="D2312">
        <v>0</v>
      </c>
    </row>
    <row r="2313" spans="1:4" x14ac:dyDescent="0.3">
      <c r="A2313" t="s">
        <v>197</v>
      </c>
      <c r="C2313" s="16">
        <v>46231</v>
      </c>
      <c r="D2313">
        <v>0</v>
      </c>
    </row>
    <row r="2314" spans="1:4" x14ac:dyDescent="0.3">
      <c r="A2314" t="s">
        <v>214</v>
      </c>
      <c r="C2314" s="16">
        <v>46231</v>
      </c>
      <c r="D2314">
        <v>0</v>
      </c>
    </row>
    <row r="2315" spans="1:4" x14ac:dyDescent="0.3">
      <c r="A2315" t="s">
        <v>199</v>
      </c>
      <c r="C2315" s="16">
        <v>46231</v>
      </c>
      <c r="D2315">
        <v>0</v>
      </c>
    </row>
    <row r="2316" spans="1:4" x14ac:dyDescent="0.3">
      <c r="A2316" t="s">
        <v>17</v>
      </c>
      <c r="C2316" s="16">
        <v>46232</v>
      </c>
      <c r="D2316">
        <v>2270539.1300000008</v>
      </c>
    </row>
    <row r="2317" spans="1:4" x14ac:dyDescent="0.3">
      <c r="A2317" t="s">
        <v>18</v>
      </c>
      <c r="C2317" s="16">
        <v>46232</v>
      </c>
      <c r="D2317">
        <v>83211.250000000175</v>
      </c>
    </row>
    <row r="2318" spans="1:4" x14ac:dyDescent="0.3">
      <c r="A2318" t="s">
        <v>19</v>
      </c>
      <c r="C2318" s="16">
        <v>46232</v>
      </c>
      <c r="D2318">
        <v>1669.89</v>
      </c>
    </row>
    <row r="2319" spans="1:4" x14ac:dyDescent="0.3">
      <c r="A2319" t="s">
        <v>20</v>
      </c>
      <c r="C2319" s="16">
        <v>46232</v>
      </c>
      <c r="D2319">
        <v>1434634.5999999999</v>
      </c>
    </row>
    <row r="2320" spans="1:4" x14ac:dyDescent="0.3">
      <c r="A2320" t="s">
        <v>21</v>
      </c>
      <c r="C2320" s="16">
        <v>46232</v>
      </c>
      <c r="D2320">
        <v>1857997.0999999996</v>
      </c>
    </row>
    <row r="2321" spans="1:4" x14ac:dyDescent="0.3">
      <c r="A2321" t="s">
        <v>22</v>
      </c>
      <c r="C2321" s="16">
        <v>46232</v>
      </c>
      <c r="D2321">
        <v>190496.38</v>
      </c>
    </row>
    <row r="2322" spans="1:4" x14ac:dyDescent="0.3">
      <c r="A2322" t="s">
        <v>23</v>
      </c>
      <c r="C2322" s="16">
        <v>46232</v>
      </c>
      <c r="D2322">
        <v>267507.45</v>
      </c>
    </row>
    <row r="2323" spans="1:4" x14ac:dyDescent="0.3">
      <c r="A2323" t="s">
        <v>24</v>
      </c>
      <c r="C2323" s="16">
        <v>46232</v>
      </c>
      <c r="D2323">
        <v>14580.45</v>
      </c>
    </row>
    <row r="2324" spans="1:4" x14ac:dyDescent="0.3">
      <c r="A2324" t="s">
        <v>25</v>
      </c>
      <c r="C2324" s="16">
        <v>46232</v>
      </c>
      <c r="D2324">
        <v>54.400000000000006</v>
      </c>
    </row>
    <row r="2325" spans="1:4" x14ac:dyDescent="0.3">
      <c r="A2325" t="s">
        <v>26</v>
      </c>
      <c r="C2325" s="16">
        <v>46232</v>
      </c>
      <c r="D2325">
        <v>2207.8200000000002</v>
      </c>
    </row>
    <row r="2326" spans="1:4" x14ac:dyDescent="0.3">
      <c r="A2326" t="s">
        <v>27</v>
      </c>
      <c r="C2326" s="16">
        <v>46232</v>
      </c>
      <c r="D2326">
        <v>1454589.72</v>
      </c>
    </row>
    <row r="2327" spans="1:4" x14ac:dyDescent="0.3">
      <c r="A2327" t="s">
        <v>28</v>
      </c>
      <c r="C2327" s="16">
        <v>46232</v>
      </c>
      <c r="D2327">
        <v>1968.99</v>
      </c>
    </row>
    <row r="2328" spans="1:4" x14ac:dyDescent="0.3">
      <c r="A2328" t="s">
        <v>29</v>
      </c>
      <c r="C2328" s="16">
        <v>46232</v>
      </c>
      <c r="D2328">
        <v>901.34</v>
      </c>
    </row>
    <row r="2329" spans="1:4" x14ac:dyDescent="0.3">
      <c r="A2329" t="s">
        <v>30</v>
      </c>
      <c r="C2329" s="16">
        <v>46232</v>
      </c>
      <c r="D2329">
        <v>1412.08</v>
      </c>
    </row>
    <row r="2330" spans="1:4" x14ac:dyDescent="0.3">
      <c r="A2330" t="s">
        <v>31</v>
      </c>
      <c r="C2330" s="16">
        <v>46232</v>
      </c>
      <c r="D2330">
        <v>22347.56999999996</v>
      </c>
    </row>
    <row r="2331" spans="1:4" x14ac:dyDescent="0.3">
      <c r="A2331" t="s">
        <v>32</v>
      </c>
      <c r="C2331" s="16">
        <v>46232</v>
      </c>
      <c r="D2331">
        <v>18522.800000000003</v>
      </c>
    </row>
    <row r="2332" spans="1:4" x14ac:dyDescent="0.3">
      <c r="A2332" t="s">
        <v>33</v>
      </c>
      <c r="C2332" s="16">
        <v>46232</v>
      </c>
      <c r="D2332">
        <v>28485.559999999998</v>
      </c>
    </row>
    <row r="2333" spans="1:4" x14ac:dyDescent="0.3">
      <c r="A2333" t="s">
        <v>34</v>
      </c>
      <c r="C2333" s="16">
        <v>46232</v>
      </c>
      <c r="D2333">
        <v>345</v>
      </c>
    </row>
    <row r="2334" spans="1:4" x14ac:dyDescent="0.3">
      <c r="A2334" t="s">
        <v>35</v>
      </c>
      <c r="C2334" s="16">
        <v>46232</v>
      </c>
      <c r="D2334">
        <v>13469.780000000002</v>
      </c>
    </row>
    <row r="2335" spans="1:4" x14ac:dyDescent="0.3">
      <c r="A2335" t="s">
        <v>193</v>
      </c>
      <c r="C2335" s="16">
        <v>46232</v>
      </c>
      <c r="D2335">
        <v>0</v>
      </c>
    </row>
    <row r="2336" spans="1:4" x14ac:dyDescent="0.3">
      <c r="A2336" t="s">
        <v>194</v>
      </c>
      <c r="C2336" s="16">
        <v>46232</v>
      </c>
      <c r="D2336">
        <v>0</v>
      </c>
    </row>
    <row r="2337" spans="1:4" x14ac:dyDescent="0.3">
      <c r="A2337" t="s">
        <v>195</v>
      </c>
      <c r="C2337" s="16">
        <v>46232</v>
      </c>
      <c r="D2337">
        <v>0</v>
      </c>
    </row>
    <row r="2338" spans="1:4" x14ac:dyDescent="0.3">
      <c r="A2338" t="s">
        <v>196</v>
      </c>
      <c r="C2338" s="16">
        <v>46232</v>
      </c>
      <c r="D2338">
        <v>0</v>
      </c>
    </row>
    <row r="2339" spans="1:4" x14ac:dyDescent="0.3">
      <c r="A2339" t="s">
        <v>197</v>
      </c>
      <c r="C2339" s="16">
        <v>46232</v>
      </c>
      <c r="D2339">
        <v>0</v>
      </c>
    </row>
    <row r="2340" spans="1:4" x14ac:dyDescent="0.3">
      <c r="A2340" t="s">
        <v>214</v>
      </c>
      <c r="C2340" s="16">
        <v>46232</v>
      </c>
      <c r="D2340">
        <v>0</v>
      </c>
    </row>
    <row r="2341" spans="1:4" x14ac:dyDescent="0.3">
      <c r="A2341" t="s">
        <v>199</v>
      </c>
      <c r="C2341" s="16">
        <v>46232</v>
      </c>
      <c r="D2341">
        <v>0</v>
      </c>
    </row>
    <row r="2342" spans="1:4" x14ac:dyDescent="0.3">
      <c r="A2342" t="s">
        <v>17</v>
      </c>
      <c r="C2342" s="16">
        <v>46233</v>
      </c>
      <c r="D2342">
        <v>2470350.7000000002</v>
      </c>
    </row>
    <row r="2343" spans="1:4" x14ac:dyDescent="0.3">
      <c r="A2343" t="s">
        <v>18</v>
      </c>
      <c r="C2343" s="16">
        <v>46233</v>
      </c>
      <c r="D2343">
        <v>83211.250000000175</v>
      </c>
    </row>
    <row r="2344" spans="1:4" x14ac:dyDescent="0.3">
      <c r="A2344" t="s">
        <v>19</v>
      </c>
      <c r="C2344" s="16">
        <v>46233</v>
      </c>
      <c r="D2344">
        <v>1669.89</v>
      </c>
    </row>
    <row r="2345" spans="1:4" x14ac:dyDescent="0.3">
      <c r="A2345" t="s">
        <v>20</v>
      </c>
      <c r="C2345" s="16">
        <v>46233</v>
      </c>
      <c r="D2345">
        <v>1458426.0399999998</v>
      </c>
    </row>
    <row r="2346" spans="1:4" x14ac:dyDescent="0.3">
      <c r="A2346" t="s">
        <v>21</v>
      </c>
      <c r="C2346" s="16">
        <v>46233</v>
      </c>
      <c r="D2346">
        <v>1857993.8499999996</v>
      </c>
    </row>
    <row r="2347" spans="1:4" x14ac:dyDescent="0.3">
      <c r="A2347" t="s">
        <v>22</v>
      </c>
      <c r="C2347" s="16">
        <v>46233</v>
      </c>
      <c r="D2347">
        <v>190496.38</v>
      </c>
    </row>
    <row r="2348" spans="1:4" x14ac:dyDescent="0.3">
      <c r="A2348" t="s">
        <v>23</v>
      </c>
      <c r="C2348" s="16">
        <v>46233</v>
      </c>
      <c r="D2348">
        <v>267507.45</v>
      </c>
    </row>
    <row r="2349" spans="1:4" x14ac:dyDescent="0.3">
      <c r="A2349" t="s">
        <v>24</v>
      </c>
      <c r="C2349" s="16">
        <v>46233</v>
      </c>
      <c r="D2349">
        <v>14580.45</v>
      </c>
    </row>
    <row r="2350" spans="1:4" x14ac:dyDescent="0.3">
      <c r="A2350" t="s">
        <v>25</v>
      </c>
      <c r="C2350" s="16">
        <v>46233</v>
      </c>
      <c r="D2350">
        <v>54.400000000000006</v>
      </c>
    </row>
    <row r="2351" spans="1:4" x14ac:dyDescent="0.3">
      <c r="A2351" t="s">
        <v>26</v>
      </c>
      <c r="C2351" s="16">
        <v>46233</v>
      </c>
      <c r="D2351">
        <v>2207.8200000000002</v>
      </c>
    </row>
    <row r="2352" spans="1:4" x14ac:dyDescent="0.3">
      <c r="A2352" t="s">
        <v>27</v>
      </c>
      <c r="C2352" s="16">
        <v>46233</v>
      </c>
      <c r="D2352">
        <v>1454589.72</v>
      </c>
    </row>
    <row r="2353" spans="1:4" x14ac:dyDescent="0.3">
      <c r="A2353" t="s">
        <v>28</v>
      </c>
      <c r="C2353" s="16">
        <v>46233</v>
      </c>
      <c r="D2353">
        <v>1968.99</v>
      </c>
    </row>
    <row r="2354" spans="1:4" x14ac:dyDescent="0.3">
      <c r="A2354" t="s">
        <v>29</v>
      </c>
      <c r="C2354" s="16">
        <v>46233</v>
      </c>
      <c r="D2354">
        <v>901.34</v>
      </c>
    </row>
    <row r="2355" spans="1:4" x14ac:dyDescent="0.3">
      <c r="A2355" t="s">
        <v>30</v>
      </c>
      <c r="C2355" s="16">
        <v>46233</v>
      </c>
      <c r="D2355">
        <v>1412.08</v>
      </c>
    </row>
    <row r="2356" spans="1:4" x14ac:dyDescent="0.3">
      <c r="A2356" t="s">
        <v>31</v>
      </c>
      <c r="C2356" s="16">
        <v>46233</v>
      </c>
      <c r="D2356">
        <v>22347.56999999996</v>
      </c>
    </row>
    <row r="2357" spans="1:4" x14ac:dyDescent="0.3">
      <c r="A2357" t="s">
        <v>32</v>
      </c>
      <c r="C2357" s="16">
        <v>46233</v>
      </c>
      <c r="D2357">
        <v>18522.800000000003</v>
      </c>
    </row>
    <row r="2358" spans="1:4" x14ac:dyDescent="0.3">
      <c r="A2358" t="s">
        <v>33</v>
      </c>
      <c r="C2358" s="16">
        <v>46233</v>
      </c>
      <c r="D2358">
        <v>28485.559999999998</v>
      </c>
    </row>
    <row r="2359" spans="1:4" x14ac:dyDescent="0.3">
      <c r="A2359" t="s">
        <v>34</v>
      </c>
      <c r="C2359" s="16">
        <v>46233</v>
      </c>
      <c r="D2359">
        <v>345</v>
      </c>
    </row>
    <row r="2360" spans="1:4" x14ac:dyDescent="0.3">
      <c r="A2360" t="s">
        <v>35</v>
      </c>
      <c r="C2360" s="16">
        <v>46233</v>
      </c>
      <c r="D2360">
        <v>11634.930000000004</v>
      </c>
    </row>
    <row r="2361" spans="1:4" x14ac:dyDescent="0.3">
      <c r="A2361" t="s">
        <v>193</v>
      </c>
      <c r="C2361" s="16">
        <v>46233</v>
      </c>
      <c r="D2361">
        <v>0</v>
      </c>
    </row>
    <row r="2362" spans="1:4" x14ac:dyDescent="0.3">
      <c r="A2362" t="s">
        <v>194</v>
      </c>
      <c r="C2362" s="16">
        <v>46233</v>
      </c>
      <c r="D2362">
        <v>0</v>
      </c>
    </row>
    <row r="2363" spans="1:4" x14ac:dyDescent="0.3">
      <c r="A2363" t="s">
        <v>195</v>
      </c>
      <c r="C2363" s="16">
        <v>46233</v>
      </c>
      <c r="D2363">
        <v>0</v>
      </c>
    </row>
    <row r="2364" spans="1:4" x14ac:dyDescent="0.3">
      <c r="A2364" t="s">
        <v>196</v>
      </c>
      <c r="C2364" s="16">
        <v>46233</v>
      </c>
      <c r="D2364">
        <v>0</v>
      </c>
    </row>
    <row r="2365" spans="1:4" x14ac:dyDescent="0.3">
      <c r="A2365" t="s">
        <v>197</v>
      </c>
      <c r="C2365" s="16">
        <v>46233</v>
      </c>
      <c r="D2365">
        <v>0</v>
      </c>
    </row>
    <row r="2366" spans="1:4" x14ac:dyDescent="0.3">
      <c r="A2366" t="s">
        <v>214</v>
      </c>
      <c r="C2366" s="16">
        <v>46233</v>
      </c>
      <c r="D2366">
        <v>0</v>
      </c>
    </row>
    <row r="2367" spans="1:4" x14ac:dyDescent="0.3">
      <c r="A2367" t="s">
        <v>199</v>
      </c>
      <c r="C2367" s="16">
        <v>46233</v>
      </c>
      <c r="D2367">
        <v>0</v>
      </c>
    </row>
    <row r="2368" spans="1:4" x14ac:dyDescent="0.3">
      <c r="A2368" t="s">
        <v>17</v>
      </c>
      <c r="C2368" s="16">
        <v>46234</v>
      </c>
      <c r="D2368">
        <v>2468032.08</v>
      </c>
    </row>
    <row r="2369" spans="1:4" x14ac:dyDescent="0.3">
      <c r="A2369" t="s">
        <v>18</v>
      </c>
      <c r="C2369" s="16">
        <v>46234</v>
      </c>
      <c r="D2369">
        <v>83211.250000000175</v>
      </c>
    </row>
    <row r="2370" spans="1:4" x14ac:dyDescent="0.3">
      <c r="A2370" t="s">
        <v>19</v>
      </c>
      <c r="C2370" s="16">
        <v>46234</v>
      </c>
      <c r="D2370">
        <v>1669.89</v>
      </c>
    </row>
    <row r="2371" spans="1:4" x14ac:dyDescent="0.3">
      <c r="A2371" t="s">
        <v>20</v>
      </c>
      <c r="C2371" s="16">
        <v>46234</v>
      </c>
      <c r="D2371">
        <v>1458426.0399999998</v>
      </c>
    </row>
    <row r="2372" spans="1:4" x14ac:dyDescent="0.3">
      <c r="A2372" t="s">
        <v>21</v>
      </c>
      <c r="C2372" s="16">
        <v>46234</v>
      </c>
      <c r="D2372">
        <v>1514477.1199999996</v>
      </c>
    </row>
    <row r="2373" spans="1:4" x14ac:dyDescent="0.3">
      <c r="A2373" t="s">
        <v>22</v>
      </c>
      <c r="C2373" s="16">
        <v>46234</v>
      </c>
      <c r="D2373">
        <v>190496.38</v>
      </c>
    </row>
    <row r="2374" spans="1:4" x14ac:dyDescent="0.3">
      <c r="A2374" t="s">
        <v>23</v>
      </c>
      <c r="C2374" s="16">
        <v>46234</v>
      </c>
      <c r="D2374">
        <v>207605.45</v>
      </c>
    </row>
    <row r="2375" spans="1:4" x14ac:dyDescent="0.3">
      <c r="A2375" t="s">
        <v>24</v>
      </c>
      <c r="C2375" s="16">
        <v>46234</v>
      </c>
      <c r="D2375">
        <v>14580.45</v>
      </c>
    </row>
    <row r="2376" spans="1:4" x14ac:dyDescent="0.3">
      <c r="A2376" t="s">
        <v>25</v>
      </c>
      <c r="C2376" s="16">
        <v>46234</v>
      </c>
      <c r="D2376">
        <v>54.400000000000006</v>
      </c>
    </row>
    <row r="2377" spans="1:4" x14ac:dyDescent="0.3">
      <c r="A2377" t="s">
        <v>26</v>
      </c>
      <c r="C2377" s="16">
        <v>46234</v>
      </c>
      <c r="D2377">
        <v>2207.8200000000002</v>
      </c>
    </row>
    <row r="2378" spans="1:4" x14ac:dyDescent="0.3">
      <c r="A2378" t="s">
        <v>27</v>
      </c>
      <c r="C2378" s="16">
        <v>46234</v>
      </c>
      <c r="D2378">
        <v>1454589.72</v>
      </c>
    </row>
    <row r="2379" spans="1:4" x14ac:dyDescent="0.3">
      <c r="A2379" t="s">
        <v>28</v>
      </c>
      <c r="C2379" s="16">
        <v>46234</v>
      </c>
      <c r="D2379">
        <v>1968.99</v>
      </c>
    </row>
    <row r="2380" spans="1:4" x14ac:dyDescent="0.3">
      <c r="A2380" t="s">
        <v>29</v>
      </c>
      <c r="C2380" s="16">
        <v>46234</v>
      </c>
      <c r="D2380">
        <v>901.34</v>
      </c>
    </row>
    <row r="2381" spans="1:4" x14ac:dyDescent="0.3">
      <c r="A2381" t="s">
        <v>30</v>
      </c>
      <c r="C2381" s="16">
        <v>46234</v>
      </c>
      <c r="D2381">
        <v>1412.08</v>
      </c>
    </row>
    <row r="2382" spans="1:4" x14ac:dyDescent="0.3">
      <c r="A2382" t="s">
        <v>31</v>
      </c>
      <c r="C2382" s="16">
        <v>46234</v>
      </c>
      <c r="D2382">
        <v>22347.56999999996</v>
      </c>
    </row>
    <row r="2383" spans="1:4" x14ac:dyDescent="0.3">
      <c r="A2383" t="s">
        <v>32</v>
      </c>
      <c r="C2383" s="16">
        <v>46234</v>
      </c>
      <c r="D2383">
        <v>18522.800000000003</v>
      </c>
    </row>
    <row r="2384" spans="1:4" x14ac:dyDescent="0.3">
      <c r="A2384" t="s">
        <v>33</v>
      </c>
      <c r="C2384" s="16">
        <v>46234</v>
      </c>
      <c r="D2384">
        <v>28485.559999999998</v>
      </c>
    </row>
    <row r="2385" spans="1:4" x14ac:dyDescent="0.3">
      <c r="A2385" t="s">
        <v>34</v>
      </c>
      <c r="C2385" s="16">
        <v>46234</v>
      </c>
      <c r="D2385">
        <v>345</v>
      </c>
    </row>
    <row r="2386" spans="1:4" x14ac:dyDescent="0.3">
      <c r="A2386" t="s">
        <v>35</v>
      </c>
      <c r="C2386" s="16">
        <v>46234</v>
      </c>
      <c r="D2386">
        <v>11634.930000000004</v>
      </c>
    </row>
    <row r="2387" spans="1:4" x14ac:dyDescent="0.3">
      <c r="A2387" t="s">
        <v>193</v>
      </c>
      <c r="C2387" s="16">
        <v>46234</v>
      </c>
      <c r="D2387">
        <v>0</v>
      </c>
    </row>
    <row r="2388" spans="1:4" x14ac:dyDescent="0.3">
      <c r="A2388" t="s">
        <v>194</v>
      </c>
      <c r="C2388" s="16">
        <v>46234</v>
      </c>
      <c r="D2388">
        <v>0</v>
      </c>
    </row>
    <row r="2389" spans="1:4" x14ac:dyDescent="0.3">
      <c r="A2389" t="s">
        <v>195</v>
      </c>
      <c r="C2389" s="16">
        <v>46234</v>
      </c>
      <c r="D2389">
        <v>0</v>
      </c>
    </row>
    <row r="2390" spans="1:4" x14ac:dyDescent="0.3">
      <c r="A2390" t="s">
        <v>196</v>
      </c>
      <c r="C2390" s="16">
        <v>46234</v>
      </c>
      <c r="D2390">
        <v>0</v>
      </c>
    </row>
    <row r="2391" spans="1:4" x14ac:dyDescent="0.3">
      <c r="A2391" t="s">
        <v>197</v>
      </c>
      <c r="C2391" s="16">
        <v>46234</v>
      </c>
      <c r="D2391">
        <v>0</v>
      </c>
    </row>
    <row r="2392" spans="1:4" x14ac:dyDescent="0.3">
      <c r="A2392" t="s">
        <v>214</v>
      </c>
      <c r="C2392" s="16">
        <v>46234</v>
      </c>
      <c r="D2392">
        <v>0</v>
      </c>
    </row>
    <row r="2393" spans="1:4" x14ac:dyDescent="0.3">
      <c r="A2393" t="s">
        <v>199</v>
      </c>
      <c r="C2393" s="16">
        <v>46234</v>
      </c>
      <c r="D2393">
        <v>0</v>
      </c>
    </row>
    <row r="2394" spans="1:4" x14ac:dyDescent="0.3">
      <c r="A2394" t="s">
        <v>17</v>
      </c>
      <c r="C2394" s="16">
        <v>46235</v>
      </c>
      <c r="D2394">
        <v>2468032.08</v>
      </c>
    </row>
    <row r="2395" spans="1:4" x14ac:dyDescent="0.3">
      <c r="A2395" t="s">
        <v>18</v>
      </c>
      <c r="C2395" s="16">
        <v>46235</v>
      </c>
      <c r="D2395">
        <v>83211.250000000175</v>
      </c>
    </row>
    <row r="2396" spans="1:4" x14ac:dyDescent="0.3">
      <c r="A2396" t="s">
        <v>19</v>
      </c>
      <c r="C2396" s="16">
        <v>46235</v>
      </c>
      <c r="D2396">
        <v>1669.89</v>
      </c>
    </row>
    <row r="2397" spans="1:4" x14ac:dyDescent="0.3">
      <c r="A2397" t="s">
        <v>20</v>
      </c>
      <c r="C2397" s="16">
        <v>46235</v>
      </c>
      <c r="D2397">
        <v>1458426.0399999998</v>
      </c>
    </row>
    <row r="2398" spans="1:4" x14ac:dyDescent="0.3">
      <c r="A2398" t="s">
        <v>21</v>
      </c>
      <c r="C2398" s="16">
        <v>46235</v>
      </c>
      <c r="D2398">
        <v>1514477.1199999996</v>
      </c>
    </row>
    <row r="2399" spans="1:4" x14ac:dyDescent="0.3">
      <c r="A2399" t="s">
        <v>22</v>
      </c>
      <c r="C2399" s="16">
        <v>46235</v>
      </c>
      <c r="D2399">
        <v>190496.38</v>
      </c>
    </row>
    <row r="2400" spans="1:4" x14ac:dyDescent="0.3">
      <c r="A2400" t="s">
        <v>23</v>
      </c>
      <c r="C2400" s="16">
        <v>46235</v>
      </c>
      <c r="D2400">
        <v>207605.45</v>
      </c>
    </row>
    <row r="2401" spans="1:4" x14ac:dyDescent="0.3">
      <c r="A2401" t="s">
        <v>24</v>
      </c>
      <c r="C2401" s="16">
        <v>46235</v>
      </c>
      <c r="D2401">
        <v>14580.45</v>
      </c>
    </row>
    <row r="2402" spans="1:4" x14ac:dyDescent="0.3">
      <c r="A2402" t="s">
        <v>25</v>
      </c>
      <c r="C2402" s="16">
        <v>46235</v>
      </c>
      <c r="D2402">
        <v>54.400000000000006</v>
      </c>
    </row>
    <row r="2403" spans="1:4" x14ac:dyDescent="0.3">
      <c r="A2403" t="s">
        <v>26</v>
      </c>
      <c r="C2403" s="16">
        <v>46235</v>
      </c>
      <c r="D2403">
        <v>2207.8200000000002</v>
      </c>
    </row>
    <row r="2404" spans="1:4" x14ac:dyDescent="0.3">
      <c r="A2404" t="s">
        <v>27</v>
      </c>
      <c r="C2404" s="16">
        <v>46235</v>
      </c>
      <c r="D2404">
        <v>1454589.72</v>
      </c>
    </row>
    <row r="2405" spans="1:4" x14ac:dyDescent="0.3">
      <c r="A2405" t="s">
        <v>28</v>
      </c>
      <c r="C2405" s="16">
        <v>46235</v>
      </c>
      <c r="D2405">
        <v>1968.99</v>
      </c>
    </row>
    <row r="2406" spans="1:4" x14ac:dyDescent="0.3">
      <c r="A2406" t="s">
        <v>29</v>
      </c>
      <c r="C2406" s="16">
        <v>46235</v>
      </c>
      <c r="D2406">
        <v>901.34</v>
      </c>
    </row>
    <row r="2407" spans="1:4" x14ac:dyDescent="0.3">
      <c r="A2407" t="s">
        <v>30</v>
      </c>
      <c r="C2407" s="16">
        <v>46235</v>
      </c>
      <c r="D2407">
        <v>1412.08</v>
      </c>
    </row>
    <row r="2408" spans="1:4" x14ac:dyDescent="0.3">
      <c r="A2408" t="s">
        <v>31</v>
      </c>
      <c r="C2408" s="16">
        <v>46235</v>
      </c>
      <c r="D2408">
        <v>22347.56999999996</v>
      </c>
    </row>
    <row r="2409" spans="1:4" x14ac:dyDescent="0.3">
      <c r="A2409" t="s">
        <v>32</v>
      </c>
      <c r="C2409" s="16">
        <v>46235</v>
      </c>
      <c r="D2409">
        <v>18522.800000000003</v>
      </c>
    </row>
    <row r="2410" spans="1:4" x14ac:dyDescent="0.3">
      <c r="A2410" t="s">
        <v>33</v>
      </c>
      <c r="C2410" s="16">
        <v>46235</v>
      </c>
      <c r="D2410">
        <v>28485.559999999998</v>
      </c>
    </row>
    <row r="2411" spans="1:4" x14ac:dyDescent="0.3">
      <c r="A2411" t="s">
        <v>34</v>
      </c>
      <c r="C2411" s="16">
        <v>46235</v>
      </c>
      <c r="D2411">
        <v>345</v>
      </c>
    </row>
    <row r="2412" spans="1:4" x14ac:dyDescent="0.3">
      <c r="A2412" t="s">
        <v>35</v>
      </c>
      <c r="C2412" s="16">
        <v>46235</v>
      </c>
      <c r="D2412">
        <v>11634.930000000004</v>
      </c>
    </row>
    <row r="2413" spans="1:4" x14ac:dyDescent="0.3">
      <c r="A2413" t="s">
        <v>193</v>
      </c>
      <c r="C2413" s="16">
        <v>46235</v>
      </c>
      <c r="D2413">
        <v>0</v>
      </c>
    </row>
    <row r="2414" spans="1:4" x14ac:dyDescent="0.3">
      <c r="A2414" t="s">
        <v>194</v>
      </c>
      <c r="C2414" s="16">
        <v>46235</v>
      </c>
      <c r="D2414">
        <v>0</v>
      </c>
    </row>
    <row r="2415" spans="1:4" x14ac:dyDescent="0.3">
      <c r="A2415" t="s">
        <v>195</v>
      </c>
      <c r="C2415" s="16">
        <v>46235</v>
      </c>
      <c r="D2415">
        <v>0</v>
      </c>
    </row>
    <row r="2416" spans="1:4" x14ac:dyDescent="0.3">
      <c r="A2416" t="s">
        <v>196</v>
      </c>
      <c r="C2416" s="16">
        <v>46235</v>
      </c>
      <c r="D2416">
        <v>0</v>
      </c>
    </row>
    <row r="2417" spans="1:4" x14ac:dyDescent="0.3">
      <c r="A2417" t="s">
        <v>197</v>
      </c>
      <c r="C2417" s="16">
        <v>46235</v>
      </c>
      <c r="D2417">
        <v>0</v>
      </c>
    </row>
    <row r="2418" spans="1:4" x14ac:dyDescent="0.3">
      <c r="A2418" t="s">
        <v>214</v>
      </c>
      <c r="C2418" s="16">
        <v>46235</v>
      </c>
      <c r="D2418">
        <v>0</v>
      </c>
    </row>
    <row r="2419" spans="1:4" x14ac:dyDescent="0.3">
      <c r="A2419" t="s">
        <v>199</v>
      </c>
      <c r="C2419" s="16">
        <v>46235</v>
      </c>
      <c r="D2419">
        <v>0</v>
      </c>
    </row>
    <row r="2420" spans="1:4" x14ac:dyDescent="0.3">
      <c r="A2420" t="s">
        <v>17</v>
      </c>
      <c r="C2420" s="16">
        <v>46236</v>
      </c>
      <c r="D2420">
        <v>2468032.08</v>
      </c>
    </row>
    <row r="2421" spans="1:4" x14ac:dyDescent="0.3">
      <c r="A2421" t="s">
        <v>18</v>
      </c>
      <c r="C2421" s="16">
        <v>46236</v>
      </c>
      <c r="D2421">
        <v>83211.250000000175</v>
      </c>
    </row>
    <row r="2422" spans="1:4" x14ac:dyDescent="0.3">
      <c r="A2422" t="s">
        <v>19</v>
      </c>
      <c r="C2422" s="16">
        <v>46236</v>
      </c>
      <c r="D2422">
        <v>1669.89</v>
      </c>
    </row>
    <row r="2423" spans="1:4" x14ac:dyDescent="0.3">
      <c r="A2423" t="s">
        <v>20</v>
      </c>
      <c r="C2423" s="16">
        <v>46236</v>
      </c>
      <c r="D2423">
        <v>1458426.0399999998</v>
      </c>
    </row>
    <row r="2424" spans="1:4" x14ac:dyDescent="0.3">
      <c r="A2424" t="s">
        <v>21</v>
      </c>
      <c r="C2424" s="16">
        <v>46236</v>
      </c>
      <c r="D2424">
        <v>1514477.1199999996</v>
      </c>
    </row>
    <row r="2425" spans="1:4" x14ac:dyDescent="0.3">
      <c r="A2425" t="s">
        <v>22</v>
      </c>
      <c r="C2425" s="16">
        <v>46236</v>
      </c>
      <c r="D2425">
        <v>190496.38</v>
      </c>
    </row>
    <row r="2426" spans="1:4" x14ac:dyDescent="0.3">
      <c r="A2426" t="s">
        <v>23</v>
      </c>
      <c r="C2426" s="16">
        <v>46236</v>
      </c>
      <c r="D2426">
        <v>207605.45</v>
      </c>
    </row>
    <row r="2427" spans="1:4" x14ac:dyDescent="0.3">
      <c r="A2427" t="s">
        <v>24</v>
      </c>
      <c r="C2427" s="16">
        <v>46236</v>
      </c>
      <c r="D2427">
        <v>14580.45</v>
      </c>
    </row>
    <row r="2428" spans="1:4" x14ac:dyDescent="0.3">
      <c r="A2428" t="s">
        <v>25</v>
      </c>
      <c r="C2428" s="16">
        <v>46236</v>
      </c>
      <c r="D2428">
        <v>54.400000000000006</v>
      </c>
    </row>
    <row r="2429" spans="1:4" x14ac:dyDescent="0.3">
      <c r="A2429" t="s">
        <v>26</v>
      </c>
      <c r="C2429" s="16">
        <v>46236</v>
      </c>
      <c r="D2429">
        <v>2207.8200000000002</v>
      </c>
    </row>
    <row r="2430" spans="1:4" x14ac:dyDescent="0.3">
      <c r="A2430" t="s">
        <v>27</v>
      </c>
      <c r="C2430" s="16">
        <v>46236</v>
      </c>
      <c r="D2430">
        <v>1454589.72</v>
      </c>
    </row>
    <row r="2431" spans="1:4" x14ac:dyDescent="0.3">
      <c r="A2431" t="s">
        <v>28</v>
      </c>
      <c r="C2431" s="16">
        <v>46236</v>
      </c>
      <c r="D2431">
        <v>1968.99</v>
      </c>
    </row>
    <row r="2432" spans="1:4" x14ac:dyDescent="0.3">
      <c r="A2432" t="s">
        <v>29</v>
      </c>
      <c r="C2432" s="16">
        <v>46236</v>
      </c>
      <c r="D2432">
        <v>901.34</v>
      </c>
    </row>
    <row r="2433" spans="1:4" x14ac:dyDescent="0.3">
      <c r="A2433" t="s">
        <v>30</v>
      </c>
      <c r="C2433" s="16">
        <v>46236</v>
      </c>
      <c r="D2433">
        <v>1412.08</v>
      </c>
    </row>
    <row r="2434" spans="1:4" x14ac:dyDescent="0.3">
      <c r="A2434" t="s">
        <v>31</v>
      </c>
      <c r="C2434" s="16">
        <v>46236</v>
      </c>
      <c r="D2434">
        <v>22347.56999999996</v>
      </c>
    </row>
    <row r="2435" spans="1:4" x14ac:dyDescent="0.3">
      <c r="A2435" t="s">
        <v>32</v>
      </c>
      <c r="C2435" s="16">
        <v>46236</v>
      </c>
      <c r="D2435">
        <v>18522.800000000003</v>
      </c>
    </row>
    <row r="2436" spans="1:4" x14ac:dyDescent="0.3">
      <c r="A2436" t="s">
        <v>33</v>
      </c>
      <c r="C2436" s="16">
        <v>46236</v>
      </c>
      <c r="D2436">
        <v>28485.559999999998</v>
      </c>
    </row>
    <row r="2437" spans="1:4" x14ac:dyDescent="0.3">
      <c r="A2437" t="s">
        <v>34</v>
      </c>
      <c r="C2437" s="16">
        <v>46236</v>
      </c>
      <c r="D2437">
        <v>345</v>
      </c>
    </row>
    <row r="2438" spans="1:4" x14ac:dyDescent="0.3">
      <c r="A2438" t="s">
        <v>35</v>
      </c>
      <c r="C2438" s="16">
        <v>46236</v>
      </c>
      <c r="D2438">
        <v>11634.930000000004</v>
      </c>
    </row>
    <row r="2439" spans="1:4" x14ac:dyDescent="0.3">
      <c r="A2439" t="s">
        <v>193</v>
      </c>
      <c r="C2439" s="16">
        <v>46236</v>
      </c>
      <c r="D2439">
        <v>0</v>
      </c>
    </row>
    <row r="2440" spans="1:4" x14ac:dyDescent="0.3">
      <c r="A2440" t="s">
        <v>194</v>
      </c>
      <c r="C2440" s="16">
        <v>46236</v>
      </c>
      <c r="D2440">
        <v>0</v>
      </c>
    </row>
    <row r="2441" spans="1:4" x14ac:dyDescent="0.3">
      <c r="A2441" t="s">
        <v>195</v>
      </c>
      <c r="C2441" s="16">
        <v>46236</v>
      </c>
      <c r="D2441">
        <v>0</v>
      </c>
    </row>
    <row r="2442" spans="1:4" x14ac:dyDescent="0.3">
      <c r="A2442" t="s">
        <v>196</v>
      </c>
      <c r="C2442" s="16">
        <v>46236</v>
      </c>
      <c r="D2442">
        <v>0</v>
      </c>
    </row>
    <row r="2443" spans="1:4" x14ac:dyDescent="0.3">
      <c r="A2443" t="s">
        <v>197</v>
      </c>
      <c r="C2443" s="16">
        <v>46236</v>
      </c>
      <c r="D2443">
        <v>0</v>
      </c>
    </row>
    <row r="2444" spans="1:4" x14ac:dyDescent="0.3">
      <c r="A2444" t="s">
        <v>214</v>
      </c>
      <c r="C2444" s="16">
        <v>46236</v>
      </c>
      <c r="D2444">
        <v>0</v>
      </c>
    </row>
    <row r="2445" spans="1:4" x14ac:dyDescent="0.3">
      <c r="A2445" t="s">
        <v>199</v>
      </c>
      <c r="C2445" s="16">
        <v>46236</v>
      </c>
      <c r="D2445">
        <v>0</v>
      </c>
    </row>
    <row r="2446" spans="1:4" x14ac:dyDescent="0.3">
      <c r="A2446" t="s">
        <v>17</v>
      </c>
      <c r="C2446" s="16">
        <v>46237</v>
      </c>
      <c r="D2446">
        <v>2468032.08</v>
      </c>
    </row>
    <row r="2447" spans="1:4" x14ac:dyDescent="0.3">
      <c r="A2447" t="s">
        <v>18</v>
      </c>
      <c r="C2447" s="16">
        <v>46237</v>
      </c>
      <c r="D2447">
        <v>83211.250000000175</v>
      </c>
    </row>
    <row r="2448" spans="1:4" x14ac:dyDescent="0.3">
      <c r="A2448" t="s">
        <v>19</v>
      </c>
      <c r="C2448" s="16">
        <v>46237</v>
      </c>
      <c r="D2448">
        <v>1669.89</v>
      </c>
    </row>
    <row r="2449" spans="1:4" x14ac:dyDescent="0.3">
      <c r="A2449" t="s">
        <v>20</v>
      </c>
      <c r="C2449" s="16">
        <v>46237</v>
      </c>
      <c r="D2449">
        <v>1458426.0399999998</v>
      </c>
    </row>
    <row r="2450" spans="1:4" x14ac:dyDescent="0.3">
      <c r="A2450" t="s">
        <v>21</v>
      </c>
      <c r="C2450" s="16">
        <v>46237</v>
      </c>
      <c r="D2450">
        <v>1514477.1199999996</v>
      </c>
    </row>
    <row r="2451" spans="1:4" x14ac:dyDescent="0.3">
      <c r="A2451" t="s">
        <v>22</v>
      </c>
      <c r="C2451" s="16">
        <v>46237</v>
      </c>
      <c r="D2451">
        <v>190496.38</v>
      </c>
    </row>
    <row r="2452" spans="1:4" x14ac:dyDescent="0.3">
      <c r="A2452" t="s">
        <v>23</v>
      </c>
      <c r="C2452" s="16">
        <v>46237</v>
      </c>
      <c r="D2452">
        <v>207605.45</v>
      </c>
    </row>
    <row r="2453" spans="1:4" x14ac:dyDescent="0.3">
      <c r="A2453" t="s">
        <v>24</v>
      </c>
      <c r="C2453" s="16">
        <v>46237</v>
      </c>
      <c r="D2453">
        <v>14580.45</v>
      </c>
    </row>
    <row r="2454" spans="1:4" x14ac:dyDescent="0.3">
      <c r="A2454" t="s">
        <v>25</v>
      </c>
      <c r="C2454" s="16">
        <v>46237</v>
      </c>
      <c r="D2454">
        <v>24.450000000000003</v>
      </c>
    </row>
    <row r="2455" spans="1:4" x14ac:dyDescent="0.3">
      <c r="A2455" t="s">
        <v>26</v>
      </c>
      <c r="C2455" s="16">
        <v>46237</v>
      </c>
      <c r="D2455">
        <v>2177.87</v>
      </c>
    </row>
    <row r="2456" spans="1:4" x14ac:dyDescent="0.3">
      <c r="A2456" t="s">
        <v>27</v>
      </c>
      <c r="C2456" s="16">
        <v>46237</v>
      </c>
      <c r="D2456">
        <v>1454589.72</v>
      </c>
    </row>
    <row r="2457" spans="1:4" x14ac:dyDescent="0.3">
      <c r="A2457" t="s">
        <v>28</v>
      </c>
      <c r="C2457" s="16">
        <v>46237</v>
      </c>
      <c r="D2457">
        <v>1968.99</v>
      </c>
    </row>
    <row r="2458" spans="1:4" x14ac:dyDescent="0.3">
      <c r="A2458" t="s">
        <v>29</v>
      </c>
      <c r="C2458" s="16">
        <v>46237</v>
      </c>
      <c r="D2458">
        <v>901.34</v>
      </c>
    </row>
    <row r="2459" spans="1:4" x14ac:dyDescent="0.3">
      <c r="A2459" t="s">
        <v>30</v>
      </c>
      <c r="C2459" s="16">
        <v>46237</v>
      </c>
      <c r="D2459">
        <v>1396.08</v>
      </c>
    </row>
    <row r="2460" spans="1:4" x14ac:dyDescent="0.3">
      <c r="A2460" t="s">
        <v>31</v>
      </c>
      <c r="C2460" s="16">
        <v>46237</v>
      </c>
      <c r="D2460">
        <v>13804.239999999962</v>
      </c>
    </row>
    <row r="2461" spans="1:4" x14ac:dyDescent="0.3">
      <c r="A2461" t="s">
        <v>32</v>
      </c>
      <c r="C2461" s="16">
        <v>46237</v>
      </c>
      <c r="D2461">
        <v>8724.1700000000037</v>
      </c>
    </row>
    <row r="2462" spans="1:4" x14ac:dyDescent="0.3">
      <c r="A2462" t="s">
        <v>33</v>
      </c>
      <c r="C2462" s="16">
        <v>46237</v>
      </c>
      <c r="D2462">
        <v>15106.099999999997</v>
      </c>
    </row>
    <row r="2463" spans="1:4" x14ac:dyDescent="0.3">
      <c r="A2463" t="s">
        <v>34</v>
      </c>
      <c r="C2463" s="16">
        <v>46237</v>
      </c>
      <c r="D2463">
        <v>345</v>
      </c>
    </row>
    <row r="2464" spans="1:4" x14ac:dyDescent="0.3">
      <c r="A2464" t="s">
        <v>35</v>
      </c>
      <c r="C2464" s="16">
        <v>46237</v>
      </c>
      <c r="D2464">
        <v>8270.3500000000022</v>
      </c>
    </row>
    <row r="2465" spans="1:4" x14ac:dyDescent="0.3">
      <c r="A2465" t="s">
        <v>193</v>
      </c>
      <c r="C2465" s="16">
        <v>46237</v>
      </c>
      <c r="D2465">
        <v>0</v>
      </c>
    </row>
    <row r="2466" spans="1:4" x14ac:dyDescent="0.3">
      <c r="A2466" t="s">
        <v>194</v>
      </c>
      <c r="C2466" s="16">
        <v>46237</v>
      </c>
      <c r="D2466">
        <v>0</v>
      </c>
    </row>
    <row r="2467" spans="1:4" x14ac:dyDescent="0.3">
      <c r="A2467" t="s">
        <v>195</v>
      </c>
      <c r="C2467" s="16">
        <v>46237</v>
      </c>
      <c r="D2467">
        <v>0</v>
      </c>
    </row>
    <row r="2468" spans="1:4" x14ac:dyDescent="0.3">
      <c r="A2468" t="s">
        <v>196</v>
      </c>
      <c r="C2468" s="16">
        <v>46237</v>
      </c>
      <c r="D2468">
        <v>0</v>
      </c>
    </row>
    <row r="2469" spans="1:4" x14ac:dyDescent="0.3">
      <c r="A2469" t="s">
        <v>197</v>
      </c>
      <c r="C2469" s="16">
        <v>46237</v>
      </c>
      <c r="D2469">
        <v>0</v>
      </c>
    </row>
    <row r="2470" spans="1:4" x14ac:dyDescent="0.3">
      <c r="A2470" t="s">
        <v>214</v>
      </c>
      <c r="C2470" s="16">
        <v>46237</v>
      </c>
      <c r="D2470">
        <v>0</v>
      </c>
    </row>
    <row r="2471" spans="1:4" x14ac:dyDescent="0.3">
      <c r="A2471" t="s">
        <v>199</v>
      </c>
      <c r="C2471" s="16">
        <v>46237</v>
      </c>
      <c r="D2471">
        <v>0</v>
      </c>
    </row>
    <row r="2472" spans="1:4" x14ac:dyDescent="0.3">
      <c r="A2472" t="s">
        <v>17</v>
      </c>
      <c r="C2472" s="16">
        <v>46238</v>
      </c>
      <c r="D2472">
        <v>2468032.08</v>
      </c>
    </row>
    <row r="2473" spans="1:4" x14ac:dyDescent="0.3">
      <c r="A2473" t="s">
        <v>18</v>
      </c>
      <c r="C2473" s="16">
        <v>46238</v>
      </c>
      <c r="D2473">
        <v>83211.250000000175</v>
      </c>
    </row>
    <row r="2474" spans="1:4" x14ac:dyDescent="0.3">
      <c r="A2474" t="s">
        <v>19</v>
      </c>
      <c r="C2474" s="16">
        <v>46238</v>
      </c>
      <c r="D2474">
        <v>1669.89</v>
      </c>
    </row>
    <row r="2475" spans="1:4" x14ac:dyDescent="0.3">
      <c r="A2475" t="s">
        <v>20</v>
      </c>
      <c r="C2475" s="16">
        <v>46238</v>
      </c>
      <c r="D2475">
        <v>1458426.0399999998</v>
      </c>
    </row>
    <row r="2476" spans="1:4" x14ac:dyDescent="0.3">
      <c r="A2476" t="s">
        <v>21</v>
      </c>
      <c r="C2476" s="16">
        <v>46238</v>
      </c>
      <c r="D2476">
        <v>1513867.4199999995</v>
      </c>
    </row>
    <row r="2477" spans="1:4" x14ac:dyDescent="0.3">
      <c r="A2477" t="s">
        <v>22</v>
      </c>
      <c r="C2477" s="16">
        <v>46238</v>
      </c>
      <c r="D2477">
        <v>184496.38</v>
      </c>
    </row>
    <row r="2478" spans="1:4" x14ac:dyDescent="0.3">
      <c r="A2478" t="s">
        <v>23</v>
      </c>
      <c r="C2478" s="16">
        <v>46238</v>
      </c>
      <c r="D2478">
        <v>207605.45</v>
      </c>
    </row>
    <row r="2479" spans="1:4" x14ac:dyDescent="0.3">
      <c r="A2479" t="s">
        <v>24</v>
      </c>
      <c r="C2479" s="16">
        <v>46238</v>
      </c>
      <c r="D2479">
        <v>14580.45</v>
      </c>
    </row>
    <row r="2480" spans="1:4" x14ac:dyDescent="0.3">
      <c r="A2480" t="s">
        <v>25</v>
      </c>
      <c r="C2480" s="16">
        <v>46238</v>
      </c>
      <c r="D2480">
        <v>24.450000000000003</v>
      </c>
    </row>
    <row r="2481" spans="1:4" x14ac:dyDescent="0.3">
      <c r="A2481" t="s">
        <v>26</v>
      </c>
      <c r="C2481" s="16">
        <v>46238</v>
      </c>
      <c r="D2481">
        <v>2177.87</v>
      </c>
    </row>
    <row r="2482" spans="1:4" x14ac:dyDescent="0.3">
      <c r="A2482" t="s">
        <v>27</v>
      </c>
      <c r="C2482" s="16">
        <v>46238</v>
      </c>
      <c r="D2482">
        <v>1454589.72</v>
      </c>
    </row>
    <row r="2483" spans="1:4" x14ac:dyDescent="0.3">
      <c r="A2483" t="s">
        <v>28</v>
      </c>
      <c r="C2483" s="16">
        <v>46238</v>
      </c>
      <c r="D2483">
        <v>1968.99</v>
      </c>
    </row>
    <row r="2484" spans="1:4" x14ac:dyDescent="0.3">
      <c r="A2484" t="s">
        <v>29</v>
      </c>
      <c r="C2484" s="16">
        <v>46238</v>
      </c>
      <c r="D2484">
        <v>901.34</v>
      </c>
    </row>
    <row r="2485" spans="1:4" x14ac:dyDescent="0.3">
      <c r="A2485" t="s">
        <v>30</v>
      </c>
      <c r="C2485" s="16">
        <v>46238</v>
      </c>
      <c r="D2485">
        <v>1396.08</v>
      </c>
    </row>
    <row r="2486" spans="1:4" x14ac:dyDescent="0.3">
      <c r="A2486" t="s">
        <v>31</v>
      </c>
      <c r="C2486" s="16">
        <v>46238</v>
      </c>
      <c r="D2486">
        <v>13804.239999999962</v>
      </c>
    </row>
    <row r="2487" spans="1:4" x14ac:dyDescent="0.3">
      <c r="A2487" t="s">
        <v>32</v>
      </c>
      <c r="C2487" s="16">
        <v>46238</v>
      </c>
      <c r="D2487">
        <v>8724.1700000000037</v>
      </c>
    </row>
    <row r="2488" spans="1:4" x14ac:dyDescent="0.3">
      <c r="A2488" t="s">
        <v>33</v>
      </c>
      <c r="C2488" s="16">
        <v>46238</v>
      </c>
      <c r="D2488">
        <v>15106.099999999997</v>
      </c>
    </row>
    <row r="2489" spans="1:4" x14ac:dyDescent="0.3">
      <c r="A2489" t="s">
        <v>34</v>
      </c>
      <c r="C2489" s="16">
        <v>46238</v>
      </c>
      <c r="D2489">
        <v>345</v>
      </c>
    </row>
    <row r="2490" spans="1:4" x14ac:dyDescent="0.3">
      <c r="A2490" t="s">
        <v>35</v>
      </c>
      <c r="C2490" s="16">
        <v>46238</v>
      </c>
      <c r="D2490">
        <v>7879.4200000000019</v>
      </c>
    </row>
    <row r="2491" spans="1:4" x14ac:dyDescent="0.3">
      <c r="A2491" t="s">
        <v>193</v>
      </c>
      <c r="C2491" s="16">
        <v>46238</v>
      </c>
      <c r="D2491">
        <v>0</v>
      </c>
    </row>
    <row r="2492" spans="1:4" x14ac:dyDescent="0.3">
      <c r="A2492" t="s">
        <v>194</v>
      </c>
      <c r="C2492" s="16">
        <v>46238</v>
      </c>
      <c r="D2492">
        <v>0</v>
      </c>
    </row>
    <row r="2493" spans="1:4" x14ac:dyDescent="0.3">
      <c r="A2493" t="s">
        <v>195</v>
      </c>
      <c r="C2493" s="16">
        <v>46238</v>
      </c>
      <c r="D2493">
        <v>0</v>
      </c>
    </row>
    <row r="2494" spans="1:4" x14ac:dyDescent="0.3">
      <c r="A2494" t="s">
        <v>196</v>
      </c>
      <c r="C2494" s="16">
        <v>46238</v>
      </c>
      <c r="D2494">
        <v>0</v>
      </c>
    </row>
    <row r="2495" spans="1:4" x14ac:dyDescent="0.3">
      <c r="A2495" t="s">
        <v>197</v>
      </c>
      <c r="C2495" s="16">
        <v>46238</v>
      </c>
      <c r="D2495">
        <v>0</v>
      </c>
    </row>
    <row r="2496" spans="1:4" x14ac:dyDescent="0.3">
      <c r="A2496" t="s">
        <v>214</v>
      </c>
      <c r="C2496" s="16">
        <v>46238</v>
      </c>
      <c r="D2496">
        <v>0</v>
      </c>
    </row>
    <row r="2497" spans="1:4" x14ac:dyDescent="0.3">
      <c r="A2497" t="s">
        <v>199</v>
      </c>
      <c r="C2497" s="16">
        <v>46238</v>
      </c>
      <c r="D2497">
        <v>0</v>
      </c>
    </row>
    <row r="2498" spans="1:4" x14ac:dyDescent="0.3">
      <c r="A2498" t="s">
        <v>17</v>
      </c>
      <c r="C2498" s="16">
        <v>46239</v>
      </c>
      <c r="D2498">
        <v>2468032.08</v>
      </c>
    </row>
    <row r="2499" spans="1:4" x14ac:dyDescent="0.3">
      <c r="A2499" t="s">
        <v>18</v>
      </c>
      <c r="C2499" s="16">
        <v>46239</v>
      </c>
      <c r="D2499">
        <v>83211.250000000175</v>
      </c>
    </row>
    <row r="2500" spans="1:4" x14ac:dyDescent="0.3">
      <c r="A2500" t="s">
        <v>19</v>
      </c>
      <c r="C2500" s="16">
        <v>46239</v>
      </c>
      <c r="D2500">
        <v>1669.89</v>
      </c>
    </row>
    <row r="2501" spans="1:4" x14ac:dyDescent="0.3">
      <c r="A2501" t="s">
        <v>20</v>
      </c>
      <c r="C2501" s="16">
        <v>46239</v>
      </c>
      <c r="D2501">
        <v>1452426.0399999998</v>
      </c>
    </row>
    <row r="2502" spans="1:4" x14ac:dyDescent="0.3">
      <c r="A2502" t="s">
        <v>21</v>
      </c>
      <c r="C2502" s="16">
        <v>46239</v>
      </c>
      <c r="D2502">
        <v>1512187.6399999997</v>
      </c>
    </row>
    <row r="2503" spans="1:4" x14ac:dyDescent="0.3">
      <c r="A2503" t="s">
        <v>22</v>
      </c>
      <c r="C2503" s="16">
        <v>46239</v>
      </c>
      <c r="D2503">
        <v>184496.38</v>
      </c>
    </row>
    <row r="2504" spans="1:4" x14ac:dyDescent="0.3">
      <c r="A2504" t="s">
        <v>23</v>
      </c>
      <c r="C2504" s="16">
        <v>46239</v>
      </c>
      <c r="D2504">
        <v>207605.45</v>
      </c>
    </row>
    <row r="2505" spans="1:4" x14ac:dyDescent="0.3">
      <c r="A2505" t="s">
        <v>24</v>
      </c>
      <c r="C2505" s="16">
        <v>46239</v>
      </c>
      <c r="D2505">
        <v>14540.45</v>
      </c>
    </row>
    <row r="2506" spans="1:4" x14ac:dyDescent="0.3">
      <c r="A2506" t="s">
        <v>25</v>
      </c>
      <c r="C2506" s="16">
        <v>46239</v>
      </c>
      <c r="D2506">
        <v>24.450000000000003</v>
      </c>
    </row>
    <row r="2507" spans="1:4" x14ac:dyDescent="0.3">
      <c r="A2507" t="s">
        <v>26</v>
      </c>
      <c r="C2507" s="16">
        <v>46239</v>
      </c>
      <c r="D2507">
        <v>2177.87</v>
      </c>
    </row>
    <row r="2508" spans="1:4" x14ac:dyDescent="0.3">
      <c r="A2508" t="s">
        <v>27</v>
      </c>
      <c r="C2508" s="16">
        <v>46239</v>
      </c>
      <c r="D2508">
        <v>1454589.72</v>
      </c>
    </row>
    <row r="2509" spans="1:4" x14ac:dyDescent="0.3">
      <c r="A2509" t="s">
        <v>28</v>
      </c>
      <c r="C2509" s="16">
        <v>46239</v>
      </c>
      <c r="D2509">
        <v>1968.99</v>
      </c>
    </row>
    <row r="2510" spans="1:4" x14ac:dyDescent="0.3">
      <c r="A2510" t="s">
        <v>29</v>
      </c>
      <c r="C2510" s="16">
        <v>46239</v>
      </c>
      <c r="D2510">
        <v>901.34</v>
      </c>
    </row>
    <row r="2511" spans="1:4" x14ac:dyDescent="0.3">
      <c r="A2511" t="s">
        <v>30</v>
      </c>
      <c r="C2511" s="16">
        <v>46239</v>
      </c>
      <c r="D2511">
        <v>1396.08</v>
      </c>
    </row>
    <row r="2512" spans="1:4" x14ac:dyDescent="0.3">
      <c r="A2512" t="s">
        <v>31</v>
      </c>
      <c r="C2512" s="16">
        <v>46239</v>
      </c>
      <c r="D2512">
        <v>13804.239999999962</v>
      </c>
    </row>
    <row r="2513" spans="1:4" x14ac:dyDescent="0.3">
      <c r="A2513" t="s">
        <v>32</v>
      </c>
      <c r="C2513" s="16">
        <v>46239</v>
      </c>
      <c r="D2513">
        <v>8724.1700000000037</v>
      </c>
    </row>
    <row r="2514" spans="1:4" x14ac:dyDescent="0.3">
      <c r="A2514" t="s">
        <v>33</v>
      </c>
      <c r="C2514" s="16">
        <v>46239</v>
      </c>
      <c r="D2514">
        <v>15106.099999999997</v>
      </c>
    </row>
    <row r="2515" spans="1:4" x14ac:dyDescent="0.3">
      <c r="A2515" t="s">
        <v>34</v>
      </c>
      <c r="C2515" s="16">
        <v>46239</v>
      </c>
      <c r="D2515">
        <v>345</v>
      </c>
    </row>
    <row r="2516" spans="1:4" x14ac:dyDescent="0.3">
      <c r="A2516" t="s">
        <v>35</v>
      </c>
      <c r="C2516" s="16">
        <v>46239</v>
      </c>
      <c r="D2516">
        <v>7879.4200000000019</v>
      </c>
    </row>
    <row r="2517" spans="1:4" x14ac:dyDescent="0.3">
      <c r="A2517" t="s">
        <v>193</v>
      </c>
      <c r="C2517" s="16">
        <v>46239</v>
      </c>
      <c r="D2517">
        <v>0</v>
      </c>
    </row>
    <row r="2518" spans="1:4" x14ac:dyDescent="0.3">
      <c r="A2518" t="s">
        <v>194</v>
      </c>
      <c r="C2518" s="16">
        <v>46239</v>
      </c>
      <c r="D2518">
        <v>0</v>
      </c>
    </row>
    <row r="2519" spans="1:4" x14ac:dyDescent="0.3">
      <c r="A2519" t="s">
        <v>195</v>
      </c>
      <c r="C2519" s="16">
        <v>46239</v>
      </c>
      <c r="D2519">
        <v>0</v>
      </c>
    </row>
    <row r="2520" spans="1:4" x14ac:dyDescent="0.3">
      <c r="A2520" t="s">
        <v>196</v>
      </c>
      <c r="C2520" s="16">
        <v>46239</v>
      </c>
      <c r="D2520">
        <v>0</v>
      </c>
    </row>
    <row r="2521" spans="1:4" x14ac:dyDescent="0.3">
      <c r="A2521" t="s">
        <v>197</v>
      </c>
      <c r="C2521" s="16">
        <v>46239</v>
      </c>
      <c r="D2521">
        <v>0</v>
      </c>
    </row>
    <row r="2522" spans="1:4" x14ac:dyDescent="0.3">
      <c r="A2522" t="s">
        <v>214</v>
      </c>
      <c r="C2522" s="16">
        <v>46239</v>
      </c>
      <c r="D2522">
        <v>0</v>
      </c>
    </row>
    <row r="2523" spans="1:4" x14ac:dyDescent="0.3">
      <c r="A2523" t="s">
        <v>199</v>
      </c>
      <c r="C2523" s="16">
        <v>46239</v>
      </c>
      <c r="D2523">
        <v>0</v>
      </c>
    </row>
    <row r="2524" spans="1:4" x14ac:dyDescent="0.3">
      <c r="A2524" t="s">
        <v>17</v>
      </c>
      <c r="C2524" s="16">
        <v>46240</v>
      </c>
      <c r="D2524">
        <v>1153390.4100000001</v>
      </c>
    </row>
    <row r="2525" spans="1:4" x14ac:dyDescent="0.3">
      <c r="A2525" t="s">
        <v>18</v>
      </c>
      <c r="C2525" s="16">
        <v>46240</v>
      </c>
      <c r="D2525">
        <v>83211.250000000175</v>
      </c>
    </row>
    <row r="2526" spans="1:4" x14ac:dyDescent="0.3">
      <c r="A2526" t="s">
        <v>19</v>
      </c>
      <c r="C2526" s="16">
        <v>46240</v>
      </c>
      <c r="D2526">
        <v>1669.89</v>
      </c>
    </row>
    <row r="2527" spans="1:4" x14ac:dyDescent="0.3">
      <c r="A2527" t="s">
        <v>20</v>
      </c>
      <c r="C2527" s="16">
        <v>46240</v>
      </c>
      <c r="D2527">
        <v>1349451.94</v>
      </c>
    </row>
    <row r="2528" spans="1:4" x14ac:dyDescent="0.3">
      <c r="A2528" t="s">
        <v>21</v>
      </c>
      <c r="C2528" s="16">
        <v>46240</v>
      </c>
      <c r="D2528">
        <v>2102073.7899999996</v>
      </c>
    </row>
    <row r="2529" spans="1:4" x14ac:dyDescent="0.3">
      <c r="A2529" t="s">
        <v>22</v>
      </c>
      <c r="C2529" s="16">
        <v>46240</v>
      </c>
      <c r="D2529">
        <v>171496.38</v>
      </c>
    </row>
    <row r="2530" spans="1:4" x14ac:dyDescent="0.3">
      <c r="A2530" t="s">
        <v>23</v>
      </c>
      <c r="C2530" s="16">
        <v>46240</v>
      </c>
      <c r="D2530">
        <v>207582.47</v>
      </c>
    </row>
    <row r="2531" spans="1:4" x14ac:dyDescent="0.3">
      <c r="A2531" t="s">
        <v>24</v>
      </c>
      <c r="C2531" s="16">
        <v>46240</v>
      </c>
      <c r="D2531">
        <v>13270.02</v>
      </c>
    </row>
    <row r="2532" spans="1:4" x14ac:dyDescent="0.3">
      <c r="A2532" t="s">
        <v>25</v>
      </c>
      <c r="C2532" s="16">
        <v>46240</v>
      </c>
      <c r="D2532">
        <v>24.450000000000003</v>
      </c>
    </row>
    <row r="2533" spans="1:4" x14ac:dyDescent="0.3">
      <c r="A2533" t="s">
        <v>26</v>
      </c>
      <c r="C2533" s="16">
        <v>46240</v>
      </c>
      <c r="D2533">
        <v>2177.87</v>
      </c>
    </row>
    <row r="2534" spans="1:4" x14ac:dyDescent="0.3">
      <c r="A2534" t="s">
        <v>27</v>
      </c>
      <c r="C2534" s="16">
        <v>46240</v>
      </c>
      <c r="D2534">
        <v>1454589.72</v>
      </c>
    </row>
    <row r="2535" spans="1:4" x14ac:dyDescent="0.3">
      <c r="A2535" t="s">
        <v>28</v>
      </c>
      <c r="C2535" s="16">
        <v>46240</v>
      </c>
      <c r="D2535">
        <v>1968.99</v>
      </c>
    </row>
    <row r="2536" spans="1:4" x14ac:dyDescent="0.3">
      <c r="A2536" t="s">
        <v>29</v>
      </c>
      <c r="C2536" s="16">
        <v>46240</v>
      </c>
      <c r="D2536">
        <v>901.34</v>
      </c>
    </row>
    <row r="2537" spans="1:4" x14ac:dyDescent="0.3">
      <c r="A2537" t="s">
        <v>30</v>
      </c>
      <c r="C2537" s="16">
        <v>46240</v>
      </c>
      <c r="D2537">
        <v>1396.08</v>
      </c>
    </row>
    <row r="2538" spans="1:4" x14ac:dyDescent="0.3">
      <c r="A2538" t="s">
        <v>31</v>
      </c>
      <c r="C2538" s="16">
        <v>46240</v>
      </c>
      <c r="D2538">
        <v>13804.239999999962</v>
      </c>
    </row>
    <row r="2539" spans="1:4" x14ac:dyDescent="0.3">
      <c r="A2539" t="s">
        <v>32</v>
      </c>
      <c r="C2539" s="16">
        <v>46240</v>
      </c>
      <c r="D2539">
        <v>8724.1700000000037</v>
      </c>
    </row>
    <row r="2540" spans="1:4" x14ac:dyDescent="0.3">
      <c r="A2540" t="s">
        <v>33</v>
      </c>
      <c r="C2540" s="16">
        <v>46240</v>
      </c>
      <c r="D2540">
        <v>15106.099999999997</v>
      </c>
    </row>
    <row r="2541" spans="1:4" x14ac:dyDescent="0.3">
      <c r="A2541" t="s">
        <v>34</v>
      </c>
      <c r="C2541" s="16">
        <v>46240</v>
      </c>
      <c r="D2541">
        <v>345</v>
      </c>
    </row>
    <row r="2542" spans="1:4" x14ac:dyDescent="0.3">
      <c r="A2542" t="s">
        <v>35</v>
      </c>
      <c r="C2542" s="16">
        <v>46240</v>
      </c>
      <c r="D2542">
        <v>12470.040000000003</v>
      </c>
    </row>
    <row r="2543" spans="1:4" x14ac:dyDescent="0.3">
      <c r="A2543" t="s">
        <v>193</v>
      </c>
      <c r="C2543" s="16">
        <v>46240</v>
      </c>
      <c r="D2543">
        <v>0</v>
      </c>
    </row>
    <row r="2544" spans="1:4" x14ac:dyDescent="0.3">
      <c r="A2544" t="s">
        <v>194</v>
      </c>
      <c r="C2544" s="16">
        <v>46240</v>
      </c>
      <c r="D2544">
        <v>0</v>
      </c>
    </row>
    <row r="2545" spans="1:4" x14ac:dyDescent="0.3">
      <c r="A2545" t="s">
        <v>195</v>
      </c>
      <c r="C2545" s="16">
        <v>46240</v>
      </c>
      <c r="D2545">
        <v>0</v>
      </c>
    </row>
    <row r="2546" spans="1:4" x14ac:dyDescent="0.3">
      <c r="A2546" t="s">
        <v>196</v>
      </c>
      <c r="C2546" s="16">
        <v>46240</v>
      </c>
      <c r="D2546">
        <v>0</v>
      </c>
    </row>
    <row r="2547" spans="1:4" x14ac:dyDescent="0.3">
      <c r="A2547" t="s">
        <v>197</v>
      </c>
      <c r="C2547" s="16">
        <v>46240</v>
      </c>
      <c r="D2547">
        <v>0</v>
      </c>
    </row>
    <row r="2548" spans="1:4" x14ac:dyDescent="0.3">
      <c r="A2548" t="s">
        <v>214</v>
      </c>
      <c r="C2548" s="16">
        <v>46240</v>
      </c>
      <c r="D2548">
        <v>0</v>
      </c>
    </row>
    <row r="2549" spans="1:4" x14ac:dyDescent="0.3">
      <c r="A2549" t="s">
        <v>199</v>
      </c>
      <c r="C2549" s="16">
        <v>46240</v>
      </c>
      <c r="D2549">
        <v>0</v>
      </c>
    </row>
    <row r="2550" spans="1:4" x14ac:dyDescent="0.3">
      <c r="A2550" t="s">
        <v>17</v>
      </c>
      <c r="C2550" s="16">
        <v>46241</v>
      </c>
      <c r="D2550">
        <v>1153390.4100000001</v>
      </c>
    </row>
    <row r="2551" spans="1:4" x14ac:dyDescent="0.3">
      <c r="A2551" t="s">
        <v>18</v>
      </c>
      <c r="C2551" s="16">
        <v>46241</v>
      </c>
      <c r="D2551">
        <v>83211.250000000175</v>
      </c>
    </row>
    <row r="2552" spans="1:4" x14ac:dyDescent="0.3">
      <c r="A2552" t="s">
        <v>19</v>
      </c>
      <c r="C2552" s="16">
        <v>46241</v>
      </c>
      <c r="D2552">
        <v>1669.89</v>
      </c>
    </row>
    <row r="2553" spans="1:4" x14ac:dyDescent="0.3">
      <c r="A2553" t="s">
        <v>20</v>
      </c>
      <c r="C2553" s="16">
        <v>46241</v>
      </c>
      <c r="D2553">
        <v>1349451.94</v>
      </c>
    </row>
    <row r="2554" spans="1:4" x14ac:dyDescent="0.3">
      <c r="A2554" t="s">
        <v>21</v>
      </c>
      <c r="C2554" s="16">
        <v>46241</v>
      </c>
      <c r="D2554">
        <v>2102073.7899999996</v>
      </c>
    </row>
    <row r="2555" spans="1:4" x14ac:dyDescent="0.3">
      <c r="A2555" t="s">
        <v>22</v>
      </c>
      <c r="C2555" s="16">
        <v>46241</v>
      </c>
      <c r="D2555">
        <v>171496.38</v>
      </c>
    </row>
    <row r="2556" spans="1:4" x14ac:dyDescent="0.3">
      <c r="A2556" t="s">
        <v>23</v>
      </c>
      <c r="C2556" s="16">
        <v>46241</v>
      </c>
      <c r="D2556">
        <v>207582.47</v>
      </c>
    </row>
    <row r="2557" spans="1:4" x14ac:dyDescent="0.3">
      <c r="A2557" t="s">
        <v>24</v>
      </c>
      <c r="C2557" s="16">
        <v>46241</v>
      </c>
      <c r="D2557">
        <v>13270.02</v>
      </c>
    </row>
    <row r="2558" spans="1:4" x14ac:dyDescent="0.3">
      <c r="A2558" t="s">
        <v>25</v>
      </c>
      <c r="C2558" s="16">
        <v>46241</v>
      </c>
      <c r="D2558">
        <v>24.450000000000003</v>
      </c>
    </row>
    <row r="2559" spans="1:4" x14ac:dyDescent="0.3">
      <c r="A2559" t="s">
        <v>26</v>
      </c>
      <c r="C2559" s="16">
        <v>46241</v>
      </c>
      <c r="D2559">
        <v>2177.87</v>
      </c>
    </row>
    <row r="2560" spans="1:4" x14ac:dyDescent="0.3">
      <c r="A2560" t="s">
        <v>27</v>
      </c>
      <c r="C2560" s="16">
        <v>46241</v>
      </c>
      <c r="D2560">
        <v>1454589.72</v>
      </c>
    </row>
    <row r="2561" spans="1:4" x14ac:dyDescent="0.3">
      <c r="A2561" t="s">
        <v>28</v>
      </c>
      <c r="C2561" s="16">
        <v>46241</v>
      </c>
      <c r="D2561">
        <v>1968.99</v>
      </c>
    </row>
    <row r="2562" spans="1:4" x14ac:dyDescent="0.3">
      <c r="A2562" t="s">
        <v>29</v>
      </c>
      <c r="C2562" s="16">
        <v>46241</v>
      </c>
      <c r="D2562">
        <v>901.34</v>
      </c>
    </row>
    <row r="2563" spans="1:4" x14ac:dyDescent="0.3">
      <c r="A2563" t="s">
        <v>30</v>
      </c>
      <c r="C2563" s="16">
        <v>46241</v>
      </c>
      <c r="D2563">
        <v>1396.08</v>
      </c>
    </row>
    <row r="2564" spans="1:4" x14ac:dyDescent="0.3">
      <c r="A2564" t="s">
        <v>31</v>
      </c>
      <c r="C2564" s="16">
        <v>46241</v>
      </c>
      <c r="D2564">
        <v>11259.639999999961</v>
      </c>
    </row>
    <row r="2565" spans="1:4" x14ac:dyDescent="0.3">
      <c r="A2565" t="s">
        <v>32</v>
      </c>
      <c r="C2565" s="16">
        <v>46241</v>
      </c>
      <c r="D2565">
        <v>8724.1700000000037</v>
      </c>
    </row>
    <row r="2566" spans="1:4" x14ac:dyDescent="0.3">
      <c r="A2566" t="s">
        <v>33</v>
      </c>
      <c r="C2566" s="16">
        <v>46241</v>
      </c>
      <c r="D2566">
        <v>20106.099999999999</v>
      </c>
    </row>
    <row r="2567" spans="1:4" x14ac:dyDescent="0.3">
      <c r="A2567" t="s">
        <v>34</v>
      </c>
      <c r="C2567" s="16">
        <v>46241</v>
      </c>
      <c r="D2567">
        <v>345</v>
      </c>
    </row>
    <row r="2568" spans="1:4" x14ac:dyDescent="0.3">
      <c r="A2568" t="s">
        <v>35</v>
      </c>
      <c r="C2568" s="16">
        <v>46241</v>
      </c>
      <c r="D2568">
        <v>12470.040000000003</v>
      </c>
    </row>
    <row r="2569" spans="1:4" x14ac:dyDescent="0.3">
      <c r="A2569" t="s">
        <v>193</v>
      </c>
      <c r="C2569" s="16">
        <v>46241</v>
      </c>
      <c r="D2569">
        <v>0</v>
      </c>
    </row>
    <row r="2570" spans="1:4" x14ac:dyDescent="0.3">
      <c r="A2570" t="s">
        <v>194</v>
      </c>
      <c r="C2570" s="16">
        <v>46241</v>
      </c>
      <c r="D2570">
        <v>0</v>
      </c>
    </row>
    <row r="2571" spans="1:4" x14ac:dyDescent="0.3">
      <c r="A2571" t="s">
        <v>195</v>
      </c>
      <c r="C2571" s="16">
        <v>46241</v>
      </c>
      <c r="D2571">
        <v>0</v>
      </c>
    </row>
    <row r="2572" spans="1:4" x14ac:dyDescent="0.3">
      <c r="A2572" t="s">
        <v>196</v>
      </c>
      <c r="C2572" s="16">
        <v>46241</v>
      </c>
      <c r="D2572">
        <v>0</v>
      </c>
    </row>
    <row r="2573" spans="1:4" x14ac:dyDescent="0.3">
      <c r="A2573" t="s">
        <v>197</v>
      </c>
      <c r="C2573" s="16">
        <v>46241</v>
      </c>
      <c r="D2573">
        <v>0</v>
      </c>
    </row>
    <row r="2574" spans="1:4" x14ac:dyDescent="0.3">
      <c r="A2574" t="s">
        <v>214</v>
      </c>
      <c r="C2574" s="16">
        <v>46241</v>
      </c>
      <c r="D2574">
        <v>0</v>
      </c>
    </row>
    <row r="2575" spans="1:4" x14ac:dyDescent="0.3">
      <c r="A2575" t="s">
        <v>199</v>
      </c>
      <c r="C2575" s="16">
        <v>46241</v>
      </c>
      <c r="D2575">
        <v>0</v>
      </c>
    </row>
    <row r="2576" spans="1:4" x14ac:dyDescent="0.3">
      <c r="A2576" t="s">
        <v>17</v>
      </c>
      <c r="C2576" s="16">
        <v>46242</v>
      </c>
      <c r="D2576">
        <v>1153390.4100000001</v>
      </c>
    </row>
    <row r="2577" spans="1:4" x14ac:dyDescent="0.3">
      <c r="A2577" t="s">
        <v>18</v>
      </c>
      <c r="C2577" s="16">
        <v>46242</v>
      </c>
      <c r="D2577">
        <v>83211.250000000175</v>
      </c>
    </row>
    <row r="2578" spans="1:4" x14ac:dyDescent="0.3">
      <c r="A2578" t="s">
        <v>19</v>
      </c>
      <c r="C2578" s="16">
        <v>46242</v>
      </c>
      <c r="D2578">
        <v>1669.89</v>
      </c>
    </row>
    <row r="2579" spans="1:4" x14ac:dyDescent="0.3">
      <c r="A2579" t="s">
        <v>20</v>
      </c>
      <c r="C2579" s="16">
        <v>46242</v>
      </c>
      <c r="D2579">
        <v>1349451.94</v>
      </c>
    </row>
    <row r="2580" spans="1:4" x14ac:dyDescent="0.3">
      <c r="A2580" t="s">
        <v>21</v>
      </c>
      <c r="C2580" s="16">
        <v>46242</v>
      </c>
      <c r="D2580">
        <v>2102073.7899999996</v>
      </c>
    </row>
    <row r="2581" spans="1:4" x14ac:dyDescent="0.3">
      <c r="A2581" t="s">
        <v>22</v>
      </c>
      <c r="C2581" s="16">
        <v>46242</v>
      </c>
      <c r="D2581">
        <v>171496.38</v>
      </c>
    </row>
    <row r="2582" spans="1:4" x14ac:dyDescent="0.3">
      <c r="A2582" t="s">
        <v>23</v>
      </c>
      <c r="C2582" s="16">
        <v>46242</v>
      </c>
      <c r="D2582">
        <v>207582.47</v>
      </c>
    </row>
    <row r="2583" spans="1:4" x14ac:dyDescent="0.3">
      <c r="A2583" t="s">
        <v>24</v>
      </c>
      <c r="C2583" s="16">
        <v>46242</v>
      </c>
      <c r="D2583">
        <v>13270.02</v>
      </c>
    </row>
    <row r="2584" spans="1:4" x14ac:dyDescent="0.3">
      <c r="A2584" t="s">
        <v>25</v>
      </c>
      <c r="C2584" s="16">
        <v>46242</v>
      </c>
      <c r="D2584">
        <v>24.450000000000003</v>
      </c>
    </row>
    <row r="2585" spans="1:4" x14ac:dyDescent="0.3">
      <c r="A2585" t="s">
        <v>26</v>
      </c>
      <c r="C2585" s="16">
        <v>46242</v>
      </c>
      <c r="D2585">
        <v>2177.87</v>
      </c>
    </row>
    <row r="2586" spans="1:4" x14ac:dyDescent="0.3">
      <c r="A2586" t="s">
        <v>27</v>
      </c>
      <c r="C2586" s="16">
        <v>46242</v>
      </c>
      <c r="D2586">
        <v>1454589.72</v>
      </c>
    </row>
    <row r="2587" spans="1:4" x14ac:dyDescent="0.3">
      <c r="A2587" t="s">
        <v>28</v>
      </c>
      <c r="C2587" s="16">
        <v>46242</v>
      </c>
      <c r="D2587">
        <v>1968.99</v>
      </c>
    </row>
    <row r="2588" spans="1:4" x14ac:dyDescent="0.3">
      <c r="A2588" t="s">
        <v>29</v>
      </c>
      <c r="C2588" s="16">
        <v>46242</v>
      </c>
      <c r="D2588">
        <v>901.34</v>
      </c>
    </row>
    <row r="2589" spans="1:4" x14ac:dyDescent="0.3">
      <c r="A2589" t="s">
        <v>30</v>
      </c>
      <c r="C2589" s="16">
        <v>46242</v>
      </c>
      <c r="D2589">
        <v>1396.08</v>
      </c>
    </row>
    <row r="2590" spans="1:4" x14ac:dyDescent="0.3">
      <c r="A2590" t="s">
        <v>31</v>
      </c>
      <c r="C2590" s="16">
        <v>46242</v>
      </c>
      <c r="D2590">
        <v>11259.639999999961</v>
      </c>
    </row>
    <row r="2591" spans="1:4" x14ac:dyDescent="0.3">
      <c r="A2591" t="s">
        <v>32</v>
      </c>
      <c r="C2591" s="16">
        <v>46242</v>
      </c>
      <c r="D2591">
        <v>8724.1700000000037</v>
      </c>
    </row>
    <row r="2592" spans="1:4" x14ac:dyDescent="0.3">
      <c r="A2592" t="s">
        <v>33</v>
      </c>
      <c r="C2592" s="16">
        <v>46242</v>
      </c>
      <c r="D2592">
        <v>20106.099999999999</v>
      </c>
    </row>
    <row r="2593" spans="1:4" x14ac:dyDescent="0.3">
      <c r="A2593" t="s">
        <v>34</v>
      </c>
      <c r="C2593" s="16">
        <v>46242</v>
      </c>
      <c r="D2593">
        <v>345</v>
      </c>
    </row>
    <row r="2594" spans="1:4" x14ac:dyDescent="0.3">
      <c r="A2594" t="s">
        <v>35</v>
      </c>
      <c r="C2594" s="16">
        <v>46242</v>
      </c>
      <c r="D2594">
        <v>12470.040000000003</v>
      </c>
    </row>
    <row r="2595" spans="1:4" x14ac:dyDescent="0.3">
      <c r="A2595" t="s">
        <v>193</v>
      </c>
      <c r="C2595" s="16">
        <v>46242</v>
      </c>
      <c r="D2595">
        <v>0</v>
      </c>
    </row>
    <row r="2596" spans="1:4" x14ac:dyDescent="0.3">
      <c r="A2596" t="s">
        <v>194</v>
      </c>
      <c r="C2596" s="16">
        <v>46242</v>
      </c>
      <c r="D2596">
        <v>0</v>
      </c>
    </row>
    <row r="2597" spans="1:4" x14ac:dyDescent="0.3">
      <c r="A2597" t="s">
        <v>195</v>
      </c>
      <c r="C2597" s="16">
        <v>46242</v>
      </c>
      <c r="D2597">
        <v>0</v>
      </c>
    </row>
    <row r="2598" spans="1:4" x14ac:dyDescent="0.3">
      <c r="A2598" t="s">
        <v>196</v>
      </c>
      <c r="C2598" s="16">
        <v>46242</v>
      </c>
      <c r="D2598">
        <v>0</v>
      </c>
    </row>
    <row r="2599" spans="1:4" x14ac:dyDescent="0.3">
      <c r="A2599" t="s">
        <v>197</v>
      </c>
      <c r="C2599" s="16">
        <v>46242</v>
      </c>
      <c r="D2599">
        <v>0</v>
      </c>
    </row>
    <row r="2600" spans="1:4" x14ac:dyDescent="0.3">
      <c r="A2600" t="s">
        <v>214</v>
      </c>
      <c r="C2600" s="16">
        <v>46242</v>
      </c>
      <c r="D2600">
        <v>0</v>
      </c>
    </row>
    <row r="2601" spans="1:4" x14ac:dyDescent="0.3">
      <c r="A2601" t="s">
        <v>199</v>
      </c>
      <c r="C2601" s="16">
        <v>46242</v>
      </c>
      <c r="D2601">
        <v>0</v>
      </c>
    </row>
    <row r="2602" spans="1:4" x14ac:dyDescent="0.3">
      <c r="A2602" t="s">
        <v>17</v>
      </c>
      <c r="C2602" s="16">
        <v>46243</v>
      </c>
      <c r="D2602">
        <v>1153390.4100000001</v>
      </c>
    </row>
    <row r="2603" spans="1:4" x14ac:dyDescent="0.3">
      <c r="A2603" t="s">
        <v>18</v>
      </c>
      <c r="C2603" s="16">
        <v>46243</v>
      </c>
      <c r="D2603">
        <v>83211.250000000175</v>
      </c>
    </row>
    <row r="2604" spans="1:4" x14ac:dyDescent="0.3">
      <c r="A2604" t="s">
        <v>19</v>
      </c>
      <c r="C2604" s="16">
        <v>46243</v>
      </c>
      <c r="D2604">
        <v>1669.89</v>
      </c>
    </row>
    <row r="2605" spans="1:4" x14ac:dyDescent="0.3">
      <c r="A2605" t="s">
        <v>20</v>
      </c>
      <c r="C2605" s="16">
        <v>46243</v>
      </c>
      <c r="D2605">
        <v>1349451.94</v>
      </c>
    </row>
    <row r="2606" spans="1:4" x14ac:dyDescent="0.3">
      <c r="A2606" t="s">
        <v>21</v>
      </c>
      <c r="C2606" s="16">
        <v>46243</v>
      </c>
      <c r="D2606">
        <v>2102073.7899999996</v>
      </c>
    </row>
    <row r="2607" spans="1:4" x14ac:dyDescent="0.3">
      <c r="A2607" t="s">
        <v>22</v>
      </c>
      <c r="C2607" s="16">
        <v>46243</v>
      </c>
      <c r="D2607">
        <v>171496.38</v>
      </c>
    </row>
    <row r="2608" spans="1:4" x14ac:dyDescent="0.3">
      <c r="A2608" t="s">
        <v>23</v>
      </c>
      <c r="C2608" s="16">
        <v>46243</v>
      </c>
      <c r="D2608">
        <v>207582.47</v>
      </c>
    </row>
    <row r="2609" spans="1:4" x14ac:dyDescent="0.3">
      <c r="A2609" t="s">
        <v>24</v>
      </c>
      <c r="C2609" s="16">
        <v>46243</v>
      </c>
      <c r="D2609">
        <v>13270.02</v>
      </c>
    </row>
    <row r="2610" spans="1:4" x14ac:dyDescent="0.3">
      <c r="A2610" t="s">
        <v>25</v>
      </c>
      <c r="C2610" s="16">
        <v>46243</v>
      </c>
      <c r="D2610">
        <v>24.450000000000003</v>
      </c>
    </row>
    <row r="2611" spans="1:4" x14ac:dyDescent="0.3">
      <c r="A2611" t="s">
        <v>26</v>
      </c>
      <c r="C2611" s="16">
        <v>46243</v>
      </c>
      <c r="D2611">
        <v>2177.87</v>
      </c>
    </row>
    <row r="2612" spans="1:4" x14ac:dyDescent="0.3">
      <c r="A2612" t="s">
        <v>27</v>
      </c>
      <c r="C2612" s="16">
        <v>46243</v>
      </c>
      <c r="D2612">
        <v>1454589.72</v>
      </c>
    </row>
    <row r="2613" spans="1:4" x14ac:dyDescent="0.3">
      <c r="A2613" t="s">
        <v>28</v>
      </c>
      <c r="C2613" s="16">
        <v>46243</v>
      </c>
      <c r="D2613">
        <v>1968.99</v>
      </c>
    </row>
    <row r="2614" spans="1:4" x14ac:dyDescent="0.3">
      <c r="A2614" t="s">
        <v>29</v>
      </c>
      <c r="C2614" s="16">
        <v>46243</v>
      </c>
      <c r="D2614">
        <v>901.34</v>
      </c>
    </row>
    <row r="2615" spans="1:4" x14ac:dyDescent="0.3">
      <c r="A2615" t="s">
        <v>30</v>
      </c>
      <c r="C2615" s="16">
        <v>46243</v>
      </c>
      <c r="D2615">
        <v>1396.08</v>
      </c>
    </row>
    <row r="2616" spans="1:4" x14ac:dyDescent="0.3">
      <c r="A2616" t="s">
        <v>31</v>
      </c>
      <c r="C2616" s="16">
        <v>46243</v>
      </c>
      <c r="D2616">
        <v>11259.639999999961</v>
      </c>
    </row>
    <row r="2617" spans="1:4" x14ac:dyDescent="0.3">
      <c r="A2617" t="s">
        <v>32</v>
      </c>
      <c r="C2617" s="16">
        <v>46243</v>
      </c>
      <c r="D2617">
        <v>8724.1700000000037</v>
      </c>
    </row>
    <row r="2618" spans="1:4" x14ac:dyDescent="0.3">
      <c r="A2618" t="s">
        <v>33</v>
      </c>
      <c r="C2618" s="16">
        <v>46243</v>
      </c>
      <c r="D2618">
        <v>20106.099999999999</v>
      </c>
    </row>
    <row r="2619" spans="1:4" x14ac:dyDescent="0.3">
      <c r="A2619" t="s">
        <v>34</v>
      </c>
      <c r="C2619" s="16">
        <v>46243</v>
      </c>
      <c r="D2619">
        <v>345</v>
      </c>
    </row>
    <row r="2620" spans="1:4" x14ac:dyDescent="0.3">
      <c r="A2620" t="s">
        <v>35</v>
      </c>
      <c r="C2620" s="16">
        <v>46243</v>
      </c>
      <c r="D2620">
        <v>12470.040000000003</v>
      </c>
    </row>
    <row r="2621" spans="1:4" x14ac:dyDescent="0.3">
      <c r="A2621" t="s">
        <v>193</v>
      </c>
      <c r="C2621" s="16">
        <v>46243</v>
      </c>
      <c r="D2621">
        <v>0</v>
      </c>
    </row>
    <row r="2622" spans="1:4" x14ac:dyDescent="0.3">
      <c r="A2622" t="s">
        <v>194</v>
      </c>
      <c r="C2622" s="16">
        <v>46243</v>
      </c>
      <c r="D2622">
        <v>0</v>
      </c>
    </row>
    <row r="2623" spans="1:4" x14ac:dyDescent="0.3">
      <c r="A2623" t="s">
        <v>195</v>
      </c>
      <c r="C2623" s="16">
        <v>46243</v>
      </c>
      <c r="D2623">
        <v>0</v>
      </c>
    </row>
    <row r="2624" spans="1:4" x14ac:dyDescent="0.3">
      <c r="A2624" t="s">
        <v>196</v>
      </c>
      <c r="C2624" s="16">
        <v>46243</v>
      </c>
      <c r="D2624">
        <v>0</v>
      </c>
    </row>
    <row r="2625" spans="1:4" x14ac:dyDescent="0.3">
      <c r="A2625" t="s">
        <v>197</v>
      </c>
      <c r="C2625" s="16">
        <v>46243</v>
      </c>
      <c r="D2625">
        <v>0</v>
      </c>
    </row>
    <row r="2626" spans="1:4" x14ac:dyDescent="0.3">
      <c r="A2626" t="s">
        <v>214</v>
      </c>
      <c r="C2626" s="16">
        <v>46243</v>
      </c>
      <c r="D2626">
        <v>0</v>
      </c>
    </row>
    <row r="2627" spans="1:4" x14ac:dyDescent="0.3">
      <c r="A2627" t="s">
        <v>199</v>
      </c>
      <c r="C2627" s="16">
        <v>46243</v>
      </c>
      <c r="D2627">
        <v>0</v>
      </c>
    </row>
    <row r="2628" spans="1:4" x14ac:dyDescent="0.3">
      <c r="A2628" t="s">
        <v>17</v>
      </c>
      <c r="C2628" s="16">
        <v>46244</v>
      </c>
      <c r="D2628">
        <v>1260076.9800000002</v>
      </c>
    </row>
    <row r="2629" spans="1:4" x14ac:dyDescent="0.3">
      <c r="A2629" t="s">
        <v>18</v>
      </c>
      <c r="C2629" s="16">
        <v>46244</v>
      </c>
      <c r="D2629">
        <v>83211.250000000175</v>
      </c>
    </row>
    <row r="2630" spans="1:4" x14ac:dyDescent="0.3">
      <c r="A2630" t="s">
        <v>19</v>
      </c>
      <c r="C2630" s="16">
        <v>46244</v>
      </c>
      <c r="D2630">
        <v>1669.89</v>
      </c>
    </row>
    <row r="2631" spans="1:4" x14ac:dyDescent="0.3">
      <c r="A2631" t="s">
        <v>20</v>
      </c>
      <c r="C2631" s="16">
        <v>46244</v>
      </c>
      <c r="D2631">
        <v>1349451.94</v>
      </c>
    </row>
    <row r="2632" spans="1:4" x14ac:dyDescent="0.3">
      <c r="A2632" t="s">
        <v>21</v>
      </c>
      <c r="C2632" s="16">
        <v>46244</v>
      </c>
      <c r="D2632">
        <v>2098801.8999999994</v>
      </c>
    </row>
    <row r="2633" spans="1:4" x14ac:dyDescent="0.3">
      <c r="A2633" t="s">
        <v>22</v>
      </c>
      <c r="C2633" s="16">
        <v>46244</v>
      </c>
      <c r="D2633">
        <v>171496.38</v>
      </c>
    </row>
    <row r="2634" spans="1:4" x14ac:dyDescent="0.3">
      <c r="A2634" t="s">
        <v>23</v>
      </c>
      <c r="C2634" s="16">
        <v>46244</v>
      </c>
      <c r="D2634">
        <v>207582.47</v>
      </c>
    </row>
    <row r="2635" spans="1:4" x14ac:dyDescent="0.3">
      <c r="A2635" t="s">
        <v>24</v>
      </c>
      <c r="C2635" s="16">
        <v>46244</v>
      </c>
      <c r="D2635">
        <v>13270.02</v>
      </c>
    </row>
    <row r="2636" spans="1:4" x14ac:dyDescent="0.3">
      <c r="A2636" t="s">
        <v>25</v>
      </c>
      <c r="C2636" s="16">
        <v>46244</v>
      </c>
      <c r="D2636">
        <v>24.450000000000003</v>
      </c>
    </row>
    <row r="2637" spans="1:4" x14ac:dyDescent="0.3">
      <c r="A2637" t="s">
        <v>26</v>
      </c>
      <c r="C2637" s="16">
        <v>46244</v>
      </c>
      <c r="D2637">
        <v>2177.87</v>
      </c>
    </row>
    <row r="2638" spans="1:4" x14ac:dyDescent="0.3">
      <c r="A2638" t="s">
        <v>27</v>
      </c>
      <c r="C2638" s="16">
        <v>46244</v>
      </c>
      <c r="D2638">
        <v>1454589.72</v>
      </c>
    </row>
    <row r="2639" spans="1:4" x14ac:dyDescent="0.3">
      <c r="A2639" t="s">
        <v>28</v>
      </c>
      <c r="C2639" s="16">
        <v>46244</v>
      </c>
      <c r="D2639">
        <v>1968.99</v>
      </c>
    </row>
    <row r="2640" spans="1:4" x14ac:dyDescent="0.3">
      <c r="A2640" t="s">
        <v>29</v>
      </c>
      <c r="C2640" s="16">
        <v>46244</v>
      </c>
      <c r="D2640">
        <v>901.34</v>
      </c>
    </row>
    <row r="2641" spans="1:4" x14ac:dyDescent="0.3">
      <c r="A2641" t="s">
        <v>30</v>
      </c>
      <c r="C2641" s="16">
        <v>46244</v>
      </c>
      <c r="D2641">
        <v>1396.08</v>
      </c>
    </row>
    <row r="2642" spans="1:4" x14ac:dyDescent="0.3">
      <c r="A2642" t="s">
        <v>31</v>
      </c>
      <c r="C2642" s="16">
        <v>46244</v>
      </c>
      <c r="D2642">
        <v>3700.7099999999591</v>
      </c>
    </row>
    <row r="2643" spans="1:4" x14ac:dyDescent="0.3">
      <c r="A2643" t="s">
        <v>32</v>
      </c>
      <c r="C2643" s="16">
        <v>46244</v>
      </c>
      <c r="D2643">
        <v>8724.1700000000037</v>
      </c>
    </row>
    <row r="2644" spans="1:4" x14ac:dyDescent="0.3">
      <c r="A2644" t="s">
        <v>33</v>
      </c>
      <c r="C2644" s="16">
        <v>46244</v>
      </c>
      <c r="D2644">
        <v>20106.099999999999</v>
      </c>
    </row>
    <row r="2645" spans="1:4" x14ac:dyDescent="0.3">
      <c r="A2645" t="s">
        <v>34</v>
      </c>
      <c r="C2645" s="16">
        <v>46244</v>
      </c>
      <c r="D2645">
        <v>345</v>
      </c>
    </row>
    <row r="2646" spans="1:4" x14ac:dyDescent="0.3">
      <c r="A2646" t="s">
        <v>35</v>
      </c>
      <c r="C2646" s="16">
        <v>46244</v>
      </c>
      <c r="D2646">
        <v>12470.040000000003</v>
      </c>
    </row>
    <row r="2647" spans="1:4" x14ac:dyDescent="0.3">
      <c r="A2647" t="s">
        <v>193</v>
      </c>
      <c r="C2647" s="16">
        <v>46244</v>
      </c>
      <c r="D2647">
        <v>0</v>
      </c>
    </row>
    <row r="2648" spans="1:4" x14ac:dyDescent="0.3">
      <c r="A2648" t="s">
        <v>194</v>
      </c>
      <c r="C2648" s="16">
        <v>46244</v>
      </c>
      <c r="D2648">
        <v>0</v>
      </c>
    </row>
    <row r="2649" spans="1:4" x14ac:dyDescent="0.3">
      <c r="A2649" t="s">
        <v>195</v>
      </c>
      <c r="C2649" s="16">
        <v>46244</v>
      </c>
      <c r="D2649">
        <v>0</v>
      </c>
    </row>
    <row r="2650" spans="1:4" x14ac:dyDescent="0.3">
      <c r="A2650" t="s">
        <v>196</v>
      </c>
      <c r="C2650" s="16">
        <v>46244</v>
      </c>
      <c r="D2650">
        <v>0</v>
      </c>
    </row>
    <row r="2651" spans="1:4" x14ac:dyDescent="0.3">
      <c r="A2651" t="s">
        <v>197</v>
      </c>
      <c r="C2651" s="16">
        <v>46244</v>
      </c>
      <c r="D2651">
        <v>0</v>
      </c>
    </row>
    <row r="2652" spans="1:4" x14ac:dyDescent="0.3">
      <c r="A2652" t="s">
        <v>214</v>
      </c>
      <c r="C2652" s="16">
        <v>46244</v>
      </c>
      <c r="D2652">
        <v>0</v>
      </c>
    </row>
    <row r="2653" spans="1:4" x14ac:dyDescent="0.3">
      <c r="A2653" t="s">
        <v>199</v>
      </c>
      <c r="C2653" s="16">
        <v>46244</v>
      </c>
      <c r="D2653">
        <v>0</v>
      </c>
    </row>
    <row r="2654" spans="1:4" x14ac:dyDescent="0.3">
      <c r="A2654" t="s">
        <v>17</v>
      </c>
      <c r="C2654" s="16">
        <v>46245</v>
      </c>
      <c r="D2654">
        <v>1260076.9800000002</v>
      </c>
    </row>
    <row r="2655" spans="1:4" x14ac:dyDescent="0.3">
      <c r="A2655" t="s">
        <v>18</v>
      </c>
      <c r="C2655" s="16">
        <v>46245</v>
      </c>
      <c r="D2655">
        <v>83211.250000000175</v>
      </c>
    </row>
    <row r="2656" spans="1:4" x14ac:dyDescent="0.3">
      <c r="A2656" t="s">
        <v>19</v>
      </c>
      <c r="C2656" s="16">
        <v>46245</v>
      </c>
      <c r="D2656">
        <v>1669.89</v>
      </c>
    </row>
    <row r="2657" spans="1:4" x14ac:dyDescent="0.3">
      <c r="A2657" t="s">
        <v>20</v>
      </c>
      <c r="C2657" s="16">
        <v>46245</v>
      </c>
      <c r="D2657">
        <v>1349451.94</v>
      </c>
    </row>
    <row r="2658" spans="1:4" x14ac:dyDescent="0.3">
      <c r="A2658" t="s">
        <v>21</v>
      </c>
      <c r="C2658" s="16">
        <v>46245</v>
      </c>
      <c r="D2658">
        <v>1622920.8199999996</v>
      </c>
    </row>
    <row r="2659" spans="1:4" x14ac:dyDescent="0.3">
      <c r="A2659" t="s">
        <v>22</v>
      </c>
      <c r="C2659" s="16">
        <v>46245</v>
      </c>
      <c r="D2659">
        <v>171496.38</v>
      </c>
    </row>
    <row r="2660" spans="1:4" x14ac:dyDescent="0.3">
      <c r="A2660" t="s">
        <v>23</v>
      </c>
      <c r="C2660" s="16">
        <v>46245</v>
      </c>
      <c r="D2660">
        <v>207582.47</v>
      </c>
    </row>
    <row r="2661" spans="1:4" x14ac:dyDescent="0.3">
      <c r="A2661" t="s">
        <v>24</v>
      </c>
      <c r="C2661" s="16">
        <v>46245</v>
      </c>
      <c r="D2661">
        <v>13270.02</v>
      </c>
    </row>
    <row r="2662" spans="1:4" x14ac:dyDescent="0.3">
      <c r="A2662" t="s">
        <v>25</v>
      </c>
      <c r="C2662" s="16">
        <v>46245</v>
      </c>
      <c r="D2662">
        <v>24.450000000000003</v>
      </c>
    </row>
    <row r="2663" spans="1:4" x14ac:dyDescent="0.3">
      <c r="A2663" t="s">
        <v>26</v>
      </c>
      <c r="C2663" s="16">
        <v>46245</v>
      </c>
      <c r="D2663">
        <v>2177.87</v>
      </c>
    </row>
    <row r="2664" spans="1:4" x14ac:dyDescent="0.3">
      <c r="A2664" t="s">
        <v>27</v>
      </c>
      <c r="C2664" s="16">
        <v>46245</v>
      </c>
      <c r="D2664">
        <v>1454589.72</v>
      </c>
    </row>
    <row r="2665" spans="1:4" x14ac:dyDescent="0.3">
      <c r="A2665" t="s">
        <v>28</v>
      </c>
      <c r="C2665" s="16">
        <v>46245</v>
      </c>
      <c r="D2665">
        <v>1968.99</v>
      </c>
    </row>
    <row r="2666" spans="1:4" x14ac:dyDescent="0.3">
      <c r="A2666" t="s">
        <v>29</v>
      </c>
      <c r="C2666" s="16">
        <v>46245</v>
      </c>
      <c r="D2666">
        <v>901.34</v>
      </c>
    </row>
    <row r="2667" spans="1:4" x14ac:dyDescent="0.3">
      <c r="A2667" t="s">
        <v>30</v>
      </c>
      <c r="C2667" s="16">
        <v>46245</v>
      </c>
      <c r="D2667">
        <v>1396.08</v>
      </c>
    </row>
    <row r="2668" spans="1:4" x14ac:dyDescent="0.3">
      <c r="A2668" t="s">
        <v>31</v>
      </c>
      <c r="C2668" s="16">
        <v>46245</v>
      </c>
      <c r="D2668">
        <v>3700.7099999999591</v>
      </c>
    </row>
    <row r="2669" spans="1:4" x14ac:dyDescent="0.3">
      <c r="A2669" t="s">
        <v>32</v>
      </c>
      <c r="C2669" s="16">
        <v>46245</v>
      </c>
      <c r="D2669">
        <v>8724.1700000000037</v>
      </c>
    </row>
    <row r="2670" spans="1:4" x14ac:dyDescent="0.3">
      <c r="A2670" t="s">
        <v>33</v>
      </c>
      <c r="C2670" s="16">
        <v>46245</v>
      </c>
      <c r="D2670">
        <v>19442.439999999995</v>
      </c>
    </row>
    <row r="2671" spans="1:4" x14ac:dyDescent="0.3">
      <c r="A2671" t="s">
        <v>34</v>
      </c>
      <c r="C2671" s="16">
        <v>46245</v>
      </c>
      <c r="D2671">
        <v>345</v>
      </c>
    </row>
    <row r="2672" spans="1:4" x14ac:dyDescent="0.3">
      <c r="A2672" t="s">
        <v>35</v>
      </c>
      <c r="C2672" s="16">
        <v>46245</v>
      </c>
      <c r="D2672">
        <v>12470.040000000003</v>
      </c>
    </row>
    <row r="2673" spans="1:4" x14ac:dyDescent="0.3">
      <c r="A2673" t="s">
        <v>193</v>
      </c>
      <c r="C2673" s="16">
        <v>46245</v>
      </c>
      <c r="D2673">
        <v>0</v>
      </c>
    </row>
    <row r="2674" spans="1:4" x14ac:dyDescent="0.3">
      <c r="A2674" t="s">
        <v>194</v>
      </c>
      <c r="C2674" s="16">
        <v>46245</v>
      </c>
      <c r="D2674">
        <v>0</v>
      </c>
    </row>
    <row r="2675" spans="1:4" x14ac:dyDescent="0.3">
      <c r="A2675" t="s">
        <v>195</v>
      </c>
      <c r="C2675" s="16">
        <v>46245</v>
      </c>
      <c r="D2675">
        <v>0</v>
      </c>
    </row>
    <row r="2676" spans="1:4" x14ac:dyDescent="0.3">
      <c r="A2676" t="s">
        <v>196</v>
      </c>
      <c r="C2676" s="16">
        <v>46245</v>
      </c>
      <c r="D2676">
        <v>0</v>
      </c>
    </row>
    <row r="2677" spans="1:4" x14ac:dyDescent="0.3">
      <c r="A2677" t="s">
        <v>197</v>
      </c>
      <c r="C2677" s="16">
        <v>46245</v>
      </c>
      <c r="D2677">
        <v>0</v>
      </c>
    </row>
    <row r="2678" spans="1:4" x14ac:dyDescent="0.3">
      <c r="A2678" t="s">
        <v>214</v>
      </c>
      <c r="C2678" s="16">
        <v>46245</v>
      </c>
      <c r="D2678">
        <v>0</v>
      </c>
    </row>
    <row r="2679" spans="1:4" x14ac:dyDescent="0.3">
      <c r="A2679" t="s">
        <v>199</v>
      </c>
      <c r="C2679" s="16">
        <v>46245</v>
      </c>
      <c r="D2679">
        <v>0</v>
      </c>
    </row>
    <row r="2680" spans="1:4" x14ac:dyDescent="0.3">
      <c r="A2680" t="s">
        <v>17</v>
      </c>
      <c r="C2680" s="16">
        <v>46246</v>
      </c>
      <c r="D2680">
        <v>1260076.9800000002</v>
      </c>
    </row>
    <row r="2681" spans="1:4" x14ac:dyDescent="0.3">
      <c r="A2681" t="s">
        <v>18</v>
      </c>
      <c r="C2681" s="16">
        <v>46246</v>
      </c>
      <c r="D2681">
        <v>83211.250000000175</v>
      </c>
    </row>
    <row r="2682" spans="1:4" x14ac:dyDescent="0.3">
      <c r="A2682" t="s">
        <v>19</v>
      </c>
      <c r="C2682" s="16">
        <v>46246</v>
      </c>
      <c r="D2682">
        <v>1669.89</v>
      </c>
    </row>
    <row r="2683" spans="1:4" x14ac:dyDescent="0.3">
      <c r="A2683" t="s">
        <v>20</v>
      </c>
      <c r="C2683" s="16">
        <v>46246</v>
      </c>
      <c r="D2683">
        <v>1349451.94</v>
      </c>
    </row>
    <row r="2684" spans="1:4" x14ac:dyDescent="0.3">
      <c r="A2684" t="s">
        <v>21</v>
      </c>
      <c r="C2684" s="16">
        <v>46246</v>
      </c>
      <c r="D2684">
        <v>1622914.8199999996</v>
      </c>
    </row>
    <row r="2685" spans="1:4" x14ac:dyDescent="0.3">
      <c r="A2685" t="s">
        <v>22</v>
      </c>
      <c r="C2685" s="16">
        <v>46246</v>
      </c>
      <c r="D2685">
        <v>731496.38</v>
      </c>
    </row>
    <row r="2686" spans="1:4" x14ac:dyDescent="0.3">
      <c r="A2686" t="s">
        <v>23</v>
      </c>
      <c r="C2686" s="16">
        <v>46246</v>
      </c>
      <c r="D2686">
        <v>277582.47000000003</v>
      </c>
    </row>
    <row r="2687" spans="1:4" x14ac:dyDescent="0.3">
      <c r="A2687" t="s">
        <v>24</v>
      </c>
      <c r="C2687" s="16">
        <v>46246</v>
      </c>
      <c r="D2687">
        <v>13270.02</v>
      </c>
    </row>
    <row r="2688" spans="1:4" x14ac:dyDescent="0.3">
      <c r="A2688" t="s">
        <v>25</v>
      </c>
      <c r="C2688" s="16">
        <v>46246</v>
      </c>
      <c r="D2688">
        <v>24.450000000000003</v>
      </c>
    </row>
    <row r="2689" spans="1:4" x14ac:dyDescent="0.3">
      <c r="A2689" t="s">
        <v>26</v>
      </c>
      <c r="C2689" s="16">
        <v>46246</v>
      </c>
      <c r="D2689">
        <v>2177.87</v>
      </c>
    </row>
    <row r="2690" spans="1:4" x14ac:dyDescent="0.3">
      <c r="A2690" t="s">
        <v>27</v>
      </c>
      <c r="C2690" s="16">
        <v>46246</v>
      </c>
      <c r="D2690">
        <v>754424.72</v>
      </c>
    </row>
    <row r="2691" spans="1:4" x14ac:dyDescent="0.3">
      <c r="A2691" t="s">
        <v>28</v>
      </c>
      <c r="C2691" s="16">
        <v>46246</v>
      </c>
      <c r="D2691">
        <v>1968.99</v>
      </c>
    </row>
    <row r="2692" spans="1:4" x14ac:dyDescent="0.3">
      <c r="A2692" t="s">
        <v>29</v>
      </c>
      <c r="C2692" s="16">
        <v>46246</v>
      </c>
      <c r="D2692">
        <v>901.34</v>
      </c>
    </row>
    <row r="2693" spans="1:4" x14ac:dyDescent="0.3">
      <c r="A2693" t="s">
        <v>30</v>
      </c>
      <c r="C2693" s="16">
        <v>46246</v>
      </c>
      <c r="D2693">
        <v>1396.08</v>
      </c>
    </row>
    <row r="2694" spans="1:4" x14ac:dyDescent="0.3">
      <c r="A2694" t="s">
        <v>31</v>
      </c>
      <c r="C2694" s="16">
        <v>46246</v>
      </c>
      <c r="D2694">
        <v>3700.7099999999591</v>
      </c>
    </row>
    <row r="2695" spans="1:4" x14ac:dyDescent="0.3">
      <c r="A2695" t="s">
        <v>32</v>
      </c>
      <c r="C2695" s="16">
        <v>46246</v>
      </c>
      <c r="D2695">
        <v>8724.1700000000037</v>
      </c>
    </row>
    <row r="2696" spans="1:4" x14ac:dyDescent="0.3">
      <c r="A2696" t="s">
        <v>33</v>
      </c>
      <c r="C2696" s="16">
        <v>46246</v>
      </c>
      <c r="D2696">
        <v>19336.039999999997</v>
      </c>
    </row>
    <row r="2697" spans="1:4" x14ac:dyDescent="0.3">
      <c r="A2697" t="s">
        <v>34</v>
      </c>
      <c r="C2697" s="16">
        <v>46246</v>
      </c>
      <c r="D2697">
        <v>345</v>
      </c>
    </row>
    <row r="2698" spans="1:4" x14ac:dyDescent="0.3">
      <c r="A2698" t="s">
        <v>35</v>
      </c>
      <c r="C2698" s="16">
        <v>46246</v>
      </c>
      <c r="D2698">
        <v>12470.040000000003</v>
      </c>
    </row>
    <row r="2699" spans="1:4" x14ac:dyDescent="0.3">
      <c r="A2699" t="s">
        <v>193</v>
      </c>
      <c r="C2699" s="16">
        <v>46246</v>
      </c>
      <c r="D2699">
        <v>0</v>
      </c>
    </row>
    <row r="2700" spans="1:4" x14ac:dyDescent="0.3">
      <c r="A2700" t="s">
        <v>194</v>
      </c>
      <c r="C2700" s="16">
        <v>46246</v>
      </c>
      <c r="D2700">
        <v>0</v>
      </c>
    </row>
    <row r="2701" spans="1:4" x14ac:dyDescent="0.3">
      <c r="A2701" t="s">
        <v>195</v>
      </c>
      <c r="C2701" s="16">
        <v>46246</v>
      </c>
      <c r="D2701">
        <v>0</v>
      </c>
    </row>
    <row r="2702" spans="1:4" x14ac:dyDescent="0.3">
      <c r="A2702" t="s">
        <v>196</v>
      </c>
      <c r="C2702" s="16">
        <v>46246</v>
      </c>
      <c r="D2702">
        <v>0</v>
      </c>
    </row>
    <row r="2703" spans="1:4" x14ac:dyDescent="0.3">
      <c r="A2703" t="s">
        <v>197</v>
      </c>
      <c r="C2703" s="16">
        <v>46246</v>
      </c>
      <c r="D2703">
        <v>0</v>
      </c>
    </row>
    <row r="2704" spans="1:4" x14ac:dyDescent="0.3">
      <c r="A2704" t="s">
        <v>214</v>
      </c>
      <c r="C2704" s="16">
        <v>46246</v>
      </c>
      <c r="D2704">
        <v>0</v>
      </c>
    </row>
    <row r="2705" spans="1:4" x14ac:dyDescent="0.3">
      <c r="A2705" t="s">
        <v>199</v>
      </c>
      <c r="C2705" s="16">
        <v>46246</v>
      </c>
      <c r="D2705">
        <v>0</v>
      </c>
    </row>
    <row r="2706" spans="1:4" x14ac:dyDescent="0.3">
      <c r="A2706" t="s">
        <v>17</v>
      </c>
      <c r="C2706" s="16">
        <v>46247</v>
      </c>
      <c r="D2706">
        <v>1041223.5800000004</v>
      </c>
    </row>
    <row r="2707" spans="1:4" x14ac:dyDescent="0.3">
      <c r="A2707" t="s">
        <v>18</v>
      </c>
      <c r="C2707" s="16">
        <v>46247</v>
      </c>
      <c r="D2707">
        <v>83211.250000000175</v>
      </c>
    </row>
    <row r="2708" spans="1:4" x14ac:dyDescent="0.3">
      <c r="A2708" t="s">
        <v>19</v>
      </c>
      <c r="C2708" s="16">
        <v>46247</v>
      </c>
      <c r="D2708">
        <v>1669.89</v>
      </c>
    </row>
    <row r="2709" spans="1:4" x14ac:dyDescent="0.3">
      <c r="A2709" t="s">
        <v>20</v>
      </c>
      <c r="C2709" s="16">
        <v>46247</v>
      </c>
      <c r="D2709">
        <v>1289451.94</v>
      </c>
    </row>
    <row r="2710" spans="1:4" x14ac:dyDescent="0.3">
      <c r="A2710" t="s">
        <v>21</v>
      </c>
      <c r="C2710" s="16">
        <v>46247</v>
      </c>
      <c r="D2710">
        <v>1418808.6399999997</v>
      </c>
    </row>
    <row r="2711" spans="1:4" x14ac:dyDescent="0.3">
      <c r="A2711" t="s">
        <v>22</v>
      </c>
      <c r="C2711" s="16">
        <v>46247</v>
      </c>
      <c r="D2711">
        <v>221496.38</v>
      </c>
    </row>
    <row r="2712" spans="1:4" x14ac:dyDescent="0.3">
      <c r="A2712" t="s">
        <v>23</v>
      </c>
      <c r="C2712" s="16">
        <v>46247</v>
      </c>
      <c r="D2712">
        <v>277582.47000000003</v>
      </c>
    </row>
    <row r="2713" spans="1:4" x14ac:dyDescent="0.3">
      <c r="A2713" t="s">
        <v>24</v>
      </c>
      <c r="C2713" s="16">
        <v>46247</v>
      </c>
      <c r="D2713">
        <v>13270.02</v>
      </c>
    </row>
    <row r="2714" spans="1:4" x14ac:dyDescent="0.3">
      <c r="A2714" t="s">
        <v>25</v>
      </c>
      <c r="C2714" s="16">
        <v>46247</v>
      </c>
      <c r="D2714">
        <v>24.450000000000003</v>
      </c>
    </row>
    <row r="2715" spans="1:4" x14ac:dyDescent="0.3">
      <c r="A2715" t="s">
        <v>26</v>
      </c>
      <c r="C2715" s="16">
        <v>46247</v>
      </c>
      <c r="D2715">
        <v>2177.87</v>
      </c>
    </row>
    <row r="2716" spans="1:4" x14ac:dyDescent="0.3">
      <c r="A2716" t="s">
        <v>27</v>
      </c>
      <c r="C2716" s="16">
        <v>46247</v>
      </c>
      <c r="D2716">
        <v>754424.72</v>
      </c>
    </row>
    <row r="2717" spans="1:4" x14ac:dyDescent="0.3">
      <c r="A2717" t="s">
        <v>28</v>
      </c>
      <c r="C2717" s="16">
        <v>46247</v>
      </c>
      <c r="D2717">
        <v>1968.99</v>
      </c>
    </row>
    <row r="2718" spans="1:4" x14ac:dyDescent="0.3">
      <c r="A2718" t="s">
        <v>29</v>
      </c>
      <c r="C2718" s="16">
        <v>46247</v>
      </c>
      <c r="D2718">
        <v>901.34</v>
      </c>
    </row>
    <row r="2719" spans="1:4" x14ac:dyDescent="0.3">
      <c r="A2719" t="s">
        <v>30</v>
      </c>
      <c r="C2719" s="16">
        <v>46247</v>
      </c>
      <c r="D2719">
        <v>1396.08</v>
      </c>
    </row>
    <row r="2720" spans="1:4" x14ac:dyDescent="0.3">
      <c r="A2720" t="s">
        <v>31</v>
      </c>
      <c r="C2720" s="16">
        <v>46247</v>
      </c>
      <c r="D2720">
        <v>13700.709999999959</v>
      </c>
    </row>
    <row r="2721" spans="1:4" x14ac:dyDescent="0.3">
      <c r="A2721" t="s">
        <v>32</v>
      </c>
      <c r="C2721" s="16">
        <v>46247</v>
      </c>
      <c r="D2721">
        <v>8724.1700000000037</v>
      </c>
    </row>
    <row r="2722" spans="1:4" x14ac:dyDescent="0.3">
      <c r="A2722" t="s">
        <v>33</v>
      </c>
      <c r="C2722" s="16">
        <v>46247</v>
      </c>
      <c r="D2722">
        <v>19336.039999999997</v>
      </c>
    </row>
    <row r="2723" spans="1:4" x14ac:dyDescent="0.3">
      <c r="A2723" t="s">
        <v>34</v>
      </c>
      <c r="C2723" s="16">
        <v>46247</v>
      </c>
      <c r="D2723">
        <v>345</v>
      </c>
    </row>
    <row r="2724" spans="1:4" x14ac:dyDescent="0.3">
      <c r="A2724" t="s">
        <v>35</v>
      </c>
      <c r="C2724" s="16">
        <v>46247</v>
      </c>
      <c r="D2724">
        <v>14740.900000000001</v>
      </c>
    </row>
    <row r="2725" spans="1:4" x14ac:dyDescent="0.3">
      <c r="A2725" t="s">
        <v>193</v>
      </c>
      <c r="C2725" s="16">
        <v>46247</v>
      </c>
      <c r="D2725">
        <v>0</v>
      </c>
    </row>
    <row r="2726" spans="1:4" x14ac:dyDescent="0.3">
      <c r="A2726" t="s">
        <v>194</v>
      </c>
      <c r="C2726" s="16">
        <v>46247</v>
      </c>
      <c r="D2726">
        <v>0</v>
      </c>
    </row>
    <row r="2727" spans="1:4" x14ac:dyDescent="0.3">
      <c r="A2727" t="s">
        <v>195</v>
      </c>
      <c r="C2727" s="16">
        <v>46247</v>
      </c>
      <c r="D2727">
        <v>0</v>
      </c>
    </row>
    <row r="2728" spans="1:4" x14ac:dyDescent="0.3">
      <c r="A2728" t="s">
        <v>196</v>
      </c>
      <c r="C2728" s="16">
        <v>46247</v>
      </c>
      <c r="D2728">
        <v>0</v>
      </c>
    </row>
    <row r="2729" spans="1:4" x14ac:dyDescent="0.3">
      <c r="A2729" t="s">
        <v>197</v>
      </c>
      <c r="C2729" s="16">
        <v>46247</v>
      </c>
      <c r="D2729">
        <v>0</v>
      </c>
    </row>
    <row r="2730" spans="1:4" x14ac:dyDescent="0.3">
      <c r="A2730" t="s">
        <v>214</v>
      </c>
      <c r="C2730" s="16">
        <v>46247</v>
      </c>
      <c r="D2730">
        <v>0</v>
      </c>
    </row>
    <row r="2731" spans="1:4" x14ac:dyDescent="0.3">
      <c r="A2731" t="s">
        <v>199</v>
      </c>
      <c r="C2731" s="16">
        <v>46247</v>
      </c>
      <c r="D2731">
        <v>0</v>
      </c>
    </row>
    <row r="2732" spans="1:4" x14ac:dyDescent="0.3">
      <c r="A2732" t="s">
        <v>17</v>
      </c>
      <c r="C2732" s="16">
        <v>46248</v>
      </c>
      <c r="D2732">
        <v>941223.58000000042</v>
      </c>
    </row>
    <row r="2733" spans="1:4" x14ac:dyDescent="0.3">
      <c r="A2733" t="s">
        <v>18</v>
      </c>
      <c r="C2733" s="16">
        <v>46248</v>
      </c>
      <c r="D2733">
        <v>83211.250000000175</v>
      </c>
    </row>
    <row r="2734" spans="1:4" x14ac:dyDescent="0.3">
      <c r="A2734" t="s">
        <v>19</v>
      </c>
      <c r="C2734" s="16">
        <v>46248</v>
      </c>
      <c r="D2734">
        <v>1669.89</v>
      </c>
    </row>
    <row r="2735" spans="1:4" x14ac:dyDescent="0.3">
      <c r="A2735" t="s">
        <v>20</v>
      </c>
      <c r="C2735" s="16">
        <v>46248</v>
      </c>
      <c r="D2735">
        <v>1289451.94</v>
      </c>
    </row>
    <row r="2736" spans="1:4" x14ac:dyDescent="0.3">
      <c r="A2736" t="s">
        <v>21</v>
      </c>
      <c r="C2736" s="16">
        <v>46248</v>
      </c>
      <c r="D2736">
        <v>1418808.6399999997</v>
      </c>
    </row>
    <row r="2737" spans="1:4" x14ac:dyDescent="0.3">
      <c r="A2737" t="s">
        <v>22</v>
      </c>
      <c r="C2737" s="16">
        <v>46248</v>
      </c>
      <c r="D2737">
        <v>221496.38</v>
      </c>
    </row>
    <row r="2738" spans="1:4" x14ac:dyDescent="0.3">
      <c r="A2738" t="s">
        <v>23</v>
      </c>
      <c r="C2738" s="16">
        <v>46248</v>
      </c>
      <c r="D2738">
        <v>277586.34000000003</v>
      </c>
    </row>
    <row r="2739" spans="1:4" x14ac:dyDescent="0.3">
      <c r="A2739" t="s">
        <v>24</v>
      </c>
      <c r="C2739" s="16">
        <v>46248</v>
      </c>
      <c r="D2739">
        <v>13270.02</v>
      </c>
    </row>
    <row r="2740" spans="1:4" x14ac:dyDescent="0.3">
      <c r="A2740" t="s">
        <v>25</v>
      </c>
      <c r="C2740" s="16">
        <v>46248</v>
      </c>
      <c r="D2740">
        <v>24.450000000000003</v>
      </c>
    </row>
    <row r="2741" spans="1:4" x14ac:dyDescent="0.3">
      <c r="A2741" t="s">
        <v>26</v>
      </c>
      <c r="C2741" s="16">
        <v>46248</v>
      </c>
      <c r="D2741">
        <v>2177.87</v>
      </c>
    </row>
    <row r="2742" spans="1:4" x14ac:dyDescent="0.3">
      <c r="A2742" t="s">
        <v>27</v>
      </c>
      <c r="C2742" s="16">
        <v>46248</v>
      </c>
      <c r="D2742">
        <v>754424.72</v>
      </c>
    </row>
    <row r="2743" spans="1:4" x14ac:dyDescent="0.3">
      <c r="A2743" t="s">
        <v>28</v>
      </c>
      <c r="C2743" s="16">
        <v>46248</v>
      </c>
      <c r="D2743">
        <v>1968.99</v>
      </c>
    </row>
    <row r="2744" spans="1:4" x14ac:dyDescent="0.3">
      <c r="A2744" t="s">
        <v>29</v>
      </c>
      <c r="C2744" s="16">
        <v>46248</v>
      </c>
      <c r="D2744">
        <v>901.34</v>
      </c>
    </row>
    <row r="2745" spans="1:4" x14ac:dyDescent="0.3">
      <c r="A2745" t="s">
        <v>30</v>
      </c>
      <c r="C2745" s="16">
        <v>46248</v>
      </c>
      <c r="D2745">
        <v>1396.08</v>
      </c>
    </row>
    <row r="2746" spans="1:4" x14ac:dyDescent="0.3">
      <c r="A2746" t="s">
        <v>31</v>
      </c>
      <c r="C2746" s="16">
        <v>46248</v>
      </c>
      <c r="D2746">
        <v>13685.709999999959</v>
      </c>
    </row>
    <row r="2747" spans="1:4" x14ac:dyDescent="0.3">
      <c r="A2747" t="s">
        <v>32</v>
      </c>
      <c r="C2747" s="16">
        <v>46248</v>
      </c>
      <c r="D2747">
        <v>8724.1700000000037</v>
      </c>
    </row>
    <row r="2748" spans="1:4" x14ac:dyDescent="0.3">
      <c r="A2748" t="s">
        <v>33</v>
      </c>
      <c r="C2748" s="16">
        <v>46248</v>
      </c>
      <c r="D2748">
        <v>19336.039999999997</v>
      </c>
    </row>
    <row r="2749" spans="1:4" x14ac:dyDescent="0.3">
      <c r="A2749" t="s">
        <v>34</v>
      </c>
      <c r="C2749" s="16">
        <v>46248</v>
      </c>
      <c r="D2749">
        <v>345</v>
      </c>
    </row>
    <row r="2750" spans="1:4" x14ac:dyDescent="0.3">
      <c r="A2750" t="s">
        <v>35</v>
      </c>
      <c r="C2750" s="16">
        <v>46248</v>
      </c>
      <c r="D2750">
        <v>14740.900000000001</v>
      </c>
    </row>
    <row r="2751" spans="1:4" x14ac:dyDescent="0.3">
      <c r="A2751" t="s">
        <v>193</v>
      </c>
      <c r="C2751" s="16">
        <v>46248</v>
      </c>
      <c r="D2751">
        <v>0</v>
      </c>
    </row>
    <row r="2752" spans="1:4" x14ac:dyDescent="0.3">
      <c r="A2752" t="s">
        <v>194</v>
      </c>
      <c r="C2752" s="16">
        <v>46248</v>
      </c>
      <c r="D2752">
        <v>0</v>
      </c>
    </row>
    <row r="2753" spans="1:4" x14ac:dyDescent="0.3">
      <c r="A2753" t="s">
        <v>195</v>
      </c>
      <c r="C2753" s="16">
        <v>46248</v>
      </c>
      <c r="D2753">
        <v>0</v>
      </c>
    </row>
    <row r="2754" spans="1:4" x14ac:dyDescent="0.3">
      <c r="A2754" t="s">
        <v>196</v>
      </c>
      <c r="C2754" s="16">
        <v>46248</v>
      </c>
      <c r="D2754">
        <v>0</v>
      </c>
    </row>
    <row r="2755" spans="1:4" x14ac:dyDescent="0.3">
      <c r="A2755" t="s">
        <v>197</v>
      </c>
      <c r="C2755" s="16">
        <v>46248</v>
      </c>
      <c r="D2755">
        <v>0</v>
      </c>
    </row>
    <row r="2756" spans="1:4" x14ac:dyDescent="0.3">
      <c r="A2756" t="s">
        <v>214</v>
      </c>
      <c r="C2756" s="16">
        <v>46248</v>
      </c>
      <c r="D2756">
        <v>0</v>
      </c>
    </row>
    <row r="2757" spans="1:4" x14ac:dyDescent="0.3">
      <c r="A2757" t="s">
        <v>199</v>
      </c>
      <c r="C2757" s="16">
        <v>46248</v>
      </c>
      <c r="D2757">
        <v>0</v>
      </c>
    </row>
    <row r="2758" spans="1:4" x14ac:dyDescent="0.3">
      <c r="A2758" t="s">
        <v>17</v>
      </c>
      <c r="C2758" s="16">
        <v>46249</v>
      </c>
      <c r="D2758">
        <v>941223.58000000042</v>
      </c>
    </row>
    <row r="2759" spans="1:4" x14ac:dyDescent="0.3">
      <c r="A2759" t="s">
        <v>18</v>
      </c>
      <c r="C2759" s="16">
        <v>46249</v>
      </c>
      <c r="D2759">
        <v>83211.250000000175</v>
      </c>
    </row>
    <row r="2760" spans="1:4" x14ac:dyDescent="0.3">
      <c r="A2760" t="s">
        <v>19</v>
      </c>
      <c r="C2760" s="16">
        <v>46249</v>
      </c>
      <c r="D2760">
        <v>1669.89</v>
      </c>
    </row>
    <row r="2761" spans="1:4" x14ac:dyDescent="0.3">
      <c r="A2761" t="s">
        <v>20</v>
      </c>
      <c r="C2761" s="16">
        <v>46249</v>
      </c>
      <c r="D2761">
        <v>1289451.94</v>
      </c>
    </row>
    <row r="2762" spans="1:4" x14ac:dyDescent="0.3">
      <c r="A2762" t="s">
        <v>21</v>
      </c>
      <c r="C2762" s="16">
        <v>46249</v>
      </c>
      <c r="D2762">
        <v>1418808.6399999997</v>
      </c>
    </row>
    <row r="2763" spans="1:4" x14ac:dyDescent="0.3">
      <c r="A2763" t="s">
        <v>22</v>
      </c>
      <c r="C2763" s="16">
        <v>46249</v>
      </c>
      <c r="D2763">
        <v>221496.38</v>
      </c>
    </row>
    <row r="2764" spans="1:4" x14ac:dyDescent="0.3">
      <c r="A2764" t="s">
        <v>23</v>
      </c>
      <c r="C2764" s="16">
        <v>46249</v>
      </c>
      <c r="D2764">
        <v>277586.34000000003</v>
      </c>
    </row>
    <row r="2765" spans="1:4" x14ac:dyDescent="0.3">
      <c r="A2765" t="s">
        <v>24</v>
      </c>
      <c r="C2765" s="16">
        <v>46249</v>
      </c>
      <c r="D2765">
        <v>13270.02</v>
      </c>
    </row>
    <row r="2766" spans="1:4" x14ac:dyDescent="0.3">
      <c r="A2766" t="s">
        <v>25</v>
      </c>
      <c r="C2766" s="16">
        <v>46249</v>
      </c>
      <c r="D2766">
        <v>24.450000000000003</v>
      </c>
    </row>
    <row r="2767" spans="1:4" x14ac:dyDescent="0.3">
      <c r="A2767" t="s">
        <v>26</v>
      </c>
      <c r="C2767" s="16">
        <v>46249</v>
      </c>
      <c r="D2767">
        <v>2177.87</v>
      </c>
    </row>
    <row r="2768" spans="1:4" x14ac:dyDescent="0.3">
      <c r="A2768" t="s">
        <v>27</v>
      </c>
      <c r="C2768" s="16">
        <v>46249</v>
      </c>
      <c r="D2768">
        <v>754424.72</v>
      </c>
    </row>
    <row r="2769" spans="1:4" x14ac:dyDescent="0.3">
      <c r="A2769" t="s">
        <v>28</v>
      </c>
      <c r="C2769" s="16">
        <v>46249</v>
      </c>
      <c r="D2769">
        <v>1968.99</v>
      </c>
    </row>
    <row r="2770" spans="1:4" x14ac:dyDescent="0.3">
      <c r="A2770" t="s">
        <v>29</v>
      </c>
      <c r="C2770" s="16">
        <v>46249</v>
      </c>
      <c r="D2770">
        <v>901.34</v>
      </c>
    </row>
    <row r="2771" spans="1:4" x14ac:dyDescent="0.3">
      <c r="A2771" t="s">
        <v>30</v>
      </c>
      <c r="C2771" s="16">
        <v>46249</v>
      </c>
      <c r="D2771">
        <v>1396.08</v>
      </c>
    </row>
    <row r="2772" spans="1:4" x14ac:dyDescent="0.3">
      <c r="A2772" t="s">
        <v>31</v>
      </c>
      <c r="C2772" s="16">
        <v>46249</v>
      </c>
      <c r="D2772">
        <v>13685.709999999959</v>
      </c>
    </row>
    <row r="2773" spans="1:4" x14ac:dyDescent="0.3">
      <c r="A2773" t="s">
        <v>32</v>
      </c>
      <c r="C2773" s="16">
        <v>46249</v>
      </c>
      <c r="D2773">
        <v>8724.1700000000037</v>
      </c>
    </row>
    <row r="2774" spans="1:4" x14ac:dyDescent="0.3">
      <c r="A2774" t="s">
        <v>33</v>
      </c>
      <c r="C2774" s="16">
        <v>46249</v>
      </c>
      <c r="D2774">
        <v>19336.039999999997</v>
      </c>
    </row>
    <row r="2775" spans="1:4" x14ac:dyDescent="0.3">
      <c r="A2775" t="s">
        <v>34</v>
      </c>
      <c r="C2775" s="16">
        <v>46249</v>
      </c>
      <c r="D2775">
        <v>345</v>
      </c>
    </row>
    <row r="2776" spans="1:4" x14ac:dyDescent="0.3">
      <c r="A2776" t="s">
        <v>35</v>
      </c>
      <c r="C2776" s="16">
        <v>46249</v>
      </c>
      <c r="D2776">
        <v>14740.900000000001</v>
      </c>
    </row>
    <row r="2777" spans="1:4" x14ac:dyDescent="0.3">
      <c r="A2777" t="s">
        <v>193</v>
      </c>
      <c r="C2777" s="16">
        <v>46249</v>
      </c>
      <c r="D2777">
        <v>0</v>
      </c>
    </row>
    <row r="2778" spans="1:4" x14ac:dyDescent="0.3">
      <c r="A2778" t="s">
        <v>194</v>
      </c>
      <c r="C2778" s="16">
        <v>46249</v>
      </c>
      <c r="D2778">
        <v>0</v>
      </c>
    </row>
    <row r="2779" spans="1:4" x14ac:dyDescent="0.3">
      <c r="A2779" t="s">
        <v>195</v>
      </c>
      <c r="C2779" s="16">
        <v>46249</v>
      </c>
      <c r="D2779">
        <v>0</v>
      </c>
    </row>
    <row r="2780" spans="1:4" x14ac:dyDescent="0.3">
      <c r="A2780" t="s">
        <v>196</v>
      </c>
      <c r="C2780" s="16">
        <v>46249</v>
      </c>
      <c r="D2780">
        <v>0</v>
      </c>
    </row>
    <row r="2781" spans="1:4" x14ac:dyDescent="0.3">
      <c r="A2781" t="s">
        <v>197</v>
      </c>
      <c r="C2781" s="16">
        <v>46249</v>
      </c>
      <c r="D2781">
        <v>0</v>
      </c>
    </row>
    <row r="2782" spans="1:4" x14ac:dyDescent="0.3">
      <c r="A2782" t="s">
        <v>214</v>
      </c>
      <c r="C2782" s="16">
        <v>46249</v>
      </c>
      <c r="D2782">
        <v>0</v>
      </c>
    </row>
    <row r="2783" spans="1:4" x14ac:dyDescent="0.3">
      <c r="A2783" t="s">
        <v>199</v>
      </c>
      <c r="C2783" s="16">
        <v>46249</v>
      </c>
      <c r="D2783">
        <v>0</v>
      </c>
    </row>
    <row r="2784" spans="1:4" x14ac:dyDescent="0.3">
      <c r="A2784" t="s">
        <v>17</v>
      </c>
      <c r="C2784" s="16">
        <v>46250</v>
      </c>
      <c r="D2784">
        <v>941223.58000000042</v>
      </c>
    </row>
    <row r="2785" spans="1:4" x14ac:dyDescent="0.3">
      <c r="A2785" t="s">
        <v>18</v>
      </c>
      <c r="C2785" s="16">
        <v>46250</v>
      </c>
      <c r="D2785">
        <v>83211.250000000175</v>
      </c>
    </row>
    <row r="2786" spans="1:4" x14ac:dyDescent="0.3">
      <c r="A2786" t="s">
        <v>19</v>
      </c>
      <c r="C2786" s="16">
        <v>46250</v>
      </c>
      <c r="D2786">
        <v>1669.89</v>
      </c>
    </row>
    <row r="2787" spans="1:4" x14ac:dyDescent="0.3">
      <c r="A2787" t="s">
        <v>20</v>
      </c>
      <c r="C2787" s="16">
        <v>46250</v>
      </c>
      <c r="D2787">
        <v>1289451.94</v>
      </c>
    </row>
    <row r="2788" spans="1:4" x14ac:dyDescent="0.3">
      <c r="A2788" t="s">
        <v>21</v>
      </c>
      <c r="C2788" s="16">
        <v>46250</v>
      </c>
      <c r="D2788">
        <v>1418808.6399999997</v>
      </c>
    </row>
    <row r="2789" spans="1:4" x14ac:dyDescent="0.3">
      <c r="A2789" t="s">
        <v>22</v>
      </c>
      <c r="C2789" s="16">
        <v>46250</v>
      </c>
      <c r="D2789">
        <v>221496.38</v>
      </c>
    </row>
    <row r="2790" spans="1:4" x14ac:dyDescent="0.3">
      <c r="A2790" t="s">
        <v>23</v>
      </c>
      <c r="C2790" s="16">
        <v>46250</v>
      </c>
      <c r="D2790">
        <v>277586.34000000003</v>
      </c>
    </row>
    <row r="2791" spans="1:4" x14ac:dyDescent="0.3">
      <c r="A2791" t="s">
        <v>24</v>
      </c>
      <c r="C2791" s="16">
        <v>46250</v>
      </c>
      <c r="D2791">
        <v>13270.02</v>
      </c>
    </row>
    <row r="2792" spans="1:4" x14ac:dyDescent="0.3">
      <c r="A2792" t="s">
        <v>25</v>
      </c>
      <c r="C2792" s="16">
        <v>46250</v>
      </c>
      <c r="D2792">
        <v>24.450000000000003</v>
      </c>
    </row>
    <row r="2793" spans="1:4" x14ac:dyDescent="0.3">
      <c r="A2793" t="s">
        <v>26</v>
      </c>
      <c r="C2793" s="16">
        <v>46250</v>
      </c>
      <c r="D2793">
        <v>2177.87</v>
      </c>
    </row>
    <row r="2794" spans="1:4" x14ac:dyDescent="0.3">
      <c r="A2794" t="s">
        <v>27</v>
      </c>
      <c r="C2794" s="16">
        <v>46250</v>
      </c>
      <c r="D2794">
        <v>754424.72</v>
      </c>
    </row>
    <row r="2795" spans="1:4" x14ac:dyDescent="0.3">
      <c r="A2795" t="s">
        <v>28</v>
      </c>
      <c r="C2795" s="16">
        <v>46250</v>
      </c>
      <c r="D2795">
        <v>1968.99</v>
      </c>
    </row>
    <row r="2796" spans="1:4" x14ac:dyDescent="0.3">
      <c r="A2796" t="s">
        <v>29</v>
      </c>
      <c r="C2796" s="16">
        <v>46250</v>
      </c>
      <c r="D2796">
        <v>901.34</v>
      </c>
    </row>
    <row r="2797" spans="1:4" x14ac:dyDescent="0.3">
      <c r="A2797" t="s">
        <v>30</v>
      </c>
      <c r="C2797" s="16">
        <v>46250</v>
      </c>
      <c r="D2797">
        <v>1396.08</v>
      </c>
    </row>
    <row r="2798" spans="1:4" x14ac:dyDescent="0.3">
      <c r="A2798" t="s">
        <v>31</v>
      </c>
      <c r="C2798" s="16">
        <v>46250</v>
      </c>
      <c r="D2798">
        <v>13685.709999999959</v>
      </c>
    </row>
    <row r="2799" spans="1:4" x14ac:dyDescent="0.3">
      <c r="A2799" t="s">
        <v>32</v>
      </c>
      <c r="C2799" s="16">
        <v>46250</v>
      </c>
      <c r="D2799">
        <v>8724.1700000000037</v>
      </c>
    </row>
    <row r="2800" spans="1:4" x14ac:dyDescent="0.3">
      <c r="A2800" t="s">
        <v>33</v>
      </c>
      <c r="C2800" s="16">
        <v>46250</v>
      </c>
      <c r="D2800">
        <v>19336.039999999997</v>
      </c>
    </row>
    <row r="2801" spans="1:4" x14ac:dyDescent="0.3">
      <c r="A2801" t="s">
        <v>34</v>
      </c>
      <c r="C2801" s="16">
        <v>46250</v>
      </c>
      <c r="D2801">
        <v>345</v>
      </c>
    </row>
    <row r="2802" spans="1:4" x14ac:dyDescent="0.3">
      <c r="A2802" t="s">
        <v>35</v>
      </c>
      <c r="C2802" s="16">
        <v>46250</v>
      </c>
      <c r="D2802">
        <v>14740.900000000001</v>
      </c>
    </row>
    <row r="2803" spans="1:4" x14ac:dyDescent="0.3">
      <c r="A2803" t="s">
        <v>193</v>
      </c>
      <c r="C2803" s="16">
        <v>46250</v>
      </c>
      <c r="D2803">
        <v>0</v>
      </c>
    </row>
    <row r="2804" spans="1:4" x14ac:dyDescent="0.3">
      <c r="A2804" t="s">
        <v>194</v>
      </c>
      <c r="C2804" s="16">
        <v>46250</v>
      </c>
      <c r="D2804">
        <v>0</v>
      </c>
    </row>
    <row r="2805" spans="1:4" x14ac:dyDescent="0.3">
      <c r="A2805" t="s">
        <v>195</v>
      </c>
      <c r="C2805" s="16">
        <v>46250</v>
      </c>
      <c r="D2805">
        <v>0</v>
      </c>
    </row>
    <row r="2806" spans="1:4" x14ac:dyDescent="0.3">
      <c r="A2806" t="s">
        <v>196</v>
      </c>
      <c r="C2806" s="16">
        <v>46250</v>
      </c>
      <c r="D2806">
        <v>0</v>
      </c>
    </row>
    <row r="2807" spans="1:4" x14ac:dyDescent="0.3">
      <c r="A2807" t="s">
        <v>197</v>
      </c>
      <c r="C2807" s="16">
        <v>46250</v>
      </c>
      <c r="D2807">
        <v>0</v>
      </c>
    </row>
    <row r="2808" spans="1:4" x14ac:dyDescent="0.3">
      <c r="A2808" t="s">
        <v>214</v>
      </c>
      <c r="C2808" s="16">
        <v>46250</v>
      </c>
      <c r="D2808">
        <v>0</v>
      </c>
    </row>
    <row r="2809" spans="1:4" x14ac:dyDescent="0.3">
      <c r="A2809" t="s">
        <v>199</v>
      </c>
      <c r="C2809" s="16">
        <v>46250</v>
      </c>
      <c r="D2809">
        <v>0</v>
      </c>
    </row>
    <row r="2810" spans="1:4" x14ac:dyDescent="0.3">
      <c r="A2810" t="s">
        <v>17</v>
      </c>
      <c r="C2810" s="16">
        <v>46251</v>
      </c>
      <c r="D2810">
        <v>941223.58000000042</v>
      </c>
    </row>
    <row r="2811" spans="1:4" x14ac:dyDescent="0.3">
      <c r="A2811" t="s">
        <v>18</v>
      </c>
      <c r="C2811" s="16">
        <v>46251</v>
      </c>
      <c r="D2811">
        <v>83211.250000000175</v>
      </c>
    </row>
    <row r="2812" spans="1:4" x14ac:dyDescent="0.3">
      <c r="A2812" t="s">
        <v>19</v>
      </c>
      <c r="C2812" s="16">
        <v>46251</v>
      </c>
      <c r="D2812">
        <v>1669.89</v>
      </c>
    </row>
    <row r="2813" spans="1:4" x14ac:dyDescent="0.3">
      <c r="A2813" t="s">
        <v>20</v>
      </c>
      <c r="C2813" s="16">
        <v>46251</v>
      </c>
      <c r="D2813">
        <v>1289031.3399999999</v>
      </c>
    </row>
    <row r="2814" spans="1:4" x14ac:dyDescent="0.3">
      <c r="A2814" t="s">
        <v>21</v>
      </c>
      <c r="C2814" s="16">
        <v>46251</v>
      </c>
      <c r="D2814">
        <v>1383977.5499999996</v>
      </c>
    </row>
    <row r="2815" spans="1:4" x14ac:dyDescent="0.3">
      <c r="A2815" t="s">
        <v>22</v>
      </c>
      <c r="C2815" s="16">
        <v>46251</v>
      </c>
      <c r="D2815">
        <v>221496.38</v>
      </c>
    </row>
    <row r="2816" spans="1:4" x14ac:dyDescent="0.3">
      <c r="A2816" t="s">
        <v>23</v>
      </c>
      <c r="C2816" s="16">
        <v>46251</v>
      </c>
      <c r="D2816">
        <v>277586.34000000003</v>
      </c>
    </row>
    <row r="2817" spans="1:4" x14ac:dyDescent="0.3">
      <c r="A2817" t="s">
        <v>24</v>
      </c>
      <c r="C2817" s="16">
        <v>46251</v>
      </c>
      <c r="D2817">
        <v>13270.02</v>
      </c>
    </row>
    <row r="2818" spans="1:4" x14ac:dyDescent="0.3">
      <c r="A2818" t="s">
        <v>25</v>
      </c>
      <c r="C2818" s="16">
        <v>46251</v>
      </c>
      <c r="D2818">
        <v>24.450000000000003</v>
      </c>
    </row>
    <row r="2819" spans="1:4" x14ac:dyDescent="0.3">
      <c r="A2819" t="s">
        <v>26</v>
      </c>
      <c r="C2819" s="16">
        <v>46251</v>
      </c>
      <c r="D2819">
        <v>2177.87</v>
      </c>
    </row>
    <row r="2820" spans="1:4" x14ac:dyDescent="0.3">
      <c r="A2820" t="s">
        <v>27</v>
      </c>
      <c r="C2820" s="16">
        <v>46251</v>
      </c>
      <c r="D2820">
        <v>754424.72</v>
      </c>
    </row>
    <row r="2821" spans="1:4" x14ac:dyDescent="0.3">
      <c r="A2821" t="s">
        <v>28</v>
      </c>
      <c r="C2821" s="16">
        <v>46251</v>
      </c>
      <c r="D2821">
        <v>1968.99</v>
      </c>
    </row>
    <row r="2822" spans="1:4" x14ac:dyDescent="0.3">
      <c r="A2822" t="s">
        <v>29</v>
      </c>
      <c r="C2822" s="16">
        <v>46251</v>
      </c>
      <c r="D2822">
        <v>901.34</v>
      </c>
    </row>
    <row r="2823" spans="1:4" x14ac:dyDescent="0.3">
      <c r="A2823" t="s">
        <v>30</v>
      </c>
      <c r="C2823" s="16">
        <v>46251</v>
      </c>
      <c r="D2823">
        <v>1396.08</v>
      </c>
    </row>
    <row r="2824" spans="1:4" x14ac:dyDescent="0.3">
      <c r="A2824" t="s">
        <v>31</v>
      </c>
      <c r="C2824" s="16">
        <v>46251</v>
      </c>
      <c r="D2824">
        <v>13685.709999999959</v>
      </c>
    </row>
    <row r="2825" spans="1:4" x14ac:dyDescent="0.3">
      <c r="A2825" t="s">
        <v>32</v>
      </c>
      <c r="C2825" s="16">
        <v>46251</v>
      </c>
      <c r="D2825">
        <v>8724.1700000000037</v>
      </c>
    </row>
    <row r="2826" spans="1:4" x14ac:dyDescent="0.3">
      <c r="A2826" t="s">
        <v>33</v>
      </c>
      <c r="C2826" s="16">
        <v>46251</v>
      </c>
      <c r="D2826">
        <v>19336.039999999997</v>
      </c>
    </row>
    <row r="2827" spans="1:4" x14ac:dyDescent="0.3">
      <c r="A2827" t="s">
        <v>34</v>
      </c>
      <c r="C2827" s="16">
        <v>46251</v>
      </c>
      <c r="D2827">
        <v>345</v>
      </c>
    </row>
    <row r="2828" spans="1:4" x14ac:dyDescent="0.3">
      <c r="A2828" t="s">
        <v>35</v>
      </c>
      <c r="C2828" s="16">
        <v>46251</v>
      </c>
      <c r="D2828">
        <v>14565.900000000001</v>
      </c>
    </row>
    <row r="2829" spans="1:4" x14ac:dyDescent="0.3">
      <c r="A2829" t="s">
        <v>193</v>
      </c>
      <c r="C2829" s="16">
        <v>46251</v>
      </c>
      <c r="D2829">
        <v>0</v>
      </c>
    </row>
    <row r="2830" spans="1:4" x14ac:dyDescent="0.3">
      <c r="A2830" t="s">
        <v>194</v>
      </c>
      <c r="C2830" s="16">
        <v>46251</v>
      </c>
      <c r="D2830">
        <v>0</v>
      </c>
    </row>
    <row r="2831" spans="1:4" x14ac:dyDescent="0.3">
      <c r="A2831" t="s">
        <v>195</v>
      </c>
      <c r="C2831" s="16">
        <v>46251</v>
      </c>
      <c r="D2831">
        <v>0</v>
      </c>
    </row>
    <row r="2832" spans="1:4" x14ac:dyDescent="0.3">
      <c r="A2832" t="s">
        <v>196</v>
      </c>
      <c r="C2832" s="16">
        <v>46251</v>
      </c>
      <c r="D2832">
        <v>0</v>
      </c>
    </row>
    <row r="2833" spans="1:4" x14ac:dyDescent="0.3">
      <c r="A2833" t="s">
        <v>197</v>
      </c>
      <c r="C2833" s="16">
        <v>46251</v>
      </c>
      <c r="D2833">
        <v>0</v>
      </c>
    </row>
    <row r="2834" spans="1:4" x14ac:dyDescent="0.3">
      <c r="A2834" t="s">
        <v>214</v>
      </c>
      <c r="C2834" s="16">
        <v>46251</v>
      </c>
      <c r="D2834">
        <v>0</v>
      </c>
    </row>
    <row r="2835" spans="1:4" x14ac:dyDescent="0.3">
      <c r="A2835" t="s">
        <v>199</v>
      </c>
      <c r="C2835" s="16">
        <v>46251</v>
      </c>
      <c r="D2835">
        <v>0</v>
      </c>
    </row>
    <row r="2836" spans="1:4" x14ac:dyDescent="0.3">
      <c r="A2836" t="s">
        <v>17</v>
      </c>
      <c r="C2836" s="16">
        <v>46252</v>
      </c>
      <c r="D2836">
        <v>1047085.3600000005</v>
      </c>
    </row>
    <row r="2837" spans="1:4" x14ac:dyDescent="0.3">
      <c r="A2837" t="s">
        <v>18</v>
      </c>
      <c r="C2837" s="16">
        <v>46252</v>
      </c>
      <c r="D2837">
        <v>83211.250000000175</v>
      </c>
    </row>
    <row r="2838" spans="1:4" x14ac:dyDescent="0.3">
      <c r="A2838" t="s">
        <v>19</v>
      </c>
      <c r="C2838" s="16">
        <v>46252</v>
      </c>
      <c r="D2838">
        <v>1669.89</v>
      </c>
    </row>
    <row r="2839" spans="1:4" x14ac:dyDescent="0.3">
      <c r="A2839" t="s">
        <v>20</v>
      </c>
      <c r="C2839" s="16">
        <v>46252</v>
      </c>
      <c r="D2839">
        <v>1289031.3399999999</v>
      </c>
    </row>
    <row r="2840" spans="1:4" x14ac:dyDescent="0.3">
      <c r="A2840" t="s">
        <v>21</v>
      </c>
      <c r="C2840" s="16">
        <v>46252</v>
      </c>
      <c r="D2840">
        <v>1381487.1899999995</v>
      </c>
    </row>
    <row r="2841" spans="1:4" x14ac:dyDescent="0.3">
      <c r="A2841" t="s">
        <v>22</v>
      </c>
      <c r="C2841" s="16">
        <v>46252</v>
      </c>
      <c r="D2841">
        <v>221496.38</v>
      </c>
    </row>
    <row r="2842" spans="1:4" x14ac:dyDescent="0.3">
      <c r="A2842" t="s">
        <v>23</v>
      </c>
      <c r="C2842" s="16">
        <v>46252</v>
      </c>
      <c r="D2842">
        <v>277586.34000000003</v>
      </c>
    </row>
    <row r="2843" spans="1:4" x14ac:dyDescent="0.3">
      <c r="A2843" t="s">
        <v>24</v>
      </c>
      <c r="C2843" s="16">
        <v>46252</v>
      </c>
      <c r="D2843">
        <v>13270.02</v>
      </c>
    </row>
    <row r="2844" spans="1:4" x14ac:dyDescent="0.3">
      <c r="A2844" t="s">
        <v>25</v>
      </c>
      <c r="C2844" s="16">
        <v>46252</v>
      </c>
      <c r="D2844">
        <v>24.450000000000003</v>
      </c>
    </row>
    <row r="2845" spans="1:4" x14ac:dyDescent="0.3">
      <c r="A2845" t="s">
        <v>26</v>
      </c>
      <c r="C2845" s="16">
        <v>46252</v>
      </c>
      <c r="D2845">
        <v>2177.87</v>
      </c>
    </row>
    <row r="2846" spans="1:4" x14ac:dyDescent="0.3">
      <c r="A2846" t="s">
        <v>27</v>
      </c>
      <c r="C2846" s="16">
        <v>46252</v>
      </c>
      <c r="D2846">
        <v>754424.72</v>
      </c>
    </row>
    <row r="2847" spans="1:4" x14ac:dyDescent="0.3">
      <c r="A2847" t="s">
        <v>28</v>
      </c>
      <c r="C2847" s="16">
        <v>46252</v>
      </c>
      <c r="D2847">
        <v>1968.99</v>
      </c>
    </row>
    <row r="2848" spans="1:4" x14ac:dyDescent="0.3">
      <c r="A2848" t="s">
        <v>29</v>
      </c>
      <c r="C2848" s="16">
        <v>46252</v>
      </c>
      <c r="D2848">
        <v>901.34</v>
      </c>
    </row>
    <row r="2849" spans="1:4" x14ac:dyDescent="0.3">
      <c r="A2849" t="s">
        <v>30</v>
      </c>
      <c r="C2849" s="16">
        <v>46252</v>
      </c>
      <c r="D2849">
        <v>1396.08</v>
      </c>
    </row>
    <row r="2850" spans="1:4" x14ac:dyDescent="0.3">
      <c r="A2850" t="s">
        <v>31</v>
      </c>
      <c r="C2850" s="16">
        <v>46252</v>
      </c>
      <c r="D2850">
        <v>13685.709999999959</v>
      </c>
    </row>
    <row r="2851" spans="1:4" x14ac:dyDescent="0.3">
      <c r="A2851" t="s">
        <v>32</v>
      </c>
      <c r="C2851" s="16">
        <v>46252</v>
      </c>
      <c r="D2851">
        <v>8724.1700000000037</v>
      </c>
    </row>
    <row r="2852" spans="1:4" x14ac:dyDescent="0.3">
      <c r="A2852" t="s">
        <v>33</v>
      </c>
      <c r="C2852" s="16">
        <v>46252</v>
      </c>
      <c r="D2852">
        <v>19336.039999999997</v>
      </c>
    </row>
    <row r="2853" spans="1:4" x14ac:dyDescent="0.3">
      <c r="A2853" t="s">
        <v>34</v>
      </c>
      <c r="C2853" s="16">
        <v>46252</v>
      </c>
      <c r="D2853">
        <v>345</v>
      </c>
    </row>
    <row r="2854" spans="1:4" x14ac:dyDescent="0.3">
      <c r="A2854" t="s">
        <v>35</v>
      </c>
      <c r="C2854" s="16">
        <v>46252</v>
      </c>
      <c r="D2854">
        <v>14565.900000000001</v>
      </c>
    </row>
    <row r="2855" spans="1:4" x14ac:dyDescent="0.3">
      <c r="A2855" t="s">
        <v>193</v>
      </c>
      <c r="C2855" s="16">
        <v>46252</v>
      </c>
      <c r="D2855">
        <v>0</v>
      </c>
    </row>
    <row r="2856" spans="1:4" x14ac:dyDescent="0.3">
      <c r="A2856" t="s">
        <v>194</v>
      </c>
      <c r="C2856" s="16">
        <v>46252</v>
      </c>
      <c r="D2856">
        <v>0</v>
      </c>
    </row>
    <row r="2857" spans="1:4" x14ac:dyDescent="0.3">
      <c r="A2857" t="s">
        <v>195</v>
      </c>
      <c r="C2857" s="16">
        <v>46252</v>
      </c>
      <c r="D2857">
        <v>0</v>
      </c>
    </row>
    <row r="2858" spans="1:4" x14ac:dyDescent="0.3">
      <c r="A2858" t="s">
        <v>196</v>
      </c>
      <c r="C2858" s="16">
        <v>46252</v>
      </c>
      <c r="D2858">
        <v>0</v>
      </c>
    </row>
    <row r="2859" spans="1:4" x14ac:dyDescent="0.3">
      <c r="A2859" t="s">
        <v>197</v>
      </c>
      <c r="C2859" s="16">
        <v>46252</v>
      </c>
      <c r="D2859">
        <v>0</v>
      </c>
    </row>
    <row r="2860" spans="1:4" x14ac:dyDescent="0.3">
      <c r="A2860" t="s">
        <v>214</v>
      </c>
      <c r="C2860" s="16">
        <v>46252</v>
      </c>
      <c r="D2860">
        <v>0</v>
      </c>
    </row>
    <row r="2861" spans="1:4" x14ac:dyDescent="0.3">
      <c r="A2861" t="s">
        <v>199</v>
      </c>
      <c r="C2861" s="16">
        <v>46252</v>
      </c>
      <c r="D2861">
        <v>0</v>
      </c>
    </row>
    <row r="2862" spans="1:4" x14ac:dyDescent="0.3">
      <c r="A2862" t="s">
        <v>17</v>
      </c>
      <c r="C2862" s="16">
        <v>46253</v>
      </c>
      <c r="D2862">
        <v>1047085.3600000005</v>
      </c>
    </row>
    <row r="2863" spans="1:4" x14ac:dyDescent="0.3">
      <c r="A2863" t="s">
        <v>18</v>
      </c>
      <c r="C2863" s="16">
        <v>46253</v>
      </c>
      <c r="D2863">
        <v>83211.250000000175</v>
      </c>
    </row>
    <row r="2864" spans="1:4" x14ac:dyDescent="0.3">
      <c r="A2864" t="s">
        <v>19</v>
      </c>
      <c r="C2864" s="16">
        <v>46253</v>
      </c>
      <c r="D2864">
        <v>1669.89</v>
      </c>
    </row>
    <row r="2865" spans="1:4" x14ac:dyDescent="0.3">
      <c r="A2865" t="s">
        <v>20</v>
      </c>
      <c r="C2865" s="16">
        <v>46253</v>
      </c>
      <c r="D2865">
        <v>1289031.3399999999</v>
      </c>
    </row>
    <row r="2866" spans="1:4" x14ac:dyDescent="0.3">
      <c r="A2866" t="s">
        <v>21</v>
      </c>
      <c r="C2866" s="16">
        <v>46253</v>
      </c>
      <c r="D2866">
        <v>1880583.4899999998</v>
      </c>
    </row>
    <row r="2867" spans="1:4" x14ac:dyDescent="0.3">
      <c r="A2867" t="s">
        <v>22</v>
      </c>
      <c r="C2867" s="16">
        <v>46253</v>
      </c>
      <c r="D2867">
        <v>221496.38</v>
      </c>
    </row>
    <row r="2868" spans="1:4" x14ac:dyDescent="0.3">
      <c r="A2868" t="s">
        <v>23</v>
      </c>
      <c r="C2868" s="16">
        <v>46253</v>
      </c>
      <c r="D2868">
        <v>277586.34000000003</v>
      </c>
    </row>
    <row r="2869" spans="1:4" x14ac:dyDescent="0.3">
      <c r="A2869" t="s">
        <v>24</v>
      </c>
      <c r="C2869" s="16">
        <v>46253</v>
      </c>
      <c r="D2869">
        <v>13270.02</v>
      </c>
    </row>
    <row r="2870" spans="1:4" x14ac:dyDescent="0.3">
      <c r="A2870" t="s">
        <v>25</v>
      </c>
      <c r="C2870" s="16">
        <v>46253</v>
      </c>
      <c r="D2870">
        <v>24.450000000000003</v>
      </c>
    </row>
    <row r="2871" spans="1:4" x14ac:dyDescent="0.3">
      <c r="A2871" t="s">
        <v>26</v>
      </c>
      <c r="C2871" s="16">
        <v>46253</v>
      </c>
      <c r="D2871">
        <v>2177.87</v>
      </c>
    </row>
    <row r="2872" spans="1:4" x14ac:dyDescent="0.3">
      <c r="A2872" t="s">
        <v>27</v>
      </c>
      <c r="C2872" s="16">
        <v>46253</v>
      </c>
      <c r="D2872">
        <v>754424.72</v>
      </c>
    </row>
    <row r="2873" spans="1:4" x14ac:dyDescent="0.3">
      <c r="A2873" t="s">
        <v>28</v>
      </c>
      <c r="C2873" s="16">
        <v>46253</v>
      </c>
      <c r="D2873">
        <v>1968.99</v>
      </c>
    </row>
    <row r="2874" spans="1:4" x14ac:dyDescent="0.3">
      <c r="A2874" t="s">
        <v>29</v>
      </c>
      <c r="C2874" s="16">
        <v>46253</v>
      </c>
      <c r="D2874">
        <v>901.34</v>
      </c>
    </row>
    <row r="2875" spans="1:4" x14ac:dyDescent="0.3">
      <c r="A2875" t="s">
        <v>30</v>
      </c>
      <c r="C2875" s="16">
        <v>46253</v>
      </c>
      <c r="D2875">
        <v>1396.08</v>
      </c>
    </row>
    <row r="2876" spans="1:4" x14ac:dyDescent="0.3">
      <c r="A2876" t="s">
        <v>31</v>
      </c>
      <c r="C2876" s="16">
        <v>46253</v>
      </c>
      <c r="D2876">
        <v>13685.709999999959</v>
      </c>
    </row>
    <row r="2877" spans="1:4" x14ac:dyDescent="0.3">
      <c r="A2877" t="s">
        <v>32</v>
      </c>
      <c r="C2877" s="16">
        <v>46253</v>
      </c>
      <c r="D2877">
        <v>8724.1700000000037</v>
      </c>
    </row>
    <row r="2878" spans="1:4" x14ac:dyDescent="0.3">
      <c r="A2878" t="s">
        <v>33</v>
      </c>
      <c r="C2878" s="16">
        <v>46253</v>
      </c>
      <c r="D2878">
        <v>19336.039999999997</v>
      </c>
    </row>
    <row r="2879" spans="1:4" x14ac:dyDescent="0.3">
      <c r="A2879" t="s">
        <v>34</v>
      </c>
      <c r="C2879" s="16">
        <v>46253</v>
      </c>
      <c r="D2879">
        <v>345</v>
      </c>
    </row>
    <row r="2880" spans="1:4" x14ac:dyDescent="0.3">
      <c r="A2880" t="s">
        <v>35</v>
      </c>
      <c r="C2880" s="16">
        <v>46253</v>
      </c>
      <c r="D2880">
        <v>14565.900000000001</v>
      </c>
    </row>
    <row r="2881" spans="1:4" x14ac:dyDescent="0.3">
      <c r="A2881" t="s">
        <v>193</v>
      </c>
      <c r="C2881" s="16">
        <v>46253</v>
      </c>
      <c r="D2881">
        <v>0</v>
      </c>
    </row>
    <row r="2882" spans="1:4" x14ac:dyDescent="0.3">
      <c r="A2882" t="s">
        <v>194</v>
      </c>
      <c r="C2882" s="16">
        <v>46253</v>
      </c>
      <c r="D2882">
        <v>0</v>
      </c>
    </row>
    <row r="2883" spans="1:4" x14ac:dyDescent="0.3">
      <c r="A2883" t="s">
        <v>195</v>
      </c>
      <c r="C2883" s="16">
        <v>46253</v>
      </c>
      <c r="D2883">
        <v>0</v>
      </c>
    </row>
    <row r="2884" spans="1:4" x14ac:dyDescent="0.3">
      <c r="A2884" t="s">
        <v>196</v>
      </c>
      <c r="C2884" s="16">
        <v>46253</v>
      </c>
      <c r="D2884">
        <v>0</v>
      </c>
    </row>
    <row r="2885" spans="1:4" x14ac:dyDescent="0.3">
      <c r="A2885" t="s">
        <v>197</v>
      </c>
      <c r="C2885" s="16">
        <v>46253</v>
      </c>
      <c r="D2885">
        <v>0</v>
      </c>
    </row>
    <row r="2886" spans="1:4" x14ac:dyDescent="0.3">
      <c r="A2886" t="s">
        <v>214</v>
      </c>
      <c r="C2886" s="16">
        <v>46253</v>
      </c>
      <c r="D2886">
        <v>0</v>
      </c>
    </row>
    <row r="2887" spans="1:4" x14ac:dyDescent="0.3">
      <c r="A2887" t="s">
        <v>199</v>
      </c>
      <c r="C2887" s="16">
        <v>46253</v>
      </c>
      <c r="D2887">
        <v>0</v>
      </c>
    </row>
    <row r="2888" spans="1:4" x14ac:dyDescent="0.3">
      <c r="A2888" t="s">
        <v>17</v>
      </c>
      <c r="C2888" s="16">
        <v>46254</v>
      </c>
      <c r="D2888">
        <v>702210.36000000045</v>
      </c>
    </row>
    <row r="2889" spans="1:4" x14ac:dyDescent="0.3">
      <c r="A2889" t="s">
        <v>18</v>
      </c>
      <c r="C2889" s="16">
        <v>46254</v>
      </c>
      <c r="D2889">
        <v>83211.250000000175</v>
      </c>
    </row>
    <row r="2890" spans="1:4" x14ac:dyDescent="0.3">
      <c r="A2890" t="s">
        <v>19</v>
      </c>
      <c r="C2890" s="16">
        <v>46254</v>
      </c>
      <c r="D2890">
        <v>1669.89</v>
      </c>
    </row>
    <row r="2891" spans="1:4" x14ac:dyDescent="0.3">
      <c r="A2891" t="s">
        <v>20</v>
      </c>
      <c r="C2891" s="16">
        <v>46254</v>
      </c>
      <c r="D2891">
        <v>1229031.3399999999</v>
      </c>
    </row>
    <row r="2892" spans="1:4" x14ac:dyDescent="0.3">
      <c r="A2892" t="s">
        <v>21</v>
      </c>
      <c r="C2892" s="16">
        <v>46254</v>
      </c>
      <c r="D2892">
        <v>1744052.5799999996</v>
      </c>
    </row>
    <row r="2893" spans="1:4" x14ac:dyDescent="0.3">
      <c r="A2893" t="s">
        <v>22</v>
      </c>
      <c r="C2893" s="16">
        <v>46254</v>
      </c>
      <c r="D2893">
        <v>221496.38</v>
      </c>
    </row>
    <row r="2894" spans="1:4" x14ac:dyDescent="0.3">
      <c r="A2894" t="s">
        <v>23</v>
      </c>
      <c r="C2894" s="16">
        <v>46254</v>
      </c>
      <c r="D2894">
        <v>277586.34000000003</v>
      </c>
    </row>
    <row r="2895" spans="1:4" x14ac:dyDescent="0.3">
      <c r="A2895" t="s">
        <v>24</v>
      </c>
      <c r="C2895" s="16">
        <v>46254</v>
      </c>
      <c r="D2895">
        <v>13270.02</v>
      </c>
    </row>
    <row r="2896" spans="1:4" x14ac:dyDescent="0.3">
      <c r="A2896" t="s">
        <v>25</v>
      </c>
      <c r="C2896" s="16">
        <v>46254</v>
      </c>
      <c r="D2896">
        <v>24.450000000000003</v>
      </c>
    </row>
    <row r="2897" spans="1:4" x14ac:dyDescent="0.3">
      <c r="A2897" t="s">
        <v>26</v>
      </c>
      <c r="C2897" s="16">
        <v>46254</v>
      </c>
      <c r="D2897">
        <v>2177.87</v>
      </c>
    </row>
    <row r="2898" spans="1:4" x14ac:dyDescent="0.3">
      <c r="A2898" t="s">
        <v>27</v>
      </c>
      <c r="C2898" s="16">
        <v>46254</v>
      </c>
      <c r="D2898">
        <v>754424.72</v>
      </c>
    </row>
    <row r="2899" spans="1:4" x14ac:dyDescent="0.3">
      <c r="A2899" t="s">
        <v>28</v>
      </c>
      <c r="C2899" s="16">
        <v>46254</v>
      </c>
      <c r="D2899">
        <v>1968.99</v>
      </c>
    </row>
    <row r="2900" spans="1:4" x14ac:dyDescent="0.3">
      <c r="A2900" t="s">
        <v>29</v>
      </c>
      <c r="C2900" s="16">
        <v>46254</v>
      </c>
      <c r="D2900">
        <v>901.34</v>
      </c>
    </row>
    <row r="2901" spans="1:4" x14ac:dyDescent="0.3">
      <c r="A2901" t="s">
        <v>30</v>
      </c>
      <c r="C2901" s="16">
        <v>46254</v>
      </c>
      <c r="D2901">
        <v>1396.08</v>
      </c>
    </row>
    <row r="2902" spans="1:4" x14ac:dyDescent="0.3">
      <c r="A2902" t="s">
        <v>31</v>
      </c>
      <c r="C2902" s="16">
        <v>46254</v>
      </c>
      <c r="D2902">
        <v>13685.709999999959</v>
      </c>
    </row>
    <row r="2903" spans="1:4" x14ac:dyDescent="0.3">
      <c r="A2903" t="s">
        <v>32</v>
      </c>
      <c r="C2903" s="16">
        <v>46254</v>
      </c>
      <c r="D2903">
        <v>8724.1700000000037</v>
      </c>
    </row>
    <row r="2904" spans="1:4" x14ac:dyDescent="0.3">
      <c r="A2904" t="s">
        <v>33</v>
      </c>
      <c r="C2904" s="16">
        <v>46254</v>
      </c>
      <c r="D2904">
        <v>19336.039999999997</v>
      </c>
    </row>
    <row r="2905" spans="1:4" x14ac:dyDescent="0.3">
      <c r="A2905" t="s">
        <v>34</v>
      </c>
      <c r="C2905" s="16">
        <v>46254</v>
      </c>
      <c r="D2905">
        <v>345</v>
      </c>
    </row>
    <row r="2906" spans="1:4" x14ac:dyDescent="0.3">
      <c r="A2906" t="s">
        <v>35</v>
      </c>
      <c r="C2906" s="16">
        <v>46254</v>
      </c>
      <c r="D2906">
        <v>12741.780000000002</v>
      </c>
    </row>
    <row r="2907" spans="1:4" x14ac:dyDescent="0.3">
      <c r="A2907" t="s">
        <v>193</v>
      </c>
      <c r="C2907" s="16">
        <v>46254</v>
      </c>
      <c r="D2907">
        <v>0</v>
      </c>
    </row>
    <row r="2908" spans="1:4" x14ac:dyDescent="0.3">
      <c r="A2908" t="s">
        <v>194</v>
      </c>
      <c r="C2908" s="16">
        <v>46254</v>
      </c>
      <c r="D2908">
        <v>0</v>
      </c>
    </row>
    <row r="2909" spans="1:4" x14ac:dyDescent="0.3">
      <c r="A2909" t="s">
        <v>195</v>
      </c>
      <c r="C2909" s="16">
        <v>46254</v>
      </c>
      <c r="D2909">
        <v>0</v>
      </c>
    </row>
    <row r="2910" spans="1:4" x14ac:dyDescent="0.3">
      <c r="A2910" t="s">
        <v>196</v>
      </c>
      <c r="C2910" s="16">
        <v>46254</v>
      </c>
      <c r="D2910">
        <v>0</v>
      </c>
    </row>
    <row r="2911" spans="1:4" x14ac:dyDescent="0.3">
      <c r="A2911" t="s">
        <v>197</v>
      </c>
      <c r="C2911" s="16">
        <v>46254</v>
      </c>
      <c r="D2911">
        <v>0</v>
      </c>
    </row>
    <row r="2912" spans="1:4" x14ac:dyDescent="0.3">
      <c r="A2912" t="s">
        <v>214</v>
      </c>
      <c r="C2912" s="16">
        <v>46254</v>
      </c>
      <c r="D2912">
        <v>0</v>
      </c>
    </row>
    <row r="2913" spans="1:4" x14ac:dyDescent="0.3">
      <c r="A2913" t="s">
        <v>199</v>
      </c>
      <c r="C2913" s="16">
        <v>46254</v>
      </c>
      <c r="D2913">
        <v>0</v>
      </c>
    </row>
    <row r="2914" spans="1:4" x14ac:dyDescent="0.3">
      <c r="A2914" t="s">
        <v>17</v>
      </c>
      <c r="C2914" s="16">
        <v>46255</v>
      </c>
      <c r="D2914">
        <v>702210.36000000045</v>
      </c>
    </row>
    <row r="2915" spans="1:4" x14ac:dyDescent="0.3">
      <c r="A2915" t="s">
        <v>18</v>
      </c>
      <c r="C2915" s="16">
        <v>46255</v>
      </c>
      <c r="D2915">
        <v>83211.250000000175</v>
      </c>
    </row>
    <row r="2916" spans="1:4" x14ac:dyDescent="0.3">
      <c r="A2916" t="s">
        <v>19</v>
      </c>
      <c r="C2916" s="16">
        <v>46255</v>
      </c>
      <c r="D2916">
        <v>1669.89</v>
      </c>
    </row>
    <row r="2917" spans="1:4" x14ac:dyDescent="0.3">
      <c r="A2917" t="s">
        <v>20</v>
      </c>
      <c r="C2917" s="16">
        <v>46255</v>
      </c>
      <c r="D2917">
        <v>1229031.3399999999</v>
      </c>
    </row>
    <row r="2918" spans="1:4" x14ac:dyDescent="0.3">
      <c r="A2918" t="s">
        <v>21</v>
      </c>
      <c r="C2918" s="16">
        <v>46255</v>
      </c>
      <c r="D2918">
        <v>1744052.5799999996</v>
      </c>
    </row>
    <row r="2919" spans="1:4" x14ac:dyDescent="0.3">
      <c r="A2919" t="s">
        <v>22</v>
      </c>
      <c r="C2919" s="16">
        <v>46255</v>
      </c>
      <c r="D2919">
        <v>221496.38</v>
      </c>
    </row>
    <row r="2920" spans="1:4" x14ac:dyDescent="0.3">
      <c r="A2920" t="s">
        <v>23</v>
      </c>
      <c r="C2920" s="16">
        <v>46255</v>
      </c>
      <c r="D2920">
        <v>277586.34000000003</v>
      </c>
    </row>
    <row r="2921" spans="1:4" x14ac:dyDescent="0.3">
      <c r="A2921" t="s">
        <v>24</v>
      </c>
      <c r="C2921" s="16">
        <v>46255</v>
      </c>
      <c r="D2921">
        <v>13270.02</v>
      </c>
    </row>
    <row r="2922" spans="1:4" x14ac:dyDescent="0.3">
      <c r="A2922" t="s">
        <v>25</v>
      </c>
      <c r="C2922" s="16">
        <v>46255</v>
      </c>
      <c r="D2922">
        <v>24.450000000000003</v>
      </c>
    </row>
    <row r="2923" spans="1:4" x14ac:dyDescent="0.3">
      <c r="A2923" t="s">
        <v>26</v>
      </c>
      <c r="C2923" s="16">
        <v>46255</v>
      </c>
      <c r="D2923">
        <v>2177.87</v>
      </c>
    </row>
    <row r="2924" spans="1:4" x14ac:dyDescent="0.3">
      <c r="A2924" t="s">
        <v>27</v>
      </c>
      <c r="C2924" s="16">
        <v>46255</v>
      </c>
      <c r="D2924">
        <v>754424.72</v>
      </c>
    </row>
    <row r="2925" spans="1:4" x14ac:dyDescent="0.3">
      <c r="A2925" t="s">
        <v>28</v>
      </c>
      <c r="C2925" s="16">
        <v>46255</v>
      </c>
      <c r="D2925">
        <v>1968.99</v>
      </c>
    </row>
    <row r="2926" spans="1:4" x14ac:dyDescent="0.3">
      <c r="A2926" t="s">
        <v>29</v>
      </c>
      <c r="C2926" s="16">
        <v>46255</v>
      </c>
      <c r="D2926">
        <v>901.34</v>
      </c>
    </row>
    <row r="2927" spans="1:4" x14ac:dyDescent="0.3">
      <c r="A2927" t="s">
        <v>30</v>
      </c>
      <c r="C2927" s="16">
        <v>46255</v>
      </c>
      <c r="D2927">
        <v>1396.08</v>
      </c>
    </row>
    <row r="2928" spans="1:4" x14ac:dyDescent="0.3">
      <c r="A2928" t="s">
        <v>31</v>
      </c>
      <c r="C2928" s="16">
        <v>46255</v>
      </c>
      <c r="D2928">
        <v>13685.709999999959</v>
      </c>
    </row>
    <row r="2929" spans="1:4" x14ac:dyDescent="0.3">
      <c r="A2929" t="s">
        <v>32</v>
      </c>
      <c r="C2929" s="16">
        <v>46255</v>
      </c>
      <c r="D2929">
        <v>8724.1700000000037</v>
      </c>
    </row>
    <row r="2930" spans="1:4" x14ac:dyDescent="0.3">
      <c r="A2930" t="s">
        <v>33</v>
      </c>
      <c r="C2930" s="16">
        <v>46255</v>
      </c>
      <c r="D2930">
        <v>19336.039999999997</v>
      </c>
    </row>
    <row r="2931" spans="1:4" x14ac:dyDescent="0.3">
      <c r="A2931" t="s">
        <v>34</v>
      </c>
      <c r="C2931" s="16">
        <v>46255</v>
      </c>
      <c r="D2931">
        <v>345</v>
      </c>
    </row>
    <row r="2932" spans="1:4" x14ac:dyDescent="0.3">
      <c r="A2932" t="s">
        <v>35</v>
      </c>
      <c r="C2932" s="16">
        <v>46255</v>
      </c>
      <c r="D2932">
        <v>12541.790000000003</v>
      </c>
    </row>
    <row r="2933" spans="1:4" x14ac:dyDescent="0.3">
      <c r="A2933" t="s">
        <v>193</v>
      </c>
      <c r="C2933" s="16">
        <v>46255</v>
      </c>
      <c r="D2933">
        <v>0</v>
      </c>
    </row>
    <row r="2934" spans="1:4" x14ac:dyDescent="0.3">
      <c r="A2934" t="s">
        <v>194</v>
      </c>
      <c r="C2934" s="16">
        <v>46255</v>
      </c>
      <c r="D2934">
        <v>0</v>
      </c>
    </row>
    <row r="2935" spans="1:4" x14ac:dyDescent="0.3">
      <c r="A2935" t="s">
        <v>195</v>
      </c>
      <c r="C2935" s="16">
        <v>46255</v>
      </c>
      <c r="D2935">
        <v>0</v>
      </c>
    </row>
    <row r="2936" spans="1:4" x14ac:dyDescent="0.3">
      <c r="A2936" t="s">
        <v>196</v>
      </c>
      <c r="C2936" s="16">
        <v>46255</v>
      </c>
      <c r="D2936">
        <v>0</v>
      </c>
    </row>
    <row r="2937" spans="1:4" x14ac:dyDescent="0.3">
      <c r="A2937" t="s">
        <v>197</v>
      </c>
      <c r="C2937" s="16">
        <v>46255</v>
      </c>
      <c r="D2937">
        <v>0</v>
      </c>
    </row>
    <row r="2938" spans="1:4" x14ac:dyDescent="0.3">
      <c r="A2938" t="s">
        <v>214</v>
      </c>
      <c r="C2938" s="16">
        <v>46255</v>
      </c>
      <c r="D2938">
        <v>0</v>
      </c>
    </row>
    <row r="2939" spans="1:4" x14ac:dyDescent="0.3">
      <c r="A2939" t="s">
        <v>199</v>
      </c>
      <c r="C2939" s="16">
        <v>46255</v>
      </c>
      <c r="D2939">
        <v>0</v>
      </c>
    </row>
    <row r="2940" spans="1:4" x14ac:dyDescent="0.3">
      <c r="A2940" t="s">
        <v>17</v>
      </c>
      <c r="C2940" s="16">
        <v>46256</v>
      </c>
      <c r="D2940">
        <v>702210.36000000045</v>
      </c>
    </row>
    <row r="2941" spans="1:4" x14ac:dyDescent="0.3">
      <c r="A2941" t="s">
        <v>18</v>
      </c>
      <c r="C2941" s="16">
        <v>46256</v>
      </c>
      <c r="D2941">
        <v>83211.250000000175</v>
      </c>
    </row>
    <row r="2942" spans="1:4" x14ac:dyDescent="0.3">
      <c r="A2942" t="s">
        <v>19</v>
      </c>
      <c r="C2942" s="16">
        <v>46256</v>
      </c>
      <c r="D2942">
        <v>1669.89</v>
      </c>
    </row>
    <row r="2943" spans="1:4" x14ac:dyDescent="0.3">
      <c r="A2943" t="s">
        <v>20</v>
      </c>
      <c r="C2943" s="16">
        <v>46256</v>
      </c>
      <c r="D2943">
        <v>1229031.3399999999</v>
      </c>
    </row>
    <row r="2944" spans="1:4" x14ac:dyDescent="0.3">
      <c r="A2944" t="s">
        <v>21</v>
      </c>
      <c r="C2944" s="16">
        <v>46256</v>
      </c>
      <c r="D2944">
        <v>1744052.5799999996</v>
      </c>
    </row>
    <row r="2945" spans="1:4" x14ac:dyDescent="0.3">
      <c r="A2945" t="s">
        <v>22</v>
      </c>
      <c r="C2945" s="16">
        <v>46256</v>
      </c>
      <c r="D2945">
        <v>221496.38</v>
      </c>
    </row>
    <row r="2946" spans="1:4" x14ac:dyDescent="0.3">
      <c r="A2946" t="s">
        <v>23</v>
      </c>
      <c r="C2946" s="16">
        <v>46256</v>
      </c>
      <c r="D2946">
        <v>277586.34000000003</v>
      </c>
    </row>
    <row r="2947" spans="1:4" x14ac:dyDescent="0.3">
      <c r="A2947" t="s">
        <v>24</v>
      </c>
      <c r="C2947" s="16">
        <v>46256</v>
      </c>
      <c r="D2947">
        <v>13270.02</v>
      </c>
    </row>
    <row r="2948" spans="1:4" x14ac:dyDescent="0.3">
      <c r="A2948" t="s">
        <v>25</v>
      </c>
      <c r="C2948" s="16">
        <v>46256</v>
      </c>
      <c r="D2948">
        <v>24.450000000000003</v>
      </c>
    </row>
    <row r="2949" spans="1:4" x14ac:dyDescent="0.3">
      <c r="A2949" t="s">
        <v>26</v>
      </c>
      <c r="C2949" s="16">
        <v>46256</v>
      </c>
      <c r="D2949">
        <v>2177.87</v>
      </c>
    </row>
    <row r="2950" spans="1:4" x14ac:dyDescent="0.3">
      <c r="A2950" t="s">
        <v>27</v>
      </c>
      <c r="C2950" s="16">
        <v>46256</v>
      </c>
      <c r="D2950">
        <v>754424.72</v>
      </c>
    </row>
    <row r="2951" spans="1:4" x14ac:dyDescent="0.3">
      <c r="A2951" t="s">
        <v>28</v>
      </c>
      <c r="C2951" s="16">
        <v>46256</v>
      </c>
      <c r="D2951">
        <v>1968.99</v>
      </c>
    </row>
    <row r="2952" spans="1:4" x14ac:dyDescent="0.3">
      <c r="A2952" t="s">
        <v>29</v>
      </c>
      <c r="C2952" s="16">
        <v>46256</v>
      </c>
      <c r="D2952">
        <v>901.34</v>
      </c>
    </row>
    <row r="2953" spans="1:4" x14ac:dyDescent="0.3">
      <c r="A2953" t="s">
        <v>30</v>
      </c>
      <c r="C2953" s="16">
        <v>46256</v>
      </c>
      <c r="D2953">
        <v>1396.08</v>
      </c>
    </row>
    <row r="2954" spans="1:4" x14ac:dyDescent="0.3">
      <c r="A2954" t="s">
        <v>31</v>
      </c>
      <c r="C2954" s="16">
        <v>46256</v>
      </c>
      <c r="D2954">
        <v>13685.709999999959</v>
      </c>
    </row>
    <row r="2955" spans="1:4" x14ac:dyDescent="0.3">
      <c r="A2955" t="s">
        <v>32</v>
      </c>
      <c r="C2955" s="16">
        <v>46256</v>
      </c>
      <c r="D2955">
        <v>8724.1700000000037</v>
      </c>
    </row>
    <row r="2956" spans="1:4" x14ac:dyDescent="0.3">
      <c r="A2956" t="s">
        <v>33</v>
      </c>
      <c r="C2956" s="16">
        <v>46256</v>
      </c>
      <c r="D2956">
        <v>19336.039999999997</v>
      </c>
    </row>
    <row r="2957" spans="1:4" x14ac:dyDescent="0.3">
      <c r="A2957" t="s">
        <v>34</v>
      </c>
      <c r="C2957" s="16">
        <v>46256</v>
      </c>
      <c r="D2957">
        <v>345</v>
      </c>
    </row>
    <row r="2958" spans="1:4" x14ac:dyDescent="0.3">
      <c r="A2958" t="s">
        <v>35</v>
      </c>
      <c r="C2958" s="16">
        <v>46256</v>
      </c>
      <c r="D2958">
        <v>12541.790000000003</v>
      </c>
    </row>
    <row r="2959" spans="1:4" x14ac:dyDescent="0.3">
      <c r="A2959" t="s">
        <v>193</v>
      </c>
      <c r="C2959" s="16">
        <v>46256</v>
      </c>
      <c r="D2959">
        <v>0</v>
      </c>
    </row>
    <row r="2960" spans="1:4" x14ac:dyDescent="0.3">
      <c r="A2960" t="s">
        <v>194</v>
      </c>
      <c r="C2960" s="16">
        <v>46256</v>
      </c>
      <c r="D2960">
        <v>0</v>
      </c>
    </row>
    <row r="2961" spans="1:4" x14ac:dyDescent="0.3">
      <c r="A2961" t="s">
        <v>195</v>
      </c>
      <c r="C2961" s="16">
        <v>46256</v>
      </c>
      <c r="D2961">
        <v>0</v>
      </c>
    </row>
    <row r="2962" spans="1:4" x14ac:dyDescent="0.3">
      <c r="A2962" t="s">
        <v>196</v>
      </c>
      <c r="C2962" s="16">
        <v>46256</v>
      </c>
      <c r="D2962">
        <v>0</v>
      </c>
    </row>
    <row r="2963" spans="1:4" x14ac:dyDescent="0.3">
      <c r="A2963" t="s">
        <v>197</v>
      </c>
      <c r="C2963" s="16">
        <v>46256</v>
      </c>
      <c r="D2963">
        <v>0</v>
      </c>
    </row>
    <row r="2964" spans="1:4" x14ac:dyDescent="0.3">
      <c r="A2964" t="s">
        <v>214</v>
      </c>
      <c r="C2964" s="16">
        <v>46256</v>
      </c>
      <c r="D2964">
        <v>0</v>
      </c>
    </row>
    <row r="2965" spans="1:4" x14ac:dyDescent="0.3">
      <c r="A2965" t="s">
        <v>199</v>
      </c>
      <c r="C2965" s="16">
        <v>46256</v>
      </c>
      <c r="D2965">
        <v>0</v>
      </c>
    </row>
    <row r="2966" spans="1:4" x14ac:dyDescent="0.3">
      <c r="A2966" t="s">
        <v>17</v>
      </c>
      <c r="C2966" s="16">
        <v>46257</v>
      </c>
      <c r="D2966">
        <v>702210.36000000045</v>
      </c>
    </row>
    <row r="2967" spans="1:4" x14ac:dyDescent="0.3">
      <c r="A2967" t="s">
        <v>18</v>
      </c>
      <c r="C2967" s="16">
        <v>46257</v>
      </c>
      <c r="D2967">
        <v>83211.250000000175</v>
      </c>
    </row>
    <row r="2968" spans="1:4" x14ac:dyDescent="0.3">
      <c r="A2968" t="s">
        <v>19</v>
      </c>
      <c r="C2968" s="16">
        <v>46257</v>
      </c>
      <c r="D2968">
        <v>1669.89</v>
      </c>
    </row>
    <row r="2969" spans="1:4" x14ac:dyDescent="0.3">
      <c r="A2969" t="s">
        <v>20</v>
      </c>
      <c r="C2969" s="16">
        <v>46257</v>
      </c>
      <c r="D2969">
        <v>1229031.3399999999</v>
      </c>
    </row>
    <row r="2970" spans="1:4" x14ac:dyDescent="0.3">
      <c r="A2970" t="s">
        <v>21</v>
      </c>
      <c r="C2970" s="16">
        <v>46257</v>
      </c>
      <c r="D2970">
        <v>1744052.5799999996</v>
      </c>
    </row>
    <row r="2971" spans="1:4" x14ac:dyDescent="0.3">
      <c r="A2971" t="s">
        <v>22</v>
      </c>
      <c r="C2971" s="16">
        <v>46257</v>
      </c>
      <c r="D2971">
        <v>221496.38</v>
      </c>
    </row>
    <row r="2972" spans="1:4" x14ac:dyDescent="0.3">
      <c r="A2972" t="s">
        <v>23</v>
      </c>
      <c r="C2972" s="16">
        <v>46257</v>
      </c>
      <c r="D2972">
        <v>277586.34000000003</v>
      </c>
    </row>
    <row r="2973" spans="1:4" x14ac:dyDescent="0.3">
      <c r="A2973" t="s">
        <v>24</v>
      </c>
      <c r="C2973" s="16">
        <v>46257</v>
      </c>
      <c r="D2973">
        <v>13270.02</v>
      </c>
    </row>
    <row r="2974" spans="1:4" x14ac:dyDescent="0.3">
      <c r="A2974" t="s">
        <v>25</v>
      </c>
      <c r="C2974" s="16">
        <v>46257</v>
      </c>
      <c r="D2974">
        <v>24.450000000000003</v>
      </c>
    </row>
    <row r="2975" spans="1:4" x14ac:dyDescent="0.3">
      <c r="A2975" t="s">
        <v>26</v>
      </c>
      <c r="C2975" s="16">
        <v>46257</v>
      </c>
      <c r="D2975">
        <v>2177.87</v>
      </c>
    </row>
    <row r="2976" spans="1:4" x14ac:dyDescent="0.3">
      <c r="A2976" t="s">
        <v>27</v>
      </c>
      <c r="C2976" s="16">
        <v>46257</v>
      </c>
      <c r="D2976">
        <v>754424.72</v>
      </c>
    </row>
    <row r="2977" spans="1:4" x14ac:dyDescent="0.3">
      <c r="A2977" t="s">
        <v>28</v>
      </c>
      <c r="C2977" s="16">
        <v>46257</v>
      </c>
      <c r="D2977">
        <v>1968.99</v>
      </c>
    </row>
    <row r="2978" spans="1:4" x14ac:dyDescent="0.3">
      <c r="A2978" t="s">
        <v>29</v>
      </c>
      <c r="C2978" s="16">
        <v>46257</v>
      </c>
      <c r="D2978">
        <v>901.34</v>
      </c>
    </row>
    <row r="2979" spans="1:4" x14ac:dyDescent="0.3">
      <c r="A2979" t="s">
        <v>30</v>
      </c>
      <c r="C2979" s="16">
        <v>46257</v>
      </c>
      <c r="D2979">
        <v>1396.08</v>
      </c>
    </row>
    <row r="2980" spans="1:4" x14ac:dyDescent="0.3">
      <c r="A2980" t="s">
        <v>31</v>
      </c>
      <c r="C2980" s="16">
        <v>46257</v>
      </c>
      <c r="D2980">
        <v>13685.709999999959</v>
      </c>
    </row>
    <row r="2981" spans="1:4" x14ac:dyDescent="0.3">
      <c r="A2981" t="s">
        <v>32</v>
      </c>
      <c r="C2981" s="16">
        <v>46257</v>
      </c>
      <c r="D2981">
        <v>8724.1700000000037</v>
      </c>
    </row>
    <row r="2982" spans="1:4" x14ac:dyDescent="0.3">
      <c r="A2982" t="s">
        <v>33</v>
      </c>
      <c r="C2982" s="16">
        <v>46257</v>
      </c>
      <c r="D2982">
        <v>19336.039999999997</v>
      </c>
    </row>
    <row r="2983" spans="1:4" x14ac:dyDescent="0.3">
      <c r="A2983" t="s">
        <v>34</v>
      </c>
      <c r="C2983" s="16">
        <v>46257</v>
      </c>
      <c r="D2983">
        <v>345</v>
      </c>
    </row>
    <row r="2984" spans="1:4" x14ac:dyDescent="0.3">
      <c r="A2984" t="s">
        <v>35</v>
      </c>
      <c r="C2984" s="16">
        <v>46257</v>
      </c>
      <c r="D2984">
        <v>12541.790000000003</v>
      </c>
    </row>
    <row r="2985" spans="1:4" x14ac:dyDescent="0.3">
      <c r="A2985" t="s">
        <v>193</v>
      </c>
      <c r="C2985" s="16">
        <v>46257</v>
      </c>
      <c r="D2985">
        <v>0</v>
      </c>
    </row>
    <row r="2986" spans="1:4" x14ac:dyDescent="0.3">
      <c r="A2986" t="s">
        <v>194</v>
      </c>
      <c r="C2986" s="16">
        <v>46257</v>
      </c>
      <c r="D2986">
        <v>0</v>
      </c>
    </row>
    <row r="2987" spans="1:4" x14ac:dyDescent="0.3">
      <c r="A2987" t="s">
        <v>195</v>
      </c>
      <c r="C2987" s="16">
        <v>46257</v>
      </c>
      <c r="D2987">
        <v>0</v>
      </c>
    </row>
    <row r="2988" spans="1:4" x14ac:dyDescent="0.3">
      <c r="A2988" t="s">
        <v>196</v>
      </c>
      <c r="C2988" s="16">
        <v>46257</v>
      </c>
      <c r="D2988">
        <v>0</v>
      </c>
    </row>
    <row r="2989" spans="1:4" x14ac:dyDescent="0.3">
      <c r="A2989" t="s">
        <v>197</v>
      </c>
      <c r="C2989" s="16">
        <v>46257</v>
      </c>
      <c r="D2989">
        <v>0</v>
      </c>
    </row>
    <row r="2990" spans="1:4" x14ac:dyDescent="0.3">
      <c r="A2990" t="s">
        <v>214</v>
      </c>
      <c r="C2990" s="16">
        <v>46257</v>
      </c>
      <c r="D2990">
        <v>0</v>
      </c>
    </row>
    <row r="2991" spans="1:4" x14ac:dyDescent="0.3">
      <c r="A2991" t="s">
        <v>199</v>
      </c>
      <c r="C2991" s="16">
        <v>46257</v>
      </c>
      <c r="D2991">
        <v>0</v>
      </c>
    </row>
    <row r="2992" spans="1:4" x14ac:dyDescent="0.3">
      <c r="A2992" t="s">
        <v>17</v>
      </c>
      <c r="C2992" s="16">
        <v>46258</v>
      </c>
      <c r="D2992">
        <v>372210.36000000045</v>
      </c>
    </row>
    <row r="2993" spans="1:4" x14ac:dyDescent="0.3">
      <c r="A2993" t="s">
        <v>18</v>
      </c>
      <c r="C2993" s="16">
        <v>46258</v>
      </c>
      <c r="D2993">
        <v>83668.990000000165</v>
      </c>
    </row>
    <row r="2994" spans="1:4" x14ac:dyDescent="0.3">
      <c r="A2994" t="s">
        <v>19</v>
      </c>
      <c r="C2994" s="16">
        <v>46258</v>
      </c>
      <c r="D2994">
        <v>1669.89</v>
      </c>
    </row>
    <row r="2995" spans="1:4" x14ac:dyDescent="0.3">
      <c r="A2995" t="s">
        <v>20</v>
      </c>
      <c r="C2995" s="16">
        <v>46258</v>
      </c>
      <c r="D2995">
        <v>1234763.3299999998</v>
      </c>
    </row>
    <row r="2996" spans="1:4" x14ac:dyDescent="0.3">
      <c r="A2996" t="s">
        <v>21</v>
      </c>
      <c r="C2996" s="16">
        <v>46258</v>
      </c>
      <c r="D2996">
        <v>1743289.5899999996</v>
      </c>
    </row>
    <row r="2997" spans="1:4" x14ac:dyDescent="0.3">
      <c r="A2997" t="s">
        <v>22</v>
      </c>
      <c r="C2997" s="16">
        <v>46258</v>
      </c>
      <c r="D2997">
        <v>221496.38</v>
      </c>
    </row>
    <row r="2998" spans="1:4" x14ac:dyDescent="0.3">
      <c r="A2998" t="s">
        <v>23</v>
      </c>
      <c r="C2998" s="16">
        <v>46258</v>
      </c>
      <c r="D2998">
        <v>277586.34000000003</v>
      </c>
    </row>
    <row r="2999" spans="1:4" x14ac:dyDescent="0.3">
      <c r="A2999" t="s">
        <v>24</v>
      </c>
      <c r="C2999" s="16">
        <v>46258</v>
      </c>
      <c r="D2999">
        <v>13270.02</v>
      </c>
    </row>
    <row r="3000" spans="1:4" x14ac:dyDescent="0.3">
      <c r="A3000" t="s">
        <v>25</v>
      </c>
      <c r="C3000" s="16">
        <v>46258</v>
      </c>
      <c r="D3000">
        <v>24.450000000000003</v>
      </c>
    </row>
    <row r="3001" spans="1:4" x14ac:dyDescent="0.3">
      <c r="A3001" t="s">
        <v>26</v>
      </c>
      <c r="C3001" s="16">
        <v>46258</v>
      </c>
      <c r="D3001">
        <v>2177.87</v>
      </c>
    </row>
    <row r="3002" spans="1:4" x14ac:dyDescent="0.3">
      <c r="A3002" t="s">
        <v>27</v>
      </c>
      <c r="C3002" s="16">
        <v>46258</v>
      </c>
      <c r="D3002">
        <v>754424.72</v>
      </c>
    </row>
    <row r="3003" spans="1:4" x14ac:dyDescent="0.3">
      <c r="A3003" t="s">
        <v>28</v>
      </c>
      <c r="C3003" s="16">
        <v>46258</v>
      </c>
      <c r="D3003">
        <v>1968.99</v>
      </c>
    </row>
    <row r="3004" spans="1:4" x14ac:dyDescent="0.3">
      <c r="A3004" t="s">
        <v>29</v>
      </c>
      <c r="C3004" s="16">
        <v>46258</v>
      </c>
      <c r="D3004">
        <v>901.34</v>
      </c>
    </row>
    <row r="3005" spans="1:4" x14ac:dyDescent="0.3">
      <c r="A3005" t="s">
        <v>30</v>
      </c>
      <c r="C3005" s="16">
        <v>46258</v>
      </c>
      <c r="D3005">
        <v>1396.08</v>
      </c>
    </row>
    <row r="3006" spans="1:4" x14ac:dyDescent="0.3">
      <c r="A3006" t="s">
        <v>31</v>
      </c>
      <c r="C3006" s="16">
        <v>46258</v>
      </c>
      <c r="D3006">
        <v>13685.709999999959</v>
      </c>
    </row>
    <row r="3007" spans="1:4" x14ac:dyDescent="0.3">
      <c r="A3007" t="s">
        <v>32</v>
      </c>
      <c r="C3007" s="16">
        <v>46258</v>
      </c>
      <c r="D3007">
        <v>8724.1700000000037</v>
      </c>
    </row>
    <row r="3008" spans="1:4" x14ac:dyDescent="0.3">
      <c r="A3008" t="s">
        <v>33</v>
      </c>
      <c r="C3008" s="16">
        <v>46258</v>
      </c>
      <c r="D3008">
        <v>19336.039999999997</v>
      </c>
    </row>
    <row r="3009" spans="1:4" x14ac:dyDescent="0.3">
      <c r="A3009" t="s">
        <v>34</v>
      </c>
      <c r="C3009" s="16">
        <v>46258</v>
      </c>
      <c r="D3009">
        <v>345</v>
      </c>
    </row>
    <row r="3010" spans="1:4" x14ac:dyDescent="0.3">
      <c r="A3010" t="s">
        <v>35</v>
      </c>
      <c r="C3010" s="16">
        <v>46258</v>
      </c>
      <c r="D3010">
        <v>12519.840000000004</v>
      </c>
    </row>
    <row r="3011" spans="1:4" x14ac:dyDescent="0.3">
      <c r="A3011" t="s">
        <v>193</v>
      </c>
      <c r="C3011" s="16">
        <v>46258</v>
      </c>
      <c r="D3011">
        <v>0</v>
      </c>
    </row>
    <row r="3012" spans="1:4" x14ac:dyDescent="0.3">
      <c r="A3012" t="s">
        <v>194</v>
      </c>
      <c r="C3012" s="16">
        <v>46258</v>
      </c>
      <c r="D3012">
        <v>0</v>
      </c>
    </row>
    <row r="3013" spans="1:4" x14ac:dyDescent="0.3">
      <c r="A3013" t="s">
        <v>195</v>
      </c>
      <c r="C3013" s="16">
        <v>46258</v>
      </c>
      <c r="D3013">
        <v>0</v>
      </c>
    </row>
    <row r="3014" spans="1:4" x14ac:dyDescent="0.3">
      <c r="A3014" t="s">
        <v>196</v>
      </c>
      <c r="C3014" s="16">
        <v>46258</v>
      </c>
      <c r="D3014">
        <v>0</v>
      </c>
    </row>
    <row r="3015" spans="1:4" x14ac:dyDescent="0.3">
      <c r="A3015" t="s">
        <v>197</v>
      </c>
      <c r="C3015" s="16">
        <v>46258</v>
      </c>
      <c r="D3015">
        <v>0</v>
      </c>
    </row>
    <row r="3016" spans="1:4" x14ac:dyDescent="0.3">
      <c r="A3016" t="s">
        <v>214</v>
      </c>
      <c r="C3016" s="16">
        <v>46258</v>
      </c>
      <c r="D3016">
        <v>0</v>
      </c>
    </row>
    <row r="3017" spans="1:4" x14ac:dyDescent="0.3">
      <c r="A3017" t="s">
        <v>199</v>
      </c>
      <c r="C3017" s="16">
        <v>46258</v>
      </c>
      <c r="D3017">
        <v>0</v>
      </c>
    </row>
    <row r="3018" spans="1:4" x14ac:dyDescent="0.3">
      <c r="A3018" t="s">
        <v>17</v>
      </c>
      <c r="C3018" s="16">
        <v>46259</v>
      </c>
      <c r="D3018">
        <v>526096.53000000049</v>
      </c>
    </row>
    <row r="3019" spans="1:4" x14ac:dyDescent="0.3">
      <c r="A3019" t="s">
        <v>18</v>
      </c>
      <c r="C3019" s="16">
        <v>46259</v>
      </c>
      <c r="D3019">
        <v>90643.10000000018</v>
      </c>
    </row>
    <row r="3020" spans="1:4" x14ac:dyDescent="0.3">
      <c r="A3020" t="s">
        <v>19</v>
      </c>
      <c r="C3020" s="16">
        <v>46259</v>
      </c>
      <c r="D3020">
        <v>1669.89</v>
      </c>
    </row>
    <row r="3021" spans="1:4" x14ac:dyDescent="0.3">
      <c r="A3021" t="s">
        <v>20</v>
      </c>
      <c r="C3021" s="16">
        <v>46259</v>
      </c>
      <c r="D3021">
        <v>1252108.94</v>
      </c>
    </row>
    <row r="3022" spans="1:4" x14ac:dyDescent="0.3">
      <c r="A3022" t="s">
        <v>21</v>
      </c>
      <c r="C3022" s="16">
        <v>46259</v>
      </c>
      <c r="D3022">
        <v>1743289.5899999996</v>
      </c>
    </row>
    <row r="3023" spans="1:4" x14ac:dyDescent="0.3">
      <c r="A3023" t="s">
        <v>22</v>
      </c>
      <c r="C3023" s="16">
        <v>46259</v>
      </c>
      <c r="D3023">
        <v>221496.38</v>
      </c>
    </row>
    <row r="3024" spans="1:4" x14ac:dyDescent="0.3">
      <c r="A3024" t="s">
        <v>23</v>
      </c>
      <c r="C3024" s="16">
        <v>46259</v>
      </c>
      <c r="D3024">
        <v>277586.34000000003</v>
      </c>
    </row>
    <row r="3025" spans="1:4" x14ac:dyDescent="0.3">
      <c r="A3025" t="s">
        <v>24</v>
      </c>
      <c r="C3025" s="16">
        <v>46259</v>
      </c>
      <c r="D3025">
        <v>13270.02</v>
      </c>
    </row>
    <row r="3026" spans="1:4" x14ac:dyDescent="0.3">
      <c r="A3026" t="s">
        <v>25</v>
      </c>
      <c r="C3026" s="16">
        <v>46259</v>
      </c>
      <c r="D3026">
        <v>24.450000000000003</v>
      </c>
    </row>
    <row r="3027" spans="1:4" x14ac:dyDescent="0.3">
      <c r="A3027" t="s">
        <v>26</v>
      </c>
      <c r="C3027" s="16">
        <v>46259</v>
      </c>
      <c r="D3027">
        <v>2177.87</v>
      </c>
    </row>
    <row r="3028" spans="1:4" x14ac:dyDescent="0.3">
      <c r="A3028" t="s">
        <v>27</v>
      </c>
      <c r="C3028" s="16">
        <v>46259</v>
      </c>
      <c r="D3028">
        <v>754424.72</v>
      </c>
    </row>
    <row r="3029" spans="1:4" x14ac:dyDescent="0.3">
      <c r="A3029" t="s">
        <v>28</v>
      </c>
      <c r="C3029" s="16">
        <v>46259</v>
      </c>
      <c r="D3029">
        <v>1968.99</v>
      </c>
    </row>
    <row r="3030" spans="1:4" x14ac:dyDescent="0.3">
      <c r="A3030" t="s">
        <v>29</v>
      </c>
      <c r="C3030" s="16">
        <v>46259</v>
      </c>
      <c r="D3030">
        <v>901.34</v>
      </c>
    </row>
    <row r="3031" spans="1:4" x14ac:dyDescent="0.3">
      <c r="A3031" t="s">
        <v>30</v>
      </c>
      <c r="C3031" s="16">
        <v>46259</v>
      </c>
      <c r="D3031">
        <v>1396.08</v>
      </c>
    </row>
    <row r="3032" spans="1:4" x14ac:dyDescent="0.3">
      <c r="A3032" t="s">
        <v>31</v>
      </c>
      <c r="C3032" s="16">
        <v>46259</v>
      </c>
      <c r="D3032">
        <v>13685.709999999959</v>
      </c>
    </row>
    <row r="3033" spans="1:4" x14ac:dyDescent="0.3">
      <c r="A3033" t="s">
        <v>32</v>
      </c>
      <c r="C3033" s="16">
        <v>46259</v>
      </c>
      <c r="D3033">
        <v>8724.1700000000037</v>
      </c>
    </row>
    <row r="3034" spans="1:4" x14ac:dyDescent="0.3">
      <c r="A3034" t="s">
        <v>33</v>
      </c>
      <c r="C3034" s="16">
        <v>46259</v>
      </c>
      <c r="D3034">
        <v>19336.039999999997</v>
      </c>
    </row>
    <row r="3035" spans="1:4" x14ac:dyDescent="0.3">
      <c r="A3035" t="s">
        <v>34</v>
      </c>
      <c r="C3035" s="16">
        <v>46259</v>
      </c>
      <c r="D3035">
        <v>345</v>
      </c>
    </row>
    <row r="3036" spans="1:4" x14ac:dyDescent="0.3">
      <c r="A3036" t="s">
        <v>35</v>
      </c>
      <c r="C3036" s="16">
        <v>46259</v>
      </c>
      <c r="D3036">
        <v>12519.840000000004</v>
      </c>
    </row>
    <row r="3037" spans="1:4" x14ac:dyDescent="0.3">
      <c r="A3037" t="s">
        <v>193</v>
      </c>
      <c r="C3037" s="16">
        <v>46259</v>
      </c>
      <c r="D3037">
        <v>0</v>
      </c>
    </row>
    <row r="3038" spans="1:4" x14ac:dyDescent="0.3">
      <c r="A3038" t="s">
        <v>194</v>
      </c>
      <c r="C3038" s="16">
        <v>46259</v>
      </c>
      <c r="D3038">
        <v>0</v>
      </c>
    </row>
    <row r="3039" spans="1:4" x14ac:dyDescent="0.3">
      <c r="A3039" t="s">
        <v>195</v>
      </c>
      <c r="C3039" s="16">
        <v>46259</v>
      </c>
      <c r="D3039">
        <v>0</v>
      </c>
    </row>
    <row r="3040" spans="1:4" x14ac:dyDescent="0.3">
      <c r="A3040" t="s">
        <v>196</v>
      </c>
      <c r="C3040" s="16">
        <v>46259</v>
      </c>
      <c r="D3040">
        <v>0</v>
      </c>
    </row>
    <row r="3041" spans="1:4" x14ac:dyDescent="0.3">
      <c r="A3041" t="s">
        <v>197</v>
      </c>
      <c r="C3041" s="16">
        <v>46259</v>
      </c>
      <c r="D3041">
        <v>0</v>
      </c>
    </row>
    <row r="3042" spans="1:4" x14ac:dyDescent="0.3">
      <c r="A3042" t="s">
        <v>214</v>
      </c>
      <c r="C3042" s="16">
        <v>46259</v>
      </c>
      <c r="D3042">
        <v>0</v>
      </c>
    </row>
    <row r="3043" spans="1:4" x14ac:dyDescent="0.3">
      <c r="A3043" t="s">
        <v>199</v>
      </c>
      <c r="C3043" s="16">
        <v>46259</v>
      </c>
      <c r="D3043">
        <v>0</v>
      </c>
    </row>
    <row r="3044" spans="1:4" x14ac:dyDescent="0.3">
      <c r="A3044" t="s">
        <v>17</v>
      </c>
      <c r="C3044" s="16">
        <v>46260</v>
      </c>
      <c r="D3044">
        <v>526096.53000000049</v>
      </c>
    </row>
    <row r="3045" spans="1:4" x14ac:dyDescent="0.3">
      <c r="A3045" t="s">
        <v>18</v>
      </c>
      <c r="C3045" s="16">
        <v>46260</v>
      </c>
      <c r="D3045">
        <v>90643.10000000018</v>
      </c>
    </row>
    <row r="3046" spans="1:4" x14ac:dyDescent="0.3">
      <c r="A3046" t="s">
        <v>19</v>
      </c>
      <c r="C3046" s="16">
        <v>46260</v>
      </c>
      <c r="D3046">
        <v>1669.89</v>
      </c>
    </row>
    <row r="3047" spans="1:4" x14ac:dyDescent="0.3">
      <c r="A3047" t="s">
        <v>20</v>
      </c>
      <c r="C3047" s="16">
        <v>46260</v>
      </c>
      <c r="D3047">
        <v>1269654.47</v>
      </c>
    </row>
    <row r="3048" spans="1:4" x14ac:dyDescent="0.3">
      <c r="A3048" t="s">
        <v>21</v>
      </c>
      <c r="C3048" s="16">
        <v>46260</v>
      </c>
      <c r="D3048">
        <v>1743289.5899999996</v>
      </c>
    </row>
    <row r="3049" spans="1:4" x14ac:dyDescent="0.3">
      <c r="A3049" t="s">
        <v>22</v>
      </c>
      <c r="C3049" s="16">
        <v>46260</v>
      </c>
      <c r="D3049">
        <v>221496.38</v>
      </c>
    </row>
    <row r="3050" spans="1:4" x14ac:dyDescent="0.3">
      <c r="A3050" t="s">
        <v>23</v>
      </c>
      <c r="C3050" s="16">
        <v>46260</v>
      </c>
      <c r="D3050">
        <v>277586.34000000003</v>
      </c>
    </row>
    <row r="3051" spans="1:4" x14ac:dyDescent="0.3">
      <c r="A3051" t="s">
        <v>24</v>
      </c>
      <c r="C3051" s="16">
        <v>46260</v>
      </c>
      <c r="D3051">
        <v>13270.02</v>
      </c>
    </row>
    <row r="3052" spans="1:4" x14ac:dyDescent="0.3">
      <c r="A3052" t="s">
        <v>25</v>
      </c>
      <c r="C3052" s="16">
        <v>46260</v>
      </c>
      <c r="D3052">
        <v>24.450000000000003</v>
      </c>
    </row>
    <row r="3053" spans="1:4" x14ac:dyDescent="0.3">
      <c r="A3053" t="s">
        <v>26</v>
      </c>
      <c r="C3053" s="16">
        <v>46260</v>
      </c>
      <c r="D3053">
        <v>2177.87</v>
      </c>
    </row>
    <row r="3054" spans="1:4" x14ac:dyDescent="0.3">
      <c r="A3054" t="s">
        <v>27</v>
      </c>
      <c r="C3054" s="16">
        <v>46260</v>
      </c>
      <c r="D3054">
        <v>754424.72</v>
      </c>
    </row>
    <row r="3055" spans="1:4" x14ac:dyDescent="0.3">
      <c r="A3055" t="s">
        <v>28</v>
      </c>
      <c r="C3055" s="16">
        <v>46260</v>
      </c>
      <c r="D3055">
        <v>1968.99</v>
      </c>
    </row>
    <row r="3056" spans="1:4" x14ac:dyDescent="0.3">
      <c r="A3056" t="s">
        <v>29</v>
      </c>
      <c r="C3056" s="16">
        <v>46260</v>
      </c>
      <c r="D3056">
        <v>901.34</v>
      </c>
    </row>
    <row r="3057" spans="1:4" x14ac:dyDescent="0.3">
      <c r="A3057" t="s">
        <v>30</v>
      </c>
      <c r="C3057" s="16">
        <v>46260</v>
      </c>
      <c r="D3057">
        <v>1396.08</v>
      </c>
    </row>
    <row r="3058" spans="1:4" x14ac:dyDescent="0.3">
      <c r="A3058" t="s">
        <v>31</v>
      </c>
      <c r="C3058" s="16">
        <v>46260</v>
      </c>
      <c r="D3058">
        <v>13685.709999999959</v>
      </c>
    </row>
    <row r="3059" spans="1:4" x14ac:dyDescent="0.3">
      <c r="A3059" t="s">
        <v>32</v>
      </c>
      <c r="C3059" s="16">
        <v>46260</v>
      </c>
      <c r="D3059">
        <v>8724.1700000000037</v>
      </c>
    </row>
    <row r="3060" spans="1:4" x14ac:dyDescent="0.3">
      <c r="A3060" t="s">
        <v>33</v>
      </c>
      <c r="C3060" s="16">
        <v>46260</v>
      </c>
      <c r="D3060">
        <v>19336.039999999997</v>
      </c>
    </row>
    <row r="3061" spans="1:4" x14ac:dyDescent="0.3">
      <c r="A3061" t="s">
        <v>34</v>
      </c>
      <c r="C3061" s="16">
        <v>46260</v>
      </c>
      <c r="D3061">
        <v>345</v>
      </c>
    </row>
    <row r="3062" spans="1:4" x14ac:dyDescent="0.3">
      <c r="A3062" t="s">
        <v>35</v>
      </c>
      <c r="C3062" s="16">
        <v>46260</v>
      </c>
      <c r="D3062">
        <v>12519.840000000004</v>
      </c>
    </row>
    <row r="3063" spans="1:4" x14ac:dyDescent="0.3">
      <c r="A3063" t="s">
        <v>193</v>
      </c>
      <c r="C3063" s="16">
        <v>46260</v>
      </c>
      <c r="D3063">
        <v>0</v>
      </c>
    </row>
    <row r="3064" spans="1:4" x14ac:dyDescent="0.3">
      <c r="A3064" t="s">
        <v>194</v>
      </c>
      <c r="C3064" s="16">
        <v>46260</v>
      </c>
      <c r="D3064">
        <v>0</v>
      </c>
    </row>
    <row r="3065" spans="1:4" x14ac:dyDescent="0.3">
      <c r="A3065" t="s">
        <v>195</v>
      </c>
      <c r="C3065" s="16">
        <v>46260</v>
      </c>
      <c r="D3065">
        <v>0</v>
      </c>
    </row>
    <row r="3066" spans="1:4" x14ac:dyDescent="0.3">
      <c r="A3066" t="s">
        <v>196</v>
      </c>
      <c r="C3066" s="16">
        <v>46260</v>
      </c>
      <c r="D3066">
        <v>0</v>
      </c>
    </row>
    <row r="3067" spans="1:4" x14ac:dyDescent="0.3">
      <c r="A3067" t="s">
        <v>197</v>
      </c>
      <c r="C3067" s="16">
        <v>46260</v>
      </c>
      <c r="D3067">
        <v>0</v>
      </c>
    </row>
    <row r="3068" spans="1:4" x14ac:dyDescent="0.3">
      <c r="A3068" t="s">
        <v>214</v>
      </c>
      <c r="C3068" s="16">
        <v>46260</v>
      </c>
      <c r="D3068">
        <v>0</v>
      </c>
    </row>
    <row r="3069" spans="1:4" x14ac:dyDescent="0.3">
      <c r="A3069" t="s">
        <v>199</v>
      </c>
      <c r="C3069" s="16">
        <v>46260</v>
      </c>
      <c r="D3069">
        <v>0</v>
      </c>
    </row>
    <row r="3070" spans="1:4" x14ac:dyDescent="0.3">
      <c r="A3070" t="s">
        <v>17</v>
      </c>
      <c r="C3070" s="16">
        <v>46261</v>
      </c>
      <c r="D3070">
        <v>578093.59000000043</v>
      </c>
    </row>
    <row r="3071" spans="1:4" x14ac:dyDescent="0.3">
      <c r="A3071" t="s">
        <v>18</v>
      </c>
      <c r="C3071" s="16">
        <v>46261</v>
      </c>
      <c r="D3071">
        <v>90643.10000000018</v>
      </c>
    </row>
    <row r="3072" spans="1:4" x14ac:dyDescent="0.3">
      <c r="A3072" t="s">
        <v>19</v>
      </c>
      <c r="C3072" s="16">
        <v>46261</v>
      </c>
      <c r="D3072">
        <v>1669.89</v>
      </c>
    </row>
    <row r="3073" spans="1:4" x14ac:dyDescent="0.3">
      <c r="A3073" t="s">
        <v>20</v>
      </c>
      <c r="C3073" s="16">
        <v>46261</v>
      </c>
      <c r="D3073">
        <v>1394654.47</v>
      </c>
    </row>
    <row r="3074" spans="1:4" x14ac:dyDescent="0.3">
      <c r="A3074" t="s">
        <v>21</v>
      </c>
      <c r="C3074" s="16">
        <v>46261</v>
      </c>
      <c r="D3074">
        <v>1719364.7199999997</v>
      </c>
    </row>
    <row r="3075" spans="1:4" x14ac:dyDescent="0.3">
      <c r="A3075" t="s">
        <v>22</v>
      </c>
      <c r="C3075" s="16">
        <v>46261</v>
      </c>
      <c r="D3075">
        <v>221496.38</v>
      </c>
    </row>
    <row r="3076" spans="1:4" x14ac:dyDescent="0.3">
      <c r="A3076" t="s">
        <v>23</v>
      </c>
      <c r="C3076" s="16">
        <v>46261</v>
      </c>
      <c r="D3076">
        <v>277586.34000000003</v>
      </c>
    </row>
    <row r="3077" spans="1:4" x14ac:dyDescent="0.3">
      <c r="A3077" t="s">
        <v>24</v>
      </c>
      <c r="C3077" s="16">
        <v>46261</v>
      </c>
      <c r="D3077">
        <v>13270.02</v>
      </c>
    </row>
    <row r="3078" spans="1:4" x14ac:dyDescent="0.3">
      <c r="A3078" t="s">
        <v>25</v>
      </c>
      <c r="C3078" s="16">
        <v>46261</v>
      </c>
      <c r="D3078">
        <v>124.45</v>
      </c>
    </row>
    <row r="3079" spans="1:4" x14ac:dyDescent="0.3">
      <c r="A3079" t="s">
        <v>26</v>
      </c>
      <c r="C3079" s="16">
        <v>46261</v>
      </c>
      <c r="D3079">
        <v>2177.87</v>
      </c>
    </row>
    <row r="3080" spans="1:4" x14ac:dyDescent="0.3">
      <c r="A3080" t="s">
        <v>27</v>
      </c>
      <c r="C3080" s="16">
        <v>46261</v>
      </c>
      <c r="D3080">
        <v>754424.72</v>
      </c>
    </row>
    <row r="3081" spans="1:4" x14ac:dyDescent="0.3">
      <c r="A3081" t="s">
        <v>28</v>
      </c>
      <c r="C3081" s="16">
        <v>46261</v>
      </c>
      <c r="D3081">
        <v>1968.99</v>
      </c>
    </row>
    <row r="3082" spans="1:4" x14ac:dyDescent="0.3">
      <c r="A3082" t="s">
        <v>29</v>
      </c>
      <c r="C3082" s="16">
        <v>46261</v>
      </c>
      <c r="D3082">
        <v>901.34</v>
      </c>
    </row>
    <row r="3083" spans="1:4" x14ac:dyDescent="0.3">
      <c r="A3083" t="s">
        <v>30</v>
      </c>
      <c r="C3083" s="16">
        <v>46261</v>
      </c>
      <c r="D3083">
        <v>1396.08</v>
      </c>
    </row>
    <row r="3084" spans="1:4" x14ac:dyDescent="0.3">
      <c r="A3084" t="s">
        <v>31</v>
      </c>
      <c r="C3084" s="16">
        <v>46261</v>
      </c>
      <c r="D3084">
        <v>33685.709999999963</v>
      </c>
    </row>
    <row r="3085" spans="1:4" x14ac:dyDescent="0.3">
      <c r="A3085" t="s">
        <v>32</v>
      </c>
      <c r="C3085" s="16">
        <v>46261</v>
      </c>
      <c r="D3085">
        <v>29724.170000000006</v>
      </c>
    </row>
    <row r="3086" spans="1:4" x14ac:dyDescent="0.3">
      <c r="A3086" t="s">
        <v>33</v>
      </c>
      <c r="C3086" s="16">
        <v>46261</v>
      </c>
      <c r="D3086">
        <v>19336.039999999997</v>
      </c>
    </row>
    <row r="3087" spans="1:4" x14ac:dyDescent="0.3">
      <c r="A3087" t="s">
        <v>34</v>
      </c>
      <c r="C3087" s="16">
        <v>46261</v>
      </c>
      <c r="D3087">
        <v>345</v>
      </c>
    </row>
    <row r="3088" spans="1:4" x14ac:dyDescent="0.3">
      <c r="A3088" t="s">
        <v>35</v>
      </c>
      <c r="C3088" s="16">
        <v>46261</v>
      </c>
      <c r="D3088">
        <v>9608.7000000000025</v>
      </c>
    </row>
    <row r="3089" spans="1:4" x14ac:dyDescent="0.3">
      <c r="A3089" t="s">
        <v>193</v>
      </c>
      <c r="C3089" s="16">
        <v>46261</v>
      </c>
      <c r="D3089">
        <v>0</v>
      </c>
    </row>
    <row r="3090" spans="1:4" x14ac:dyDescent="0.3">
      <c r="A3090" t="s">
        <v>194</v>
      </c>
      <c r="C3090" s="16">
        <v>46261</v>
      </c>
      <c r="D3090">
        <v>0</v>
      </c>
    </row>
    <row r="3091" spans="1:4" x14ac:dyDescent="0.3">
      <c r="A3091" t="s">
        <v>195</v>
      </c>
      <c r="C3091" s="16">
        <v>46261</v>
      </c>
      <c r="D3091">
        <v>0</v>
      </c>
    </row>
    <row r="3092" spans="1:4" x14ac:dyDescent="0.3">
      <c r="A3092" t="s">
        <v>196</v>
      </c>
      <c r="C3092" s="16">
        <v>46261</v>
      </c>
      <c r="D3092">
        <v>0</v>
      </c>
    </row>
    <row r="3093" spans="1:4" x14ac:dyDescent="0.3">
      <c r="A3093" t="s">
        <v>197</v>
      </c>
      <c r="C3093" s="16">
        <v>46261</v>
      </c>
      <c r="D3093">
        <v>0</v>
      </c>
    </row>
    <row r="3094" spans="1:4" x14ac:dyDescent="0.3">
      <c r="A3094" t="s">
        <v>214</v>
      </c>
      <c r="C3094" s="16">
        <v>46261</v>
      </c>
      <c r="D3094">
        <v>0</v>
      </c>
    </row>
    <row r="3095" spans="1:4" x14ac:dyDescent="0.3">
      <c r="A3095" t="s">
        <v>199</v>
      </c>
      <c r="C3095" s="16">
        <v>46261</v>
      </c>
      <c r="D3095">
        <v>0</v>
      </c>
    </row>
    <row r="3096" spans="1:4" x14ac:dyDescent="0.3">
      <c r="A3096" t="s">
        <v>17</v>
      </c>
      <c r="C3096" s="16">
        <v>46262</v>
      </c>
      <c r="D3096">
        <v>743430.83000000054</v>
      </c>
    </row>
    <row r="3097" spans="1:4" x14ac:dyDescent="0.3">
      <c r="A3097" t="s">
        <v>18</v>
      </c>
      <c r="C3097" s="16">
        <v>46262</v>
      </c>
      <c r="D3097">
        <v>93280.230000000171</v>
      </c>
    </row>
    <row r="3098" spans="1:4" x14ac:dyDescent="0.3">
      <c r="A3098" t="s">
        <v>19</v>
      </c>
      <c r="C3098" s="16">
        <v>46262</v>
      </c>
      <c r="D3098">
        <v>1669.89</v>
      </c>
    </row>
    <row r="3099" spans="1:4" x14ac:dyDescent="0.3">
      <c r="A3099" t="s">
        <v>20</v>
      </c>
      <c r="C3099" s="16">
        <v>46262</v>
      </c>
      <c r="D3099">
        <v>1418445.91</v>
      </c>
    </row>
    <row r="3100" spans="1:4" x14ac:dyDescent="0.3">
      <c r="A3100" t="s">
        <v>21</v>
      </c>
      <c r="C3100" s="16">
        <v>46262</v>
      </c>
      <c r="D3100">
        <v>1553167.1899999995</v>
      </c>
    </row>
    <row r="3101" spans="1:4" x14ac:dyDescent="0.3">
      <c r="A3101" t="s">
        <v>22</v>
      </c>
      <c r="C3101" s="16">
        <v>46262</v>
      </c>
      <c r="D3101">
        <v>221496.38</v>
      </c>
    </row>
    <row r="3102" spans="1:4" x14ac:dyDescent="0.3">
      <c r="A3102" t="s">
        <v>23</v>
      </c>
      <c r="C3102" s="16">
        <v>46262</v>
      </c>
      <c r="D3102">
        <v>217684.34</v>
      </c>
    </row>
    <row r="3103" spans="1:4" x14ac:dyDescent="0.3">
      <c r="A3103" t="s">
        <v>24</v>
      </c>
      <c r="C3103" s="16">
        <v>46262</v>
      </c>
      <c r="D3103">
        <v>13270.02</v>
      </c>
    </row>
    <row r="3104" spans="1:4" x14ac:dyDescent="0.3">
      <c r="A3104" t="s">
        <v>25</v>
      </c>
      <c r="C3104" s="16">
        <v>46262</v>
      </c>
      <c r="D3104">
        <v>124.45</v>
      </c>
    </row>
    <row r="3105" spans="1:4" x14ac:dyDescent="0.3">
      <c r="A3105" t="s">
        <v>26</v>
      </c>
      <c r="C3105" s="16">
        <v>46262</v>
      </c>
      <c r="D3105">
        <v>2177.87</v>
      </c>
    </row>
    <row r="3106" spans="1:4" x14ac:dyDescent="0.3">
      <c r="A3106" t="s">
        <v>27</v>
      </c>
      <c r="C3106" s="16">
        <v>46262</v>
      </c>
      <c r="D3106">
        <v>754424.72</v>
      </c>
    </row>
    <row r="3107" spans="1:4" x14ac:dyDescent="0.3">
      <c r="A3107" t="s">
        <v>28</v>
      </c>
      <c r="C3107" s="16">
        <v>46262</v>
      </c>
      <c r="D3107">
        <v>1968.99</v>
      </c>
    </row>
    <row r="3108" spans="1:4" x14ac:dyDescent="0.3">
      <c r="A3108" t="s">
        <v>29</v>
      </c>
      <c r="C3108" s="16">
        <v>46262</v>
      </c>
      <c r="D3108">
        <v>901.34</v>
      </c>
    </row>
    <row r="3109" spans="1:4" x14ac:dyDescent="0.3">
      <c r="A3109" t="s">
        <v>30</v>
      </c>
      <c r="C3109" s="16">
        <v>46262</v>
      </c>
      <c r="D3109">
        <v>1396.08</v>
      </c>
    </row>
    <row r="3110" spans="1:4" x14ac:dyDescent="0.3">
      <c r="A3110" t="s">
        <v>31</v>
      </c>
      <c r="C3110" s="16">
        <v>46262</v>
      </c>
      <c r="D3110">
        <v>33670.709999999963</v>
      </c>
    </row>
    <row r="3111" spans="1:4" x14ac:dyDescent="0.3">
      <c r="A3111" t="s">
        <v>32</v>
      </c>
      <c r="C3111" s="16">
        <v>46262</v>
      </c>
      <c r="D3111">
        <v>29709.170000000006</v>
      </c>
    </row>
    <row r="3112" spans="1:4" x14ac:dyDescent="0.3">
      <c r="A3112" t="s">
        <v>33</v>
      </c>
      <c r="C3112" s="16">
        <v>46262</v>
      </c>
      <c r="D3112">
        <v>19336.039999999997</v>
      </c>
    </row>
    <row r="3113" spans="1:4" x14ac:dyDescent="0.3">
      <c r="A3113" t="s">
        <v>34</v>
      </c>
      <c r="C3113" s="16">
        <v>46262</v>
      </c>
      <c r="D3113">
        <v>345</v>
      </c>
    </row>
    <row r="3114" spans="1:4" x14ac:dyDescent="0.3">
      <c r="A3114" t="s">
        <v>35</v>
      </c>
      <c r="C3114" s="16">
        <v>46262</v>
      </c>
      <c r="D3114">
        <v>9560.0000000000018</v>
      </c>
    </row>
    <row r="3115" spans="1:4" x14ac:dyDescent="0.3">
      <c r="A3115" t="s">
        <v>193</v>
      </c>
      <c r="C3115" s="16">
        <v>46262</v>
      </c>
      <c r="D3115">
        <v>0</v>
      </c>
    </row>
    <row r="3116" spans="1:4" x14ac:dyDescent="0.3">
      <c r="A3116" t="s">
        <v>194</v>
      </c>
      <c r="C3116" s="16">
        <v>46262</v>
      </c>
      <c r="D3116">
        <v>0</v>
      </c>
    </row>
    <row r="3117" spans="1:4" x14ac:dyDescent="0.3">
      <c r="A3117" t="s">
        <v>195</v>
      </c>
      <c r="C3117" s="16">
        <v>46262</v>
      </c>
      <c r="D3117">
        <v>0</v>
      </c>
    </row>
    <row r="3118" spans="1:4" x14ac:dyDescent="0.3">
      <c r="A3118" t="s">
        <v>196</v>
      </c>
      <c r="C3118" s="16">
        <v>46262</v>
      </c>
      <c r="D3118">
        <v>0</v>
      </c>
    </row>
    <row r="3119" spans="1:4" x14ac:dyDescent="0.3">
      <c r="A3119" t="s">
        <v>197</v>
      </c>
      <c r="C3119" s="16">
        <v>46262</v>
      </c>
      <c r="D3119">
        <v>0</v>
      </c>
    </row>
    <row r="3120" spans="1:4" x14ac:dyDescent="0.3">
      <c r="A3120" t="s">
        <v>214</v>
      </c>
      <c r="C3120" s="16">
        <v>46262</v>
      </c>
      <c r="D3120">
        <v>0</v>
      </c>
    </row>
    <row r="3121" spans="1:4" x14ac:dyDescent="0.3">
      <c r="A3121" t="s">
        <v>199</v>
      </c>
      <c r="C3121" s="16">
        <v>46262</v>
      </c>
      <c r="D3121">
        <v>0</v>
      </c>
    </row>
    <row r="3122" spans="1:4" x14ac:dyDescent="0.3">
      <c r="A3122" t="s">
        <v>17</v>
      </c>
      <c r="C3122" s="16">
        <v>46263</v>
      </c>
      <c r="D3122">
        <v>743430.83000000054</v>
      </c>
    </row>
    <row r="3123" spans="1:4" x14ac:dyDescent="0.3">
      <c r="A3123" t="s">
        <v>18</v>
      </c>
      <c r="C3123" s="16">
        <v>46263</v>
      </c>
      <c r="D3123">
        <v>93280.230000000171</v>
      </c>
    </row>
    <row r="3124" spans="1:4" x14ac:dyDescent="0.3">
      <c r="A3124" t="s">
        <v>19</v>
      </c>
      <c r="C3124" s="16">
        <v>46263</v>
      </c>
      <c r="D3124">
        <v>1669.89</v>
      </c>
    </row>
    <row r="3125" spans="1:4" x14ac:dyDescent="0.3">
      <c r="A3125" t="s">
        <v>20</v>
      </c>
      <c r="C3125" s="16">
        <v>46263</v>
      </c>
      <c r="D3125">
        <v>1418445.91</v>
      </c>
    </row>
    <row r="3126" spans="1:4" x14ac:dyDescent="0.3">
      <c r="A3126" t="s">
        <v>21</v>
      </c>
      <c r="C3126" s="16">
        <v>46263</v>
      </c>
      <c r="D3126">
        <v>1553167.1899999995</v>
      </c>
    </row>
    <row r="3127" spans="1:4" x14ac:dyDescent="0.3">
      <c r="A3127" t="s">
        <v>22</v>
      </c>
      <c r="C3127" s="16">
        <v>46263</v>
      </c>
      <c r="D3127">
        <v>221496.38</v>
      </c>
    </row>
    <row r="3128" spans="1:4" x14ac:dyDescent="0.3">
      <c r="A3128" t="s">
        <v>23</v>
      </c>
      <c r="C3128" s="16">
        <v>46263</v>
      </c>
      <c r="D3128">
        <v>217684.34</v>
      </c>
    </row>
    <row r="3129" spans="1:4" x14ac:dyDescent="0.3">
      <c r="A3129" t="s">
        <v>24</v>
      </c>
      <c r="C3129" s="16">
        <v>46263</v>
      </c>
      <c r="D3129">
        <v>13270.02</v>
      </c>
    </row>
    <row r="3130" spans="1:4" x14ac:dyDescent="0.3">
      <c r="A3130" t="s">
        <v>25</v>
      </c>
      <c r="C3130" s="16">
        <v>46263</v>
      </c>
      <c r="D3130">
        <v>124.45</v>
      </c>
    </row>
    <row r="3131" spans="1:4" x14ac:dyDescent="0.3">
      <c r="A3131" t="s">
        <v>26</v>
      </c>
      <c r="C3131" s="16">
        <v>46263</v>
      </c>
      <c r="D3131">
        <v>2177.87</v>
      </c>
    </row>
    <row r="3132" spans="1:4" x14ac:dyDescent="0.3">
      <c r="A3132" t="s">
        <v>27</v>
      </c>
      <c r="C3132" s="16">
        <v>46263</v>
      </c>
      <c r="D3132">
        <v>754424.72</v>
      </c>
    </row>
    <row r="3133" spans="1:4" x14ac:dyDescent="0.3">
      <c r="A3133" t="s">
        <v>28</v>
      </c>
      <c r="C3133" s="16">
        <v>46263</v>
      </c>
      <c r="D3133">
        <v>1968.99</v>
      </c>
    </row>
    <row r="3134" spans="1:4" x14ac:dyDescent="0.3">
      <c r="A3134" t="s">
        <v>29</v>
      </c>
      <c r="C3134" s="16">
        <v>46263</v>
      </c>
      <c r="D3134">
        <v>901.34</v>
      </c>
    </row>
    <row r="3135" spans="1:4" x14ac:dyDescent="0.3">
      <c r="A3135" t="s">
        <v>30</v>
      </c>
      <c r="C3135" s="16">
        <v>46263</v>
      </c>
      <c r="D3135">
        <v>1396.08</v>
      </c>
    </row>
    <row r="3136" spans="1:4" x14ac:dyDescent="0.3">
      <c r="A3136" t="s">
        <v>31</v>
      </c>
      <c r="C3136" s="16">
        <v>46263</v>
      </c>
      <c r="D3136">
        <v>33670.709999999963</v>
      </c>
    </row>
    <row r="3137" spans="1:4" x14ac:dyDescent="0.3">
      <c r="A3137" t="s">
        <v>32</v>
      </c>
      <c r="C3137" s="16">
        <v>46263</v>
      </c>
      <c r="D3137">
        <v>29709.170000000006</v>
      </c>
    </row>
    <row r="3138" spans="1:4" x14ac:dyDescent="0.3">
      <c r="A3138" t="s">
        <v>33</v>
      </c>
      <c r="C3138" s="16">
        <v>46263</v>
      </c>
      <c r="D3138">
        <v>19336.039999999997</v>
      </c>
    </row>
    <row r="3139" spans="1:4" x14ac:dyDescent="0.3">
      <c r="A3139" t="s">
        <v>34</v>
      </c>
      <c r="C3139" s="16">
        <v>46263</v>
      </c>
      <c r="D3139">
        <v>345</v>
      </c>
    </row>
    <row r="3140" spans="1:4" x14ac:dyDescent="0.3">
      <c r="A3140" t="s">
        <v>35</v>
      </c>
      <c r="C3140" s="16">
        <v>46263</v>
      </c>
      <c r="D3140">
        <v>9560.0000000000018</v>
      </c>
    </row>
    <row r="3141" spans="1:4" x14ac:dyDescent="0.3">
      <c r="A3141" t="s">
        <v>193</v>
      </c>
      <c r="C3141" s="16">
        <v>46263</v>
      </c>
      <c r="D3141">
        <v>0</v>
      </c>
    </row>
    <row r="3142" spans="1:4" x14ac:dyDescent="0.3">
      <c r="A3142" t="s">
        <v>194</v>
      </c>
      <c r="C3142" s="16">
        <v>46263</v>
      </c>
      <c r="D3142">
        <v>0</v>
      </c>
    </row>
    <row r="3143" spans="1:4" x14ac:dyDescent="0.3">
      <c r="A3143" t="s">
        <v>195</v>
      </c>
      <c r="C3143" s="16">
        <v>46263</v>
      </c>
      <c r="D3143">
        <v>0</v>
      </c>
    </row>
    <row r="3144" spans="1:4" x14ac:dyDescent="0.3">
      <c r="A3144" t="s">
        <v>196</v>
      </c>
      <c r="C3144" s="16">
        <v>46263</v>
      </c>
      <c r="D3144">
        <v>0</v>
      </c>
    </row>
    <row r="3145" spans="1:4" x14ac:dyDescent="0.3">
      <c r="A3145" t="s">
        <v>197</v>
      </c>
      <c r="C3145" s="16">
        <v>46263</v>
      </c>
      <c r="D3145">
        <v>0</v>
      </c>
    </row>
    <row r="3146" spans="1:4" x14ac:dyDescent="0.3">
      <c r="A3146" t="s">
        <v>214</v>
      </c>
      <c r="C3146" s="16">
        <v>46263</v>
      </c>
      <c r="D3146">
        <v>0</v>
      </c>
    </row>
    <row r="3147" spans="1:4" x14ac:dyDescent="0.3">
      <c r="A3147" t="s">
        <v>199</v>
      </c>
      <c r="C3147" s="16">
        <v>46263</v>
      </c>
      <c r="D3147">
        <v>0</v>
      </c>
    </row>
    <row r="3148" spans="1:4" x14ac:dyDescent="0.3">
      <c r="A3148" t="s">
        <v>17</v>
      </c>
      <c r="C3148" s="16">
        <v>46264</v>
      </c>
      <c r="D3148">
        <v>743430.83000000054</v>
      </c>
    </row>
    <row r="3149" spans="1:4" x14ac:dyDescent="0.3">
      <c r="A3149" t="s">
        <v>18</v>
      </c>
      <c r="C3149" s="16">
        <v>46264</v>
      </c>
      <c r="D3149">
        <v>93280.230000000171</v>
      </c>
    </row>
    <row r="3150" spans="1:4" x14ac:dyDescent="0.3">
      <c r="A3150" t="s">
        <v>19</v>
      </c>
      <c r="C3150" s="16">
        <v>46264</v>
      </c>
      <c r="D3150">
        <v>1669.89</v>
      </c>
    </row>
    <row r="3151" spans="1:4" x14ac:dyDescent="0.3">
      <c r="A3151" t="s">
        <v>20</v>
      </c>
      <c r="C3151" s="16">
        <v>46264</v>
      </c>
      <c r="D3151">
        <v>1418445.91</v>
      </c>
    </row>
    <row r="3152" spans="1:4" x14ac:dyDescent="0.3">
      <c r="A3152" t="s">
        <v>21</v>
      </c>
      <c r="C3152" s="16">
        <v>46264</v>
      </c>
      <c r="D3152">
        <v>1553167.1899999995</v>
      </c>
    </row>
    <row r="3153" spans="1:4" x14ac:dyDescent="0.3">
      <c r="A3153" t="s">
        <v>22</v>
      </c>
      <c r="C3153" s="16">
        <v>46264</v>
      </c>
      <c r="D3153">
        <v>221496.38</v>
      </c>
    </row>
    <row r="3154" spans="1:4" x14ac:dyDescent="0.3">
      <c r="A3154" t="s">
        <v>23</v>
      </c>
      <c r="C3154" s="16">
        <v>46264</v>
      </c>
      <c r="D3154">
        <v>217684.34</v>
      </c>
    </row>
    <row r="3155" spans="1:4" x14ac:dyDescent="0.3">
      <c r="A3155" t="s">
        <v>24</v>
      </c>
      <c r="C3155" s="16">
        <v>46264</v>
      </c>
      <c r="D3155">
        <v>13270.02</v>
      </c>
    </row>
    <row r="3156" spans="1:4" x14ac:dyDescent="0.3">
      <c r="A3156" t="s">
        <v>25</v>
      </c>
      <c r="C3156" s="16">
        <v>46264</v>
      </c>
      <c r="D3156">
        <v>124.45</v>
      </c>
    </row>
    <row r="3157" spans="1:4" x14ac:dyDescent="0.3">
      <c r="A3157" t="s">
        <v>26</v>
      </c>
      <c r="C3157" s="16">
        <v>46264</v>
      </c>
      <c r="D3157">
        <v>2177.87</v>
      </c>
    </row>
    <row r="3158" spans="1:4" x14ac:dyDescent="0.3">
      <c r="A3158" t="s">
        <v>27</v>
      </c>
      <c r="C3158" s="16">
        <v>46264</v>
      </c>
      <c r="D3158">
        <v>754424.72</v>
      </c>
    </row>
    <row r="3159" spans="1:4" x14ac:dyDescent="0.3">
      <c r="A3159" t="s">
        <v>28</v>
      </c>
      <c r="C3159" s="16">
        <v>46264</v>
      </c>
      <c r="D3159">
        <v>1968.99</v>
      </c>
    </row>
    <row r="3160" spans="1:4" x14ac:dyDescent="0.3">
      <c r="A3160" t="s">
        <v>29</v>
      </c>
      <c r="C3160" s="16">
        <v>46264</v>
      </c>
      <c r="D3160">
        <v>901.34</v>
      </c>
    </row>
    <row r="3161" spans="1:4" x14ac:dyDescent="0.3">
      <c r="A3161" t="s">
        <v>30</v>
      </c>
      <c r="C3161" s="16">
        <v>46264</v>
      </c>
      <c r="D3161">
        <v>1396.08</v>
      </c>
    </row>
    <row r="3162" spans="1:4" x14ac:dyDescent="0.3">
      <c r="A3162" t="s">
        <v>31</v>
      </c>
      <c r="C3162" s="16">
        <v>46264</v>
      </c>
      <c r="D3162">
        <v>33670.709999999963</v>
      </c>
    </row>
    <row r="3163" spans="1:4" x14ac:dyDescent="0.3">
      <c r="A3163" t="s">
        <v>32</v>
      </c>
      <c r="C3163" s="16">
        <v>46264</v>
      </c>
      <c r="D3163">
        <v>29709.170000000006</v>
      </c>
    </row>
    <row r="3164" spans="1:4" x14ac:dyDescent="0.3">
      <c r="A3164" t="s">
        <v>33</v>
      </c>
      <c r="C3164" s="16">
        <v>46264</v>
      </c>
      <c r="D3164">
        <v>19336.039999999997</v>
      </c>
    </row>
    <row r="3165" spans="1:4" x14ac:dyDescent="0.3">
      <c r="A3165" t="s">
        <v>34</v>
      </c>
      <c r="C3165" s="16">
        <v>46264</v>
      </c>
      <c r="D3165">
        <v>345</v>
      </c>
    </row>
    <row r="3166" spans="1:4" x14ac:dyDescent="0.3">
      <c r="A3166" t="s">
        <v>35</v>
      </c>
      <c r="C3166" s="16">
        <v>46264</v>
      </c>
      <c r="D3166">
        <v>9560.0000000000018</v>
      </c>
    </row>
    <row r="3167" spans="1:4" x14ac:dyDescent="0.3">
      <c r="A3167" t="s">
        <v>193</v>
      </c>
      <c r="C3167" s="16">
        <v>46264</v>
      </c>
      <c r="D3167">
        <v>0</v>
      </c>
    </row>
    <row r="3168" spans="1:4" x14ac:dyDescent="0.3">
      <c r="A3168" t="s">
        <v>194</v>
      </c>
      <c r="C3168" s="16">
        <v>46264</v>
      </c>
      <c r="D3168">
        <v>0</v>
      </c>
    </row>
    <row r="3169" spans="1:4" x14ac:dyDescent="0.3">
      <c r="A3169" t="s">
        <v>195</v>
      </c>
      <c r="C3169" s="16">
        <v>46264</v>
      </c>
      <c r="D3169">
        <v>0</v>
      </c>
    </row>
    <row r="3170" spans="1:4" x14ac:dyDescent="0.3">
      <c r="A3170" t="s">
        <v>196</v>
      </c>
      <c r="C3170" s="16">
        <v>46264</v>
      </c>
      <c r="D3170">
        <v>0</v>
      </c>
    </row>
    <row r="3171" spans="1:4" x14ac:dyDescent="0.3">
      <c r="A3171" t="s">
        <v>197</v>
      </c>
      <c r="C3171" s="16">
        <v>46264</v>
      </c>
      <c r="D3171">
        <v>0</v>
      </c>
    </row>
    <row r="3172" spans="1:4" x14ac:dyDescent="0.3">
      <c r="A3172" t="s">
        <v>214</v>
      </c>
      <c r="C3172" s="16">
        <v>46264</v>
      </c>
      <c r="D3172">
        <v>0</v>
      </c>
    </row>
    <row r="3173" spans="1:4" x14ac:dyDescent="0.3">
      <c r="A3173" t="s">
        <v>199</v>
      </c>
      <c r="C3173" s="16">
        <v>46264</v>
      </c>
      <c r="D3173">
        <v>0</v>
      </c>
    </row>
    <row r="3174" spans="1:4" x14ac:dyDescent="0.3">
      <c r="A3174" t="s">
        <v>17</v>
      </c>
      <c r="C3174" s="16">
        <v>46265</v>
      </c>
      <c r="D3174">
        <v>740452.88000000059</v>
      </c>
    </row>
    <row r="3175" spans="1:4" x14ac:dyDescent="0.3">
      <c r="A3175" t="s">
        <v>18</v>
      </c>
      <c r="C3175" s="16">
        <v>46265</v>
      </c>
      <c r="D3175">
        <v>93280.230000000171</v>
      </c>
    </row>
    <row r="3176" spans="1:4" x14ac:dyDescent="0.3">
      <c r="A3176" t="s">
        <v>19</v>
      </c>
      <c r="C3176" s="16">
        <v>46265</v>
      </c>
      <c r="D3176">
        <v>1669.89</v>
      </c>
    </row>
    <row r="3177" spans="1:4" x14ac:dyDescent="0.3">
      <c r="A3177" t="s">
        <v>20</v>
      </c>
      <c r="C3177" s="16">
        <v>46265</v>
      </c>
      <c r="D3177">
        <v>1419898.24</v>
      </c>
    </row>
    <row r="3178" spans="1:4" x14ac:dyDescent="0.3">
      <c r="A3178" t="s">
        <v>21</v>
      </c>
      <c r="C3178" s="16">
        <v>46265</v>
      </c>
      <c r="D3178">
        <v>1555601.2099999995</v>
      </c>
    </row>
    <row r="3179" spans="1:4" x14ac:dyDescent="0.3">
      <c r="A3179" t="s">
        <v>22</v>
      </c>
      <c r="C3179" s="16">
        <v>46265</v>
      </c>
      <c r="D3179">
        <v>221496.38</v>
      </c>
    </row>
    <row r="3180" spans="1:4" x14ac:dyDescent="0.3">
      <c r="A3180" t="s">
        <v>23</v>
      </c>
      <c r="C3180" s="16">
        <v>46265</v>
      </c>
      <c r="D3180">
        <v>217684.34</v>
      </c>
    </row>
    <row r="3181" spans="1:4" x14ac:dyDescent="0.3">
      <c r="A3181" t="s">
        <v>24</v>
      </c>
      <c r="C3181" s="16">
        <v>46265</v>
      </c>
      <c r="D3181">
        <v>13270.02</v>
      </c>
    </row>
    <row r="3182" spans="1:4" x14ac:dyDescent="0.3">
      <c r="A3182" t="s">
        <v>25</v>
      </c>
      <c r="C3182" s="16">
        <v>46265</v>
      </c>
      <c r="D3182">
        <v>124.45</v>
      </c>
    </row>
    <row r="3183" spans="1:4" x14ac:dyDescent="0.3">
      <c r="A3183" t="s">
        <v>26</v>
      </c>
      <c r="C3183" s="16">
        <v>46265</v>
      </c>
      <c r="D3183">
        <v>2177.87</v>
      </c>
    </row>
    <row r="3184" spans="1:4" x14ac:dyDescent="0.3">
      <c r="A3184" t="s">
        <v>27</v>
      </c>
      <c r="C3184" s="16">
        <v>46265</v>
      </c>
      <c r="D3184">
        <v>754424.72</v>
      </c>
    </row>
    <row r="3185" spans="1:4" x14ac:dyDescent="0.3">
      <c r="A3185" t="s">
        <v>28</v>
      </c>
      <c r="C3185" s="16">
        <v>46265</v>
      </c>
      <c r="D3185">
        <v>1968.99</v>
      </c>
    </row>
    <row r="3186" spans="1:4" x14ac:dyDescent="0.3">
      <c r="A3186" t="s">
        <v>29</v>
      </c>
      <c r="C3186" s="16">
        <v>46265</v>
      </c>
      <c r="D3186">
        <v>901.34</v>
      </c>
    </row>
    <row r="3187" spans="1:4" x14ac:dyDescent="0.3">
      <c r="A3187" t="s">
        <v>30</v>
      </c>
      <c r="C3187" s="16">
        <v>46265</v>
      </c>
      <c r="D3187">
        <v>1396.08</v>
      </c>
    </row>
    <row r="3188" spans="1:4" x14ac:dyDescent="0.3">
      <c r="A3188" t="s">
        <v>31</v>
      </c>
      <c r="C3188" s="16">
        <v>46265</v>
      </c>
      <c r="D3188">
        <v>33570.709999999963</v>
      </c>
    </row>
    <row r="3189" spans="1:4" x14ac:dyDescent="0.3">
      <c r="A3189" t="s">
        <v>32</v>
      </c>
      <c r="C3189" s="16">
        <v>46265</v>
      </c>
      <c r="D3189">
        <v>26559.170000000006</v>
      </c>
    </row>
    <row r="3190" spans="1:4" x14ac:dyDescent="0.3">
      <c r="A3190" t="s">
        <v>33</v>
      </c>
      <c r="C3190" s="16">
        <v>46265</v>
      </c>
      <c r="D3190">
        <v>23736.039999999997</v>
      </c>
    </row>
    <row r="3191" spans="1:4" x14ac:dyDescent="0.3">
      <c r="A3191" t="s">
        <v>34</v>
      </c>
      <c r="C3191" s="16">
        <v>46265</v>
      </c>
      <c r="D3191">
        <v>345</v>
      </c>
    </row>
    <row r="3192" spans="1:4" x14ac:dyDescent="0.3">
      <c r="A3192" t="s">
        <v>35</v>
      </c>
      <c r="C3192" s="16">
        <v>46265</v>
      </c>
      <c r="D3192">
        <v>9560.0000000000018</v>
      </c>
    </row>
    <row r="3193" spans="1:4" x14ac:dyDescent="0.3">
      <c r="A3193" t="s">
        <v>193</v>
      </c>
      <c r="C3193" s="16">
        <v>46265</v>
      </c>
      <c r="D3193">
        <v>0</v>
      </c>
    </row>
    <row r="3194" spans="1:4" x14ac:dyDescent="0.3">
      <c r="A3194" t="s">
        <v>194</v>
      </c>
      <c r="C3194" s="16">
        <v>46265</v>
      </c>
      <c r="D3194">
        <v>0</v>
      </c>
    </row>
    <row r="3195" spans="1:4" x14ac:dyDescent="0.3">
      <c r="A3195" t="s">
        <v>195</v>
      </c>
      <c r="C3195" s="16">
        <v>46265</v>
      </c>
      <c r="D3195">
        <v>0</v>
      </c>
    </row>
    <row r="3196" spans="1:4" x14ac:dyDescent="0.3">
      <c r="A3196" t="s">
        <v>196</v>
      </c>
      <c r="C3196" s="16">
        <v>46265</v>
      </c>
      <c r="D3196">
        <v>0</v>
      </c>
    </row>
    <row r="3197" spans="1:4" x14ac:dyDescent="0.3">
      <c r="A3197" t="s">
        <v>197</v>
      </c>
      <c r="C3197" s="16">
        <v>46265</v>
      </c>
      <c r="D3197">
        <v>0</v>
      </c>
    </row>
    <row r="3198" spans="1:4" x14ac:dyDescent="0.3">
      <c r="A3198" t="s">
        <v>214</v>
      </c>
      <c r="C3198" s="16">
        <v>46265</v>
      </c>
      <c r="D3198">
        <v>0</v>
      </c>
    </row>
    <row r="3199" spans="1:4" x14ac:dyDescent="0.3">
      <c r="A3199" t="s">
        <v>199</v>
      </c>
      <c r="C3199" s="16">
        <v>46265</v>
      </c>
      <c r="D3199">
        <v>0</v>
      </c>
    </row>
    <row r="3200" spans="1:4" x14ac:dyDescent="0.3">
      <c r="A3200" t="s">
        <v>17</v>
      </c>
      <c r="C3200" s="16">
        <v>46266</v>
      </c>
      <c r="D3200">
        <v>757677.3900000006</v>
      </c>
    </row>
    <row r="3201" spans="1:4" x14ac:dyDescent="0.3">
      <c r="A3201" t="s">
        <v>18</v>
      </c>
      <c r="C3201" s="16">
        <v>46266</v>
      </c>
      <c r="D3201">
        <v>93280.230000000171</v>
      </c>
    </row>
    <row r="3202" spans="1:4" x14ac:dyDescent="0.3">
      <c r="A3202" t="s">
        <v>19</v>
      </c>
      <c r="C3202" s="16">
        <v>46266</v>
      </c>
      <c r="D3202">
        <v>1669.89</v>
      </c>
    </row>
    <row r="3203" spans="1:4" x14ac:dyDescent="0.3">
      <c r="A3203" t="s">
        <v>20</v>
      </c>
      <c r="C3203" s="16">
        <v>46266</v>
      </c>
      <c r="D3203">
        <v>1419898.24</v>
      </c>
    </row>
    <row r="3204" spans="1:4" x14ac:dyDescent="0.3">
      <c r="A3204" t="s">
        <v>21</v>
      </c>
      <c r="C3204" s="16">
        <v>46266</v>
      </c>
      <c r="D3204">
        <v>1484962.6199999996</v>
      </c>
    </row>
    <row r="3205" spans="1:4" x14ac:dyDescent="0.3">
      <c r="A3205" t="s">
        <v>22</v>
      </c>
      <c r="C3205" s="16">
        <v>46266</v>
      </c>
      <c r="D3205">
        <v>215496.38</v>
      </c>
    </row>
    <row r="3206" spans="1:4" x14ac:dyDescent="0.3">
      <c r="A3206" t="s">
        <v>23</v>
      </c>
      <c r="C3206" s="16">
        <v>46266</v>
      </c>
      <c r="D3206">
        <v>217684.34</v>
      </c>
    </row>
    <row r="3207" spans="1:4" x14ac:dyDescent="0.3">
      <c r="A3207" t="s">
        <v>24</v>
      </c>
      <c r="C3207" s="16">
        <v>46266</v>
      </c>
      <c r="D3207">
        <v>13054.880000000001</v>
      </c>
    </row>
    <row r="3208" spans="1:4" x14ac:dyDescent="0.3">
      <c r="A3208" t="s">
        <v>25</v>
      </c>
      <c r="C3208" s="16">
        <v>46266</v>
      </c>
      <c r="D3208">
        <v>94.5</v>
      </c>
    </row>
    <row r="3209" spans="1:4" x14ac:dyDescent="0.3">
      <c r="A3209" t="s">
        <v>26</v>
      </c>
      <c r="C3209" s="16">
        <v>46266</v>
      </c>
      <c r="D3209">
        <v>2147.92</v>
      </c>
    </row>
    <row r="3210" spans="1:4" x14ac:dyDescent="0.3">
      <c r="A3210" t="s">
        <v>27</v>
      </c>
      <c r="C3210" s="16">
        <v>46266</v>
      </c>
      <c r="D3210">
        <v>754424.72</v>
      </c>
    </row>
    <row r="3211" spans="1:4" x14ac:dyDescent="0.3">
      <c r="A3211" t="s">
        <v>28</v>
      </c>
      <c r="C3211" s="16">
        <v>46266</v>
      </c>
      <c r="D3211">
        <v>1968.99</v>
      </c>
    </row>
    <row r="3212" spans="1:4" x14ac:dyDescent="0.3">
      <c r="A3212" t="s">
        <v>29</v>
      </c>
      <c r="C3212" s="16">
        <v>46266</v>
      </c>
      <c r="D3212">
        <v>901.34</v>
      </c>
    </row>
    <row r="3213" spans="1:4" x14ac:dyDescent="0.3">
      <c r="A3213" t="s">
        <v>30</v>
      </c>
      <c r="C3213" s="16">
        <v>46266</v>
      </c>
      <c r="D3213">
        <v>1380.08</v>
      </c>
    </row>
    <row r="3214" spans="1:4" x14ac:dyDescent="0.3">
      <c r="A3214" t="s">
        <v>31</v>
      </c>
      <c r="C3214" s="16">
        <v>46266</v>
      </c>
      <c r="D3214">
        <v>25027.379999999961</v>
      </c>
    </row>
    <row r="3215" spans="1:4" x14ac:dyDescent="0.3">
      <c r="A3215" t="s">
        <v>32</v>
      </c>
      <c r="C3215" s="16">
        <v>46266</v>
      </c>
      <c r="D3215">
        <v>16760.540000000008</v>
      </c>
    </row>
    <row r="3216" spans="1:4" x14ac:dyDescent="0.3">
      <c r="A3216" t="s">
        <v>33</v>
      </c>
      <c r="C3216" s="16">
        <v>46266</v>
      </c>
      <c r="D3216">
        <v>14962.999999999996</v>
      </c>
    </row>
    <row r="3217" spans="1:4" x14ac:dyDescent="0.3">
      <c r="A3217" t="s">
        <v>34</v>
      </c>
      <c r="C3217" s="16">
        <v>46266</v>
      </c>
      <c r="D3217">
        <v>345</v>
      </c>
    </row>
    <row r="3218" spans="1:4" x14ac:dyDescent="0.3">
      <c r="A3218" t="s">
        <v>35</v>
      </c>
      <c r="C3218" s="16">
        <v>46266</v>
      </c>
      <c r="D3218">
        <v>9549.7500000000018</v>
      </c>
    </row>
    <row r="3219" spans="1:4" x14ac:dyDescent="0.3">
      <c r="A3219" t="s">
        <v>193</v>
      </c>
      <c r="C3219" s="16">
        <v>46266</v>
      </c>
      <c r="D3219">
        <v>301167.45</v>
      </c>
    </row>
    <row r="3220" spans="1:4" x14ac:dyDescent="0.3">
      <c r="A3220" t="s">
        <v>194</v>
      </c>
      <c r="C3220" s="16">
        <v>46266</v>
      </c>
      <c r="D3220">
        <v>24274.03</v>
      </c>
    </row>
    <row r="3221" spans="1:4" x14ac:dyDescent="0.3">
      <c r="A3221" t="s">
        <v>195</v>
      </c>
      <c r="C3221" s="16">
        <v>46266</v>
      </c>
      <c r="D3221">
        <v>2303.4300000000003</v>
      </c>
    </row>
    <row r="3222" spans="1:4" x14ac:dyDescent="0.3">
      <c r="A3222" t="s">
        <v>196</v>
      </c>
      <c r="C3222" s="16">
        <v>46266</v>
      </c>
      <c r="D3222">
        <v>92112.919999999969</v>
      </c>
    </row>
    <row r="3223" spans="1:4" x14ac:dyDescent="0.3">
      <c r="A3223" t="s">
        <v>197</v>
      </c>
      <c r="C3223" s="16">
        <v>46266</v>
      </c>
      <c r="D3223">
        <v>794.01</v>
      </c>
    </row>
    <row r="3224" spans="1:4" x14ac:dyDescent="0.3">
      <c r="A3224" t="s">
        <v>214</v>
      </c>
      <c r="C3224" s="16">
        <v>46266</v>
      </c>
      <c r="D3224">
        <v>5445.57</v>
      </c>
    </row>
    <row r="3225" spans="1:4" x14ac:dyDescent="0.3">
      <c r="A3225" t="s">
        <v>199</v>
      </c>
      <c r="C3225" s="16">
        <v>46266</v>
      </c>
      <c r="D3225">
        <v>241342.91999999998</v>
      </c>
    </row>
    <row r="3226" spans="1:4" x14ac:dyDescent="0.3">
      <c r="A3226" t="s">
        <v>17</v>
      </c>
      <c r="C3226" s="16">
        <v>46267</v>
      </c>
      <c r="D3226">
        <v>1468396.1200000006</v>
      </c>
    </row>
    <row r="3227" spans="1:4" x14ac:dyDescent="0.3">
      <c r="A3227" t="s">
        <v>18</v>
      </c>
      <c r="C3227" s="16">
        <v>46267</v>
      </c>
      <c r="D3227">
        <v>93280.230000000171</v>
      </c>
    </row>
    <row r="3228" spans="1:4" x14ac:dyDescent="0.3">
      <c r="A3228" t="s">
        <v>19</v>
      </c>
      <c r="C3228" s="16">
        <v>46267</v>
      </c>
      <c r="D3228">
        <v>1669.89</v>
      </c>
    </row>
    <row r="3229" spans="1:4" x14ac:dyDescent="0.3">
      <c r="A3229" t="s">
        <v>20</v>
      </c>
      <c r="C3229" s="16">
        <v>46267</v>
      </c>
      <c r="D3229">
        <v>1419898.24</v>
      </c>
    </row>
    <row r="3230" spans="1:4" x14ac:dyDescent="0.3">
      <c r="A3230" t="s">
        <v>21</v>
      </c>
      <c r="C3230" s="16">
        <v>46267</v>
      </c>
      <c r="D3230">
        <v>1484962.6199999996</v>
      </c>
    </row>
    <row r="3231" spans="1:4" x14ac:dyDescent="0.3">
      <c r="A3231" t="s">
        <v>22</v>
      </c>
      <c r="C3231" s="16">
        <v>46267</v>
      </c>
      <c r="D3231">
        <v>249778.14</v>
      </c>
    </row>
    <row r="3232" spans="1:4" x14ac:dyDescent="0.3">
      <c r="A3232" t="s">
        <v>23</v>
      </c>
      <c r="C3232" s="16">
        <v>46267</v>
      </c>
      <c r="D3232">
        <v>217684.34</v>
      </c>
    </row>
    <row r="3233" spans="1:4" x14ac:dyDescent="0.3">
      <c r="A3233" t="s">
        <v>24</v>
      </c>
      <c r="C3233" s="16">
        <v>46267</v>
      </c>
      <c r="D3233">
        <v>13054.880000000001</v>
      </c>
    </row>
    <row r="3234" spans="1:4" x14ac:dyDescent="0.3">
      <c r="A3234" t="s">
        <v>25</v>
      </c>
      <c r="C3234" s="16">
        <v>46267</v>
      </c>
      <c r="D3234">
        <v>94.5</v>
      </c>
    </row>
    <row r="3235" spans="1:4" x14ac:dyDescent="0.3">
      <c r="A3235" t="s">
        <v>26</v>
      </c>
      <c r="C3235" s="16">
        <v>46267</v>
      </c>
      <c r="D3235">
        <v>2147.92</v>
      </c>
    </row>
    <row r="3236" spans="1:4" x14ac:dyDescent="0.3">
      <c r="A3236" t="s">
        <v>27</v>
      </c>
      <c r="C3236" s="16">
        <v>46267</v>
      </c>
      <c r="D3236">
        <v>17895.290000000015</v>
      </c>
    </row>
    <row r="3237" spans="1:4" x14ac:dyDescent="0.3">
      <c r="A3237" t="s">
        <v>28</v>
      </c>
      <c r="C3237" s="16">
        <v>46267</v>
      </c>
      <c r="D3237">
        <v>1968.99</v>
      </c>
    </row>
    <row r="3238" spans="1:4" x14ac:dyDescent="0.3">
      <c r="A3238" t="s">
        <v>29</v>
      </c>
      <c r="C3238" s="16">
        <v>46267</v>
      </c>
      <c r="D3238">
        <v>901.34</v>
      </c>
    </row>
    <row r="3239" spans="1:4" x14ac:dyDescent="0.3">
      <c r="A3239" t="s">
        <v>30</v>
      </c>
      <c r="C3239" s="16">
        <v>46267</v>
      </c>
      <c r="D3239">
        <v>1380.08</v>
      </c>
    </row>
    <row r="3240" spans="1:4" x14ac:dyDescent="0.3">
      <c r="A3240" t="s">
        <v>31</v>
      </c>
      <c r="C3240" s="16">
        <v>46267</v>
      </c>
      <c r="D3240">
        <v>25027.379999999961</v>
      </c>
    </row>
    <row r="3241" spans="1:4" x14ac:dyDescent="0.3">
      <c r="A3241" t="s">
        <v>32</v>
      </c>
      <c r="C3241" s="16">
        <v>46267</v>
      </c>
      <c r="D3241">
        <v>16760.540000000008</v>
      </c>
    </row>
    <row r="3242" spans="1:4" x14ac:dyDescent="0.3">
      <c r="A3242" t="s">
        <v>33</v>
      </c>
      <c r="C3242" s="16">
        <v>46267</v>
      </c>
      <c r="D3242">
        <v>14162.999999999996</v>
      </c>
    </row>
    <row r="3243" spans="1:4" x14ac:dyDescent="0.3">
      <c r="A3243" t="s">
        <v>34</v>
      </c>
      <c r="C3243" s="16">
        <v>46267</v>
      </c>
      <c r="D3243">
        <v>345</v>
      </c>
    </row>
    <row r="3244" spans="1:4" x14ac:dyDescent="0.3">
      <c r="A3244" t="s">
        <v>35</v>
      </c>
      <c r="C3244" s="16">
        <v>46267</v>
      </c>
      <c r="D3244">
        <v>5861.1200000000026</v>
      </c>
    </row>
    <row r="3245" spans="1:4" x14ac:dyDescent="0.3">
      <c r="A3245" t="s">
        <v>193</v>
      </c>
      <c r="C3245" s="16">
        <v>46267</v>
      </c>
      <c r="D3245">
        <v>301167.45</v>
      </c>
    </row>
    <row r="3246" spans="1:4" x14ac:dyDescent="0.3">
      <c r="A3246" t="s">
        <v>194</v>
      </c>
      <c r="C3246" s="16">
        <v>46267</v>
      </c>
      <c r="D3246">
        <v>24274.03</v>
      </c>
    </row>
    <row r="3247" spans="1:4" x14ac:dyDescent="0.3">
      <c r="A3247" t="s">
        <v>195</v>
      </c>
      <c r="C3247" s="16">
        <v>46267</v>
      </c>
      <c r="D3247">
        <v>2303.4300000000003</v>
      </c>
    </row>
    <row r="3248" spans="1:4" x14ac:dyDescent="0.3">
      <c r="A3248" t="s">
        <v>196</v>
      </c>
      <c r="C3248" s="16">
        <v>46267</v>
      </c>
      <c r="D3248">
        <v>92112.919999999969</v>
      </c>
    </row>
    <row r="3249" spans="1:4" x14ac:dyDescent="0.3">
      <c r="A3249" t="s">
        <v>197</v>
      </c>
      <c r="C3249" s="16">
        <v>46267</v>
      </c>
      <c r="D3249">
        <v>794.01</v>
      </c>
    </row>
    <row r="3250" spans="1:4" x14ac:dyDescent="0.3">
      <c r="A3250" t="s">
        <v>214</v>
      </c>
      <c r="C3250" s="16">
        <v>46267</v>
      </c>
      <c r="D3250">
        <v>5445.57</v>
      </c>
    </row>
    <row r="3251" spans="1:4" x14ac:dyDescent="0.3">
      <c r="A3251" t="s">
        <v>199</v>
      </c>
      <c r="C3251" s="16">
        <v>46267</v>
      </c>
      <c r="D3251">
        <v>241674.28999999998</v>
      </c>
    </row>
    <row r="3252" spans="1:4" x14ac:dyDescent="0.3">
      <c r="A3252" t="s">
        <v>17</v>
      </c>
      <c r="C3252" s="16">
        <v>46268</v>
      </c>
      <c r="D3252">
        <v>1053254.4500000007</v>
      </c>
    </row>
    <row r="3253" spans="1:4" x14ac:dyDescent="0.3">
      <c r="A3253" t="s">
        <v>18</v>
      </c>
      <c r="C3253" s="16">
        <v>46268</v>
      </c>
      <c r="D3253">
        <v>93280.230000000171</v>
      </c>
    </row>
    <row r="3254" spans="1:4" x14ac:dyDescent="0.3">
      <c r="A3254" t="s">
        <v>19</v>
      </c>
      <c r="C3254" s="16">
        <v>46268</v>
      </c>
      <c r="D3254">
        <v>1669.89</v>
      </c>
    </row>
    <row r="3255" spans="1:4" x14ac:dyDescent="0.3">
      <c r="A3255" t="s">
        <v>20</v>
      </c>
      <c r="C3255" s="16">
        <v>46268</v>
      </c>
      <c r="D3255">
        <v>1250938</v>
      </c>
    </row>
    <row r="3256" spans="1:4" x14ac:dyDescent="0.3">
      <c r="A3256" t="s">
        <v>21</v>
      </c>
      <c r="C3256" s="16">
        <v>46268</v>
      </c>
      <c r="D3256">
        <v>1500228.9099999997</v>
      </c>
    </row>
    <row r="3257" spans="1:4" x14ac:dyDescent="0.3">
      <c r="A3257" t="s">
        <v>22</v>
      </c>
      <c r="C3257" s="16">
        <v>46268</v>
      </c>
      <c r="D3257">
        <v>249778.14</v>
      </c>
    </row>
    <row r="3258" spans="1:4" x14ac:dyDescent="0.3">
      <c r="A3258" t="s">
        <v>23</v>
      </c>
      <c r="C3258" s="16">
        <v>46268</v>
      </c>
      <c r="D3258">
        <v>217684.34</v>
      </c>
    </row>
    <row r="3259" spans="1:4" x14ac:dyDescent="0.3">
      <c r="A3259" t="s">
        <v>24</v>
      </c>
      <c r="C3259" s="16">
        <v>46268</v>
      </c>
      <c r="D3259">
        <v>13014.880000000001</v>
      </c>
    </row>
    <row r="3260" spans="1:4" x14ac:dyDescent="0.3">
      <c r="A3260" t="s">
        <v>25</v>
      </c>
      <c r="C3260" s="16">
        <v>46268</v>
      </c>
      <c r="D3260">
        <v>94.5</v>
      </c>
    </row>
    <row r="3261" spans="1:4" x14ac:dyDescent="0.3">
      <c r="A3261" t="s">
        <v>26</v>
      </c>
      <c r="C3261" s="16">
        <v>46268</v>
      </c>
      <c r="D3261">
        <v>2147.92</v>
      </c>
    </row>
    <row r="3262" spans="1:4" x14ac:dyDescent="0.3">
      <c r="A3262" t="s">
        <v>27</v>
      </c>
      <c r="C3262" s="16">
        <v>46268</v>
      </c>
      <c r="D3262">
        <v>17895.290000000015</v>
      </c>
    </row>
    <row r="3263" spans="1:4" x14ac:dyDescent="0.3">
      <c r="A3263" t="s">
        <v>28</v>
      </c>
      <c r="C3263" s="16">
        <v>46268</v>
      </c>
      <c r="D3263">
        <v>1968.99</v>
      </c>
    </row>
    <row r="3264" spans="1:4" x14ac:dyDescent="0.3">
      <c r="A3264" t="s">
        <v>29</v>
      </c>
      <c r="C3264" s="16">
        <v>46268</v>
      </c>
      <c r="D3264">
        <v>901.34</v>
      </c>
    </row>
    <row r="3265" spans="1:4" x14ac:dyDescent="0.3">
      <c r="A3265" t="s">
        <v>30</v>
      </c>
      <c r="C3265" s="16">
        <v>46268</v>
      </c>
      <c r="D3265">
        <v>1380.08</v>
      </c>
    </row>
    <row r="3266" spans="1:4" x14ac:dyDescent="0.3">
      <c r="A3266" t="s">
        <v>31</v>
      </c>
      <c r="C3266" s="16">
        <v>46268</v>
      </c>
      <c r="D3266">
        <v>25027.379999999961</v>
      </c>
    </row>
    <row r="3267" spans="1:4" x14ac:dyDescent="0.3">
      <c r="A3267" t="s">
        <v>32</v>
      </c>
      <c r="C3267" s="16">
        <v>46268</v>
      </c>
      <c r="D3267">
        <v>16760.540000000008</v>
      </c>
    </row>
    <row r="3268" spans="1:4" x14ac:dyDescent="0.3">
      <c r="A3268" t="s">
        <v>33</v>
      </c>
      <c r="C3268" s="16">
        <v>46268</v>
      </c>
      <c r="D3268">
        <v>14162.999999999996</v>
      </c>
    </row>
    <row r="3269" spans="1:4" x14ac:dyDescent="0.3">
      <c r="A3269" t="s">
        <v>34</v>
      </c>
      <c r="C3269" s="16">
        <v>46268</v>
      </c>
      <c r="D3269">
        <v>345</v>
      </c>
    </row>
    <row r="3270" spans="1:4" x14ac:dyDescent="0.3">
      <c r="A3270" t="s">
        <v>35</v>
      </c>
      <c r="C3270" s="16">
        <v>46268</v>
      </c>
      <c r="D3270">
        <v>5861.1200000000026</v>
      </c>
    </row>
    <row r="3271" spans="1:4" x14ac:dyDescent="0.3">
      <c r="A3271" t="s">
        <v>193</v>
      </c>
      <c r="C3271" s="16">
        <v>46268</v>
      </c>
      <c r="D3271">
        <v>299174.44</v>
      </c>
    </row>
    <row r="3272" spans="1:4" x14ac:dyDescent="0.3">
      <c r="A3272" t="s">
        <v>194</v>
      </c>
      <c r="C3272" s="16">
        <v>46268</v>
      </c>
      <c r="D3272">
        <v>24179.03</v>
      </c>
    </row>
    <row r="3273" spans="1:4" x14ac:dyDescent="0.3">
      <c r="A3273" t="s">
        <v>195</v>
      </c>
      <c r="C3273" s="16">
        <v>46268</v>
      </c>
      <c r="D3273">
        <v>604.80000000000018</v>
      </c>
    </row>
    <row r="3274" spans="1:4" x14ac:dyDescent="0.3">
      <c r="A3274" t="s">
        <v>196</v>
      </c>
      <c r="C3274" s="16">
        <v>46268</v>
      </c>
      <c r="D3274">
        <v>92112.919999999969</v>
      </c>
    </row>
    <row r="3275" spans="1:4" x14ac:dyDescent="0.3">
      <c r="A3275" t="s">
        <v>197</v>
      </c>
      <c r="C3275" s="16">
        <v>46268</v>
      </c>
      <c r="D3275">
        <v>794.01</v>
      </c>
    </row>
    <row r="3276" spans="1:4" x14ac:dyDescent="0.3">
      <c r="A3276" t="s">
        <v>214</v>
      </c>
      <c r="C3276" s="16">
        <v>46268</v>
      </c>
      <c r="D3276">
        <v>5445.57</v>
      </c>
    </row>
    <row r="3277" spans="1:4" x14ac:dyDescent="0.3">
      <c r="A3277" t="s">
        <v>199</v>
      </c>
      <c r="C3277" s="16">
        <v>46268</v>
      </c>
      <c r="D3277">
        <v>241819.28999999998</v>
      </c>
    </row>
    <row r="3278" spans="1:4" x14ac:dyDescent="0.3">
      <c r="A3278" t="s">
        <v>17</v>
      </c>
      <c r="C3278" s="16">
        <v>46269</v>
      </c>
      <c r="D3278">
        <v>1549729.4500000007</v>
      </c>
    </row>
    <row r="3279" spans="1:4" x14ac:dyDescent="0.3">
      <c r="A3279" t="s">
        <v>18</v>
      </c>
      <c r="C3279" s="16">
        <v>46269</v>
      </c>
      <c r="D3279">
        <v>93280.230000000171</v>
      </c>
    </row>
    <row r="3280" spans="1:4" x14ac:dyDescent="0.3">
      <c r="A3280" t="s">
        <v>19</v>
      </c>
      <c r="C3280" s="16">
        <v>46269</v>
      </c>
      <c r="D3280">
        <v>1669.89</v>
      </c>
    </row>
    <row r="3281" spans="1:4" x14ac:dyDescent="0.3">
      <c r="A3281" t="s">
        <v>20</v>
      </c>
      <c r="C3281" s="16">
        <v>46269</v>
      </c>
      <c r="D3281">
        <v>1250938</v>
      </c>
    </row>
    <row r="3282" spans="1:4" x14ac:dyDescent="0.3">
      <c r="A3282" t="s">
        <v>21</v>
      </c>
      <c r="C3282" s="16">
        <v>46269</v>
      </c>
      <c r="D3282">
        <v>1499204.7399999998</v>
      </c>
    </row>
    <row r="3283" spans="1:4" x14ac:dyDescent="0.3">
      <c r="A3283" t="s">
        <v>22</v>
      </c>
      <c r="C3283" s="16">
        <v>46269</v>
      </c>
      <c r="D3283">
        <v>249778.14</v>
      </c>
    </row>
    <row r="3284" spans="1:4" x14ac:dyDescent="0.3">
      <c r="A3284" t="s">
        <v>23</v>
      </c>
      <c r="C3284" s="16">
        <v>46269</v>
      </c>
      <c r="D3284">
        <v>217684.34</v>
      </c>
    </row>
    <row r="3285" spans="1:4" x14ac:dyDescent="0.3">
      <c r="A3285" t="s">
        <v>24</v>
      </c>
      <c r="C3285" s="16">
        <v>46269</v>
      </c>
      <c r="D3285">
        <v>13014.880000000001</v>
      </c>
    </row>
    <row r="3286" spans="1:4" x14ac:dyDescent="0.3">
      <c r="A3286" t="s">
        <v>25</v>
      </c>
      <c r="C3286" s="16">
        <v>46269</v>
      </c>
      <c r="D3286">
        <v>94.5</v>
      </c>
    </row>
    <row r="3287" spans="1:4" x14ac:dyDescent="0.3">
      <c r="A3287" t="s">
        <v>26</v>
      </c>
      <c r="C3287" s="16">
        <v>46269</v>
      </c>
      <c r="D3287">
        <v>2147.92</v>
      </c>
    </row>
    <row r="3288" spans="1:4" x14ac:dyDescent="0.3">
      <c r="A3288" t="s">
        <v>27</v>
      </c>
      <c r="C3288" s="16">
        <v>46269</v>
      </c>
      <c r="D3288">
        <v>17895.290000000015</v>
      </c>
    </row>
    <row r="3289" spans="1:4" x14ac:dyDescent="0.3">
      <c r="A3289" t="s">
        <v>28</v>
      </c>
      <c r="C3289" s="16">
        <v>46269</v>
      </c>
      <c r="D3289">
        <v>1968.99</v>
      </c>
    </row>
    <row r="3290" spans="1:4" x14ac:dyDescent="0.3">
      <c r="A3290" t="s">
        <v>29</v>
      </c>
      <c r="C3290" s="16">
        <v>46269</v>
      </c>
      <c r="D3290">
        <v>901.34</v>
      </c>
    </row>
    <row r="3291" spans="1:4" x14ac:dyDescent="0.3">
      <c r="A3291" t="s">
        <v>30</v>
      </c>
      <c r="C3291" s="16">
        <v>46269</v>
      </c>
      <c r="D3291">
        <v>1380.08</v>
      </c>
    </row>
    <row r="3292" spans="1:4" x14ac:dyDescent="0.3">
      <c r="A3292" t="s">
        <v>31</v>
      </c>
      <c r="C3292" s="16">
        <v>46269</v>
      </c>
      <c r="D3292">
        <v>25027.379999999961</v>
      </c>
    </row>
    <row r="3293" spans="1:4" x14ac:dyDescent="0.3">
      <c r="A3293" t="s">
        <v>32</v>
      </c>
      <c r="C3293" s="16">
        <v>46269</v>
      </c>
      <c r="D3293">
        <v>16760.540000000008</v>
      </c>
    </row>
    <row r="3294" spans="1:4" x14ac:dyDescent="0.3">
      <c r="A3294" t="s">
        <v>33</v>
      </c>
      <c r="C3294" s="16">
        <v>46269</v>
      </c>
      <c r="D3294">
        <v>14162.999999999996</v>
      </c>
    </row>
    <row r="3295" spans="1:4" x14ac:dyDescent="0.3">
      <c r="A3295" t="s">
        <v>34</v>
      </c>
      <c r="C3295" s="16">
        <v>46269</v>
      </c>
      <c r="D3295">
        <v>345</v>
      </c>
    </row>
    <row r="3296" spans="1:4" x14ac:dyDescent="0.3">
      <c r="A3296" t="s">
        <v>35</v>
      </c>
      <c r="C3296" s="16">
        <v>46269</v>
      </c>
      <c r="D3296">
        <v>5861.1200000000026</v>
      </c>
    </row>
    <row r="3297" spans="1:4" x14ac:dyDescent="0.3">
      <c r="A3297" t="s">
        <v>193</v>
      </c>
      <c r="C3297" s="16">
        <v>46269</v>
      </c>
      <c r="D3297">
        <v>299174.44</v>
      </c>
    </row>
    <row r="3298" spans="1:4" x14ac:dyDescent="0.3">
      <c r="A3298" t="s">
        <v>194</v>
      </c>
      <c r="C3298" s="16">
        <v>46269</v>
      </c>
      <c r="D3298">
        <v>24099.03</v>
      </c>
    </row>
    <row r="3299" spans="1:4" x14ac:dyDescent="0.3">
      <c r="A3299" t="s">
        <v>195</v>
      </c>
      <c r="C3299" s="16">
        <v>46269</v>
      </c>
      <c r="D3299">
        <v>604.80000000000018</v>
      </c>
    </row>
    <row r="3300" spans="1:4" x14ac:dyDescent="0.3">
      <c r="A3300" t="s">
        <v>196</v>
      </c>
      <c r="C3300" s="16">
        <v>46269</v>
      </c>
      <c r="D3300">
        <v>32112.919999999976</v>
      </c>
    </row>
    <row r="3301" spans="1:4" x14ac:dyDescent="0.3">
      <c r="A3301" t="s">
        <v>197</v>
      </c>
      <c r="C3301" s="16">
        <v>46269</v>
      </c>
      <c r="D3301">
        <v>794.01</v>
      </c>
    </row>
    <row r="3302" spans="1:4" x14ac:dyDescent="0.3">
      <c r="A3302" t="s">
        <v>214</v>
      </c>
      <c r="C3302" s="16">
        <v>46269</v>
      </c>
      <c r="D3302">
        <v>5445.57</v>
      </c>
    </row>
    <row r="3303" spans="1:4" x14ac:dyDescent="0.3">
      <c r="A3303" t="s">
        <v>199</v>
      </c>
      <c r="C3303" s="16">
        <v>46269</v>
      </c>
      <c r="D3303">
        <v>242034.28999999998</v>
      </c>
    </row>
    <row r="3304" spans="1:4" x14ac:dyDescent="0.3">
      <c r="A3304" t="s">
        <v>17</v>
      </c>
      <c r="C3304" s="16">
        <v>46270</v>
      </c>
      <c r="D3304">
        <v>1549729.4500000007</v>
      </c>
    </row>
    <row r="3305" spans="1:4" x14ac:dyDescent="0.3">
      <c r="A3305" t="s">
        <v>18</v>
      </c>
      <c r="C3305" s="16">
        <v>46270</v>
      </c>
      <c r="D3305">
        <v>93280.230000000171</v>
      </c>
    </row>
    <row r="3306" spans="1:4" x14ac:dyDescent="0.3">
      <c r="A3306" t="s">
        <v>19</v>
      </c>
      <c r="C3306" s="16">
        <v>46270</v>
      </c>
      <c r="D3306">
        <v>1669.89</v>
      </c>
    </row>
    <row r="3307" spans="1:4" x14ac:dyDescent="0.3">
      <c r="A3307" t="s">
        <v>20</v>
      </c>
      <c r="C3307" s="16">
        <v>46270</v>
      </c>
      <c r="D3307">
        <v>1250938</v>
      </c>
    </row>
    <row r="3308" spans="1:4" x14ac:dyDescent="0.3">
      <c r="A3308" t="s">
        <v>21</v>
      </c>
      <c r="C3308" s="16">
        <v>46270</v>
      </c>
      <c r="D3308">
        <v>1499204.7399999998</v>
      </c>
    </row>
    <row r="3309" spans="1:4" x14ac:dyDescent="0.3">
      <c r="A3309" t="s">
        <v>22</v>
      </c>
      <c r="C3309" s="16">
        <v>46270</v>
      </c>
      <c r="D3309">
        <v>249778.14</v>
      </c>
    </row>
    <row r="3310" spans="1:4" x14ac:dyDescent="0.3">
      <c r="A3310" t="s">
        <v>23</v>
      </c>
      <c r="C3310" s="16">
        <v>46270</v>
      </c>
      <c r="D3310">
        <v>217684.34</v>
      </c>
    </row>
    <row r="3311" spans="1:4" x14ac:dyDescent="0.3">
      <c r="A3311" t="s">
        <v>24</v>
      </c>
      <c r="C3311" s="16">
        <v>46270</v>
      </c>
      <c r="D3311">
        <v>13014.880000000001</v>
      </c>
    </row>
    <row r="3312" spans="1:4" x14ac:dyDescent="0.3">
      <c r="A3312" t="s">
        <v>25</v>
      </c>
      <c r="C3312" s="16">
        <v>46270</v>
      </c>
      <c r="D3312">
        <v>94.5</v>
      </c>
    </row>
    <row r="3313" spans="1:4" x14ac:dyDescent="0.3">
      <c r="A3313" t="s">
        <v>26</v>
      </c>
      <c r="C3313" s="16">
        <v>46270</v>
      </c>
      <c r="D3313">
        <v>2147.92</v>
      </c>
    </row>
    <row r="3314" spans="1:4" x14ac:dyDescent="0.3">
      <c r="A3314" t="s">
        <v>27</v>
      </c>
      <c r="C3314" s="16">
        <v>46270</v>
      </c>
      <c r="D3314">
        <v>17895.290000000015</v>
      </c>
    </row>
    <row r="3315" spans="1:4" x14ac:dyDescent="0.3">
      <c r="A3315" t="s">
        <v>28</v>
      </c>
      <c r="C3315" s="16">
        <v>46270</v>
      </c>
      <c r="D3315">
        <v>1968.99</v>
      </c>
    </row>
    <row r="3316" spans="1:4" x14ac:dyDescent="0.3">
      <c r="A3316" t="s">
        <v>29</v>
      </c>
      <c r="C3316" s="16">
        <v>46270</v>
      </c>
      <c r="D3316">
        <v>901.34</v>
      </c>
    </row>
    <row r="3317" spans="1:4" x14ac:dyDescent="0.3">
      <c r="A3317" t="s">
        <v>30</v>
      </c>
      <c r="C3317" s="16">
        <v>46270</v>
      </c>
      <c r="D3317">
        <v>1380.08</v>
      </c>
    </row>
    <row r="3318" spans="1:4" x14ac:dyDescent="0.3">
      <c r="A3318" t="s">
        <v>31</v>
      </c>
      <c r="C3318" s="16">
        <v>46270</v>
      </c>
      <c r="D3318">
        <v>25027.379999999961</v>
      </c>
    </row>
    <row r="3319" spans="1:4" x14ac:dyDescent="0.3">
      <c r="A3319" t="s">
        <v>32</v>
      </c>
      <c r="C3319" s="16">
        <v>46270</v>
      </c>
      <c r="D3319">
        <v>16760.540000000008</v>
      </c>
    </row>
    <row r="3320" spans="1:4" x14ac:dyDescent="0.3">
      <c r="A3320" t="s">
        <v>33</v>
      </c>
      <c r="C3320" s="16">
        <v>46270</v>
      </c>
      <c r="D3320">
        <v>14162.999999999996</v>
      </c>
    </row>
    <row r="3321" spans="1:4" x14ac:dyDescent="0.3">
      <c r="A3321" t="s">
        <v>34</v>
      </c>
      <c r="C3321" s="16">
        <v>46270</v>
      </c>
      <c r="D3321">
        <v>345</v>
      </c>
    </row>
    <row r="3322" spans="1:4" x14ac:dyDescent="0.3">
      <c r="A3322" t="s">
        <v>35</v>
      </c>
      <c r="C3322" s="16">
        <v>46270</v>
      </c>
      <c r="D3322">
        <v>5861.1200000000026</v>
      </c>
    </row>
    <row r="3323" spans="1:4" x14ac:dyDescent="0.3">
      <c r="A3323" t="s">
        <v>193</v>
      </c>
      <c r="C3323" s="16">
        <v>46270</v>
      </c>
      <c r="D3323">
        <v>299174.44</v>
      </c>
    </row>
    <row r="3324" spans="1:4" x14ac:dyDescent="0.3">
      <c r="A3324" t="s">
        <v>194</v>
      </c>
      <c r="C3324" s="16">
        <v>46270</v>
      </c>
      <c r="D3324">
        <v>24099.03</v>
      </c>
    </row>
    <row r="3325" spans="1:4" x14ac:dyDescent="0.3">
      <c r="A3325" t="s">
        <v>195</v>
      </c>
      <c r="C3325" s="16">
        <v>46270</v>
      </c>
      <c r="D3325">
        <v>604.80000000000018</v>
      </c>
    </row>
    <row r="3326" spans="1:4" x14ac:dyDescent="0.3">
      <c r="A3326" t="s">
        <v>196</v>
      </c>
      <c r="C3326" s="16">
        <v>46270</v>
      </c>
      <c r="D3326">
        <v>32112.919999999976</v>
      </c>
    </row>
    <row r="3327" spans="1:4" x14ac:dyDescent="0.3">
      <c r="A3327" t="s">
        <v>197</v>
      </c>
      <c r="C3327" s="16">
        <v>46270</v>
      </c>
      <c r="D3327">
        <v>794.01</v>
      </c>
    </row>
    <row r="3328" spans="1:4" x14ac:dyDescent="0.3">
      <c r="A3328" t="s">
        <v>214</v>
      </c>
      <c r="C3328" s="16">
        <v>46270</v>
      </c>
      <c r="D3328">
        <v>5445.57</v>
      </c>
    </row>
    <row r="3329" spans="1:4" x14ac:dyDescent="0.3">
      <c r="A3329" t="s">
        <v>199</v>
      </c>
      <c r="C3329" s="16">
        <v>46270</v>
      </c>
      <c r="D3329">
        <v>242034.28999999998</v>
      </c>
    </row>
    <row r="3330" spans="1:4" x14ac:dyDescent="0.3">
      <c r="A3330" t="s">
        <v>17</v>
      </c>
      <c r="C3330" s="16">
        <v>46271</v>
      </c>
      <c r="D3330">
        <v>1549729.4500000007</v>
      </c>
    </row>
    <row r="3331" spans="1:4" x14ac:dyDescent="0.3">
      <c r="A3331" t="s">
        <v>18</v>
      </c>
      <c r="C3331" s="16">
        <v>46271</v>
      </c>
      <c r="D3331">
        <v>93280.230000000171</v>
      </c>
    </row>
    <row r="3332" spans="1:4" x14ac:dyDescent="0.3">
      <c r="A3332" t="s">
        <v>19</v>
      </c>
      <c r="C3332" s="16">
        <v>46271</v>
      </c>
      <c r="D3332">
        <v>1669.89</v>
      </c>
    </row>
    <row r="3333" spans="1:4" x14ac:dyDescent="0.3">
      <c r="A3333" t="s">
        <v>20</v>
      </c>
      <c r="C3333" s="16">
        <v>46271</v>
      </c>
      <c r="D3333">
        <v>1250938</v>
      </c>
    </row>
    <row r="3334" spans="1:4" x14ac:dyDescent="0.3">
      <c r="A3334" t="s">
        <v>21</v>
      </c>
      <c r="C3334" s="16">
        <v>46271</v>
      </c>
      <c r="D3334">
        <v>1499204.7399999998</v>
      </c>
    </row>
    <row r="3335" spans="1:4" x14ac:dyDescent="0.3">
      <c r="A3335" t="s">
        <v>22</v>
      </c>
      <c r="C3335" s="16">
        <v>46271</v>
      </c>
      <c r="D3335">
        <v>249778.14</v>
      </c>
    </row>
    <row r="3336" spans="1:4" x14ac:dyDescent="0.3">
      <c r="A3336" t="s">
        <v>23</v>
      </c>
      <c r="C3336" s="16">
        <v>46271</v>
      </c>
      <c r="D3336">
        <v>217684.34</v>
      </c>
    </row>
    <row r="3337" spans="1:4" x14ac:dyDescent="0.3">
      <c r="A3337" t="s">
        <v>24</v>
      </c>
      <c r="C3337" s="16">
        <v>46271</v>
      </c>
      <c r="D3337">
        <v>13014.880000000001</v>
      </c>
    </row>
    <row r="3338" spans="1:4" x14ac:dyDescent="0.3">
      <c r="A3338" t="s">
        <v>25</v>
      </c>
      <c r="C3338" s="16">
        <v>46271</v>
      </c>
      <c r="D3338">
        <v>94.5</v>
      </c>
    </row>
    <row r="3339" spans="1:4" x14ac:dyDescent="0.3">
      <c r="A3339" t="s">
        <v>26</v>
      </c>
      <c r="C3339" s="16">
        <v>46271</v>
      </c>
      <c r="D3339">
        <v>2147.92</v>
      </c>
    </row>
    <row r="3340" spans="1:4" x14ac:dyDescent="0.3">
      <c r="A3340" t="s">
        <v>27</v>
      </c>
      <c r="C3340" s="16">
        <v>46271</v>
      </c>
      <c r="D3340">
        <v>17895.290000000015</v>
      </c>
    </row>
    <row r="3341" spans="1:4" x14ac:dyDescent="0.3">
      <c r="A3341" t="s">
        <v>28</v>
      </c>
      <c r="C3341" s="16">
        <v>46271</v>
      </c>
      <c r="D3341">
        <v>1968.99</v>
      </c>
    </row>
    <row r="3342" spans="1:4" x14ac:dyDescent="0.3">
      <c r="A3342" t="s">
        <v>29</v>
      </c>
      <c r="C3342" s="16">
        <v>46271</v>
      </c>
      <c r="D3342">
        <v>901.34</v>
      </c>
    </row>
    <row r="3343" spans="1:4" x14ac:dyDescent="0.3">
      <c r="A3343" t="s">
        <v>30</v>
      </c>
      <c r="C3343" s="16">
        <v>46271</v>
      </c>
      <c r="D3343">
        <v>1380.08</v>
      </c>
    </row>
    <row r="3344" spans="1:4" x14ac:dyDescent="0.3">
      <c r="A3344" t="s">
        <v>31</v>
      </c>
      <c r="C3344" s="16">
        <v>46271</v>
      </c>
      <c r="D3344">
        <v>25027.379999999961</v>
      </c>
    </row>
    <row r="3345" spans="1:4" x14ac:dyDescent="0.3">
      <c r="A3345" t="s">
        <v>32</v>
      </c>
      <c r="C3345" s="16">
        <v>46271</v>
      </c>
      <c r="D3345">
        <v>16760.540000000008</v>
      </c>
    </row>
    <row r="3346" spans="1:4" x14ac:dyDescent="0.3">
      <c r="A3346" t="s">
        <v>33</v>
      </c>
      <c r="C3346" s="16">
        <v>46271</v>
      </c>
      <c r="D3346">
        <v>14162.999999999996</v>
      </c>
    </row>
    <row r="3347" spans="1:4" x14ac:dyDescent="0.3">
      <c r="A3347" t="s">
        <v>34</v>
      </c>
      <c r="C3347" s="16">
        <v>46271</v>
      </c>
      <c r="D3347">
        <v>345</v>
      </c>
    </row>
    <row r="3348" spans="1:4" x14ac:dyDescent="0.3">
      <c r="A3348" t="s">
        <v>35</v>
      </c>
      <c r="C3348" s="16">
        <v>46271</v>
      </c>
      <c r="D3348">
        <v>5861.1200000000026</v>
      </c>
    </row>
    <row r="3349" spans="1:4" x14ac:dyDescent="0.3">
      <c r="A3349" t="s">
        <v>193</v>
      </c>
      <c r="C3349" s="16">
        <v>46271</v>
      </c>
      <c r="D3349">
        <v>299174.44</v>
      </c>
    </row>
    <row r="3350" spans="1:4" x14ac:dyDescent="0.3">
      <c r="A3350" t="s">
        <v>194</v>
      </c>
      <c r="C3350" s="16">
        <v>46271</v>
      </c>
      <c r="D3350">
        <v>24099.03</v>
      </c>
    </row>
    <row r="3351" spans="1:4" x14ac:dyDescent="0.3">
      <c r="A3351" t="s">
        <v>195</v>
      </c>
      <c r="C3351" s="16">
        <v>46271</v>
      </c>
      <c r="D3351">
        <v>604.80000000000018</v>
      </c>
    </row>
    <row r="3352" spans="1:4" x14ac:dyDescent="0.3">
      <c r="A3352" t="s">
        <v>196</v>
      </c>
      <c r="C3352" s="16">
        <v>46271</v>
      </c>
      <c r="D3352">
        <v>32112.919999999976</v>
      </c>
    </row>
    <row r="3353" spans="1:4" x14ac:dyDescent="0.3">
      <c r="A3353" t="s">
        <v>197</v>
      </c>
      <c r="C3353" s="16">
        <v>46271</v>
      </c>
      <c r="D3353">
        <v>794.01</v>
      </c>
    </row>
    <row r="3354" spans="1:4" x14ac:dyDescent="0.3">
      <c r="A3354" t="s">
        <v>214</v>
      </c>
      <c r="C3354" s="16">
        <v>46271</v>
      </c>
      <c r="D3354">
        <v>5445.57</v>
      </c>
    </row>
    <row r="3355" spans="1:4" x14ac:dyDescent="0.3">
      <c r="A3355" t="s">
        <v>199</v>
      </c>
      <c r="C3355" s="16">
        <v>46271</v>
      </c>
      <c r="D3355">
        <v>242034.28999999998</v>
      </c>
    </row>
    <row r="3356" spans="1:4" x14ac:dyDescent="0.3">
      <c r="A3356" t="s">
        <v>17</v>
      </c>
      <c r="C3356" s="16">
        <v>46272</v>
      </c>
      <c r="D3356">
        <v>1549729.4500000007</v>
      </c>
    </row>
    <row r="3357" spans="1:4" x14ac:dyDescent="0.3">
      <c r="A3357" t="s">
        <v>18</v>
      </c>
      <c r="C3357" s="16">
        <v>46272</v>
      </c>
      <c r="D3357">
        <v>93280.230000000171</v>
      </c>
    </row>
    <row r="3358" spans="1:4" x14ac:dyDescent="0.3">
      <c r="A3358" t="s">
        <v>19</v>
      </c>
      <c r="C3358" s="16">
        <v>46272</v>
      </c>
      <c r="D3358">
        <v>1669.89</v>
      </c>
    </row>
    <row r="3359" spans="1:4" x14ac:dyDescent="0.3">
      <c r="A3359" t="s">
        <v>20</v>
      </c>
      <c r="C3359" s="16">
        <v>46272</v>
      </c>
      <c r="D3359">
        <v>1250938</v>
      </c>
    </row>
    <row r="3360" spans="1:4" x14ac:dyDescent="0.3">
      <c r="A3360" t="s">
        <v>21</v>
      </c>
      <c r="C3360" s="16">
        <v>46272</v>
      </c>
      <c r="D3360">
        <v>1499204.7399999998</v>
      </c>
    </row>
    <row r="3361" spans="1:4" x14ac:dyDescent="0.3">
      <c r="A3361" t="s">
        <v>22</v>
      </c>
      <c r="C3361" s="16">
        <v>46272</v>
      </c>
      <c r="D3361">
        <v>249778.14</v>
      </c>
    </row>
    <row r="3362" spans="1:4" x14ac:dyDescent="0.3">
      <c r="A3362" t="s">
        <v>23</v>
      </c>
      <c r="C3362" s="16">
        <v>46272</v>
      </c>
      <c r="D3362">
        <v>217684.34</v>
      </c>
    </row>
    <row r="3363" spans="1:4" x14ac:dyDescent="0.3">
      <c r="A3363" t="s">
        <v>24</v>
      </c>
      <c r="C3363" s="16">
        <v>46272</v>
      </c>
      <c r="D3363">
        <v>13014.880000000001</v>
      </c>
    </row>
    <row r="3364" spans="1:4" x14ac:dyDescent="0.3">
      <c r="A3364" t="s">
        <v>25</v>
      </c>
      <c r="C3364" s="16">
        <v>46272</v>
      </c>
      <c r="D3364">
        <v>94.5</v>
      </c>
    </row>
    <row r="3365" spans="1:4" x14ac:dyDescent="0.3">
      <c r="A3365" t="s">
        <v>26</v>
      </c>
      <c r="C3365" s="16">
        <v>46272</v>
      </c>
      <c r="D3365">
        <v>2147.92</v>
      </c>
    </row>
    <row r="3366" spans="1:4" x14ac:dyDescent="0.3">
      <c r="A3366" t="s">
        <v>27</v>
      </c>
      <c r="C3366" s="16">
        <v>46272</v>
      </c>
      <c r="D3366">
        <v>17895.290000000015</v>
      </c>
    </row>
    <row r="3367" spans="1:4" x14ac:dyDescent="0.3">
      <c r="A3367" t="s">
        <v>28</v>
      </c>
      <c r="C3367" s="16">
        <v>46272</v>
      </c>
      <c r="D3367">
        <v>1968.99</v>
      </c>
    </row>
    <row r="3368" spans="1:4" x14ac:dyDescent="0.3">
      <c r="A3368" t="s">
        <v>29</v>
      </c>
      <c r="C3368" s="16">
        <v>46272</v>
      </c>
      <c r="D3368">
        <v>901.34</v>
      </c>
    </row>
    <row r="3369" spans="1:4" x14ac:dyDescent="0.3">
      <c r="A3369" t="s">
        <v>30</v>
      </c>
      <c r="C3369" s="16">
        <v>46272</v>
      </c>
      <c r="D3369">
        <v>1380.08</v>
      </c>
    </row>
    <row r="3370" spans="1:4" x14ac:dyDescent="0.3">
      <c r="A3370" t="s">
        <v>31</v>
      </c>
      <c r="C3370" s="16">
        <v>46272</v>
      </c>
      <c r="D3370">
        <v>25027.379999999961</v>
      </c>
    </row>
    <row r="3371" spans="1:4" x14ac:dyDescent="0.3">
      <c r="A3371" t="s">
        <v>32</v>
      </c>
      <c r="C3371" s="16">
        <v>46272</v>
      </c>
      <c r="D3371">
        <v>16760.540000000008</v>
      </c>
    </row>
    <row r="3372" spans="1:4" x14ac:dyDescent="0.3">
      <c r="A3372" t="s">
        <v>33</v>
      </c>
      <c r="C3372" s="16">
        <v>46272</v>
      </c>
      <c r="D3372">
        <v>14162.999999999996</v>
      </c>
    </row>
    <row r="3373" spans="1:4" x14ac:dyDescent="0.3">
      <c r="A3373" t="s">
        <v>34</v>
      </c>
      <c r="C3373" s="16">
        <v>46272</v>
      </c>
      <c r="D3373">
        <v>345</v>
      </c>
    </row>
    <row r="3374" spans="1:4" x14ac:dyDescent="0.3">
      <c r="A3374" t="s">
        <v>35</v>
      </c>
      <c r="C3374" s="16">
        <v>46272</v>
      </c>
      <c r="D3374">
        <v>5861.1200000000026</v>
      </c>
    </row>
    <row r="3375" spans="1:4" x14ac:dyDescent="0.3">
      <c r="A3375" t="s">
        <v>193</v>
      </c>
      <c r="C3375" s="16">
        <v>46272</v>
      </c>
      <c r="D3375">
        <v>299174.44</v>
      </c>
    </row>
    <row r="3376" spans="1:4" x14ac:dyDescent="0.3">
      <c r="A3376" t="s">
        <v>194</v>
      </c>
      <c r="C3376" s="16">
        <v>46272</v>
      </c>
      <c r="D3376">
        <v>24099.03</v>
      </c>
    </row>
    <row r="3377" spans="1:4" x14ac:dyDescent="0.3">
      <c r="A3377" t="s">
        <v>195</v>
      </c>
      <c r="C3377" s="16">
        <v>46272</v>
      </c>
      <c r="D3377">
        <v>604.80000000000018</v>
      </c>
    </row>
    <row r="3378" spans="1:4" x14ac:dyDescent="0.3">
      <c r="A3378" t="s">
        <v>196</v>
      </c>
      <c r="C3378" s="16">
        <v>46272</v>
      </c>
      <c r="D3378">
        <v>32112.919999999976</v>
      </c>
    </row>
    <row r="3379" spans="1:4" x14ac:dyDescent="0.3">
      <c r="A3379" t="s">
        <v>197</v>
      </c>
      <c r="C3379" s="16">
        <v>46272</v>
      </c>
      <c r="D3379">
        <v>794.01</v>
      </c>
    </row>
    <row r="3380" spans="1:4" x14ac:dyDescent="0.3">
      <c r="A3380" t="s">
        <v>214</v>
      </c>
      <c r="C3380" s="16">
        <v>46272</v>
      </c>
      <c r="D3380">
        <v>5445.57</v>
      </c>
    </row>
    <row r="3381" spans="1:4" x14ac:dyDescent="0.3">
      <c r="A3381" t="s">
        <v>199</v>
      </c>
      <c r="C3381" s="16">
        <v>46272</v>
      </c>
      <c r="D3381">
        <v>242034.28999999998</v>
      </c>
    </row>
    <row r="3382" spans="1:4" x14ac:dyDescent="0.3">
      <c r="A3382" t="s">
        <v>17</v>
      </c>
      <c r="C3382" s="16">
        <v>46273</v>
      </c>
      <c r="D3382">
        <v>1805955.2800000007</v>
      </c>
    </row>
    <row r="3383" spans="1:4" x14ac:dyDescent="0.3">
      <c r="A3383" t="s">
        <v>18</v>
      </c>
      <c r="C3383" s="16">
        <v>46273</v>
      </c>
      <c r="D3383">
        <v>93737.970000000176</v>
      </c>
    </row>
    <row r="3384" spans="1:4" x14ac:dyDescent="0.3">
      <c r="A3384" t="s">
        <v>19</v>
      </c>
      <c r="C3384" s="16">
        <v>46273</v>
      </c>
      <c r="D3384">
        <v>1669.89</v>
      </c>
    </row>
    <row r="3385" spans="1:4" x14ac:dyDescent="0.3">
      <c r="A3385" t="s">
        <v>20</v>
      </c>
      <c r="C3385" s="16">
        <v>46273</v>
      </c>
      <c r="D3385">
        <v>1256669.99</v>
      </c>
    </row>
    <row r="3386" spans="1:4" x14ac:dyDescent="0.3">
      <c r="A3386" t="s">
        <v>21</v>
      </c>
      <c r="C3386" s="16">
        <v>46273</v>
      </c>
      <c r="D3386">
        <v>1490233.3099999996</v>
      </c>
    </row>
    <row r="3387" spans="1:4" x14ac:dyDescent="0.3">
      <c r="A3387" t="s">
        <v>22</v>
      </c>
      <c r="C3387" s="16">
        <v>46273</v>
      </c>
      <c r="D3387">
        <v>249778.14</v>
      </c>
    </row>
    <row r="3388" spans="1:4" x14ac:dyDescent="0.3">
      <c r="A3388" t="s">
        <v>23</v>
      </c>
      <c r="C3388" s="16">
        <v>46273</v>
      </c>
      <c r="D3388">
        <v>217684.34</v>
      </c>
    </row>
    <row r="3389" spans="1:4" x14ac:dyDescent="0.3">
      <c r="A3389" t="s">
        <v>24</v>
      </c>
      <c r="C3389" s="16">
        <v>46273</v>
      </c>
      <c r="D3389">
        <v>11744.75</v>
      </c>
    </row>
    <row r="3390" spans="1:4" x14ac:dyDescent="0.3">
      <c r="A3390" t="s">
        <v>25</v>
      </c>
      <c r="C3390" s="16">
        <v>46273</v>
      </c>
      <c r="D3390">
        <v>94.5</v>
      </c>
    </row>
    <row r="3391" spans="1:4" x14ac:dyDescent="0.3">
      <c r="A3391" t="s">
        <v>26</v>
      </c>
      <c r="C3391" s="16">
        <v>46273</v>
      </c>
      <c r="D3391">
        <v>2147.92</v>
      </c>
    </row>
    <row r="3392" spans="1:4" x14ac:dyDescent="0.3">
      <c r="A3392" t="s">
        <v>27</v>
      </c>
      <c r="C3392" s="16">
        <v>46273</v>
      </c>
      <c r="D3392">
        <v>17895.290000000015</v>
      </c>
    </row>
    <row r="3393" spans="1:4" x14ac:dyDescent="0.3">
      <c r="A3393" t="s">
        <v>28</v>
      </c>
      <c r="C3393" s="16">
        <v>46273</v>
      </c>
      <c r="D3393">
        <v>1968.99</v>
      </c>
    </row>
    <row r="3394" spans="1:4" x14ac:dyDescent="0.3">
      <c r="A3394" t="s">
        <v>29</v>
      </c>
      <c r="C3394" s="16">
        <v>46273</v>
      </c>
      <c r="D3394">
        <v>901.34</v>
      </c>
    </row>
    <row r="3395" spans="1:4" x14ac:dyDescent="0.3">
      <c r="A3395" t="s">
        <v>30</v>
      </c>
      <c r="C3395" s="16">
        <v>46273</v>
      </c>
      <c r="D3395">
        <v>1380.08</v>
      </c>
    </row>
    <row r="3396" spans="1:4" x14ac:dyDescent="0.3">
      <c r="A3396" t="s">
        <v>31</v>
      </c>
      <c r="C3396" s="16">
        <v>46273</v>
      </c>
      <c r="D3396">
        <v>25027.379999999961</v>
      </c>
    </row>
    <row r="3397" spans="1:4" x14ac:dyDescent="0.3">
      <c r="A3397" t="s">
        <v>32</v>
      </c>
      <c r="C3397" s="16">
        <v>46273</v>
      </c>
      <c r="D3397">
        <v>16760.540000000008</v>
      </c>
    </row>
    <row r="3398" spans="1:4" x14ac:dyDescent="0.3">
      <c r="A3398" t="s">
        <v>33</v>
      </c>
      <c r="C3398" s="16">
        <v>46273</v>
      </c>
      <c r="D3398">
        <v>14162.999999999996</v>
      </c>
    </row>
    <row r="3399" spans="1:4" x14ac:dyDescent="0.3">
      <c r="A3399" t="s">
        <v>34</v>
      </c>
      <c r="C3399" s="16">
        <v>46273</v>
      </c>
      <c r="D3399">
        <v>345</v>
      </c>
    </row>
    <row r="3400" spans="1:4" x14ac:dyDescent="0.3">
      <c r="A3400" t="s">
        <v>35</v>
      </c>
      <c r="C3400" s="16">
        <v>46273</v>
      </c>
      <c r="D3400">
        <v>5861.1200000000026</v>
      </c>
    </row>
    <row r="3401" spans="1:4" x14ac:dyDescent="0.3">
      <c r="A3401" t="s">
        <v>193</v>
      </c>
      <c r="C3401" s="16">
        <v>46273</v>
      </c>
      <c r="D3401">
        <v>298843.33</v>
      </c>
    </row>
    <row r="3402" spans="1:4" x14ac:dyDescent="0.3">
      <c r="A3402" t="s">
        <v>194</v>
      </c>
      <c r="C3402" s="16">
        <v>46273</v>
      </c>
      <c r="D3402">
        <v>23195.079999999998</v>
      </c>
    </row>
    <row r="3403" spans="1:4" x14ac:dyDescent="0.3">
      <c r="A3403" t="s">
        <v>195</v>
      </c>
      <c r="C3403" s="16">
        <v>46273</v>
      </c>
      <c r="D3403">
        <v>604.80000000000018</v>
      </c>
    </row>
    <row r="3404" spans="1:4" x14ac:dyDescent="0.3">
      <c r="A3404" t="s">
        <v>196</v>
      </c>
      <c r="C3404" s="16">
        <v>46273</v>
      </c>
      <c r="D3404">
        <v>32112.919999999976</v>
      </c>
    </row>
    <row r="3405" spans="1:4" x14ac:dyDescent="0.3">
      <c r="A3405" t="s">
        <v>197</v>
      </c>
      <c r="C3405" s="16">
        <v>46273</v>
      </c>
      <c r="D3405">
        <v>794.01</v>
      </c>
    </row>
    <row r="3406" spans="1:4" x14ac:dyDescent="0.3">
      <c r="A3406" t="s">
        <v>214</v>
      </c>
      <c r="C3406" s="16">
        <v>46273</v>
      </c>
      <c r="D3406">
        <v>5445.57</v>
      </c>
    </row>
    <row r="3407" spans="1:4" x14ac:dyDescent="0.3">
      <c r="A3407" t="s">
        <v>199</v>
      </c>
      <c r="C3407" s="16">
        <v>46273</v>
      </c>
      <c r="D3407">
        <v>241987.22999999998</v>
      </c>
    </row>
    <row r="3408" spans="1:4" x14ac:dyDescent="0.3">
      <c r="A3408" t="s">
        <v>17</v>
      </c>
      <c r="C3408" s="16">
        <v>46274</v>
      </c>
      <c r="D3408">
        <v>1805355.2800000007</v>
      </c>
    </row>
    <row r="3409" spans="1:4" x14ac:dyDescent="0.3">
      <c r="A3409" t="s">
        <v>18</v>
      </c>
      <c r="C3409" s="16">
        <v>46274</v>
      </c>
      <c r="D3409">
        <v>93737.970000000176</v>
      </c>
    </row>
    <row r="3410" spans="1:4" x14ac:dyDescent="0.3">
      <c r="A3410" t="s">
        <v>19</v>
      </c>
      <c r="C3410" s="16">
        <v>46274</v>
      </c>
      <c r="D3410">
        <v>1669.89</v>
      </c>
    </row>
    <row r="3411" spans="1:4" x14ac:dyDescent="0.3">
      <c r="A3411" t="s">
        <v>20</v>
      </c>
      <c r="C3411" s="16">
        <v>46274</v>
      </c>
      <c r="D3411">
        <v>1256669.99</v>
      </c>
    </row>
    <row r="3412" spans="1:4" x14ac:dyDescent="0.3">
      <c r="A3412" t="s">
        <v>21</v>
      </c>
      <c r="C3412" s="16">
        <v>46274</v>
      </c>
      <c r="D3412">
        <v>1487787.1299999997</v>
      </c>
    </row>
    <row r="3413" spans="1:4" x14ac:dyDescent="0.3">
      <c r="A3413" t="s">
        <v>22</v>
      </c>
      <c r="C3413" s="16">
        <v>46274</v>
      </c>
      <c r="D3413">
        <v>229778.14</v>
      </c>
    </row>
    <row r="3414" spans="1:4" x14ac:dyDescent="0.3">
      <c r="A3414" t="s">
        <v>23</v>
      </c>
      <c r="C3414" s="16">
        <v>46274</v>
      </c>
      <c r="D3414">
        <v>217684.34</v>
      </c>
    </row>
    <row r="3415" spans="1:4" x14ac:dyDescent="0.3">
      <c r="A3415" t="s">
        <v>24</v>
      </c>
      <c r="C3415" s="16">
        <v>46274</v>
      </c>
      <c r="D3415">
        <v>11744.75</v>
      </c>
    </row>
    <row r="3416" spans="1:4" x14ac:dyDescent="0.3">
      <c r="A3416" t="s">
        <v>25</v>
      </c>
      <c r="C3416" s="16">
        <v>46274</v>
      </c>
      <c r="D3416">
        <v>94.5</v>
      </c>
    </row>
    <row r="3417" spans="1:4" x14ac:dyDescent="0.3">
      <c r="A3417" t="s">
        <v>26</v>
      </c>
      <c r="C3417" s="16">
        <v>46274</v>
      </c>
      <c r="D3417">
        <v>2147.92</v>
      </c>
    </row>
    <row r="3418" spans="1:4" x14ac:dyDescent="0.3">
      <c r="A3418" t="s">
        <v>27</v>
      </c>
      <c r="C3418" s="16">
        <v>46274</v>
      </c>
      <c r="D3418">
        <v>17895.290000000015</v>
      </c>
    </row>
    <row r="3419" spans="1:4" x14ac:dyDescent="0.3">
      <c r="A3419" t="s">
        <v>28</v>
      </c>
      <c r="C3419" s="16">
        <v>46274</v>
      </c>
      <c r="D3419">
        <v>1968.99</v>
      </c>
    </row>
    <row r="3420" spans="1:4" x14ac:dyDescent="0.3">
      <c r="A3420" t="s">
        <v>29</v>
      </c>
      <c r="C3420" s="16">
        <v>46274</v>
      </c>
      <c r="D3420">
        <v>901.34</v>
      </c>
    </row>
    <row r="3421" spans="1:4" x14ac:dyDescent="0.3">
      <c r="A3421" t="s">
        <v>30</v>
      </c>
      <c r="C3421" s="16">
        <v>46274</v>
      </c>
      <c r="D3421">
        <v>1380.08</v>
      </c>
    </row>
    <row r="3422" spans="1:4" x14ac:dyDescent="0.3">
      <c r="A3422" t="s">
        <v>31</v>
      </c>
      <c r="C3422" s="16">
        <v>46274</v>
      </c>
      <c r="D3422">
        <v>25027.379999999961</v>
      </c>
    </row>
    <row r="3423" spans="1:4" x14ac:dyDescent="0.3">
      <c r="A3423" t="s">
        <v>32</v>
      </c>
      <c r="C3423" s="16">
        <v>46274</v>
      </c>
      <c r="D3423">
        <v>16760.540000000008</v>
      </c>
    </row>
    <row r="3424" spans="1:4" x14ac:dyDescent="0.3">
      <c r="A3424" t="s">
        <v>33</v>
      </c>
      <c r="C3424" s="16">
        <v>46274</v>
      </c>
      <c r="D3424">
        <v>14162.999999999996</v>
      </c>
    </row>
    <row r="3425" spans="1:4" x14ac:dyDescent="0.3">
      <c r="A3425" t="s">
        <v>34</v>
      </c>
      <c r="C3425" s="16">
        <v>46274</v>
      </c>
      <c r="D3425">
        <v>345</v>
      </c>
    </row>
    <row r="3426" spans="1:4" x14ac:dyDescent="0.3">
      <c r="A3426" t="s">
        <v>35</v>
      </c>
      <c r="C3426" s="16">
        <v>46274</v>
      </c>
      <c r="D3426">
        <v>25812.570000000003</v>
      </c>
    </row>
    <row r="3427" spans="1:4" x14ac:dyDescent="0.3">
      <c r="A3427" t="s">
        <v>193</v>
      </c>
      <c r="C3427" s="16">
        <v>46274</v>
      </c>
      <c r="D3427">
        <v>298792.34000000003</v>
      </c>
    </row>
    <row r="3428" spans="1:4" x14ac:dyDescent="0.3">
      <c r="A3428" t="s">
        <v>194</v>
      </c>
      <c r="C3428" s="16">
        <v>46274</v>
      </c>
      <c r="D3428">
        <v>22281.940000000002</v>
      </c>
    </row>
    <row r="3429" spans="1:4" x14ac:dyDescent="0.3">
      <c r="A3429" t="s">
        <v>195</v>
      </c>
      <c r="C3429" s="16">
        <v>46274</v>
      </c>
      <c r="D3429">
        <v>604.80000000000018</v>
      </c>
    </row>
    <row r="3430" spans="1:4" x14ac:dyDescent="0.3">
      <c r="A3430" t="s">
        <v>196</v>
      </c>
      <c r="C3430" s="16">
        <v>46274</v>
      </c>
      <c r="D3430">
        <v>32112.919999999976</v>
      </c>
    </row>
    <row r="3431" spans="1:4" x14ac:dyDescent="0.3">
      <c r="A3431" t="s">
        <v>197</v>
      </c>
      <c r="C3431" s="16">
        <v>46274</v>
      </c>
      <c r="D3431">
        <v>794.01</v>
      </c>
    </row>
    <row r="3432" spans="1:4" x14ac:dyDescent="0.3">
      <c r="A3432" t="s">
        <v>214</v>
      </c>
      <c r="C3432" s="16">
        <v>46274</v>
      </c>
      <c r="D3432">
        <v>5445.57</v>
      </c>
    </row>
    <row r="3433" spans="1:4" x14ac:dyDescent="0.3">
      <c r="A3433" t="s">
        <v>199</v>
      </c>
      <c r="C3433" s="16">
        <v>46274</v>
      </c>
      <c r="D3433">
        <v>241987.22999999998</v>
      </c>
    </row>
    <row r="3434" spans="1:4" x14ac:dyDescent="0.3">
      <c r="A3434" t="s">
        <v>17</v>
      </c>
      <c r="C3434" s="16">
        <v>46275</v>
      </c>
      <c r="D3434">
        <v>1338116.3900000008</v>
      </c>
    </row>
    <row r="3435" spans="1:4" x14ac:dyDescent="0.3">
      <c r="A3435" t="s">
        <v>18</v>
      </c>
      <c r="C3435" s="16">
        <v>46275</v>
      </c>
      <c r="D3435">
        <v>93737.970000000176</v>
      </c>
    </row>
    <row r="3436" spans="1:4" x14ac:dyDescent="0.3">
      <c r="A3436" t="s">
        <v>19</v>
      </c>
      <c r="C3436" s="16">
        <v>46275</v>
      </c>
      <c r="D3436">
        <v>1669.89</v>
      </c>
    </row>
    <row r="3437" spans="1:4" x14ac:dyDescent="0.3">
      <c r="A3437" t="s">
        <v>20</v>
      </c>
      <c r="C3437" s="16">
        <v>46275</v>
      </c>
      <c r="D3437">
        <v>1089169.99</v>
      </c>
    </row>
    <row r="3438" spans="1:4" x14ac:dyDescent="0.3">
      <c r="A3438" t="s">
        <v>21</v>
      </c>
      <c r="C3438" s="16">
        <v>46275</v>
      </c>
      <c r="D3438">
        <v>1233789.9099999997</v>
      </c>
    </row>
    <row r="3439" spans="1:4" x14ac:dyDescent="0.3">
      <c r="A3439" t="s">
        <v>22</v>
      </c>
      <c r="C3439" s="16">
        <v>46275</v>
      </c>
      <c r="D3439">
        <v>229778.14</v>
      </c>
    </row>
    <row r="3440" spans="1:4" x14ac:dyDescent="0.3">
      <c r="A3440" t="s">
        <v>23</v>
      </c>
      <c r="C3440" s="16">
        <v>46275</v>
      </c>
      <c r="D3440">
        <v>217684.34</v>
      </c>
    </row>
    <row r="3441" spans="1:4" x14ac:dyDescent="0.3">
      <c r="A3441" t="s">
        <v>24</v>
      </c>
      <c r="C3441" s="16">
        <v>46275</v>
      </c>
      <c r="D3441">
        <v>11744.75</v>
      </c>
    </row>
    <row r="3442" spans="1:4" x14ac:dyDescent="0.3">
      <c r="A3442" t="s">
        <v>25</v>
      </c>
      <c r="C3442" s="16">
        <v>46275</v>
      </c>
      <c r="D3442">
        <v>94.5</v>
      </c>
    </row>
    <row r="3443" spans="1:4" x14ac:dyDescent="0.3">
      <c r="A3443" t="s">
        <v>26</v>
      </c>
      <c r="C3443" s="16">
        <v>46275</v>
      </c>
      <c r="D3443">
        <v>2147.92</v>
      </c>
    </row>
    <row r="3444" spans="1:4" x14ac:dyDescent="0.3">
      <c r="A3444" t="s">
        <v>27</v>
      </c>
      <c r="C3444" s="16">
        <v>46275</v>
      </c>
      <c r="D3444">
        <v>17895.290000000015</v>
      </c>
    </row>
    <row r="3445" spans="1:4" x14ac:dyDescent="0.3">
      <c r="A3445" t="s">
        <v>28</v>
      </c>
      <c r="C3445" s="16">
        <v>46275</v>
      </c>
      <c r="D3445">
        <v>1968.99</v>
      </c>
    </row>
    <row r="3446" spans="1:4" x14ac:dyDescent="0.3">
      <c r="A3446" t="s">
        <v>29</v>
      </c>
      <c r="C3446" s="16">
        <v>46275</v>
      </c>
      <c r="D3446">
        <v>901.34</v>
      </c>
    </row>
    <row r="3447" spans="1:4" x14ac:dyDescent="0.3">
      <c r="A3447" t="s">
        <v>30</v>
      </c>
      <c r="C3447" s="16">
        <v>46275</v>
      </c>
      <c r="D3447">
        <v>1380.08</v>
      </c>
    </row>
    <row r="3448" spans="1:4" x14ac:dyDescent="0.3">
      <c r="A3448" t="s">
        <v>31</v>
      </c>
      <c r="C3448" s="16">
        <v>46275</v>
      </c>
      <c r="D3448">
        <v>25027.379999999961</v>
      </c>
    </row>
    <row r="3449" spans="1:4" x14ac:dyDescent="0.3">
      <c r="A3449" t="s">
        <v>32</v>
      </c>
      <c r="C3449" s="16">
        <v>46275</v>
      </c>
      <c r="D3449">
        <v>16760.540000000008</v>
      </c>
    </row>
    <row r="3450" spans="1:4" x14ac:dyDescent="0.3">
      <c r="A3450" t="s">
        <v>33</v>
      </c>
      <c r="C3450" s="16">
        <v>46275</v>
      </c>
      <c r="D3450">
        <v>14162.999999999996</v>
      </c>
    </row>
    <row r="3451" spans="1:4" x14ac:dyDescent="0.3">
      <c r="A3451" t="s">
        <v>34</v>
      </c>
      <c r="C3451" s="16">
        <v>46275</v>
      </c>
      <c r="D3451">
        <v>345</v>
      </c>
    </row>
    <row r="3452" spans="1:4" x14ac:dyDescent="0.3">
      <c r="A3452" t="s">
        <v>35</v>
      </c>
      <c r="C3452" s="16">
        <v>46275</v>
      </c>
      <c r="D3452">
        <v>23159.510000000002</v>
      </c>
    </row>
    <row r="3453" spans="1:4" x14ac:dyDescent="0.3">
      <c r="A3453" t="s">
        <v>193</v>
      </c>
      <c r="C3453" s="16">
        <v>46275</v>
      </c>
      <c r="D3453">
        <v>298792.34000000003</v>
      </c>
    </row>
    <row r="3454" spans="1:4" x14ac:dyDescent="0.3">
      <c r="A3454" t="s">
        <v>194</v>
      </c>
      <c r="C3454" s="16">
        <v>46275</v>
      </c>
      <c r="D3454">
        <v>31636.930000000004</v>
      </c>
    </row>
    <row r="3455" spans="1:4" x14ac:dyDescent="0.3">
      <c r="A3455" t="s">
        <v>195</v>
      </c>
      <c r="C3455" s="16">
        <v>46275</v>
      </c>
      <c r="D3455">
        <v>604.80000000000018</v>
      </c>
    </row>
    <row r="3456" spans="1:4" x14ac:dyDescent="0.3">
      <c r="A3456" t="s">
        <v>196</v>
      </c>
      <c r="C3456" s="16">
        <v>46275</v>
      </c>
      <c r="D3456">
        <v>32112.919999999976</v>
      </c>
    </row>
    <row r="3457" spans="1:4" x14ac:dyDescent="0.3">
      <c r="A3457" t="s">
        <v>197</v>
      </c>
      <c r="C3457" s="16">
        <v>46275</v>
      </c>
      <c r="D3457">
        <v>794.01</v>
      </c>
    </row>
    <row r="3458" spans="1:4" x14ac:dyDescent="0.3">
      <c r="A3458" t="s">
        <v>214</v>
      </c>
      <c r="C3458" s="16">
        <v>46275</v>
      </c>
      <c r="D3458">
        <v>5445.57</v>
      </c>
    </row>
    <row r="3459" spans="1:4" x14ac:dyDescent="0.3">
      <c r="A3459" t="s">
        <v>199</v>
      </c>
      <c r="C3459" s="16">
        <v>46275</v>
      </c>
      <c r="D3459">
        <v>241889.38999999998</v>
      </c>
    </row>
    <row r="3460" spans="1:4" x14ac:dyDescent="0.3">
      <c r="A3460" t="s">
        <v>17</v>
      </c>
      <c r="C3460" s="16">
        <v>46276</v>
      </c>
      <c r="D3460">
        <v>1892948.5900000008</v>
      </c>
    </row>
    <row r="3461" spans="1:4" x14ac:dyDescent="0.3">
      <c r="A3461" t="s">
        <v>18</v>
      </c>
      <c r="C3461" s="16">
        <v>46276</v>
      </c>
      <c r="D3461">
        <v>93737.970000000176</v>
      </c>
    </row>
    <row r="3462" spans="1:4" x14ac:dyDescent="0.3">
      <c r="A3462" t="s">
        <v>19</v>
      </c>
      <c r="C3462" s="16">
        <v>46276</v>
      </c>
      <c r="D3462">
        <v>1669.89</v>
      </c>
    </row>
    <row r="3463" spans="1:4" x14ac:dyDescent="0.3">
      <c r="A3463" t="s">
        <v>20</v>
      </c>
      <c r="C3463" s="16">
        <v>46276</v>
      </c>
      <c r="D3463">
        <v>1089124.99</v>
      </c>
    </row>
    <row r="3464" spans="1:4" x14ac:dyDescent="0.3">
      <c r="A3464" t="s">
        <v>21</v>
      </c>
      <c r="C3464" s="16">
        <v>46276</v>
      </c>
      <c r="D3464">
        <v>1233680.9399999995</v>
      </c>
    </row>
    <row r="3465" spans="1:4" x14ac:dyDescent="0.3">
      <c r="A3465" t="s">
        <v>22</v>
      </c>
      <c r="C3465" s="16">
        <v>46276</v>
      </c>
      <c r="D3465">
        <v>229778.14</v>
      </c>
    </row>
    <row r="3466" spans="1:4" x14ac:dyDescent="0.3">
      <c r="A3466" t="s">
        <v>23</v>
      </c>
      <c r="C3466" s="16">
        <v>46276</v>
      </c>
      <c r="D3466">
        <v>217684.34</v>
      </c>
    </row>
    <row r="3467" spans="1:4" x14ac:dyDescent="0.3">
      <c r="A3467" t="s">
        <v>24</v>
      </c>
      <c r="C3467" s="16">
        <v>46276</v>
      </c>
      <c r="D3467">
        <v>11744.75</v>
      </c>
    </row>
    <row r="3468" spans="1:4" x14ac:dyDescent="0.3">
      <c r="A3468" t="s">
        <v>25</v>
      </c>
      <c r="C3468" s="16">
        <v>46276</v>
      </c>
      <c r="D3468">
        <v>94.5</v>
      </c>
    </row>
    <row r="3469" spans="1:4" x14ac:dyDescent="0.3">
      <c r="A3469" t="s">
        <v>26</v>
      </c>
      <c r="C3469" s="16">
        <v>46276</v>
      </c>
      <c r="D3469">
        <v>2147.92</v>
      </c>
    </row>
    <row r="3470" spans="1:4" x14ac:dyDescent="0.3">
      <c r="A3470" t="s">
        <v>27</v>
      </c>
      <c r="C3470" s="16">
        <v>46276</v>
      </c>
      <c r="D3470">
        <v>17895.290000000015</v>
      </c>
    </row>
    <row r="3471" spans="1:4" x14ac:dyDescent="0.3">
      <c r="A3471" t="s">
        <v>28</v>
      </c>
      <c r="C3471" s="16">
        <v>46276</v>
      </c>
      <c r="D3471">
        <v>1968.99</v>
      </c>
    </row>
    <row r="3472" spans="1:4" x14ac:dyDescent="0.3">
      <c r="A3472" t="s">
        <v>29</v>
      </c>
      <c r="C3472" s="16">
        <v>46276</v>
      </c>
      <c r="D3472">
        <v>901.34</v>
      </c>
    </row>
    <row r="3473" spans="1:4" x14ac:dyDescent="0.3">
      <c r="A3473" t="s">
        <v>30</v>
      </c>
      <c r="C3473" s="16">
        <v>46276</v>
      </c>
      <c r="D3473">
        <v>1380.08</v>
      </c>
    </row>
    <row r="3474" spans="1:4" x14ac:dyDescent="0.3">
      <c r="A3474" t="s">
        <v>31</v>
      </c>
      <c r="C3474" s="16">
        <v>46276</v>
      </c>
      <c r="D3474">
        <v>25027.379999999961</v>
      </c>
    </row>
    <row r="3475" spans="1:4" x14ac:dyDescent="0.3">
      <c r="A3475" t="s">
        <v>32</v>
      </c>
      <c r="C3475" s="16">
        <v>46276</v>
      </c>
      <c r="D3475">
        <v>16282.630000000006</v>
      </c>
    </row>
    <row r="3476" spans="1:4" x14ac:dyDescent="0.3">
      <c r="A3476" t="s">
        <v>33</v>
      </c>
      <c r="C3476" s="16">
        <v>46276</v>
      </c>
      <c r="D3476">
        <v>13339.389999999996</v>
      </c>
    </row>
    <row r="3477" spans="1:4" x14ac:dyDescent="0.3">
      <c r="A3477" t="s">
        <v>34</v>
      </c>
      <c r="C3477" s="16">
        <v>46276</v>
      </c>
      <c r="D3477">
        <v>345</v>
      </c>
    </row>
    <row r="3478" spans="1:4" x14ac:dyDescent="0.3">
      <c r="A3478" t="s">
        <v>35</v>
      </c>
      <c r="C3478" s="16">
        <v>46276</v>
      </c>
      <c r="D3478">
        <v>23057.24</v>
      </c>
    </row>
    <row r="3479" spans="1:4" x14ac:dyDescent="0.3">
      <c r="A3479" t="s">
        <v>193</v>
      </c>
      <c r="C3479" s="16">
        <v>46276</v>
      </c>
      <c r="D3479">
        <v>298792.34000000003</v>
      </c>
    </row>
    <row r="3480" spans="1:4" x14ac:dyDescent="0.3">
      <c r="A3480" t="s">
        <v>194</v>
      </c>
      <c r="C3480" s="16">
        <v>46276</v>
      </c>
      <c r="D3480">
        <v>31636.930000000004</v>
      </c>
    </row>
    <row r="3481" spans="1:4" x14ac:dyDescent="0.3">
      <c r="A3481" t="s">
        <v>195</v>
      </c>
      <c r="C3481" s="16">
        <v>46276</v>
      </c>
      <c r="D3481">
        <v>604.80000000000018</v>
      </c>
    </row>
    <row r="3482" spans="1:4" x14ac:dyDescent="0.3">
      <c r="A3482" t="s">
        <v>196</v>
      </c>
      <c r="C3482" s="16">
        <v>46276</v>
      </c>
      <c r="D3482">
        <v>31621.50999999998</v>
      </c>
    </row>
    <row r="3483" spans="1:4" x14ac:dyDescent="0.3">
      <c r="A3483" t="s">
        <v>197</v>
      </c>
      <c r="C3483" s="16">
        <v>46276</v>
      </c>
      <c r="D3483">
        <v>794.01</v>
      </c>
    </row>
    <row r="3484" spans="1:4" x14ac:dyDescent="0.3">
      <c r="A3484" t="s">
        <v>214</v>
      </c>
      <c r="C3484" s="16">
        <v>46276</v>
      </c>
      <c r="D3484">
        <v>5445.57</v>
      </c>
    </row>
    <row r="3485" spans="1:4" x14ac:dyDescent="0.3">
      <c r="A3485" t="s">
        <v>199</v>
      </c>
      <c r="C3485" s="16">
        <v>46276</v>
      </c>
      <c r="D3485">
        <v>240458.22999999998</v>
      </c>
    </row>
    <row r="3486" spans="1:4" x14ac:dyDescent="0.3">
      <c r="A3486" t="s">
        <v>17</v>
      </c>
      <c r="C3486" s="16">
        <v>46277</v>
      </c>
      <c r="D3486">
        <v>1892948.5900000008</v>
      </c>
    </row>
    <row r="3487" spans="1:4" x14ac:dyDescent="0.3">
      <c r="A3487" t="s">
        <v>18</v>
      </c>
      <c r="C3487" s="16">
        <v>46277</v>
      </c>
      <c r="D3487">
        <v>93737.970000000176</v>
      </c>
    </row>
    <row r="3488" spans="1:4" x14ac:dyDescent="0.3">
      <c r="A3488" t="s">
        <v>19</v>
      </c>
      <c r="C3488" s="16">
        <v>46277</v>
      </c>
      <c r="D3488">
        <v>1669.89</v>
      </c>
    </row>
    <row r="3489" spans="1:4" x14ac:dyDescent="0.3">
      <c r="A3489" t="s">
        <v>20</v>
      </c>
      <c r="C3489" s="16">
        <v>46277</v>
      </c>
      <c r="D3489">
        <v>1089124.99</v>
      </c>
    </row>
    <row r="3490" spans="1:4" x14ac:dyDescent="0.3">
      <c r="A3490" t="s">
        <v>21</v>
      </c>
      <c r="C3490" s="16">
        <v>46277</v>
      </c>
      <c r="D3490">
        <v>1233680.9399999995</v>
      </c>
    </row>
    <row r="3491" spans="1:4" x14ac:dyDescent="0.3">
      <c r="A3491" t="s">
        <v>22</v>
      </c>
      <c r="C3491" s="16">
        <v>46277</v>
      </c>
      <c r="D3491">
        <v>229778.14</v>
      </c>
    </row>
    <row r="3492" spans="1:4" x14ac:dyDescent="0.3">
      <c r="A3492" t="s">
        <v>23</v>
      </c>
      <c r="C3492" s="16">
        <v>46277</v>
      </c>
      <c r="D3492">
        <v>217684.34</v>
      </c>
    </row>
    <row r="3493" spans="1:4" x14ac:dyDescent="0.3">
      <c r="A3493" t="s">
        <v>24</v>
      </c>
      <c r="C3493" s="16">
        <v>46277</v>
      </c>
      <c r="D3493">
        <v>11744.75</v>
      </c>
    </row>
    <row r="3494" spans="1:4" x14ac:dyDescent="0.3">
      <c r="A3494" t="s">
        <v>25</v>
      </c>
      <c r="C3494" s="16">
        <v>46277</v>
      </c>
      <c r="D3494">
        <v>94.5</v>
      </c>
    </row>
    <row r="3495" spans="1:4" x14ac:dyDescent="0.3">
      <c r="A3495" t="s">
        <v>26</v>
      </c>
      <c r="C3495" s="16">
        <v>46277</v>
      </c>
      <c r="D3495">
        <v>2147.92</v>
      </c>
    </row>
    <row r="3496" spans="1:4" x14ac:dyDescent="0.3">
      <c r="A3496" t="s">
        <v>27</v>
      </c>
      <c r="C3496" s="16">
        <v>46277</v>
      </c>
      <c r="D3496">
        <v>17895.290000000015</v>
      </c>
    </row>
    <row r="3497" spans="1:4" x14ac:dyDescent="0.3">
      <c r="A3497" t="s">
        <v>28</v>
      </c>
      <c r="C3497" s="16">
        <v>46277</v>
      </c>
      <c r="D3497">
        <v>1968.99</v>
      </c>
    </row>
    <row r="3498" spans="1:4" x14ac:dyDescent="0.3">
      <c r="A3498" t="s">
        <v>29</v>
      </c>
      <c r="C3498" s="16">
        <v>46277</v>
      </c>
      <c r="D3498">
        <v>901.34</v>
      </c>
    </row>
    <row r="3499" spans="1:4" x14ac:dyDescent="0.3">
      <c r="A3499" t="s">
        <v>30</v>
      </c>
      <c r="C3499" s="16">
        <v>46277</v>
      </c>
      <c r="D3499">
        <v>1380.08</v>
      </c>
    </row>
    <row r="3500" spans="1:4" x14ac:dyDescent="0.3">
      <c r="A3500" t="s">
        <v>31</v>
      </c>
      <c r="C3500" s="16">
        <v>46277</v>
      </c>
      <c r="D3500">
        <v>25027.379999999961</v>
      </c>
    </row>
    <row r="3501" spans="1:4" x14ac:dyDescent="0.3">
      <c r="A3501" t="s">
        <v>32</v>
      </c>
      <c r="C3501" s="16">
        <v>46277</v>
      </c>
      <c r="D3501">
        <v>16282.630000000006</v>
      </c>
    </row>
    <row r="3502" spans="1:4" x14ac:dyDescent="0.3">
      <c r="A3502" t="s">
        <v>33</v>
      </c>
      <c r="C3502" s="16">
        <v>46277</v>
      </c>
      <c r="D3502">
        <v>13339.389999999996</v>
      </c>
    </row>
    <row r="3503" spans="1:4" x14ac:dyDescent="0.3">
      <c r="A3503" t="s">
        <v>34</v>
      </c>
      <c r="C3503" s="16">
        <v>46277</v>
      </c>
      <c r="D3503">
        <v>345</v>
      </c>
    </row>
    <row r="3504" spans="1:4" x14ac:dyDescent="0.3">
      <c r="A3504" t="s">
        <v>35</v>
      </c>
      <c r="C3504" s="16">
        <v>46277</v>
      </c>
      <c r="D3504">
        <v>23057.24</v>
      </c>
    </row>
    <row r="3505" spans="1:4" x14ac:dyDescent="0.3">
      <c r="A3505" t="s">
        <v>193</v>
      </c>
      <c r="C3505" s="16">
        <v>46277</v>
      </c>
      <c r="D3505">
        <v>298792.34000000003</v>
      </c>
    </row>
    <row r="3506" spans="1:4" x14ac:dyDescent="0.3">
      <c r="A3506" t="s">
        <v>194</v>
      </c>
      <c r="C3506" s="16">
        <v>46277</v>
      </c>
      <c r="D3506">
        <v>31636.930000000004</v>
      </c>
    </row>
    <row r="3507" spans="1:4" x14ac:dyDescent="0.3">
      <c r="A3507" t="s">
        <v>195</v>
      </c>
      <c r="C3507" s="16">
        <v>46277</v>
      </c>
      <c r="D3507">
        <v>604.80000000000018</v>
      </c>
    </row>
    <row r="3508" spans="1:4" x14ac:dyDescent="0.3">
      <c r="A3508" t="s">
        <v>196</v>
      </c>
      <c r="C3508" s="16">
        <v>46277</v>
      </c>
      <c r="D3508">
        <v>31621.50999999998</v>
      </c>
    </row>
    <row r="3509" spans="1:4" x14ac:dyDescent="0.3">
      <c r="A3509" t="s">
        <v>197</v>
      </c>
      <c r="C3509" s="16">
        <v>46277</v>
      </c>
      <c r="D3509">
        <v>794.01</v>
      </c>
    </row>
    <row r="3510" spans="1:4" x14ac:dyDescent="0.3">
      <c r="A3510" t="s">
        <v>214</v>
      </c>
      <c r="C3510" s="16">
        <v>46277</v>
      </c>
      <c r="D3510">
        <v>5445.57</v>
      </c>
    </row>
    <row r="3511" spans="1:4" x14ac:dyDescent="0.3">
      <c r="A3511" t="s">
        <v>199</v>
      </c>
      <c r="C3511" s="16">
        <v>46277</v>
      </c>
      <c r="D3511">
        <v>240458.22999999998</v>
      </c>
    </row>
    <row r="3512" spans="1:4" x14ac:dyDescent="0.3">
      <c r="A3512" t="s">
        <v>17</v>
      </c>
      <c r="C3512" s="16">
        <v>46278</v>
      </c>
      <c r="D3512">
        <v>1892948.5900000008</v>
      </c>
    </row>
    <row r="3513" spans="1:4" x14ac:dyDescent="0.3">
      <c r="A3513" t="s">
        <v>18</v>
      </c>
      <c r="C3513" s="16">
        <v>46278</v>
      </c>
      <c r="D3513">
        <v>93737.970000000176</v>
      </c>
    </row>
    <row r="3514" spans="1:4" x14ac:dyDescent="0.3">
      <c r="A3514" t="s">
        <v>19</v>
      </c>
      <c r="C3514" s="16">
        <v>46278</v>
      </c>
      <c r="D3514">
        <v>1669.89</v>
      </c>
    </row>
    <row r="3515" spans="1:4" x14ac:dyDescent="0.3">
      <c r="A3515" t="s">
        <v>20</v>
      </c>
      <c r="C3515" s="16">
        <v>46278</v>
      </c>
      <c r="D3515">
        <v>1089124.99</v>
      </c>
    </row>
    <row r="3516" spans="1:4" x14ac:dyDescent="0.3">
      <c r="A3516" t="s">
        <v>21</v>
      </c>
      <c r="C3516" s="16">
        <v>46278</v>
      </c>
      <c r="D3516">
        <v>1233680.9399999995</v>
      </c>
    </row>
    <row r="3517" spans="1:4" x14ac:dyDescent="0.3">
      <c r="A3517" t="s">
        <v>22</v>
      </c>
      <c r="C3517" s="16">
        <v>46278</v>
      </c>
      <c r="D3517">
        <v>229778.14</v>
      </c>
    </row>
    <row r="3518" spans="1:4" x14ac:dyDescent="0.3">
      <c r="A3518" t="s">
        <v>23</v>
      </c>
      <c r="C3518" s="16">
        <v>46278</v>
      </c>
      <c r="D3518">
        <v>217684.34</v>
      </c>
    </row>
    <row r="3519" spans="1:4" x14ac:dyDescent="0.3">
      <c r="A3519" t="s">
        <v>24</v>
      </c>
      <c r="C3519" s="16">
        <v>46278</v>
      </c>
      <c r="D3519">
        <v>11744.75</v>
      </c>
    </row>
    <row r="3520" spans="1:4" x14ac:dyDescent="0.3">
      <c r="A3520" t="s">
        <v>25</v>
      </c>
      <c r="C3520" s="16">
        <v>46278</v>
      </c>
      <c r="D3520">
        <v>94.5</v>
      </c>
    </row>
    <row r="3521" spans="1:4" x14ac:dyDescent="0.3">
      <c r="A3521" t="s">
        <v>26</v>
      </c>
      <c r="C3521" s="16">
        <v>46278</v>
      </c>
      <c r="D3521">
        <v>2147.92</v>
      </c>
    </row>
    <row r="3522" spans="1:4" x14ac:dyDescent="0.3">
      <c r="A3522" t="s">
        <v>27</v>
      </c>
      <c r="C3522" s="16">
        <v>46278</v>
      </c>
      <c r="D3522">
        <v>17895.290000000015</v>
      </c>
    </row>
    <row r="3523" spans="1:4" x14ac:dyDescent="0.3">
      <c r="A3523" t="s">
        <v>28</v>
      </c>
      <c r="C3523" s="16">
        <v>46278</v>
      </c>
      <c r="D3523">
        <v>1968.99</v>
      </c>
    </row>
    <row r="3524" spans="1:4" x14ac:dyDescent="0.3">
      <c r="A3524" t="s">
        <v>29</v>
      </c>
      <c r="C3524" s="16">
        <v>46278</v>
      </c>
      <c r="D3524">
        <v>901.34</v>
      </c>
    </row>
    <row r="3525" spans="1:4" x14ac:dyDescent="0.3">
      <c r="A3525" t="s">
        <v>30</v>
      </c>
      <c r="C3525" s="16">
        <v>46278</v>
      </c>
      <c r="D3525">
        <v>1380.08</v>
      </c>
    </row>
    <row r="3526" spans="1:4" x14ac:dyDescent="0.3">
      <c r="A3526" t="s">
        <v>31</v>
      </c>
      <c r="C3526" s="16">
        <v>46278</v>
      </c>
      <c r="D3526">
        <v>25027.379999999961</v>
      </c>
    </row>
    <row r="3527" spans="1:4" x14ac:dyDescent="0.3">
      <c r="A3527" t="s">
        <v>32</v>
      </c>
      <c r="C3527" s="16">
        <v>46278</v>
      </c>
      <c r="D3527">
        <v>16282.630000000006</v>
      </c>
    </row>
    <row r="3528" spans="1:4" x14ac:dyDescent="0.3">
      <c r="A3528" t="s">
        <v>33</v>
      </c>
      <c r="C3528" s="16">
        <v>46278</v>
      </c>
      <c r="D3528">
        <v>13339.389999999996</v>
      </c>
    </row>
    <row r="3529" spans="1:4" x14ac:dyDescent="0.3">
      <c r="A3529" t="s">
        <v>34</v>
      </c>
      <c r="C3529" s="16">
        <v>46278</v>
      </c>
      <c r="D3529">
        <v>345</v>
      </c>
    </row>
    <row r="3530" spans="1:4" x14ac:dyDescent="0.3">
      <c r="A3530" t="s">
        <v>35</v>
      </c>
      <c r="C3530" s="16">
        <v>46278</v>
      </c>
      <c r="D3530">
        <v>23057.24</v>
      </c>
    </row>
    <row r="3531" spans="1:4" x14ac:dyDescent="0.3">
      <c r="A3531" t="s">
        <v>193</v>
      </c>
      <c r="C3531" s="16">
        <v>46278</v>
      </c>
      <c r="D3531">
        <v>298792.34000000003</v>
      </c>
    </row>
    <row r="3532" spans="1:4" x14ac:dyDescent="0.3">
      <c r="A3532" t="s">
        <v>194</v>
      </c>
      <c r="C3532" s="16">
        <v>46278</v>
      </c>
      <c r="D3532">
        <v>31636.930000000004</v>
      </c>
    </row>
    <row r="3533" spans="1:4" x14ac:dyDescent="0.3">
      <c r="A3533" t="s">
        <v>195</v>
      </c>
      <c r="C3533" s="16">
        <v>46278</v>
      </c>
      <c r="D3533">
        <v>604.80000000000018</v>
      </c>
    </row>
    <row r="3534" spans="1:4" x14ac:dyDescent="0.3">
      <c r="A3534" t="s">
        <v>196</v>
      </c>
      <c r="C3534" s="16">
        <v>46278</v>
      </c>
      <c r="D3534">
        <v>31621.50999999998</v>
      </c>
    </row>
    <row r="3535" spans="1:4" x14ac:dyDescent="0.3">
      <c r="A3535" t="s">
        <v>197</v>
      </c>
      <c r="C3535" s="16">
        <v>46278</v>
      </c>
      <c r="D3535">
        <v>794.01</v>
      </c>
    </row>
    <row r="3536" spans="1:4" x14ac:dyDescent="0.3">
      <c r="A3536" t="s">
        <v>214</v>
      </c>
      <c r="C3536" s="16">
        <v>46278</v>
      </c>
      <c r="D3536">
        <v>5445.57</v>
      </c>
    </row>
    <row r="3537" spans="1:4" x14ac:dyDescent="0.3">
      <c r="A3537" t="s">
        <v>199</v>
      </c>
      <c r="C3537" s="16">
        <v>46278</v>
      </c>
      <c r="D3537">
        <v>240458.22999999998</v>
      </c>
    </row>
    <row r="3538" spans="1:4" x14ac:dyDescent="0.3">
      <c r="A3538" t="s">
        <v>17</v>
      </c>
      <c r="C3538" s="16">
        <v>46279</v>
      </c>
      <c r="D3538">
        <v>2042948.5900000008</v>
      </c>
    </row>
    <row r="3539" spans="1:4" x14ac:dyDescent="0.3">
      <c r="A3539" t="s">
        <v>18</v>
      </c>
      <c r="C3539" s="16">
        <v>46279</v>
      </c>
      <c r="D3539">
        <v>93737.970000000176</v>
      </c>
    </row>
    <row r="3540" spans="1:4" x14ac:dyDescent="0.3">
      <c r="A3540" t="s">
        <v>19</v>
      </c>
      <c r="C3540" s="16">
        <v>46279</v>
      </c>
      <c r="D3540">
        <v>1669.89</v>
      </c>
    </row>
    <row r="3541" spans="1:4" x14ac:dyDescent="0.3">
      <c r="A3541" t="s">
        <v>20</v>
      </c>
      <c r="C3541" s="16">
        <v>46279</v>
      </c>
      <c r="D3541">
        <v>1105910.26</v>
      </c>
    </row>
    <row r="3542" spans="1:4" x14ac:dyDescent="0.3">
      <c r="A3542" t="s">
        <v>21</v>
      </c>
      <c r="C3542" s="16">
        <v>46279</v>
      </c>
      <c r="D3542">
        <v>1191956.6299999997</v>
      </c>
    </row>
    <row r="3543" spans="1:4" x14ac:dyDescent="0.3">
      <c r="A3543" t="s">
        <v>22</v>
      </c>
      <c r="C3543" s="16">
        <v>46279</v>
      </c>
      <c r="D3543">
        <v>229778.14</v>
      </c>
    </row>
    <row r="3544" spans="1:4" x14ac:dyDescent="0.3">
      <c r="A3544" t="s">
        <v>23</v>
      </c>
      <c r="C3544" s="16">
        <v>46279</v>
      </c>
      <c r="D3544">
        <v>217684.34</v>
      </c>
    </row>
    <row r="3545" spans="1:4" x14ac:dyDescent="0.3">
      <c r="A3545" t="s">
        <v>24</v>
      </c>
      <c r="C3545" s="16">
        <v>46279</v>
      </c>
      <c r="D3545">
        <v>11744.75</v>
      </c>
    </row>
    <row r="3546" spans="1:4" x14ac:dyDescent="0.3">
      <c r="A3546" t="s">
        <v>25</v>
      </c>
      <c r="C3546" s="16">
        <v>46279</v>
      </c>
      <c r="D3546">
        <v>94.5</v>
      </c>
    </row>
    <row r="3547" spans="1:4" x14ac:dyDescent="0.3">
      <c r="A3547" t="s">
        <v>26</v>
      </c>
      <c r="C3547" s="16">
        <v>46279</v>
      </c>
      <c r="D3547">
        <v>2147.92</v>
      </c>
    </row>
    <row r="3548" spans="1:4" x14ac:dyDescent="0.3">
      <c r="A3548" t="s">
        <v>27</v>
      </c>
      <c r="C3548" s="16">
        <v>46279</v>
      </c>
      <c r="D3548">
        <v>17895.290000000015</v>
      </c>
    </row>
    <row r="3549" spans="1:4" x14ac:dyDescent="0.3">
      <c r="A3549" t="s">
        <v>28</v>
      </c>
      <c r="C3549" s="16">
        <v>46279</v>
      </c>
      <c r="D3549">
        <v>1968.99</v>
      </c>
    </row>
    <row r="3550" spans="1:4" x14ac:dyDescent="0.3">
      <c r="A3550" t="s">
        <v>29</v>
      </c>
      <c r="C3550" s="16">
        <v>46279</v>
      </c>
      <c r="D3550">
        <v>901.34</v>
      </c>
    </row>
    <row r="3551" spans="1:4" x14ac:dyDescent="0.3">
      <c r="A3551" t="s">
        <v>30</v>
      </c>
      <c r="C3551" s="16">
        <v>46279</v>
      </c>
      <c r="D3551">
        <v>1380.08</v>
      </c>
    </row>
    <row r="3552" spans="1:4" x14ac:dyDescent="0.3">
      <c r="A3552" t="s">
        <v>31</v>
      </c>
      <c r="C3552" s="16">
        <v>46279</v>
      </c>
      <c r="D3552">
        <v>25027.379999999961</v>
      </c>
    </row>
    <row r="3553" spans="1:4" x14ac:dyDescent="0.3">
      <c r="A3553" t="s">
        <v>32</v>
      </c>
      <c r="C3553" s="16">
        <v>46279</v>
      </c>
      <c r="D3553">
        <v>16282.630000000006</v>
      </c>
    </row>
    <row r="3554" spans="1:4" x14ac:dyDescent="0.3">
      <c r="A3554" t="s">
        <v>33</v>
      </c>
      <c r="C3554" s="16">
        <v>46279</v>
      </c>
      <c r="D3554">
        <v>13685.999999999996</v>
      </c>
    </row>
    <row r="3555" spans="1:4" x14ac:dyDescent="0.3">
      <c r="A3555" t="s">
        <v>34</v>
      </c>
      <c r="C3555" s="16">
        <v>46279</v>
      </c>
      <c r="D3555">
        <v>345</v>
      </c>
    </row>
    <row r="3556" spans="1:4" x14ac:dyDescent="0.3">
      <c r="A3556" t="s">
        <v>35</v>
      </c>
      <c r="C3556" s="16">
        <v>46279</v>
      </c>
      <c r="D3556">
        <v>16762.45</v>
      </c>
    </row>
    <row r="3557" spans="1:4" x14ac:dyDescent="0.3">
      <c r="A3557" t="s">
        <v>193</v>
      </c>
      <c r="C3557" s="16">
        <v>46279</v>
      </c>
      <c r="D3557">
        <v>298792.34000000003</v>
      </c>
    </row>
    <row r="3558" spans="1:4" x14ac:dyDescent="0.3">
      <c r="A3558" t="s">
        <v>194</v>
      </c>
      <c r="C3558" s="16">
        <v>46279</v>
      </c>
      <c r="D3558">
        <v>30525.040000000005</v>
      </c>
    </row>
    <row r="3559" spans="1:4" x14ac:dyDescent="0.3">
      <c r="A3559" t="s">
        <v>195</v>
      </c>
      <c r="C3559" s="16">
        <v>46279</v>
      </c>
      <c r="D3559">
        <v>604.80000000000018</v>
      </c>
    </row>
    <row r="3560" spans="1:4" x14ac:dyDescent="0.3">
      <c r="A3560" t="s">
        <v>196</v>
      </c>
      <c r="C3560" s="16">
        <v>46279</v>
      </c>
      <c r="D3560">
        <v>31107.189999999981</v>
      </c>
    </row>
    <row r="3561" spans="1:4" x14ac:dyDescent="0.3">
      <c r="A3561" t="s">
        <v>197</v>
      </c>
      <c r="C3561" s="16">
        <v>46279</v>
      </c>
      <c r="D3561">
        <v>794.01</v>
      </c>
    </row>
    <row r="3562" spans="1:4" x14ac:dyDescent="0.3">
      <c r="A3562" t="s">
        <v>214</v>
      </c>
      <c r="C3562" s="16">
        <v>46279</v>
      </c>
      <c r="D3562">
        <v>5445.57</v>
      </c>
    </row>
    <row r="3563" spans="1:4" x14ac:dyDescent="0.3">
      <c r="A3563" t="s">
        <v>199</v>
      </c>
      <c r="C3563" s="16">
        <v>46279</v>
      </c>
      <c r="D3563">
        <v>240356.58</v>
      </c>
    </row>
    <row r="3564" spans="1:4" x14ac:dyDescent="0.3">
      <c r="A3564" t="s">
        <v>17</v>
      </c>
      <c r="C3564" s="16">
        <v>46280</v>
      </c>
      <c r="D3564">
        <v>2042948.5900000008</v>
      </c>
    </row>
    <row r="3565" spans="1:4" x14ac:dyDescent="0.3">
      <c r="A3565" t="s">
        <v>18</v>
      </c>
      <c r="C3565" s="16">
        <v>46280</v>
      </c>
      <c r="D3565">
        <v>100486.46000000017</v>
      </c>
    </row>
    <row r="3566" spans="1:4" x14ac:dyDescent="0.3">
      <c r="A3566" t="s">
        <v>19</v>
      </c>
      <c r="C3566" s="16">
        <v>46280</v>
      </c>
      <c r="D3566">
        <v>1669.89</v>
      </c>
    </row>
    <row r="3567" spans="1:4" x14ac:dyDescent="0.3">
      <c r="A3567" t="s">
        <v>20</v>
      </c>
      <c r="C3567" s="16">
        <v>46280</v>
      </c>
      <c r="D3567">
        <v>1105534.6399999999</v>
      </c>
    </row>
    <row r="3568" spans="1:4" x14ac:dyDescent="0.3">
      <c r="A3568" t="s">
        <v>21</v>
      </c>
      <c r="C3568" s="16">
        <v>46280</v>
      </c>
      <c r="D3568">
        <v>1191927.2199999995</v>
      </c>
    </row>
    <row r="3569" spans="1:4" x14ac:dyDescent="0.3">
      <c r="A3569" t="s">
        <v>22</v>
      </c>
      <c r="C3569" s="16">
        <v>46280</v>
      </c>
      <c r="D3569">
        <v>229778.14</v>
      </c>
    </row>
    <row r="3570" spans="1:4" x14ac:dyDescent="0.3">
      <c r="A3570" t="s">
        <v>23</v>
      </c>
      <c r="C3570" s="16">
        <v>46280</v>
      </c>
      <c r="D3570">
        <v>217688.58</v>
      </c>
    </row>
    <row r="3571" spans="1:4" x14ac:dyDescent="0.3">
      <c r="A3571" t="s">
        <v>24</v>
      </c>
      <c r="C3571" s="16">
        <v>46280</v>
      </c>
      <c r="D3571">
        <v>11744.75</v>
      </c>
    </row>
    <row r="3572" spans="1:4" x14ac:dyDescent="0.3">
      <c r="A3572" t="s">
        <v>25</v>
      </c>
      <c r="C3572" s="16">
        <v>46280</v>
      </c>
      <c r="D3572">
        <v>94.5</v>
      </c>
    </row>
    <row r="3573" spans="1:4" x14ac:dyDescent="0.3">
      <c r="A3573" t="s">
        <v>26</v>
      </c>
      <c r="C3573" s="16">
        <v>46280</v>
      </c>
      <c r="D3573">
        <v>2147.92</v>
      </c>
    </row>
    <row r="3574" spans="1:4" x14ac:dyDescent="0.3">
      <c r="A3574" t="s">
        <v>27</v>
      </c>
      <c r="C3574" s="16">
        <v>46280</v>
      </c>
      <c r="D3574">
        <v>17895.290000000015</v>
      </c>
    </row>
    <row r="3575" spans="1:4" x14ac:dyDescent="0.3">
      <c r="A3575" t="s">
        <v>28</v>
      </c>
      <c r="C3575" s="16">
        <v>46280</v>
      </c>
      <c r="D3575">
        <v>1968.99</v>
      </c>
    </row>
    <row r="3576" spans="1:4" x14ac:dyDescent="0.3">
      <c r="A3576" t="s">
        <v>29</v>
      </c>
      <c r="C3576" s="16">
        <v>46280</v>
      </c>
      <c r="D3576">
        <v>901.34</v>
      </c>
    </row>
    <row r="3577" spans="1:4" x14ac:dyDescent="0.3">
      <c r="A3577" t="s">
        <v>30</v>
      </c>
      <c r="C3577" s="16">
        <v>46280</v>
      </c>
      <c r="D3577">
        <v>1380.08</v>
      </c>
    </row>
    <row r="3578" spans="1:4" x14ac:dyDescent="0.3">
      <c r="A3578" t="s">
        <v>31</v>
      </c>
      <c r="C3578" s="16">
        <v>46280</v>
      </c>
      <c r="D3578">
        <v>25027.379999999961</v>
      </c>
    </row>
    <row r="3579" spans="1:4" x14ac:dyDescent="0.3">
      <c r="A3579" t="s">
        <v>32</v>
      </c>
      <c r="C3579" s="16">
        <v>46280</v>
      </c>
      <c r="D3579">
        <v>16282.630000000006</v>
      </c>
    </row>
    <row r="3580" spans="1:4" x14ac:dyDescent="0.3">
      <c r="A3580" t="s">
        <v>33</v>
      </c>
      <c r="C3580" s="16">
        <v>46280</v>
      </c>
      <c r="D3580">
        <v>13685.999999999996</v>
      </c>
    </row>
    <row r="3581" spans="1:4" x14ac:dyDescent="0.3">
      <c r="A3581" t="s">
        <v>34</v>
      </c>
      <c r="C3581" s="16">
        <v>46280</v>
      </c>
      <c r="D3581">
        <v>345</v>
      </c>
    </row>
    <row r="3582" spans="1:4" x14ac:dyDescent="0.3">
      <c r="A3582" t="s">
        <v>35</v>
      </c>
      <c r="C3582" s="16">
        <v>46280</v>
      </c>
      <c r="D3582">
        <v>16587.45</v>
      </c>
    </row>
    <row r="3583" spans="1:4" x14ac:dyDescent="0.3">
      <c r="A3583" t="s">
        <v>193</v>
      </c>
      <c r="C3583" s="16">
        <v>46280</v>
      </c>
      <c r="D3583">
        <v>298792.34000000003</v>
      </c>
    </row>
    <row r="3584" spans="1:4" x14ac:dyDescent="0.3">
      <c r="A3584" t="s">
        <v>194</v>
      </c>
      <c r="C3584" s="16">
        <v>46280</v>
      </c>
      <c r="D3584">
        <v>30525.040000000005</v>
      </c>
    </row>
    <row r="3585" spans="1:4" x14ac:dyDescent="0.3">
      <c r="A3585" t="s">
        <v>195</v>
      </c>
      <c r="C3585" s="16">
        <v>46280</v>
      </c>
      <c r="D3585">
        <v>604.80000000000018</v>
      </c>
    </row>
    <row r="3586" spans="1:4" x14ac:dyDescent="0.3">
      <c r="A3586" t="s">
        <v>196</v>
      </c>
      <c r="C3586" s="16">
        <v>46280</v>
      </c>
      <c r="D3586">
        <v>30592.869999999981</v>
      </c>
    </row>
    <row r="3587" spans="1:4" x14ac:dyDescent="0.3">
      <c r="A3587" t="s">
        <v>197</v>
      </c>
      <c r="C3587" s="16">
        <v>46280</v>
      </c>
      <c r="D3587">
        <v>794.01</v>
      </c>
    </row>
    <row r="3588" spans="1:4" x14ac:dyDescent="0.3">
      <c r="A3588" t="s">
        <v>214</v>
      </c>
      <c r="C3588" s="16">
        <v>46280</v>
      </c>
      <c r="D3588">
        <v>5445.57</v>
      </c>
    </row>
    <row r="3589" spans="1:4" x14ac:dyDescent="0.3">
      <c r="A3589" t="s">
        <v>199</v>
      </c>
      <c r="C3589" s="16">
        <v>46280</v>
      </c>
      <c r="D3589">
        <v>240356.58</v>
      </c>
    </row>
    <row r="3590" spans="1:4" x14ac:dyDescent="0.3">
      <c r="A3590" t="s">
        <v>17</v>
      </c>
      <c r="C3590" s="16">
        <v>46281</v>
      </c>
      <c r="D3590">
        <v>2042948.5900000008</v>
      </c>
    </row>
    <row r="3591" spans="1:4" x14ac:dyDescent="0.3">
      <c r="A3591" t="s">
        <v>18</v>
      </c>
      <c r="C3591" s="16">
        <v>46281</v>
      </c>
      <c r="D3591">
        <v>100486.46000000017</v>
      </c>
    </row>
    <row r="3592" spans="1:4" x14ac:dyDescent="0.3">
      <c r="A3592" t="s">
        <v>19</v>
      </c>
      <c r="C3592" s="16">
        <v>46281</v>
      </c>
      <c r="D3592">
        <v>1669.89</v>
      </c>
    </row>
    <row r="3593" spans="1:4" x14ac:dyDescent="0.3">
      <c r="A3593" t="s">
        <v>20</v>
      </c>
      <c r="C3593" s="16">
        <v>46281</v>
      </c>
      <c r="D3593">
        <v>1105534.6399999999</v>
      </c>
    </row>
    <row r="3594" spans="1:4" x14ac:dyDescent="0.3">
      <c r="A3594" t="s">
        <v>21</v>
      </c>
      <c r="C3594" s="16">
        <v>46281</v>
      </c>
      <c r="D3594">
        <v>1189436.8599999996</v>
      </c>
    </row>
    <row r="3595" spans="1:4" x14ac:dyDescent="0.3">
      <c r="A3595" t="s">
        <v>22</v>
      </c>
      <c r="C3595" s="16">
        <v>46281</v>
      </c>
      <c r="D3595">
        <v>229778.14</v>
      </c>
    </row>
    <row r="3596" spans="1:4" x14ac:dyDescent="0.3">
      <c r="A3596" t="s">
        <v>23</v>
      </c>
      <c r="C3596" s="16">
        <v>46281</v>
      </c>
      <c r="D3596">
        <v>217688.58</v>
      </c>
    </row>
    <row r="3597" spans="1:4" x14ac:dyDescent="0.3">
      <c r="A3597" t="s">
        <v>24</v>
      </c>
      <c r="C3597" s="16">
        <v>46281</v>
      </c>
      <c r="D3597">
        <v>11744.75</v>
      </c>
    </row>
    <row r="3598" spans="1:4" x14ac:dyDescent="0.3">
      <c r="A3598" t="s">
        <v>25</v>
      </c>
      <c r="C3598" s="16">
        <v>46281</v>
      </c>
      <c r="D3598">
        <v>94.5</v>
      </c>
    </row>
    <row r="3599" spans="1:4" x14ac:dyDescent="0.3">
      <c r="A3599" t="s">
        <v>26</v>
      </c>
      <c r="C3599" s="16">
        <v>46281</v>
      </c>
      <c r="D3599">
        <v>2147.92</v>
      </c>
    </row>
    <row r="3600" spans="1:4" x14ac:dyDescent="0.3">
      <c r="A3600" t="s">
        <v>27</v>
      </c>
      <c r="C3600" s="16">
        <v>46281</v>
      </c>
      <c r="D3600">
        <v>17895.290000000015</v>
      </c>
    </row>
    <row r="3601" spans="1:4" x14ac:dyDescent="0.3">
      <c r="A3601" t="s">
        <v>28</v>
      </c>
      <c r="C3601" s="16">
        <v>46281</v>
      </c>
      <c r="D3601">
        <v>1968.99</v>
      </c>
    </row>
    <row r="3602" spans="1:4" x14ac:dyDescent="0.3">
      <c r="A3602" t="s">
        <v>29</v>
      </c>
      <c r="C3602" s="16">
        <v>46281</v>
      </c>
      <c r="D3602">
        <v>901.34</v>
      </c>
    </row>
    <row r="3603" spans="1:4" x14ac:dyDescent="0.3">
      <c r="A3603" t="s">
        <v>30</v>
      </c>
      <c r="C3603" s="16">
        <v>46281</v>
      </c>
      <c r="D3603">
        <v>1380.08</v>
      </c>
    </row>
    <row r="3604" spans="1:4" x14ac:dyDescent="0.3">
      <c r="A3604" t="s">
        <v>31</v>
      </c>
      <c r="C3604" s="16">
        <v>46281</v>
      </c>
      <c r="D3604">
        <v>25027.379999999961</v>
      </c>
    </row>
    <row r="3605" spans="1:4" x14ac:dyDescent="0.3">
      <c r="A3605" t="s">
        <v>32</v>
      </c>
      <c r="C3605" s="16">
        <v>46281</v>
      </c>
      <c r="D3605">
        <v>16282.630000000006</v>
      </c>
    </row>
    <row r="3606" spans="1:4" x14ac:dyDescent="0.3">
      <c r="A3606" t="s">
        <v>33</v>
      </c>
      <c r="C3606" s="16">
        <v>46281</v>
      </c>
      <c r="D3606">
        <v>13685.999999999996</v>
      </c>
    </row>
    <row r="3607" spans="1:4" x14ac:dyDescent="0.3">
      <c r="A3607" t="s">
        <v>34</v>
      </c>
      <c r="C3607" s="16">
        <v>46281</v>
      </c>
      <c r="D3607">
        <v>345</v>
      </c>
    </row>
    <row r="3608" spans="1:4" x14ac:dyDescent="0.3">
      <c r="A3608" t="s">
        <v>35</v>
      </c>
      <c r="C3608" s="16">
        <v>46281</v>
      </c>
      <c r="D3608">
        <v>16384.45</v>
      </c>
    </row>
    <row r="3609" spans="1:4" x14ac:dyDescent="0.3">
      <c r="A3609" t="s">
        <v>193</v>
      </c>
      <c r="C3609" s="16">
        <v>46281</v>
      </c>
      <c r="D3609">
        <v>298792.34000000003</v>
      </c>
    </row>
    <row r="3610" spans="1:4" x14ac:dyDescent="0.3">
      <c r="A3610" t="s">
        <v>194</v>
      </c>
      <c r="C3610" s="16">
        <v>46281</v>
      </c>
      <c r="D3610">
        <v>30525.040000000005</v>
      </c>
    </row>
    <row r="3611" spans="1:4" x14ac:dyDescent="0.3">
      <c r="A3611" t="s">
        <v>195</v>
      </c>
      <c r="C3611" s="16">
        <v>46281</v>
      </c>
      <c r="D3611">
        <v>604.80000000000018</v>
      </c>
    </row>
    <row r="3612" spans="1:4" x14ac:dyDescent="0.3">
      <c r="A3612" t="s">
        <v>196</v>
      </c>
      <c r="C3612" s="16">
        <v>46281</v>
      </c>
      <c r="D3612">
        <v>29877.869999999981</v>
      </c>
    </row>
    <row r="3613" spans="1:4" x14ac:dyDescent="0.3">
      <c r="A3613" t="s">
        <v>197</v>
      </c>
      <c r="C3613" s="16">
        <v>46281</v>
      </c>
      <c r="D3613">
        <v>794.01</v>
      </c>
    </row>
    <row r="3614" spans="1:4" x14ac:dyDescent="0.3">
      <c r="A3614" t="s">
        <v>214</v>
      </c>
      <c r="C3614" s="16">
        <v>46281</v>
      </c>
      <c r="D3614">
        <v>5445.57</v>
      </c>
    </row>
    <row r="3615" spans="1:4" x14ac:dyDescent="0.3">
      <c r="A3615" t="s">
        <v>199</v>
      </c>
      <c r="C3615" s="16">
        <v>46281</v>
      </c>
      <c r="D3615">
        <v>240356.58</v>
      </c>
    </row>
    <row r="3616" spans="1:4" x14ac:dyDescent="0.3">
      <c r="A3616" t="s">
        <v>17</v>
      </c>
      <c r="C3616" s="16">
        <v>46282</v>
      </c>
      <c r="D3616">
        <v>1912320.2500000007</v>
      </c>
    </row>
    <row r="3617" spans="1:4" x14ac:dyDescent="0.3">
      <c r="A3617" t="s">
        <v>18</v>
      </c>
      <c r="C3617" s="16">
        <v>46282</v>
      </c>
      <c r="D3617">
        <v>100486.46000000017</v>
      </c>
    </row>
    <row r="3618" spans="1:4" x14ac:dyDescent="0.3">
      <c r="A3618" t="s">
        <v>19</v>
      </c>
      <c r="C3618" s="16">
        <v>46282</v>
      </c>
      <c r="D3618">
        <v>1669.89</v>
      </c>
    </row>
    <row r="3619" spans="1:4" x14ac:dyDescent="0.3">
      <c r="A3619" t="s">
        <v>20</v>
      </c>
      <c r="C3619" s="16">
        <v>46282</v>
      </c>
      <c r="D3619">
        <v>975534.6399999999</v>
      </c>
    </row>
    <row r="3620" spans="1:4" x14ac:dyDescent="0.3">
      <c r="A3620" t="s">
        <v>21</v>
      </c>
      <c r="C3620" s="16">
        <v>46282</v>
      </c>
      <c r="D3620">
        <v>1070645.1899999995</v>
      </c>
    </row>
    <row r="3621" spans="1:4" x14ac:dyDescent="0.3">
      <c r="A3621" t="s">
        <v>22</v>
      </c>
      <c r="C3621" s="16">
        <v>46282</v>
      </c>
      <c r="D3621">
        <v>229778.14</v>
      </c>
    </row>
    <row r="3622" spans="1:4" x14ac:dyDescent="0.3">
      <c r="A3622" t="s">
        <v>23</v>
      </c>
      <c r="C3622" s="16">
        <v>46282</v>
      </c>
      <c r="D3622">
        <v>217688.58</v>
      </c>
    </row>
    <row r="3623" spans="1:4" x14ac:dyDescent="0.3">
      <c r="A3623" t="s">
        <v>24</v>
      </c>
      <c r="C3623" s="16">
        <v>46282</v>
      </c>
      <c r="D3623">
        <v>11744.75</v>
      </c>
    </row>
    <row r="3624" spans="1:4" x14ac:dyDescent="0.3">
      <c r="A3624" t="s">
        <v>25</v>
      </c>
      <c r="C3624" s="16">
        <v>46282</v>
      </c>
      <c r="D3624">
        <v>94.5</v>
      </c>
    </row>
    <row r="3625" spans="1:4" x14ac:dyDescent="0.3">
      <c r="A3625" t="s">
        <v>26</v>
      </c>
      <c r="C3625" s="16">
        <v>46282</v>
      </c>
      <c r="D3625">
        <v>2147.92</v>
      </c>
    </row>
    <row r="3626" spans="1:4" x14ac:dyDescent="0.3">
      <c r="A3626" t="s">
        <v>27</v>
      </c>
      <c r="C3626" s="16">
        <v>46282</v>
      </c>
      <c r="D3626">
        <v>17895.290000000015</v>
      </c>
    </row>
    <row r="3627" spans="1:4" x14ac:dyDescent="0.3">
      <c r="A3627" t="s">
        <v>28</v>
      </c>
      <c r="C3627" s="16">
        <v>46282</v>
      </c>
      <c r="D3627">
        <v>1968.99</v>
      </c>
    </row>
    <row r="3628" spans="1:4" x14ac:dyDescent="0.3">
      <c r="A3628" t="s">
        <v>29</v>
      </c>
      <c r="C3628" s="16">
        <v>46282</v>
      </c>
      <c r="D3628">
        <v>901.34</v>
      </c>
    </row>
    <row r="3629" spans="1:4" x14ac:dyDescent="0.3">
      <c r="A3629" t="s">
        <v>30</v>
      </c>
      <c r="C3629" s="16">
        <v>46282</v>
      </c>
      <c r="D3629">
        <v>1380.08</v>
      </c>
    </row>
    <row r="3630" spans="1:4" x14ac:dyDescent="0.3">
      <c r="A3630" t="s">
        <v>31</v>
      </c>
      <c r="C3630" s="16">
        <v>46282</v>
      </c>
      <c r="D3630">
        <v>25027.379999999961</v>
      </c>
    </row>
    <row r="3631" spans="1:4" x14ac:dyDescent="0.3">
      <c r="A3631" t="s">
        <v>32</v>
      </c>
      <c r="C3631" s="16">
        <v>46282</v>
      </c>
      <c r="D3631">
        <v>16282.630000000006</v>
      </c>
    </row>
    <row r="3632" spans="1:4" x14ac:dyDescent="0.3">
      <c r="A3632" t="s">
        <v>33</v>
      </c>
      <c r="C3632" s="16">
        <v>46282</v>
      </c>
      <c r="D3632">
        <v>13685.999999999996</v>
      </c>
    </row>
    <row r="3633" spans="1:4" x14ac:dyDescent="0.3">
      <c r="A3633" t="s">
        <v>34</v>
      </c>
      <c r="C3633" s="16">
        <v>46282</v>
      </c>
      <c r="D3633">
        <v>345</v>
      </c>
    </row>
    <row r="3634" spans="1:4" x14ac:dyDescent="0.3">
      <c r="A3634" t="s">
        <v>35</v>
      </c>
      <c r="C3634" s="16">
        <v>46282</v>
      </c>
      <c r="D3634">
        <v>16164.440000000002</v>
      </c>
    </row>
    <row r="3635" spans="1:4" x14ac:dyDescent="0.3">
      <c r="A3635" t="s">
        <v>193</v>
      </c>
      <c r="C3635" s="16">
        <v>46282</v>
      </c>
      <c r="D3635">
        <v>312415.12000000005</v>
      </c>
    </row>
    <row r="3636" spans="1:4" x14ac:dyDescent="0.3">
      <c r="A3636" t="s">
        <v>194</v>
      </c>
      <c r="C3636" s="16">
        <v>46282</v>
      </c>
      <c r="D3636">
        <v>20757.310000000005</v>
      </c>
    </row>
    <row r="3637" spans="1:4" x14ac:dyDescent="0.3">
      <c r="A3637" t="s">
        <v>195</v>
      </c>
      <c r="C3637" s="16">
        <v>46282</v>
      </c>
      <c r="D3637">
        <v>604.80000000000018</v>
      </c>
    </row>
    <row r="3638" spans="1:4" x14ac:dyDescent="0.3">
      <c r="A3638" t="s">
        <v>196</v>
      </c>
      <c r="C3638" s="16">
        <v>46282</v>
      </c>
      <c r="D3638">
        <v>26755.729999999981</v>
      </c>
    </row>
    <row r="3639" spans="1:4" x14ac:dyDescent="0.3">
      <c r="A3639" t="s">
        <v>197</v>
      </c>
      <c r="C3639" s="16">
        <v>46282</v>
      </c>
      <c r="D3639">
        <v>794.01</v>
      </c>
    </row>
    <row r="3640" spans="1:4" x14ac:dyDescent="0.3">
      <c r="A3640" t="s">
        <v>214</v>
      </c>
      <c r="C3640" s="16">
        <v>46282</v>
      </c>
      <c r="D3640">
        <v>5445.57</v>
      </c>
    </row>
    <row r="3641" spans="1:4" x14ac:dyDescent="0.3">
      <c r="A3641" t="s">
        <v>199</v>
      </c>
      <c r="C3641" s="16">
        <v>46282</v>
      </c>
      <c r="D3641">
        <v>240356.58</v>
      </c>
    </row>
    <row r="3642" spans="1:4" x14ac:dyDescent="0.3">
      <c r="A3642" t="s">
        <v>17</v>
      </c>
      <c r="C3642" s="16">
        <v>46283</v>
      </c>
      <c r="D3642">
        <v>2322320.2500000005</v>
      </c>
    </row>
    <row r="3643" spans="1:4" x14ac:dyDescent="0.3">
      <c r="A3643" t="s">
        <v>18</v>
      </c>
      <c r="C3643" s="16">
        <v>46283</v>
      </c>
      <c r="D3643">
        <v>100486.46000000017</v>
      </c>
    </row>
    <row r="3644" spans="1:4" x14ac:dyDescent="0.3">
      <c r="A3644" t="s">
        <v>19</v>
      </c>
      <c r="C3644" s="16">
        <v>46283</v>
      </c>
      <c r="D3644">
        <v>1669.89</v>
      </c>
    </row>
    <row r="3645" spans="1:4" x14ac:dyDescent="0.3">
      <c r="A3645" t="s">
        <v>20</v>
      </c>
      <c r="C3645" s="16">
        <v>46283</v>
      </c>
      <c r="D3645">
        <v>1425534.64</v>
      </c>
    </row>
    <row r="3646" spans="1:4" x14ac:dyDescent="0.3">
      <c r="A3646" t="s">
        <v>21</v>
      </c>
      <c r="C3646" s="16">
        <v>46283</v>
      </c>
      <c r="D3646">
        <v>1070478.5299999996</v>
      </c>
    </row>
    <row r="3647" spans="1:4" x14ac:dyDescent="0.3">
      <c r="A3647" t="s">
        <v>22</v>
      </c>
      <c r="C3647" s="16">
        <v>46283</v>
      </c>
      <c r="D3647">
        <v>229778.14</v>
      </c>
    </row>
    <row r="3648" spans="1:4" x14ac:dyDescent="0.3">
      <c r="A3648" t="s">
        <v>23</v>
      </c>
      <c r="C3648" s="16">
        <v>46283</v>
      </c>
      <c r="D3648">
        <v>217688.58</v>
      </c>
    </row>
    <row r="3649" spans="1:4" x14ac:dyDescent="0.3">
      <c r="A3649" t="s">
        <v>24</v>
      </c>
      <c r="C3649" s="16">
        <v>46283</v>
      </c>
      <c r="D3649">
        <v>11744.75</v>
      </c>
    </row>
    <row r="3650" spans="1:4" x14ac:dyDescent="0.3">
      <c r="A3650" t="s">
        <v>25</v>
      </c>
      <c r="C3650" s="16">
        <v>46283</v>
      </c>
      <c r="D3650">
        <v>94.5</v>
      </c>
    </row>
    <row r="3651" spans="1:4" x14ac:dyDescent="0.3">
      <c r="A3651" t="s">
        <v>26</v>
      </c>
      <c r="C3651" s="16">
        <v>46283</v>
      </c>
      <c r="D3651">
        <v>2147.92</v>
      </c>
    </row>
    <row r="3652" spans="1:4" x14ac:dyDescent="0.3">
      <c r="A3652" t="s">
        <v>27</v>
      </c>
      <c r="C3652" s="16">
        <v>46283</v>
      </c>
      <c r="D3652">
        <v>17895.290000000015</v>
      </c>
    </row>
    <row r="3653" spans="1:4" x14ac:dyDescent="0.3">
      <c r="A3653" t="s">
        <v>28</v>
      </c>
      <c r="C3653" s="16">
        <v>46283</v>
      </c>
      <c r="D3653">
        <v>1968.99</v>
      </c>
    </row>
    <row r="3654" spans="1:4" x14ac:dyDescent="0.3">
      <c r="A3654" t="s">
        <v>29</v>
      </c>
      <c r="C3654" s="16">
        <v>46283</v>
      </c>
      <c r="D3654">
        <v>901.34</v>
      </c>
    </row>
    <row r="3655" spans="1:4" x14ac:dyDescent="0.3">
      <c r="A3655" t="s">
        <v>30</v>
      </c>
      <c r="C3655" s="16">
        <v>46283</v>
      </c>
      <c r="D3655">
        <v>1380.08</v>
      </c>
    </row>
    <row r="3656" spans="1:4" x14ac:dyDescent="0.3">
      <c r="A3656" t="s">
        <v>31</v>
      </c>
      <c r="C3656" s="16">
        <v>46283</v>
      </c>
      <c r="D3656">
        <v>30277.379999999961</v>
      </c>
    </row>
    <row r="3657" spans="1:4" x14ac:dyDescent="0.3">
      <c r="A3657" t="s">
        <v>32</v>
      </c>
      <c r="C3657" s="16">
        <v>46283</v>
      </c>
      <c r="D3657">
        <v>16282.630000000006</v>
      </c>
    </row>
    <row r="3658" spans="1:4" x14ac:dyDescent="0.3">
      <c r="A3658" t="s">
        <v>33</v>
      </c>
      <c r="C3658" s="16">
        <v>46283</v>
      </c>
      <c r="D3658">
        <v>13685.999999999996</v>
      </c>
    </row>
    <row r="3659" spans="1:4" x14ac:dyDescent="0.3">
      <c r="A3659" t="s">
        <v>34</v>
      </c>
      <c r="C3659" s="16">
        <v>46283</v>
      </c>
      <c r="D3659">
        <v>345</v>
      </c>
    </row>
    <row r="3660" spans="1:4" x14ac:dyDescent="0.3">
      <c r="A3660" t="s">
        <v>35</v>
      </c>
      <c r="C3660" s="16">
        <v>46283</v>
      </c>
      <c r="D3660">
        <v>16164.440000000002</v>
      </c>
    </row>
    <row r="3661" spans="1:4" x14ac:dyDescent="0.3">
      <c r="A3661" t="s">
        <v>193</v>
      </c>
      <c r="C3661" s="16">
        <v>46283</v>
      </c>
      <c r="D3661">
        <v>312415.12000000005</v>
      </c>
    </row>
    <row r="3662" spans="1:4" x14ac:dyDescent="0.3">
      <c r="A3662" t="s">
        <v>194</v>
      </c>
      <c r="C3662" s="16">
        <v>46283</v>
      </c>
      <c r="D3662">
        <v>107192.89000000001</v>
      </c>
    </row>
    <row r="3663" spans="1:4" x14ac:dyDescent="0.3">
      <c r="A3663" t="s">
        <v>195</v>
      </c>
      <c r="C3663" s="16">
        <v>46283</v>
      </c>
      <c r="D3663">
        <v>604.80000000000018</v>
      </c>
    </row>
    <row r="3664" spans="1:4" x14ac:dyDescent="0.3">
      <c r="A3664" t="s">
        <v>196</v>
      </c>
      <c r="C3664" s="16">
        <v>46283</v>
      </c>
      <c r="D3664">
        <v>26755.729999999981</v>
      </c>
    </row>
    <row r="3665" spans="1:4" x14ac:dyDescent="0.3">
      <c r="A3665" t="s">
        <v>197</v>
      </c>
      <c r="C3665" s="16">
        <v>46283</v>
      </c>
      <c r="D3665">
        <v>794.01</v>
      </c>
    </row>
    <row r="3666" spans="1:4" x14ac:dyDescent="0.3">
      <c r="A3666" t="s">
        <v>214</v>
      </c>
      <c r="C3666" s="16">
        <v>46283</v>
      </c>
      <c r="D3666">
        <v>5445.57</v>
      </c>
    </row>
    <row r="3667" spans="1:4" x14ac:dyDescent="0.3">
      <c r="A3667" t="s">
        <v>199</v>
      </c>
      <c r="C3667" s="16">
        <v>46283</v>
      </c>
      <c r="D3667">
        <v>240356.58</v>
      </c>
    </row>
    <row r="3668" spans="1:4" x14ac:dyDescent="0.3">
      <c r="A3668" t="s">
        <v>17</v>
      </c>
      <c r="C3668" s="16">
        <v>46284</v>
      </c>
      <c r="D3668">
        <v>2322320.2500000005</v>
      </c>
    </row>
    <row r="3669" spans="1:4" x14ac:dyDescent="0.3">
      <c r="A3669" t="s">
        <v>18</v>
      </c>
      <c r="C3669" s="16">
        <v>46284</v>
      </c>
      <c r="D3669">
        <v>100486.46000000017</v>
      </c>
    </row>
    <row r="3670" spans="1:4" x14ac:dyDescent="0.3">
      <c r="A3670" t="s">
        <v>19</v>
      </c>
      <c r="C3670" s="16">
        <v>46284</v>
      </c>
      <c r="D3670">
        <v>1669.89</v>
      </c>
    </row>
    <row r="3671" spans="1:4" x14ac:dyDescent="0.3">
      <c r="A3671" t="s">
        <v>20</v>
      </c>
      <c r="C3671" s="16">
        <v>46284</v>
      </c>
      <c r="D3671">
        <v>1425534.64</v>
      </c>
    </row>
    <row r="3672" spans="1:4" x14ac:dyDescent="0.3">
      <c r="A3672" t="s">
        <v>21</v>
      </c>
      <c r="C3672" s="16">
        <v>46284</v>
      </c>
      <c r="D3672">
        <v>1070478.5299999996</v>
      </c>
    </row>
    <row r="3673" spans="1:4" x14ac:dyDescent="0.3">
      <c r="A3673" t="s">
        <v>22</v>
      </c>
      <c r="C3673" s="16">
        <v>46284</v>
      </c>
      <c r="D3673">
        <v>229778.14</v>
      </c>
    </row>
    <row r="3674" spans="1:4" x14ac:dyDescent="0.3">
      <c r="A3674" t="s">
        <v>23</v>
      </c>
      <c r="C3674" s="16">
        <v>46284</v>
      </c>
      <c r="D3674">
        <v>217688.58</v>
      </c>
    </row>
    <row r="3675" spans="1:4" x14ac:dyDescent="0.3">
      <c r="A3675" t="s">
        <v>24</v>
      </c>
      <c r="C3675" s="16">
        <v>46284</v>
      </c>
      <c r="D3675">
        <v>11744.75</v>
      </c>
    </row>
    <row r="3676" spans="1:4" x14ac:dyDescent="0.3">
      <c r="A3676" t="s">
        <v>25</v>
      </c>
      <c r="C3676" s="16">
        <v>46284</v>
      </c>
      <c r="D3676">
        <v>94.5</v>
      </c>
    </row>
    <row r="3677" spans="1:4" x14ac:dyDescent="0.3">
      <c r="A3677" t="s">
        <v>26</v>
      </c>
      <c r="C3677" s="16">
        <v>46284</v>
      </c>
      <c r="D3677">
        <v>2147.92</v>
      </c>
    </row>
    <row r="3678" spans="1:4" x14ac:dyDescent="0.3">
      <c r="A3678" t="s">
        <v>27</v>
      </c>
      <c r="C3678" s="16">
        <v>46284</v>
      </c>
      <c r="D3678">
        <v>17895.290000000015</v>
      </c>
    </row>
    <row r="3679" spans="1:4" x14ac:dyDescent="0.3">
      <c r="A3679" t="s">
        <v>28</v>
      </c>
      <c r="C3679" s="16">
        <v>46284</v>
      </c>
      <c r="D3679">
        <v>1968.99</v>
      </c>
    </row>
    <row r="3680" spans="1:4" x14ac:dyDescent="0.3">
      <c r="A3680" t="s">
        <v>29</v>
      </c>
      <c r="C3680" s="16">
        <v>46284</v>
      </c>
      <c r="D3680">
        <v>901.34</v>
      </c>
    </row>
    <row r="3681" spans="1:4" x14ac:dyDescent="0.3">
      <c r="A3681" t="s">
        <v>30</v>
      </c>
      <c r="C3681" s="16">
        <v>46284</v>
      </c>
      <c r="D3681">
        <v>1380.08</v>
      </c>
    </row>
    <row r="3682" spans="1:4" x14ac:dyDescent="0.3">
      <c r="A3682" t="s">
        <v>31</v>
      </c>
      <c r="C3682" s="16">
        <v>46284</v>
      </c>
      <c r="D3682">
        <v>30277.379999999961</v>
      </c>
    </row>
    <row r="3683" spans="1:4" x14ac:dyDescent="0.3">
      <c r="A3683" t="s">
        <v>32</v>
      </c>
      <c r="C3683" s="16">
        <v>46284</v>
      </c>
      <c r="D3683">
        <v>16282.630000000006</v>
      </c>
    </row>
    <row r="3684" spans="1:4" x14ac:dyDescent="0.3">
      <c r="A3684" t="s">
        <v>33</v>
      </c>
      <c r="C3684" s="16">
        <v>46284</v>
      </c>
      <c r="D3684">
        <v>13685.999999999996</v>
      </c>
    </row>
    <row r="3685" spans="1:4" x14ac:dyDescent="0.3">
      <c r="A3685" t="s">
        <v>34</v>
      </c>
      <c r="C3685" s="16">
        <v>46284</v>
      </c>
      <c r="D3685">
        <v>345</v>
      </c>
    </row>
    <row r="3686" spans="1:4" x14ac:dyDescent="0.3">
      <c r="A3686" t="s">
        <v>35</v>
      </c>
      <c r="C3686" s="16">
        <v>46284</v>
      </c>
      <c r="D3686">
        <v>16164.440000000002</v>
      </c>
    </row>
    <row r="3687" spans="1:4" x14ac:dyDescent="0.3">
      <c r="A3687" t="s">
        <v>193</v>
      </c>
      <c r="C3687" s="16">
        <v>46284</v>
      </c>
      <c r="D3687">
        <v>312415.12000000005</v>
      </c>
    </row>
    <row r="3688" spans="1:4" x14ac:dyDescent="0.3">
      <c r="A3688" t="s">
        <v>194</v>
      </c>
      <c r="C3688" s="16">
        <v>46284</v>
      </c>
      <c r="D3688">
        <v>107192.89000000001</v>
      </c>
    </row>
    <row r="3689" spans="1:4" x14ac:dyDescent="0.3">
      <c r="A3689" t="s">
        <v>195</v>
      </c>
      <c r="C3689" s="16">
        <v>46284</v>
      </c>
      <c r="D3689">
        <v>604.80000000000018</v>
      </c>
    </row>
    <row r="3690" spans="1:4" x14ac:dyDescent="0.3">
      <c r="A3690" t="s">
        <v>196</v>
      </c>
      <c r="C3690" s="16">
        <v>46284</v>
      </c>
      <c r="D3690">
        <v>26755.729999999981</v>
      </c>
    </row>
    <row r="3691" spans="1:4" x14ac:dyDescent="0.3">
      <c r="A3691" t="s">
        <v>197</v>
      </c>
      <c r="C3691" s="16">
        <v>46284</v>
      </c>
      <c r="D3691">
        <v>794.01</v>
      </c>
    </row>
    <row r="3692" spans="1:4" x14ac:dyDescent="0.3">
      <c r="A3692" t="s">
        <v>214</v>
      </c>
      <c r="C3692" s="16">
        <v>46284</v>
      </c>
      <c r="D3692">
        <v>5445.57</v>
      </c>
    </row>
    <row r="3693" spans="1:4" x14ac:dyDescent="0.3">
      <c r="A3693" t="s">
        <v>199</v>
      </c>
      <c r="C3693" s="16">
        <v>46284</v>
      </c>
      <c r="D3693">
        <v>240356.58</v>
      </c>
    </row>
    <row r="3694" spans="1:4" x14ac:dyDescent="0.3">
      <c r="A3694" t="s">
        <v>17</v>
      </c>
      <c r="C3694" s="16">
        <v>46285</v>
      </c>
      <c r="D3694">
        <v>2322320.2500000005</v>
      </c>
    </row>
    <row r="3695" spans="1:4" x14ac:dyDescent="0.3">
      <c r="A3695" t="s">
        <v>18</v>
      </c>
      <c r="C3695" s="16">
        <v>46285</v>
      </c>
      <c r="D3695">
        <v>100486.46000000017</v>
      </c>
    </row>
    <row r="3696" spans="1:4" x14ac:dyDescent="0.3">
      <c r="A3696" t="s">
        <v>19</v>
      </c>
      <c r="C3696" s="16">
        <v>46285</v>
      </c>
      <c r="D3696">
        <v>1669.89</v>
      </c>
    </row>
    <row r="3697" spans="1:4" x14ac:dyDescent="0.3">
      <c r="A3697" t="s">
        <v>20</v>
      </c>
      <c r="C3697" s="16">
        <v>46285</v>
      </c>
      <c r="D3697">
        <v>1425534.64</v>
      </c>
    </row>
    <row r="3698" spans="1:4" x14ac:dyDescent="0.3">
      <c r="A3698" t="s">
        <v>21</v>
      </c>
      <c r="C3698" s="16">
        <v>46285</v>
      </c>
      <c r="D3698">
        <v>1070478.5299999996</v>
      </c>
    </row>
    <row r="3699" spans="1:4" x14ac:dyDescent="0.3">
      <c r="A3699" t="s">
        <v>22</v>
      </c>
      <c r="C3699" s="16">
        <v>46285</v>
      </c>
      <c r="D3699">
        <v>229778.14</v>
      </c>
    </row>
    <row r="3700" spans="1:4" x14ac:dyDescent="0.3">
      <c r="A3700" t="s">
        <v>23</v>
      </c>
      <c r="C3700" s="16">
        <v>46285</v>
      </c>
      <c r="D3700">
        <v>217688.58</v>
      </c>
    </row>
    <row r="3701" spans="1:4" x14ac:dyDescent="0.3">
      <c r="A3701" t="s">
        <v>24</v>
      </c>
      <c r="C3701" s="16">
        <v>46285</v>
      </c>
      <c r="D3701">
        <v>11744.75</v>
      </c>
    </row>
    <row r="3702" spans="1:4" x14ac:dyDescent="0.3">
      <c r="A3702" t="s">
        <v>25</v>
      </c>
      <c r="C3702" s="16">
        <v>46285</v>
      </c>
      <c r="D3702">
        <v>94.5</v>
      </c>
    </row>
    <row r="3703" spans="1:4" x14ac:dyDescent="0.3">
      <c r="A3703" t="s">
        <v>26</v>
      </c>
      <c r="C3703" s="16">
        <v>46285</v>
      </c>
      <c r="D3703">
        <v>2147.92</v>
      </c>
    </row>
    <row r="3704" spans="1:4" x14ac:dyDescent="0.3">
      <c r="A3704" t="s">
        <v>27</v>
      </c>
      <c r="C3704" s="16">
        <v>46285</v>
      </c>
      <c r="D3704">
        <v>17895.290000000015</v>
      </c>
    </row>
    <row r="3705" spans="1:4" x14ac:dyDescent="0.3">
      <c r="A3705" t="s">
        <v>28</v>
      </c>
      <c r="C3705" s="16">
        <v>46285</v>
      </c>
      <c r="D3705">
        <v>1968.99</v>
      </c>
    </row>
    <row r="3706" spans="1:4" x14ac:dyDescent="0.3">
      <c r="A3706" t="s">
        <v>29</v>
      </c>
      <c r="C3706" s="16">
        <v>46285</v>
      </c>
      <c r="D3706">
        <v>901.34</v>
      </c>
    </row>
    <row r="3707" spans="1:4" x14ac:dyDescent="0.3">
      <c r="A3707" t="s">
        <v>30</v>
      </c>
      <c r="C3707" s="16">
        <v>46285</v>
      </c>
      <c r="D3707">
        <v>1380.08</v>
      </c>
    </row>
    <row r="3708" spans="1:4" x14ac:dyDescent="0.3">
      <c r="A3708" t="s">
        <v>31</v>
      </c>
      <c r="C3708" s="16">
        <v>46285</v>
      </c>
      <c r="D3708">
        <v>30277.379999999961</v>
      </c>
    </row>
    <row r="3709" spans="1:4" x14ac:dyDescent="0.3">
      <c r="A3709" t="s">
        <v>32</v>
      </c>
      <c r="C3709" s="16">
        <v>46285</v>
      </c>
      <c r="D3709">
        <v>16282.630000000006</v>
      </c>
    </row>
    <row r="3710" spans="1:4" x14ac:dyDescent="0.3">
      <c r="A3710" t="s">
        <v>33</v>
      </c>
      <c r="C3710" s="16">
        <v>46285</v>
      </c>
      <c r="D3710">
        <v>13685.999999999996</v>
      </c>
    </row>
    <row r="3711" spans="1:4" x14ac:dyDescent="0.3">
      <c r="A3711" t="s">
        <v>34</v>
      </c>
      <c r="C3711" s="16">
        <v>46285</v>
      </c>
      <c r="D3711">
        <v>345</v>
      </c>
    </row>
    <row r="3712" spans="1:4" x14ac:dyDescent="0.3">
      <c r="A3712" t="s">
        <v>35</v>
      </c>
      <c r="C3712" s="16">
        <v>46285</v>
      </c>
      <c r="D3712">
        <v>16164.440000000002</v>
      </c>
    </row>
    <row r="3713" spans="1:4" x14ac:dyDescent="0.3">
      <c r="A3713" t="s">
        <v>193</v>
      </c>
      <c r="C3713" s="16">
        <v>46285</v>
      </c>
      <c r="D3713">
        <v>312415.12000000005</v>
      </c>
    </row>
    <row r="3714" spans="1:4" x14ac:dyDescent="0.3">
      <c r="A3714" t="s">
        <v>194</v>
      </c>
      <c r="C3714" s="16">
        <v>46285</v>
      </c>
      <c r="D3714">
        <v>107192.89000000001</v>
      </c>
    </row>
    <row r="3715" spans="1:4" x14ac:dyDescent="0.3">
      <c r="A3715" t="s">
        <v>195</v>
      </c>
      <c r="C3715" s="16">
        <v>46285</v>
      </c>
      <c r="D3715">
        <v>604.80000000000018</v>
      </c>
    </row>
    <row r="3716" spans="1:4" x14ac:dyDescent="0.3">
      <c r="A3716" t="s">
        <v>196</v>
      </c>
      <c r="C3716" s="16">
        <v>46285</v>
      </c>
      <c r="D3716">
        <v>26755.729999999981</v>
      </c>
    </row>
    <row r="3717" spans="1:4" x14ac:dyDescent="0.3">
      <c r="A3717" t="s">
        <v>197</v>
      </c>
      <c r="C3717" s="16">
        <v>46285</v>
      </c>
      <c r="D3717">
        <v>794.01</v>
      </c>
    </row>
    <row r="3718" spans="1:4" x14ac:dyDescent="0.3">
      <c r="A3718" t="s">
        <v>214</v>
      </c>
      <c r="C3718" s="16">
        <v>46285</v>
      </c>
      <c r="D3718">
        <v>5445.57</v>
      </c>
    </row>
    <row r="3719" spans="1:4" x14ac:dyDescent="0.3">
      <c r="A3719" t="s">
        <v>199</v>
      </c>
      <c r="C3719" s="16">
        <v>46285</v>
      </c>
      <c r="D3719">
        <v>240356.58</v>
      </c>
    </row>
    <row r="3720" spans="1:4" x14ac:dyDescent="0.3">
      <c r="A3720" t="s">
        <v>17</v>
      </c>
      <c r="C3720" s="16">
        <v>46286</v>
      </c>
      <c r="D3720">
        <v>2322320.2500000005</v>
      </c>
    </row>
    <row r="3721" spans="1:4" x14ac:dyDescent="0.3">
      <c r="A3721" t="s">
        <v>18</v>
      </c>
      <c r="C3721" s="16">
        <v>46286</v>
      </c>
      <c r="D3721">
        <v>100486.46000000017</v>
      </c>
    </row>
    <row r="3722" spans="1:4" x14ac:dyDescent="0.3">
      <c r="A3722" t="s">
        <v>19</v>
      </c>
      <c r="C3722" s="16">
        <v>46286</v>
      </c>
      <c r="D3722">
        <v>1669.89</v>
      </c>
    </row>
    <row r="3723" spans="1:4" x14ac:dyDescent="0.3">
      <c r="A3723" t="s">
        <v>20</v>
      </c>
      <c r="C3723" s="16">
        <v>46286</v>
      </c>
      <c r="D3723">
        <v>1453603.3599999999</v>
      </c>
    </row>
    <row r="3724" spans="1:4" x14ac:dyDescent="0.3">
      <c r="A3724" t="s">
        <v>21</v>
      </c>
      <c r="C3724" s="16">
        <v>46286</v>
      </c>
      <c r="D3724">
        <v>1066496.7899999996</v>
      </c>
    </row>
    <row r="3725" spans="1:4" x14ac:dyDescent="0.3">
      <c r="A3725" t="s">
        <v>22</v>
      </c>
      <c r="C3725" s="16">
        <v>46286</v>
      </c>
      <c r="D3725">
        <v>229778.14</v>
      </c>
    </row>
    <row r="3726" spans="1:4" x14ac:dyDescent="0.3">
      <c r="A3726" t="s">
        <v>23</v>
      </c>
      <c r="C3726" s="16">
        <v>46286</v>
      </c>
      <c r="D3726">
        <v>217688.58</v>
      </c>
    </row>
    <row r="3727" spans="1:4" x14ac:dyDescent="0.3">
      <c r="A3727" t="s">
        <v>24</v>
      </c>
      <c r="C3727" s="16">
        <v>46286</v>
      </c>
      <c r="D3727">
        <v>11744.75</v>
      </c>
    </row>
    <row r="3728" spans="1:4" x14ac:dyDescent="0.3">
      <c r="A3728" t="s">
        <v>25</v>
      </c>
      <c r="C3728" s="16">
        <v>46286</v>
      </c>
      <c r="D3728">
        <v>94.5</v>
      </c>
    </row>
    <row r="3729" spans="1:4" x14ac:dyDescent="0.3">
      <c r="A3729" t="s">
        <v>26</v>
      </c>
      <c r="C3729" s="16">
        <v>46286</v>
      </c>
      <c r="D3729">
        <v>2147.92</v>
      </c>
    </row>
    <row r="3730" spans="1:4" x14ac:dyDescent="0.3">
      <c r="A3730" t="s">
        <v>27</v>
      </c>
      <c r="C3730" s="16">
        <v>46286</v>
      </c>
      <c r="D3730">
        <v>17895.290000000015</v>
      </c>
    </row>
    <row r="3731" spans="1:4" x14ac:dyDescent="0.3">
      <c r="A3731" t="s">
        <v>28</v>
      </c>
      <c r="C3731" s="16">
        <v>46286</v>
      </c>
      <c r="D3731">
        <v>1968.99</v>
      </c>
    </row>
    <row r="3732" spans="1:4" x14ac:dyDescent="0.3">
      <c r="A3732" t="s">
        <v>29</v>
      </c>
      <c r="C3732" s="16">
        <v>46286</v>
      </c>
      <c r="D3732">
        <v>901.34</v>
      </c>
    </row>
    <row r="3733" spans="1:4" x14ac:dyDescent="0.3">
      <c r="A3733" t="s">
        <v>30</v>
      </c>
      <c r="C3733" s="16">
        <v>46286</v>
      </c>
      <c r="D3733">
        <v>1380.08</v>
      </c>
    </row>
    <row r="3734" spans="1:4" x14ac:dyDescent="0.3">
      <c r="A3734" t="s">
        <v>31</v>
      </c>
      <c r="C3734" s="16">
        <v>46286</v>
      </c>
      <c r="D3734">
        <v>30277.379999999961</v>
      </c>
    </row>
    <row r="3735" spans="1:4" x14ac:dyDescent="0.3">
      <c r="A3735" t="s">
        <v>32</v>
      </c>
      <c r="C3735" s="16">
        <v>46286</v>
      </c>
      <c r="D3735">
        <v>16282.630000000006</v>
      </c>
    </row>
    <row r="3736" spans="1:4" x14ac:dyDescent="0.3">
      <c r="A3736" t="s">
        <v>33</v>
      </c>
      <c r="C3736" s="16">
        <v>46286</v>
      </c>
      <c r="D3736">
        <v>13685.999999999996</v>
      </c>
    </row>
    <row r="3737" spans="1:4" x14ac:dyDescent="0.3">
      <c r="A3737" t="s">
        <v>34</v>
      </c>
      <c r="C3737" s="16">
        <v>46286</v>
      </c>
      <c r="D3737">
        <v>345</v>
      </c>
    </row>
    <row r="3738" spans="1:4" x14ac:dyDescent="0.3">
      <c r="A3738" t="s">
        <v>35</v>
      </c>
      <c r="C3738" s="16">
        <v>46286</v>
      </c>
      <c r="D3738">
        <v>15392.970000000001</v>
      </c>
    </row>
    <row r="3739" spans="1:4" x14ac:dyDescent="0.3">
      <c r="A3739" t="s">
        <v>193</v>
      </c>
      <c r="C3739" s="16">
        <v>46286</v>
      </c>
      <c r="D3739">
        <v>312415.12000000005</v>
      </c>
    </row>
    <row r="3740" spans="1:4" x14ac:dyDescent="0.3">
      <c r="A3740" t="s">
        <v>194</v>
      </c>
      <c r="C3740" s="16">
        <v>46286</v>
      </c>
      <c r="D3740">
        <v>107192.89000000001</v>
      </c>
    </row>
    <row r="3741" spans="1:4" x14ac:dyDescent="0.3">
      <c r="A3741" t="s">
        <v>195</v>
      </c>
      <c r="C3741" s="16">
        <v>46286</v>
      </c>
      <c r="D3741">
        <v>604.80000000000018</v>
      </c>
    </row>
    <row r="3742" spans="1:4" x14ac:dyDescent="0.3">
      <c r="A3742" t="s">
        <v>196</v>
      </c>
      <c r="C3742" s="16">
        <v>46286</v>
      </c>
      <c r="D3742">
        <v>25507.15999999996</v>
      </c>
    </row>
    <row r="3743" spans="1:4" x14ac:dyDescent="0.3">
      <c r="A3743" t="s">
        <v>197</v>
      </c>
      <c r="C3743" s="16">
        <v>46286</v>
      </c>
      <c r="D3743">
        <v>794.01</v>
      </c>
    </row>
    <row r="3744" spans="1:4" x14ac:dyDescent="0.3">
      <c r="A3744" t="s">
        <v>214</v>
      </c>
      <c r="C3744" s="16">
        <v>46286</v>
      </c>
      <c r="D3744">
        <v>5445.57</v>
      </c>
    </row>
    <row r="3745" spans="1:4" x14ac:dyDescent="0.3">
      <c r="A3745" t="s">
        <v>199</v>
      </c>
      <c r="C3745" s="16">
        <v>46286</v>
      </c>
      <c r="D3745">
        <v>239950.84</v>
      </c>
    </row>
    <row r="3746" spans="1:4" x14ac:dyDescent="0.3">
      <c r="A3746" t="s">
        <v>17</v>
      </c>
      <c r="C3746" s="16">
        <v>46287</v>
      </c>
      <c r="D3746">
        <v>2322320.2500000005</v>
      </c>
    </row>
    <row r="3747" spans="1:4" x14ac:dyDescent="0.3">
      <c r="A3747" t="s">
        <v>18</v>
      </c>
      <c r="C3747" s="16">
        <v>46287</v>
      </c>
      <c r="D3747">
        <v>100486.46000000017</v>
      </c>
    </row>
    <row r="3748" spans="1:4" x14ac:dyDescent="0.3">
      <c r="A3748" t="s">
        <v>19</v>
      </c>
      <c r="C3748" s="16">
        <v>46287</v>
      </c>
      <c r="D3748">
        <v>1669.89</v>
      </c>
    </row>
    <row r="3749" spans="1:4" x14ac:dyDescent="0.3">
      <c r="A3749" t="s">
        <v>20</v>
      </c>
      <c r="C3749" s="16">
        <v>46287</v>
      </c>
      <c r="D3749">
        <v>1453603.3599999999</v>
      </c>
    </row>
    <row r="3750" spans="1:4" x14ac:dyDescent="0.3">
      <c r="A3750" t="s">
        <v>21</v>
      </c>
      <c r="C3750" s="16">
        <v>46287</v>
      </c>
      <c r="D3750">
        <v>1065733.7999999996</v>
      </c>
    </row>
    <row r="3751" spans="1:4" x14ac:dyDescent="0.3">
      <c r="A3751" t="s">
        <v>22</v>
      </c>
      <c r="C3751" s="16">
        <v>46287</v>
      </c>
      <c r="D3751">
        <v>229778.14</v>
      </c>
    </row>
    <row r="3752" spans="1:4" x14ac:dyDescent="0.3">
      <c r="A3752" t="s">
        <v>23</v>
      </c>
      <c r="C3752" s="16">
        <v>46287</v>
      </c>
      <c r="D3752">
        <v>217688.58</v>
      </c>
    </row>
    <row r="3753" spans="1:4" x14ac:dyDescent="0.3">
      <c r="A3753" t="s">
        <v>24</v>
      </c>
      <c r="C3753" s="16">
        <v>46287</v>
      </c>
      <c r="D3753">
        <v>11744.75</v>
      </c>
    </row>
    <row r="3754" spans="1:4" x14ac:dyDescent="0.3">
      <c r="A3754" t="s">
        <v>25</v>
      </c>
      <c r="C3754" s="16">
        <v>46287</v>
      </c>
      <c r="D3754">
        <v>94.5</v>
      </c>
    </row>
    <row r="3755" spans="1:4" x14ac:dyDescent="0.3">
      <c r="A3755" t="s">
        <v>26</v>
      </c>
      <c r="C3755" s="16">
        <v>46287</v>
      </c>
      <c r="D3755">
        <v>2147.92</v>
      </c>
    </row>
    <row r="3756" spans="1:4" x14ac:dyDescent="0.3">
      <c r="A3756" t="s">
        <v>27</v>
      </c>
      <c r="C3756" s="16">
        <v>46287</v>
      </c>
      <c r="D3756">
        <v>17895.290000000015</v>
      </c>
    </row>
    <row r="3757" spans="1:4" x14ac:dyDescent="0.3">
      <c r="A3757" t="s">
        <v>28</v>
      </c>
      <c r="C3757" s="16">
        <v>46287</v>
      </c>
      <c r="D3757">
        <v>1968.99</v>
      </c>
    </row>
    <row r="3758" spans="1:4" x14ac:dyDescent="0.3">
      <c r="A3758" t="s">
        <v>29</v>
      </c>
      <c r="C3758" s="16">
        <v>46287</v>
      </c>
      <c r="D3758">
        <v>901.34</v>
      </c>
    </row>
    <row r="3759" spans="1:4" x14ac:dyDescent="0.3">
      <c r="A3759" t="s">
        <v>30</v>
      </c>
      <c r="C3759" s="16">
        <v>46287</v>
      </c>
      <c r="D3759">
        <v>1380.08</v>
      </c>
    </row>
    <row r="3760" spans="1:4" x14ac:dyDescent="0.3">
      <c r="A3760" t="s">
        <v>31</v>
      </c>
      <c r="C3760" s="16">
        <v>46287</v>
      </c>
      <c r="D3760">
        <v>28714.879999999961</v>
      </c>
    </row>
    <row r="3761" spans="1:4" x14ac:dyDescent="0.3">
      <c r="A3761" t="s">
        <v>32</v>
      </c>
      <c r="C3761" s="16">
        <v>46287</v>
      </c>
      <c r="D3761">
        <v>15162.600000000006</v>
      </c>
    </row>
    <row r="3762" spans="1:4" x14ac:dyDescent="0.3">
      <c r="A3762" t="s">
        <v>33</v>
      </c>
      <c r="C3762" s="16">
        <v>46287</v>
      </c>
      <c r="D3762">
        <v>12937.859999999997</v>
      </c>
    </row>
    <row r="3763" spans="1:4" x14ac:dyDescent="0.3">
      <c r="A3763" t="s">
        <v>34</v>
      </c>
      <c r="C3763" s="16">
        <v>46287</v>
      </c>
      <c r="D3763">
        <v>345</v>
      </c>
    </row>
    <row r="3764" spans="1:4" x14ac:dyDescent="0.3">
      <c r="A3764" t="s">
        <v>35</v>
      </c>
      <c r="C3764" s="16">
        <v>46287</v>
      </c>
      <c r="D3764">
        <v>15392.970000000001</v>
      </c>
    </row>
    <row r="3765" spans="1:4" x14ac:dyDescent="0.3">
      <c r="A3765" t="s">
        <v>193</v>
      </c>
      <c r="C3765" s="16">
        <v>46287</v>
      </c>
      <c r="D3765">
        <v>312415.12000000005</v>
      </c>
    </row>
    <row r="3766" spans="1:4" x14ac:dyDescent="0.3">
      <c r="A3766" t="s">
        <v>194</v>
      </c>
      <c r="C3766" s="16">
        <v>46287</v>
      </c>
      <c r="D3766">
        <v>107192.89000000001</v>
      </c>
    </row>
    <row r="3767" spans="1:4" x14ac:dyDescent="0.3">
      <c r="A3767" t="s">
        <v>195</v>
      </c>
      <c r="C3767" s="16">
        <v>46287</v>
      </c>
      <c r="D3767">
        <v>604.80000000000018</v>
      </c>
    </row>
    <row r="3768" spans="1:4" x14ac:dyDescent="0.3">
      <c r="A3768" t="s">
        <v>196</v>
      </c>
      <c r="C3768" s="16">
        <v>46287</v>
      </c>
      <c r="D3768">
        <v>24944.219999999972</v>
      </c>
    </row>
    <row r="3769" spans="1:4" x14ac:dyDescent="0.3">
      <c r="A3769" t="s">
        <v>197</v>
      </c>
      <c r="C3769" s="16">
        <v>46287</v>
      </c>
      <c r="D3769">
        <v>794.01</v>
      </c>
    </row>
    <row r="3770" spans="1:4" x14ac:dyDescent="0.3">
      <c r="A3770" t="s">
        <v>214</v>
      </c>
      <c r="C3770" s="16">
        <v>46287</v>
      </c>
      <c r="D3770">
        <v>5445.57</v>
      </c>
    </row>
    <row r="3771" spans="1:4" x14ac:dyDescent="0.3">
      <c r="A3771" t="s">
        <v>199</v>
      </c>
      <c r="C3771" s="16">
        <v>46287</v>
      </c>
      <c r="D3771">
        <v>234193.16999999998</v>
      </c>
    </row>
    <row r="3772" spans="1:4" x14ac:dyDescent="0.3">
      <c r="A3772" t="s">
        <v>17</v>
      </c>
      <c r="C3772" s="16">
        <v>46288</v>
      </c>
      <c r="D3772">
        <v>2322320.2500000005</v>
      </c>
    </row>
    <row r="3773" spans="1:4" x14ac:dyDescent="0.3">
      <c r="A3773" t="s">
        <v>18</v>
      </c>
      <c r="C3773" s="16">
        <v>46288</v>
      </c>
      <c r="D3773">
        <v>100486.46000000017</v>
      </c>
    </row>
    <row r="3774" spans="1:4" x14ac:dyDescent="0.3">
      <c r="A3774" t="s">
        <v>19</v>
      </c>
      <c r="C3774" s="16">
        <v>46288</v>
      </c>
      <c r="D3774">
        <v>1669.89</v>
      </c>
    </row>
    <row r="3775" spans="1:4" x14ac:dyDescent="0.3">
      <c r="A3775" t="s">
        <v>20</v>
      </c>
      <c r="C3775" s="16">
        <v>46288</v>
      </c>
      <c r="D3775">
        <v>1453603.3599999999</v>
      </c>
    </row>
    <row r="3776" spans="1:4" x14ac:dyDescent="0.3">
      <c r="A3776" t="s">
        <v>21</v>
      </c>
      <c r="C3776" s="16">
        <v>46288</v>
      </c>
      <c r="D3776">
        <v>1065733.7999999996</v>
      </c>
    </row>
    <row r="3777" spans="1:4" x14ac:dyDescent="0.3">
      <c r="A3777" t="s">
        <v>22</v>
      </c>
      <c r="C3777" s="16">
        <v>46288</v>
      </c>
      <c r="D3777">
        <v>229778.14</v>
      </c>
    </row>
    <row r="3778" spans="1:4" x14ac:dyDescent="0.3">
      <c r="A3778" t="s">
        <v>23</v>
      </c>
      <c r="C3778" s="16">
        <v>46288</v>
      </c>
      <c r="D3778">
        <v>217688.58</v>
      </c>
    </row>
    <row r="3779" spans="1:4" x14ac:dyDescent="0.3">
      <c r="A3779" t="s">
        <v>24</v>
      </c>
      <c r="C3779" s="16">
        <v>46288</v>
      </c>
      <c r="D3779">
        <v>11744.75</v>
      </c>
    </row>
    <row r="3780" spans="1:4" x14ac:dyDescent="0.3">
      <c r="A3780" t="s">
        <v>25</v>
      </c>
      <c r="C3780" s="16">
        <v>46288</v>
      </c>
      <c r="D3780">
        <v>94.5</v>
      </c>
    </row>
    <row r="3781" spans="1:4" x14ac:dyDescent="0.3">
      <c r="A3781" t="s">
        <v>26</v>
      </c>
      <c r="C3781" s="16">
        <v>46288</v>
      </c>
      <c r="D3781">
        <v>2147.92</v>
      </c>
    </row>
    <row r="3782" spans="1:4" x14ac:dyDescent="0.3">
      <c r="A3782" t="s">
        <v>27</v>
      </c>
      <c r="C3782" s="16">
        <v>46288</v>
      </c>
      <c r="D3782">
        <v>17895.290000000015</v>
      </c>
    </row>
    <row r="3783" spans="1:4" x14ac:dyDescent="0.3">
      <c r="A3783" t="s">
        <v>28</v>
      </c>
      <c r="C3783" s="16">
        <v>46288</v>
      </c>
      <c r="D3783">
        <v>1968.99</v>
      </c>
    </row>
    <row r="3784" spans="1:4" x14ac:dyDescent="0.3">
      <c r="A3784" t="s">
        <v>29</v>
      </c>
      <c r="C3784" s="16">
        <v>46288</v>
      </c>
      <c r="D3784">
        <v>901.34</v>
      </c>
    </row>
    <row r="3785" spans="1:4" x14ac:dyDescent="0.3">
      <c r="A3785" t="s">
        <v>30</v>
      </c>
      <c r="C3785" s="16">
        <v>46288</v>
      </c>
      <c r="D3785">
        <v>1380.08</v>
      </c>
    </row>
    <row r="3786" spans="1:4" x14ac:dyDescent="0.3">
      <c r="A3786" t="s">
        <v>31</v>
      </c>
      <c r="C3786" s="16">
        <v>46288</v>
      </c>
      <c r="D3786">
        <v>28714.879999999961</v>
      </c>
    </row>
    <row r="3787" spans="1:4" x14ac:dyDescent="0.3">
      <c r="A3787" t="s">
        <v>32</v>
      </c>
      <c r="C3787" s="16">
        <v>46288</v>
      </c>
      <c r="D3787">
        <v>15162.600000000006</v>
      </c>
    </row>
    <row r="3788" spans="1:4" x14ac:dyDescent="0.3">
      <c r="A3788" t="s">
        <v>33</v>
      </c>
      <c r="C3788" s="16">
        <v>46288</v>
      </c>
      <c r="D3788">
        <v>12937.859999999997</v>
      </c>
    </row>
    <row r="3789" spans="1:4" x14ac:dyDescent="0.3">
      <c r="A3789" t="s">
        <v>34</v>
      </c>
      <c r="C3789" s="16">
        <v>46288</v>
      </c>
      <c r="D3789">
        <v>345</v>
      </c>
    </row>
    <row r="3790" spans="1:4" x14ac:dyDescent="0.3">
      <c r="A3790" t="s">
        <v>35</v>
      </c>
      <c r="C3790" s="16">
        <v>46288</v>
      </c>
      <c r="D3790">
        <v>15392.970000000001</v>
      </c>
    </row>
    <row r="3791" spans="1:4" x14ac:dyDescent="0.3">
      <c r="A3791" t="s">
        <v>193</v>
      </c>
      <c r="C3791" s="16">
        <v>46288</v>
      </c>
      <c r="D3791">
        <v>312415.12000000005</v>
      </c>
    </row>
    <row r="3792" spans="1:4" x14ac:dyDescent="0.3">
      <c r="A3792" t="s">
        <v>194</v>
      </c>
      <c r="C3792" s="16">
        <v>46288</v>
      </c>
      <c r="D3792">
        <v>107192.89000000001</v>
      </c>
    </row>
    <row r="3793" spans="1:4" x14ac:dyDescent="0.3">
      <c r="A3793" t="s">
        <v>195</v>
      </c>
      <c r="C3793" s="16">
        <v>46288</v>
      </c>
      <c r="D3793">
        <v>604.80000000000018</v>
      </c>
    </row>
    <row r="3794" spans="1:4" x14ac:dyDescent="0.3">
      <c r="A3794" t="s">
        <v>196</v>
      </c>
      <c r="C3794" s="16">
        <v>46288</v>
      </c>
      <c r="D3794">
        <v>24944.219999999972</v>
      </c>
    </row>
    <row r="3795" spans="1:4" x14ac:dyDescent="0.3">
      <c r="A3795" t="s">
        <v>197</v>
      </c>
      <c r="C3795" s="16">
        <v>46288</v>
      </c>
      <c r="D3795">
        <v>794.01</v>
      </c>
    </row>
    <row r="3796" spans="1:4" x14ac:dyDescent="0.3">
      <c r="A3796" t="s">
        <v>214</v>
      </c>
      <c r="C3796" s="16">
        <v>46288</v>
      </c>
      <c r="D3796">
        <v>5445.57</v>
      </c>
    </row>
    <row r="3797" spans="1:4" x14ac:dyDescent="0.3">
      <c r="A3797" t="s">
        <v>199</v>
      </c>
      <c r="C3797" s="16">
        <v>46288</v>
      </c>
      <c r="D3797">
        <v>236093.16999999998</v>
      </c>
    </row>
    <row r="3798" spans="1:4" x14ac:dyDescent="0.3">
      <c r="A3798" t="s">
        <v>17</v>
      </c>
      <c r="C3798" s="16">
        <v>46289</v>
      </c>
      <c r="D3798">
        <v>2322320.2500000005</v>
      </c>
    </row>
    <row r="3799" spans="1:4" x14ac:dyDescent="0.3">
      <c r="A3799" t="s">
        <v>18</v>
      </c>
      <c r="C3799" s="16">
        <v>46289</v>
      </c>
      <c r="D3799">
        <v>100486.46000000017</v>
      </c>
    </row>
    <row r="3800" spans="1:4" x14ac:dyDescent="0.3">
      <c r="A3800" t="s">
        <v>19</v>
      </c>
      <c r="C3800" s="16">
        <v>46289</v>
      </c>
      <c r="D3800">
        <v>1669.89</v>
      </c>
    </row>
    <row r="3801" spans="1:4" x14ac:dyDescent="0.3">
      <c r="A3801" t="s">
        <v>20</v>
      </c>
      <c r="C3801" s="16">
        <v>46289</v>
      </c>
      <c r="D3801">
        <v>1453603.3599999999</v>
      </c>
    </row>
    <row r="3802" spans="1:4" x14ac:dyDescent="0.3">
      <c r="A3802" t="s">
        <v>21</v>
      </c>
      <c r="C3802" s="16">
        <v>46289</v>
      </c>
      <c r="D3802">
        <v>1065733.7999999996</v>
      </c>
    </row>
    <row r="3803" spans="1:4" x14ac:dyDescent="0.3">
      <c r="A3803" t="s">
        <v>22</v>
      </c>
      <c r="C3803" s="16">
        <v>46289</v>
      </c>
      <c r="D3803">
        <v>229778.14</v>
      </c>
    </row>
    <row r="3804" spans="1:4" x14ac:dyDescent="0.3">
      <c r="A3804" t="s">
        <v>23</v>
      </c>
      <c r="C3804" s="16">
        <v>46289</v>
      </c>
      <c r="D3804">
        <v>217688.58</v>
      </c>
    </row>
    <row r="3805" spans="1:4" x14ac:dyDescent="0.3">
      <c r="A3805" t="s">
        <v>24</v>
      </c>
      <c r="C3805" s="16">
        <v>46289</v>
      </c>
      <c r="D3805">
        <v>11744.75</v>
      </c>
    </row>
    <row r="3806" spans="1:4" x14ac:dyDescent="0.3">
      <c r="A3806" t="s">
        <v>25</v>
      </c>
      <c r="C3806" s="16">
        <v>46289</v>
      </c>
      <c r="D3806">
        <v>94.5</v>
      </c>
    </row>
    <row r="3807" spans="1:4" x14ac:dyDescent="0.3">
      <c r="A3807" t="s">
        <v>26</v>
      </c>
      <c r="C3807" s="16">
        <v>46289</v>
      </c>
      <c r="D3807">
        <v>2147.92</v>
      </c>
    </row>
    <row r="3808" spans="1:4" x14ac:dyDescent="0.3">
      <c r="A3808" t="s">
        <v>27</v>
      </c>
      <c r="C3808" s="16">
        <v>46289</v>
      </c>
      <c r="D3808">
        <v>17895.290000000015</v>
      </c>
    </row>
    <row r="3809" spans="1:4" x14ac:dyDescent="0.3">
      <c r="A3809" t="s">
        <v>28</v>
      </c>
      <c r="C3809" s="16">
        <v>46289</v>
      </c>
      <c r="D3809">
        <v>1968.99</v>
      </c>
    </row>
    <row r="3810" spans="1:4" x14ac:dyDescent="0.3">
      <c r="A3810" t="s">
        <v>29</v>
      </c>
      <c r="C3810" s="16">
        <v>46289</v>
      </c>
      <c r="D3810">
        <v>901.34</v>
      </c>
    </row>
    <row r="3811" spans="1:4" x14ac:dyDescent="0.3">
      <c r="A3811" t="s">
        <v>30</v>
      </c>
      <c r="C3811" s="16">
        <v>46289</v>
      </c>
      <c r="D3811">
        <v>1380.08</v>
      </c>
    </row>
    <row r="3812" spans="1:4" x14ac:dyDescent="0.3">
      <c r="A3812" t="s">
        <v>31</v>
      </c>
      <c r="C3812" s="16">
        <v>46289</v>
      </c>
      <c r="D3812">
        <v>28714.879999999961</v>
      </c>
    </row>
    <row r="3813" spans="1:4" x14ac:dyDescent="0.3">
      <c r="A3813" t="s">
        <v>32</v>
      </c>
      <c r="C3813" s="16">
        <v>46289</v>
      </c>
      <c r="D3813">
        <v>15162.600000000006</v>
      </c>
    </row>
    <row r="3814" spans="1:4" x14ac:dyDescent="0.3">
      <c r="A3814" t="s">
        <v>33</v>
      </c>
      <c r="C3814" s="16">
        <v>46289</v>
      </c>
      <c r="D3814">
        <v>12937.859999999997</v>
      </c>
    </row>
    <row r="3815" spans="1:4" x14ac:dyDescent="0.3">
      <c r="A3815" t="s">
        <v>34</v>
      </c>
      <c r="C3815" s="16">
        <v>46289</v>
      </c>
      <c r="D3815">
        <v>345</v>
      </c>
    </row>
    <row r="3816" spans="1:4" x14ac:dyDescent="0.3">
      <c r="A3816" t="s">
        <v>35</v>
      </c>
      <c r="C3816" s="16">
        <v>46289</v>
      </c>
      <c r="D3816">
        <v>15392.970000000001</v>
      </c>
    </row>
    <row r="3817" spans="1:4" x14ac:dyDescent="0.3">
      <c r="A3817" t="s">
        <v>193</v>
      </c>
      <c r="C3817" s="16">
        <v>46289</v>
      </c>
      <c r="D3817">
        <v>312415.12000000005</v>
      </c>
    </row>
    <row r="3818" spans="1:4" x14ac:dyDescent="0.3">
      <c r="A3818" t="s">
        <v>194</v>
      </c>
      <c r="C3818" s="16">
        <v>46289</v>
      </c>
      <c r="D3818">
        <v>107192.89000000001</v>
      </c>
    </row>
    <row r="3819" spans="1:4" x14ac:dyDescent="0.3">
      <c r="A3819" t="s">
        <v>195</v>
      </c>
      <c r="C3819" s="16">
        <v>46289</v>
      </c>
      <c r="D3819">
        <v>604.80000000000018</v>
      </c>
    </row>
    <row r="3820" spans="1:4" x14ac:dyDescent="0.3">
      <c r="A3820" t="s">
        <v>196</v>
      </c>
      <c r="C3820" s="16">
        <v>46289</v>
      </c>
      <c r="D3820">
        <v>24430.749999999971</v>
      </c>
    </row>
    <row r="3821" spans="1:4" x14ac:dyDescent="0.3">
      <c r="A3821" t="s">
        <v>197</v>
      </c>
      <c r="C3821" s="16">
        <v>46289</v>
      </c>
      <c r="D3821">
        <v>794.01</v>
      </c>
    </row>
    <row r="3822" spans="1:4" x14ac:dyDescent="0.3">
      <c r="A3822" t="s">
        <v>214</v>
      </c>
      <c r="C3822" s="16">
        <v>46289</v>
      </c>
      <c r="D3822">
        <v>5445.57</v>
      </c>
    </row>
    <row r="3823" spans="1:4" x14ac:dyDescent="0.3">
      <c r="A3823" t="s">
        <v>199</v>
      </c>
      <c r="C3823" s="16">
        <v>46289</v>
      </c>
      <c r="D3823">
        <v>236093.16999999998</v>
      </c>
    </row>
    <row r="3824" spans="1:4" x14ac:dyDescent="0.3">
      <c r="A3824" t="s">
        <v>17</v>
      </c>
      <c r="C3824" s="16">
        <v>46290</v>
      </c>
      <c r="D3824">
        <v>1835826.1700000004</v>
      </c>
    </row>
    <row r="3825" spans="1:4" x14ac:dyDescent="0.3">
      <c r="A3825" t="s">
        <v>18</v>
      </c>
      <c r="C3825" s="16">
        <v>46290</v>
      </c>
      <c r="D3825">
        <v>100486.46000000017</v>
      </c>
    </row>
    <row r="3826" spans="1:4" x14ac:dyDescent="0.3">
      <c r="A3826" t="s">
        <v>19</v>
      </c>
      <c r="C3826" s="16">
        <v>46290</v>
      </c>
      <c r="D3826">
        <v>1669.89</v>
      </c>
    </row>
    <row r="3827" spans="1:4" x14ac:dyDescent="0.3">
      <c r="A3827" t="s">
        <v>20</v>
      </c>
      <c r="C3827" s="16">
        <v>46290</v>
      </c>
      <c r="D3827">
        <v>1313603.3599999999</v>
      </c>
    </row>
    <row r="3828" spans="1:4" x14ac:dyDescent="0.3">
      <c r="A3828" t="s">
        <v>21</v>
      </c>
      <c r="C3828" s="16">
        <v>46290</v>
      </c>
      <c r="D3828">
        <v>1350091.6599999997</v>
      </c>
    </row>
    <row r="3829" spans="1:4" x14ac:dyDescent="0.3">
      <c r="A3829" t="s">
        <v>22</v>
      </c>
      <c r="C3829" s="16">
        <v>46290</v>
      </c>
      <c r="D3829">
        <v>229778.14</v>
      </c>
    </row>
    <row r="3830" spans="1:4" x14ac:dyDescent="0.3">
      <c r="A3830" t="s">
        <v>23</v>
      </c>
      <c r="C3830" s="16">
        <v>46290</v>
      </c>
      <c r="D3830">
        <v>217688.58</v>
      </c>
    </row>
    <row r="3831" spans="1:4" x14ac:dyDescent="0.3">
      <c r="A3831" t="s">
        <v>24</v>
      </c>
      <c r="C3831" s="16">
        <v>46290</v>
      </c>
      <c r="D3831">
        <v>11744.75</v>
      </c>
    </row>
    <row r="3832" spans="1:4" x14ac:dyDescent="0.3">
      <c r="A3832" t="s">
        <v>25</v>
      </c>
      <c r="C3832" s="16">
        <v>46290</v>
      </c>
      <c r="D3832">
        <v>94.5</v>
      </c>
    </row>
    <row r="3833" spans="1:4" x14ac:dyDescent="0.3">
      <c r="A3833" t="s">
        <v>26</v>
      </c>
      <c r="C3833" s="16">
        <v>46290</v>
      </c>
      <c r="D3833">
        <v>2147.92</v>
      </c>
    </row>
    <row r="3834" spans="1:4" x14ac:dyDescent="0.3">
      <c r="A3834" t="s">
        <v>27</v>
      </c>
      <c r="C3834" s="16">
        <v>46290</v>
      </c>
      <c r="D3834">
        <v>17895.290000000015</v>
      </c>
    </row>
    <row r="3835" spans="1:4" x14ac:dyDescent="0.3">
      <c r="A3835" t="s">
        <v>28</v>
      </c>
      <c r="C3835" s="16">
        <v>46290</v>
      </c>
      <c r="D3835">
        <v>1968.99</v>
      </c>
    </row>
    <row r="3836" spans="1:4" x14ac:dyDescent="0.3">
      <c r="A3836" t="s">
        <v>29</v>
      </c>
      <c r="C3836" s="16">
        <v>46290</v>
      </c>
      <c r="D3836">
        <v>901.34</v>
      </c>
    </row>
    <row r="3837" spans="1:4" x14ac:dyDescent="0.3">
      <c r="A3837" t="s">
        <v>30</v>
      </c>
      <c r="C3837" s="16">
        <v>46290</v>
      </c>
      <c r="D3837">
        <v>1380.08</v>
      </c>
    </row>
    <row r="3838" spans="1:4" x14ac:dyDescent="0.3">
      <c r="A3838" t="s">
        <v>31</v>
      </c>
      <c r="C3838" s="16">
        <v>46290</v>
      </c>
      <c r="D3838">
        <v>28714.879999999961</v>
      </c>
    </row>
    <row r="3839" spans="1:4" x14ac:dyDescent="0.3">
      <c r="A3839" t="s">
        <v>32</v>
      </c>
      <c r="C3839" s="16">
        <v>46290</v>
      </c>
      <c r="D3839">
        <v>23389.690000000006</v>
      </c>
    </row>
    <row r="3840" spans="1:4" x14ac:dyDescent="0.3">
      <c r="A3840" t="s">
        <v>33</v>
      </c>
      <c r="C3840" s="16">
        <v>46290</v>
      </c>
      <c r="D3840">
        <v>16896.059999999998</v>
      </c>
    </row>
    <row r="3841" spans="1:4" x14ac:dyDescent="0.3">
      <c r="A3841" t="s">
        <v>34</v>
      </c>
      <c r="C3841" s="16">
        <v>46290</v>
      </c>
      <c r="D3841">
        <v>345</v>
      </c>
    </row>
    <row r="3842" spans="1:4" x14ac:dyDescent="0.3">
      <c r="A3842" t="s">
        <v>35</v>
      </c>
      <c r="C3842" s="16">
        <v>46290</v>
      </c>
      <c r="D3842">
        <v>12252.970000000001</v>
      </c>
    </row>
    <row r="3843" spans="1:4" x14ac:dyDescent="0.3">
      <c r="A3843" t="s">
        <v>193</v>
      </c>
      <c r="C3843" s="16">
        <v>46290</v>
      </c>
      <c r="D3843">
        <v>312314.37000000005</v>
      </c>
    </row>
    <row r="3844" spans="1:4" x14ac:dyDescent="0.3">
      <c r="A3844" t="s">
        <v>194</v>
      </c>
      <c r="C3844" s="16">
        <v>46290</v>
      </c>
      <c r="D3844">
        <v>107192.89000000001</v>
      </c>
    </row>
    <row r="3845" spans="1:4" x14ac:dyDescent="0.3">
      <c r="A3845" t="s">
        <v>195</v>
      </c>
      <c r="C3845" s="16">
        <v>46290</v>
      </c>
      <c r="D3845">
        <v>604.80000000000018</v>
      </c>
    </row>
    <row r="3846" spans="1:4" x14ac:dyDescent="0.3">
      <c r="A3846" t="s">
        <v>196</v>
      </c>
      <c r="C3846" s="16">
        <v>46290</v>
      </c>
      <c r="D3846">
        <v>22961.869999999966</v>
      </c>
    </row>
    <row r="3847" spans="1:4" x14ac:dyDescent="0.3">
      <c r="A3847" t="s">
        <v>197</v>
      </c>
      <c r="C3847" s="16">
        <v>46290</v>
      </c>
      <c r="D3847">
        <v>794.01</v>
      </c>
    </row>
    <row r="3848" spans="1:4" x14ac:dyDescent="0.3">
      <c r="A3848" t="s">
        <v>214</v>
      </c>
      <c r="C3848" s="16">
        <v>46290</v>
      </c>
      <c r="D3848">
        <v>5445.57</v>
      </c>
    </row>
    <row r="3849" spans="1:4" x14ac:dyDescent="0.3">
      <c r="A3849" t="s">
        <v>199</v>
      </c>
      <c r="C3849" s="16">
        <v>46290</v>
      </c>
      <c r="D3849">
        <v>236033.16999999998</v>
      </c>
    </row>
    <row r="3850" spans="1:4" x14ac:dyDescent="0.3">
      <c r="A3850" t="s">
        <v>17</v>
      </c>
      <c r="C3850" s="16">
        <v>46291</v>
      </c>
      <c r="D3850">
        <v>1835826.1700000004</v>
      </c>
    </row>
    <row r="3851" spans="1:4" x14ac:dyDescent="0.3">
      <c r="A3851" t="s">
        <v>18</v>
      </c>
      <c r="C3851" s="16">
        <v>46291</v>
      </c>
      <c r="D3851">
        <v>100486.46000000017</v>
      </c>
    </row>
    <row r="3852" spans="1:4" x14ac:dyDescent="0.3">
      <c r="A3852" t="s">
        <v>19</v>
      </c>
      <c r="C3852" s="16">
        <v>46291</v>
      </c>
      <c r="D3852">
        <v>1669.89</v>
      </c>
    </row>
    <row r="3853" spans="1:4" x14ac:dyDescent="0.3">
      <c r="A3853" t="s">
        <v>20</v>
      </c>
      <c r="C3853" s="16">
        <v>46291</v>
      </c>
      <c r="D3853">
        <v>1313603.3599999999</v>
      </c>
    </row>
    <row r="3854" spans="1:4" x14ac:dyDescent="0.3">
      <c r="A3854" t="s">
        <v>21</v>
      </c>
      <c r="C3854" s="16">
        <v>46291</v>
      </c>
      <c r="D3854">
        <v>1350091.6599999997</v>
      </c>
    </row>
    <row r="3855" spans="1:4" x14ac:dyDescent="0.3">
      <c r="A3855" t="s">
        <v>22</v>
      </c>
      <c r="C3855" s="16">
        <v>46291</v>
      </c>
      <c r="D3855">
        <v>229778.14</v>
      </c>
    </row>
    <row r="3856" spans="1:4" x14ac:dyDescent="0.3">
      <c r="A3856" t="s">
        <v>23</v>
      </c>
      <c r="C3856" s="16">
        <v>46291</v>
      </c>
      <c r="D3856">
        <v>217688.58</v>
      </c>
    </row>
    <row r="3857" spans="1:4" x14ac:dyDescent="0.3">
      <c r="A3857" t="s">
        <v>24</v>
      </c>
      <c r="C3857" s="16">
        <v>46291</v>
      </c>
      <c r="D3857">
        <v>11744.75</v>
      </c>
    </row>
    <row r="3858" spans="1:4" x14ac:dyDescent="0.3">
      <c r="A3858" t="s">
        <v>25</v>
      </c>
      <c r="C3858" s="16">
        <v>46291</v>
      </c>
      <c r="D3858">
        <v>94.5</v>
      </c>
    </row>
    <row r="3859" spans="1:4" x14ac:dyDescent="0.3">
      <c r="A3859" t="s">
        <v>26</v>
      </c>
      <c r="C3859" s="16">
        <v>46291</v>
      </c>
      <c r="D3859">
        <v>2147.92</v>
      </c>
    </row>
    <row r="3860" spans="1:4" x14ac:dyDescent="0.3">
      <c r="A3860" t="s">
        <v>27</v>
      </c>
      <c r="C3860" s="16">
        <v>46291</v>
      </c>
      <c r="D3860">
        <v>17895.290000000015</v>
      </c>
    </row>
    <row r="3861" spans="1:4" x14ac:dyDescent="0.3">
      <c r="A3861" t="s">
        <v>28</v>
      </c>
      <c r="C3861" s="16">
        <v>46291</v>
      </c>
      <c r="D3861">
        <v>1968.99</v>
      </c>
    </row>
    <row r="3862" spans="1:4" x14ac:dyDescent="0.3">
      <c r="A3862" t="s">
        <v>29</v>
      </c>
      <c r="C3862" s="16">
        <v>46291</v>
      </c>
      <c r="D3862">
        <v>901.34</v>
      </c>
    </row>
    <row r="3863" spans="1:4" x14ac:dyDescent="0.3">
      <c r="A3863" t="s">
        <v>30</v>
      </c>
      <c r="C3863" s="16">
        <v>46291</v>
      </c>
      <c r="D3863">
        <v>1380.08</v>
      </c>
    </row>
    <row r="3864" spans="1:4" x14ac:dyDescent="0.3">
      <c r="A3864" t="s">
        <v>31</v>
      </c>
      <c r="C3864" s="16">
        <v>46291</v>
      </c>
      <c r="D3864">
        <v>28714.879999999961</v>
      </c>
    </row>
    <row r="3865" spans="1:4" x14ac:dyDescent="0.3">
      <c r="A3865" t="s">
        <v>32</v>
      </c>
      <c r="C3865" s="16">
        <v>46291</v>
      </c>
      <c r="D3865">
        <v>23389.690000000006</v>
      </c>
    </row>
    <row r="3866" spans="1:4" x14ac:dyDescent="0.3">
      <c r="A3866" t="s">
        <v>33</v>
      </c>
      <c r="C3866" s="16">
        <v>46291</v>
      </c>
      <c r="D3866">
        <v>16896.059999999998</v>
      </c>
    </row>
    <row r="3867" spans="1:4" x14ac:dyDescent="0.3">
      <c r="A3867" t="s">
        <v>34</v>
      </c>
      <c r="C3867" s="16">
        <v>46291</v>
      </c>
      <c r="D3867">
        <v>345</v>
      </c>
    </row>
    <row r="3868" spans="1:4" x14ac:dyDescent="0.3">
      <c r="A3868" t="s">
        <v>35</v>
      </c>
      <c r="C3868" s="16">
        <v>46291</v>
      </c>
      <c r="D3868">
        <v>12252.970000000001</v>
      </c>
    </row>
    <row r="3869" spans="1:4" x14ac:dyDescent="0.3">
      <c r="A3869" t="s">
        <v>193</v>
      </c>
      <c r="C3869" s="16">
        <v>46291</v>
      </c>
      <c r="D3869">
        <v>312314.37000000005</v>
      </c>
    </row>
    <row r="3870" spans="1:4" x14ac:dyDescent="0.3">
      <c r="A3870" t="s">
        <v>194</v>
      </c>
      <c r="C3870" s="16">
        <v>46291</v>
      </c>
      <c r="D3870">
        <v>107192.89000000001</v>
      </c>
    </row>
    <row r="3871" spans="1:4" x14ac:dyDescent="0.3">
      <c r="A3871" t="s">
        <v>195</v>
      </c>
      <c r="C3871" s="16">
        <v>46291</v>
      </c>
      <c r="D3871">
        <v>604.80000000000018</v>
      </c>
    </row>
    <row r="3872" spans="1:4" x14ac:dyDescent="0.3">
      <c r="A3872" t="s">
        <v>196</v>
      </c>
      <c r="C3872" s="16">
        <v>46291</v>
      </c>
      <c r="D3872">
        <v>22961.869999999966</v>
      </c>
    </row>
    <row r="3873" spans="1:4" x14ac:dyDescent="0.3">
      <c r="A3873" t="s">
        <v>197</v>
      </c>
      <c r="C3873" s="16">
        <v>46291</v>
      </c>
      <c r="D3873">
        <v>794.01</v>
      </c>
    </row>
    <row r="3874" spans="1:4" x14ac:dyDescent="0.3">
      <c r="A3874" t="s">
        <v>214</v>
      </c>
      <c r="C3874" s="16">
        <v>46291</v>
      </c>
      <c r="D3874">
        <v>5445.57</v>
      </c>
    </row>
    <row r="3875" spans="1:4" x14ac:dyDescent="0.3">
      <c r="A3875" t="s">
        <v>199</v>
      </c>
      <c r="C3875" s="16">
        <v>46291</v>
      </c>
      <c r="D3875">
        <v>236033.16999999998</v>
      </c>
    </row>
    <row r="3876" spans="1:4" x14ac:dyDescent="0.3">
      <c r="A3876" t="s">
        <v>17</v>
      </c>
      <c r="C3876" s="16">
        <v>46292</v>
      </c>
      <c r="D3876">
        <v>1835826.1700000004</v>
      </c>
    </row>
    <row r="3877" spans="1:4" x14ac:dyDescent="0.3">
      <c r="A3877" t="s">
        <v>18</v>
      </c>
      <c r="C3877" s="16">
        <v>46292</v>
      </c>
      <c r="D3877">
        <v>100486.46000000017</v>
      </c>
    </row>
    <row r="3878" spans="1:4" x14ac:dyDescent="0.3">
      <c r="A3878" t="s">
        <v>19</v>
      </c>
      <c r="C3878" s="16">
        <v>46292</v>
      </c>
      <c r="D3878">
        <v>1669.89</v>
      </c>
    </row>
    <row r="3879" spans="1:4" x14ac:dyDescent="0.3">
      <c r="A3879" t="s">
        <v>20</v>
      </c>
      <c r="C3879" s="16">
        <v>46292</v>
      </c>
      <c r="D3879">
        <v>1313603.3599999999</v>
      </c>
    </row>
    <row r="3880" spans="1:4" x14ac:dyDescent="0.3">
      <c r="A3880" t="s">
        <v>21</v>
      </c>
      <c r="C3880" s="16">
        <v>46292</v>
      </c>
      <c r="D3880">
        <v>1350091.6599999997</v>
      </c>
    </row>
    <row r="3881" spans="1:4" x14ac:dyDescent="0.3">
      <c r="A3881" t="s">
        <v>22</v>
      </c>
      <c r="C3881" s="16">
        <v>46292</v>
      </c>
      <c r="D3881">
        <v>229778.14</v>
      </c>
    </row>
    <row r="3882" spans="1:4" x14ac:dyDescent="0.3">
      <c r="A3882" t="s">
        <v>23</v>
      </c>
      <c r="C3882" s="16">
        <v>46292</v>
      </c>
      <c r="D3882">
        <v>217688.58</v>
      </c>
    </row>
    <row r="3883" spans="1:4" x14ac:dyDescent="0.3">
      <c r="A3883" t="s">
        <v>24</v>
      </c>
      <c r="C3883" s="16">
        <v>46292</v>
      </c>
      <c r="D3883">
        <v>11744.75</v>
      </c>
    </row>
    <row r="3884" spans="1:4" x14ac:dyDescent="0.3">
      <c r="A3884" t="s">
        <v>25</v>
      </c>
      <c r="C3884" s="16">
        <v>46292</v>
      </c>
      <c r="D3884">
        <v>94.5</v>
      </c>
    </row>
    <row r="3885" spans="1:4" x14ac:dyDescent="0.3">
      <c r="A3885" t="s">
        <v>26</v>
      </c>
      <c r="C3885" s="16">
        <v>46292</v>
      </c>
      <c r="D3885">
        <v>2147.92</v>
      </c>
    </row>
    <row r="3886" spans="1:4" x14ac:dyDescent="0.3">
      <c r="A3886" t="s">
        <v>27</v>
      </c>
      <c r="C3886" s="16">
        <v>46292</v>
      </c>
      <c r="D3886">
        <v>17895.290000000015</v>
      </c>
    </row>
    <row r="3887" spans="1:4" x14ac:dyDescent="0.3">
      <c r="A3887" t="s">
        <v>28</v>
      </c>
      <c r="C3887" s="16">
        <v>46292</v>
      </c>
      <c r="D3887">
        <v>1968.99</v>
      </c>
    </row>
    <row r="3888" spans="1:4" x14ac:dyDescent="0.3">
      <c r="A3888" t="s">
        <v>29</v>
      </c>
      <c r="C3888" s="16">
        <v>46292</v>
      </c>
      <c r="D3888">
        <v>901.34</v>
      </c>
    </row>
    <row r="3889" spans="1:4" x14ac:dyDescent="0.3">
      <c r="A3889" t="s">
        <v>30</v>
      </c>
      <c r="C3889" s="16">
        <v>46292</v>
      </c>
      <c r="D3889">
        <v>1380.08</v>
      </c>
    </row>
    <row r="3890" spans="1:4" x14ac:dyDescent="0.3">
      <c r="A3890" t="s">
        <v>31</v>
      </c>
      <c r="C3890" s="16">
        <v>46292</v>
      </c>
      <c r="D3890">
        <v>28714.879999999961</v>
      </c>
    </row>
    <row r="3891" spans="1:4" x14ac:dyDescent="0.3">
      <c r="A3891" t="s">
        <v>32</v>
      </c>
      <c r="C3891" s="16">
        <v>46292</v>
      </c>
      <c r="D3891">
        <v>23389.690000000006</v>
      </c>
    </row>
    <row r="3892" spans="1:4" x14ac:dyDescent="0.3">
      <c r="A3892" t="s">
        <v>33</v>
      </c>
      <c r="C3892" s="16">
        <v>46292</v>
      </c>
      <c r="D3892">
        <v>16896.059999999998</v>
      </c>
    </row>
    <row r="3893" spans="1:4" x14ac:dyDescent="0.3">
      <c r="A3893" t="s">
        <v>34</v>
      </c>
      <c r="C3893" s="16">
        <v>46292</v>
      </c>
      <c r="D3893">
        <v>345</v>
      </c>
    </row>
    <row r="3894" spans="1:4" x14ac:dyDescent="0.3">
      <c r="A3894" t="s">
        <v>35</v>
      </c>
      <c r="C3894" s="16">
        <v>46292</v>
      </c>
      <c r="D3894">
        <v>12252.970000000001</v>
      </c>
    </row>
    <row r="3895" spans="1:4" x14ac:dyDescent="0.3">
      <c r="A3895" t="s">
        <v>193</v>
      </c>
      <c r="C3895" s="16">
        <v>46292</v>
      </c>
      <c r="D3895">
        <v>312314.37000000005</v>
      </c>
    </row>
    <row r="3896" spans="1:4" x14ac:dyDescent="0.3">
      <c r="A3896" t="s">
        <v>194</v>
      </c>
      <c r="C3896" s="16">
        <v>46292</v>
      </c>
      <c r="D3896">
        <v>107192.89000000001</v>
      </c>
    </row>
    <row r="3897" spans="1:4" x14ac:dyDescent="0.3">
      <c r="A3897" t="s">
        <v>195</v>
      </c>
      <c r="C3897" s="16">
        <v>46292</v>
      </c>
      <c r="D3897">
        <v>604.80000000000018</v>
      </c>
    </row>
    <row r="3898" spans="1:4" x14ac:dyDescent="0.3">
      <c r="A3898" t="s">
        <v>196</v>
      </c>
      <c r="C3898" s="16">
        <v>46292</v>
      </c>
      <c r="D3898">
        <v>22961.869999999966</v>
      </c>
    </row>
    <row r="3899" spans="1:4" x14ac:dyDescent="0.3">
      <c r="A3899" t="s">
        <v>197</v>
      </c>
      <c r="C3899" s="16">
        <v>46292</v>
      </c>
      <c r="D3899">
        <v>794.01</v>
      </c>
    </row>
    <row r="3900" spans="1:4" x14ac:dyDescent="0.3">
      <c r="A3900" t="s">
        <v>214</v>
      </c>
      <c r="C3900" s="16">
        <v>46292</v>
      </c>
      <c r="D3900">
        <v>5445.57</v>
      </c>
    </row>
    <row r="3901" spans="1:4" x14ac:dyDescent="0.3">
      <c r="A3901" t="s">
        <v>199</v>
      </c>
      <c r="C3901" s="16">
        <v>46292</v>
      </c>
      <c r="D3901">
        <v>236033.16999999998</v>
      </c>
    </row>
    <row r="3902" spans="1:4" x14ac:dyDescent="0.3">
      <c r="A3902" t="s">
        <v>17</v>
      </c>
      <c r="C3902" s="16">
        <v>46293</v>
      </c>
      <c r="D3902">
        <v>1843622.6700000004</v>
      </c>
    </row>
    <row r="3903" spans="1:4" x14ac:dyDescent="0.3">
      <c r="A3903" t="s">
        <v>18</v>
      </c>
      <c r="C3903" s="16">
        <v>46293</v>
      </c>
      <c r="D3903">
        <v>100486.46000000017</v>
      </c>
    </row>
    <row r="3904" spans="1:4" x14ac:dyDescent="0.3">
      <c r="A3904" t="s">
        <v>19</v>
      </c>
      <c r="C3904" s="16">
        <v>46293</v>
      </c>
      <c r="D3904">
        <v>1669.89</v>
      </c>
    </row>
    <row r="3905" spans="1:4" x14ac:dyDescent="0.3">
      <c r="A3905" t="s">
        <v>20</v>
      </c>
      <c r="C3905" s="16">
        <v>46293</v>
      </c>
      <c r="D3905">
        <v>1330582.2599999998</v>
      </c>
    </row>
    <row r="3906" spans="1:4" x14ac:dyDescent="0.3">
      <c r="A3906" t="s">
        <v>21</v>
      </c>
      <c r="C3906" s="16">
        <v>46293</v>
      </c>
      <c r="D3906">
        <v>1350091.6599999997</v>
      </c>
    </row>
    <row r="3907" spans="1:4" x14ac:dyDescent="0.3">
      <c r="A3907" t="s">
        <v>22</v>
      </c>
      <c r="C3907" s="16">
        <v>46293</v>
      </c>
      <c r="D3907">
        <v>229778.14</v>
      </c>
    </row>
    <row r="3908" spans="1:4" x14ac:dyDescent="0.3">
      <c r="A3908" t="s">
        <v>23</v>
      </c>
      <c r="C3908" s="16">
        <v>46293</v>
      </c>
      <c r="D3908">
        <v>217688.58</v>
      </c>
    </row>
    <row r="3909" spans="1:4" x14ac:dyDescent="0.3">
      <c r="A3909" t="s">
        <v>24</v>
      </c>
      <c r="C3909" s="16">
        <v>46293</v>
      </c>
      <c r="D3909">
        <v>11744.75</v>
      </c>
    </row>
    <row r="3910" spans="1:4" x14ac:dyDescent="0.3">
      <c r="A3910" t="s">
        <v>25</v>
      </c>
      <c r="C3910" s="16">
        <v>46293</v>
      </c>
      <c r="D3910">
        <v>94.5</v>
      </c>
    </row>
    <row r="3911" spans="1:4" x14ac:dyDescent="0.3">
      <c r="A3911" t="s">
        <v>26</v>
      </c>
      <c r="C3911" s="16">
        <v>46293</v>
      </c>
      <c r="D3911">
        <v>2147.92</v>
      </c>
    </row>
    <row r="3912" spans="1:4" x14ac:dyDescent="0.3">
      <c r="A3912" t="s">
        <v>27</v>
      </c>
      <c r="C3912" s="16">
        <v>46293</v>
      </c>
      <c r="D3912">
        <v>17895.290000000015</v>
      </c>
    </row>
    <row r="3913" spans="1:4" x14ac:dyDescent="0.3">
      <c r="A3913" t="s">
        <v>28</v>
      </c>
      <c r="C3913" s="16">
        <v>46293</v>
      </c>
      <c r="D3913">
        <v>1968.99</v>
      </c>
    </row>
    <row r="3914" spans="1:4" x14ac:dyDescent="0.3">
      <c r="A3914" t="s">
        <v>29</v>
      </c>
      <c r="C3914" s="16">
        <v>46293</v>
      </c>
      <c r="D3914">
        <v>901.34</v>
      </c>
    </row>
    <row r="3915" spans="1:4" x14ac:dyDescent="0.3">
      <c r="A3915" t="s">
        <v>30</v>
      </c>
      <c r="C3915" s="16">
        <v>46293</v>
      </c>
      <c r="D3915">
        <v>1380.08</v>
      </c>
    </row>
    <row r="3916" spans="1:4" x14ac:dyDescent="0.3">
      <c r="A3916" t="s">
        <v>31</v>
      </c>
      <c r="C3916" s="16">
        <v>46293</v>
      </c>
      <c r="D3916">
        <v>28714.879999999961</v>
      </c>
    </row>
    <row r="3917" spans="1:4" x14ac:dyDescent="0.3">
      <c r="A3917" t="s">
        <v>32</v>
      </c>
      <c r="C3917" s="16">
        <v>46293</v>
      </c>
      <c r="D3917">
        <v>23374.690000000006</v>
      </c>
    </row>
    <row r="3918" spans="1:4" x14ac:dyDescent="0.3">
      <c r="A3918" t="s">
        <v>33</v>
      </c>
      <c r="C3918" s="16">
        <v>46293</v>
      </c>
      <c r="D3918">
        <v>16266.809999999998</v>
      </c>
    </row>
    <row r="3919" spans="1:4" x14ac:dyDescent="0.3">
      <c r="A3919" t="s">
        <v>34</v>
      </c>
      <c r="C3919" s="16">
        <v>46293</v>
      </c>
      <c r="D3919">
        <v>345</v>
      </c>
    </row>
    <row r="3920" spans="1:4" x14ac:dyDescent="0.3">
      <c r="A3920" t="s">
        <v>35</v>
      </c>
      <c r="C3920" s="16">
        <v>46293</v>
      </c>
      <c r="D3920">
        <v>12252.970000000001</v>
      </c>
    </row>
    <row r="3921" spans="1:4" x14ac:dyDescent="0.3">
      <c r="A3921" t="s">
        <v>193</v>
      </c>
      <c r="C3921" s="16">
        <v>46293</v>
      </c>
      <c r="D3921">
        <v>312314.37000000005</v>
      </c>
    </row>
    <row r="3922" spans="1:4" x14ac:dyDescent="0.3">
      <c r="A3922" t="s">
        <v>194</v>
      </c>
      <c r="C3922" s="16">
        <v>46293</v>
      </c>
      <c r="D3922">
        <v>107192.89000000001</v>
      </c>
    </row>
    <row r="3923" spans="1:4" x14ac:dyDescent="0.3">
      <c r="A3923" t="s">
        <v>195</v>
      </c>
      <c r="C3923" s="16">
        <v>46293</v>
      </c>
      <c r="D3923">
        <v>604.80000000000018</v>
      </c>
    </row>
    <row r="3924" spans="1:4" x14ac:dyDescent="0.3">
      <c r="A3924" t="s">
        <v>196</v>
      </c>
      <c r="C3924" s="16">
        <v>46293</v>
      </c>
      <c r="D3924">
        <v>22456.779999999955</v>
      </c>
    </row>
    <row r="3925" spans="1:4" x14ac:dyDescent="0.3">
      <c r="A3925" t="s">
        <v>197</v>
      </c>
      <c r="C3925" s="16">
        <v>46293</v>
      </c>
      <c r="D3925">
        <v>794.01</v>
      </c>
    </row>
    <row r="3926" spans="1:4" x14ac:dyDescent="0.3">
      <c r="A3926" t="s">
        <v>214</v>
      </c>
      <c r="C3926" s="16">
        <v>46293</v>
      </c>
      <c r="D3926">
        <v>5445.57</v>
      </c>
    </row>
    <row r="3927" spans="1:4" x14ac:dyDescent="0.3">
      <c r="A3927" t="s">
        <v>199</v>
      </c>
      <c r="C3927" s="16">
        <v>46293</v>
      </c>
      <c r="D3927">
        <v>237883.16999999998</v>
      </c>
    </row>
    <row r="3928" spans="1:4" x14ac:dyDescent="0.3">
      <c r="A3928" t="s">
        <v>17</v>
      </c>
      <c r="C3928" s="16">
        <v>46294</v>
      </c>
      <c r="D3928">
        <v>1840829.6400000004</v>
      </c>
    </row>
    <row r="3929" spans="1:4" x14ac:dyDescent="0.3">
      <c r="A3929" t="s">
        <v>18</v>
      </c>
      <c r="C3929" s="16">
        <v>46294</v>
      </c>
      <c r="D3929">
        <v>100486.46000000017</v>
      </c>
    </row>
    <row r="3930" spans="1:4" x14ac:dyDescent="0.3">
      <c r="A3930" t="s">
        <v>19</v>
      </c>
      <c r="C3930" s="16">
        <v>46294</v>
      </c>
      <c r="D3930">
        <v>1669.89</v>
      </c>
    </row>
    <row r="3931" spans="1:4" x14ac:dyDescent="0.3">
      <c r="A3931" t="s">
        <v>20</v>
      </c>
      <c r="C3931" s="16">
        <v>46294</v>
      </c>
      <c r="D3931">
        <v>1330582.2599999998</v>
      </c>
    </row>
    <row r="3932" spans="1:4" x14ac:dyDescent="0.3">
      <c r="A3932" t="s">
        <v>21</v>
      </c>
      <c r="C3932" s="16">
        <v>46294</v>
      </c>
      <c r="D3932">
        <v>1180932.1499999997</v>
      </c>
    </row>
    <row r="3933" spans="1:4" x14ac:dyDescent="0.3">
      <c r="A3933" t="s">
        <v>22</v>
      </c>
      <c r="C3933" s="16">
        <v>46294</v>
      </c>
      <c r="D3933">
        <v>229778.14</v>
      </c>
    </row>
    <row r="3934" spans="1:4" x14ac:dyDescent="0.3">
      <c r="A3934" t="s">
        <v>23</v>
      </c>
      <c r="C3934" s="16">
        <v>46294</v>
      </c>
      <c r="D3934">
        <v>217688.58</v>
      </c>
    </row>
    <row r="3935" spans="1:4" x14ac:dyDescent="0.3">
      <c r="A3935" t="s">
        <v>24</v>
      </c>
      <c r="C3935" s="16">
        <v>46294</v>
      </c>
      <c r="D3935">
        <v>10474.32</v>
      </c>
    </row>
    <row r="3936" spans="1:4" x14ac:dyDescent="0.3">
      <c r="A3936" t="s">
        <v>25</v>
      </c>
      <c r="C3936" s="16">
        <v>46294</v>
      </c>
      <c r="D3936">
        <v>94.5</v>
      </c>
    </row>
    <row r="3937" spans="1:4" x14ac:dyDescent="0.3">
      <c r="A3937" t="s">
        <v>26</v>
      </c>
      <c r="C3937" s="16">
        <v>46294</v>
      </c>
      <c r="D3937">
        <v>2147.92</v>
      </c>
    </row>
    <row r="3938" spans="1:4" x14ac:dyDescent="0.3">
      <c r="A3938" t="s">
        <v>27</v>
      </c>
      <c r="C3938" s="16">
        <v>46294</v>
      </c>
      <c r="D3938">
        <v>17895.290000000015</v>
      </c>
    </row>
    <row r="3939" spans="1:4" x14ac:dyDescent="0.3">
      <c r="A3939" t="s">
        <v>28</v>
      </c>
      <c r="C3939" s="16">
        <v>46294</v>
      </c>
      <c r="D3939">
        <v>1968.99</v>
      </c>
    </row>
    <row r="3940" spans="1:4" x14ac:dyDescent="0.3">
      <c r="A3940" t="s">
        <v>29</v>
      </c>
      <c r="C3940" s="16">
        <v>46294</v>
      </c>
      <c r="D3940">
        <v>901.34</v>
      </c>
    </row>
    <row r="3941" spans="1:4" x14ac:dyDescent="0.3">
      <c r="A3941" t="s">
        <v>30</v>
      </c>
      <c r="C3941" s="16">
        <v>46294</v>
      </c>
      <c r="D3941">
        <v>1380.08</v>
      </c>
    </row>
    <row r="3942" spans="1:4" x14ac:dyDescent="0.3">
      <c r="A3942" t="s">
        <v>31</v>
      </c>
      <c r="C3942" s="16">
        <v>46294</v>
      </c>
      <c r="D3942">
        <v>28714.879999999961</v>
      </c>
    </row>
    <row r="3943" spans="1:4" x14ac:dyDescent="0.3">
      <c r="A3943" t="s">
        <v>32</v>
      </c>
      <c r="C3943" s="16">
        <v>46294</v>
      </c>
      <c r="D3943">
        <v>23374.690000000006</v>
      </c>
    </row>
    <row r="3944" spans="1:4" x14ac:dyDescent="0.3">
      <c r="A3944" t="s">
        <v>33</v>
      </c>
      <c r="C3944" s="16">
        <v>46294</v>
      </c>
      <c r="D3944">
        <v>19266.809999999998</v>
      </c>
    </row>
    <row r="3945" spans="1:4" x14ac:dyDescent="0.3">
      <c r="A3945" t="s">
        <v>34</v>
      </c>
      <c r="C3945" s="16">
        <v>46294</v>
      </c>
      <c r="D3945">
        <v>345</v>
      </c>
    </row>
    <row r="3946" spans="1:4" x14ac:dyDescent="0.3">
      <c r="A3946" t="s">
        <v>35</v>
      </c>
      <c r="C3946" s="16">
        <v>46294</v>
      </c>
      <c r="D3946">
        <v>12252.970000000001</v>
      </c>
    </row>
    <row r="3947" spans="1:4" x14ac:dyDescent="0.3">
      <c r="A3947" t="s">
        <v>193</v>
      </c>
      <c r="C3947" s="16">
        <v>46294</v>
      </c>
      <c r="D3947">
        <v>312314.37000000005</v>
      </c>
    </row>
    <row r="3948" spans="1:4" x14ac:dyDescent="0.3">
      <c r="A3948" t="s">
        <v>194</v>
      </c>
      <c r="C3948" s="16">
        <v>46294</v>
      </c>
      <c r="D3948">
        <v>106025.97</v>
      </c>
    </row>
    <row r="3949" spans="1:4" x14ac:dyDescent="0.3">
      <c r="A3949" t="s">
        <v>195</v>
      </c>
      <c r="C3949" s="16">
        <v>46294</v>
      </c>
      <c r="D3949">
        <v>604.80000000000018</v>
      </c>
    </row>
    <row r="3950" spans="1:4" x14ac:dyDescent="0.3">
      <c r="A3950" t="s">
        <v>196</v>
      </c>
      <c r="C3950" s="16">
        <v>46294</v>
      </c>
      <c r="D3950">
        <v>22456.779999999955</v>
      </c>
    </row>
    <row r="3951" spans="1:4" x14ac:dyDescent="0.3">
      <c r="A3951" t="s">
        <v>197</v>
      </c>
      <c r="C3951" s="16">
        <v>46294</v>
      </c>
      <c r="D3951">
        <v>794.01</v>
      </c>
    </row>
    <row r="3952" spans="1:4" x14ac:dyDescent="0.3">
      <c r="A3952" t="s">
        <v>214</v>
      </c>
      <c r="C3952" s="16">
        <v>46294</v>
      </c>
      <c r="D3952">
        <v>5445.57</v>
      </c>
    </row>
    <row r="3953" spans="1:4" x14ac:dyDescent="0.3">
      <c r="A3953" t="s">
        <v>199</v>
      </c>
      <c r="C3953" s="16">
        <v>46294</v>
      </c>
      <c r="D3953">
        <v>239523.16999999998</v>
      </c>
    </row>
    <row r="3954" spans="1:4" x14ac:dyDescent="0.3">
      <c r="A3954" t="s">
        <v>17</v>
      </c>
      <c r="C3954" s="16">
        <v>46295</v>
      </c>
      <c r="D3954">
        <v>1926823.6500000004</v>
      </c>
    </row>
    <row r="3955" spans="1:4" x14ac:dyDescent="0.3">
      <c r="A3955" t="s">
        <v>18</v>
      </c>
      <c r="C3955" s="16">
        <v>46295</v>
      </c>
      <c r="D3955">
        <v>103123.59000000017</v>
      </c>
    </row>
    <row r="3956" spans="1:4" x14ac:dyDescent="0.3">
      <c r="A3956" t="s">
        <v>19</v>
      </c>
      <c r="C3956" s="16">
        <v>46295</v>
      </c>
      <c r="D3956">
        <v>1669.89</v>
      </c>
    </row>
    <row r="3957" spans="1:4" x14ac:dyDescent="0.3">
      <c r="A3957" t="s">
        <v>20</v>
      </c>
      <c r="C3957" s="16">
        <v>46295</v>
      </c>
      <c r="D3957">
        <v>1355779.1799999997</v>
      </c>
    </row>
    <row r="3958" spans="1:4" x14ac:dyDescent="0.3">
      <c r="A3958" t="s">
        <v>21</v>
      </c>
      <c r="C3958" s="16">
        <v>46295</v>
      </c>
      <c r="D3958">
        <v>1111163.6899999995</v>
      </c>
    </row>
    <row r="3959" spans="1:4" x14ac:dyDescent="0.3">
      <c r="A3959" t="s">
        <v>22</v>
      </c>
      <c r="C3959" s="16">
        <v>46295</v>
      </c>
      <c r="D3959">
        <v>229778.14</v>
      </c>
    </row>
    <row r="3960" spans="1:4" x14ac:dyDescent="0.3">
      <c r="A3960" t="s">
        <v>23</v>
      </c>
      <c r="C3960" s="16">
        <v>46295</v>
      </c>
      <c r="D3960">
        <v>80533.579999999987</v>
      </c>
    </row>
    <row r="3961" spans="1:4" x14ac:dyDescent="0.3">
      <c r="A3961" t="s">
        <v>24</v>
      </c>
      <c r="C3961" s="16">
        <v>46295</v>
      </c>
      <c r="D3961">
        <v>10259.18</v>
      </c>
    </row>
    <row r="3962" spans="1:4" x14ac:dyDescent="0.3">
      <c r="A3962" t="s">
        <v>25</v>
      </c>
      <c r="C3962" s="16">
        <v>46295</v>
      </c>
      <c r="D3962">
        <v>94.5</v>
      </c>
    </row>
    <row r="3963" spans="1:4" x14ac:dyDescent="0.3">
      <c r="A3963" t="s">
        <v>26</v>
      </c>
      <c r="C3963" s="16">
        <v>46295</v>
      </c>
      <c r="D3963">
        <v>2147.92</v>
      </c>
    </row>
    <row r="3964" spans="1:4" x14ac:dyDescent="0.3">
      <c r="A3964" t="s">
        <v>27</v>
      </c>
      <c r="C3964" s="16">
        <v>46295</v>
      </c>
      <c r="D3964">
        <v>17895.290000000015</v>
      </c>
    </row>
    <row r="3965" spans="1:4" x14ac:dyDescent="0.3">
      <c r="A3965" t="s">
        <v>28</v>
      </c>
      <c r="C3965" s="16">
        <v>46295</v>
      </c>
      <c r="D3965">
        <v>1968.99</v>
      </c>
    </row>
    <row r="3966" spans="1:4" x14ac:dyDescent="0.3">
      <c r="A3966" t="s">
        <v>29</v>
      </c>
      <c r="C3966" s="16">
        <v>46295</v>
      </c>
      <c r="D3966">
        <v>901.34</v>
      </c>
    </row>
    <row r="3967" spans="1:4" x14ac:dyDescent="0.3">
      <c r="A3967" t="s">
        <v>30</v>
      </c>
      <c r="C3967" s="16">
        <v>46295</v>
      </c>
      <c r="D3967">
        <v>1380.08</v>
      </c>
    </row>
    <row r="3968" spans="1:4" x14ac:dyDescent="0.3">
      <c r="A3968" t="s">
        <v>31</v>
      </c>
      <c r="C3968" s="16">
        <v>46295</v>
      </c>
      <c r="D3968">
        <v>28714.879999999961</v>
      </c>
    </row>
    <row r="3969" spans="1:4" x14ac:dyDescent="0.3">
      <c r="A3969" t="s">
        <v>32</v>
      </c>
      <c r="C3969" s="16">
        <v>46295</v>
      </c>
      <c r="D3969">
        <v>23374.690000000006</v>
      </c>
    </row>
    <row r="3970" spans="1:4" x14ac:dyDescent="0.3">
      <c r="A3970" t="s">
        <v>33</v>
      </c>
      <c r="C3970" s="16">
        <v>46295</v>
      </c>
      <c r="D3970">
        <v>19266.809999999998</v>
      </c>
    </row>
    <row r="3971" spans="1:4" x14ac:dyDescent="0.3">
      <c r="A3971" t="s">
        <v>34</v>
      </c>
      <c r="C3971" s="16">
        <v>46295</v>
      </c>
      <c r="D3971">
        <v>345</v>
      </c>
    </row>
    <row r="3972" spans="1:4" x14ac:dyDescent="0.3">
      <c r="A3972" t="s">
        <v>35</v>
      </c>
      <c r="C3972" s="16">
        <v>46295</v>
      </c>
      <c r="D3972">
        <v>12252.970000000001</v>
      </c>
    </row>
    <row r="3973" spans="1:4" x14ac:dyDescent="0.3">
      <c r="A3973" t="s">
        <v>193</v>
      </c>
      <c r="C3973" s="16">
        <v>46295</v>
      </c>
      <c r="D3973">
        <v>313178.98000000004</v>
      </c>
    </row>
    <row r="3974" spans="1:4" x14ac:dyDescent="0.3">
      <c r="A3974" t="s">
        <v>194</v>
      </c>
      <c r="C3974" s="16">
        <v>46295</v>
      </c>
      <c r="D3974">
        <v>105975.97</v>
      </c>
    </row>
    <row r="3975" spans="1:4" x14ac:dyDescent="0.3">
      <c r="A3975" t="s">
        <v>195</v>
      </c>
      <c r="C3975" s="16">
        <v>46295</v>
      </c>
      <c r="D3975">
        <v>604.80000000000018</v>
      </c>
    </row>
    <row r="3976" spans="1:4" x14ac:dyDescent="0.3">
      <c r="A3976" t="s">
        <v>196</v>
      </c>
      <c r="C3976" s="16">
        <v>46295</v>
      </c>
      <c r="D3976">
        <v>21964.799999999959</v>
      </c>
    </row>
    <row r="3977" spans="1:4" x14ac:dyDescent="0.3">
      <c r="A3977" t="s">
        <v>197</v>
      </c>
      <c r="C3977" s="16">
        <v>46295</v>
      </c>
      <c r="D3977">
        <v>794.01</v>
      </c>
    </row>
    <row r="3978" spans="1:4" x14ac:dyDescent="0.3">
      <c r="A3978" t="s">
        <v>214</v>
      </c>
      <c r="C3978" s="16">
        <v>46295</v>
      </c>
      <c r="D3978">
        <v>5445.57</v>
      </c>
    </row>
    <row r="3979" spans="1:4" x14ac:dyDescent="0.3">
      <c r="A3979" t="s">
        <v>199</v>
      </c>
      <c r="C3979" s="16">
        <v>46295</v>
      </c>
      <c r="D3979">
        <v>239523.16999999998</v>
      </c>
    </row>
    <row r="3980" spans="1:4" x14ac:dyDescent="0.3">
      <c r="A3980" t="s">
        <v>17</v>
      </c>
      <c r="C3980" s="16">
        <v>46296</v>
      </c>
      <c r="D3980">
        <v>3099831.9800000004</v>
      </c>
    </row>
    <row r="3981" spans="1:4" x14ac:dyDescent="0.3">
      <c r="A3981" t="s">
        <v>18</v>
      </c>
      <c r="C3981" s="16">
        <v>46296</v>
      </c>
      <c r="D3981">
        <v>103123.59000000017</v>
      </c>
    </row>
    <row r="3982" spans="1:4" x14ac:dyDescent="0.3">
      <c r="A3982" t="s">
        <v>19</v>
      </c>
      <c r="C3982" s="16">
        <v>46296</v>
      </c>
      <c r="D3982">
        <v>1669.89</v>
      </c>
    </row>
    <row r="3983" spans="1:4" x14ac:dyDescent="0.3">
      <c r="A3983" t="s">
        <v>20</v>
      </c>
      <c r="C3983" s="16">
        <v>46296</v>
      </c>
      <c r="D3983">
        <v>1200526.7499999995</v>
      </c>
    </row>
    <row r="3984" spans="1:4" x14ac:dyDescent="0.3">
      <c r="A3984" t="s">
        <v>21</v>
      </c>
      <c r="C3984" s="16">
        <v>46296</v>
      </c>
      <c r="D3984">
        <v>1586416.1199999996</v>
      </c>
    </row>
    <row r="3985" spans="1:4" x14ac:dyDescent="0.3">
      <c r="A3985" t="s">
        <v>22</v>
      </c>
      <c r="C3985" s="16">
        <v>46296</v>
      </c>
      <c r="D3985">
        <v>208778.14</v>
      </c>
    </row>
    <row r="3986" spans="1:4" x14ac:dyDescent="0.3">
      <c r="A3986" t="s">
        <v>23</v>
      </c>
      <c r="C3986" s="16">
        <v>46296</v>
      </c>
      <c r="D3986">
        <v>80533.579999999987</v>
      </c>
    </row>
    <row r="3987" spans="1:4" x14ac:dyDescent="0.3">
      <c r="A3987" t="s">
        <v>24</v>
      </c>
      <c r="C3987" s="16">
        <v>46296</v>
      </c>
      <c r="D3987">
        <v>10259.18</v>
      </c>
    </row>
    <row r="3988" spans="1:4" x14ac:dyDescent="0.3">
      <c r="A3988" t="s">
        <v>25</v>
      </c>
      <c r="C3988" s="16">
        <v>46296</v>
      </c>
      <c r="D3988">
        <v>64.55</v>
      </c>
    </row>
    <row r="3989" spans="1:4" x14ac:dyDescent="0.3">
      <c r="A3989" t="s">
        <v>26</v>
      </c>
      <c r="C3989" s="16">
        <v>46296</v>
      </c>
      <c r="D3989">
        <v>2117.9700000000003</v>
      </c>
    </row>
    <row r="3990" spans="1:4" x14ac:dyDescent="0.3">
      <c r="A3990" t="s">
        <v>27</v>
      </c>
      <c r="C3990" s="16">
        <v>46296</v>
      </c>
      <c r="D3990">
        <v>17895.290000000015</v>
      </c>
    </row>
    <row r="3991" spans="1:4" x14ac:dyDescent="0.3">
      <c r="A3991" t="s">
        <v>28</v>
      </c>
      <c r="C3991" s="16">
        <v>46296</v>
      </c>
      <c r="D3991">
        <v>1968.99</v>
      </c>
    </row>
    <row r="3992" spans="1:4" x14ac:dyDescent="0.3">
      <c r="A3992" t="s">
        <v>29</v>
      </c>
      <c r="C3992" s="16">
        <v>46296</v>
      </c>
      <c r="D3992">
        <v>901.34</v>
      </c>
    </row>
    <row r="3993" spans="1:4" x14ac:dyDescent="0.3">
      <c r="A3993" t="s">
        <v>30</v>
      </c>
      <c r="C3993" s="16">
        <v>46296</v>
      </c>
      <c r="D3993">
        <v>1364.08</v>
      </c>
    </row>
    <row r="3994" spans="1:4" x14ac:dyDescent="0.3">
      <c r="A3994" t="s">
        <v>31</v>
      </c>
      <c r="C3994" s="16">
        <v>46296</v>
      </c>
      <c r="D3994">
        <v>20171.549999999959</v>
      </c>
    </row>
    <row r="3995" spans="1:4" x14ac:dyDescent="0.3">
      <c r="A3995" t="s">
        <v>32</v>
      </c>
      <c r="C3995" s="16">
        <v>46296</v>
      </c>
      <c r="D3995">
        <v>13576.060000000007</v>
      </c>
    </row>
    <row r="3996" spans="1:4" x14ac:dyDescent="0.3">
      <c r="A3996" t="s">
        <v>33</v>
      </c>
      <c r="C3996" s="16">
        <v>46296</v>
      </c>
      <c r="D3996">
        <v>16893.769999999997</v>
      </c>
    </row>
    <row r="3997" spans="1:4" x14ac:dyDescent="0.3">
      <c r="A3997" t="s">
        <v>34</v>
      </c>
      <c r="C3997" s="16">
        <v>46296</v>
      </c>
      <c r="D3997">
        <v>345</v>
      </c>
    </row>
    <row r="3998" spans="1:4" x14ac:dyDescent="0.3">
      <c r="A3998" t="s">
        <v>35</v>
      </c>
      <c r="C3998" s="16">
        <v>46296</v>
      </c>
      <c r="D3998">
        <v>26885.97</v>
      </c>
    </row>
    <row r="3999" spans="1:4" x14ac:dyDescent="0.3">
      <c r="A3999" t="s">
        <v>193</v>
      </c>
      <c r="C3999" s="16">
        <v>46296</v>
      </c>
      <c r="D3999">
        <v>313178.98000000004</v>
      </c>
    </row>
    <row r="4000" spans="1:4" x14ac:dyDescent="0.3">
      <c r="A4000" t="s">
        <v>194</v>
      </c>
      <c r="C4000" s="16">
        <v>46296</v>
      </c>
      <c r="D4000">
        <v>202975.97000000003</v>
      </c>
    </row>
    <row r="4001" spans="1:4" x14ac:dyDescent="0.3">
      <c r="A4001" t="s">
        <v>195</v>
      </c>
      <c r="C4001" s="16">
        <v>46296</v>
      </c>
      <c r="D4001">
        <v>604.80000000000018</v>
      </c>
    </row>
    <row r="4002" spans="1:4" x14ac:dyDescent="0.3">
      <c r="A4002" t="s">
        <v>196</v>
      </c>
      <c r="C4002" s="16">
        <v>46296</v>
      </c>
      <c r="D4002">
        <v>21964.799999999959</v>
      </c>
    </row>
    <row r="4003" spans="1:4" x14ac:dyDescent="0.3">
      <c r="A4003" t="s">
        <v>197</v>
      </c>
      <c r="C4003" s="16">
        <v>46296</v>
      </c>
      <c r="D4003">
        <v>794.01</v>
      </c>
    </row>
    <row r="4004" spans="1:4" x14ac:dyDescent="0.3">
      <c r="A4004" t="s">
        <v>214</v>
      </c>
      <c r="C4004" s="16">
        <v>46296</v>
      </c>
      <c r="D4004">
        <v>5445.57</v>
      </c>
    </row>
    <row r="4005" spans="1:4" x14ac:dyDescent="0.3">
      <c r="A4005" t="s">
        <v>199</v>
      </c>
      <c r="C4005" s="16">
        <v>46296</v>
      </c>
      <c r="D4005">
        <v>239523.16999999998</v>
      </c>
    </row>
    <row r="4006" spans="1:4" x14ac:dyDescent="0.3">
      <c r="A4006" t="s">
        <v>17</v>
      </c>
      <c r="C4006" s="16">
        <v>46297</v>
      </c>
      <c r="D4006">
        <v>3099831.9800000004</v>
      </c>
    </row>
    <row r="4007" spans="1:4" x14ac:dyDescent="0.3">
      <c r="A4007" t="s">
        <v>18</v>
      </c>
      <c r="C4007" s="16">
        <v>46297</v>
      </c>
      <c r="D4007">
        <v>103123.59000000017</v>
      </c>
    </row>
    <row r="4008" spans="1:4" x14ac:dyDescent="0.3">
      <c r="A4008" t="s">
        <v>19</v>
      </c>
      <c r="C4008" s="16">
        <v>46297</v>
      </c>
      <c r="D4008">
        <v>1669.89</v>
      </c>
    </row>
    <row r="4009" spans="1:4" x14ac:dyDescent="0.3">
      <c r="A4009" t="s">
        <v>20</v>
      </c>
      <c r="C4009" s="16">
        <v>46297</v>
      </c>
      <c r="D4009">
        <v>1200526.7499999995</v>
      </c>
    </row>
    <row r="4010" spans="1:4" x14ac:dyDescent="0.3">
      <c r="A4010" t="s">
        <v>21</v>
      </c>
      <c r="C4010" s="16">
        <v>46297</v>
      </c>
      <c r="D4010">
        <v>1586416.1199999996</v>
      </c>
    </row>
    <row r="4011" spans="1:4" x14ac:dyDescent="0.3">
      <c r="A4011" t="s">
        <v>22</v>
      </c>
      <c r="C4011" s="16">
        <v>46297</v>
      </c>
      <c r="D4011">
        <v>208778.14</v>
      </c>
    </row>
    <row r="4012" spans="1:4" x14ac:dyDescent="0.3">
      <c r="A4012" t="s">
        <v>23</v>
      </c>
      <c r="C4012" s="16">
        <v>46297</v>
      </c>
      <c r="D4012">
        <v>80533.579999999987</v>
      </c>
    </row>
    <row r="4013" spans="1:4" x14ac:dyDescent="0.3">
      <c r="A4013" t="s">
        <v>24</v>
      </c>
      <c r="C4013" s="16">
        <v>46297</v>
      </c>
      <c r="D4013">
        <v>10259.18</v>
      </c>
    </row>
    <row r="4014" spans="1:4" x14ac:dyDescent="0.3">
      <c r="A4014" t="s">
        <v>25</v>
      </c>
      <c r="C4014" s="16">
        <v>46297</v>
      </c>
      <c r="D4014">
        <v>64.55</v>
      </c>
    </row>
    <row r="4015" spans="1:4" x14ac:dyDescent="0.3">
      <c r="A4015" t="s">
        <v>26</v>
      </c>
      <c r="C4015" s="16">
        <v>46297</v>
      </c>
      <c r="D4015">
        <v>2117.9700000000003</v>
      </c>
    </row>
    <row r="4016" spans="1:4" x14ac:dyDescent="0.3">
      <c r="A4016" t="s">
        <v>27</v>
      </c>
      <c r="C4016" s="16">
        <v>46297</v>
      </c>
      <c r="D4016">
        <v>17895.290000000015</v>
      </c>
    </row>
    <row r="4017" spans="1:4" x14ac:dyDescent="0.3">
      <c r="A4017" t="s">
        <v>28</v>
      </c>
      <c r="C4017" s="16">
        <v>46297</v>
      </c>
      <c r="D4017">
        <v>1968.99</v>
      </c>
    </row>
    <row r="4018" spans="1:4" x14ac:dyDescent="0.3">
      <c r="A4018" t="s">
        <v>29</v>
      </c>
      <c r="C4018" s="16">
        <v>46297</v>
      </c>
      <c r="D4018">
        <v>901.34</v>
      </c>
    </row>
    <row r="4019" spans="1:4" x14ac:dyDescent="0.3">
      <c r="A4019" t="s">
        <v>30</v>
      </c>
      <c r="C4019" s="16">
        <v>46297</v>
      </c>
      <c r="D4019">
        <v>1364.08</v>
      </c>
    </row>
    <row r="4020" spans="1:4" x14ac:dyDescent="0.3">
      <c r="A4020" t="s">
        <v>31</v>
      </c>
      <c r="C4020" s="16">
        <v>46297</v>
      </c>
      <c r="D4020">
        <v>20171.549999999959</v>
      </c>
    </row>
    <row r="4021" spans="1:4" x14ac:dyDescent="0.3">
      <c r="A4021" t="s">
        <v>32</v>
      </c>
      <c r="C4021" s="16">
        <v>46297</v>
      </c>
      <c r="D4021">
        <v>13576.060000000007</v>
      </c>
    </row>
    <row r="4022" spans="1:4" x14ac:dyDescent="0.3">
      <c r="A4022" t="s">
        <v>33</v>
      </c>
      <c r="C4022" s="16">
        <v>46297</v>
      </c>
      <c r="D4022">
        <v>16893.769999999997</v>
      </c>
    </row>
    <row r="4023" spans="1:4" x14ac:dyDescent="0.3">
      <c r="A4023" t="s">
        <v>34</v>
      </c>
      <c r="C4023" s="16">
        <v>46297</v>
      </c>
      <c r="D4023">
        <v>345</v>
      </c>
    </row>
    <row r="4024" spans="1:4" x14ac:dyDescent="0.3">
      <c r="A4024" t="s">
        <v>35</v>
      </c>
      <c r="C4024" s="16">
        <v>46297</v>
      </c>
      <c r="D4024">
        <v>23072.63</v>
      </c>
    </row>
    <row r="4025" spans="1:4" x14ac:dyDescent="0.3">
      <c r="A4025" t="s">
        <v>193</v>
      </c>
      <c r="C4025" s="16">
        <v>46297</v>
      </c>
      <c r="D4025">
        <v>313178.98000000004</v>
      </c>
    </row>
    <row r="4026" spans="1:4" x14ac:dyDescent="0.3">
      <c r="A4026" t="s">
        <v>194</v>
      </c>
      <c r="C4026" s="16">
        <v>46297</v>
      </c>
      <c r="D4026">
        <v>202864</v>
      </c>
    </row>
    <row r="4027" spans="1:4" x14ac:dyDescent="0.3">
      <c r="A4027" t="s">
        <v>195</v>
      </c>
      <c r="C4027" s="16">
        <v>46297</v>
      </c>
      <c r="D4027">
        <v>604.80000000000018</v>
      </c>
    </row>
    <row r="4028" spans="1:4" x14ac:dyDescent="0.3">
      <c r="A4028" t="s">
        <v>196</v>
      </c>
      <c r="C4028" s="16">
        <v>46297</v>
      </c>
      <c r="D4028">
        <v>21434.939999999973</v>
      </c>
    </row>
    <row r="4029" spans="1:4" x14ac:dyDescent="0.3">
      <c r="A4029" t="s">
        <v>197</v>
      </c>
      <c r="C4029" s="16">
        <v>46297</v>
      </c>
      <c r="D4029">
        <v>794.01</v>
      </c>
    </row>
    <row r="4030" spans="1:4" x14ac:dyDescent="0.3">
      <c r="A4030" t="s">
        <v>214</v>
      </c>
      <c r="C4030" s="16">
        <v>46297</v>
      </c>
      <c r="D4030">
        <v>5445.57</v>
      </c>
    </row>
    <row r="4031" spans="1:4" x14ac:dyDescent="0.3">
      <c r="A4031" t="s">
        <v>199</v>
      </c>
      <c r="C4031" s="16">
        <v>46297</v>
      </c>
      <c r="D4031">
        <v>240473.16999999998</v>
      </c>
    </row>
    <row r="4032" spans="1:4" x14ac:dyDescent="0.3">
      <c r="A4032" t="s">
        <v>17</v>
      </c>
      <c r="C4032" s="16">
        <v>46298</v>
      </c>
      <c r="D4032">
        <v>3099831.9800000004</v>
      </c>
    </row>
    <row r="4033" spans="1:4" x14ac:dyDescent="0.3">
      <c r="A4033" t="s">
        <v>18</v>
      </c>
      <c r="C4033" s="16">
        <v>46298</v>
      </c>
      <c r="D4033">
        <v>103123.59000000017</v>
      </c>
    </row>
    <row r="4034" spans="1:4" x14ac:dyDescent="0.3">
      <c r="A4034" t="s">
        <v>19</v>
      </c>
      <c r="C4034" s="16">
        <v>46298</v>
      </c>
      <c r="D4034">
        <v>1669.89</v>
      </c>
    </row>
    <row r="4035" spans="1:4" x14ac:dyDescent="0.3">
      <c r="A4035" t="s">
        <v>20</v>
      </c>
      <c r="C4035" s="16">
        <v>46298</v>
      </c>
      <c r="D4035">
        <v>1200526.7499999995</v>
      </c>
    </row>
    <row r="4036" spans="1:4" x14ac:dyDescent="0.3">
      <c r="A4036" t="s">
        <v>21</v>
      </c>
      <c r="C4036" s="16">
        <v>46298</v>
      </c>
      <c r="D4036">
        <v>1586416.1199999996</v>
      </c>
    </row>
    <row r="4037" spans="1:4" x14ac:dyDescent="0.3">
      <c r="A4037" t="s">
        <v>22</v>
      </c>
      <c r="C4037" s="16">
        <v>46298</v>
      </c>
      <c r="D4037">
        <v>208778.14</v>
      </c>
    </row>
    <row r="4038" spans="1:4" x14ac:dyDescent="0.3">
      <c r="A4038" t="s">
        <v>23</v>
      </c>
      <c r="C4038" s="16">
        <v>46298</v>
      </c>
      <c r="D4038">
        <v>80533.579999999987</v>
      </c>
    </row>
    <row r="4039" spans="1:4" x14ac:dyDescent="0.3">
      <c r="A4039" t="s">
        <v>24</v>
      </c>
      <c r="C4039" s="16">
        <v>46298</v>
      </c>
      <c r="D4039">
        <v>10259.18</v>
      </c>
    </row>
    <row r="4040" spans="1:4" x14ac:dyDescent="0.3">
      <c r="A4040" t="s">
        <v>25</v>
      </c>
      <c r="C4040" s="16">
        <v>46298</v>
      </c>
      <c r="D4040">
        <v>64.55</v>
      </c>
    </row>
    <row r="4041" spans="1:4" x14ac:dyDescent="0.3">
      <c r="A4041" t="s">
        <v>26</v>
      </c>
      <c r="C4041" s="16">
        <v>46298</v>
      </c>
      <c r="D4041">
        <v>2117.9700000000003</v>
      </c>
    </row>
    <row r="4042" spans="1:4" x14ac:dyDescent="0.3">
      <c r="A4042" t="s">
        <v>27</v>
      </c>
      <c r="C4042" s="16">
        <v>46298</v>
      </c>
      <c r="D4042">
        <v>17895.290000000015</v>
      </c>
    </row>
    <row r="4043" spans="1:4" x14ac:dyDescent="0.3">
      <c r="A4043" t="s">
        <v>28</v>
      </c>
      <c r="C4043" s="16">
        <v>46298</v>
      </c>
      <c r="D4043">
        <v>1968.99</v>
      </c>
    </row>
    <row r="4044" spans="1:4" x14ac:dyDescent="0.3">
      <c r="A4044" t="s">
        <v>29</v>
      </c>
      <c r="C4044" s="16">
        <v>46298</v>
      </c>
      <c r="D4044">
        <v>901.34</v>
      </c>
    </row>
    <row r="4045" spans="1:4" x14ac:dyDescent="0.3">
      <c r="A4045" t="s">
        <v>30</v>
      </c>
      <c r="C4045" s="16">
        <v>46298</v>
      </c>
      <c r="D4045">
        <v>1364.08</v>
      </c>
    </row>
    <row r="4046" spans="1:4" x14ac:dyDescent="0.3">
      <c r="A4046" t="s">
        <v>31</v>
      </c>
      <c r="C4046" s="16">
        <v>46298</v>
      </c>
      <c r="D4046">
        <v>20171.549999999959</v>
      </c>
    </row>
    <row r="4047" spans="1:4" x14ac:dyDescent="0.3">
      <c r="A4047" t="s">
        <v>32</v>
      </c>
      <c r="C4047" s="16">
        <v>46298</v>
      </c>
      <c r="D4047">
        <v>13576.060000000007</v>
      </c>
    </row>
    <row r="4048" spans="1:4" x14ac:dyDescent="0.3">
      <c r="A4048" t="s">
        <v>33</v>
      </c>
      <c r="C4048" s="16">
        <v>46298</v>
      </c>
      <c r="D4048">
        <v>16893.769999999997</v>
      </c>
    </row>
    <row r="4049" spans="1:4" x14ac:dyDescent="0.3">
      <c r="A4049" t="s">
        <v>34</v>
      </c>
      <c r="C4049" s="16">
        <v>46298</v>
      </c>
      <c r="D4049">
        <v>345</v>
      </c>
    </row>
    <row r="4050" spans="1:4" x14ac:dyDescent="0.3">
      <c r="A4050" t="s">
        <v>35</v>
      </c>
      <c r="C4050" s="16">
        <v>46298</v>
      </c>
      <c r="D4050">
        <v>23072.63</v>
      </c>
    </row>
    <row r="4051" spans="1:4" x14ac:dyDescent="0.3">
      <c r="A4051" t="s">
        <v>193</v>
      </c>
      <c r="C4051" s="16">
        <v>46298</v>
      </c>
      <c r="D4051">
        <v>313178.98000000004</v>
      </c>
    </row>
    <row r="4052" spans="1:4" x14ac:dyDescent="0.3">
      <c r="A4052" t="s">
        <v>194</v>
      </c>
      <c r="C4052" s="16">
        <v>46298</v>
      </c>
      <c r="D4052">
        <v>202864</v>
      </c>
    </row>
    <row r="4053" spans="1:4" x14ac:dyDescent="0.3">
      <c r="A4053" t="s">
        <v>195</v>
      </c>
      <c r="C4053" s="16">
        <v>46298</v>
      </c>
      <c r="D4053">
        <v>604.80000000000018</v>
      </c>
    </row>
    <row r="4054" spans="1:4" x14ac:dyDescent="0.3">
      <c r="A4054" t="s">
        <v>196</v>
      </c>
      <c r="C4054" s="16">
        <v>46298</v>
      </c>
      <c r="D4054">
        <v>21434.939999999973</v>
      </c>
    </row>
    <row r="4055" spans="1:4" x14ac:dyDescent="0.3">
      <c r="A4055" t="s">
        <v>197</v>
      </c>
      <c r="C4055" s="16">
        <v>46298</v>
      </c>
      <c r="D4055">
        <v>794.01</v>
      </c>
    </row>
    <row r="4056" spans="1:4" x14ac:dyDescent="0.3">
      <c r="A4056" t="s">
        <v>214</v>
      </c>
      <c r="C4056" s="16">
        <v>46298</v>
      </c>
      <c r="D4056">
        <v>5445.57</v>
      </c>
    </row>
    <row r="4057" spans="1:4" x14ac:dyDescent="0.3">
      <c r="A4057" t="s">
        <v>199</v>
      </c>
      <c r="C4057" s="16">
        <v>46298</v>
      </c>
      <c r="D4057">
        <v>240473.16999999998</v>
      </c>
    </row>
    <row r="4058" spans="1:4" x14ac:dyDescent="0.3">
      <c r="A4058" t="s">
        <v>17</v>
      </c>
      <c r="C4058" s="16">
        <v>46299</v>
      </c>
      <c r="D4058">
        <v>3099831.9800000004</v>
      </c>
    </row>
    <row r="4059" spans="1:4" x14ac:dyDescent="0.3">
      <c r="A4059" t="s">
        <v>18</v>
      </c>
      <c r="C4059" s="16">
        <v>46299</v>
      </c>
      <c r="D4059">
        <v>103123.59000000017</v>
      </c>
    </row>
    <row r="4060" spans="1:4" x14ac:dyDescent="0.3">
      <c r="A4060" t="s">
        <v>19</v>
      </c>
      <c r="C4060" s="16">
        <v>46299</v>
      </c>
      <c r="D4060">
        <v>1669.89</v>
      </c>
    </row>
    <row r="4061" spans="1:4" x14ac:dyDescent="0.3">
      <c r="A4061" t="s">
        <v>20</v>
      </c>
      <c r="C4061" s="16">
        <v>46299</v>
      </c>
      <c r="D4061">
        <v>1200526.7499999995</v>
      </c>
    </row>
    <row r="4062" spans="1:4" x14ac:dyDescent="0.3">
      <c r="A4062" t="s">
        <v>21</v>
      </c>
      <c r="C4062" s="16">
        <v>46299</v>
      </c>
      <c r="D4062">
        <v>1586416.1199999996</v>
      </c>
    </row>
    <row r="4063" spans="1:4" x14ac:dyDescent="0.3">
      <c r="A4063" t="s">
        <v>22</v>
      </c>
      <c r="C4063" s="16">
        <v>46299</v>
      </c>
      <c r="D4063">
        <v>208778.14</v>
      </c>
    </row>
    <row r="4064" spans="1:4" x14ac:dyDescent="0.3">
      <c r="A4064" t="s">
        <v>23</v>
      </c>
      <c r="C4064" s="16">
        <v>46299</v>
      </c>
      <c r="D4064">
        <v>80533.579999999987</v>
      </c>
    </row>
    <row r="4065" spans="1:4" x14ac:dyDescent="0.3">
      <c r="A4065" t="s">
        <v>24</v>
      </c>
      <c r="C4065" s="16">
        <v>46299</v>
      </c>
      <c r="D4065">
        <v>10259.18</v>
      </c>
    </row>
    <row r="4066" spans="1:4" x14ac:dyDescent="0.3">
      <c r="A4066" t="s">
        <v>25</v>
      </c>
      <c r="C4066" s="16">
        <v>46299</v>
      </c>
      <c r="D4066">
        <v>64.55</v>
      </c>
    </row>
    <row r="4067" spans="1:4" x14ac:dyDescent="0.3">
      <c r="A4067" t="s">
        <v>26</v>
      </c>
      <c r="C4067" s="16">
        <v>46299</v>
      </c>
      <c r="D4067">
        <v>2117.9700000000003</v>
      </c>
    </row>
    <row r="4068" spans="1:4" x14ac:dyDescent="0.3">
      <c r="A4068" t="s">
        <v>27</v>
      </c>
      <c r="C4068" s="16">
        <v>46299</v>
      </c>
      <c r="D4068">
        <v>17895.290000000015</v>
      </c>
    </row>
    <row r="4069" spans="1:4" x14ac:dyDescent="0.3">
      <c r="A4069" t="s">
        <v>28</v>
      </c>
      <c r="C4069" s="16">
        <v>46299</v>
      </c>
      <c r="D4069">
        <v>1968.99</v>
      </c>
    </row>
    <row r="4070" spans="1:4" x14ac:dyDescent="0.3">
      <c r="A4070" t="s">
        <v>29</v>
      </c>
      <c r="C4070" s="16">
        <v>46299</v>
      </c>
      <c r="D4070">
        <v>901.34</v>
      </c>
    </row>
    <row r="4071" spans="1:4" x14ac:dyDescent="0.3">
      <c r="A4071" t="s">
        <v>30</v>
      </c>
      <c r="C4071" s="16">
        <v>46299</v>
      </c>
      <c r="D4071">
        <v>1364.08</v>
      </c>
    </row>
    <row r="4072" spans="1:4" x14ac:dyDescent="0.3">
      <c r="A4072" t="s">
        <v>31</v>
      </c>
      <c r="C4072" s="16">
        <v>46299</v>
      </c>
      <c r="D4072">
        <v>20171.549999999959</v>
      </c>
    </row>
    <row r="4073" spans="1:4" x14ac:dyDescent="0.3">
      <c r="A4073" t="s">
        <v>32</v>
      </c>
      <c r="C4073" s="16">
        <v>46299</v>
      </c>
      <c r="D4073">
        <v>13576.060000000007</v>
      </c>
    </row>
    <row r="4074" spans="1:4" x14ac:dyDescent="0.3">
      <c r="A4074" t="s">
        <v>33</v>
      </c>
      <c r="C4074" s="16">
        <v>46299</v>
      </c>
      <c r="D4074">
        <v>16893.769999999997</v>
      </c>
    </row>
    <row r="4075" spans="1:4" x14ac:dyDescent="0.3">
      <c r="A4075" t="s">
        <v>34</v>
      </c>
      <c r="C4075" s="16">
        <v>46299</v>
      </c>
      <c r="D4075">
        <v>345</v>
      </c>
    </row>
    <row r="4076" spans="1:4" x14ac:dyDescent="0.3">
      <c r="A4076" t="s">
        <v>35</v>
      </c>
      <c r="C4076" s="16">
        <v>46299</v>
      </c>
      <c r="D4076">
        <v>23072.63</v>
      </c>
    </row>
    <row r="4077" spans="1:4" x14ac:dyDescent="0.3">
      <c r="A4077" t="s">
        <v>193</v>
      </c>
      <c r="C4077" s="16">
        <v>46299</v>
      </c>
      <c r="D4077">
        <v>313178.98000000004</v>
      </c>
    </row>
    <row r="4078" spans="1:4" x14ac:dyDescent="0.3">
      <c r="A4078" t="s">
        <v>194</v>
      </c>
      <c r="C4078" s="16">
        <v>46299</v>
      </c>
      <c r="D4078">
        <v>202864</v>
      </c>
    </row>
    <row r="4079" spans="1:4" x14ac:dyDescent="0.3">
      <c r="A4079" t="s">
        <v>195</v>
      </c>
      <c r="C4079" s="16">
        <v>46299</v>
      </c>
      <c r="D4079">
        <v>604.80000000000018</v>
      </c>
    </row>
    <row r="4080" spans="1:4" x14ac:dyDescent="0.3">
      <c r="A4080" t="s">
        <v>196</v>
      </c>
      <c r="C4080" s="16">
        <v>46299</v>
      </c>
      <c r="D4080">
        <v>21434.939999999973</v>
      </c>
    </row>
    <row r="4081" spans="1:4" x14ac:dyDescent="0.3">
      <c r="A4081" t="s">
        <v>197</v>
      </c>
      <c r="C4081" s="16">
        <v>46299</v>
      </c>
      <c r="D4081">
        <v>794.01</v>
      </c>
    </row>
    <row r="4082" spans="1:4" x14ac:dyDescent="0.3">
      <c r="A4082" t="s">
        <v>214</v>
      </c>
      <c r="C4082" s="16">
        <v>46299</v>
      </c>
      <c r="D4082">
        <v>5445.57</v>
      </c>
    </row>
    <row r="4083" spans="1:4" x14ac:dyDescent="0.3">
      <c r="A4083" t="s">
        <v>199</v>
      </c>
      <c r="C4083" s="16">
        <v>46299</v>
      </c>
      <c r="D4083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2026-10-05T22:37:12Z</dcterms:modified>
  <dc:language>en-US</dc:language>
</cp:coreProperties>
</file>