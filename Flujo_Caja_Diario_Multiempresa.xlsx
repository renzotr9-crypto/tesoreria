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99" documentId="8_{BBC9EA4E-7F3B-475F-B61B-890F681C3A1C}" xr6:coauthVersionLast="47" xr6:coauthVersionMax="47" xr10:uidLastSave="{078C0E06-EA90-4531-AF69-9F33264B3F7C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3" i="6" l="1"/>
  <c r="C183" i="6"/>
  <c r="D183" i="6"/>
  <c r="E183" i="6"/>
  <c r="F183" i="6"/>
  <c r="G183" i="6"/>
  <c r="AE183" i="6" s="1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N1361" i="1"/>
  <c r="O1361" i="1"/>
  <c r="P1361" i="1"/>
  <c r="Q1361" i="1"/>
  <c r="R1361" i="1"/>
  <c r="N1362" i="1"/>
  <c r="O1362" i="1"/>
  <c r="P1362" i="1"/>
  <c r="Q1362" i="1"/>
  <c r="R1362" i="1"/>
  <c r="N1363" i="1"/>
  <c r="O1363" i="1"/>
  <c r="P1363" i="1"/>
  <c r="Q1363" i="1"/>
  <c r="R1363" i="1"/>
  <c r="N1364" i="1"/>
  <c r="O1364" i="1"/>
  <c r="P1364" i="1"/>
  <c r="Q1364" i="1"/>
  <c r="R1364" i="1"/>
  <c r="N1365" i="1"/>
  <c r="P1365" i="1" s="1"/>
  <c r="O1365" i="1"/>
  <c r="Q1365" i="1"/>
  <c r="R1365" i="1"/>
  <c r="N1366" i="1"/>
  <c r="O1366" i="1"/>
  <c r="P1366" i="1"/>
  <c r="Q1366" i="1"/>
  <c r="R1366" i="1"/>
  <c r="N1367" i="1"/>
  <c r="O1367" i="1"/>
  <c r="P1367" i="1"/>
  <c r="Q1367" i="1"/>
  <c r="R1367" i="1"/>
  <c r="N1368" i="1"/>
  <c r="O1368" i="1"/>
  <c r="P1368" i="1" s="1"/>
  <c r="Q1368" i="1"/>
  <c r="R1368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T26" i="3"/>
  <c r="Z32" i="3"/>
  <c r="Z35" i="3"/>
  <c r="Z21" i="3"/>
  <c r="Z31" i="3"/>
  <c r="Z8" i="3"/>
  <c r="J11" i="3"/>
  <c r="K35" i="3"/>
  <c r="U11" i="3"/>
  <c r="K24" i="3"/>
  <c r="Z19" i="3"/>
  <c r="Z24" i="3"/>
  <c r="Z10" i="3"/>
  <c r="Z26" i="3"/>
  <c r="Y26" i="3"/>
  <c r="T11" i="3"/>
  <c r="Z29" i="3"/>
  <c r="O26" i="3"/>
  <c r="K26" i="3"/>
  <c r="J24" i="3"/>
  <c r="P26" i="3"/>
  <c r="Z33" i="3"/>
  <c r="Z11" i="3"/>
  <c r="P11" i="3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N1357" i="1"/>
  <c r="N1358" i="1"/>
  <c r="P1358" i="1" s="1"/>
  <c r="N1359" i="1"/>
  <c r="P1359" i="1" s="1"/>
  <c r="N1360" i="1"/>
  <c r="O1357" i="1"/>
  <c r="P1357" i="1" s="1"/>
  <c r="O1358" i="1"/>
  <c r="O1359" i="1"/>
  <c r="O1360" i="1"/>
  <c r="P1360" i="1"/>
  <c r="Q1357" i="1"/>
  <c r="Q1358" i="1"/>
  <c r="Q1359" i="1"/>
  <c r="Q1360" i="1"/>
  <c r="R1357" i="1"/>
  <c r="R1358" i="1"/>
  <c r="R1359" i="1"/>
  <c r="R1360" i="1"/>
  <c r="A182" i="6"/>
  <c r="N1352" i="1"/>
  <c r="O1352" i="1"/>
  <c r="P1352" i="1" s="1"/>
  <c r="Q1352" i="1"/>
  <c r="R1352" i="1"/>
  <c r="N1353" i="1"/>
  <c r="O1353" i="1"/>
  <c r="P1353" i="1"/>
  <c r="Q1353" i="1"/>
  <c r="R1353" i="1"/>
  <c r="N1354" i="1"/>
  <c r="O1354" i="1"/>
  <c r="P1354" i="1"/>
  <c r="Q1354" i="1"/>
  <c r="R1354" i="1"/>
  <c r="N1355" i="1"/>
  <c r="O1355" i="1"/>
  <c r="P1355" i="1"/>
  <c r="Q1355" i="1"/>
  <c r="R1355" i="1"/>
  <c r="N1356" i="1"/>
  <c r="O1356" i="1"/>
  <c r="P1356" i="1"/>
  <c r="Q1356" i="1"/>
  <c r="R1356" i="1"/>
  <c r="K1351" i="1"/>
  <c r="K1352" i="1"/>
  <c r="K1353" i="1"/>
  <c r="K1354" i="1"/>
  <c r="K1355" i="1"/>
  <c r="K1356" i="1"/>
  <c r="I1352" i="1"/>
  <c r="I1353" i="1"/>
  <c r="I1354" i="1"/>
  <c r="I1355" i="1"/>
  <c r="I1356" i="1"/>
  <c r="C1352" i="1"/>
  <c r="C1353" i="1"/>
  <c r="C1354" i="1"/>
  <c r="C1355" i="1"/>
  <c r="C1356" i="1"/>
  <c r="E1352" i="1"/>
  <c r="E1353" i="1"/>
  <c r="E1354" i="1"/>
  <c r="E1355" i="1"/>
  <c r="E1356" i="1"/>
  <c r="H1352" i="1"/>
  <c r="H1353" i="1"/>
  <c r="H1354" i="1"/>
  <c r="H1355" i="1"/>
  <c r="H1356" i="1"/>
  <c r="A181" i="6"/>
  <c r="K1349" i="1"/>
  <c r="K1350" i="1"/>
  <c r="I1349" i="1"/>
  <c r="I1350" i="1"/>
  <c r="I1351" i="1"/>
  <c r="C1349" i="1"/>
  <c r="C1350" i="1"/>
  <c r="C1351" i="1"/>
  <c r="E1349" i="1"/>
  <c r="E1350" i="1"/>
  <c r="E1351" i="1"/>
  <c r="H1349" i="1"/>
  <c r="H1350" i="1"/>
  <c r="H1351" i="1"/>
  <c r="N1349" i="1"/>
  <c r="N1350" i="1"/>
  <c r="N1351" i="1"/>
  <c r="P1351" i="1" s="1"/>
  <c r="O1349" i="1"/>
  <c r="P1349" i="1" s="1"/>
  <c r="O1350" i="1"/>
  <c r="O1351" i="1"/>
  <c r="P1350" i="1"/>
  <c r="Q1349" i="1"/>
  <c r="Q1350" i="1"/>
  <c r="Q1351" i="1"/>
  <c r="R1349" i="1"/>
  <c r="R1350" i="1"/>
  <c r="R1351" i="1"/>
  <c r="A180" i="6"/>
  <c r="K1344" i="1"/>
  <c r="N1344" i="1"/>
  <c r="O1344" i="1"/>
  <c r="P1344" i="1" s="1"/>
  <c r="Q1344" i="1"/>
  <c r="R1344" i="1"/>
  <c r="K1345" i="1"/>
  <c r="N1345" i="1"/>
  <c r="P1345" i="1" s="1"/>
  <c r="O1345" i="1"/>
  <c r="Q1345" i="1"/>
  <c r="R1345" i="1"/>
  <c r="K1346" i="1"/>
  <c r="N1346" i="1"/>
  <c r="P1346" i="1" s="1"/>
  <c r="O1346" i="1"/>
  <c r="Q1346" i="1"/>
  <c r="R1346" i="1"/>
  <c r="K1347" i="1"/>
  <c r="N1347" i="1"/>
  <c r="P1347" i="1" s="1"/>
  <c r="O1347" i="1"/>
  <c r="Q1347" i="1"/>
  <c r="R1347" i="1"/>
  <c r="K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P1190" i="1" s="1"/>
  <c r="O1190" i="1"/>
  <c r="N1191" i="1"/>
  <c r="P1191" i="1" s="1"/>
  <c r="O1191" i="1"/>
  <c r="N1192" i="1"/>
  <c r="P1192" i="1" s="1"/>
  <c r="O1192" i="1"/>
  <c r="N1201" i="1"/>
  <c r="P1201" i="1" s="1"/>
  <c r="O1201" i="1"/>
  <c r="N1212" i="1"/>
  <c r="P1212" i="1" s="1"/>
  <c r="O1212" i="1"/>
  <c r="N1213" i="1"/>
  <c r="O1213" i="1"/>
  <c r="P1213" i="1" s="1"/>
  <c r="N1248" i="1"/>
  <c r="O1248" i="1"/>
  <c r="P1248" i="1" s="1"/>
  <c r="N1276" i="1"/>
  <c r="O1276" i="1"/>
  <c r="P1276" i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P1278" i="1" s="1"/>
  <c r="O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 s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 s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 s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 s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 s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 s="1"/>
  <c r="Q164" i="1"/>
  <c r="R164" i="1"/>
  <c r="N165" i="1"/>
  <c r="O165" i="1"/>
  <c r="P165" i="1" s="1"/>
  <c r="Q165" i="1"/>
  <c r="R165" i="1"/>
  <c r="N166" i="1"/>
  <c r="O166" i="1"/>
  <c r="P166" i="1" s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 s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 s="1"/>
  <c r="Q207" i="1"/>
  <c r="R207" i="1"/>
  <c r="N208" i="1"/>
  <c r="O208" i="1"/>
  <c r="P208" i="1" s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 s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 s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 s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 s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 s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 s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 s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P543" i="1" s="1"/>
  <c r="O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 s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P619" i="1" s="1"/>
  <c r="O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 s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 s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 s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 s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 s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 s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P830" i="1" s="1"/>
  <c r="O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 s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P877" i="1" s="1"/>
  <c r="O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 s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P901" i="1" s="1"/>
  <c r="O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P910" i="1" s="1"/>
  <c r="O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 s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 s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O1004" i="1"/>
  <c r="P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 s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 s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M179" i="1" s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M113" i="1" s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M94" i="1" s="1"/>
  <c r="C93" i="1"/>
  <c r="C92" i="1"/>
  <c r="C91" i="1"/>
  <c r="C90" i="1"/>
  <c r="C89" i="1"/>
  <c r="M89" i="1" s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M67" i="1" s="1"/>
  <c r="C66" i="1"/>
  <c r="C65" i="1"/>
  <c r="M65" i="1" s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M49" i="1" s="1"/>
  <c r="C48" i="1"/>
  <c r="C47" i="1"/>
  <c r="C46" i="1"/>
  <c r="C45" i="1"/>
  <c r="C44" i="1"/>
  <c r="C43" i="1"/>
  <c r="M43" i="1" s="1"/>
  <c r="C42" i="1"/>
  <c r="C41" i="1"/>
  <c r="C40" i="1"/>
  <c r="C39" i="1"/>
  <c r="C38" i="1"/>
  <c r="C37" i="1"/>
  <c r="M37" i="1" s="1"/>
  <c r="C36" i="1"/>
  <c r="C35" i="1"/>
  <c r="C34" i="1"/>
  <c r="C33" i="1"/>
  <c r="M33" i="1" s="1"/>
  <c r="C32" i="1"/>
  <c r="M32" i="1" s="1"/>
  <c r="C31" i="1"/>
  <c r="C30" i="1"/>
  <c r="M30" i="1" s="1"/>
  <c r="C29" i="1"/>
  <c r="M29" i="1" s="1"/>
  <c r="C28" i="1"/>
  <c r="C27" i="1"/>
  <c r="M27" i="1" s="1"/>
  <c r="C26" i="1"/>
  <c r="M26" i="1" s="1"/>
  <c r="C25" i="1"/>
  <c r="M25" i="1" s="1"/>
  <c r="C24" i="1"/>
  <c r="C23" i="1"/>
  <c r="C22" i="1"/>
  <c r="M22" i="1" s="1"/>
  <c r="C21" i="1"/>
  <c r="M21" i="1" s="1"/>
  <c r="C20" i="1"/>
  <c r="M20" i="1" s="1"/>
  <c r="C19" i="1"/>
  <c r="C18" i="1"/>
  <c r="C17" i="1"/>
  <c r="C16" i="1"/>
  <c r="C15" i="1"/>
  <c r="M15" i="1" s="1"/>
  <c r="C14" i="1"/>
  <c r="C13" i="1"/>
  <c r="M13" i="1" s="1"/>
  <c r="C12" i="1"/>
  <c r="C11" i="1"/>
  <c r="M11" i="1" s="1"/>
  <c r="C10" i="1"/>
  <c r="C9" i="1"/>
  <c r="M9" i="1" s="1"/>
  <c r="C8" i="1"/>
  <c r="C7" i="1"/>
  <c r="C6" i="1"/>
  <c r="C5" i="1"/>
  <c r="C4" i="1"/>
  <c r="C3" i="1"/>
  <c r="M3" i="1" s="1"/>
  <c r="C2" i="1"/>
  <c r="C234" i="1"/>
  <c r="C235" i="1"/>
  <c r="C236" i="1"/>
  <c r="C237" i="1"/>
  <c r="C238" i="1"/>
  <c r="C239" i="1"/>
  <c r="C240" i="1"/>
  <c r="C241" i="1"/>
  <c r="C242" i="1"/>
  <c r="M242" i="1" s="1"/>
  <c r="C243" i="1"/>
  <c r="C244" i="1"/>
  <c r="C245" i="1"/>
  <c r="C246" i="1"/>
  <c r="C247" i="1"/>
  <c r="C248" i="1"/>
  <c r="C249" i="1"/>
  <c r="C250" i="1"/>
  <c r="M250" i="1" s="1"/>
  <c r="C251" i="1"/>
  <c r="C252" i="1"/>
  <c r="C253" i="1"/>
  <c r="M253" i="1" s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M266" i="1" s="1"/>
  <c r="C267" i="1"/>
  <c r="C268" i="1"/>
  <c r="C269" i="1"/>
  <c r="C270" i="1"/>
  <c r="C271" i="1"/>
  <c r="C272" i="1"/>
  <c r="C273" i="1"/>
  <c r="C274" i="1"/>
  <c r="M274" i="1" s="1"/>
  <c r="C275" i="1"/>
  <c r="C276" i="1"/>
  <c r="C277" i="1"/>
  <c r="C278" i="1"/>
  <c r="C279" i="1"/>
  <c r="C280" i="1"/>
  <c r="C281" i="1"/>
  <c r="C282" i="1"/>
  <c r="M282" i="1" s="1"/>
  <c r="C283" i="1"/>
  <c r="C284" i="1"/>
  <c r="C285" i="1"/>
  <c r="C286" i="1"/>
  <c r="C287" i="1"/>
  <c r="C288" i="1"/>
  <c r="C289" i="1"/>
  <c r="C290" i="1"/>
  <c r="M290" i="1" s="1"/>
  <c r="C291" i="1"/>
  <c r="C292" i="1"/>
  <c r="C293" i="1"/>
  <c r="C294" i="1"/>
  <c r="C295" i="1"/>
  <c r="C296" i="1"/>
  <c r="C297" i="1"/>
  <c r="C298" i="1"/>
  <c r="M298" i="1" s="1"/>
  <c r="C299" i="1"/>
  <c r="C300" i="1"/>
  <c r="C301" i="1"/>
  <c r="C302" i="1"/>
  <c r="C303" i="1"/>
  <c r="C304" i="1"/>
  <c r="C305" i="1"/>
  <c r="C306" i="1"/>
  <c r="M306" i="1" s="1"/>
  <c r="C307" i="1"/>
  <c r="C308" i="1"/>
  <c r="C309" i="1"/>
  <c r="C310" i="1"/>
  <c r="C311" i="1"/>
  <c r="C312" i="1"/>
  <c r="C313" i="1"/>
  <c r="C314" i="1"/>
  <c r="M314" i="1" s="1"/>
  <c r="C315" i="1"/>
  <c r="C316" i="1"/>
  <c r="C317" i="1"/>
  <c r="C318" i="1"/>
  <c r="C319" i="1"/>
  <c r="C320" i="1"/>
  <c r="C321" i="1"/>
  <c r="C322" i="1"/>
  <c r="M322" i="1" s="1"/>
  <c r="C323" i="1"/>
  <c r="C324" i="1"/>
  <c r="C325" i="1"/>
  <c r="C326" i="1"/>
  <c r="C327" i="1"/>
  <c r="C328" i="1"/>
  <c r="C329" i="1"/>
  <c r="C330" i="1"/>
  <c r="M330" i="1" s="1"/>
  <c r="C331" i="1"/>
  <c r="C332" i="1"/>
  <c r="C333" i="1"/>
  <c r="C334" i="1"/>
  <c r="C335" i="1"/>
  <c r="C336" i="1"/>
  <c r="C337" i="1"/>
  <c r="C338" i="1"/>
  <c r="M338" i="1" s="1"/>
  <c r="C339" i="1"/>
  <c r="C340" i="1"/>
  <c r="C341" i="1"/>
  <c r="C342" i="1"/>
  <c r="C343" i="1"/>
  <c r="C344" i="1"/>
  <c r="C345" i="1"/>
  <c r="C346" i="1"/>
  <c r="M346" i="1" s="1"/>
  <c r="C347" i="1"/>
  <c r="C348" i="1"/>
  <c r="C349" i="1"/>
  <c r="C350" i="1"/>
  <c r="M350" i="1" s="1"/>
  <c r="C351" i="1"/>
  <c r="C352" i="1"/>
  <c r="C353" i="1"/>
  <c r="C354" i="1"/>
  <c r="M354" i="1" s="1"/>
  <c r="C355" i="1"/>
  <c r="C356" i="1"/>
  <c r="C357" i="1"/>
  <c r="C358" i="1"/>
  <c r="C359" i="1"/>
  <c r="C360" i="1"/>
  <c r="C361" i="1"/>
  <c r="C362" i="1"/>
  <c r="M362" i="1" s="1"/>
  <c r="C363" i="1"/>
  <c r="C364" i="1"/>
  <c r="C365" i="1"/>
  <c r="C366" i="1"/>
  <c r="C367" i="1"/>
  <c r="C368" i="1"/>
  <c r="C369" i="1"/>
  <c r="C370" i="1"/>
  <c r="M370" i="1" s="1"/>
  <c r="C371" i="1"/>
  <c r="C372" i="1"/>
  <c r="C373" i="1"/>
  <c r="C374" i="1"/>
  <c r="C375" i="1"/>
  <c r="C376" i="1"/>
  <c r="M376" i="1" s="1"/>
  <c r="C377" i="1"/>
  <c r="C378" i="1"/>
  <c r="M378" i="1" s="1"/>
  <c r="C379" i="1"/>
  <c r="C380" i="1"/>
  <c r="C381" i="1"/>
  <c r="C382" i="1"/>
  <c r="C383" i="1"/>
  <c r="C384" i="1"/>
  <c r="C385" i="1"/>
  <c r="C386" i="1"/>
  <c r="M386" i="1" s="1"/>
  <c r="C387" i="1"/>
  <c r="C388" i="1"/>
  <c r="C389" i="1"/>
  <c r="C390" i="1"/>
  <c r="C391" i="1"/>
  <c r="C392" i="1"/>
  <c r="C393" i="1"/>
  <c r="C394" i="1"/>
  <c r="M394" i="1" s="1"/>
  <c r="C395" i="1"/>
  <c r="C396" i="1"/>
  <c r="C397" i="1"/>
  <c r="C398" i="1"/>
  <c r="C399" i="1"/>
  <c r="C400" i="1"/>
  <c r="C401" i="1"/>
  <c r="C402" i="1"/>
  <c r="M402" i="1" s="1"/>
  <c r="C403" i="1"/>
  <c r="C404" i="1"/>
  <c r="C405" i="1"/>
  <c r="C406" i="1"/>
  <c r="C407" i="1"/>
  <c r="C408" i="1"/>
  <c r="C409" i="1"/>
  <c r="C410" i="1"/>
  <c r="M410" i="1" s="1"/>
  <c r="C411" i="1"/>
  <c r="C412" i="1"/>
  <c r="C413" i="1"/>
  <c r="C414" i="1"/>
  <c r="C415" i="1"/>
  <c r="C416" i="1"/>
  <c r="C417" i="1"/>
  <c r="C418" i="1"/>
  <c r="M418" i="1" s="1"/>
  <c r="C419" i="1"/>
  <c r="C420" i="1"/>
  <c r="C421" i="1"/>
  <c r="C422" i="1"/>
  <c r="C423" i="1"/>
  <c r="C424" i="1"/>
  <c r="C425" i="1"/>
  <c r="C426" i="1"/>
  <c r="M426" i="1" s="1"/>
  <c r="C427" i="1"/>
  <c r="C428" i="1"/>
  <c r="C429" i="1"/>
  <c r="C430" i="1"/>
  <c r="C431" i="1"/>
  <c r="M431" i="1" s="1"/>
  <c r="C432" i="1"/>
  <c r="C433" i="1"/>
  <c r="C434" i="1"/>
  <c r="M434" i="1" s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M458" i="1" s="1"/>
  <c r="C459" i="1"/>
  <c r="C460" i="1"/>
  <c r="C461" i="1"/>
  <c r="C462" i="1"/>
  <c r="C463" i="1"/>
  <c r="C464" i="1"/>
  <c r="C465" i="1"/>
  <c r="C466" i="1"/>
  <c r="M466" i="1" s="1"/>
  <c r="C467" i="1"/>
  <c r="C468" i="1"/>
  <c r="C469" i="1"/>
  <c r="C470" i="1"/>
  <c r="C471" i="1"/>
  <c r="C472" i="1"/>
  <c r="C473" i="1"/>
  <c r="C474" i="1"/>
  <c r="M474" i="1" s="1"/>
  <c r="C475" i="1"/>
  <c r="C476" i="1"/>
  <c r="C477" i="1"/>
  <c r="C478" i="1"/>
  <c r="C479" i="1"/>
  <c r="C480" i="1"/>
  <c r="C481" i="1"/>
  <c r="C482" i="1"/>
  <c r="M482" i="1" s="1"/>
  <c r="C483" i="1"/>
  <c r="C484" i="1"/>
  <c r="C485" i="1"/>
  <c r="C486" i="1"/>
  <c r="C487" i="1"/>
  <c r="C488" i="1"/>
  <c r="C489" i="1"/>
  <c r="C490" i="1"/>
  <c r="M490" i="1" s="1"/>
  <c r="C491" i="1"/>
  <c r="C492" i="1"/>
  <c r="C493" i="1"/>
  <c r="C494" i="1"/>
  <c r="M494" i="1" s="1"/>
  <c r="C495" i="1"/>
  <c r="C496" i="1"/>
  <c r="C497" i="1"/>
  <c r="C498" i="1"/>
  <c r="M498" i="1" s="1"/>
  <c r="C499" i="1"/>
  <c r="C500" i="1"/>
  <c r="C501" i="1"/>
  <c r="C502" i="1"/>
  <c r="C503" i="1"/>
  <c r="C504" i="1"/>
  <c r="C505" i="1"/>
  <c r="C506" i="1"/>
  <c r="M506" i="1" s="1"/>
  <c r="C507" i="1"/>
  <c r="C508" i="1"/>
  <c r="C509" i="1"/>
  <c r="C510" i="1"/>
  <c r="C511" i="1"/>
  <c r="C512" i="1"/>
  <c r="C513" i="1"/>
  <c r="C514" i="1"/>
  <c r="M514" i="1" s="1"/>
  <c r="C515" i="1"/>
  <c r="C516" i="1"/>
  <c r="C517" i="1"/>
  <c r="C518" i="1"/>
  <c r="C519" i="1"/>
  <c r="C520" i="1"/>
  <c r="C521" i="1"/>
  <c r="C522" i="1"/>
  <c r="M522" i="1" s="1"/>
  <c r="C523" i="1"/>
  <c r="M523" i="1" s="1"/>
  <c r="C524" i="1"/>
  <c r="C525" i="1"/>
  <c r="C526" i="1"/>
  <c r="C527" i="1"/>
  <c r="C528" i="1"/>
  <c r="C529" i="1"/>
  <c r="C530" i="1"/>
  <c r="M530" i="1" s="1"/>
  <c r="C531" i="1"/>
  <c r="C532" i="1"/>
  <c r="C533" i="1"/>
  <c r="C534" i="1"/>
  <c r="C535" i="1"/>
  <c r="C536" i="1"/>
  <c r="C537" i="1"/>
  <c r="C538" i="1"/>
  <c r="M538" i="1" s="1"/>
  <c r="C539" i="1"/>
  <c r="C540" i="1"/>
  <c r="C541" i="1"/>
  <c r="C542" i="1"/>
  <c r="C543" i="1"/>
  <c r="C544" i="1"/>
  <c r="C545" i="1"/>
  <c r="C546" i="1"/>
  <c r="M546" i="1" s="1"/>
  <c r="C547" i="1"/>
  <c r="C548" i="1"/>
  <c r="C549" i="1"/>
  <c r="C550" i="1"/>
  <c r="C551" i="1"/>
  <c r="C552" i="1"/>
  <c r="C553" i="1"/>
  <c r="C554" i="1"/>
  <c r="M554" i="1" s="1"/>
  <c r="C555" i="1"/>
  <c r="C556" i="1"/>
  <c r="C557" i="1"/>
  <c r="C558" i="1"/>
  <c r="C559" i="1"/>
  <c r="C560" i="1"/>
  <c r="C561" i="1"/>
  <c r="C562" i="1"/>
  <c r="M562" i="1" s="1"/>
  <c r="C563" i="1"/>
  <c r="C564" i="1"/>
  <c r="C565" i="1"/>
  <c r="C566" i="1"/>
  <c r="C567" i="1"/>
  <c r="C568" i="1"/>
  <c r="C569" i="1"/>
  <c r="C570" i="1"/>
  <c r="M570" i="1" s="1"/>
  <c r="C571" i="1"/>
  <c r="C572" i="1"/>
  <c r="C573" i="1"/>
  <c r="C574" i="1"/>
  <c r="C575" i="1"/>
  <c r="C576" i="1"/>
  <c r="C577" i="1"/>
  <c r="C578" i="1"/>
  <c r="M578" i="1" s="1"/>
  <c r="C579" i="1"/>
  <c r="C580" i="1"/>
  <c r="C581" i="1"/>
  <c r="C582" i="1"/>
  <c r="C583" i="1"/>
  <c r="C584" i="1"/>
  <c r="C585" i="1"/>
  <c r="C586" i="1"/>
  <c r="M586" i="1" s="1"/>
  <c r="C587" i="1"/>
  <c r="C588" i="1"/>
  <c r="M588" i="1" s="1"/>
  <c r="C589" i="1"/>
  <c r="C590" i="1"/>
  <c r="C591" i="1"/>
  <c r="C592" i="1"/>
  <c r="C593" i="1"/>
  <c r="C594" i="1"/>
  <c r="M594" i="1" s="1"/>
  <c r="C595" i="1"/>
  <c r="C596" i="1"/>
  <c r="C597" i="1"/>
  <c r="C598" i="1"/>
  <c r="C599" i="1"/>
  <c r="C600" i="1"/>
  <c r="C601" i="1"/>
  <c r="C602" i="1"/>
  <c r="M602" i="1" s="1"/>
  <c r="C603" i="1"/>
  <c r="C604" i="1"/>
  <c r="C605" i="1"/>
  <c r="C606" i="1"/>
  <c r="C607" i="1"/>
  <c r="C608" i="1"/>
  <c r="C609" i="1"/>
  <c r="C610" i="1"/>
  <c r="M610" i="1" s="1"/>
  <c r="C611" i="1"/>
  <c r="C612" i="1"/>
  <c r="C613" i="1"/>
  <c r="C614" i="1"/>
  <c r="C615" i="1"/>
  <c r="C616" i="1"/>
  <c r="C617" i="1"/>
  <c r="C618" i="1"/>
  <c r="M618" i="1" s="1"/>
  <c r="C619" i="1"/>
  <c r="C620" i="1"/>
  <c r="C621" i="1"/>
  <c r="M621" i="1" s="1"/>
  <c r="C622" i="1"/>
  <c r="C623" i="1"/>
  <c r="C624" i="1"/>
  <c r="C625" i="1"/>
  <c r="C626" i="1"/>
  <c r="M626" i="1" s="1"/>
  <c r="C627" i="1"/>
  <c r="C628" i="1"/>
  <c r="C629" i="1"/>
  <c r="C630" i="1"/>
  <c r="C631" i="1"/>
  <c r="C632" i="1"/>
  <c r="C633" i="1"/>
  <c r="C634" i="1"/>
  <c r="M634" i="1" s="1"/>
  <c r="C635" i="1"/>
  <c r="C636" i="1"/>
  <c r="C637" i="1"/>
  <c r="C638" i="1"/>
  <c r="C639" i="1"/>
  <c r="C640" i="1"/>
  <c r="C641" i="1"/>
  <c r="C642" i="1"/>
  <c r="M642" i="1" s="1"/>
  <c r="C643" i="1"/>
  <c r="C644" i="1"/>
  <c r="C645" i="1"/>
  <c r="C646" i="1"/>
  <c r="M646" i="1" s="1"/>
  <c r="C647" i="1"/>
  <c r="C648" i="1"/>
  <c r="C649" i="1"/>
  <c r="C650" i="1"/>
  <c r="M650" i="1" s="1"/>
  <c r="C651" i="1"/>
  <c r="C652" i="1"/>
  <c r="C653" i="1"/>
  <c r="C654" i="1"/>
  <c r="C655" i="1"/>
  <c r="C656" i="1"/>
  <c r="C657" i="1"/>
  <c r="C658" i="1"/>
  <c r="M658" i="1" s="1"/>
  <c r="C659" i="1"/>
  <c r="C660" i="1"/>
  <c r="C661" i="1"/>
  <c r="C662" i="1"/>
  <c r="C663" i="1"/>
  <c r="C664" i="1"/>
  <c r="C665" i="1"/>
  <c r="C666" i="1"/>
  <c r="M666" i="1" s="1"/>
  <c r="C667" i="1"/>
  <c r="C668" i="1"/>
  <c r="C669" i="1"/>
  <c r="C670" i="1"/>
  <c r="C671" i="1"/>
  <c r="C672" i="1"/>
  <c r="M672" i="1" s="1"/>
  <c r="C673" i="1"/>
  <c r="C674" i="1"/>
  <c r="M674" i="1" s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M690" i="1" s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M706" i="1" s="1"/>
  <c r="C707" i="1"/>
  <c r="C708" i="1"/>
  <c r="C709" i="1"/>
  <c r="C710" i="1"/>
  <c r="C711" i="1"/>
  <c r="C712" i="1"/>
  <c r="C713" i="1"/>
  <c r="C714" i="1"/>
  <c r="M714" i="1" s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M730" i="1" s="1"/>
  <c r="C731" i="1"/>
  <c r="C732" i="1"/>
  <c r="C733" i="1"/>
  <c r="C734" i="1"/>
  <c r="C735" i="1"/>
  <c r="C736" i="1"/>
  <c r="C737" i="1"/>
  <c r="C738" i="1"/>
  <c r="M738" i="1" s="1"/>
  <c r="C739" i="1"/>
  <c r="C740" i="1"/>
  <c r="C741" i="1"/>
  <c r="C742" i="1"/>
  <c r="C743" i="1"/>
  <c r="C744" i="1"/>
  <c r="C745" i="1"/>
  <c r="C746" i="1"/>
  <c r="M746" i="1" s="1"/>
  <c r="C747" i="1"/>
  <c r="C748" i="1"/>
  <c r="C749" i="1"/>
  <c r="C750" i="1"/>
  <c r="C751" i="1"/>
  <c r="C752" i="1"/>
  <c r="C753" i="1"/>
  <c r="C754" i="1"/>
  <c r="M754" i="1" s="1"/>
  <c r="C755" i="1"/>
  <c r="C756" i="1"/>
  <c r="C757" i="1"/>
  <c r="C758" i="1"/>
  <c r="C759" i="1"/>
  <c r="C760" i="1"/>
  <c r="C761" i="1"/>
  <c r="C762" i="1"/>
  <c r="M762" i="1" s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M778" i="1" s="1"/>
  <c r="C779" i="1"/>
  <c r="C780" i="1"/>
  <c r="C781" i="1"/>
  <c r="C782" i="1"/>
  <c r="C783" i="1"/>
  <c r="C784" i="1"/>
  <c r="C785" i="1"/>
  <c r="C786" i="1"/>
  <c r="M786" i="1" s="1"/>
  <c r="C787" i="1"/>
  <c r="C788" i="1"/>
  <c r="C789" i="1"/>
  <c r="C790" i="1"/>
  <c r="C791" i="1"/>
  <c r="C792" i="1"/>
  <c r="C793" i="1"/>
  <c r="C794" i="1"/>
  <c r="M794" i="1" s="1"/>
  <c r="C795" i="1"/>
  <c r="C796" i="1"/>
  <c r="C797" i="1"/>
  <c r="C798" i="1"/>
  <c r="C799" i="1"/>
  <c r="C800" i="1"/>
  <c r="C801" i="1"/>
  <c r="C802" i="1"/>
  <c r="M802" i="1" s="1"/>
  <c r="C803" i="1"/>
  <c r="C804" i="1"/>
  <c r="C805" i="1"/>
  <c r="C806" i="1"/>
  <c r="C807" i="1"/>
  <c r="C808" i="1"/>
  <c r="C809" i="1"/>
  <c r="C810" i="1"/>
  <c r="M810" i="1" s="1"/>
  <c r="C811" i="1"/>
  <c r="C812" i="1"/>
  <c r="C813" i="1"/>
  <c r="C814" i="1"/>
  <c r="C815" i="1"/>
  <c r="C816" i="1"/>
  <c r="C817" i="1"/>
  <c r="C818" i="1"/>
  <c r="M818" i="1" s="1"/>
  <c r="C819" i="1"/>
  <c r="C820" i="1"/>
  <c r="C821" i="1"/>
  <c r="C822" i="1"/>
  <c r="C823" i="1"/>
  <c r="C824" i="1"/>
  <c r="C825" i="1"/>
  <c r="C826" i="1"/>
  <c r="M826" i="1" s="1"/>
  <c r="C827" i="1"/>
  <c r="C828" i="1"/>
  <c r="C829" i="1"/>
  <c r="C830" i="1"/>
  <c r="C831" i="1"/>
  <c r="C832" i="1"/>
  <c r="C833" i="1"/>
  <c r="C834" i="1"/>
  <c r="M834" i="1" s="1"/>
  <c r="C835" i="1"/>
  <c r="C836" i="1"/>
  <c r="C837" i="1"/>
  <c r="C838" i="1"/>
  <c r="M838" i="1" s="1"/>
  <c r="C839" i="1"/>
  <c r="C840" i="1"/>
  <c r="C841" i="1"/>
  <c r="C842" i="1"/>
  <c r="M842" i="1" s="1"/>
  <c r="C843" i="1"/>
  <c r="C844" i="1"/>
  <c r="C845" i="1"/>
  <c r="C846" i="1"/>
  <c r="C847" i="1"/>
  <c r="C848" i="1"/>
  <c r="C849" i="1"/>
  <c r="M849" i="1" s="1"/>
  <c r="C850" i="1"/>
  <c r="M850" i="1" s="1"/>
  <c r="C851" i="1"/>
  <c r="C852" i="1"/>
  <c r="C853" i="1"/>
  <c r="C854" i="1"/>
  <c r="C855" i="1"/>
  <c r="C856" i="1"/>
  <c r="C857" i="1"/>
  <c r="C858" i="1"/>
  <c r="M858" i="1" s="1"/>
  <c r="C859" i="1"/>
  <c r="C860" i="1"/>
  <c r="C861" i="1"/>
  <c r="C862" i="1"/>
  <c r="C863" i="1"/>
  <c r="C864" i="1"/>
  <c r="C865" i="1"/>
  <c r="M865" i="1" s="1"/>
  <c r="C866" i="1"/>
  <c r="M866" i="1" s="1"/>
  <c r="C867" i="1"/>
  <c r="M867" i="1" s="1"/>
  <c r="C868" i="1"/>
  <c r="C869" i="1"/>
  <c r="C870" i="1"/>
  <c r="C871" i="1"/>
  <c r="C872" i="1"/>
  <c r="C873" i="1"/>
  <c r="C874" i="1"/>
  <c r="M874" i="1" s="1"/>
  <c r="C875" i="1"/>
  <c r="M875" i="1" s="1"/>
  <c r="C876" i="1"/>
  <c r="C877" i="1"/>
  <c r="C878" i="1"/>
  <c r="C879" i="1"/>
  <c r="M879" i="1" s="1"/>
  <c r="C880" i="1"/>
  <c r="M880" i="1" s="1"/>
  <c r="C881" i="1"/>
  <c r="C882" i="1"/>
  <c r="M882" i="1" s="1"/>
  <c r="C883" i="1"/>
  <c r="C884" i="1"/>
  <c r="C885" i="1"/>
  <c r="C886" i="1"/>
  <c r="C887" i="1"/>
  <c r="C888" i="1"/>
  <c r="C889" i="1"/>
  <c r="C890" i="1"/>
  <c r="C891" i="1"/>
  <c r="C892" i="1"/>
  <c r="C893" i="1"/>
  <c r="C894" i="1"/>
  <c r="M894" i="1" s="1"/>
  <c r="C895" i="1"/>
  <c r="C896" i="1"/>
  <c r="C897" i="1"/>
  <c r="C898" i="1"/>
  <c r="M898" i="1" s="1"/>
  <c r="C899" i="1"/>
  <c r="C900" i="1"/>
  <c r="C901" i="1"/>
  <c r="C902" i="1"/>
  <c r="M902" i="1" s="1"/>
  <c r="C903" i="1"/>
  <c r="C904" i="1"/>
  <c r="M904" i="1" s="1"/>
  <c r="C905" i="1"/>
  <c r="C906" i="1"/>
  <c r="M906" i="1" s="1"/>
  <c r="C907" i="1"/>
  <c r="C908" i="1"/>
  <c r="C909" i="1"/>
  <c r="C910" i="1"/>
  <c r="C911" i="1"/>
  <c r="C912" i="1"/>
  <c r="C913" i="1"/>
  <c r="C914" i="1"/>
  <c r="C915" i="1"/>
  <c r="C916" i="1"/>
  <c r="C917" i="1"/>
  <c r="C918" i="1"/>
  <c r="M918" i="1" s="1"/>
  <c r="C919" i="1"/>
  <c r="C920" i="1"/>
  <c r="C921" i="1"/>
  <c r="C922" i="1"/>
  <c r="C923" i="1"/>
  <c r="C924" i="1"/>
  <c r="C925" i="1"/>
  <c r="C926" i="1"/>
  <c r="C927" i="1"/>
  <c r="C928" i="1"/>
  <c r="C929" i="1"/>
  <c r="C930" i="1"/>
  <c r="M930" i="1" s="1"/>
  <c r="C931" i="1"/>
  <c r="C932" i="1"/>
  <c r="C933" i="1"/>
  <c r="C934" i="1"/>
  <c r="C935" i="1"/>
  <c r="C936" i="1"/>
  <c r="C937" i="1"/>
  <c r="M937" i="1" s="1"/>
  <c r="C938" i="1"/>
  <c r="M938" i="1" s="1"/>
  <c r="C939" i="1"/>
  <c r="M939" i="1" s="1"/>
  <c r="C940" i="1"/>
  <c r="C941" i="1"/>
  <c r="C942" i="1"/>
  <c r="C943" i="1"/>
  <c r="C944" i="1"/>
  <c r="C945" i="1"/>
  <c r="C946" i="1"/>
  <c r="M946" i="1" s="1"/>
  <c r="C947" i="1"/>
  <c r="M947" i="1" s="1"/>
  <c r="C948" i="1"/>
  <c r="C949" i="1"/>
  <c r="C950" i="1"/>
  <c r="C951" i="1"/>
  <c r="C952" i="1"/>
  <c r="C953" i="1"/>
  <c r="C954" i="1"/>
  <c r="M954" i="1" s="1"/>
  <c r="C955" i="1"/>
  <c r="M955" i="1" s="1"/>
  <c r="C956" i="1"/>
  <c r="C957" i="1"/>
  <c r="C958" i="1"/>
  <c r="M958" i="1" s="1"/>
  <c r="C959" i="1"/>
  <c r="C960" i="1"/>
  <c r="C961" i="1"/>
  <c r="C962" i="1"/>
  <c r="M962" i="1" s="1"/>
  <c r="C963" i="1"/>
  <c r="C964" i="1"/>
  <c r="C965" i="1"/>
  <c r="C966" i="1"/>
  <c r="C967" i="1"/>
  <c r="C968" i="1"/>
  <c r="C969" i="1"/>
  <c r="C970" i="1"/>
  <c r="M970" i="1" s="1"/>
  <c r="C971" i="1"/>
  <c r="M971" i="1" s="1"/>
  <c r="C972" i="1"/>
  <c r="C973" i="1"/>
  <c r="C974" i="1"/>
  <c r="C975" i="1"/>
  <c r="C976" i="1"/>
  <c r="C977" i="1"/>
  <c r="C978" i="1"/>
  <c r="M978" i="1" s="1"/>
  <c r="C979" i="1"/>
  <c r="C980" i="1"/>
  <c r="C981" i="1"/>
  <c r="C982" i="1"/>
  <c r="C983" i="1"/>
  <c r="C984" i="1"/>
  <c r="C985" i="1"/>
  <c r="C986" i="1"/>
  <c r="M986" i="1" s="1"/>
  <c r="C987" i="1"/>
  <c r="C988" i="1"/>
  <c r="C989" i="1"/>
  <c r="C990" i="1"/>
  <c r="C991" i="1"/>
  <c r="C992" i="1"/>
  <c r="C993" i="1"/>
  <c r="C994" i="1"/>
  <c r="M994" i="1" s="1"/>
  <c r="C995" i="1"/>
  <c r="C996" i="1"/>
  <c r="C997" i="1"/>
  <c r="C998" i="1"/>
  <c r="C999" i="1"/>
  <c r="C1000" i="1"/>
  <c r="C1001" i="1"/>
  <c r="C1003" i="1"/>
  <c r="M1003" i="1" s="1"/>
  <c r="C1004" i="1"/>
  <c r="C1005" i="1"/>
  <c r="C1006" i="1"/>
  <c r="M1006" i="1" s="1"/>
  <c r="C1007" i="1"/>
  <c r="C1008" i="1"/>
  <c r="C1009" i="1"/>
  <c r="C1010" i="1"/>
  <c r="C1011" i="1"/>
  <c r="M1011" i="1" s="1"/>
  <c r="C1012" i="1"/>
  <c r="C1013" i="1"/>
  <c r="C1014" i="1"/>
  <c r="C1015" i="1"/>
  <c r="C1016" i="1"/>
  <c r="C1017" i="1"/>
  <c r="M1017" i="1" s="1"/>
  <c r="C1018" i="1"/>
  <c r="M1018" i="1" s="1"/>
  <c r="C1019" i="1"/>
  <c r="M1019" i="1" s="1"/>
  <c r="C1020" i="1"/>
  <c r="C1021" i="1"/>
  <c r="C1022" i="1"/>
  <c r="C1023" i="1"/>
  <c r="C1024" i="1"/>
  <c r="C1025" i="1"/>
  <c r="C1026" i="1"/>
  <c r="C1027" i="1"/>
  <c r="M1027" i="1" s="1"/>
  <c r="C1028" i="1"/>
  <c r="C1029" i="1"/>
  <c r="C1030" i="1"/>
  <c r="C1031" i="1"/>
  <c r="C1032" i="1"/>
  <c r="C1033" i="1"/>
  <c r="C1034" i="1"/>
  <c r="C1035" i="1"/>
  <c r="M1035" i="1" s="1"/>
  <c r="C1036" i="1"/>
  <c r="C1037" i="1"/>
  <c r="C1038" i="1"/>
  <c r="C1039" i="1"/>
  <c r="M1039" i="1" s="1"/>
  <c r="C1040" i="1"/>
  <c r="C1041" i="1"/>
  <c r="C1042" i="1"/>
  <c r="C1043" i="1"/>
  <c r="M1043" i="1" s="1"/>
  <c r="C1044" i="1"/>
  <c r="C1045" i="1"/>
  <c r="C1046" i="1"/>
  <c r="C1047" i="1"/>
  <c r="C1048" i="1"/>
  <c r="C1049" i="1"/>
  <c r="C1050" i="1"/>
  <c r="C1051" i="1"/>
  <c r="M1051" i="1" s="1"/>
  <c r="C1052" i="1"/>
  <c r="C1053" i="1"/>
  <c r="C1054" i="1"/>
  <c r="C1055" i="1"/>
  <c r="C1056" i="1"/>
  <c r="C1057" i="1"/>
  <c r="C1058" i="1"/>
  <c r="C1059" i="1"/>
  <c r="M1059" i="1" s="1"/>
  <c r="C1060" i="1"/>
  <c r="C1061" i="1"/>
  <c r="C1062" i="1"/>
  <c r="M1062" i="1" s="1"/>
  <c r="C1063" i="1"/>
  <c r="C1064" i="1"/>
  <c r="C1065" i="1"/>
  <c r="C1066" i="1"/>
  <c r="C1067" i="1"/>
  <c r="M1067" i="1" s="1"/>
  <c r="C1068" i="1"/>
  <c r="C1069" i="1"/>
  <c r="C1070" i="1"/>
  <c r="C1071" i="1"/>
  <c r="C1072" i="1"/>
  <c r="C1073" i="1"/>
  <c r="C1074" i="1"/>
  <c r="C1075" i="1"/>
  <c r="M1075" i="1" s="1"/>
  <c r="C1076" i="1"/>
  <c r="C1077" i="1"/>
  <c r="C1078" i="1"/>
  <c r="C1079" i="1"/>
  <c r="C1080" i="1"/>
  <c r="C1081" i="1"/>
  <c r="C1082" i="1"/>
  <c r="C1083" i="1"/>
  <c r="M1083" i="1" s="1"/>
  <c r="C1084" i="1"/>
  <c r="C1085" i="1"/>
  <c r="C1086" i="1"/>
  <c r="C1087" i="1"/>
  <c r="C1088" i="1"/>
  <c r="C1089" i="1"/>
  <c r="C1090" i="1"/>
  <c r="C1091" i="1"/>
  <c r="M1091" i="1" s="1"/>
  <c r="C1092" i="1"/>
  <c r="C1093" i="1"/>
  <c r="C1094" i="1"/>
  <c r="C1095" i="1"/>
  <c r="C1096" i="1"/>
  <c r="C1097" i="1"/>
  <c r="C1098" i="1"/>
  <c r="C1099" i="1"/>
  <c r="M1099" i="1" s="1"/>
  <c r="C1100" i="1"/>
  <c r="C1101" i="1"/>
  <c r="C1102" i="1"/>
  <c r="C1103" i="1"/>
  <c r="C1104" i="1"/>
  <c r="C1105" i="1"/>
  <c r="C1106" i="1"/>
  <c r="C1107" i="1"/>
  <c r="M1107" i="1" s="1"/>
  <c r="C1108" i="1"/>
  <c r="C1109" i="1"/>
  <c r="C1110" i="1"/>
  <c r="C1111" i="1"/>
  <c r="C1112" i="1"/>
  <c r="C1113" i="1"/>
  <c r="C1114" i="1"/>
  <c r="C1115" i="1"/>
  <c r="M1115" i="1" s="1"/>
  <c r="C1116" i="1"/>
  <c r="C1117" i="1"/>
  <c r="C1118" i="1"/>
  <c r="C1119" i="1"/>
  <c r="C1120" i="1"/>
  <c r="C1121" i="1"/>
  <c r="C1122" i="1"/>
  <c r="C1123" i="1"/>
  <c r="M1123" i="1" s="1"/>
  <c r="C1124" i="1"/>
  <c r="C1125" i="1"/>
  <c r="C1126" i="1"/>
  <c r="C1127" i="1"/>
  <c r="C1128" i="1"/>
  <c r="C1129" i="1"/>
  <c r="C1130" i="1"/>
  <c r="C1131" i="1"/>
  <c r="M1131" i="1" s="1"/>
  <c r="C1132" i="1"/>
  <c r="C1133" i="1"/>
  <c r="C1134" i="1"/>
  <c r="C1135" i="1"/>
  <c r="C1136" i="1"/>
  <c r="C1137" i="1"/>
  <c r="C1138" i="1"/>
  <c r="C1139" i="1"/>
  <c r="M1139" i="1" s="1"/>
  <c r="C1140" i="1"/>
  <c r="C1141" i="1"/>
  <c r="C1142" i="1"/>
  <c r="C1143" i="1"/>
  <c r="C1144" i="1"/>
  <c r="C1145" i="1"/>
  <c r="C1146" i="1"/>
  <c r="M1146" i="1" s="1"/>
  <c r="C1147" i="1"/>
  <c r="M1147" i="1" s="1"/>
  <c r="C1148" i="1"/>
  <c r="C1149" i="1"/>
  <c r="C1150" i="1"/>
  <c r="C1151" i="1"/>
  <c r="M1151" i="1" s="1"/>
  <c r="C1152" i="1"/>
  <c r="C1153" i="1"/>
  <c r="C1154" i="1"/>
  <c r="C1155" i="1"/>
  <c r="M1155" i="1" s="1"/>
  <c r="C1156" i="1"/>
  <c r="C1157" i="1"/>
  <c r="C1158" i="1"/>
  <c r="C1159" i="1"/>
  <c r="C1160" i="1"/>
  <c r="M1160" i="1" s="1"/>
  <c r="C1161" i="1"/>
  <c r="M1161" i="1" s="1"/>
  <c r="C1162" i="1"/>
  <c r="M1162" i="1" s="1"/>
  <c r="C1163" i="1"/>
  <c r="M1163" i="1" s="1"/>
  <c r="C1164" i="1"/>
  <c r="M1164" i="1" s="1"/>
  <c r="C1165" i="1"/>
  <c r="C1166" i="1"/>
  <c r="C1167" i="1"/>
  <c r="C1168" i="1"/>
  <c r="C1169" i="1"/>
  <c r="C1170" i="1"/>
  <c r="C1171" i="1"/>
  <c r="M1171" i="1" s="1"/>
  <c r="C1172" i="1"/>
  <c r="C1173" i="1"/>
  <c r="C1174" i="1"/>
  <c r="C1175" i="1"/>
  <c r="C1176" i="1"/>
  <c r="C1177" i="1"/>
  <c r="C1178" i="1"/>
  <c r="C1179" i="1"/>
  <c r="M1179" i="1" s="1"/>
  <c r="C1180" i="1"/>
  <c r="M1180" i="1" s="1"/>
  <c r="C1181" i="1"/>
  <c r="C1182" i="1"/>
  <c r="C1183" i="1"/>
  <c r="C1184" i="1"/>
  <c r="C1185" i="1"/>
  <c r="C1186" i="1"/>
  <c r="C1187" i="1"/>
  <c r="M1187" i="1" s="1"/>
  <c r="C1188" i="1"/>
  <c r="C1193" i="1"/>
  <c r="C1194" i="1"/>
  <c r="C1195" i="1"/>
  <c r="C1196" i="1"/>
  <c r="C1197" i="1"/>
  <c r="C1198" i="1"/>
  <c r="C1199" i="1"/>
  <c r="M1199" i="1" s="1"/>
  <c r="C1200" i="1"/>
  <c r="C1202" i="1"/>
  <c r="C1203" i="1"/>
  <c r="C1204" i="1"/>
  <c r="C1205" i="1"/>
  <c r="C1206" i="1"/>
  <c r="C1207" i="1"/>
  <c r="C1208" i="1"/>
  <c r="M1208" i="1" s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45" i="1" l="1"/>
  <c r="M117" i="1"/>
  <c r="M1186" i="1"/>
  <c r="M1178" i="1"/>
  <c r="M1170" i="1"/>
  <c r="M1154" i="1"/>
  <c r="M1138" i="1"/>
  <c r="M1130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0" i="1"/>
  <c r="M1001" i="1"/>
  <c r="M993" i="1"/>
  <c r="M985" i="1"/>
  <c r="M961" i="1"/>
  <c r="M953" i="1"/>
  <c r="M945" i="1"/>
  <c r="M921" i="1"/>
  <c r="M913" i="1"/>
  <c r="M897" i="1"/>
  <c r="M889" i="1"/>
  <c r="M873" i="1"/>
  <c r="M857" i="1"/>
  <c r="M841" i="1"/>
  <c r="M833" i="1"/>
  <c r="M825" i="1"/>
  <c r="M817" i="1"/>
  <c r="M809" i="1"/>
  <c r="M801" i="1"/>
  <c r="M793" i="1"/>
  <c r="M785" i="1"/>
  <c r="M777" i="1"/>
  <c r="M769" i="1"/>
  <c r="M761" i="1"/>
  <c r="M753" i="1"/>
  <c r="M745" i="1"/>
  <c r="M713" i="1"/>
  <c r="M689" i="1"/>
  <c r="M698" i="1"/>
  <c r="M1207" i="1"/>
  <c r="M1206" i="1"/>
  <c r="M1197" i="1"/>
  <c r="M1185" i="1"/>
  <c r="M1177" i="1"/>
  <c r="M1169" i="1"/>
  <c r="M1153" i="1"/>
  <c r="M1145" i="1"/>
  <c r="M1137" i="1"/>
  <c r="M1129" i="1"/>
  <c r="M1121" i="1"/>
  <c r="M1113" i="1"/>
  <c r="M1105" i="1"/>
  <c r="M1097" i="1"/>
  <c r="M1089" i="1"/>
  <c r="M1081" i="1"/>
  <c r="M1073" i="1"/>
  <c r="M1065" i="1"/>
  <c r="M1057" i="1"/>
  <c r="M1049" i="1"/>
  <c r="M1041" i="1"/>
  <c r="M1025" i="1"/>
  <c r="M1009" i="1"/>
  <c r="M1000" i="1"/>
  <c r="M992" i="1"/>
  <c r="M984" i="1"/>
  <c r="M976" i="1"/>
  <c r="M968" i="1"/>
  <c r="M960" i="1"/>
  <c r="M944" i="1"/>
  <c r="M936" i="1"/>
  <c r="M928" i="1"/>
  <c r="M920" i="1"/>
  <c r="M912" i="1"/>
  <c r="M896" i="1"/>
  <c r="M872" i="1"/>
  <c r="M864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1198" i="1"/>
  <c r="M1205" i="1"/>
  <c r="M1196" i="1"/>
  <c r="M1184" i="1"/>
  <c r="M1176" i="1"/>
  <c r="M1168" i="1"/>
  <c r="M1152" i="1"/>
  <c r="M1144" i="1"/>
  <c r="M1136" i="1"/>
  <c r="M1128" i="1"/>
  <c r="M1120" i="1"/>
  <c r="M1112" i="1"/>
  <c r="M1104" i="1"/>
  <c r="M1096" i="1"/>
  <c r="M1088" i="1"/>
  <c r="M1080" i="1"/>
  <c r="M1072" i="1"/>
  <c r="M1064" i="1"/>
  <c r="M1056" i="1"/>
  <c r="M1048" i="1"/>
  <c r="M1040" i="1"/>
  <c r="M1032" i="1"/>
  <c r="M1024" i="1"/>
  <c r="M1016" i="1"/>
  <c r="M1008" i="1"/>
  <c r="M999" i="1"/>
  <c r="M1263" i="1"/>
  <c r="M991" i="1"/>
  <c r="M983" i="1"/>
  <c r="M975" i="1"/>
  <c r="M959" i="1"/>
  <c r="M951" i="1"/>
  <c r="M943" i="1"/>
  <c r="M935" i="1"/>
  <c r="M927" i="1"/>
  <c r="M919" i="1"/>
  <c r="M911" i="1"/>
  <c r="M895" i="1"/>
  <c r="M887" i="1"/>
  <c r="M871" i="1"/>
  <c r="M863" i="1"/>
  <c r="M855" i="1"/>
  <c r="M847" i="1"/>
  <c r="M1204" i="1"/>
  <c r="M1195" i="1"/>
  <c r="M1167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1" i="1"/>
  <c r="M1023" i="1"/>
  <c r="M1015" i="1"/>
  <c r="M1007" i="1"/>
  <c r="M998" i="1"/>
  <c r="M990" i="1"/>
  <c r="M982" i="1"/>
  <c r="M974" i="1"/>
  <c r="M966" i="1"/>
  <c r="M950" i="1"/>
  <c r="M942" i="1"/>
  <c r="M934" i="1"/>
  <c r="M926" i="1"/>
  <c r="M910" i="1"/>
  <c r="M886" i="1"/>
  <c r="M878" i="1"/>
  <c r="M870" i="1"/>
  <c r="M862" i="1"/>
  <c r="M854" i="1"/>
  <c r="M846" i="1"/>
  <c r="M822" i="1"/>
  <c r="M814" i="1"/>
  <c r="M806" i="1"/>
  <c r="M798" i="1"/>
  <c r="M790" i="1"/>
  <c r="M782" i="1"/>
  <c r="M774" i="1"/>
  <c r="M766" i="1"/>
  <c r="M750" i="1"/>
  <c r="M742" i="1"/>
  <c r="M734" i="1"/>
  <c r="M726" i="1"/>
  <c r="M718" i="1"/>
  <c r="M710" i="1"/>
  <c r="M702" i="1"/>
  <c r="M686" i="1"/>
  <c r="M678" i="1"/>
  <c r="M670" i="1"/>
  <c r="M662" i="1"/>
  <c r="M654" i="1"/>
  <c r="M638" i="1"/>
  <c r="M630" i="1"/>
  <c r="M622" i="1"/>
  <c r="M614" i="1"/>
  <c r="M606" i="1"/>
  <c r="M598" i="1"/>
  <c r="M1183" i="1"/>
  <c r="M1211" i="1"/>
  <c r="M1194" i="1"/>
  <c r="M1174" i="1"/>
  <c r="M1150" i="1"/>
  <c r="M1134" i="1"/>
  <c r="M1118" i="1"/>
  <c r="M1110" i="1"/>
  <c r="M1094" i="1"/>
  <c r="M1078" i="1"/>
  <c r="M1070" i="1"/>
  <c r="M1054" i="1"/>
  <c r="M1046" i="1"/>
  <c r="M1038" i="1"/>
  <c r="M1030" i="1"/>
  <c r="M1022" i="1"/>
  <c r="M1014" i="1"/>
  <c r="M997" i="1"/>
  <c r="M989" i="1"/>
  <c r="M981" i="1"/>
  <c r="M973" i="1"/>
  <c r="M965" i="1"/>
  <c r="M957" i="1"/>
  <c r="M941" i="1"/>
  <c r="M933" i="1"/>
  <c r="M925" i="1"/>
  <c r="M917" i="1"/>
  <c r="M909" i="1"/>
  <c r="M901" i="1"/>
  <c r="M893" i="1"/>
  <c r="M1270" i="1"/>
  <c r="M1240" i="1"/>
  <c r="M885" i="1"/>
  <c r="M877" i="1"/>
  <c r="M869" i="1"/>
  <c r="M861" i="1"/>
  <c r="M853" i="1"/>
  <c r="M845" i="1"/>
  <c r="M837" i="1"/>
  <c r="M821" i="1"/>
  <c r="M813" i="1"/>
  <c r="M797" i="1"/>
  <c r="M789" i="1"/>
  <c r="M781" i="1"/>
  <c r="M773" i="1"/>
  <c r="M765" i="1"/>
  <c r="M757" i="1"/>
  <c r="M749" i="1"/>
  <c r="M733" i="1"/>
  <c r="M725" i="1"/>
  <c r="M717" i="1"/>
  <c r="M709" i="1"/>
  <c r="M701" i="1"/>
  <c r="M693" i="1"/>
  <c r="M685" i="1"/>
  <c r="M677" i="1"/>
  <c r="M669" i="1"/>
  <c r="M661" i="1"/>
  <c r="M653" i="1"/>
  <c r="M645" i="1"/>
  <c r="M637" i="1"/>
  <c r="M629" i="1"/>
  <c r="M1175" i="1"/>
  <c r="M1159" i="1"/>
  <c r="M1203" i="1"/>
  <c r="M1182" i="1"/>
  <c r="M1166" i="1"/>
  <c r="M1158" i="1"/>
  <c r="M1142" i="1"/>
  <c r="M1126" i="1"/>
  <c r="M1102" i="1"/>
  <c r="M1086" i="1"/>
  <c r="M1210" i="1"/>
  <c r="M1202" i="1"/>
  <c r="M1193" i="1"/>
  <c r="M1181" i="1"/>
  <c r="M1173" i="1"/>
  <c r="M1165" i="1"/>
  <c r="M1157" i="1"/>
  <c r="M1149" i="1"/>
  <c r="M1141" i="1"/>
  <c r="M1133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13" i="1"/>
  <c r="M1005" i="1"/>
  <c r="M996" i="1"/>
  <c r="M988" i="1"/>
  <c r="M980" i="1"/>
  <c r="M972" i="1"/>
  <c r="M964" i="1"/>
  <c r="M956" i="1"/>
  <c r="M948" i="1"/>
  <c r="M940" i="1"/>
  <c r="M932" i="1"/>
  <c r="M924" i="1"/>
  <c r="M916" i="1"/>
  <c r="M908" i="1"/>
  <c r="M900" i="1"/>
  <c r="M892" i="1"/>
  <c r="M884" i="1"/>
  <c r="M876" i="1"/>
  <c r="M868" i="1"/>
  <c r="M860" i="1"/>
  <c r="M852" i="1"/>
  <c r="M844" i="1"/>
  <c r="M836" i="1"/>
  <c r="M828" i="1"/>
  <c r="M820" i="1"/>
  <c r="M812" i="1"/>
  <c r="M804" i="1"/>
  <c r="M796" i="1"/>
  <c r="M788" i="1"/>
  <c r="M780" i="1"/>
  <c r="M772" i="1"/>
  <c r="M764" i="1"/>
  <c r="M1209" i="1"/>
  <c r="M1200" i="1"/>
  <c r="M1188" i="1"/>
  <c r="M1172" i="1"/>
  <c r="M1156" i="1"/>
  <c r="M1148" i="1"/>
  <c r="M1140" i="1"/>
  <c r="M1132" i="1"/>
  <c r="M1124" i="1"/>
  <c r="M1116" i="1"/>
  <c r="M1100" i="1"/>
  <c r="M1092" i="1"/>
  <c r="M1084" i="1"/>
  <c r="M1076" i="1"/>
  <c r="M1068" i="1"/>
  <c r="M1060" i="1"/>
  <c r="M1052" i="1"/>
  <c r="M1044" i="1"/>
  <c r="M1036" i="1"/>
  <c r="M1028" i="1"/>
  <c r="M1020" i="1"/>
  <c r="M1012" i="1"/>
  <c r="M1004" i="1"/>
  <c r="M995" i="1"/>
  <c r="M987" i="1"/>
  <c r="M979" i="1"/>
  <c r="M963" i="1"/>
  <c r="M931" i="1"/>
  <c r="M923" i="1"/>
  <c r="M915" i="1"/>
  <c r="M907" i="1"/>
  <c r="M899" i="1"/>
  <c r="M1296" i="1"/>
  <c r="M891" i="1"/>
  <c r="M883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15" i="1"/>
  <c r="M707" i="1"/>
  <c r="M691" i="1"/>
  <c r="M683" i="1"/>
  <c r="M675" i="1"/>
  <c r="M667" i="1"/>
  <c r="M659" i="1"/>
  <c r="M651" i="1"/>
  <c r="P27" i="3"/>
  <c r="M258" i="1"/>
  <c r="Z6" i="3"/>
  <c r="M234" i="1"/>
  <c r="M17" i="1"/>
  <c r="U18" i="3"/>
  <c r="M41" i="1"/>
  <c r="M57" i="1"/>
  <c r="M73" i="1"/>
  <c r="M97" i="1"/>
  <c r="M105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33" i="1"/>
  <c r="M643" i="1"/>
  <c r="M635" i="1"/>
  <c r="M627" i="1"/>
  <c r="M619" i="1"/>
  <c r="M611" i="1"/>
  <c r="M603" i="1"/>
  <c r="M595" i="1"/>
  <c r="M587" i="1"/>
  <c r="M571" i="1"/>
  <c r="M563" i="1"/>
  <c r="M555" i="1"/>
  <c r="M547" i="1"/>
  <c r="M539" i="1"/>
  <c r="M531" i="1"/>
  <c r="M515" i="1"/>
  <c r="M507" i="1"/>
  <c r="M491" i="1"/>
  <c r="M475" i="1"/>
  <c r="M459" i="1"/>
  <c r="M443" i="1"/>
  <c r="M435" i="1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43" i="1"/>
  <c r="M8" i="1"/>
  <c r="M16" i="1"/>
  <c r="M1338" i="1"/>
  <c r="M24" i="1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44" i="1"/>
  <c r="M152" i="1"/>
  <c r="M160" i="1"/>
  <c r="M168" i="1"/>
  <c r="M176" i="1"/>
  <c r="M184" i="1"/>
  <c r="M192" i="1"/>
  <c r="M200" i="1"/>
  <c r="M208" i="1"/>
  <c r="M216" i="1"/>
  <c r="M224" i="1"/>
  <c r="M232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85" i="1"/>
  <c r="M577" i="1"/>
  <c r="M569" i="1"/>
  <c r="M553" i="1"/>
  <c r="M545" i="1"/>
  <c r="M537" i="1"/>
  <c r="M529" i="1"/>
  <c r="M521" i="1"/>
  <c r="M513" i="1"/>
  <c r="M505" i="1"/>
  <c r="M497" i="1"/>
  <c r="M489" i="1"/>
  <c r="M481" i="1"/>
  <c r="M473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1" i="1"/>
  <c r="K161" i="6"/>
  <c r="AB135" i="6"/>
  <c r="Q128" i="6"/>
  <c r="R158" i="6"/>
  <c r="R140" i="6"/>
  <c r="N66" i="6"/>
  <c r="I156" i="6"/>
  <c r="I162" i="6"/>
  <c r="G145" i="6"/>
  <c r="H151" i="6"/>
  <c r="N122" i="6"/>
  <c r="AB134" i="6"/>
  <c r="M1332" i="1"/>
  <c r="Q142" i="6"/>
  <c r="N170" i="6"/>
  <c r="S164" i="6"/>
  <c r="N169" i="6"/>
  <c r="S109" i="6"/>
  <c r="P153" i="6"/>
  <c r="L139" i="6"/>
  <c r="M151" i="6"/>
  <c r="N86" i="6"/>
  <c r="M1218" i="1"/>
  <c r="M1331" i="1"/>
  <c r="Z4" i="3"/>
  <c r="V153" i="6"/>
  <c r="R88" i="6"/>
  <c r="K53" i="6"/>
  <c r="X144" i="6"/>
  <c r="K150" i="6"/>
  <c r="S170" i="6"/>
  <c r="AB158" i="6"/>
  <c r="H174" i="6"/>
  <c r="I122" i="6"/>
  <c r="R60" i="6"/>
  <c r="O27" i="3"/>
  <c r="U6" i="3"/>
  <c r="M1215" i="1"/>
  <c r="M1261" i="1"/>
  <c r="M1306" i="1"/>
  <c r="AC141" i="6"/>
  <c r="Z144" i="6"/>
  <c r="P167" i="6"/>
  <c r="U171" i="6"/>
  <c r="D174" i="6"/>
  <c r="R168" i="6"/>
  <c r="Q54" i="6"/>
  <c r="I146" i="6"/>
  <c r="F130" i="6"/>
  <c r="AB144" i="6"/>
  <c r="D173" i="6"/>
  <c r="R165" i="6"/>
  <c r="Y167" i="6"/>
  <c r="Q106" i="6"/>
  <c r="J135" i="6"/>
  <c r="N102" i="6"/>
  <c r="K5" i="3"/>
  <c r="L102" i="6"/>
  <c r="AC173" i="6"/>
  <c r="H98" i="6"/>
  <c r="G138" i="6"/>
  <c r="U82" i="6"/>
  <c r="C53" i="6"/>
  <c r="R150" i="6"/>
  <c r="M1316" i="1"/>
  <c r="F49" i="6"/>
  <c r="C168" i="6"/>
  <c r="Y133" i="6"/>
  <c r="E148" i="6"/>
  <c r="U99" i="6"/>
  <c r="Y152" i="6"/>
  <c r="T122" i="6"/>
  <c r="U112" i="6"/>
  <c r="M1241" i="1"/>
  <c r="M1323" i="1"/>
  <c r="T30" i="3"/>
  <c r="T136" i="6"/>
  <c r="J162" i="6"/>
  <c r="Y169" i="6"/>
  <c r="R149" i="6"/>
  <c r="I154" i="6"/>
  <c r="F104" i="6"/>
  <c r="D155" i="6"/>
  <c r="Z155" i="6"/>
  <c r="H137" i="6"/>
  <c r="D116" i="6"/>
  <c r="K27" i="3"/>
  <c r="Y6" i="3"/>
  <c r="M1233" i="1"/>
  <c r="M1281" i="1"/>
  <c r="M1299" i="1"/>
  <c r="M160" i="6"/>
  <c r="AD164" i="6"/>
  <c r="P136" i="6"/>
  <c r="E137" i="6"/>
  <c r="M128" i="6"/>
  <c r="P133" i="6"/>
  <c r="R138" i="6"/>
  <c r="L171" i="6"/>
  <c r="M156" i="6"/>
  <c r="X145" i="6"/>
  <c r="S75" i="6"/>
  <c r="C68" i="6"/>
  <c r="E128" i="6"/>
  <c r="T171" i="6"/>
  <c r="Y165" i="6"/>
  <c r="M1256" i="1"/>
  <c r="O147" i="6"/>
  <c r="Q62" i="6"/>
  <c r="Y146" i="6"/>
  <c r="G155" i="6"/>
  <c r="Q108" i="6"/>
  <c r="P164" i="6"/>
  <c r="AC172" i="6"/>
  <c r="K34" i="3"/>
  <c r="M1308" i="1"/>
  <c r="T167" i="6"/>
  <c r="F141" i="6"/>
  <c r="R136" i="6"/>
  <c r="E147" i="6"/>
  <c r="AA157" i="6"/>
  <c r="O83" i="6"/>
  <c r="AC136" i="6"/>
  <c r="E156" i="6"/>
  <c r="M1247" i="1"/>
  <c r="M1315" i="1"/>
  <c r="H162" i="6"/>
  <c r="AA146" i="6"/>
  <c r="N64" i="6"/>
  <c r="F143" i="6"/>
  <c r="AC146" i="6"/>
  <c r="S154" i="6"/>
  <c r="N89" i="6"/>
  <c r="M106" i="6"/>
  <c r="F63" i="6"/>
  <c r="M150" i="6"/>
  <c r="H112" i="6"/>
  <c r="T27" i="3"/>
  <c r="P6" i="3"/>
  <c r="M1225" i="1"/>
  <c r="M1288" i="1"/>
  <c r="M1351" i="1"/>
  <c r="X156" i="6"/>
  <c r="Q169" i="6"/>
  <c r="Q171" i="6"/>
  <c r="V165" i="6"/>
  <c r="T140" i="6"/>
  <c r="O139" i="6"/>
  <c r="N146" i="6"/>
  <c r="E159" i="6"/>
  <c r="AA171" i="6"/>
  <c r="W146" i="6"/>
  <c r="O155" i="6"/>
  <c r="N41" i="6"/>
  <c r="S73" i="6"/>
  <c r="J147" i="6"/>
  <c r="W140" i="6"/>
  <c r="U134" i="6"/>
  <c r="M1291" i="1"/>
  <c r="Y136" i="6"/>
  <c r="S172" i="6"/>
  <c r="D141" i="6"/>
  <c r="AA165" i="6"/>
  <c r="J56" i="6"/>
  <c r="H149" i="6"/>
  <c r="V167" i="6"/>
  <c r="M1219" i="1"/>
  <c r="M1300" i="1"/>
  <c r="Q172" i="6"/>
  <c r="C165" i="6"/>
  <c r="P66" i="6"/>
  <c r="T144" i="6"/>
  <c r="D148" i="6"/>
  <c r="F45" i="6"/>
  <c r="O143" i="6"/>
  <c r="F169" i="6"/>
  <c r="M1254" i="1"/>
  <c r="M1307" i="1"/>
  <c r="D94" i="6"/>
  <c r="E76" i="6"/>
  <c r="W158" i="6"/>
  <c r="Y171" i="6"/>
  <c r="C107" i="6"/>
  <c r="Q34" i="6"/>
  <c r="M91" i="6"/>
  <c r="P168" i="6"/>
  <c r="M47" i="6"/>
  <c r="Y138" i="6"/>
  <c r="P59" i="6"/>
  <c r="Z27" i="3"/>
  <c r="J6" i="3"/>
  <c r="M1217" i="1"/>
  <c r="M1213" i="1"/>
  <c r="J5" i="3"/>
  <c r="I149" i="6"/>
  <c r="L65" i="6"/>
  <c r="F159" i="6"/>
  <c r="D73" i="6"/>
  <c r="N174" i="6"/>
  <c r="I138" i="6"/>
  <c r="O141" i="6"/>
  <c r="S151" i="6"/>
  <c r="D72" i="6"/>
  <c r="E169" i="6"/>
  <c r="U104" i="6"/>
  <c r="D35" i="6"/>
  <c r="L53" i="6"/>
  <c r="M1229" i="1"/>
  <c r="M174" i="6"/>
  <c r="AA163" i="6"/>
  <c r="K136" i="6"/>
  <c r="M1190" i="1"/>
  <c r="F155" i="6"/>
  <c r="M119" i="6"/>
  <c r="C124" i="6"/>
  <c r="F121" i="6"/>
  <c r="N150" i="6"/>
  <c r="T138" i="6"/>
  <c r="H135" i="6"/>
  <c r="M1340" i="1"/>
  <c r="AC151" i="6"/>
  <c r="H166" i="6"/>
  <c r="S134" i="6"/>
  <c r="E44" i="6"/>
  <c r="J172" i="6"/>
  <c r="O168" i="6"/>
  <c r="P166" i="6"/>
  <c r="T153" i="6"/>
  <c r="U159" i="6"/>
  <c r="R143" i="6"/>
  <c r="AB143" i="6"/>
  <c r="Z158" i="6"/>
  <c r="L134" i="6"/>
  <c r="G119" i="6"/>
  <c r="O107" i="6"/>
  <c r="V137" i="6"/>
  <c r="X165" i="6"/>
  <c r="C166" i="6"/>
  <c r="R110" i="6"/>
  <c r="K116" i="6"/>
  <c r="C154" i="6"/>
  <c r="R129" i="6"/>
  <c r="K86" i="6"/>
  <c r="C128" i="6"/>
  <c r="V142" i="6"/>
  <c r="N173" i="6"/>
  <c r="H67" i="6"/>
  <c r="Y163" i="6"/>
  <c r="T76" i="6"/>
  <c r="M95" i="6"/>
  <c r="H60" i="6"/>
  <c r="M1334" i="1"/>
  <c r="W128" i="6"/>
  <c r="L158" i="6"/>
  <c r="Y154" i="6"/>
  <c r="M1301" i="1"/>
  <c r="V164" i="6"/>
  <c r="L61" i="6"/>
  <c r="H99" i="6"/>
  <c r="AB151" i="6"/>
  <c r="C58" i="6"/>
  <c r="Z134" i="6"/>
  <c r="R179" i="6"/>
  <c r="M1255" i="1"/>
  <c r="O4" i="3"/>
  <c r="G122" i="6"/>
  <c r="O103" i="6"/>
  <c r="T135" i="6"/>
  <c r="N168" i="6"/>
  <c r="U108" i="6"/>
  <c r="R48" i="6"/>
  <c r="X131" i="6"/>
  <c r="S160" i="6"/>
  <c r="M1262" i="1"/>
  <c r="J8" i="3"/>
  <c r="G159" i="6"/>
  <c r="Q124" i="6"/>
  <c r="H121" i="6"/>
  <c r="AB173" i="6"/>
  <c r="Z139" i="6"/>
  <c r="S159" i="6"/>
  <c r="H150" i="6"/>
  <c r="AD163" i="6"/>
  <c r="AB155" i="6"/>
  <c r="N98" i="6"/>
  <c r="J27" i="3"/>
  <c r="T18" i="3"/>
  <c r="M1246" i="1"/>
  <c r="M1330" i="1"/>
  <c r="H168" i="6"/>
  <c r="U168" i="6"/>
  <c r="AB161" i="6"/>
  <c r="V134" i="6"/>
  <c r="W169" i="6"/>
  <c r="R53" i="6"/>
  <c r="C119" i="6"/>
  <c r="G143" i="6"/>
  <c r="F149" i="6"/>
  <c r="Z173" i="6"/>
  <c r="C122" i="6"/>
  <c r="R141" i="6"/>
  <c r="O13" i="3"/>
  <c r="C160" i="6"/>
  <c r="AA167" i="6"/>
  <c r="F116" i="6"/>
  <c r="K29" i="3"/>
  <c r="I63" i="6"/>
  <c r="AB147" i="6"/>
  <c r="W168" i="6"/>
  <c r="R156" i="6"/>
  <c r="D143" i="6"/>
  <c r="AA174" i="6"/>
  <c r="Z142" i="6"/>
  <c r="M1002" i="1"/>
  <c r="G75" i="6"/>
  <c r="H148" i="6"/>
  <c r="M143" i="6"/>
  <c r="H41" i="6"/>
  <c r="H146" i="6"/>
  <c r="S131" i="6"/>
  <c r="K79" i="6"/>
  <c r="Z161" i="6"/>
  <c r="E158" i="6"/>
  <c r="M1289" i="1"/>
  <c r="C155" i="6"/>
  <c r="K80" i="6"/>
  <c r="D136" i="6"/>
  <c r="V147" i="6"/>
  <c r="X147" i="6"/>
  <c r="Y148" i="6"/>
  <c r="F164" i="6"/>
  <c r="U48" i="6"/>
  <c r="C78" i="6"/>
  <c r="AB170" i="6"/>
  <c r="M1253" i="1"/>
  <c r="M1322" i="1"/>
  <c r="H171" i="6"/>
  <c r="H144" i="6"/>
  <c r="T162" i="6"/>
  <c r="D47" i="6"/>
  <c r="H173" i="6"/>
  <c r="P98" i="6"/>
  <c r="Y142" i="6"/>
  <c r="G144" i="6"/>
  <c r="P142" i="6"/>
  <c r="M140" i="6"/>
  <c r="R154" i="6"/>
  <c r="O146" i="6"/>
  <c r="S145" i="6"/>
  <c r="Q60" i="6"/>
  <c r="AD173" i="6"/>
  <c r="G62" i="6"/>
  <c r="T161" i="6"/>
  <c r="X138" i="6"/>
  <c r="P138" i="6"/>
  <c r="I168" i="6"/>
  <c r="N143" i="6"/>
  <c r="F147" i="6"/>
  <c r="M162" i="6"/>
  <c r="M1283" i="1"/>
  <c r="X172" i="6"/>
  <c r="AA170" i="6"/>
  <c r="K104" i="6"/>
  <c r="D161" i="6"/>
  <c r="T168" i="6"/>
  <c r="L151" i="6"/>
  <c r="J55" i="6"/>
  <c r="J142" i="6"/>
  <c r="R77" i="6"/>
  <c r="M1226" i="1"/>
  <c r="M1248" i="1"/>
  <c r="S167" i="6"/>
  <c r="K153" i="6"/>
  <c r="X139" i="6"/>
  <c r="S144" i="6"/>
  <c r="N95" i="6"/>
  <c r="AC155" i="6"/>
  <c r="AC152" i="6"/>
  <c r="K47" i="6"/>
  <c r="Y155" i="6"/>
  <c r="M157" i="6"/>
  <c r="U27" i="3"/>
  <c r="O6" i="3"/>
  <c r="M1269" i="1"/>
  <c r="M1314" i="1"/>
  <c r="R146" i="6"/>
  <c r="J118" i="6"/>
  <c r="E174" i="6"/>
  <c r="D91" i="6"/>
  <c r="Y174" i="6"/>
  <c r="C156" i="6"/>
  <c r="I56" i="6"/>
  <c r="P82" i="6"/>
  <c r="D171" i="6"/>
  <c r="AD170" i="6"/>
  <c r="W172" i="6"/>
  <c r="R166" i="6"/>
  <c r="M18" i="1"/>
  <c r="M34" i="1"/>
  <c r="M42" i="1"/>
  <c r="M50" i="1"/>
  <c r="M58" i="1"/>
  <c r="M66" i="1"/>
  <c r="M74" i="1"/>
  <c r="T13" i="3"/>
  <c r="M82" i="1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M218" i="1"/>
  <c r="M226" i="1"/>
  <c r="M752" i="1"/>
  <c r="M744" i="1"/>
  <c r="M736" i="1"/>
  <c r="M728" i="1"/>
  <c r="M720" i="1"/>
  <c r="M712" i="1"/>
  <c r="M704" i="1"/>
  <c r="M696" i="1"/>
  <c r="M688" i="1"/>
  <c r="M680" i="1"/>
  <c r="M664" i="1"/>
  <c r="M656" i="1"/>
  <c r="M648" i="1"/>
  <c r="M640" i="1"/>
  <c r="M632" i="1"/>
  <c r="M624" i="1"/>
  <c r="M616" i="1"/>
  <c r="M608" i="1"/>
  <c r="M600" i="1"/>
  <c r="M592" i="1"/>
  <c r="M584" i="1"/>
  <c r="M576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384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19" i="1"/>
  <c r="M35" i="1"/>
  <c r="M51" i="1"/>
  <c r="M59" i="1"/>
  <c r="M75" i="1"/>
  <c r="M83" i="1"/>
  <c r="M91" i="1"/>
  <c r="M99" i="1"/>
  <c r="M107" i="1"/>
  <c r="M115" i="1"/>
  <c r="M123" i="1"/>
  <c r="M131" i="1"/>
  <c r="M139" i="1"/>
  <c r="M147" i="1"/>
  <c r="M155" i="1"/>
  <c r="M163" i="1"/>
  <c r="M171" i="1"/>
  <c r="M187" i="1"/>
  <c r="M195" i="1"/>
  <c r="M203" i="1"/>
  <c r="M211" i="1"/>
  <c r="M219" i="1"/>
  <c r="M22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19" i="1"/>
  <c r="M695" i="1"/>
  <c r="M687" i="1"/>
  <c r="M671" i="1"/>
  <c r="M663" i="1"/>
  <c r="M655" i="1"/>
  <c r="M647" i="1"/>
  <c r="M639" i="1"/>
  <c r="M631" i="1"/>
  <c r="M623" i="1"/>
  <c r="M615" i="1"/>
  <c r="M607" i="1"/>
  <c r="M599" i="1"/>
  <c r="M591" i="1"/>
  <c r="M583" i="1"/>
  <c r="M575" i="1"/>
  <c r="M567" i="1"/>
  <c r="M559" i="1"/>
  <c r="M543" i="1"/>
  <c r="M535" i="1"/>
  <c r="M519" i="1"/>
  <c r="M511" i="1"/>
  <c r="M503" i="1"/>
  <c r="M495" i="1"/>
  <c r="M487" i="1"/>
  <c r="M479" i="1"/>
  <c r="M471" i="1"/>
  <c r="M463" i="1"/>
  <c r="M455" i="1"/>
  <c r="M439" i="1"/>
  <c r="M423" i="1"/>
  <c r="M415" i="1"/>
  <c r="M407" i="1"/>
  <c r="M399" i="1"/>
  <c r="M391" i="1"/>
  <c r="M383" i="1"/>
  <c r="M375" i="1"/>
  <c r="M367" i="1"/>
  <c r="M359" i="1"/>
  <c r="M351" i="1"/>
  <c r="M343" i="1"/>
  <c r="M327" i="1"/>
  <c r="M319" i="1"/>
  <c r="M311" i="1"/>
  <c r="M303" i="1"/>
  <c r="M295" i="1"/>
  <c r="M287" i="1"/>
  <c r="M279" i="1"/>
  <c r="M271" i="1"/>
  <c r="M263" i="1"/>
  <c r="M247" i="1"/>
  <c r="U30" i="3"/>
  <c r="K6" i="3"/>
  <c r="K18" i="3"/>
  <c r="Z18" i="3"/>
  <c r="M12" i="1"/>
  <c r="M28" i="1"/>
  <c r="M36" i="1"/>
  <c r="M44" i="1"/>
  <c r="M52" i="1"/>
  <c r="M60" i="1"/>
  <c r="M68" i="1"/>
  <c r="M76" i="1"/>
  <c r="M84" i="1"/>
  <c r="M92" i="1"/>
  <c r="M100" i="1"/>
  <c r="M108" i="1"/>
  <c r="M116" i="1"/>
  <c r="M124" i="1"/>
  <c r="M132" i="1"/>
  <c r="M140" i="1"/>
  <c r="M148" i="1"/>
  <c r="M156" i="1"/>
  <c r="M164" i="1"/>
  <c r="M172" i="1"/>
  <c r="M180" i="1"/>
  <c r="M188" i="1"/>
  <c r="M196" i="1"/>
  <c r="M204" i="1"/>
  <c r="M212" i="1"/>
  <c r="M220" i="1"/>
  <c r="M590" i="1"/>
  <c r="M582" i="1"/>
  <c r="M574" i="1"/>
  <c r="M566" i="1"/>
  <c r="M558" i="1"/>
  <c r="M550" i="1"/>
  <c r="M542" i="1"/>
  <c r="M534" i="1"/>
  <c r="M518" i="1"/>
  <c r="M510" i="1"/>
  <c r="M502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42" i="1"/>
  <c r="M334" i="1"/>
  <c r="M326" i="1"/>
  <c r="M318" i="1"/>
  <c r="M310" i="1"/>
  <c r="M302" i="1"/>
  <c r="M294" i="1"/>
  <c r="M286" i="1"/>
  <c r="M270" i="1"/>
  <c r="M246" i="1"/>
  <c r="M53" i="1"/>
  <c r="M61" i="1"/>
  <c r="M69" i="1"/>
  <c r="M77" i="1"/>
  <c r="M85" i="1"/>
  <c r="M93" i="1"/>
  <c r="M101" i="1"/>
  <c r="M109" i="1"/>
  <c r="M125" i="1"/>
  <c r="M133" i="1"/>
  <c r="M141" i="1"/>
  <c r="M149" i="1"/>
  <c r="M157" i="1"/>
  <c r="M165" i="1"/>
  <c r="M173" i="1"/>
  <c r="M181" i="1"/>
  <c r="M189" i="1"/>
  <c r="M197" i="1"/>
  <c r="M205" i="1"/>
  <c r="M213" i="1"/>
  <c r="M221" i="1"/>
  <c r="J14" i="3"/>
  <c r="M613" i="1"/>
  <c r="M605" i="1"/>
  <c r="M597" i="1"/>
  <c r="M589" i="1"/>
  <c r="M581" i="1"/>
  <c r="M573" i="1"/>
  <c r="M565" i="1"/>
  <c r="M557" i="1"/>
  <c r="M549" i="1"/>
  <c r="M541" i="1"/>
  <c r="M533" i="1"/>
  <c r="M525" i="1"/>
  <c r="M517" i="1"/>
  <c r="M509" i="1"/>
  <c r="M501" i="1"/>
  <c r="M493" i="1"/>
  <c r="M485" i="1"/>
  <c r="M477" i="1"/>
  <c r="M461" i="1"/>
  <c r="M445" i="1"/>
  <c r="M437" i="1"/>
  <c r="M429" i="1"/>
  <c r="M421" i="1"/>
  <c r="M413" i="1"/>
  <c r="M405" i="1"/>
  <c r="M397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45" i="1"/>
  <c r="M38" i="1"/>
  <c r="M46" i="1"/>
  <c r="M54" i="1"/>
  <c r="M62" i="1"/>
  <c r="M70" i="1"/>
  <c r="M78" i="1"/>
  <c r="M86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06" i="1"/>
  <c r="M214" i="1"/>
  <c r="M222" i="1"/>
  <c r="K30" i="3"/>
  <c r="M230" i="1"/>
  <c r="M756" i="1"/>
  <c r="M748" i="1"/>
  <c r="M740" i="1"/>
  <c r="M732" i="1"/>
  <c r="M724" i="1"/>
  <c r="M716" i="1"/>
  <c r="M708" i="1"/>
  <c r="M692" i="1"/>
  <c r="M676" i="1"/>
  <c r="M668" i="1"/>
  <c r="M660" i="1"/>
  <c r="M652" i="1"/>
  <c r="M644" i="1"/>
  <c r="M636" i="1"/>
  <c r="M628" i="1"/>
  <c r="M620" i="1"/>
  <c r="M612" i="1"/>
  <c r="M604" i="1"/>
  <c r="M596" i="1"/>
  <c r="M580" i="1"/>
  <c r="M572" i="1"/>
  <c r="M564" i="1"/>
  <c r="M556" i="1"/>
  <c r="M548" i="1"/>
  <c r="M540" i="1"/>
  <c r="M532" i="1"/>
  <c r="M524" i="1"/>
  <c r="M516" i="1"/>
  <c r="M508" i="1"/>
  <c r="M500" i="1"/>
  <c r="M492" i="1"/>
  <c r="M476" i="1"/>
  <c r="M460" i="1"/>
  <c r="M444" i="1"/>
  <c r="M436" i="1"/>
  <c r="M428" i="1"/>
  <c r="M420" i="1"/>
  <c r="M412" i="1"/>
  <c r="M404" i="1"/>
  <c r="M396" i="1"/>
  <c r="M388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52" i="1"/>
  <c r="M7" i="1"/>
  <c r="M23" i="1"/>
  <c r="M31" i="1"/>
  <c r="M39" i="1"/>
  <c r="M47" i="1"/>
  <c r="M55" i="1"/>
  <c r="M63" i="1"/>
  <c r="M71" i="1"/>
  <c r="M79" i="1"/>
  <c r="M87" i="1"/>
  <c r="M95" i="1"/>
  <c r="M103" i="1"/>
  <c r="M111" i="1"/>
  <c r="M119" i="1"/>
  <c r="M127" i="1"/>
  <c r="M135" i="1"/>
  <c r="M143" i="1"/>
  <c r="M151" i="1"/>
  <c r="M159" i="1"/>
  <c r="M167" i="1"/>
  <c r="M175" i="1"/>
  <c r="M183" i="1"/>
  <c r="M191" i="1"/>
  <c r="M199" i="1"/>
  <c r="M207" i="1"/>
  <c r="M215" i="1"/>
  <c r="M223" i="1"/>
  <c r="M231" i="1"/>
  <c r="M1280" i="1"/>
  <c r="M1286" i="1"/>
  <c r="M1201" i="1"/>
  <c r="M1325" i="1"/>
  <c r="M1353" i="1"/>
  <c r="M1214" i="1"/>
  <c r="M1232" i="1"/>
  <c r="M1224" i="1"/>
  <c r="M1216" i="1"/>
  <c r="M1239" i="1"/>
  <c r="M1245" i="1"/>
  <c r="M1252" i="1"/>
  <c r="M1268" i="1"/>
  <c r="M1260" i="1"/>
  <c r="M1279" i="1"/>
  <c r="M1285" i="1"/>
  <c r="M1192" i="1"/>
  <c r="M1324" i="1"/>
  <c r="M1352" i="1"/>
  <c r="M1231" i="1"/>
  <c r="M1223" i="1"/>
  <c r="M1238" i="1"/>
  <c r="M1244" i="1"/>
  <c r="M1251" i="1"/>
  <c r="M1275" i="1"/>
  <c r="M1267" i="1"/>
  <c r="M1259" i="1"/>
  <c r="M1278" i="1"/>
  <c r="M1292" i="1"/>
  <c r="M1191" i="1"/>
  <c r="M1230" i="1"/>
  <c r="M1222" i="1"/>
  <c r="M1237" i="1"/>
  <c r="M1243" i="1"/>
  <c r="M1250" i="1"/>
  <c r="M1274" i="1"/>
  <c r="M1266" i="1"/>
  <c r="M1258" i="1"/>
  <c r="M1277" i="1"/>
  <c r="M1350" i="1"/>
  <c r="M1221" i="1"/>
  <c r="M1242" i="1"/>
  <c r="M1249" i="1"/>
  <c r="M1273" i="1"/>
  <c r="M1265" i="1"/>
  <c r="M1257" i="1"/>
  <c r="M1189" i="1"/>
  <c r="M1234" i="1"/>
  <c r="M1284" i="1"/>
  <c r="M1290" i="1"/>
  <c r="M1276" i="1"/>
  <c r="M1293" i="1"/>
  <c r="M1337" i="1"/>
  <c r="M1329" i="1"/>
  <c r="M1321" i="1"/>
  <c r="M1313" i="1"/>
  <c r="M1305" i="1"/>
  <c r="M1298" i="1"/>
  <c r="M1349" i="1"/>
  <c r="M1228" i="1"/>
  <c r="M1220" i="1"/>
  <c r="M1272" i="1"/>
  <c r="M1264" i="1"/>
  <c r="M1336" i="1"/>
  <c r="M1328" i="1"/>
  <c r="M1320" i="1"/>
  <c r="M1312" i="1"/>
  <c r="M1304" i="1"/>
  <c r="M1297" i="1"/>
  <c r="M1344" i="1"/>
  <c r="M1348" i="1"/>
  <c r="M1356" i="1"/>
  <c r="M1236" i="1"/>
  <c r="M1227" i="1"/>
  <c r="M1271" i="1"/>
  <c r="M1282" i="1"/>
  <c r="M1294" i="1"/>
  <c r="M1335" i="1"/>
  <c r="M1303" i="1"/>
  <c r="M1343" i="1"/>
  <c r="M1347" i="1"/>
  <c r="M1355" i="1"/>
  <c r="M1235" i="1"/>
  <c r="M1287" i="1"/>
  <c r="M1212" i="1"/>
  <c r="M1326" i="1"/>
  <c r="M1318" i="1"/>
  <c r="M1310" i="1"/>
  <c r="M1302" i="1"/>
  <c r="M1354" i="1"/>
  <c r="M679" i="1"/>
  <c r="U4" i="3"/>
  <c r="E122" i="6"/>
  <c r="D75" i="6"/>
  <c r="M1295" i="1"/>
  <c r="C164" i="6"/>
  <c r="L80" i="6"/>
  <c r="R74" i="6"/>
  <c r="Z153" i="6"/>
  <c r="S163" i="6"/>
  <c r="Q48" i="6"/>
  <c r="Y170" i="6"/>
  <c r="K51" i="6"/>
  <c r="M1346" i="1"/>
  <c r="N43" i="6"/>
  <c r="AA134" i="6"/>
  <c r="H139" i="6"/>
  <c r="U98" i="6"/>
  <c r="J109" i="6"/>
  <c r="D167" i="6"/>
  <c r="S166" i="6"/>
  <c r="K64" i="6"/>
  <c r="R135" i="6"/>
  <c r="F134" i="6"/>
  <c r="M1317" i="1"/>
  <c r="Y30" i="3"/>
  <c r="N145" i="6"/>
  <c r="P139" i="6"/>
  <c r="W166" i="6"/>
  <c r="E162" i="6"/>
  <c r="V136" i="6"/>
  <c r="U167" i="6"/>
  <c r="H51" i="6"/>
  <c r="V151" i="6"/>
  <c r="Q166" i="6"/>
  <c r="AC153" i="6"/>
  <c r="G46" i="6"/>
  <c r="U14" i="3"/>
  <c r="U113" i="6"/>
  <c r="Q101" i="6"/>
  <c r="D90" i="6"/>
  <c r="F156" i="6"/>
  <c r="AD158" i="6"/>
  <c r="Q51" i="6"/>
  <c r="M164" i="6"/>
  <c r="G163" i="6"/>
  <c r="L157" i="6"/>
  <c r="F71" i="6"/>
  <c r="U13" i="3"/>
  <c r="S139" i="6"/>
  <c r="L140" i="6"/>
  <c r="Z13" i="3"/>
  <c r="G146" i="6"/>
  <c r="S99" i="6"/>
  <c r="V168" i="6"/>
  <c r="Q164" i="6"/>
  <c r="L129" i="6"/>
  <c r="AD146" i="6"/>
  <c r="V162" i="6"/>
  <c r="K172" i="6"/>
  <c r="Y14" i="3"/>
  <c r="Z146" i="6"/>
  <c r="E160" i="6"/>
  <c r="J105" i="6"/>
  <c r="F127" i="6"/>
  <c r="N144" i="6"/>
  <c r="R89" i="6"/>
  <c r="G160" i="6"/>
  <c r="X146" i="6"/>
  <c r="N161" i="6"/>
  <c r="V166" i="6"/>
  <c r="M1309" i="1"/>
  <c r="W161" i="6"/>
  <c r="L147" i="6"/>
  <c r="AB153" i="6"/>
  <c r="Q152" i="6"/>
  <c r="J140" i="6"/>
  <c r="D134" i="6"/>
  <c r="U37" i="6"/>
  <c r="I153" i="6"/>
  <c r="L169" i="6"/>
  <c r="U78" i="6"/>
  <c r="T159" i="6"/>
  <c r="I172" i="6"/>
  <c r="Y13" i="3"/>
  <c r="AD172" i="6"/>
  <c r="L167" i="6"/>
  <c r="R170" i="6"/>
  <c r="C173" i="6"/>
  <c r="S68" i="6"/>
  <c r="W155" i="6"/>
  <c r="N97" i="6"/>
  <c r="S132" i="6"/>
  <c r="T45" i="6"/>
  <c r="J4" i="3"/>
  <c r="G167" i="6"/>
  <c r="F118" i="6"/>
  <c r="S171" i="6"/>
  <c r="E108" i="6"/>
  <c r="L50" i="6"/>
  <c r="O18" i="3"/>
  <c r="G147" i="6"/>
  <c r="H172" i="6"/>
  <c r="I65" i="6"/>
  <c r="Z172" i="6"/>
  <c r="Z165" i="6"/>
  <c r="T170" i="6"/>
  <c r="R44" i="6"/>
  <c r="AA156" i="6"/>
  <c r="P4" i="3"/>
  <c r="P173" i="6"/>
  <c r="AD160" i="6"/>
  <c r="C70" i="6"/>
  <c r="Q156" i="6"/>
  <c r="L71" i="6"/>
  <c r="E140" i="6"/>
  <c r="J169" i="6"/>
  <c r="C167" i="6"/>
  <c r="AD169" i="6"/>
  <c r="AB127" i="6"/>
  <c r="M1341" i="1"/>
  <c r="F82" i="6"/>
  <c r="R157" i="6"/>
  <c r="U93" i="6"/>
  <c r="T155" i="6"/>
  <c r="Q141" i="6"/>
  <c r="D164" i="6"/>
  <c r="F151" i="6"/>
  <c r="AD159" i="6"/>
  <c r="D151" i="6"/>
  <c r="U162" i="6"/>
  <c r="R33" i="6"/>
  <c r="O84" i="6"/>
  <c r="J30" i="3"/>
  <c r="G165" i="6"/>
  <c r="I45" i="6"/>
  <c r="I151" i="6"/>
  <c r="L131" i="6"/>
  <c r="L96" i="6"/>
  <c r="V169" i="6"/>
  <c r="D165" i="6"/>
  <c r="M163" i="6"/>
  <c r="S93" i="6"/>
  <c r="AD171" i="6"/>
  <c r="L152" i="6"/>
  <c r="M1339" i="1"/>
  <c r="J153" i="6"/>
  <c r="C150" i="6"/>
  <c r="L49" i="6"/>
  <c r="L156" i="6"/>
  <c r="H59" i="6"/>
  <c r="S155" i="6"/>
  <c r="I96" i="6"/>
  <c r="C157" i="6"/>
  <c r="Y151" i="6"/>
  <c r="E157" i="6"/>
  <c r="D52" i="6"/>
  <c r="G57" i="6"/>
  <c r="Y27" i="3"/>
  <c r="T6" i="3"/>
  <c r="V172" i="6"/>
  <c r="M85" i="6"/>
  <c r="J82" i="6"/>
  <c r="P144" i="6"/>
  <c r="H147" i="6"/>
  <c r="F136" i="6"/>
  <c r="F170" i="6"/>
  <c r="AA128" i="6"/>
  <c r="AC156" i="6"/>
  <c r="H160" i="6"/>
  <c r="I144" i="6"/>
  <c r="S51" i="6"/>
  <c r="F166" i="6"/>
  <c r="O61" i="6"/>
  <c r="J73" i="6"/>
  <c r="G82" i="6"/>
  <c r="Y139" i="6"/>
  <c r="I158" i="6"/>
  <c r="H163" i="6"/>
  <c r="L146" i="6"/>
  <c r="L58" i="6"/>
  <c r="K173" i="6"/>
  <c r="AA127" i="6"/>
  <c r="K31" i="3"/>
  <c r="M1345" i="1"/>
  <c r="M45" i="6"/>
  <c r="T169" i="6"/>
  <c r="W167" i="6"/>
  <c r="J74" i="6"/>
  <c r="M1327" i="1"/>
  <c r="O43" i="6"/>
  <c r="J137" i="6"/>
  <c r="S45" i="6"/>
  <c r="O133" i="6"/>
  <c r="W165" i="6"/>
  <c r="S173" i="6"/>
  <c r="C102" i="6"/>
  <c r="R167" i="6"/>
  <c r="W174" i="6"/>
  <c r="L43" i="6"/>
  <c r="AA169" i="6"/>
  <c r="E61" i="6"/>
  <c r="M1319" i="1"/>
  <c r="I147" i="6"/>
  <c r="AA140" i="6"/>
  <c r="AA133" i="6"/>
  <c r="R109" i="6"/>
  <c r="Q155" i="6"/>
  <c r="J121" i="6"/>
  <c r="F146" i="6"/>
  <c r="N167" i="6"/>
  <c r="F163" i="6"/>
  <c r="L164" i="6"/>
  <c r="I90" i="6"/>
  <c r="F57" i="6"/>
  <c r="E81" i="6"/>
  <c r="E173" i="6"/>
  <c r="E96" i="6"/>
  <c r="F168" i="6"/>
  <c r="M1311" i="1"/>
  <c r="L172" i="6"/>
  <c r="U147" i="6"/>
  <c r="T50" i="6"/>
  <c r="N137" i="6"/>
  <c r="L74" i="6"/>
  <c r="G166" i="6"/>
  <c r="C126" i="6"/>
  <c r="M56" i="6"/>
  <c r="R131" i="6"/>
  <c r="M1342" i="1"/>
  <c r="J134" i="6"/>
  <c r="O142" i="6"/>
  <c r="G164" i="6"/>
  <c r="H145" i="6"/>
  <c r="AB141" i="6"/>
  <c r="U55" i="6"/>
  <c r="E110" i="6"/>
  <c r="R163" i="6"/>
  <c r="H71" i="6"/>
  <c r="C41" i="6"/>
  <c r="G88" i="6"/>
  <c r="M1333" i="1"/>
  <c r="J31" i="3"/>
  <c r="M228" i="1"/>
  <c r="Y12" i="3"/>
  <c r="M1108" i="1"/>
  <c r="Y10" i="3"/>
  <c r="M1033" i="1"/>
  <c r="M1021" i="1"/>
  <c r="Y32" i="3"/>
  <c r="M977" i="1"/>
  <c r="Y35" i="3"/>
  <c r="M969" i="1"/>
  <c r="Y34" i="3"/>
  <c r="M967" i="1"/>
  <c r="Y33" i="3"/>
  <c r="Z5" i="3"/>
  <c r="M952" i="1"/>
  <c r="Y5" i="3"/>
  <c r="Y8" i="3"/>
  <c r="M949" i="1"/>
  <c r="Z3" i="3"/>
  <c r="M929" i="1"/>
  <c r="M922" i="1"/>
  <c r="Y9" i="3"/>
  <c r="M914" i="1"/>
  <c r="Y24" i="3"/>
  <c r="M905" i="1"/>
  <c r="Y2" i="3"/>
  <c r="M903" i="1"/>
  <c r="Y21" i="3"/>
  <c r="Y11" i="3"/>
  <c r="M890" i="1"/>
  <c r="Y3" i="3"/>
  <c r="M888" i="1"/>
  <c r="Y31" i="3"/>
  <c r="M881" i="1"/>
  <c r="Z2" i="3"/>
  <c r="M830" i="1"/>
  <c r="U5" i="3"/>
  <c r="T5" i="3"/>
  <c r="M829" i="1"/>
  <c r="T8" i="3"/>
  <c r="M805" i="1"/>
  <c r="U10" i="3"/>
  <c r="T10" i="3"/>
  <c r="T3" i="3"/>
  <c r="M770" i="1"/>
  <c r="T24" i="3"/>
  <c r="M758" i="1"/>
  <c r="U24" i="3"/>
  <c r="M743" i="1"/>
  <c r="U2" i="3"/>
  <c r="T2" i="3"/>
  <c r="M741" i="1"/>
  <c r="T32" i="3"/>
  <c r="T29" i="3"/>
  <c r="M737" i="1"/>
  <c r="M735" i="1"/>
  <c r="T20" i="3"/>
  <c r="T34" i="3"/>
  <c r="M729" i="1"/>
  <c r="M727" i="1"/>
  <c r="U33" i="3"/>
  <c r="M723" i="1"/>
  <c r="U12" i="3"/>
  <c r="M722" i="1"/>
  <c r="T12" i="3"/>
  <c r="T19" i="3"/>
  <c r="M721" i="1"/>
  <c r="U19" i="3"/>
  <c r="M711" i="1"/>
  <c r="U3" i="3"/>
  <c r="T21" i="3"/>
  <c r="U21" i="3"/>
  <c r="M705" i="1"/>
  <c r="M703" i="1"/>
  <c r="U8" i="3"/>
  <c r="M700" i="1"/>
  <c r="T9" i="3"/>
  <c r="U35" i="3"/>
  <c r="M699" i="1"/>
  <c r="T35" i="3"/>
  <c r="U9" i="3"/>
  <c r="M697" i="1"/>
  <c r="M694" i="1"/>
  <c r="U34" i="3"/>
  <c r="U31" i="3"/>
  <c r="M684" i="1"/>
  <c r="T31" i="3"/>
  <c r="M682" i="1"/>
  <c r="U29" i="3"/>
  <c r="O20" i="3"/>
  <c r="M579" i="1"/>
  <c r="P20" i="3"/>
  <c r="O3" i="3"/>
  <c r="M561" i="1"/>
  <c r="M551" i="1"/>
  <c r="O10" i="3"/>
  <c r="O35" i="3"/>
  <c r="M527" i="1"/>
  <c r="O2" i="3"/>
  <c r="M526" i="1"/>
  <c r="P2" i="3"/>
  <c r="M499" i="1"/>
  <c r="O5" i="3"/>
  <c r="P5" i="3"/>
  <c r="M496" i="1"/>
  <c r="O24" i="3"/>
  <c r="P9" i="3"/>
  <c r="M484" i="1"/>
  <c r="M483" i="1"/>
  <c r="P21" i="3"/>
  <c r="O21" i="3"/>
  <c r="M469" i="1"/>
  <c r="P33" i="3"/>
  <c r="O33" i="3"/>
  <c r="M468" i="1"/>
  <c r="P12" i="3"/>
  <c r="M467" i="1"/>
  <c r="O12" i="3"/>
  <c r="P19" i="3"/>
  <c r="M465" i="1"/>
  <c r="O19" i="3"/>
  <c r="M457" i="1"/>
  <c r="P3" i="3"/>
  <c r="M453" i="1"/>
  <c r="P8" i="3"/>
  <c r="O9" i="3"/>
  <c r="M452" i="1"/>
  <c r="M451" i="1"/>
  <c r="P35" i="3"/>
  <c r="P32" i="3"/>
  <c r="M450" i="1"/>
  <c r="O32" i="3"/>
  <c r="P31" i="3"/>
  <c r="M449" i="1"/>
  <c r="O31" i="3"/>
  <c r="M447" i="1"/>
  <c r="O29" i="3"/>
  <c r="P29" i="3"/>
  <c r="O8" i="3"/>
  <c r="M442" i="1"/>
  <c r="M441" i="1"/>
  <c r="P34" i="3"/>
  <c r="M380" i="1"/>
  <c r="J32" i="3"/>
  <c r="K10" i="3"/>
  <c r="M335" i="1"/>
  <c r="J10" i="3"/>
  <c r="M278" i="1"/>
  <c r="J2" i="3"/>
  <c r="M268" i="1"/>
  <c r="J34" i="3"/>
  <c r="M262" i="1"/>
  <c r="J33" i="3"/>
  <c r="K33" i="3"/>
  <c r="K12" i="3"/>
  <c r="M261" i="1"/>
  <c r="M260" i="1"/>
  <c r="J12" i="3"/>
  <c r="M259" i="1"/>
  <c r="J19" i="3"/>
  <c r="K19" i="3"/>
  <c r="M255" i="1"/>
  <c r="K3" i="3"/>
  <c r="J3" i="3"/>
  <c r="M254" i="1"/>
  <c r="M251" i="1"/>
  <c r="K8" i="3"/>
  <c r="J9" i="3"/>
  <c r="M249" i="1"/>
  <c r="M244" i="1"/>
  <c r="K9" i="3"/>
  <c r="J20" i="3"/>
  <c r="M240" i="1"/>
  <c r="M239" i="1"/>
  <c r="J25" i="3"/>
  <c r="Y25" i="3"/>
  <c r="Z25" i="3"/>
  <c r="O25" i="3"/>
  <c r="T25" i="3"/>
  <c r="U25" i="3"/>
  <c r="J7" i="3"/>
  <c r="Y7" i="3"/>
  <c r="O7" i="3"/>
  <c r="Z7" i="3"/>
  <c r="M238" i="1"/>
  <c r="P7" i="3"/>
  <c r="T7" i="3"/>
  <c r="Y17" i="3"/>
  <c r="J17" i="3"/>
  <c r="Z17" i="3"/>
  <c r="P17" i="3"/>
  <c r="K17" i="3"/>
  <c r="M237" i="1"/>
  <c r="U17" i="3"/>
  <c r="O17" i="3"/>
  <c r="T17" i="3"/>
  <c r="P16" i="3"/>
  <c r="T16" i="3"/>
  <c r="Z16" i="3"/>
  <c r="M236" i="1"/>
  <c r="U16" i="3"/>
  <c r="J16" i="3"/>
  <c r="K16" i="3"/>
  <c r="Y16" i="3"/>
  <c r="O16" i="3"/>
  <c r="U15" i="3"/>
  <c r="J15" i="3"/>
  <c r="O15" i="3"/>
  <c r="T15" i="3"/>
  <c r="Y15" i="3"/>
  <c r="M235" i="1"/>
  <c r="Z15" i="3"/>
  <c r="K15" i="3"/>
  <c r="P15" i="3"/>
  <c r="C182" i="6"/>
  <c r="K182" i="6"/>
  <c r="S182" i="6"/>
  <c r="AA182" i="6"/>
  <c r="Z12" i="3"/>
  <c r="U26" i="3"/>
  <c r="K11" i="3"/>
  <c r="P24" i="3"/>
  <c r="K20" i="3"/>
  <c r="K25" i="3"/>
  <c r="K22" i="3"/>
  <c r="Y20" i="3"/>
  <c r="Y19" i="3"/>
  <c r="U7" i="3"/>
  <c r="K23" i="3"/>
  <c r="D182" i="6"/>
  <c r="L182" i="6"/>
  <c r="T182" i="6"/>
  <c r="AB182" i="6"/>
  <c r="E182" i="6"/>
  <c r="M182" i="6"/>
  <c r="U182" i="6"/>
  <c r="AC182" i="6"/>
  <c r="Z34" i="3"/>
  <c r="J21" i="3"/>
  <c r="Z20" i="3"/>
  <c r="T33" i="3"/>
  <c r="P10" i="3"/>
  <c r="O34" i="3"/>
  <c r="P25" i="3"/>
  <c r="U20" i="3"/>
  <c r="Y29" i="3"/>
  <c r="K7" i="3"/>
  <c r="K2" i="3"/>
  <c r="F182" i="6"/>
  <c r="N182" i="6"/>
  <c r="V182" i="6"/>
  <c r="AD182" i="6"/>
  <c r="G182" i="6"/>
  <c r="O182" i="6"/>
  <c r="W182" i="6"/>
  <c r="H182" i="6"/>
  <c r="P182" i="6"/>
  <c r="X182" i="6"/>
  <c r="O11" i="3"/>
  <c r="I182" i="6"/>
  <c r="Q182" i="6"/>
  <c r="Y182" i="6"/>
  <c r="K21" i="3"/>
  <c r="J26" i="3"/>
  <c r="J182" i="6"/>
  <c r="R182" i="6"/>
  <c r="Z182" i="6"/>
  <c r="Z9" i="3"/>
  <c r="J35" i="3"/>
  <c r="S181" i="6"/>
  <c r="U181" i="6"/>
  <c r="I181" i="6"/>
  <c r="C152" i="6"/>
  <c r="T146" i="6"/>
  <c r="D132" i="6"/>
  <c r="Z130" i="6"/>
  <c r="H126" i="6"/>
  <c r="L111" i="6"/>
  <c r="C180" i="6"/>
  <c r="Q119" i="6"/>
  <c r="P51" i="6"/>
  <c r="AA181" i="6"/>
  <c r="AC181" i="6"/>
  <c r="Q181" i="6"/>
  <c r="AD177" i="6"/>
  <c r="P111" i="6"/>
  <c r="K110" i="6"/>
  <c r="L178" i="6"/>
  <c r="K130" i="6"/>
  <c r="E73" i="6"/>
  <c r="D181" i="6"/>
  <c r="F181" i="6"/>
  <c r="G181" i="6"/>
  <c r="Y181" i="6"/>
  <c r="AA179" i="6"/>
  <c r="H179" i="6"/>
  <c r="E54" i="6"/>
  <c r="O116" i="6"/>
  <c r="T181" i="6"/>
  <c r="V181" i="6"/>
  <c r="W181" i="6"/>
  <c r="R181" i="6"/>
  <c r="C181" i="6"/>
  <c r="E181" i="6"/>
  <c r="P181" i="6"/>
  <c r="N138" i="6"/>
  <c r="U137" i="6"/>
  <c r="X176" i="6"/>
  <c r="I82" i="6"/>
  <c r="M181" i="6"/>
  <c r="J181" i="6"/>
  <c r="AB128" i="6"/>
  <c r="T178" i="6"/>
  <c r="S117" i="6"/>
  <c r="S129" i="6"/>
  <c r="Q112" i="6"/>
  <c r="K177" i="6"/>
  <c r="T180" i="6"/>
  <c r="I71" i="6"/>
  <c r="U175" i="6"/>
  <c r="P180" i="6"/>
  <c r="N39" i="6"/>
  <c r="J122" i="6"/>
  <c r="S123" i="6"/>
  <c r="F84" i="6"/>
  <c r="X180" i="6"/>
  <c r="R180" i="6"/>
  <c r="F88" i="6"/>
  <c r="G178" i="6"/>
  <c r="M116" i="6"/>
  <c r="D159" i="6"/>
  <c r="U81" i="6"/>
  <c r="Q89" i="6"/>
  <c r="D109" i="6"/>
  <c r="T101" i="6"/>
  <c r="J110" i="6"/>
  <c r="U45" i="6"/>
  <c r="N152" i="6"/>
  <c r="P114" i="6"/>
  <c r="G50" i="6"/>
  <c r="R57" i="6"/>
  <c r="T79" i="6"/>
  <c r="U35" i="6"/>
  <c r="L55" i="6"/>
  <c r="D33" i="6"/>
  <c r="P87" i="6"/>
  <c r="X130" i="6"/>
  <c r="M124" i="6"/>
  <c r="Q41" i="6"/>
  <c r="F95" i="6"/>
  <c r="G35" i="6"/>
  <c r="J91" i="6"/>
  <c r="T37" i="6"/>
  <c r="P103" i="6"/>
  <c r="F113" i="6"/>
  <c r="U71" i="6"/>
  <c r="M38" i="6"/>
  <c r="I104" i="6"/>
  <c r="T43" i="6"/>
  <c r="D71" i="6"/>
  <c r="L73" i="6"/>
  <c r="E64" i="6"/>
  <c r="N181" i="6"/>
  <c r="Z181" i="6"/>
  <c r="U74" i="6"/>
  <c r="Q105" i="6"/>
  <c r="K35" i="6"/>
  <c r="Y176" i="6"/>
  <c r="H176" i="6"/>
  <c r="S176" i="6"/>
  <c r="W132" i="6"/>
  <c r="H180" i="6"/>
  <c r="I55" i="6"/>
  <c r="L115" i="6"/>
  <c r="AC179" i="6"/>
  <c r="G176" i="6"/>
  <c r="D178" i="6"/>
  <c r="N116" i="6"/>
  <c r="S52" i="6"/>
  <c r="Q177" i="6"/>
  <c r="S59" i="6"/>
  <c r="U79" i="6"/>
  <c r="D39" i="6"/>
  <c r="C72" i="6"/>
  <c r="O178" i="6"/>
  <c r="X132" i="6"/>
  <c r="H37" i="6"/>
  <c r="K178" i="6"/>
  <c r="P81" i="6"/>
  <c r="S46" i="6"/>
  <c r="J133" i="6"/>
  <c r="K96" i="6"/>
  <c r="M51" i="6"/>
  <c r="P115" i="6"/>
  <c r="C73" i="6"/>
  <c r="O175" i="6"/>
  <c r="AD175" i="6"/>
  <c r="N49" i="6"/>
  <c r="F175" i="6"/>
  <c r="V176" i="6"/>
  <c r="C66" i="6"/>
  <c r="U40" i="6"/>
  <c r="J41" i="6"/>
  <c r="E99" i="6"/>
  <c r="X127" i="6"/>
  <c r="O101" i="6"/>
  <c r="AD181" i="6"/>
  <c r="V138" i="6"/>
  <c r="Z178" i="6"/>
  <c r="K128" i="6"/>
  <c r="I163" i="6"/>
  <c r="K124" i="6"/>
  <c r="H169" i="6"/>
  <c r="K180" i="6"/>
  <c r="I176" i="6"/>
  <c r="Q179" i="6"/>
  <c r="O115" i="6"/>
  <c r="P178" i="6"/>
  <c r="S57" i="6"/>
  <c r="N128" i="6"/>
  <c r="T49" i="6"/>
  <c r="I114" i="6"/>
  <c r="I180" i="6"/>
  <c r="O179" i="6"/>
  <c r="M63" i="6"/>
  <c r="AB130" i="6"/>
  <c r="J129" i="6"/>
  <c r="C99" i="6"/>
  <c r="D83" i="6"/>
  <c r="N117" i="6"/>
  <c r="P71" i="6"/>
  <c r="I133" i="6"/>
  <c r="F69" i="6"/>
  <c r="G44" i="6"/>
  <c r="L108" i="6"/>
  <c r="T105" i="6"/>
  <c r="K71" i="6"/>
  <c r="I134" i="6"/>
  <c r="F70" i="6"/>
  <c r="L45" i="6"/>
  <c r="T115" i="6"/>
  <c r="R175" i="6"/>
  <c r="T95" i="6"/>
  <c r="L87" i="6"/>
  <c r="L127" i="6"/>
  <c r="O70" i="6"/>
  <c r="D34" i="6"/>
  <c r="G132" i="6"/>
  <c r="Z180" i="6"/>
  <c r="P74" i="6"/>
  <c r="T107" i="6"/>
  <c r="K74" i="6"/>
  <c r="U130" i="6"/>
  <c r="O53" i="6"/>
  <c r="AA125" i="6"/>
  <c r="H36" i="6"/>
  <c r="L123" i="6"/>
  <c r="N72" i="6"/>
  <c r="I67" i="6"/>
  <c r="C109" i="6"/>
  <c r="R35" i="6"/>
  <c r="AC180" i="6"/>
  <c r="H91" i="6"/>
  <c r="L126" i="6"/>
  <c r="D180" i="6"/>
  <c r="J100" i="6"/>
  <c r="E102" i="6"/>
  <c r="G104" i="6"/>
  <c r="S112" i="6"/>
  <c r="R130" i="6"/>
  <c r="E126" i="6"/>
  <c r="I178" i="6"/>
  <c r="K40" i="6"/>
  <c r="P46" i="6"/>
  <c r="T175" i="6"/>
  <c r="X178" i="6"/>
  <c r="Y177" i="6"/>
  <c r="I102" i="6"/>
  <c r="O74" i="6"/>
  <c r="AB179" i="6"/>
  <c r="M180" i="6"/>
  <c r="F36" i="6"/>
  <c r="Y179" i="6"/>
  <c r="P158" i="6"/>
  <c r="C132" i="6"/>
  <c r="I175" i="6"/>
  <c r="N110" i="6"/>
  <c r="K102" i="6"/>
  <c r="U102" i="6"/>
  <c r="C133" i="6"/>
  <c r="T78" i="6"/>
  <c r="Q175" i="6"/>
  <c r="AD176" i="6"/>
  <c r="V178" i="6"/>
  <c r="K39" i="6"/>
  <c r="D93" i="6"/>
  <c r="N127" i="6"/>
  <c r="F87" i="6"/>
  <c r="G59" i="6"/>
  <c r="T56" i="6"/>
  <c r="P36" i="6"/>
  <c r="E50" i="6"/>
  <c r="K36" i="6"/>
  <c r="S44" i="6"/>
  <c r="R51" i="6"/>
  <c r="O42" i="6"/>
  <c r="C60" i="6"/>
  <c r="I44" i="6"/>
  <c r="C113" i="6"/>
  <c r="T133" i="6"/>
  <c r="G180" i="6"/>
  <c r="R40" i="6"/>
  <c r="F165" i="6"/>
  <c r="O180" i="6"/>
  <c r="I98" i="6"/>
  <c r="G110" i="6"/>
  <c r="L180" i="6"/>
  <c r="U177" i="6"/>
  <c r="P120" i="6"/>
  <c r="T151" i="6"/>
  <c r="E85" i="6"/>
  <c r="F158" i="6"/>
  <c r="D117" i="6"/>
  <c r="N142" i="6"/>
  <c r="F72" i="6"/>
  <c r="Z176" i="6"/>
  <c r="N177" i="6"/>
  <c r="S100" i="6"/>
  <c r="R125" i="6"/>
  <c r="AB125" i="6"/>
  <c r="P48" i="6"/>
  <c r="I123" i="6"/>
  <c r="Q38" i="6"/>
  <c r="AA152" i="6"/>
  <c r="E118" i="6"/>
  <c r="K142" i="6"/>
  <c r="M77" i="6"/>
  <c r="K43" i="6"/>
  <c r="S79" i="6"/>
  <c r="K112" i="6"/>
  <c r="Q93" i="6"/>
  <c r="AD179" i="6"/>
  <c r="K91" i="6"/>
  <c r="O77" i="6"/>
  <c r="G179" i="6"/>
  <c r="E34" i="6"/>
  <c r="M64" i="6"/>
  <c r="O79" i="6"/>
  <c r="U60" i="6"/>
  <c r="Q85" i="6"/>
  <c r="M65" i="6"/>
  <c r="P33" i="6"/>
  <c r="P97" i="6"/>
  <c r="R117" i="6"/>
  <c r="S119" i="6"/>
  <c r="C176" i="6"/>
  <c r="H63" i="6"/>
  <c r="R120" i="6"/>
  <c r="L99" i="6"/>
  <c r="E101" i="6"/>
  <c r="O62" i="6"/>
  <c r="H131" i="6"/>
  <c r="E43" i="6"/>
  <c r="E177" i="6"/>
  <c r="T100" i="6"/>
  <c r="U56" i="6"/>
  <c r="C54" i="6"/>
  <c r="F109" i="6"/>
  <c r="R38" i="6"/>
  <c r="D59" i="6"/>
  <c r="AB177" i="6"/>
  <c r="M97" i="6"/>
  <c r="AC176" i="6"/>
  <c r="Z175" i="6"/>
  <c r="I35" i="6"/>
  <c r="L181" i="6"/>
  <c r="H181" i="6"/>
  <c r="U97" i="6"/>
  <c r="Q53" i="6"/>
  <c r="S118" i="6"/>
  <c r="D176" i="6"/>
  <c r="T85" i="6"/>
  <c r="O55" i="6"/>
  <c r="S180" i="6"/>
  <c r="E178" i="6"/>
  <c r="G111" i="6"/>
  <c r="AB180" i="6"/>
  <c r="M36" i="6"/>
  <c r="D122" i="6"/>
  <c r="K115" i="6"/>
  <c r="S55" i="6"/>
  <c r="E180" i="6"/>
  <c r="F124" i="6"/>
  <c r="J50" i="6"/>
  <c r="D78" i="6"/>
  <c r="I76" i="6"/>
  <c r="Q148" i="6"/>
  <c r="K37" i="6"/>
  <c r="H159" i="6"/>
  <c r="AA177" i="6"/>
  <c r="R46" i="6"/>
  <c r="H110" i="6"/>
  <c r="J36" i="6"/>
  <c r="H100" i="6"/>
  <c r="F80" i="6"/>
  <c r="E59" i="6"/>
  <c r="U122" i="6"/>
  <c r="M66" i="6"/>
  <c r="I70" i="6"/>
  <c r="E37" i="6"/>
  <c r="N75" i="6"/>
  <c r="P92" i="6"/>
  <c r="N90" i="6"/>
  <c r="F61" i="6"/>
  <c r="G113" i="6"/>
  <c r="AC129" i="6"/>
  <c r="K108" i="6"/>
  <c r="P38" i="6"/>
  <c r="M70" i="6"/>
  <c r="J175" i="6"/>
  <c r="S62" i="6"/>
  <c r="O177" i="6"/>
  <c r="M125" i="6"/>
  <c r="C38" i="6"/>
  <c r="N56" i="6"/>
  <c r="R97" i="6"/>
  <c r="G58" i="6"/>
  <c r="K181" i="6"/>
  <c r="K179" i="6"/>
  <c r="H97" i="6"/>
  <c r="G33" i="6"/>
  <c r="N112" i="6"/>
  <c r="P41" i="6"/>
  <c r="O34" i="6"/>
  <c r="F126" i="6"/>
  <c r="I37" i="6"/>
  <c r="G34" i="6"/>
  <c r="K132" i="6"/>
  <c r="G175" i="6"/>
  <c r="L90" i="6"/>
  <c r="G42" i="6"/>
  <c r="M179" i="6"/>
  <c r="U178" i="6"/>
  <c r="P55" i="6"/>
  <c r="D177" i="6"/>
  <c r="G60" i="6"/>
  <c r="J111" i="6"/>
  <c r="M43" i="6"/>
  <c r="M71" i="6"/>
  <c r="F117" i="6"/>
  <c r="T87" i="6"/>
  <c r="V179" i="6"/>
  <c r="P42" i="6"/>
  <c r="R107" i="6"/>
  <c r="F167" i="6"/>
  <c r="AB175" i="6"/>
  <c r="J79" i="6"/>
  <c r="R61" i="6"/>
  <c r="H125" i="6"/>
  <c r="G99" i="6"/>
  <c r="Q72" i="6"/>
  <c r="L179" i="6"/>
  <c r="Q127" i="6"/>
  <c r="AD127" i="6"/>
  <c r="I58" i="6"/>
  <c r="E119" i="6"/>
  <c r="L59" i="6"/>
  <c r="L133" i="6"/>
  <c r="K92" i="6"/>
  <c r="M60" i="6"/>
  <c r="W179" i="6"/>
  <c r="O125" i="6"/>
  <c r="K88" i="6"/>
  <c r="D98" i="6"/>
  <c r="S41" i="6"/>
  <c r="R85" i="6"/>
  <c r="H46" i="6"/>
  <c r="R68" i="6"/>
  <c r="L132" i="6"/>
  <c r="C96" i="6"/>
  <c r="O102" i="6"/>
  <c r="P83" i="6"/>
  <c r="K34" i="6"/>
  <c r="H53" i="6"/>
  <c r="N77" i="6"/>
  <c r="M155" i="6"/>
  <c r="Q43" i="6"/>
  <c r="F64" i="6"/>
  <c r="L86" i="6"/>
  <c r="U132" i="6"/>
  <c r="N35" i="6"/>
  <c r="E98" i="6"/>
  <c r="R42" i="6"/>
  <c r="K52" i="6"/>
  <c r="R80" i="6"/>
  <c r="J40" i="6"/>
  <c r="Q33" i="6"/>
  <c r="S82" i="6"/>
  <c r="AB181" i="6"/>
  <c r="T53" i="6"/>
  <c r="C35" i="6"/>
  <c r="R133" i="6"/>
  <c r="P122" i="6"/>
  <c r="E111" i="6"/>
  <c r="L124" i="6"/>
  <c r="L81" i="6"/>
  <c r="W177" i="6"/>
  <c r="AD125" i="6"/>
  <c r="Q39" i="6"/>
  <c r="U91" i="6"/>
  <c r="T118" i="6"/>
  <c r="R178" i="6"/>
  <c r="V180" i="6"/>
  <c r="N176" i="6"/>
  <c r="F90" i="6"/>
  <c r="U107" i="6"/>
  <c r="D41" i="6"/>
  <c r="P64" i="6"/>
  <c r="H34" i="6"/>
  <c r="P39" i="6"/>
  <c r="I53" i="6"/>
  <c r="L66" i="6"/>
  <c r="AC131" i="6"/>
  <c r="L100" i="6"/>
  <c r="N107" i="6"/>
  <c r="J179" i="6"/>
  <c r="D37" i="6"/>
  <c r="M96" i="6"/>
  <c r="S47" i="6"/>
  <c r="AC178" i="6"/>
  <c r="E72" i="6"/>
  <c r="AB176" i="6"/>
  <c r="G129" i="6"/>
  <c r="N82" i="6"/>
  <c r="K176" i="6"/>
  <c r="I40" i="6"/>
  <c r="S110" i="6"/>
  <c r="F97" i="6"/>
  <c r="F96" i="6"/>
  <c r="E86" i="6"/>
  <c r="S76" i="6"/>
  <c r="AA176" i="6"/>
  <c r="L76" i="6"/>
  <c r="N80" i="6"/>
  <c r="T96" i="6"/>
  <c r="AB178" i="6"/>
  <c r="M175" i="6"/>
  <c r="G79" i="6"/>
  <c r="C44" i="6"/>
  <c r="Q78" i="6"/>
  <c r="G115" i="6"/>
  <c r="N164" i="6"/>
  <c r="J33" i="6"/>
  <c r="Q176" i="6"/>
  <c r="P61" i="6"/>
  <c r="J63" i="6"/>
  <c r="I159" i="6"/>
  <c r="D62" i="6"/>
  <c r="T54" i="6"/>
  <c r="P127" i="6"/>
  <c r="L85" i="6"/>
  <c r="H44" i="6"/>
  <c r="O119" i="6"/>
  <c r="P112" i="6"/>
  <c r="U106" i="6"/>
  <c r="AA178" i="6"/>
  <c r="I50" i="6"/>
  <c r="R177" i="6"/>
  <c r="I99" i="6"/>
  <c r="O118" i="6"/>
  <c r="U95" i="6"/>
  <c r="S102" i="6"/>
  <c r="T72" i="6"/>
  <c r="E105" i="6"/>
  <c r="U114" i="6"/>
  <c r="AD133" i="6"/>
  <c r="Y178" i="6"/>
  <c r="F178" i="6"/>
  <c r="T38" i="6"/>
  <c r="G68" i="6"/>
  <c r="J126" i="6"/>
  <c r="O100" i="6"/>
  <c r="L128" i="6"/>
  <c r="M67" i="6"/>
  <c r="L36" i="6"/>
  <c r="N84" i="6"/>
  <c r="D179" i="6"/>
  <c r="C84" i="6"/>
  <c r="K169" i="6"/>
  <c r="T42" i="6"/>
  <c r="M62" i="6"/>
  <c r="J89" i="6"/>
  <c r="H61" i="6"/>
  <c r="L77" i="6"/>
  <c r="K121" i="6"/>
  <c r="L89" i="6"/>
  <c r="I112" i="6"/>
  <c r="J35" i="6"/>
  <c r="I177" i="6"/>
  <c r="T73" i="6"/>
  <c r="H85" i="6"/>
  <c r="AA148" i="6"/>
  <c r="C88" i="6"/>
  <c r="E46" i="6"/>
  <c r="M48" i="6"/>
  <c r="Y180" i="6"/>
  <c r="P179" i="6"/>
  <c r="E179" i="6"/>
  <c r="J177" i="6"/>
  <c r="D104" i="6"/>
  <c r="K89" i="6"/>
  <c r="M110" i="6"/>
  <c r="R91" i="6"/>
  <c r="H42" i="6"/>
  <c r="R113" i="6"/>
  <c r="N108" i="6"/>
  <c r="F42" i="6"/>
  <c r="AA172" i="6"/>
  <c r="T104" i="6"/>
  <c r="F132" i="6"/>
  <c r="G120" i="6"/>
  <c r="F35" i="6"/>
  <c r="H52" i="6"/>
  <c r="I62" i="6"/>
  <c r="N175" i="6"/>
  <c r="S56" i="6"/>
  <c r="Q123" i="6"/>
  <c r="S147" i="6"/>
  <c r="D128" i="6"/>
  <c r="U166" i="6"/>
  <c r="I145" i="6"/>
  <c r="F44" i="6"/>
  <c r="G106" i="6"/>
  <c r="Y135" i="6"/>
  <c r="Q129" i="6"/>
  <c r="C62" i="6"/>
  <c r="P43" i="6"/>
  <c r="K72" i="6"/>
  <c r="E94" i="6"/>
  <c r="J124" i="6"/>
  <c r="J83" i="6"/>
  <c r="Z127" i="6"/>
  <c r="M178" i="6"/>
  <c r="P177" i="6"/>
  <c r="S177" i="6"/>
  <c r="U101" i="6"/>
  <c r="E107" i="6"/>
  <c r="U127" i="6"/>
  <c r="K85" i="6"/>
  <c r="N37" i="6"/>
  <c r="J71" i="6"/>
  <c r="H175" i="6"/>
  <c r="S179" i="6"/>
  <c r="T47" i="6"/>
  <c r="H109" i="6"/>
  <c r="AC127" i="6"/>
  <c r="D45" i="6"/>
  <c r="J128" i="6"/>
  <c r="U41" i="6"/>
  <c r="X126" i="6"/>
  <c r="H86" i="6"/>
  <c r="F41" i="6"/>
  <c r="I93" i="6"/>
  <c r="L83" i="6"/>
  <c r="N44" i="6"/>
  <c r="R45" i="6"/>
  <c r="H178" i="6"/>
  <c r="E116" i="6"/>
  <c r="H82" i="6"/>
  <c r="AD131" i="6"/>
  <c r="P54" i="6"/>
  <c r="E49" i="6"/>
  <c r="D127" i="6"/>
  <c r="Z132" i="6"/>
  <c r="S113" i="6"/>
  <c r="O120" i="6"/>
  <c r="T93" i="6"/>
  <c r="W175" i="6"/>
  <c r="H122" i="6"/>
  <c r="R118" i="6"/>
  <c r="H74" i="6"/>
  <c r="E42" i="6"/>
  <c r="C121" i="6"/>
  <c r="C106" i="6"/>
  <c r="F176" i="6"/>
  <c r="L175" i="6"/>
  <c r="J139" i="6"/>
  <c r="Y126" i="6"/>
  <c r="E75" i="6"/>
  <c r="C79" i="6"/>
  <c r="K65" i="6"/>
  <c r="G45" i="6"/>
  <c r="K82" i="6"/>
  <c r="L92" i="6"/>
  <c r="R123" i="6"/>
  <c r="C95" i="6"/>
  <c r="R116" i="6"/>
  <c r="S38" i="6"/>
  <c r="S42" i="6"/>
  <c r="G123" i="6"/>
  <c r="Z128" i="6"/>
  <c r="L125" i="6"/>
  <c r="M159" i="6"/>
  <c r="M102" i="6"/>
  <c r="S121" i="6"/>
  <c r="O181" i="6"/>
  <c r="R78" i="6"/>
  <c r="U115" i="6"/>
  <c r="AA180" i="6"/>
  <c r="M104" i="6"/>
  <c r="K175" i="6"/>
  <c r="AA175" i="6"/>
  <c r="P94" i="6"/>
  <c r="L39" i="6"/>
  <c r="N57" i="6"/>
  <c r="P77" i="6"/>
  <c r="U111" i="6"/>
  <c r="R37" i="6"/>
  <c r="E104" i="6"/>
  <c r="T61" i="6"/>
  <c r="J178" i="6"/>
  <c r="S125" i="6"/>
  <c r="V177" i="6"/>
  <c r="J42" i="6"/>
  <c r="M101" i="6"/>
  <c r="I110" i="6"/>
  <c r="V125" i="6"/>
  <c r="J87" i="6"/>
  <c r="P90" i="6"/>
  <c r="O117" i="6"/>
  <c r="L117" i="6"/>
  <c r="Q50" i="6"/>
  <c r="D102" i="6"/>
  <c r="AD153" i="6"/>
  <c r="M126" i="6"/>
  <c r="S94" i="6"/>
  <c r="D70" i="6"/>
  <c r="O47" i="6"/>
  <c r="S53" i="6"/>
  <c r="N115" i="6"/>
  <c r="K63" i="6"/>
  <c r="Q70" i="6"/>
  <c r="R63" i="6"/>
  <c r="C74" i="6"/>
  <c r="C91" i="6"/>
  <c r="U61" i="6"/>
  <c r="U50" i="6"/>
  <c r="P175" i="6"/>
  <c r="D105" i="6"/>
  <c r="H69" i="6"/>
  <c r="V133" i="6"/>
  <c r="T112" i="6"/>
  <c r="P53" i="6"/>
  <c r="F105" i="6"/>
  <c r="C52" i="6"/>
  <c r="P37" i="6"/>
  <c r="T51" i="6"/>
  <c r="M40" i="6"/>
  <c r="F66" i="6"/>
  <c r="T48" i="6"/>
  <c r="N73" i="6"/>
  <c r="C89" i="6"/>
  <c r="U65" i="6"/>
  <c r="T83" i="6"/>
  <c r="I86" i="6"/>
  <c r="D56" i="6"/>
  <c r="C59" i="6"/>
  <c r="AD129" i="6"/>
  <c r="I81" i="6"/>
  <c r="Q67" i="6"/>
  <c r="O111" i="6"/>
  <c r="P40" i="6"/>
  <c r="T134" i="6"/>
  <c r="P106" i="6"/>
  <c r="Q65" i="6"/>
  <c r="X171" i="6"/>
  <c r="AA154" i="6"/>
  <c r="K50" i="6"/>
  <c r="AB164" i="6"/>
  <c r="D44" i="6"/>
  <c r="F33" i="6"/>
  <c r="I75" i="6"/>
  <c r="J72" i="6"/>
  <c r="R73" i="6"/>
  <c r="G71" i="6"/>
  <c r="G149" i="6"/>
  <c r="X181" i="6"/>
  <c r="N60" i="6"/>
  <c r="G154" i="6"/>
  <c r="F180" i="6"/>
  <c r="N178" i="6"/>
  <c r="C46" i="6"/>
  <c r="N69" i="6"/>
  <c r="J67" i="6"/>
  <c r="P91" i="6"/>
  <c r="K98" i="6"/>
  <c r="AA130" i="6"/>
  <c r="K107" i="6"/>
  <c r="W178" i="6"/>
  <c r="Q118" i="6"/>
  <c r="D42" i="6"/>
  <c r="K70" i="6"/>
  <c r="Z179" i="6"/>
  <c r="Z159" i="6"/>
  <c r="C85" i="6"/>
  <c r="C65" i="6"/>
  <c r="C108" i="6"/>
  <c r="P73" i="6"/>
  <c r="H117" i="6"/>
  <c r="T33" i="6"/>
  <c r="AD180" i="6"/>
  <c r="Z156" i="6"/>
  <c r="H47" i="6"/>
  <c r="R82" i="6"/>
  <c r="V130" i="6"/>
  <c r="N131" i="6"/>
  <c r="M74" i="6"/>
  <c r="L88" i="6"/>
  <c r="F125" i="6"/>
  <c r="T77" i="6"/>
  <c r="H120" i="6"/>
  <c r="G43" i="6"/>
  <c r="P52" i="6"/>
  <c r="F101" i="6"/>
  <c r="S120" i="6"/>
  <c r="T41" i="6"/>
  <c r="T66" i="6"/>
  <c r="T127" i="6"/>
  <c r="Q94" i="6"/>
  <c r="H65" i="6"/>
  <c r="E83" i="6"/>
  <c r="U118" i="6"/>
  <c r="N78" i="6"/>
  <c r="K141" i="6"/>
  <c r="Q86" i="6"/>
  <c r="D55" i="6"/>
  <c r="V129" i="6"/>
  <c r="O110" i="6"/>
  <c r="J68" i="6"/>
  <c r="J127" i="6"/>
  <c r="E56" i="6"/>
  <c r="S84" i="6"/>
  <c r="P35" i="6"/>
  <c r="O75" i="6"/>
  <c r="U70" i="6"/>
  <c r="N109" i="6"/>
  <c r="E38" i="6"/>
  <c r="N50" i="6"/>
  <c r="R83" i="6"/>
  <c r="R76" i="6"/>
  <c r="R34" i="6"/>
  <c r="Z125" i="6"/>
  <c r="G41" i="6"/>
  <c r="T131" i="6"/>
  <c r="Y143" i="6"/>
  <c r="R96" i="6"/>
  <c r="D150" i="6"/>
  <c r="Q136" i="6"/>
  <c r="D92" i="6"/>
  <c r="F174" i="6"/>
  <c r="T94" i="6"/>
  <c r="Q71" i="6"/>
  <c r="F99" i="6"/>
  <c r="U179" i="6"/>
  <c r="H128" i="6"/>
  <c r="Z126" i="6"/>
  <c r="T82" i="6"/>
  <c r="R70" i="6"/>
  <c r="D125" i="6"/>
  <c r="F79" i="6"/>
  <c r="F131" i="6"/>
  <c r="L113" i="6"/>
  <c r="AD155" i="6"/>
  <c r="F138" i="6"/>
  <c r="Q99" i="6"/>
  <c r="N38" i="6"/>
  <c r="Y172" i="6"/>
  <c r="T177" i="6"/>
  <c r="AC175" i="6"/>
  <c r="J180" i="6"/>
  <c r="N180" i="6"/>
  <c r="T71" i="6"/>
  <c r="I48" i="6"/>
  <c r="U57" i="6"/>
  <c r="U180" i="6"/>
  <c r="S178" i="6"/>
  <c r="U176" i="6"/>
  <c r="Q115" i="6"/>
  <c r="E175" i="6"/>
  <c r="S106" i="6"/>
  <c r="J38" i="6"/>
  <c r="Q79" i="6"/>
  <c r="F102" i="6"/>
  <c r="AB145" i="6"/>
  <c r="N51" i="6"/>
  <c r="F75" i="6"/>
  <c r="Q98" i="6"/>
  <c r="H115" i="6"/>
  <c r="L114" i="6"/>
  <c r="F51" i="6"/>
  <c r="F112" i="6"/>
  <c r="F122" i="6"/>
  <c r="Q87" i="6"/>
  <c r="G177" i="6"/>
  <c r="M34" i="6"/>
  <c r="K83" i="6"/>
  <c r="O109" i="6"/>
  <c r="P85" i="6"/>
  <c r="U52" i="6"/>
  <c r="Q180" i="6"/>
  <c r="H177" i="6"/>
  <c r="S48" i="6"/>
  <c r="H78" i="6"/>
  <c r="N103" i="6"/>
  <c r="E39" i="6"/>
  <c r="K99" i="6"/>
  <c r="I131" i="6"/>
  <c r="G67" i="6"/>
  <c r="L118" i="6"/>
  <c r="N104" i="6"/>
  <c r="S126" i="6"/>
  <c r="Q113" i="6"/>
  <c r="J78" i="6"/>
  <c r="C114" i="6"/>
  <c r="T125" i="6"/>
  <c r="AC133" i="6"/>
  <c r="Q178" i="6"/>
  <c r="E117" i="6"/>
  <c r="D106" i="6"/>
  <c r="H106" i="6"/>
  <c r="T176" i="6"/>
  <c r="L177" i="6"/>
  <c r="H88" i="6"/>
  <c r="C55" i="6"/>
  <c r="N83" i="6"/>
  <c r="E92" i="6"/>
  <c r="Z129" i="6"/>
  <c r="H57" i="6"/>
  <c r="N172" i="6"/>
  <c r="E112" i="6"/>
  <c r="M61" i="6"/>
  <c r="U128" i="6"/>
  <c r="K78" i="6"/>
  <c r="D65" i="6"/>
  <c r="T36" i="6"/>
  <c r="AA162" i="6"/>
  <c r="F54" i="6"/>
  <c r="D61" i="6"/>
  <c r="AB157" i="6"/>
  <c r="W180" i="6"/>
  <c r="T88" i="6"/>
  <c r="O33" i="6"/>
  <c r="H113" i="6"/>
  <c r="G87" i="6"/>
  <c r="C49" i="6"/>
  <c r="O71" i="6"/>
  <c r="E77" i="6"/>
  <c r="X128" i="6"/>
  <c r="S90" i="6"/>
  <c r="H79" i="6"/>
  <c r="K139" i="6"/>
  <c r="G76" i="6"/>
  <c r="R36" i="6"/>
  <c r="Q84" i="6"/>
  <c r="K125" i="6"/>
  <c r="M52" i="6"/>
  <c r="O159" i="6"/>
  <c r="L72" i="6"/>
  <c r="K44" i="6"/>
  <c r="J34" i="6"/>
  <c r="T92" i="6"/>
  <c r="C76" i="6"/>
  <c r="T147" i="6"/>
  <c r="R172" i="6"/>
  <c r="I167" i="6"/>
  <c r="O156" i="6"/>
  <c r="J151" i="6"/>
  <c r="Z164" i="6"/>
  <c r="L153" i="6"/>
  <c r="Q110" i="6"/>
  <c r="E125" i="6"/>
  <c r="C86" i="6"/>
  <c r="G54" i="6"/>
  <c r="Q80" i="6"/>
  <c r="I89" i="6"/>
  <c r="O95" i="6"/>
  <c r="D69" i="6"/>
  <c r="U129" i="6"/>
  <c r="I127" i="6"/>
  <c r="R84" i="6"/>
  <c r="C43" i="6"/>
  <c r="M55" i="6"/>
  <c r="D101" i="6"/>
  <c r="D49" i="6"/>
  <c r="O91" i="6"/>
  <c r="P150" i="6"/>
  <c r="AA173" i="6"/>
  <c r="S135" i="6"/>
  <c r="O65" i="6"/>
  <c r="H132" i="6"/>
  <c r="R59" i="6"/>
  <c r="J108" i="6"/>
  <c r="S88" i="6"/>
  <c r="AD167" i="6"/>
  <c r="J130" i="6"/>
  <c r="Q69" i="6"/>
  <c r="H55" i="6"/>
  <c r="T64" i="6"/>
  <c r="P131" i="6"/>
  <c r="M87" i="6"/>
  <c r="R67" i="6"/>
  <c r="P80" i="6"/>
  <c r="C135" i="6"/>
  <c r="G80" i="6"/>
  <c r="S83" i="6"/>
  <c r="I136" i="6"/>
  <c r="N111" i="6"/>
  <c r="O123" i="6"/>
  <c r="AB172" i="6"/>
  <c r="L84" i="6"/>
  <c r="O108" i="6"/>
  <c r="S33" i="6"/>
  <c r="G125" i="6"/>
  <c r="N59" i="6"/>
  <c r="P60" i="6"/>
  <c r="C87" i="6"/>
  <c r="T65" i="6"/>
  <c r="X177" i="6"/>
  <c r="U51" i="6"/>
  <c r="D77" i="6"/>
  <c r="W176" i="6"/>
  <c r="Z177" i="6"/>
  <c r="O72" i="6"/>
  <c r="O126" i="6"/>
  <c r="R105" i="6"/>
  <c r="T132" i="6"/>
  <c r="T59" i="6"/>
  <c r="AC135" i="6"/>
  <c r="I78" i="6"/>
  <c r="O57" i="6"/>
  <c r="J88" i="6"/>
  <c r="U90" i="6"/>
  <c r="T70" i="6"/>
  <c r="J116" i="6"/>
  <c r="AC162" i="6"/>
  <c r="M114" i="6"/>
  <c r="J115" i="6"/>
  <c r="J85" i="6"/>
  <c r="Q114" i="6"/>
  <c r="Q120" i="6"/>
  <c r="K154" i="6"/>
  <c r="L162" i="6"/>
  <c r="Q162" i="6"/>
  <c r="X173" i="6"/>
  <c r="C40" i="6"/>
  <c r="I49" i="6"/>
  <c r="O153" i="6"/>
  <c r="C63" i="6"/>
  <c r="N63" i="6"/>
  <c r="I36" i="6"/>
  <c r="L120" i="6"/>
  <c r="O78" i="6"/>
  <c r="M129" i="6"/>
  <c r="L116" i="6"/>
  <c r="I148" i="6"/>
  <c r="U88" i="6"/>
  <c r="AA129" i="6"/>
  <c r="R114" i="6"/>
  <c r="K61" i="6"/>
  <c r="F119" i="6"/>
  <c r="K111" i="6"/>
  <c r="P104" i="6"/>
  <c r="C120" i="6"/>
  <c r="G157" i="6"/>
  <c r="O81" i="6"/>
  <c r="I43" i="6"/>
  <c r="V141" i="6"/>
  <c r="U126" i="6"/>
  <c r="P68" i="6"/>
  <c r="K38" i="6"/>
  <c r="I79" i="6"/>
  <c r="E113" i="6"/>
  <c r="F76" i="6"/>
  <c r="U53" i="6"/>
  <c r="V150" i="6"/>
  <c r="L63" i="6"/>
  <c r="O92" i="6"/>
  <c r="U67" i="6"/>
  <c r="D113" i="6"/>
  <c r="R121" i="6"/>
  <c r="V132" i="6"/>
  <c r="G36" i="6"/>
  <c r="K120" i="6"/>
  <c r="AC128" i="6"/>
  <c r="H81" i="6"/>
  <c r="AC149" i="6"/>
  <c r="M145" i="6"/>
  <c r="E70" i="6"/>
  <c r="P84" i="6"/>
  <c r="H49" i="6"/>
  <c r="I42" i="6"/>
  <c r="D96" i="6"/>
  <c r="G66" i="6"/>
  <c r="E109" i="6"/>
  <c r="O51" i="6"/>
  <c r="T58" i="6"/>
  <c r="N124" i="6"/>
  <c r="N123" i="6"/>
  <c r="AC126" i="6"/>
  <c r="P149" i="6"/>
  <c r="H127" i="6"/>
  <c r="P75" i="6"/>
  <c r="M177" i="6"/>
  <c r="C81" i="6"/>
  <c r="F92" i="6"/>
  <c r="G124" i="6"/>
  <c r="I164" i="6"/>
  <c r="AD162" i="6"/>
  <c r="M69" i="6"/>
  <c r="O40" i="6"/>
  <c r="H158" i="6"/>
  <c r="O127" i="6"/>
  <c r="R86" i="6"/>
  <c r="O60" i="6"/>
  <c r="S103" i="6"/>
  <c r="G92" i="6"/>
  <c r="L67" i="6"/>
  <c r="K106" i="6"/>
  <c r="O69" i="6"/>
  <c r="J86" i="6"/>
  <c r="E134" i="6"/>
  <c r="E153" i="6"/>
  <c r="E89" i="6"/>
  <c r="AC130" i="6"/>
  <c r="D140" i="6"/>
  <c r="AC169" i="6"/>
  <c r="D152" i="6"/>
  <c r="AD144" i="6"/>
  <c r="G51" i="6"/>
  <c r="R50" i="6"/>
  <c r="J70" i="6"/>
  <c r="M90" i="6"/>
  <c r="I166" i="6"/>
  <c r="J161" i="6"/>
  <c r="S61" i="6"/>
  <c r="C51" i="6"/>
  <c r="M117" i="6"/>
  <c r="Q37" i="6"/>
  <c r="E67" i="6"/>
  <c r="O80" i="6"/>
  <c r="AA132" i="6"/>
  <c r="Q167" i="6"/>
  <c r="K60" i="6"/>
  <c r="G174" i="6"/>
  <c r="D80" i="6"/>
  <c r="I119" i="6"/>
  <c r="P102" i="6"/>
  <c r="K160" i="6"/>
  <c r="I41" i="6"/>
  <c r="C67" i="6"/>
  <c r="E36" i="6"/>
  <c r="L60" i="6"/>
  <c r="C56" i="6"/>
  <c r="K103" i="6"/>
  <c r="P132" i="6"/>
  <c r="N153" i="6"/>
  <c r="T35" i="6"/>
  <c r="L122" i="6"/>
  <c r="L75" i="6"/>
  <c r="J159" i="6"/>
  <c r="E71" i="6"/>
  <c r="AC158" i="6"/>
  <c r="AD142" i="6"/>
  <c r="T143" i="6"/>
  <c r="J157" i="6"/>
  <c r="AC168" i="6"/>
  <c r="J97" i="6"/>
  <c r="F81" i="6"/>
  <c r="O131" i="6"/>
  <c r="D175" i="6"/>
  <c r="J49" i="6"/>
  <c r="I124" i="6"/>
  <c r="S39" i="6"/>
  <c r="L64" i="6"/>
  <c r="U64" i="6"/>
  <c r="N76" i="6"/>
  <c r="T34" i="6"/>
  <c r="U92" i="6"/>
  <c r="Q49" i="6"/>
  <c r="S124" i="6"/>
  <c r="O90" i="6"/>
  <c r="Q73" i="6"/>
  <c r="Q63" i="6"/>
  <c r="K157" i="6"/>
  <c r="F157" i="6"/>
  <c r="X169" i="6"/>
  <c r="U173" i="6"/>
  <c r="R95" i="6"/>
  <c r="L109" i="6"/>
  <c r="AD132" i="6"/>
  <c r="O174" i="6"/>
  <c r="M121" i="6"/>
  <c r="X150" i="6"/>
  <c r="I129" i="6"/>
  <c r="I74" i="6"/>
  <c r="E33" i="6"/>
  <c r="F111" i="6"/>
  <c r="Q116" i="6"/>
  <c r="M80" i="6"/>
  <c r="G126" i="6"/>
  <c r="Z170" i="6"/>
  <c r="G118" i="6"/>
  <c r="AB150" i="6"/>
  <c r="U103" i="6"/>
  <c r="Q161" i="6"/>
  <c r="N134" i="6"/>
  <c r="R176" i="6"/>
  <c r="L35" i="6"/>
  <c r="H77" i="6"/>
  <c r="H130" i="6"/>
  <c r="C175" i="6"/>
  <c r="P129" i="6"/>
  <c r="D64" i="6"/>
  <c r="P162" i="6"/>
  <c r="L163" i="6"/>
  <c r="Q42" i="6"/>
  <c r="U63" i="6"/>
  <c r="P70" i="6"/>
  <c r="O148" i="6"/>
  <c r="D123" i="6"/>
  <c r="I83" i="6"/>
  <c r="Q56" i="6"/>
  <c r="I33" i="6"/>
  <c r="C36" i="6"/>
  <c r="Q104" i="6"/>
  <c r="U94" i="6"/>
  <c r="J76" i="6"/>
  <c r="S141" i="6"/>
  <c r="P137" i="6"/>
  <c r="R102" i="6"/>
  <c r="E66" i="6"/>
  <c r="Q145" i="6"/>
  <c r="L91" i="6"/>
  <c r="P100" i="6"/>
  <c r="N133" i="6"/>
  <c r="G109" i="6"/>
  <c r="H142" i="6"/>
  <c r="E78" i="6"/>
  <c r="AC139" i="6"/>
  <c r="F91" i="6"/>
  <c r="R132" i="6"/>
  <c r="T121" i="6"/>
  <c r="C83" i="6"/>
  <c r="D89" i="6"/>
  <c r="N33" i="6"/>
  <c r="P95" i="6"/>
  <c r="H119" i="6"/>
  <c r="R112" i="6"/>
  <c r="T91" i="6"/>
  <c r="J84" i="6"/>
  <c r="O41" i="6"/>
  <c r="F58" i="6"/>
  <c r="O63" i="6"/>
  <c r="R55" i="6"/>
  <c r="R164" i="6"/>
  <c r="R174" i="6"/>
  <c r="E84" i="6"/>
  <c r="AB168" i="6"/>
  <c r="Z151" i="6"/>
  <c r="H80" i="6"/>
  <c r="D40" i="6"/>
  <c r="G101" i="6"/>
  <c r="J117" i="6"/>
  <c r="P123" i="6"/>
  <c r="O46" i="6"/>
  <c r="J58" i="6"/>
  <c r="M88" i="6"/>
  <c r="K156" i="6"/>
  <c r="M58" i="6"/>
  <c r="N36" i="6"/>
  <c r="L38" i="6"/>
  <c r="H107" i="6"/>
  <c r="N141" i="6"/>
  <c r="Z133" i="6"/>
  <c r="X168" i="6"/>
  <c r="P101" i="6"/>
  <c r="D144" i="6"/>
  <c r="S63" i="6"/>
  <c r="C178" i="6"/>
  <c r="S175" i="6"/>
  <c r="E176" i="6"/>
  <c r="U96" i="6"/>
  <c r="T149" i="6"/>
  <c r="U39" i="6"/>
  <c r="J119" i="6"/>
  <c r="Y130" i="6"/>
  <c r="K48" i="6"/>
  <c r="Q40" i="6"/>
  <c r="I121" i="6"/>
  <c r="T129" i="6"/>
  <c r="AA137" i="6"/>
  <c r="I66" i="6"/>
  <c r="H90" i="6"/>
  <c r="L40" i="6"/>
  <c r="V163" i="6"/>
  <c r="S114" i="6"/>
  <c r="I69" i="6"/>
  <c r="U44" i="6"/>
  <c r="K100" i="6"/>
  <c r="P34" i="6"/>
  <c r="AC164" i="6"/>
  <c r="K62" i="6"/>
  <c r="M86" i="6"/>
  <c r="G39" i="6"/>
  <c r="G91" i="6"/>
  <c r="M138" i="6"/>
  <c r="F89" i="6"/>
  <c r="H66" i="6"/>
  <c r="U83" i="6"/>
  <c r="H38" i="6"/>
  <c r="D114" i="6"/>
  <c r="M53" i="6"/>
  <c r="C71" i="6"/>
  <c r="S40" i="6"/>
  <c r="O170" i="6"/>
  <c r="H39" i="6"/>
  <c r="D38" i="6"/>
  <c r="G112" i="6"/>
  <c r="V156" i="6"/>
  <c r="U117" i="6"/>
  <c r="Z162" i="6"/>
  <c r="R49" i="6"/>
  <c r="P65" i="6"/>
  <c r="K55" i="6"/>
  <c r="G170" i="6"/>
  <c r="O59" i="6"/>
  <c r="N54" i="6"/>
  <c r="T128" i="6"/>
  <c r="N47" i="6"/>
  <c r="AB126" i="6"/>
  <c r="T46" i="6"/>
  <c r="S92" i="6"/>
  <c r="I118" i="6"/>
  <c r="M108" i="6"/>
  <c r="E74" i="6"/>
  <c r="G81" i="6"/>
  <c r="Q111" i="6"/>
  <c r="K90" i="6"/>
  <c r="O113" i="6"/>
  <c r="R124" i="6"/>
  <c r="C123" i="6"/>
  <c r="N68" i="6"/>
  <c r="O105" i="6"/>
  <c r="U164" i="6"/>
  <c r="AC167" i="6"/>
  <c r="AA131" i="6"/>
  <c r="P99" i="6"/>
  <c r="T98" i="6"/>
  <c r="G161" i="6"/>
  <c r="S111" i="6"/>
  <c r="Q81" i="6"/>
  <c r="J125" i="6"/>
  <c r="G89" i="6"/>
  <c r="AD168" i="6"/>
  <c r="E69" i="6"/>
  <c r="K123" i="6"/>
  <c r="P128" i="6"/>
  <c r="P159" i="6"/>
  <c r="D99" i="6"/>
  <c r="U146" i="6"/>
  <c r="N126" i="6"/>
  <c r="M105" i="6"/>
  <c r="I73" i="6"/>
  <c r="G171" i="6"/>
  <c r="N79" i="6"/>
  <c r="C103" i="6"/>
  <c r="M57" i="6"/>
  <c r="Y129" i="6"/>
  <c r="D145" i="6"/>
  <c r="M33" i="6"/>
  <c r="M115" i="6"/>
  <c r="M113" i="6"/>
  <c r="K94" i="6"/>
  <c r="C130" i="6"/>
  <c r="P130" i="6"/>
  <c r="K77" i="6"/>
  <c r="F114" i="6"/>
  <c r="AD148" i="6"/>
  <c r="AD145" i="6"/>
  <c r="F115" i="6"/>
  <c r="AB166" i="6"/>
  <c r="Q77" i="6"/>
  <c r="E132" i="6"/>
  <c r="E155" i="6"/>
  <c r="F108" i="6"/>
  <c r="Y128" i="6"/>
  <c r="D68" i="6"/>
  <c r="L68" i="6"/>
  <c r="F67" i="6"/>
  <c r="C101" i="6"/>
  <c r="H33" i="6"/>
  <c r="U86" i="6"/>
  <c r="S71" i="6"/>
  <c r="J59" i="6"/>
  <c r="U138" i="6"/>
  <c r="X179" i="6"/>
  <c r="D130" i="6"/>
  <c r="O112" i="6"/>
  <c r="E103" i="6"/>
  <c r="W138" i="6"/>
  <c r="U143" i="6"/>
  <c r="G64" i="6"/>
  <c r="S36" i="6"/>
  <c r="U69" i="6"/>
  <c r="AD166" i="6"/>
  <c r="M89" i="6"/>
  <c r="L138" i="6"/>
  <c r="Q97" i="6"/>
  <c r="J62" i="6"/>
  <c r="F34" i="6"/>
  <c r="Z131" i="6"/>
  <c r="L44" i="6"/>
  <c r="G86" i="6"/>
  <c r="R145" i="6"/>
  <c r="S174" i="6"/>
  <c r="G94" i="6"/>
  <c r="Q58" i="6"/>
  <c r="AD140" i="6"/>
  <c r="O160" i="6"/>
  <c r="S78" i="6"/>
  <c r="S58" i="6"/>
  <c r="G107" i="6"/>
  <c r="M118" i="6"/>
  <c r="T130" i="6"/>
  <c r="K118" i="6"/>
  <c r="U33" i="6"/>
  <c r="E93" i="6"/>
  <c r="R43" i="6"/>
  <c r="I130" i="6"/>
  <c r="H118" i="6"/>
  <c r="D48" i="6"/>
  <c r="N149" i="6"/>
  <c r="S169" i="6"/>
  <c r="F171" i="6"/>
  <c r="H58" i="6"/>
  <c r="C127" i="6"/>
  <c r="H48" i="6"/>
  <c r="O129" i="6"/>
  <c r="J170" i="6"/>
  <c r="H40" i="6"/>
  <c r="M35" i="6"/>
  <c r="V127" i="6"/>
  <c r="S87" i="6"/>
  <c r="K126" i="6"/>
  <c r="H114" i="6"/>
  <c r="AB132" i="6"/>
  <c r="L37" i="6"/>
  <c r="U42" i="6"/>
  <c r="L103" i="6"/>
  <c r="AB159" i="6"/>
  <c r="E60" i="6"/>
  <c r="E47" i="6"/>
  <c r="U149" i="6"/>
  <c r="C116" i="6"/>
  <c r="Z147" i="6"/>
  <c r="P152" i="6"/>
  <c r="L41" i="6"/>
  <c r="O169" i="6"/>
  <c r="T179" i="6"/>
  <c r="F177" i="6"/>
  <c r="S37" i="6"/>
  <c r="K75" i="6"/>
  <c r="M46" i="6"/>
  <c r="G148" i="6"/>
  <c r="S91" i="6"/>
  <c r="O86" i="6"/>
  <c r="F46" i="6"/>
  <c r="C131" i="6"/>
  <c r="D50" i="6"/>
  <c r="C177" i="6"/>
  <c r="E63" i="6"/>
  <c r="K41" i="6"/>
  <c r="N179" i="6"/>
  <c r="P125" i="6"/>
  <c r="E120" i="6"/>
  <c r="I161" i="6"/>
  <c r="E40" i="6"/>
  <c r="C118" i="6"/>
  <c r="I77" i="6"/>
  <c r="C98" i="6"/>
  <c r="O97" i="6"/>
  <c r="Q64" i="6"/>
  <c r="D53" i="6"/>
  <c r="P56" i="6"/>
  <c r="J101" i="6"/>
  <c r="F85" i="6"/>
  <c r="D118" i="6"/>
  <c r="I95" i="6"/>
  <c r="I106" i="6"/>
  <c r="T68" i="6"/>
  <c r="T69" i="6"/>
  <c r="H116" i="6"/>
  <c r="Q90" i="6"/>
  <c r="Q159" i="6"/>
  <c r="C140" i="6"/>
  <c r="E143" i="6"/>
  <c r="U157" i="6"/>
  <c r="N45" i="6"/>
  <c r="Q100" i="6"/>
  <c r="N125" i="6"/>
  <c r="O73" i="6"/>
  <c r="F47" i="6"/>
  <c r="L33" i="6"/>
  <c r="AD128" i="6"/>
  <c r="N52" i="6"/>
  <c r="E80" i="6"/>
  <c r="H102" i="6"/>
  <c r="C170" i="6"/>
  <c r="R64" i="6"/>
  <c r="Q61" i="6"/>
  <c r="T160" i="6"/>
  <c r="I160" i="6"/>
  <c r="W164" i="6"/>
  <c r="AC150" i="6"/>
  <c r="I64" i="6"/>
  <c r="L78" i="6"/>
  <c r="K122" i="6"/>
  <c r="R52" i="6"/>
  <c r="T99" i="6"/>
  <c r="C48" i="6"/>
  <c r="D112" i="6"/>
  <c r="D107" i="6"/>
  <c r="Q35" i="6"/>
  <c r="AD165" i="6"/>
  <c r="Q102" i="6"/>
  <c r="V145" i="6"/>
  <c r="D87" i="6"/>
  <c r="I100" i="6"/>
  <c r="I47" i="6"/>
  <c r="N34" i="6"/>
  <c r="P86" i="6"/>
  <c r="H64" i="6"/>
  <c r="O99" i="6"/>
  <c r="D76" i="6"/>
  <c r="L143" i="6"/>
  <c r="S64" i="6"/>
  <c r="N71" i="6"/>
  <c r="AA126" i="6"/>
  <c r="S67" i="6"/>
  <c r="M82" i="6"/>
  <c r="F139" i="6"/>
  <c r="H94" i="6"/>
  <c r="O87" i="6"/>
  <c r="T119" i="6"/>
  <c r="M120" i="6"/>
  <c r="I94" i="6"/>
  <c r="D120" i="6"/>
  <c r="M94" i="6"/>
  <c r="K155" i="6"/>
  <c r="Z150" i="6"/>
  <c r="O64" i="6"/>
  <c r="F94" i="6"/>
  <c r="AD126" i="6"/>
  <c r="AA151" i="6"/>
  <c r="C97" i="6"/>
  <c r="C117" i="6"/>
  <c r="Y125" i="6"/>
  <c r="N159" i="6"/>
  <c r="N120" i="6"/>
  <c r="O98" i="6"/>
  <c r="U66" i="6"/>
  <c r="C64" i="6"/>
  <c r="Q109" i="6"/>
  <c r="AB163" i="6"/>
  <c r="Q92" i="6"/>
  <c r="E166" i="6"/>
  <c r="W131" i="6"/>
  <c r="Q82" i="6"/>
  <c r="E82" i="6"/>
  <c r="I179" i="6"/>
  <c r="M112" i="6"/>
  <c r="J77" i="6"/>
  <c r="F106" i="6"/>
  <c r="H35" i="6"/>
  <c r="J37" i="6"/>
  <c r="K87" i="6"/>
  <c r="P63" i="6"/>
  <c r="I91" i="6"/>
  <c r="I111" i="6"/>
  <c r="O66" i="6"/>
  <c r="V135" i="6"/>
  <c r="J114" i="6"/>
  <c r="J57" i="6"/>
  <c r="P47" i="6"/>
  <c r="C129" i="6"/>
  <c r="F129" i="6"/>
  <c r="G121" i="6"/>
  <c r="H133" i="6"/>
  <c r="R111" i="6"/>
  <c r="G47" i="6"/>
  <c r="J95" i="6"/>
  <c r="O35" i="6"/>
  <c r="D43" i="6"/>
  <c r="C42" i="6"/>
  <c r="I143" i="6"/>
  <c r="O157" i="6"/>
  <c r="M123" i="6"/>
  <c r="M136" i="6"/>
  <c r="W142" i="6"/>
  <c r="G69" i="6"/>
  <c r="T174" i="6"/>
  <c r="E151" i="6"/>
  <c r="M76" i="6"/>
  <c r="P174" i="6"/>
  <c r="J168" i="6"/>
  <c r="M131" i="6"/>
  <c r="C159" i="6"/>
  <c r="G52" i="6"/>
  <c r="F120" i="6"/>
  <c r="O122" i="6"/>
  <c r="J143" i="6"/>
  <c r="X170" i="6"/>
  <c r="D74" i="6"/>
  <c r="R39" i="6"/>
  <c r="D153" i="6"/>
  <c r="G151" i="6"/>
  <c r="F93" i="6"/>
  <c r="M158" i="6"/>
  <c r="N132" i="6"/>
  <c r="AC134" i="6"/>
  <c r="D84" i="6"/>
  <c r="I169" i="6"/>
  <c r="M93" i="6"/>
  <c r="L136" i="6"/>
  <c r="W145" i="6"/>
  <c r="S136" i="6"/>
  <c r="M42" i="6"/>
  <c r="L42" i="6"/>
  <c r="P67" i="6"/>
  <c r="K146" i="6"/>
  <c r="T137" i="6"/>
  <c r="Q153" i="6"/>
  <c r="P78" i="6"/>
  <c r="S69" i="6"/>
  <c r="N99" i="6"/>
  <c r="T67" i="6"/>
  <c r="J99" i="6"/>
  <c r="AC145" i="6"/>
  <c r="N106" i="6"/>
  <c r="N53" i="6"/>
  <c r="M72" i="6"/>
  <c r="M132" i="6"/>
  <c r="Q88" i="6"/>
  <c r="T124" i="6"/>
  <c r="N148" i="6"/>
  <c r="X133" i="6"/>
  <c r="Y140" i="6"/>
  <c r="U73" i="6"/>
  <c r="F98" i="6"/>
  <c r="H45" i="6"/>
  <c r="L62" i="6"/>
  <c r="N67" i="6"/>
  <c r="N166" i="6"/>
  <c r="T97" i="6"/>
  <c r="J144" i="6"/>
  <c r="R71" i="6"/>
  <c r="W153" i="6"/>
  <c r="K42" i="6"/>
  <c r="L98" i="6"/>
  <c r="Z167" i="6"/>
  <c r="E139" i="6"/>
  <c r="N58" i="6"/>
  <c r="AD138" i="6"/>
  <c r="N114" i="6"/>
  <c r="H89" i="6"/>
  <c r="M73" i="6"/>
  <c r="L79" i="6"/>
  <c r="P135" i="6"/>
  <c r="L82" i="6"/>
  <c r="C47" i="6"/>
  <c r="Q95" i="6"/>
  <c r="K127" i="6"/>
  <c r="H108" i="6"/>
  <c r="R126" i="6"/>
  <c r="C57" i="6"/>
  <c r="N96" i="6"/>
  <c r="AA142" i="6"/>
  <c r="P113" i="6"/>
  <c r="F107" i="6"/>
  <c r="R161" i="6"/>
  <c r="P176" i="6"/>
  <c r="K168" i="6"/>
  <c r="H136" i="6"/>
  <c r="L95" i="6"/>
  <c r="R119" i="6"/>
  <c r="H129" i="6"/>
  <c r="Z174" i="6"/>
  <c r="U110" i="6"/>
  <c r="G162" i="6"/>
  <c r="U75" i="6"/>
  <c r="U105" i="6"/>
  <c r="P108" i="6"/>
  <c r="O164" i="6"/>
  <c r="Q151" i="6"/>
  <c r="J75" i="6"/>
  <c r="H95" i="6"/>
  <c r="C162" i="6"/>
  <c r="I108" i="6"/>
  <c r="I155" i="6"/>
  <c r="K165" i="6"/>
  <c r="T84" i="6"/>
  <c r="K148" i="6"/>
  <c r="C145" i="6"/>
  <c r="AB154" i="6"/>
  <c r="AA166" i="6"/>
  <c r="J44" i="6"/>
  <c r="V159" i="6"/>
  <c r="J145" i="6"/>
  <c r="T40" i="6"/>
  <c r="K57" i="6"/>
  <c r="V154" i="6"/>
  <c r="N162" i="6"/>
  <c r="Q66" i="6"/>
  <c r="D57" i="6"/>
  <c r="Q147" i="6"/>
  <c r="N154" i="6"/>
  <c r="F77" i="6"/>
  <c r="AA139" i="6"/>
  <c r="Q121" i="6"/>
  <c r="I68" i="6"/>
  <c r="X148" i="6"/>
  <c r="C37" i="6"/>
  <c r="J104" i="6"/>
  <c r="M44" i="6"/>
  <c r="G137" i="6"/>
  <c r="E41" i="6"/>
  <c r="J148" i="6"/>
  <c r="W156" i="6"/>
  <c r="M111" i="6"/>
  <c r="L47" i="6"/>
  <c r="S153" i="6"/>
  <c r="I38" i="6"/>
  <c r="R41" i="6"/>
  <c r="U160" i="6"/>
  <c r="C82" i="6"/>
  <c r="D66" i="6"/>
  <c r="G72" i="6"/>
  <c r="C69" i="6"/>
  <c r="L107" i="6"/>
  <c r="M141" i="6"/>
  <c r="C149" i="6"/>
  <c r="Q36" i="6"/>
  <c r="E152" i="6"/>
  <c r="C171" i="6"/>
  <c r="S122" i="6"/>
  <c r="AB131" i="6"/>
  <c r="T123" i="6"/>
  <c r="L105" i="6"/>
  <c r="J163" i="6"/>
  <c r="D129" i="6"/>
  <c r="E58" i="6"/>
  <c r="G96" i="6"/>
  <c r="F78" i="6"/>
  <c r="I120" i="6"/>
  <c r="I87" i="6"/>
  <c r="Z138" i="6"/>
  <c r="I115" i="6"/>
  <c r="I117" i="6"/>
  <c r="S65" i="6"/>
  <c r="H105" i="6"/>
  <c r="Q68" i="6"/>
  <c r="O67" i="6"/>
  <c r="I142" i="6"/>
  <c r="J123" i="6"/>
  <c r="U43" i="6"/>
  <c r="J39" i="6"/>
  <c r="I126" i="6"/>
  <c r="W136" i="6"/>
  <c r="U77" i="6"/>
  <c r="Q96" i="6"/>
  <c r="U109" i="6"/>
  <c r="O36" i="6"/>
  <c r="J51" i="6"/>
  <c r="S49" i="6"/>
  <c r="P118" i="6"/>
  <c r="C100" i="6"/>
  <c r="O54" i="6"/>
  <c r="U87" i="6"/>
  <c r="S108" i="6"/>
  <c r="J103" i="6"/>
  <c r="F140" i="6"/>
  <c r="AB146" i="6"/>
  <c r="J66" i="6"/>
  <c r="M170" i="6"/>
  <c r="T142" i="6"/>
  <c r="R99" i="6"/>
  <c r="I171" i="6"/>
  <c r="AD150" i="6"/>
  <c r="W150" i="6"/>
  <c r="S60" i="6"/>
  <c r="S128" i="6"/>
  <c r="P107" i="6"/>
  <c r="U89" i="6"/>
  <c r="Z169" i="6"/>
  <c r="J141" i="6"/>
  <c r="U54" i="6"/>
  <c r="F173" i="6"/>
  <c r="P165" i="6"/>
  <c r="G153" i="6"/>
  <c r="X166" i="6"/>
  <c r="H165" i="6"/>
  <c r="R62" i="6"/>
  <c r="R159" i="6"/>
  <c r="E167" i="6"/>
  <c r="K76" i="6"/>
  <c r="G133" i="6"/>
  <c r="AC125" i="6"/>
  <c r="S165" i="6"/>
  <c r="I174" i="6"/>
  <c r="S149" i="6"/>
  <c r="O173" i="6"/>
  <c r="T106" i="6"/>
  <c r="N48" i="6"/>
  <c r="E141" i="6"/>
  <c r="J90" i="6"/>
  <c r="D131" i="6"/>
  <c r="K56" i="6"/>
  <c r="E90" i="6"/>
  <c r="E172" i="6"/>
  <c r="F65" i="6"/>
  <c r="G97" i="6"/>
  <c r="W143" i="6"/>
  <c r="AA155" i="6"/>
  <c r="N100" i="6"/>
  <c r="F133" i="6"/>
  <c r="X174" i="6"/>
  <c r="Q143" i="6"/>
  <c r="R65" i="6"/>
  <c r="T55" i="6"/>
  <c r="N119" i="6"/>
  <c r="I39" i="6"/>
  <c r="O172" i="6"/>
  <c r="U68" i="6"/>
  <c r="P117" i="6"/>
  <c r="M39" i="6"/>
  <c r="J46" i="6"/>
  <c r="F135" i="6"/>
  <c r="I88" i="6"/>
  <c r="Y132" i="6"/>
  <c r="L93" i="6"/>
  <c r="Q122" i="6"/>
  <c r="O52" i="6"/>
  <c r="T126" i="6"/>
  <c r="Z166" i="6"/>
  <c r="Q117" i="6"/>
  <c r="T80" i="6"/>
  <c r="J132" i="6"/>
  <c r="D103" i="6"/>
  <c r="G73" i="6"/>
  <c r="O94" i="6"/>
  <c r="C151" i="6"/>
  <c r="M107" i="6"/>
  <c r="P110" i="6"/>
  <c r="AA158" i="6"/>
  <c r="C94" i="6"/>
  <c r="S89" i="6"/>
  <c r="X175" i="6"/>
  <c r="L52" i="6"/>
  <c r="O39" i="6"/>
  <c r="D115" i="6"/>
  <c r="O151" i="6"/>
  <c r="Q174" i="6"/>
  <c r="O76" i="6"/>
  <c r="R108" i="6"/>
  <c r="N121" i="6"/>
  <c r="C61" i="6"/>
  <c r="H56" i="6"/>
  <c r="M103" i="6"/>
  <c r="G140" i="6"/>
  <c r="AB156" i="6"/>
  <c r="H73" i="6"/>
  <c r="L121" i="6"/>
  <c r="N85" i="6"/>
  <c r="H134" i="6"/>
  <c r="J165" i="6"/>
  <c r="T86" i="6"/>
  <c r="G77" i="6"/>
  <c r="F40" i="6"/>
  <c r="F110" i="6"/>
  <c r="M165" i="6"/>
  <c r="E79" i="6"/>
  <c r="L34" i="6"/>
  <c r="P119" i="6"/>
  <c r="U145" i="6"/>
  <c r="L160" i="6"/>
  <c r="O152" i="6"/>
  <c r="D110" i="6"/>
  <c r="R100" i="6"/>
  <c r="S96" i="6"/>
  <c r="E87" i="6"/>
  <c r="AD156" i="6"/>
  <c r="C174" i="6"/>
  <c r="S168" i="6"/>
  <c r="L168" i="6"/>
  <c r="N171" i="6"/>
  <c r="Y166" i="6"/>
  <c r="O154" i="6"/>
  <c r="S142" i="6"/>
  <c r="V173" i="6"/>
  <c r="G141" i="6"/>
  <c r="F179" i="6"/>
  <c r="X125" i="6"/>
  <c r="T157" i="6"/>
  <c r="T158" i="6"/>
  <c r="C136" i="6"/>
  <c r="AD136" i="6"/>
  <c r="H161" i="6"/>
  <c r="C105" i="6"/>
  <c r="M146" i="6"/>
  <c r="T166" i="6"/>
  <c r="R153" i="6"/>
  <c r="X162" i="6"/>
  <c r="D58" i="6"/>
  <c r="Q91" i="6"/>
  <c r="J106" i="6"/>
  <c r="R98" i="6"/>
  <c r="D157" i="6"/>
  <c r="P50" i="6"/>
  <c r="J98" i="6"/>
  <c r="Z149" i="6"/>
  <c r="S148" i="6"/>
  <c r="S86" i="6"/>
  <c r="D147" i="6"/>
  <c r="D138" i="6"/>
  <c r="T120" i="6"/>
  <c r="M173" i="6"/>
  <c r="AD151" i="6"/>
  <c r="U155" i="6"/>
  <c r="Y175" i="6"/>
  <c r="E161" i="6"/>
  <c r="U141" i="6"/>
  <c r="R147" i="6"/>
  <c r="Q59" i="6"/>
  <c r="K162" i="6"/>
  <c r="X159" i="6"/>
  <c r="F56" i="6"/>
  <c r="Z136" i="6"/>
  <c r="J146" i="6"/>
  <c r="G48" i="6"/>
  <c r="M54" i="6"/>
  <c r="D168" i="6"/>
  <c r="O158" i="6"/>
  <c r="K105" i="6"/>
  <c r="I107" i="6"/>
  <c r="AC157" i="6"/>
  <c r="O130" i="6"/>
  <c r="U139" i="6"/>
  <c r="K137" i="6"/>
  <c r="N91" i="6"/>
  <c r="X155" i="6"/>
  <c r="D95" i="6"/>
  <c r="K171" i="6"/>
  <c r="D81" i="6"/>
  <c r="P154" i="6"/>
  <c r="AB167" i="6"/>
  <c r="M37" i="6"/>
  <c r="C80" i="6"/>
  <c r="L130" i="6"/>
  <c r="I135" i="6"/>
  <c r="C179" i="6"/>
  <c r="P124" i="6"/>
  <c r="I34" i="6"/>
  <c r="O161" i="6"/>
  <c r="K113" i="6"/>
  <c r="C34" i="6"/>
  <c r="G169" i="6"/>
  <c r="O96" i="6"/>
  <c r="G70" i="6"/>
  <c r="E68" i="6"/>
  <c r="T62" i="6"/>
  <c r="O49" i="6"/>
  <c r="S101" i="6"/>
  <c r="D60" i="6"/>
  <c r="G100" i="6"/>
  <c r="R106" i="6"/>
  <c r="T117" i="6"/>
  <c r="I113" i="6"/>
  <c r="AA161" i="6"/>
  <c r="N130" i="6"/>
  <c r="C163" i="6"/>
  <c r="L46" i="6"/>
  <c r="AD141" i="6"/>
  <c r="G61" i="6"/>
  <c r="K59" i="6"/>
  <c r="E127" i="6"/>
  <c r="Q137" i="6"/>
  <c r="D88" i="6"/>
  <c r="AC132" i="6"/>
  <c r="L70" i="6"/>
  <c r="J80" i="6"/>
  <c r="R90" i="6"/>
  <c r="I72" i="6"/>
  <c r="K166" i="6"/>
  <c r="N81" i="6"/>
  <c r="I52" i="6"/>
  <c r="D156" i="6"/>
  <c r="R92" i="6"/>
  <c r="N136" i="6"/>
  <c r="D160" i="6"/>
  <c r="S80" i="6"/>
  <c r="G53" i="6"/>
  <c r="P147" i="6"/>
  <c r="G49" i="6"/>
  <c r="G85" i="6"/>
  <c r="E144" i="6"/>
  <c r="K170" i="6"/>
  <c r="I60" i="6"/>
  <c r="K54" i="6"/>
  <c r="E171" i="6"/>
  <c r="R162" i="6"/>
  <c r="P57" i="6"/>
  <c r="W129" i="6"/>
  <c r="L149" i="6"/>
  <c r="G128" i="6"/>
  <c r="T113" i="6"/>
  <c r="U152" i="6"/>
  <c r="AD157" i="6"/>
  <c r="U49" i="6"/>
  <c r="S105" i="6"/>
  <c r="H143" i="6"/>
  <c r="C75" i="6"/>
  <c r="D142" i="6"/>
  <c r="P109" i="6"/>
  <c r="V155" i="6"/>
  <c r="AA159" i="6"/>
  <c r="V148" i="6"/>
  <c r="H93" i="6"/>
  <c r="D51" i="6"/>
  <c r="I46" i="6"/>
  <c r="L137" i="6"/>
  <c r="M142" i="6"/>
  <c r="G142" i="6"/>
  <c r="M147" i="6"/>
  <c r="F144" i="6"/>
  <c r="W151" i="6"/>
  <c r="M169" i="6"/>
  <c r="I116" i="6"/>
  <c r="O150" i="6"/>
  <c r="U174" i="6"/>
  <c r="I92" i="6"/>
  <c r="E133" i="6"/>
  <c r="Y131" i="6"/>
  <c r="K114" i="6"/>
  <c r="E150" i="6"/>
  <c r="Z154" i="6"/>
  <c r="U151" i="6"/>
  <c r="J167" i="6"/>
  <c r="M49" i="6"/>
  <c r="Q57" i="6"/>
  <c r="U163" i="6"/>
  <c r="N156" i="6"/>
  <c r="Q130" i="6"/>
  <c r="E170" i="6"/>
  <c r="F123" i="6"/>
  <c r="K143" i="6"/>
  <c r="E114" i="6"/>
  <c r="Q140" i="6"/>
  <c r="J166" i="6"/>
  <c r="Q135" i="6"/>
  <c r="E149" i="6"/>
  <c r="U121" i="6"/>
  <c r="E135" i="6"/>
  <c r="E145" i="6"/>
  <c r="J176" i="6"/>
  <c r="H111" i="6"/>
  <c r="O89" i="6"/>
  <c r="S158" i="6"/>
  <c r="J64" i="6"/>
  <c r="C39" i="6"/>
  <c r="Q74" i="6"/>
  <c r="U72" i="6"/>
  <c r="H76" i="6"/>
  <c r="S43" i="6"/>
  <c r="L170" i="6"/>
  <c r="Q126" i="6"/>
  <c r="T163" i="6"/>
  <c r="X143" i="6"/>
  <c r="U133" i="6"/>
  <c r="Y147" i="6"/>
  <c r="T81" i="6"/>
  <c r="P62" i="6"/>
  <c r="D126" i="6"/>
  <c r="M127" i="6"/>
  <c r="G127" i="6"/>
  <c r="AB129" i="6"/>
  <c r="S97" i="6"/>
  <c r="R79" i="6"/>
  <c r="S98" i="6"/>
  <c r="R115" i="6"/>
  <c r="U76" i="6"/>
  <c r="C143" i="6"/>
  <c r="K109" i="6"/>
  <c r="AD135" i="6"/>
  <c r="T75" i="6"/>
  <c r="Q144" i="6"/>
  <c r="N40" i="6"/>
  <c r="D79" i="6"/>
  <c r="R93" i="6"/>
  <c r="O82" i="6"/>
  <c r="J61" i="6"/>
  <c r="L94" i="6"/>
  <c r="H54" i="6"/>
  <c r="K131" i="6"/>
  <c r="I109" i="6"/>
  <c r="AD130" i="6"/>
  <c r="V128" i="6"/>
  <c r="E131" i="6"/>
  <c r="AA141" i="6"/>
  <c r="N65" i="6"/>
  <c r="M100" i="6"/>
  <c r="AB148" i="6"/>
  <c r="P49" i="6"/>
  <c r="I125" i="6"/>
  <c r="M176" i="6"/>
  <c r="N46" i="6"/>
  <c r="V139" i="6"/>
  <c r="M154" i="6"/>
  <c r="N88" i="6"/>
  <c r="N55" i="6"/>
  <c r="P171" i="6"/>
  <c r="E91" i="6"/>
  <c r="R122" i="6"/>
  <c r="V140" i="6"/>
  <c r="D135" i="6"/>
  <c r="D163" i="6"/>
  <c r="L159" i="6"/>
  <c r="J52" i="6"/>
  <c r="S104" i="6"/>
  <c r="X152" i="6"/>
  <c r="Y168" i="6"/>
  <c r="R137" i="6"/>
  <c r="U58" i="6"/>
  <c r="I141" i="6"/>
  <c r="P161" i="6"/>
  <c r="C146" i="6"/>
  <c r="U158" i="6"/>
  <c r="P141" i="6"/>
  <c r="J158" i="6"/>
  <c r="N118" i="6"/>
  <c r="AD154" i="6"/>
  <c r="R101" i="6"/>
  <c r="H155" i="6"/>
  <c r="S152" i="6"/>
  <c r="E136" i="6"/>
  <c r="M109" i="6"/>
  <c r="O121" i="6"/>
  <c r="O132" i="6"/>
  <c r="H156" i="6"/>
  <c r="AA144" i="6"/>
  <c r="F145" i="6"/>
  <c r="D97" i="6"/>
  <c r="O166" i="6"/>
  <c r="U38" i="6"/>
  <c r="T110" i="6"/>
  <c r="P134" i="6"/>
  <c r="I132" i="6"/>
  <c r="J160" i="6"/>
  <c r="N158" i="6"/>
  <c r="I170" i="6"/>
  <c r="AD143" i="6"/>
  <c r="H62" i="6"/>
  <c r="AB162" i="6"/>
  <c r="L101" i="6"/>
  <c r="O136" i="6"/>
  <c r="AB174" i="6"/>
  <c r="AC144" i="6"/>
  <c r="G173" i="6"/>
  <c r="R69" i="6"/>
  <c r="M134" i="6"/>
  <c r="H68" i="6"/>
  <c r="N139" i="6"/>
  <c r="C172" i="6"/>
  <c r="I139" i="6"/>
  <c r="P93" i="6"/>
  <c r="E146" i="6"/>
  <c r="J47" i="6"/>
  <c r="G102" i="6"/>
  <c r="P156" i="6"/>
  <c r="X134" i="6"/>
  <c r="R72" i="6"/>
  <c r="K101" i="6"/>
  <c r="F62" i="6"/>
  <c r="M148" i="6"/>
  <c r="Q150" i="6"/>
  <c r="W125" i="6"/>
  <c r="O58" i="6"/>
  <c r="N101" i="6"/>
  <c r="N42" i="6"/>
  <c r="L54" i="6"/>
  <c r="D158" i="6"/>
  <c r="N165" i="6"/>
  <c r="J113" i="6"/>
  <c r="H84" i="6"/>
  <c r="P146" i="6"/>
  <c r="R128" i="6"/>
  <c r="L110" i="6"/>
  <c r="K46" i="6"/>
  <c r="C112" i="6"/>
  <c r="H167" i="6"/>
  <c r="W130" i="6"/>
  <c r="T139" i="6"/>
  <c r="E57" i="6"/>
  <c r="N113" i="6"/>
  <c r="E88" i="6"/>
  <c r="P126" i="6"/>
  <c r="S72" i="6"/>
  <c r="N93" i="6"/>
  <c r="Y158" i="6"/>
  <c r="O104" i="6"/>
  <c r="F103" i="6"/>
  <c r="V131" i="6"/>
  <c r="S138" i="6"/>
  <c r="U80" i="6"/>
  <c r="K33" i="6"/>
  <c r="V126" i="6"/>
  <c r="M41" i="6"/>
  <c r="K129" i="6"/>
  <c r="V175" i="6"/>
  <c r="X129" i="6"/>
  <c r="F100" i="6"/>
  <c r="K135" i="6"/>
  <c r="J93" i="6"/>
  <c r="T57" i="6"/>
  <c r="E51" i="6"/>
  <c r="D85" i="6"/>
  <c r="J43" i="6"/>
  <c r="H83" i="6"/>
  <c r="G37" i="6"/>
  <c r="J96" i="6"/>
  <c r="W134" i="6"/>
  <c r="D111" i="6"/>
  <c r="Z152" i="6"/>
  <c r="K67" i="6"/>
  <c r="E55" i="6"/>
  <c r="S130" i="6"/>
  <c r="S74" i="6"/>
  <c r="E65" i="6"/>
  <c r="J94" i="6"/>
  <c r="P44" i="6"/>
  <c r="I137" i="6"/>
  <c r="N105" i="6"/>
  <c r="H154" i="6"/>
  <c r="J81" i="6"/>
  <c r="H141" i="6"/>
  <c r="C93" i="6"/>
  <c r="I51" i="6"/>
  <c r="K159" i="6"/>
  <c r="AC177" i="6"/>
  <c r="E95" i="6"/>
  <c r="AC159" i="6"/>
  <c r="O114" i="6"/>
  <c r="M75" i="6"/>
  <c r="H75" i="6"/>
  <c r="S77" i="6"/>
  <c r="J107" i="6"/>
  <c r="Q46" i="6"/>
  <c r="O85" i="6"/>
  <c r="E106" i="6"/>
  <c r="K68" i="6"/>
  <c r="M167" i="6"/>
  <c r="O162" i="6"/>
  <c r="W162" i="6"/>
  <c r="C45" i="6"/>
  <c r="J92" i="6"/>
  <c r="H96" i="6"/>
  <c r="AB149" i="6"/>
  <c r="Z135" i="6"/>
  <c r="U120" i="6"/>
  <c r="D108" i="6"/>
  <c r="R75" i="6"/>
  <c r="N92" i="6"/>
  <c r="U124" i="6"/>
  <c r="K66" i="6"/>
  <c r="P72" i="6"/>
  <c r="E45" i="6"/>
  <c r="AC171" i="6"/>
  <c r="K117" i="6"/>
  <c r="W152" i="6"/>
  <c r="Z171" i="6"/>
  <c r="J102" i="6"/>
  <c r="Q52" i="6"/>
  <c r="U47" i="6"/>
  <c r="G152" i="6"/>
  <c r="S35" i="6"/>
  <c r="P151" i="6"/>
  <c r="AC165" i="6"/>
  <c r="G90" i="6"/>
  <c r="O106" i="6"/>
  <c r="G131" i="6"/>
  <c r="J156" i="6"/>
  <c r="I103" i="6"/>
  <c r="S146" i="6"/>
  <c r="L106" i="6"/>
  <c r="S70" i="6"/>
  <c r="C115" i="6"/>
  <c r="U85" i="6"/>
  <c r="O50" i="6"/>
  <c r="O149" i="6"/>
  <c r="N151" i="6"/>
  <c r="X167" i="6"/>
  <c r="U135" i="6"/>
  <c r="F86" i="6"/>
  <c r="U116" i="6"/>
  <c r="L104" i="6"/>
  <c r="U131" i="6"/>
  <c r="F52" i="6"/>
  <c r="U153" i="6"/>
  <c r="K163" i="6"/>
  <c r="AC166" i="6"/>
  <c r="T145" i="6"/>
  <c r="O48" i="6"/>
  <c r="S127" i="6"/>
  <c r="C33" i="6"/>
  <c r="J155" i="6"/>
  <c r="K73" i="6"/>
  <c r="C137" i="6"/>
  <c r="R160" i="6"/>
  <c r="W170" i="6"/>
  <c r="P140" i="6"/>
  <c r="K49" i="6"/>
  <c r="Y137" i="6"/>
  <c r="F137" i="6"/>
  <c r="U125" i="6"/>
  <c r="U140" i="6"/>
  <c r="C158" i="6"/>
  <c r="AB169" i="6"/>
  <c r="K158" i="6"/>
  <c r="M79" i="6"/>
  <c r="C77" i="6"/>
  <c r="G74" i="6"/>
  <c r="F172" i="6"/>
  <c r="V143" i="6"/>
  <c r="C144" i="6"/>
  <c r="N163" i="6"/>
  <c r="X163" i="6"/>
  <c r="I105" i="6"/>
  <c r="M161" i="6"/>
  <c r="M68" i="6"/>
  <c r="P105" i="6"/>
  <c r="AC142" i="6"/>
  <c r="E62" i="6"/>
  <c r="AA168" i="6"/>
  <c r="F53" i="6"/>
  <c r="S137" i="6"/>
  <c r="M92" i="6"/>
  <c r="Y159" i="6"/>
  <c r="J173" i="6"/>
  <c r="F154" i="6"/>
  <c r="K167" i="6"/>
  <c r="H70" i="6"/>
  <c r="F162" i="6"/>
  <c r="R169" i="6"/>
  <c r="AA138" i="6"/>
  <c r="M137" i="6"/>
  <c r="C125" i="6"/>
  <c r="I165" i="6"/>
  <c r="W141" i="6"/>
  <c r="R47" i="6"/>
  <c r="I85" i="6"/>
  <c r="F37" i="6"/>
  <c r="F38" i="6"/>
  <c r="G150" i="6"/>
  <c r="O176" i="6"/>
  <c r="AB160" i="6"/>
  <c r="J131" i="6"/>
  <c r="M153" i="6"/>
  <c r="Y149" i="6"/>
  <c r="U46" i="6"/>
  <c r="U144" i="6"/>
  <c r="C138" i="6"/>
  <c r="Y161" i="6"/>
  <c r="W127" i="6"/>
  <c r="U169" i="6"/>
  <c r="K119" i="6"/>
  <c r="X142" i="6"/>
  <c r="F59" i="6"/>
  <c r="G114" i="6"/>
  <c r="R58" i="6"/>
  <c r="H152" i="6"/>
  <c r="H164" i="6"/>
  <c r="M144" i="6"/>
  <c r="P163" i="6"/>
  <c r="G78" i="6"/>
  <c r="J54" i="6"/>
  <c r="AC137" i="6"/>
  <c r="H101" i="6"/>
  <c r="F152" i="6"/>
  <c r="F73" i="6"/>
  <c r="Y162" i="6"/>
  <c r="AD174" i="6"/>
  <c r="K134" i="6"/>
  <c r="Q170" i="6"/>
  <c r="J45" i="6"/>
  <c r="G63" i="6"/>
  <c r="Z160" i="6"/>
  <c r="G98" i="6"/>
  <c r="T114" i="6"/>
  <c r="L112" i="6"/>
  <c r="L174" i="6"/>
  <c r="I57" i="6"/>
  <c r="S50" i="6"/>
  <c r="X161" i="6"/>
  <c r="G135" i="6"/>
  <c r="D86" i="6"/>
  <c r="W149" i="6"/>
  <c r="P96" i="6"/>
  <c r="X153" i="6"/>
  <c r="C134" i="6"/>
  <c r="AB152" i="6"/>
  <c r="E163" i="6"/>
  <c r="I59" i="6"/>
  <c r="AD161" i="6"/>
  <c r="E165" i="6"/>
  <c r="AD147" i="6"/>
  <c r="K149" i="6"/>
  <c r="M78" i="6"/>
  <c r="P169" i="6"/>
  <c r="I84" i="6"/>
  <c r="M135" i="6"/>
  <c r="T172" i="6"/>
  <c r="AA149" i="6"/>
  <c r="Q146" i="6"/>
  <c r="R155" i="6"/>
  <c r="K144" i="6"/>
  <c r="L155" i="6"/>
  <c r="T111" i="6"/>
  <c r="R54" i="6"/>
  <c r="AA164" i="6"/>
  <c r="Q107" i="6"/>
  <c r="U123" i="6"/>
  <c r="AA135" i="6"/>
  <c r="J120" i="6"/>
  <c r="H153" i="6"/>
  <c r="U154" i="6"/>
  <c r="U172" i="6"/>
  <c r="D124" i="6"/>
  <c r="G84" i="6"/>
  <c r="O93" i="6"/>
  <c r="I128" i="6"/>
  <c r="S161" i="6"/>
  <c r="N157" i="6"/>
  <c r="L135" i="6"/>
  <c r="J150" i="6"/>
  <c r="S143" i="6"/>
  <c r="G105" i="6"/>
  <c r="Y144" i="6"/>
  <c r="P76" i="6"/>
  <c r="S107" i="6"/>
  <c r="Q76" i="6"/>
  <c r="J149" i="6"/>
  <c r="P69" i="6"/>
  <c r="Q163" i="6"/>
  <c r="I80" i="6"/>
  <c r="S95" i="6"/>
  <c r="Y156" i="6"/>
  <c r="W173" i="6"/>
  <c r="H124" i="6"/>
  <c r="O134" i="6"/>
  <c r="T108" i="6"/>
  <c r="W171" i="6"/>
  <c r="G116" i="6"/>
  <c r="H157" i="6"/>
  <c r="H138" i="6"/>
  <c r="Q158" i="6"/>
  <c r="K145" i="6"/>
  <c r="Q149" i="6"/>
  <c r="U136" i="6"/>
  <c r="I150" i="6"/>
  <c r="E164" i="6"/>
  <c r="M81" i="6"/>
  <c r="Z148" i="6"/>
  <c r="N62" i="6"/>
  <c r="X157" i="6"/>
  <c r="V158" i="6"/>
  <c r="AA136" i="6"/>
  <c r="R103" i="6"/>
  <c r="S81" i="6"/>
  <c r="M171" i="6"/>
  <c r="K152" i="6"/>
  <c r="O144" i="6"/>
  <c r="M166" i="6"/>
  <c r="T150" i="6"/>
  <c r="K97" i="6"/>
  <c r="D149" i="6"/>
  <c r="Q83" i="6"/>
  <c r="E121" i="6"/>
  <c r="X137" i="6"/>
  <c r="J138" i="6"/>
  <c r="S116" i="6"/>
  <c r="AD134" i="6"/>
  <c r="K69" i="6"/>
  <c r="W154" i="6"/>
  <c r="AD178" i="6"/>
  <c r="O44" i="6"/>
  <c r="D133" i="6"/>
  <c r="S115" i="6"/>
  <c r="Q75" i="6"/>
  <c r="O167" i="6"/>
  <c r="U150" i="6"/>
  <c r="J53" i="6"/>
  <c r="Z141" i="6"/>
  <c r="I101" i="6"/>
  <c r="D139" i="6"/>
  <c r="Y145" i="6"/>
  <c r="Z168" i="6"/>
  <c r="T141" i="6"/>
  <c r="E53" i="6"/>
  <c r="M59" i="6"/>
  <c r="L176" i="6"/>
  <c r="J164" i="6"/>
  <c r="O38" i="6"/>
  <c r="V161" i="6"/>
  <c r="E168" i="6"/>
  <c r="U100" i="6"/>
  <c r="G172" i="6"/>
  <c r="Z140" i="6"/>
  <c r="P58" i="6"/>
  <c r="C142" i="6"/>
  <c r="U119" i="6"/>
  <c r="E138" i="6"/>
  <c r="K58" i="6"/>
  <c r="O128" i="6"/>
  <c r="G38" i="6"/>
  <c r="G93" i="6"/>
  <c r="K140" i="6"/>
  <c r="M133" i="6"/>
  <c r="W139" i="6"/>
  <c r="F39" i="6"/>
  <c r="T74" i="6"/>
  <c r="AB140" i="6"/>
  <c r="C141" i="6"/>
  <c r="D137" i="6"/>
  <c r="AA150" i="6"/>
  <c r="AB136" i="6"/>
  <c r="K84" i="6"/>
  <c r="E52" i="6"/>
  <c r="G95" i="6"/>
  <c r="G108" i="6"/>
  <c r="P157" i="6"/>
  <c r="Y160" i="6"/>
  <c r="C110" i="6"/>
  <c r="P121" i="6"/>
  <c r="AB138" i="6"/>
  <c r="Q173" i="6"/>
  <c r="M2" i="1"/>
  <c r="Y141" i="6"/>
  <c r="T102" i="6"/>
  <c r="AC147" i="6"/>
  <c r="AC148" i="6"/>
  <c r="U148" i="6"/>
  <c r="R148" i="6"/>
  <c r="W133" i="6"/>
  <c r="V171" i="6"/>
  <c r="D67" i="6"/>
  <c r="Y157" i="6"/>
  <c r="Q160" i="6"/>
  <c r="L57" i="6"/>
  <c r="U170" i="6"/>
  <c r="S54" i="6"/>
  <c r="R173" i="6"/>
  <c r="Y127" i="6"/>
  <c r="M168" i="6"/>
  <c r="G156" i="6"/>
  <c r="I54" i="6"/>
  <c r="F161" i="6"/>
  <c r="Q103" i="6"/>
  <c r="Q44" i="6"/>
  <c r="P160" i="6"/>
  <c r="H123" i="6"/>
  <c r="I173" i="6"/>
  <c r="Q55" i="6"/>
  <c r="F74" i="6"/>
  <c r="D82" i="6"/>
  <c r="G55" i="6"/>
  <c r="T63" i="6"/>
  <c r="AD137" i="6"/>
  <c r="T90" i="6"/>
  <c r="N147" i="6"/>
  <c r="F150" i="6"/>
  <c r="M84" i="6"/>
  <c r="C169" i="6"/>
  <c r="AB165" i="6"/>
  <c r="AC163" i="6"/>
  <c r="C148" i="6"/>
  <c r="R87" i="6"/>
  <c r="E35" i="6"/>
  <c r="H104" i="6"/>
  <c r="C50" i="6"/>
  <c r="I97" i="6"/>
  <c r="F83" i="6"/>
  <c r="J136" i="6"/>
  <c r="C90" i="6"/>
  <c r="K81" i="6"/>
  <c r="F60" i="6"/>
  <c r="F148" i="6"/>
  <c r="L141" i="6"/>
  <c r="L56" i="6"/>
  <c r="E48" i="6"/>
  <c r="D154" i="6"/>
  <c r="K45" i="6"/>
  <c r="M139" i="6"/>
  <c r="G168" i="6"/>
  <c r="D166" i="6"/>
  <c r="M99" i="6"/>
  <c r="J112" i="6"/>
  <c r="R104" i="6"/>
  <c r="D119" i="6"/>
  <c r="N74" i="6"/>
  <c r="C92" i="6"/>
  <c r="H92" i="6"/>
  <c r="R139" i="6"/>
  <c r="U165" i="6"/>
  <c r="Q138" i="6"/>
  <c r="O165" i="6"/>
  <c r="O138" i="6"/>
  <c r="T116" i="6"/>
  <c r="O140" i="6"/>
  <c r="G139" i="6"/>
  <c r="AD149" i="6"/>
  <c r="X140" i="6"/>
  <c r="R134" i="6"/>
  <c r="D172" i="6"/>
  <c r="P116" i="6"/>
  <c r="J154" i="6"/>
  <c r="O56" i="6"/>
  <c r="T39" i="6"/>
  <c r="L150" i="6"/>
  <c r="V160" i="6"/>
  <c r="H72" i="6"/>
  <c r="X158" i="6"/>
  <c r="Z163" i="6"/>
  <c r="L166" i="6"/>
  <c r="H140" i="6"/>
  <c r="Y173" i="6"/>
  <c r="D146" i="6"/>
  <c r="U142" i="6"/>
  <c r="G158" i="6"/>
  <c r="Q154" i="6"/>
  <c r="M172" i="6"/>
  <c r="U156" i="6"/>
  <c r="L142" i="6"/>
  <c r="X141" i="6"/>
  <c r="U59" i="6"/>
  <c r="N140" i="6"/>
  <c r="Q165" i="6"/>
  <c r="O88" i="6"/>
  <c r="G117" i="6"/>
  <c r="V149" i="6"/>
  <c r="AB171" i="6"/>
  <c r="P88" i="6"/>
  <c r="X154" i="6"/>
  <c r="T173" i="6"/>
  <c r="AB142" i="6"/>
  <c r="T152" i="6"/>
  <c r="O137" i="6"/>
  <c r="S156" i="6"/>
  <c r="K138" i="6"/>
  <c r="L154" i="6"/>
  <c r="F43" i="6"/>
  <c r="K95" i="6"/>
  <c r="T44" i="6"/>
  <c r="T52" i="6"/>
  <c r="G136" i="6"/>
  <c r="R151" i="6"/>
  <c r="F153" i="6"/>
  <c r="Y153" i="6"/>
  <c r="W126" i="6"/>
  <c r="P89" i="6"/>
  <c r="T103" i="6"/>
  <c r="R94" i="6"/>
  <c r="M50" i="6"/>
  <c r="Q134" i="6"/>
  <c r="E142" i="6"/>
  <c r="R127" i="6"/>
  <c r="AD152" i="6"/>
  <c r="T156" i="6"/>
  <c r="S66" i="6"/>
  <c r="W135" i="6"/>
  <c r="D36" i="6"/>
  <c r="G134" i="6"/>
  <c r="L173" i="6"/>
  <c r="D121" i="6"/>
  <c r="Q168" i="6"/>
  <c r="F48" i="6"/>
  <c r="Q47" i="6"/>
  <c r="C104" i="6"/>
  <c r="H50" i="6"/>
  <c r="H103" i="6"/>
  <c r="G103" i="6"/>
  <c r="C161" i="6"/>
  <c r="Q131" i="6"/>
  <c r="Q45" i="6"/>
  <c r="D100" i="6"/>
  <c r="U36" i="6"/>
  <c r="L51" i="6"/>
  <c r="Y164" i="6"/>
  <c r="E124" i="6"/>
  <c r="R142" i="6"/>
  <c r="T154" i="6"/>
  <c r="J152" i="6"/>
  <c r="S140" i="6"/>
  <c r="C153" i="6"/>
  <c r="O124" i="6"/>
  <c r="J48" i="6"/>
  <c r="L69" i="6"/>
  <c r="D54" i="6"/>
  <c r="W147" i="6"/>
  <c r="K151" i="6"/>
  <c r="Q132" i="6"/>
  <c r="Y134" i="6"/>
  <c r="F160" i="6"/>
  <c r="T164" i="6"/>
  <c r="D162" i="6"/>
  <c r="O135" i="6"/>
  <c r="Z157" i="6"/>
  <c r="X135" i="6"/>
  <c r="F50" i="6"/>
  <c r="U62" i="6"/>
  <c r="AC154" i="6"/>
  <c r="W163" i="6"/>
  <c r="AB139" i="6"/>
  <c r="N155" i="6"/>
  <c r="I140" i="6"/>
  <c r="T165" i="6"/>
  <c r="S162" i="6"/>
  <c r="C139" i="6"/>
  <c r="N94" i="6"/>
  <c r="D169" i="6"/>
  <c r="Y150" i="6"/>
  <c r="AC170" i="6"/>
  <c r="O68" i="6"/>
  <c r="E154" i="6"/>
  <c r="I61" i="6"/>
  <c r="E97" i="6"/>
  <c r="X136" i="6"/>
  <c r="S85" i="6"/>
  <c r="S133" i="6"/>
  <c r="E129" i="6"/>
  <c r="G83" i="6"/>
  <c r="O145" i="6"/>
  <c r="M149" i="6"/>
  <c r="E123" i="6"/>
  <c r="O171" i="6"/>
  <c r="W159" i="6"/>
  <c r="V157" i="6"/>
  <c r="P143" i="6"/>
  <c r="G65" i="6"/>
  <c r="AA143" i="6"/>
  <c r="K93" i="6"/>
  <c r="L145" i="6"/>
  <c r="R171" i="6"/>
  <c r="L119" i="6"/>
  <c r="L144" i="6"/>
  <c r="V146" i="6"/>
  <c r="Z143" i="6"/>
  <c r="U161" i="6"/>
  <c r="K147" i="6"/>
  <c r="F68" i="6"/>
  <c r="AA160" i="6"/>
  <c r="M122" i="6"/>
  <c r="M130" i="6"/>
  <c r="M152" i="6"/>
  <c r="N160" i="6"/>
  <c r="R144" i="6"/>
  <c r="AC174" i="6"/>
  <c r="N135" i="6"/>
  <c r="J69" i="6"/>
  <c r="D170" i="6"/>
  <c r="N129" i="6"/>
  <c r="F128" i="6"/>
  <c r="R56" i="6"/>
  <c r="X149" i="6"/>
  <c r="F142" i="6"/>
  <c r="X160" i="6"/>
  <c r="J60" i="6"/>
  <c r="S157" i="6"/>
  <c r="K133" i="6"/>
  <c r="P148" i="6"/>
  <c r="AC138" i="6"/>
  <c r="X164" i="6"/>
  <c r="AC161" i="6"/>
  <c r="R81" i="6"/>
  <c r="E115" i="6"/>
  <c r="L165" i="6"/>
  <c r="I157" i="6"/>
  <c r="P170" i="6"/>
  <c r="AC143" i="6"/>
  <c r="L148" i="6"/>
  <c r="F55" i="6"/>
  <c r="G130" i="6"/>
  <c r="S34" i="6"/>
  <c r="Z145" i="6"/>
  <c r="R66" i="6"/>
  <c r="E100" i="6"/>
  <c r="N61" i="6"/>
  <c r="W137" i="6"/>
  <c r="T148" i="6"/>
  <c r="P45" i="6"/>
  <c r="N87" i="6"/>
  <c r="R152" i="6"/>
  <c r="L97" i="6"/>
  <c r="C147" i="6"/>
  <c r="O37" i="6"/>
  <c r="G56" i="6"/>
  <c r="V174" i="6"/>
  <c r="Q125" i="6"/>
  <c r="AA145" i="6"/>
  <c r="V170" i="6"/>
  <c r="X151" i="6"/>
  <c r="AB137" i="6"/>
  <c r="G40" i="6"/>
  <c r="H170" i="6"/>
  <c r="O163" i="6"/>
  <c r="E130" i="6"/>
  <c r="AB133" i="6"/>
  <c r="T89" i="6"/>
  <c r="P145" i="6"/>
  <c r="I152" i="6"/>
  <c r="P79" i="6"/>
  <c r="O45" i="6"/>
  <c r="U34" i="6"/>
  <c r="W157" i="6"/>
  <c r="V144" i="6"/>
  <c r="J65" i="6"/>
  <c r="S150" i="6"/>
  <c r="K164" i="6"/>
  <c r="L161" i="6"/>
  <c r="P155" i="6"/>
  <c r="AA153" i="6"/>
  <c r="T109" i="6"/>
  <c r="M83" i="6"/>
  <c r="D46" i="6"/>
  <c r="K174" i="6"/>
  <c r="M98" i="6"/>
  <c r="AC160" i="6"/>
  <c r="P172" i="6"/>
  <c r="N70" i="6"/>
  <c r="Q133" i="6"/>
  <c r="D63" i="6"/>
  <c r="H43" i="6"/>
  <c r="C111" i="6"/>
  <c r="J171" i="6"/>
  <c r="W148" i="6"/>
  <c r="L48" i="6"/>
  <c r="Z137" i="6"/>
  <c r="U84" i="6"/>
  <c r="Q139" i="6"/>
  <c r="AC140" i="6"/>
  <c r="H87" i="6"/>
  <c r="AA147" i="6"/>
  <c r="Q157" i="6"/>
  <c r="AD139" i="6"/>
  <c r="T60" i="6"/>
  <c r="J174" i="6"/>
  <c r="W144" i="6"/>
  <c r="V152" i="6"/>
  <c r="W160" i="6"/>
  <c r="P22" i="3"/>
  <c r="Z22" i="3"/>
  <c r="Y22" i="3"/>
  <c r="U22" i="3"/>
  <c r="T22" i="3"/>
  <c r="M4" i="1"/>
  <c r="O22" i="3"/>
  <c r="J22" i="3"/>
  <c r="M5" i="1"/>
  <c r="J23" i="3"/>
  <c r="P23" i="3"/>
  <c r="O23" i="3"/>
  <c r="U23" i="3"/>
  <c r="T23" i="3"/>
  <c r="Z23" i="3"/>
  <c r="Y23" i="3"/>
  <c r="T28" i="3"/>
  <c r="U28" i="3"/>
  <c r="Z28" i="3"/>
  <c r="Y28" i="3"/>
  <c r="J28" i="3"/>
  <c r="K28" i="3"/>
  <c r="P28" i="3"/>
  <c r="O28" i="3"/>
  <c r="M6" i="1"/>
  <c r="Z30" i="3"/>
  <c r="O30" i="3"/>
  <c r="P30" i="3"/>
  <c r="M10" i="1"/>
  <c r="U32" i="3"/>
  <c r="M14" i="1"/>
  <c r="P18" i="3"/>
  <c r="J18" i="3"/>
  <c r="Y18" i="3"/>
  <c r="K4" i="3"/>
  <c r="Y4" i="3"/>
  <c r="T4" i="3"/>
  <c r="M81" i="1"/>
  <c r="J13" i="3"/>
  <c r="P13" i="3"/>
  <c r="K13" i="3"/>
  <c r="P14" i="3"/>
  <c r="Z14" i="3"/>
  <c r="O14" i="3"/>
  <c r="K14" i="3"/>
  <c r="T14" i="3"/>
  <c r="J29" i="3"/>
  <c r="M225" i="1"/>
  <c r="M229" i="1"/>
  <c r="K32" i="3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82" i="6" l="1"/>
  <c r="AE177" i="6"/>
  <c r="AE181" i="6"/>
  <c r="AE180" i="6"/>
  <c r="AE176" i="6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<sst xmlns="http://schemas.openxmlformats.org/spreadsheetml/2006/main" count="11322" uniqueCount="218">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</sst>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68" totalsRowShown="0" headerRowDxfId="47">
  <autoFilter ref="A1:R1368" xr:uid="{00000000-0009-0000-0100-000001000000}"/>
  <sortState xmlns:xlrd2="http://schemas.microsoft.com/office/spreadsheetml/2017/richdata2" ref="A2:R1338">
    <sortCondition ref="B1:B1338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Life")+SUMIFS(Movimientos!$K$1:$K$1368,Movimientos!$C$1:$C$1368,"Don Cross Life",Movimientos!$B$1:$B$1368,"&lt;="&amp;$B2))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97" tableType="queryTable" totalsRowShown="0" headerRowDxfId="49" headerRowBorderDxfId="48">
  <autoFilter ref="A1:D5097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14" activePane="bottomLeft" state="frozen"/>
      <selection pane="bottomLeft" activeCell="B14" sqref="B1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68"/>
  <sheetViews>
    <sheetView topLeftCell="K1" zoomScale="70" zoomScaleNormal="70" workbookViewId="0">
      <pane ySplit="1" topLeftCell="A1342" activePane="bottomLeft" state="frozen"/>
      <selection pane="bottomLeft" activeCell="S1359" sqref="S135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Iniciales'!$B:$B,D2)+SUMIFS($K$1:$K$1368,$C$1:$C$1368,C2,$D$1:$D$1368,D2,$B$1:$B$1368,"&lt;="&amp;B2)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Iniciales'!$B:$B,D3)+SUMIFS($K$1:$K$1368,$C$1:$C$1368,C3,$D$1:$D$1368,D3,$B$1:$B$1368,"&lt;="&amp;B3)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Iniciales'!$B:$B,D4)+SUMIFS($K$1:$K$1368,$C$1:$C$1368,C4,$D$1:$D$1368,D4,$B$1:$B$1368,"&lt;="&amp;B4)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Iniciales'!$B:$B,D5)+SUMIFS($K$1:$K$1368,$C$1:$C$1368,C5,$D$1:$D$1368,D5,$B$1:$B$1368,"&lt;="&amp;B5)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Iniciales'!$B:$B,D6)+SUMIFS($K$1:$K$1368,$C$1:$C$1368,C6,$D$1:$D$1368,D6,$B$1:$B$1368,"&lt;="&amp;B6)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Iniciales'!$B:$B,D7)+SUMIFS($K$1:$K$1368,$C$1:$C$1368,C7,$D$1:$D$1368,D7,$B$1:$B$1368,"&lt;="&amp;B7)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Iniciales'!$B:$B,D8)+SUMIFS($K$1:$K$1368,$C$1:$C$1368,C8,$D$1:$D$1368,D8,$B$1:$B$1368,"&lt;="&amp;B8)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Iniciales'!$B:$B,D9)+SUMIFS($K$1:$K$1368,$C$1:$C$1368,C9,$D$1:$D$1368,D9,$B$1:$B$1368,"&lt;="&amp;B9)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Iniciales'!$B:$B,D10)+SUMIFS($K$1:$K$1368,$C$1:$C$1368,C10,$D$1:$D$1368,D10,$B$1:$B$1368,"&lt;="&amp;B10)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Iniciales'!$B:$B,D11)+SUMIFS($K$1:$K$1368,$C$1:$C$1368,C11,$D$1:$D$1368,D11,$B$1:$B$1368,"&lt;="&amp;B11)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Iniciales'!$B:$B,D12)+SUMIFS($K$1:$K$1368,$C$1:$C$1368,C12,$D$1:$D$1368,D12,$B$1:$B$1368,"&lt;="&amp;B12)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Iniciales'!$B:$B,D13)+SUMIFS($K$1:$K$1368,$C$1:$C$1368,C13,$D$1:$D$1368,D13,$B$1:$B$1368,"&lt;="&amp;B13)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Iniciales'!$B:$B,D14)+SUMIFS($K$1:$K$1368,$C$1:$C$1368,C14,$D$1:$D$1368,D14,$B$1:$B$1368,"&lt;="&amp;B14)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Iniciales'!$B:$B,D15)+SUMIFS($K$1:$K$1368,$C$1:$C$1368,C15,$D$1:$D$1368,D15,$B$1:$B$1368,"&lt;="&amp;B15)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Iniciales'!$B:$B,D16)+SUMIFS($K$1:$K$1368,$C$1:$C$1368,C16,$D$1:$D$1368,D16,$B$1:$B$1368,"&lt;="&amp;B16)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Iniciales'!$B:$B,D17)+SUMIFS($K$1:$K$1368,$C$1:$C$1368,C17,$D$1:$D$1368,D17,$B$1:$B$1368,"&lt;="&amp;B17)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Iniciales'!$B:$B,D18)+SUMIFS($K$1:$K$1368,$C$1:$C$1368,C18,$D$1:$D$1368,D18,$B$1:$B$1368,"&lt;="&amp;B18)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Iniciales'!$B:$B,D19)+SUMIFS($K$1:$K$1368,$C$1:$C$1368,C19,$D$1:$D$1368,D19,$B$1:$B$1368,"&lt;="&amp;B19)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Iniciales'!$B:$B,D20)+SUMIFS($K$1:$K$1368,$C$1:$C$1368,C20,$D$1:$D$1368,D20,$B$1:$B$1368,"&lt;="&amp;B20)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Iniciales'!$B:$B,D21)+SUMIFS($K$1:$K$1368,$C$1:$C$1368,C21,$D$1:$D$1368,D21,$B$1:$B$1368,"&lt;="&amp;B21)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Iniciales'!$B:$B,D22)+SUMIFS($K$1:$K$1368,$C$1:$C$1368,C22,$D$1:$D$1368,D22,$B$1:$B$1368,"&lt;="&amp;B22)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Iniciales'!$B:$B,D23)+SUMIFS($K$1:$K$1368,$C$1:$C$1368,C23,$D$1:$D$1368,D23,$B$1:$B$1368,"&lt;="&amp;B23)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Iniciales'!$B:$B,D24)+SUMIFS($K$1:$K$1368,$C$1:$C$1368,C24,$D$1:$D$1368,D24,$B$1:$B$1368,"&lt;="&amp;B24)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Iniciales'!$B:$B,D25)+SUMIFS($K$1:$K$1368,$C$1:$C$1368,C25,$D$1:$D$1368,D25,$B$1:$B$1368,"&lt;="&amp;B25)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Iniciales'!$B:$B,D26)+SUMIFS($K$1:$K$1368,$C$1:$C$1368,C26,$D$1:$D$1368,D26,$B$1:$B$1368,"&lt;="&amp;B26)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Iniciales'!$B:$B,D27)+SUMIFS($K$1:$K$1368,$C$1:$C$1368,C27,$D$1:$D$1368,D27,$B$1:$B$1368,"&lt;="&amp;B27)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Iniciales'!$B:$B,D28)+SUMIFS($K$1:$K$1368,$C$1:$C$1368,C28,$D$1:$D$1368,D28,$B$1:$B$1368,"&lt;="&amp;B28)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Iniciales'!$B:$B,D29)+SUMIFS($K$1:$K$1368,$C$1:$C$1368,C29,$D$1:$D$1368,D29,$B$1:$B$1368,"&lt;="&amp;B29)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Iniciales'!$B:$B,D30)+SUMIFS($K$1:$K$1368,$C$1:$C$1368,C30,$D$1:$D$1368,D30,$B$1:$B$1368,"&lt;="&amp;B30)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Iniciales'!$B:$B,D31)+SUMIFS($K$1:$K$1368,$C$1:$C$1368,C31,$D$1:$D$1368,D31,$B$1:$B$1368,"&lt;="&amp;B31)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Iniciales'!$B:$B,D32)+SUMIFS($K$1:$K$1368,$C$1:$C$1368,C32,$D$1:$D$1368,D32,$B$1:$B$1368,"&lt;="&amp;B32)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Iniciales'!$B:$B,D33)+SUMIFS($K$1:$K$1368,$C$1:$C$1368,C33,$D$1:$D$1368,D33,$B$1:$B$1368,"&lt;="&amp;B33)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Iniciales'!$B:$B,D34)+SUMIFS($K$1:$K$1368,$C$1:$C$1368,C34,$D$1:$D$1368,D34,$B$1:$B$1368,"&lt;="&amp;B34)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Iniciales'!$B:$B,D35)+SUMIFS($K$1:$K$1368,$C$1:$C$1368,C35,$D$1:$D$1368,D35,$B$1:$B$1368,"&lt;="&amp;B35)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Iniciales'!$B:$B,D36)+SUMIFS($K$1:$K$1368,$C$1:$C$1368,C36,$D$1:$D$1368,D36,$B$1:$B$1368,"&lt;="&amp;B36)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Iniciales'!$B:$B,D37)+SUMIFS($K$1:$K$1368,$C$1:$C$1368,C37,$D$1:$D$1368,D37,$B$1:$B$1368,"&lt;="&amp;B37)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Iniciales'!$B:$B,D38)+SUMIFS($K$1:$K$1368,$C$1:$C$1368,C38,$D$1:$D$1368,D38,$B$1:$B$1368,"&lt;="&amp;B38)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Iniciales'!$B:$B,D39)+SUMIFS($K$1:$K$1368,$C$1:$C$1368,C39,$D$1:$D$1368,D39,$B$1:$B$1368,"&lt;="&amp;B39)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Iniciales'!$B:$B,D40)+SUMIFS($K$1:$K$1368,$C$1:$C$1368,C40,$D$1:$D$1368,D40,$B$1:$B$1368,"&lt;="&amp;B40)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Iniciales'!$B:$B,D41)+SUMIFS($K$1:$K$1368,$C$1:$C$1368,C41,$D$1:$D$1368,D41,$B$1:$B$1368,"&lt;="&amp;B41)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Iniciales'!$B:$B,D42)+SUMIFS($K$1:$K$1368,$C$1:$C$1368,C42,$D$1:$D$1368,D42,$B$1:$B$1368,"&lt;="&amp;B42)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Iniciales'!$B:$B,D43)+SUMIFS($K$1:$K$1368,$C$1:$C$1368,C43,$D$1:$D$1368,D43,$B$1:$B$1368,"&lt;="&amp;B43)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Iniciales'!$B:$B,D44)+SUMIFS($K$1:$K$1368,$C$1:$C$1368,C44,$D$1:$D$1368,D44,$B$1:$B$1368,"&lt;="&amp;B44)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Iniciales'!$B:$B,D45)+SUMIFS($K$1:$K$1368,$C$1:$C$1368,C45,$D$1:$D$1368,D45,$B$1:$B$1368,"&lt;="&amp;B45)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Iniciales'!$B:$B,D46)+SUMIFS($K$1:$K$1368,$C$1:$C$1368,C46,$D$1:$D$1368,D46,$B$1:$B$1368,"&lt;="&amp;B46)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Iniciales'!$B:$B,D47)+SUMIFS($K$1:$K$1368,$C$1:$C$1368,C47,$D$1:$D$1368,D47,$B$1:$B$1368,"&lt;="&amp;B47)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Iniciales'!$B:$B,D48)+SUMIFS($K$1:$K$1368,$C$1:$C$1368,C48,$D$1:$D$1368,D48,$B$1:$B$1368,"&lt;="&amp;B48)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Iniciales'!$B:$B,D49)+SUMIFS($K$1:$K$1368,$C$1:$C$1368,C49,$D$1:$D$1368,D49,$B$1:$B$1368,"&lt;="&amp;B49)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Iniciales'!$B:$B,D50)+SUMIFS($K$1:$K$1368,$C$1:$C$1368,C50,$D$1:$D$1368,D50,$B$1:$B$1368,"&lt;="&amp;B50)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Iniciales'!$B:$B,D51)+SUMIFS($K$1:$K$1368,$C$1:$C$1368,C51,$D$1:$D$1368,D51,$B$1:$B$1368,"&lt;="&amp;B51)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Iniciales'!$B:$B,D52)+SUMIFS($K$1:$K$1368,$C$1:$C$1368,C52,$D$1:$D$1368,D52,$B$1:$B$1368,"&lt;="&amp;B52)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Iniciales'!$B:$B,D53)+SUMIFS($K$1:$K$1368,$C$1:$C$1368,C53,$D$1:$D$1368,D53,$B$1:$B$1368,"&lt;="&amp;B53)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Iniciales'!$B:$B,D54)+SUMIFS($K$1:$K$1368,$C$1:$C$1368,C54,$D$1:$D$1368,D54,$B$1:$B$1368,"&lt;="&amp;B54)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Iniciales'!$B:$B,D55)+SUMIFS($K$1:$K$1368,$C$1:$C$1368,C55,$D$1:$D$1368,D55,$B$1:$B$1368,"&lt;="&amp;B55)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Iniciales'!$B:$B,D56)+SUMIFS($K$1:$K$1368,$C$1:$C$1368,C56,$D$1:$D$1368,D56,$B$1:$B$1368,"&lt;="&amp;B56)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Iniciales'!$B:$B,D57)+SUMIFS($K$1:$K$1368,$C$1:$C$1368,C57,$D$1:$D$1368,D57,$B$1:$B$1368,"&lt;="&amp;B57)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Iniciales'!$B:$B,D58)+SUMIFS($K$1:$K$1368,$C$1:$C$1368,C58,$D$1:$D$1368,D58,$B$1:$B$1368,"&lt;="&amp;B58)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Iniciales'!$B:$B,D59)+SUMIFS($K$1:$K$1368,$C$1:$C$1368,C59,$D$1:$D$1368,D59,$B$1:$B$1368,"&lt;="&amp;B59)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Iniciales'!$B:$B,D60)+SUMIFS($K$1:$K$1368,$C$1:$C$1368,C60,$D$1:$D$1368,D60,$B$1:$B$1368,"&lt;="&amp;B60)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Iniciales'!$B:$B,D61)+SUMIFS($K$1:$K$1368,$C$1:$C$1368,C61,$D$1:$D$1368,D61,$B$1:$B$1368,"&lt;="&amp;B61)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Iniciales'!$B:$B,D62)+SUMIFS($K$1:$K$1368,$C$1:$C$1368,C62,$D$1:$D$1368,D62,$B$1:$B$1368,"&lt;="&amp;B62)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Iniciales'!$B:$B,D63)+SUMIFS($K$1:$K$1368,$C$1:$C$1368,C63,$D$1:$D$1368,D63,$B$1:$B$1368,"&lt;="&amp;B63)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Iniciales'!$B:$B,D64)+SUMIFS($K$1:$K$1368,$C$1:$C$1368,C64,$D$1:$D$1368,D64,$B$1:$B$1368,"&lt;="&amp;B64)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Iniciales'!$B:$B,D65)+SUMIFS($K$1:$K$1368,$C$1:$C$1368,C65,$D$1:$D$1368,D65,$B$1:$B$1368,"&lt;="&amp;B65)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Iniciales'!$B:$B,D66)+SUMIFS($K$1:$K$1368,$C$1:$C$1368,C66,$D$1:$D$1368,D66,$B$1:$B$1368,"&lt;="&amp;B66)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Iniciales'!$B:$B,D67)+SUMIFS($K$1:$K$1368,$C$1:$C$1368,C67,$D$1:$D$1368,D67,$B$1:$B$1368,"&lt;="&amp;B67)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Iniciales'!$B:$B,D68)+SUMIFS($K$1:$K$1368,$C$1:$C$1368,C68,$D$1:$D$1368,D68,$B$1:$B$1368,"&lt;="&amp;B68)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Iniciales'!$B:$B,D69)+SUMIFS($K$1:$K$1368,$C$1:$C$1368,C69,$D$1:$D$1368,D69,$B$1:$B$1368,"&lt;="&amp;B69)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Iniciales'!$B:$B,D70)+SUMIFS($K$1:$K$1368,$C$1:$C$1368,C70,$D$1:$D$1368,D70,$B$1:$B$1368,"&lt;="&amp;B70)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Iniciales'!$B:$B,D71)+SUMIFS($K$1:$K$1368,$C$1:$C$1368,C71,$D$1:$D$1368,D71,$B$1:$B$1368,"&lt;="&amp;B71)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Iniciales'!$B:$B,D72)+SUMIFS($K$1:$K$1368,$C$1:$C$1368,C72,$D$1:$D$1368,D72,$B$1:$B$1368,"&lt;="&amp;B72)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Iniciales'!$B:$B,D73)+SUMIFS($K$1:$K$1368,$C$1:$C$1368,C73,$D$1:$D$1368,D73,$B$1:$B$1368,"&lt;="&amp;B73)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Iniciales'!$B:$B,D74)+SUMIFS($K$1:$K$1368,$C$1:$C$1368,C74,$D$1:$D$1368,D74,$B$1:$B$1368,"&lt;="&amp;B74)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Iniciales'!$B:$B,D75)+SUMIFS($K$1:$K$1368,$C$1:$C$1368,C75,$D$1:$D$1368,D75,$B$1:$B$1368,"&lt;="&amp;B75)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Iniciales'!$B:$B,D76)+SUMIFS($K$1:$K$1368,$C$1:$C$1368,C76,$D$1:$D$1368,D76,$B$1:$B$1368,"&lt;="&amp;B76)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Iniciales'!$B:$B,D77)+SUMIFS($K$1:$K$1368,$C$1:$C$1368,C77,$D$1:$D$1368,D77,$B$1:$B$1368,"&lt;="&amp;B77)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Iniciales'!$B:$B,D78)+SUMIFS($K$1:$K$1368,$C$1:$C$1368,C78,$D$1:$D$1368,D78,$B$1:$B$1368,"&lt;="&amp;B78)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Iniciales'!$B:$B,D79)+SUMIFS($K$1:$K$1368,$C$1:$C$1368,C79,$D$1:$D$1368,D79,$B$1:$B$1368,"&lt;="&amp;B79)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Iniciales'!$B:$B,D80)+SUMIFS($K$1:$K$1368,$C$1:$C$1368,C80,$D$1:$D$1368,D80,$B$1:$B$1368,"&lt;="&amp;B80)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Iniciales'!$B:$B,D81)+SUMIFS($K$1:$K$1368,$C$1:$C$1368,C81,$D$1:$D$1368,D81,$B$1:$B$1368,"&lt;="&amp;B81)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Iniciales'!$B:$B,D82)+SUMIFS($K$1:$K$1368,$C$1:$C$1368,C82,$D$1:$D$1368,D82,$B$1:$B$1368,"&lt;="&amp;B82)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Iniciales'!$B:$B,D83)+SUMIFS($K$1:$K$1368,$C$1:$C$1368,C83,$D$1:$D$1368,D83,$B$1:$B$1368,"&lt;="&amp;B83)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Iniciales'!$B:$B,D84)+SUMIFS($K$1:$K$1368,$C$1:$C$1368,C84,$D$1:$D$1368,D84,$B$1:$B$1368,"&lt;="&amp;B84)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Iniciales'!$B:$B,D85)+SUMIFS($K$1:$K$1368,$C$1:$C$1368,C85,$D$1:$D$1368,D85,$B$1:$B$1368,"&lt;="&amp;B85)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Iniciales'!$B:$B,D86)+SUMIFS($K$1:$K$1368,$C$1:$C$1368,C86,$D$1:$D$1368,D86,$B$1:$B$1368,"&lt;="&amp;B86)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Iniciales'!$B:$B,D87)+SUMIFS($K$1:$K$1368,$C$1:$C$1368,C87,$D$1:$D$1368,D87,$B$1:$B$1368,"&lt;="&amp;B87)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Iniciales'!$B:$B,D88)+SUMIFS($K$1:$K$1368,$C$1:$C$1368,C88,$D$1:$D$1368,D88,$B$1:$B$1368,"&lt;="&amp;B88)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Iniciales'!$B:$B,D89)+SUMIFS($K$1:$K$1368,$C$1:$C$1368,C89,$D$1:$D$1368,D89,$B$1:$B$1368,"&lt;="&amp;B89)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Iniciales'!$B:$B,D90)+SUMIFS($K$1:$K$1368,$C$1:$C$1368,C90,$D$1:$D$1368,D90,$B$1:$B$1368,"&lt;="&amp;B90)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Iniciales'!$B:$B,D91)+SUMIFS($K$1:$K$1368,$C$1:$C$1368,C91,$D$1:$D$1368,D91,$B$1:$B$1368,"&lt;="&amp;B91)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Iniciales'!$B:$B,D92)+SUMIFS($K$1:$K$1368,$C$1:$C$1368,C92,$D$1:$D$1368,D92,$B$1:$B$1368,"&lt;="&amp;B92)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Iniciales'!$B:$B,D93)+SUMIFS($K$1:$K$1368,$C$1:$C$1368,C93,$D$1:$D$1368,D93,$B$1:$B$1368,"&lt;="&amp;B93)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Iniciales'!$B:$B,D94)+SUMIFS($K$1:$K$1368,$C$1:$C$1368,C94,$D$1:$D$1368,D94,$B$1:$B$1368,"&lt;="&amp;B94)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Iniciales'!$B:$B,D95)+SUMIFS($K$1:$K$1368,$C$1:$C$1368,C95,$D$1:$D$1368,D95,$B$1:$B$1368,"&lt;="&amp;B95)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Iniciales'!$B:$B,D96)+SUMIFS($K$1:$K$1368,$C$1:$C$1368,C96,$D$1:$D$1368,D96,$B$1:$B$1368,"&lt;="&amp;B96)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Iniciales'!$B:$B,D97)+SUMIFS($K$1:$K$1368,$C$1:$C$1368,C97,$D$1:$D$1368,D97,$B$1:$B$1368,"&lt;="&amp;B97)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Iniciales'!$B:$B,D98)+SUMIFS($K$1:$K$1368,$C$1:$C$1368,C98,$D$1:$D$1368,D98,$B$1:$B$1368,"&lt;="&amp;B98)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Iniciales'!$B:$B,D99)+SUMIFS($K$1:$K$1368,$C$1:$C$1368,C99,$D$1:$D$1368,D99,$B$1:$B$1368,"&lt;="&amp;B99)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Iniciales'!$B:$B,D100)+SUMIFS($K$1:$K$1368,$C$1:$C$1368,C100,$D$1:$D$1368,D100,$B$1:$B$1368,"&lt;="&amp;B100)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Iniciales'!$B:$B,D101)+SUMIFS($K$1:$K$1368,$C$1:$C$1368,C101,$D$1:$D$1368,D101,$B$1:$B$1368,"&lt;="&amp;B101)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Iniciales'!$B:$B,D102)+SUMIFS($K$1:$K$1368,$C$1:$C$1368,C102,$D$1:$D$1368,D102,$B$1:$B$1368,"&lt;="&amp;B102)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Iniciales'!$B:$B,D103)+SUMIFS($K$1:$K$1368,$C$1:$C$1368,C103,$D$1:$D$1368,D103,$B$1:$B$1368,"&lt;="&amp;B103)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Iniciales'!$B:$B,D104)+SUMIFS($K$1:$K$1368,$C$1:$C$1368,C104,$D$1:$D$1368,D104,$B$1:$B$1368,"&lt;="&amp;B104)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Iniciales'!$B:$B,D105)+SUMIFS($K$1:$K$1368,$C$1:$C$1368,C105,$D$1:$D$1368,D105,$B$1:$B$1368,"&lt;="&amp;B105)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Iniciales'!$B:$B,D106)+SUMIFS($K$1:$K$1368,$C$1:$C$1368,C106,$D$1:$D$1368,D106,$B$1:$B$1368,"&lt;="&amp;B106)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Iniciales'!$B:$B,D107)+SUMIFS($K$1:$K$1368,$C$1:$C$1368,C107,$D$1:$D$1368,D107,$B$1:$B$1368,"&lt;="&amp;B107)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Iniciales'!$B:$B,D108)+SUMIFS($K$1:$K$1368,$C$1:$C$1368,C108,$D$1:$D$1368,D108,$B$1:$B$1368,"&lt;="&amp;B108)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Iniciales'!$B:$B,D109)+SUMIFS($K$1:$K$1368,$C$1:$C$1368,C109,$D$1:$D$1368,D109,$B$1:$B$1368,"&lt;="&amp;B109)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Iniciales'!$B:$B,D110)+SUMIFS($K$1:$K$1368,$C$1:$C$1368,C110,$D$1:$D$1368,D110,$B$1:$B$1368,"&lt;="&amp;B110)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Iniciales'!$B:$B,D111)+SUMIFS($K$1:$K$1368,$C$1:$C$1368,C111,$D$1:$D$1368,D111,$B$1:$B$1368,"&lt;="&amp;B111)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Iniciales'!$B:$B,D112)+SUMIFS($K$1:$K$1368,$C$1:$C$1368,C112,$D$1:$D$1368,D112,$B$1:$B$1368,"&lt;="&amp;B112)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Iniciales'!$B:$B,D113)+SUMIFS($K$1:$K$1368,$C$1:$C$1368,C113,$D$1:$D$1368,D113,$B$1:$B$1368,"&lt;="&amp;B113)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Iniciales'!$B:$B,D114)+SUMIFS($K$1:$K$1368,$C$1:$C$1368,C114,$D$1:$D$1368,D114,$B$1:$B$1368,"&lt;="&amp;B114)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Iniciales'!$B:$B,D115)+SUMIFS($K$1:$K$1368,$C$1:$C$1368,C115,$D$1:$D$1368,D115,$B$1:$B$1368,"&lt;="&amp;B115)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Iniciales'!$B:$B,D116)+SUMIFS($K$1:$K$1368,$C$1:$C$1368,C116,$D$1:$D$1368,D116,$B$1:$B$1368,"&lt;="&amp;B116)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Iniciales'!$B:$B,D117)+SUMIFS($K$1:$K$1368,$C$1:$C$1368,C117,$D$1:$D$1368,D117,$B$1:$B$1368,"&lt;="&amp;B117)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Iniciales'!$B:$B,D118)+SUMIFS($K$1:$K$1368,$C$1:$C$1368,C118,$D$1:$D$1368,D118,$B$1:$B$1368,"&lt;="&amp;B118)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Iniciales'!$B:$B,D119)+SUMIFS($K$1:$K$1368,$C$1:$C$1368,C119,$D$1:$D$1368,D119,$B$1:$B$1368,"&lt;="&amp;B119)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Iniciales'!$B:$B,D120)+SUMIFS($K$1:$K$1368,$C$1:$C$1368,C120,$D$1:$D$1368,D120,$B$1:$B$1368,"&lt;="&amp;B120)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Iniciales'!$B:$B,D121)+SUMIFS($K$1:$K$1368,$C$1:$C$1368,C121,$D$1:$D$1368,D121,$B$1:$B$1368,"&lt;="&amp;B121)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Iniciales'!$B:$B,D122)+SUMIFS($K$1:$K$1368,$C$1:$C$1368,C122,$D$1:$D$1368,D122,$B$1:$B$1368,"&lt;="&amp;B122)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Iniciales'!$B:$B,D123)+SUMIFS($K$1:$K$1368,$C$1:$C$1368,C123,$D$1:$D$1368,D123,$B$1:$B$1368,"&lt;="&amp;B123)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Iniciales'!$B:$B,D124)+SUMIFS($K$1:$K$1368,$C$1:$C$1368,C124,$D$1:$D$1368,D124,$B$1:$B$1368,"&lt;="&amp;B124)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Iniciales'!$B:$B,D125)+SUMIFS($K$1:$K$1368,$C$1:$C$1368,C125,$D$1:$D$1368,D125,$B$1:$B$1368,"&lt;="&amp;B125)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Iniciales'!$B:$B,D126)+SUMIFS($K$1:$K$1368,$C$1:$C$1368,C126,$D$1:$D$1368,D126,$B$1:$B$1368,"&lt;="&amp;B126)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Iniciales'!$B:$B,D127)+SUMIFS($K$1:$K$1368,$C$1:$C$1368,C127,$D$1:$D$1368,D127,$B$1:$B$1368,"&lt;="&amp;B127)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Iniciales'!$B:$B,D128)+SUMIFS($K$1:$K$1368,$C$1:$C$1368,C128,$D$1:$D$1368,D128,$B$1:$B$1368,"&lt;="&amp;B128)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Iniciales'!$B:$B,D129)+SUMIFS($K$1:$K$1368,$C$1:$C$1368,C129,$D$1:$D$1368,D129,$B$1:$B$1368,"&lt;="&amp;B129)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Iniciales'!$B:$B,D130)+SUMIFS($K$1:$K$1368,$C$1:$C$1368,C130,$D$1:$D$1368,D130,$B$1:$B$1368,"&lt;="&amp;B130)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Iniciales'!$B:$B,D131)+SUMIFS($K$1:$K$1368,$C$1:$C$1368,C131,$D$1:$D$1368,D131,$B$1:$B$1368,"&lt;="&amp;B131)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Iniciales'!$B:$B,D132)+SUMIFS($K$1:$K$1368,$C$1:$C$1368,C132,$D$1:$D$1368,D132,$B$1:$B$1368,"&lt;="&amp;B132)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Iniciales'!$B:$B,D133)+SUMIFS($K$1:$K$1368,$C$1:$C$1368,C133,$D$1:$D$1368,D133,$B$1:$B$1368,"&lt;="&amp;B133)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Iniciales'!$B:$B,D134)+SUMIFS($K$1:$K$1368,$C$1:$C$1368,C134,$D$1:$D$1368,D134,$B$1:$B$1368,"&lt;="&amp;B134)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Iniciales'!$B:$B,D135)+SUMIFS($K$1:$K$1368,$C$1:$C$1368,C135,$D$1:$D$1368,D135,$B$1:$B$1368,"&lt;="&amp;B135)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Iniciales'!$B:$B,D136)+SUMIFS($K$1:$K$1368,$C$1:$C$1368,C136,$D$1:$D$1368,D136,$B$1:$B$1368,"&lt;="&amp;B136)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Iniciales'!$B:$B,D137)+SUMIFS($K$1:$K$1368,$C$1:$C$1368,C137,$D$1:$D$1368,D137,$B$1:$B$1368,"&lt;="&amp;B137)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Iniciales'!$B:$B,D138)+SUMIFS($K$1:$K$1368,$C$1:$C$1368,C138,$D$1:$D$1368,D138,$B$1:$B$1368,"&lt;="&amp;B138)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Iniciales'!$B:$B,D139)+SUMIFS($K$1:$K$1368,$C$1:$C$1368,C139,$D$1:$D$1368,D139,$B$1:$B$1368,"&lt;="&amp;B139)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Iniciales'!$B:$B,D140)+SUMIFS($K$1:$K$1368,$C$1:$C$1368,C140,$D$1:$D$1368,D140,$B$1:$B$1368,"&lt;="&amp;B140)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Iniciales'!$B:$B,D141)+SUMIFS($K$1:$K$1368,$C$1:$C$1368,C141,$D$1:$D$1368,D141,$B$1:$B$1368,"&lt;="&amp;B141)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Iniciales'!$B:$B,D142)+SUMIFS($K$1:$K$1368,$C$1:$C$1368,C142,$D$1:$D$1368,D142,$B$1:$B$1368,"&lt;="&amp;B142)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Iniciales'!$B:$B,D143)+SUMIFS($K$1:$K$1368,$C$1:$C$1368,C143,$D$1:$D$1368,D143,$B$1:$B$1368,"&lt;="&amp;B143)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Iniciales'!$B:$B,D144)+SUMIFS($K$1:$K$1368,$C$1:$C$1368,C144,$D$1:$D$1368,D144,$B$1:$B$1368,"&lt;="&amp;B144)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Iniciales'!$B:$B,D145)+SUMIFS($K$1:$K$1368,$C$1:$C$1368,C145,$D$1:$D$1368,D145,$B$1:$B$1368,"&lt;="&amp;B145)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Iniciales'!$B:$B,D146)+SUMIFS($K$1:$K$1368,$C$1:$C$1368,C146,$D$1:$D$1368,D146,$B$1:$B$1368,"&lt;="&amp;B146)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Iniciales'!$B:$B,D147)+SUMIFS($K$1:$K$1368,$C$1:$C$1368,C147,$D$1:$D$1368,D147,$B$1:$B$1368,"&lt;="&amp;B147)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Iniciales'!$B:$B,D148)+SUMIFS($K$1:$K$1368,$C$1:$C$1368,C148,$D$1:$D$1368,D148,$B$1:$B$1368,"&lt;="&amp;B148)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Iniciales'!$B:$B,D149)+SUMIFS($K$1:$K$1368,$C$1:$C$1368,C149,$D$1:$D$1368,D149,$B$1:$B$1368,"&lt;="&amp;B149)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Iniciales'!$B:$B,D150)+SUMIFS($K$1:$K$1368,$C$1:$C$1368,C150,$D$1:$D$1368,D150,$B$1:$B$1368,"&lt;="&amp;B150)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Iniciales'!$B:$B,D151)+SUMIFS($K$1:$K$1368,$C$1:$C$1368,C151,$D$1:$D$1368,D151,$B$1:$B$1368,"&lt;="&amp;B151)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Iniciales'!$B:$B,D152)+SUMIFS($K$1:$K$1368,$C$1:$C$1368,C152,$D$1:$D$1368,D152,$B$1:$B$1368,"&lt;="&amp;B152)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Iniciales'!$B:$B,D153)+SUMIFS($K$1:$K$1368,$C$1:$C$1368,C153,$D$1:$D$1368,D153,$B$1:$B$1368,"&lt;="&amp;B153)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Iniciales'!$B:$B,D154)+SUMIFS($K$1:$K$1368,$C$1:$C$1368,C154,$D$1:$D$1368,D154,$B$1:$B$1368,"&lt;="&amp;B154)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Iniciales'!$B:$B,D155)+SUMIFS($K$1:$K$1368,$C$1:$C$1368,C155,$D$1:$D$1368,D155,$B$1:$B$1368,"&lt;="&amp;B155)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Iniciales'!$B:$B,D156)+SUMIFS($K$1:$K$1368,$C$1:$C$1368,C156,$D$1:$D$1368,D156,$B$1:$B$1368,"&lt;="&amp;B156)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Iniciales'!$B:$B,D157)+SUMIFS($K$1:$K$1368,$C$1:$C$1368,C157,$D$1:$D$1368,D157,$B$1:$B$1368,"&lt;="&amp;B157)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Iniciales'!$B:$B,D158)+SUMIFS($K$1:$K$1368,$C$1:$C$1368,C158,$D$1:$D$1368,D158,$B$1:$B$1368,"&lt;="&amp;B158)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Iniciales'!$B:$B,D159)+SUMIFS($K$1:$K$1368,$C$1:$C$1368,C159,$D$1:$D$1368,D159,$B$1:$B$1368,"&lt;="&amp;B159)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Iniciales'!$B:$B,D160)+SUMIFS($K$1:$K$1368,$C$1:$C$1368,C160,$D$1:$D$1368,D160,$B$1:$B$1368,"&lt;="&amp;B160)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Iniciales'!$B:$B,D161)+SUMIFS($K$1:$K$1368,$C$1:$C$1368,C161,$D$1:$D$1368,D161,$B$1:$B$1368,"&lt;="&amp;B161)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Iniciales'!$B:$B,D162)+SUMIFS($K$1:$K$1368,$C$1:$C$1368,C162,$D$1:$D$1368,D162,$B$1:$B$1368,"&lt;="&amp;B162)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Iniciales'!$B:$B,D163)+SUMIFS($K$1:$K$1368,$C$1:$C$1368,C163,$D$1:$D$1368,D163,$B$1:$B$1368,"&lt;="&amp;B163)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Iniciales'!$B:$B,D164)+SUMIFS($K$1:$K$1368,$C$1:$C$1368,C164,$D$1:$D$1368,D164,$B$1:$B$1368,"&lt;="&amp;B164)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Iniciales'!$B:$B,D165)+SUMIFS($K$1:$K$1368,$C$1:$C$1368,C165,$D$1:$D$1368,D165,$B$1:$B$1368,"&lt;="&amp;B165)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Iniciales'!$B:$B,D166)+SUMIFS($K$1:$K$1368,$C$1:$C$1368,C166,$D$1:$D$1368,D166,$B$1:$B$1368,"&lt;="&amp;B166)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Iniciales'!$B:$B,D167)+SUMIFS($K$1:$K$1368,$C$1:$C$1368,C167,$D$1:$D$1368,D167,$B$1:$B$1368,"&lt;="&amp;B167)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Iniciales'!$B:$B,D168)+SUMIFS($K$1:$K$1368,$C$1:$C$1368,C168,$D$1:$D$1368,D168,$B$1:$B$1368,"&lt;="&amp;B168)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Iniciales'!$B:$B,D169)+SUMIFS($K$1:$K$1368,$C$1:$C$1368,C169,$D$1:$D$1368,D169,$B$1:$B$1368,"&lt;="&amp;B169)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Iniciales'!$B:$B,D170)+SUMIFS($K$1:$K$1368,$C$1:$C$1368,C170,$D$1:$D$1368,D170,$B$1:$B$1368,"&lt;="&amp;B170)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Iniciales'!$B:$B,D171)+SUMIFS($K$1:$K$1368,$C$1:$C$1368,C171,$D$1:$D$1368,D171,$B$1:$B$1368,"&lt;="&amp;B171)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Iniciales'!$B:$B,D172)+SUMIFS($K$1:$K$1368,$C$1:$C$1368,C172,$D$1:$D$1368,D172,$B$1:$B$1368,"&lt;="&amp;B172)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Iniciales'!$B:$B,D173)+SUMIFS($K$1:$K$1368,$C$1:$C$1368,C173,$D$1:$D$1368,D173,$B$1:$B$1368,"&lt;="&amp;B173)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Iniciales'!$B:$B,D174)+SUMIFS($K$1:$K$1368,$C$1:$C$1368,C174,$D$1:$D$1368,D174,$B$1:$B$1368,"&lt;="&amp;B174)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Iniciales'!$B:$B,D175)+SUMIFS($K$1:$K$1368,$C$1:$C$1368,C175,$D$1:$D$1368,D175,$B$1:$B$1368,"&lt;="&amp;B175)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Iniciales'!$B:$B,D176)+SUMIFS($K$1:$K$1368,$C$1:$C$1368,C176,$D$1:$D$1368,D176,$B$1:$B$1368,"&lt;="&amp;B176)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Iniciales'!$B:$B,D177)+SUMIFS($K$1:$K$1368,$C$1:$C$1368,C177,$D$1:$D$1368,D177,$B$1:$B$1368,"&lt;="&amp;B177)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Iniciales'!$B:$B,D178)+SUMIFS($K$1:$K$1368,$C$1:$C$1368,C178,$D$1:$D$1368,D178,$B$1:$B$1368,"&lt;="&amp;B178)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Iniciales'!$B:$B,D179)+SUMIFS($K$1:$K$1368,$C$1:$C$1368,C179,$D$1:$D$1368,D179,$B$1:$B$1368,"&lt;="&amp;B179)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Iniciales'!$B:$B,D180)+SUMIFS($K$1:$K$1368,$C$1:$C$1368,C180,$D$1:$D$1368,D180,$B$1:$B$1368,"&lt;="&amp;B180)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Iniciales'!$B:$B,D181)+SUMIFS($K$1:$K$1368,$C$1:$C$1368,C181,$D$1:$D$1368,D181,$B$1:$B$1368,"&lt;="&amp;B181)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Iniciales'!$B:$B,D182)+SUMIFS($K$1:$K$1368,$C$1:$C$1368,C182,$D$1:$D$1368,D182,$B$1:$B$1368,"&lt;="&amp;B182)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Iniciales'!$B:$B,D183)+SUMIFS($K$1:$K$1368,$C$1:$C$1368,C183,$D$1:$D$1368,D183,$B$1:$B$1368,"&lt;="&amp;B183)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Iniciales'!$B:$B,D184)+SUMIFS($K$1:$K$1368,$C$1:$C$1368,C184,$D$1:$D$1368,D184,$B$1:$B$1368,"&lt;="&amp;B184)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Iniciales'!$B:$B,D185)+SUMIFS($K$1:$K$1368,$C$1:$C$1368,C185,$D$1:$D$1368,D185,$B$1:$B$1368,"&lt;="&amp;B185)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Iniciales'!$B:$B,D186)+SUMIFS($K$1:$K$1368,$C$1:$C$1368,C186,$D$1:$D$1368,D186,$B$1:$B$1368,"&lt;="&amp;B186)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Iniciales'!$B:$B,D187)+SUMIFS($K$1:$K$1368,$C$1:$C$1368,C187,$D$1:$D$1368,D187,$B$1:$B$1368,"&lt;="&amp;B187)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Iniciales'!$B:$B,D188)+SUMIFS($K$1:$K$1368,$C$1:$C$1368,C188,$D$1:$D$1368,D188,$B$1:$B$1368,"&lt;="&amp;B188)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Iniciales'!$B:$B,D189)+SUMIFS($K$1:$K$1368,$C$1:$C$1368,C189,$D$1:$D$1368,D189,$B$1:$B$1368,"&lt;="&amp;B189)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Iniciales'!$B:$B,D190)+SUMIFS($K$1:$K$1368,$C$1:$C$1368,C190,$D$1:$D$1368,D190,$B$1:$B$1368,"&lt;="&amp;B190)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Iniciales'!$B:$B,D191)+SUMIFS($K$1:$K$1368,$C$1:$C$1368,C191,$D$1:$D$1368,D191,$B$1:$B$1368,"&lt;="&amp;B191)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Iniciales'!$B:$B,D192)+SUMIFS($K$1:$K$1368,$C$1:$C$1368,C192,$D$1:$D$1368,D192,$B$1:$B$1368,"&lt;="&amp;B192)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Iniciales'!$B:$B,D193)+SUMIFS($K$1:$K$1368,$C$1:$C$1368,C193,$D$1:$D$1368,D193,$B$1:$B$1368,"&lt;="&amp;B193)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Iniciales'!$B:$B,D194)+SUMIFS($K$1:$K$1368,$C$1:$C$1368,C194,$D$1:$D$1368,D194,$B$1:$B$1368,"&lt;="&amp;B194)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Iniciales'!$B:$B,D195)+SUMIFS($K$1:$K$1368,$C$1:$C$1368,C195,$D$1:$D$1368,D195,$B$1:$B$1368,"&lt;="&amp;B195)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Iniciales'!$B:$B,D196)+SUMIFS($K$1:$K$1368,$C$1:$C$1368,C196,$D$1:$D$1368,D196,$B$1:$B$1368,"&lt;="&amp;B196)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Iniciales'!$B:$B,D197)+SUMIFS($K$1:$K$1368,$C$1:$C$1368,C197,$D$1:$D$1368,D197,$B$1:$B$1368,"&lt;="&amp;B197)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Iniciales'!$B:$B,D198)+SUMIFS($K$1:$K$1368,$C$1:$C$1368,C198,$D$1:$D$1368,D198,$B$1:$B$1368,"&lt;="&amp;B198)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Iniciales'!$B:$B,D199)+SUMIFS($K$1:$K$1368,$C$1:$C$1368,C199,$D$1:$D$1368,D199,$B$1:$B$1368,"&lt;="&amp;B199)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Iniciales'!$B:$B,D200)+SUMIFS($K$1:$K$1368,$C$1:$C$1368,C200,$D$1:$D$1368,D200,$B$1:$B$1368,"&lt;="&amp;B200)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Iniciales'!$B:$B,D201)+SUMIFS($K$1:$K$1368,$C$1:$C$1368,C201,$D$1:$D$1368,D201,$B$1:$B$1368,"&lt;="&amp;B201)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Iniciales'!$B:$B,D202)+SUMIFS($K$1:$K$1368,$C$1:$C$1368,C202,$D$1:$D$1368,D202,$B$1:$B$1368,"&lt;="&amp;B202)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Iniciales'!$B:$B,D203)+SUMIFS($K$1:$K$1368,$C$1:$C$1368,C203,$D$1:$D$1368,D203,$B$1:$B$1368,"&lt;="&amp;B203)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Iniciales'!$B:$B,D204)+SUMIFS($K$1:$K$1368,$C$1:$C$1368,C204,$D$1:$D$1368,D204,$B$1:$B$1368,"&lt;="&amp;B204)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Iniciales'!$B:$B,D205)+SUMIFS($K$1:$K$1368,$C$1:$C$1368,C205,$D$1:$D$1368,D205,$B$1:$B$1368,"&lt;="&amp;B205)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Iniciales'!$B:$B,D206)+SUMIFS($K$1:$K$1368,$C$1:$C$1368,C206,$D$1:$D$1368,D206,$B$1:$B$1368,"&lt;="&amp;B206)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Iniciales'!$B:$B,D207)+SUMIFS($K$1:$K$1368,$C$1:$C$1368,C207,$D$1:$D$1368,D207,$B$1:$B$1368,"&lt;="&amp;B207)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Iniciales'!$B:$B,D208)+SUMIFS($K$1:$K$1368,$C$1:$C$1368,C208,$D$1:$D$1368,D208,$B$1:$B$1368,"&lt;="&amp;B208)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Iniciales'!$B:$B,D209)+SUMIFS($K$1:$K$1368,$C$1:$C$1368,C209,$D$1:$D$1368,D209,$B$1:$B$1368,"&lt;="&amp;B209)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Iniciales'!$B:$B,D210)+SUMIFS($K$1:$K$1368,$C$1:$C$1368,C210,$D$1:$D$1368,D210,$B$1:$B$1368,"&lt;="&amp;B210)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Iniciales'!$B:$B,D211)+SUMIFS($K$1:$K$1368,$C$1:$C$1368,C211,$D$1:$D$1368,D211,$B$1:$B$1368,"&lt;="&amp;B211)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Iniciales'!$B:$B,D212)+SUMIFS($K$1:$K$1368,$C$1:$C$1368,C212,$D$1:$D$1368,D212,$B$1:$B$1368,"&lt;="&amp;B212)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Iniciales'!$B:$B,D213)+SUMIFS($K$1:$K$1368,$C$1:$C$1368,C213,$D$1:$D$1368,D213,$B$1:$B$1368,"&lt;="&amp;B213)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Iniciales'!$B:$B,D214)+SUMIFS($K$1:$K$1368,$C$1:$C$1368,C214,$D$1:$D$1368,D214,$B$1:$B$1368,"&lt;="&amp;B214)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Iniciales'!$B:$B,D215)+SUMIFS($K$1:$K$1368,$C$1:$C$1368,C215,$D$1:$D$1368,D215,$B$1:$B$1368,"&lt;="&amp;B215)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Iniciales'!$B:$B,D216)+SUMIFS($K$1:$K$1368,$C$1:$C$1368,C216,$D$1:$D$1368,D216,$B$1:$B$1368,"&lt;="&amp;B216)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Iniciales'!$B:$B,D217)+SUMIFS($K$1:$K$1368,$C$1:$C$1368,C217,$D$1:$D$1368,D217,$B$1:$B$1368,"&lt;="&amp;B217)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Iniciales'!$B:$B,D218)+SUMIFS($K$1:$K$1368,$C$1:$C$1368,C218,$D$1:$D$1368,D218,$B$1:$B$1368,"&lt;="&amp;B218)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Iniciales'!$B:$B,D219)+SUMIFS($K$1:$K$1368,$C$1:$C$1368,C219,$D$1:$D$1368,D219,$B$1:$B$1368,"&lt;="&amp;B219)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Iniciales'!$B:$B,D220)+SUMIFS($K$1:$K$1368,$C$1:$C$1368,C220,$D$1:$D$1368,D220,$B$1:$B$1368,"&lt;="&amp;B220)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Iniciales'!$B:$B,D221)+SUMIFS($K$1:$K$1368,$C$1:$C$1368,C221,$D$1:$D$1368,D221,$B$1:$B$1368,"&lt;="&amp;B221)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Iniciales'!$B:$B,D222)+SUMIFS($K$1:$K$1368,$C$1:$C$1368,C222,$D$1:$D$1368,D222,$B$1:$B$1368,"&lt;="&amp;B222)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Iniciales'!$B:$B,D223)+SUMIFS($K$1:$K$1368,$C$1:$C$1368,C223,$D$1:$D$1368,D223,$B$1:$B$1368,"&lt;="&amp;B223)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Iniciales'!$B:$B,D224)+SUMIFS($K$1:$K$1368,$C$1:$C$1368,C224,$D$1:$D$1368,D224,$B$1:$B$1368,"&lt;="&amp;B224)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Iniciales'!$B:$B,D225)+SUMIFS($K$1:$K$1368,$C$1:$C$1368,C225,$D$1:$D$1368,D225,$B$1:$B$1368,"&lt;="&amp;B225)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Iniciales'!$B:$B,D226)+SUMIFS($K$1:$K$1368,$C$1:$C$1368,C226,$D$1:$D$1368,D226,$B$1:$B$1368,"&lt;="&amp;B226)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Iniciales'!$B:$B,D227)+SUMIFS($K$1:$K$1368,$C$1:$C$1368,C227,$D$1:$D$1368,D227,$B$1:$B$1368,"&lt;="&amp;B227)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Iniciales'!$B:$B,D228)+SUMIFS($K$1:$K$1368,$C$1:$C$1368,C228,$D$1:$D$1368,D228,$B$1:$B$1368,"&lt;="&amp;B228)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Iniciales'!$B:$B,D229)+SUMIFS($K$1:$K$1368,$C$1:$C$1368,C229,$D$1:$D$1368,D229,$B$1:$B$1368,"&lt;="&amp;B229)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Iniciales'!$B:$B,D230)+SUMIFS($K$1:$K$1368,$C$1:$C$1368,C230,$D$1:$D$1368,D230,$B$1:$B$1368,"&lt;="&amp;B230)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Iniciales'!$B:$B,D231)+SUMIFS($K$1:$K$1368,$C$1:$C$1368,C231,$D$1:$D$1368,D231,$B$1:$B$1368,"&lt;="&amp;B231)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Iniciales'!$B:$B,D232)+SUMIFS($K$1:$K$1368,$C$1:$C$1368,C232,$D$1:$D$1368,D232,$B$1:$B$1368,"&lt;="&amp;B232)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Iniciales'!$B:$B,D233)+SUMIFS($K$1:$K$1368,$C$1:$C$1368,C233,$D$1:$D$1368,D233,$B$1:$B$1368,"&lt;="&amp;B233)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Iniciales'!$B:$B,D234)+SUMIFS($K$1:$K$1368,$C$1:$C$1368,C234,$D$1:$D$1368,D234,$B$1:$B$1368,"&lt;="&amp;B234)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Iniciales'!$B:$B,D235)+SUMIFS($K$1:$K$1368,$C$1:$C$1368,C235,$D$1:$D$1368,D235,$B$1:$B$1368,"&lt;="&amp;B235)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Iniciales'!$B:$B,D236)+SUMIFS($K$1:$K$1368,$C$1:$C$1368,C236,$D$1:$D$1368,D236,$B$1:$B$1368,"&lt;="&amp;B236)</f>
        <v>57206.89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Iniciales'!$B:$B,D237)+SUMIFS($K$1:$K$1368,$C$1:$C$1368,C237,$D$1:$D$1368,D237,$B$1:$B$1368,"&lt;="&amp;B237)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Iniciales'!$B:$B,D238)+SUMIFS($K$1:$K$1368,$C$1:$C$1368,C238,$D$1:$D$1368,D238,$B$1:$B$1368,"&lt;="&amp;B238)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Iniciales'!$B:$B,D239)+SUMIFS($K$1:$K$1368,$C$1:$C$1368,C239,$D$1:$D$1368,D239,$B$1:$B$1368,"&lt;="&amp;B239)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Iniciales'!$B:$B,D240)+SUMIFS($K$1:$K$1368,$C$1:$C$1368,C240,$D$1:$D$1368,D240,$B$1:$B$1368,"&lt;="&amp;B240)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Iniciales'!$B:$B,D241)+SUMIFS($K$1:$K$1368,$C$1:$C$1368,C241,$D$1:$D$1368,D241,$B$1:$B$1368,"&lt;="&amp;B241)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Iniciales'!$B:$B,D242)+SUMIFS($K$1:$K$1368,$C$1:$C$1368,C242,$D$1:$D$1368,D242,$B$1:$B$1368,"&lt;="&amp;B242)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Iniciales'!$B:$B,D243)+SUMIFS($K$1:$K$1368,$C$1:$C$1368,C243,$D$1:$D$1368,D243,$B$1:$B$1368,"&lt;="&amp;B243)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Iniciales'!$B:$B,D244)+SUMIFS($K$1:$K$1368,$C$1:$C$1368,C244,$D$1:$D$1368,D244,$B$1:$B$1368,"&lt;="&amp;B244)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Iniciales'!$B:$B,D245)+SUMIFS($K$1:$K$1368,$C$1:$C$1368,C245,$D$1:$D$1368,D245,$B$1:$B$1368,"&lt;="&amp;B245)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Iniciales'!$B:$B,D246)+SUMIFS($K$1:$K$1368,$C$1:$C$1368,C246,$D$1:$D$1368,D246,$B$1:$B$1368,"&lt;="&amp;B246)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Iniciales'!$B:$B,D247)+SUMIFS($K$1:$K$1368,$C$1:$C$1368,C247,$D$1:$D$1368,D247,$B$1:$B$1368,"&lt;="&amp;B247)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Iniciales'!$B:$B,D248)+SUMIFS($K$1:$K$1368,$C$1:$C$1368,C248,$D$1:$D$1368,D248,$B$1:$B$1368,"&lt;="&amp;B248)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Iniciales'!$B:$B,D249)+SUMIFS($K$1:$K$1368,$C$1:$C$1368,C249,$D$1:$D$1368,D249,$B$1:$B$1368,"&lt;="&amp;B249)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Iniciales'!$B:$B,D250)+SUMIFS($K$1:$K$1368,$C$1:$C$1368,C250,$D$1:$D$1368,D250,$B$1:$B$1368,"&lt;="&amp;B250)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Iniciales'!$B:$B,D251)+SUMIFS($K$1:$K$1368,$C$1:$C$1368,C251,$D$1:$D$1368,D251,$B$1:$B$1368,"&lt;="&amp;B251)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Iniciales'!$B:$B,D252)+SUMIFS($K$1:$K$1368,$C$1:$C$1368,C252,$D$1:$D$1368,D252,$B$1:$B$1368,"&lt;="&amp;B252)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Iniciales'!$B:$B,D253)+SUMIFS($K$1:$K$1368,$C$1:$C$1368,C253,$D$1:$D$1368,D253,$B$1:$B$1368,"&lt;="&amp;B253)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Iniciales'!$B:$B,D254)+SUMIFS($K$1:$K$1368,$C$1:$C$1368,C254,$D$1:$D$1368,D254,$B$1:$B$1368,"&lt;="&amp;B254)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Iniciales'!$B:$B,D255)+SUMIFS($K$1:$K$1368,$C$1:$C$1368,C255,$D$1:$D$1368,D255,$B$1:$B$1368,"&lt;="&amp;B255)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Iniciales'!$B:$B,D256)+SUMIFS($K$1:$K$1368,$C$1:$C$1368,C256,$D$1:$D$1368,D256,$B$1:$B$1368,"&lt;="&amp;B256)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Iniciales'!$B:$B,D257)+SUMIFS($K$1:$K$1368,$C$1:$C$1368,C257,$D$1:$D$1368,D257,$B$1:$B$1368,"&lt;="&amp;B257)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Iniciales'!$B:$B,D258)+SUMIFS($K$1:$K$1368,$C$1:$C$1368,C258,$D$1:$D$1368,D258,$B$1:$B$1368,"&lt;="&amp;B258)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Iniciales'!$B:$B,D259)+SUMIFS($K$1:$K$1368,$C$1:$C$1368,C259,$D$1:$D$1368,D259,$B$1:$B$1368,"&lt;="&amp;B259)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Iniciales'!$B:$B,D260)+SUMIFS($K$1:$K$1368,$C$1:$C$1368,C260,$D$1:$D$1368,D260,$B$1:$B$1368,"&lt;="&amp;B260)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Iniciales'!$B:$B,D261)+SUMIFS($K$1:$K$1368,$C$1:$C$1368,C261,$D$1:$D$1368,D261,$B$1:$B$1368,"&lt;="&amp;B261)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Iniciales'!$B:$B,D262)+SUMIFS($K$1:$K$1368,$C$1:$C$1368,C262,$D$1:$D$1368,D262,$B$1:$B$1368,"&lt;="&amp;B262)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Iniciales'!$B:$B,D263)+SUMIFS($K$1:$K$1368,$C$1:$C$1368,C263,$D$1:$D$1368,D263,$B$1:$B$1368,"&lt;="&amp;B263)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Iniciales'!$B:$B,D264)+SUMIFS($K$1:$K$1368,$C$1:$C$1368,C264,$D$1:$D$1368,D264,$B$1:$B$1368,"&lt;="&amp;B264)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Iniciales'!$B:$B,D265)+SUMIFS($K$1:$K$1368,$C$1:$C$1368,C265,$D$1:$D$1368,D265,$B$1:$B$1368,"&lt;="&amp;B265)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Iniciales'!$B:$B,D266)+SUMIFS($K$1:$K$1368,$C$1:$C$1368,C266,$D$1:$D$1368,D266,$B$1:$B$1368,"&lt;="&amp;B266)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Iniciales'!$B:$B,D267)+SUMIFS($K$1:$K$1368,$C$1:$C$1368,C267,$D$1:$D$1368,D267,$B$1:$B$1368,"&lt;="&amp;B267)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Iniciales'!$B:$B,D268)+SUMIFS($K$1:$K$1368,$C$1:$C$1368,C268,$D$1:$D$1368,D268,$B$1:$B$1368,"&lt;="&amp;B268)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Iniciales'!$B:$B,D269)+SUMIFS($K$1:$K$1368,$C$1:$C$1368,C269,$D$1:$D$1368,D269,$B$1:$B$1368,"&lt;="&amp;B269)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Iniciales'!$B:$B,D270)+SUMIFS($K$1:$K$1368,$C$1:$C$1368,C270,$D$1:$D$1368,D270,$B$1:$B$1368,"&lt;="&amp;B270)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Iniciales'!$B:$B,D271)+SUMIFS($K$1:$K$1368,$C$1:$C$1368,C271,$D$1:$D$1368,D271,$B$1:$B$1368,"&lt;="&amp;B271)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Iniciales'!$B:$B,D272)+SUMIFS($K$1:$K$1368,$C$1:$C$1368,C272,$D$1:$D$1368,D272,$B$1:$B$1368,"&lt;="&amp;B272)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Iniciales'!$B:$B,D273)+SUMIFS($K$1:$K$1368,$C$1:$C$1368,C273,$D$1:$D$1368,D273,$B$1:$B$1368,"&lt;="&amp;B273)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Iniciales'!$B:$B,D274)+SUMIFS($K$1:$K$1368,$C$1:$C$1368,C274,$D$1:$D$1368,D274,$B$1:$B$1368,"&lt;="&amp;B274)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Iniciales'!$B:$B,D275)+SUMIFS($K$1:$K$1368,$C$1:$C$1368,C275,$D$1:$D$1368,D275,$B$1:$B$1368,"&lt;="&amp;B275)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Iniciales'!$B:$B,D276)+SUMIFS($K$1:$K$1368,$C$1:$C$1368,C276,$D$1:$D$1368,D276,$B$1:$B$1368,"&lt;="&amp;B276)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Iniciales'!$B:$B,D277)+SUMIFS($K$1:$K$1368,$C$1:$C$1368,C277,$D$1:$D$1368,D277,$B$1:$B$1368,"&lt;="&amp;B277)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Iniciales'!$B:$B,D278)+SUMIFS($K$1:$K$1368,$C$1:$C$1368,C278,$D$1:$D$1368,D278,$B$1:$B$1368,"&lt;="&amp;B278)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Iniciales'!$B:$B,D279)+SUMIFS($K$1:$K$1368,$C$1:$C$1368,C279,$D$1:$D$1368,D279,$B$1:$B$1368,"&lt;="&amp;B279)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Iniciales'!$B:$B,D280)+SUMIFS($K$1:$K$1368,$C$1:$C$1368,C280,$D$1:$D$1368,D280,$B$1:$B$1368,"&lt;="&amp;B280)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Iniciales'!$B:$B,D281)+SUMIFS($K$1:$K$1368,$C$1:$C$1368,C281,$D$1:$D$1368,D281,$B$1:$B$1368,"&lt;="&amp;B281)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Iniciales'!$B:$B,D282)+SUMIFS($K$1:$K$1368,$C$1:$C$1368,C282,$D$1:$D$1368,D282,$B$1:$B$1368,"&lt;="&amp;B282)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Iniciales'!$B:$B,D283)+SUMIFS($K$1:$K$1368,$C$1:$C$1368,C283,$D$1:$D$1368,D283,$B$1:$B$1368,"&lt;="&amp;B283)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Iniciales'!$B:$B,D284)+SUMIFS($K$1:$K$1368,$C$1:$C$1368,C284,$D$1:$D$1368,D284,$B$1:$B$1368,"&lt;="&amp;B284)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Iniciales'!$B:$B,D285)+SUMIFS($K$1:$K$1368,$C$1:$C$1368,C285,$D$1:$D$1368,D285,$B$1:$B$1368,"&lt;="&amp;B285)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Iniciales'!$B:$B,D286)+SUMIFS($K$1:$K$1368,$C$1:$C$1368,C286,$D$1:$D$1368,D286,$B$1:$B$1368,"&lt;="&amp;B286)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Iniciales'!$B:$B,D287)+SUMIFS($K$1:$K$1368,$C$1:$C$1368,C287,$D$1:$D$1368,D287,$B$1:$B$1368,"&lt;="&amp;B287)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Iniciales'!$B:$B,D288)+SUMIFS($K$1:$K$1368,$C$1:$C$1368,C288,$D$1:$D$1368,D288,$B$1:$B$1368,"&lt;="&amp;B288)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Iniciales'!$B:$B,D289)+SUMIFS($K$1:$K$1368,$C$1:$C$1368,C289,$D$1:$D$1368,D289,$B$1:$B$1368,"&lt;="&amp;B289)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Iniciales'!$B:$B,D290)+SUMIFS($K$1:$K$1368,$C$1:$C$1368,C290,$D$1:$D$1368,D290,$B$1:$B$1368,"&lt;="&amp;B290)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Iniciales'!$B:$B,D291)+SUMIFS($K$1:$K$1368,$C$1:$C$1368,C291,$D$1:$D$1368,D291,$B$1:$B$1368,"&lt;="&amp;B291)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Iniciales'!$B:$B,D292)+SUMIFS($K$1:$K$1368,$C$1:$C$1368,C292,$D$1:$D$1368,D292,$B$1:$B$1368,"&lt;="&amp;B292)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Iniciales'!$B:$B,D293)+SUMIFS($K$1:$K$1368,$C$1:$C$1368,C293,$D$1:$D$1368,D293,$B$1:$B$1368,"&lt;="&amp;B293)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Iniciales'!$B:$B,D294)+SUMIFS($K$1:$K$1368,$C$1:$C$1368,C294,$D$1:$D$1368,D294,$B$1:$B$1368,"&lt;="&amp;B294)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Iniciales'!$B:$B,D295)+SUMIFS($K$1:$K$1368,$C$1:$C$1368,C295,$D$1:$D$1368,D295,$B$1:$B$1368,"&lt;="&amp;B295)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Iniciales'!$B:$B,D296)+SUMIFS($K$1:$K$1368,$C$1:$C$1368,C296,$D$1:$D$1368,D296,$B$1:$B$1368,"&lt;="&amp;B296)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Iniciales'!$B:$B,D297)+SUMIFS($K$1:$K$1368,$C$1:$C$1368,C297,$D$1:$D$1368,D297,$B$1:$B$1368,"&lt;="&amp;B297)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Iniciales'!$B:$B,D298)+SUMIFS($K$1:$K$1368,$C$1:$C$1368,C298,$D$1:$D$1368,D298,$B$1:$B$1368,"&lt;="&amp;B298)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Iniciales'!$B:$B,D299)+SUMIFS($K$1:$K$1368,$C$1:$C$1368,C299,$D$1:$D$1368,D299,$B$1:$B$1368,"&lt;="&amp;B299)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Iniciales'!$B:$B,D300)+SUMIFS($K$1:$K$1368,$C$1:$C$1368,C300,$D$1:$D$1368,D300,$B$1:$B$1368,"&lt;="&amp;B300)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Iniciales'!$B:$B,D301)+SUMIFS($K$1:$K$1368,$C$1:$C$1368,C301,$D$1:$D$1368,D301,$B$1:$B$1368,"&lt;="&amp;B301)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Iniciales'!$B:$B,D302)+SUMIFS($K$1:$K$1368,$C$1:$C$1368,C302,$D$1:$D$1368,D302,$B$1:$B$1368,"&lt;="&amp;B302)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Iniciales'!$B:$B,D303)+SUMIFS($K$1:$K$1368,$C$1:$C$1368,C303,$D$1:$D$1368,D303,$B$1:$B$1368,"&lt;="&amp;B303)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Iniciales'!$B:$B,D304)+SUMIFS($K$1:$K$1368,$C$1:$C$1368,C304,$D$1:$D$1368,D304,$B$1:$B$1368,"&lt;="&amp;B304)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Iniciales'!$B:$B,D305)+SUMIFS($K$1:$K$1368,$C$1:$C$1368,C305,$D$1:$D$1368,D305,$B$1:$B$1368,"&lt;="&amp;B305)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Iniciales'!$B:$B,D306)+SUMIFS($K$1:$K$1368,$C$1:$C$1368,C306,$D$1:$D$1368,D306,$B$1:$B$1368,"&lt;="&amp;B306)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Iniciales'!$B:$B,D307)+SUMIFS($K$1:$K$1368,$C$1:$C$1368,C307,$D$1:$D$1368,D307,$B$1:$B$1368,"&lt;="&amp;B307)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Iniciales'!$B:$B,D308)+SUMIFS($K$1:$K$1368,$C$1:$C$1368,C308,$D$1:$D$1368,D308,$B$1:$B$1368,"&lt;="&amp;B308)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Iniciales'!$B:$B,D309)+SUMIFS($K$1:$K$1368,$C$1:$C$1368,C309,$D$1:$D$1368,D309,$B$1:$B$1368,"&lt;="&amp;B309)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Iniciales'!$B:$B,D310)+SUMIFS($K$1:$K$1368,$C$1:$C$1368,C310,$D$1:$D$1368,D310,$B$1:$B$1368,"&lt;="&amp;B310)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Iniciales'!$B:$B,D311)+SUMIFS($K$1:$K$1368,$C$1:$C$1368,C311,$D$1:$D$1368,D311,$B$1:$B$1368,"&lt;="&amp;B311)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Iniciales'!$B:$B,D312)+SUMIFS($K$1:$K$1368,$C$1:$C$1368,C312,$D$1:$D$1368,D312,$B$1:$B$1368,"&lt;="&amp;B312)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Iniciales'!$B:$B,D313)+SUMIFS($K$1:$K$1368,$C$1:$C$1368,C313,$D$1:$D$1368,D313,$B$1:$B$1368,"&lt;="&amp;B313)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Iniciales'!$B:$B,D314)+SUMIFS($K$1:$K$1368,$C$1:$C$1368,C314,$D$1:$D$1368,D314,$B$1:$B$1368,"&lt;="&amp;B314)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Iniciales'!$B:$B,D315)+SUMIFS($K$1:$K$1368,$C$1:$C$1368,C315,$D$1:$D$1368,D315,$B$1:$B$1368,"&lt;="&amp;B315)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Iniciales'!$B:$B,D316)+SUMIFS($K$1:$K$1368,$C$1:$C$1368,C316,$D$1:$D$1368,D316,$B$1:$B$1368,"&lt;="&amp;B316)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Iniciales'!$B:$B,D317)+SUMIFS($K$1:$K$1368,$C$1:$C$1368,C317,$D$1:$D$1368,D317,$B$1:$B$1368,"&lt;="&amp;B317)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Iniciales'!$B:$B,D318)+SUMIFS($K$1:$K$1368,$C$1:$C$1368,C318,$D$1:$D$1368,D318,$B$1:$B$1368,"&lt;="&amp;B318)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Iniciales'!$B:$B,D319)+SUMIFS($K$1:$K$1368,$C$1:$C$1368,C319,$D$1:$D$1368,D319,$B$1:$B$1368,"&lt;="&amp;B319)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Iniciales'!$B:$B,D320)+SUMIFS($K$1:$K$1368,$C$1:$C$1368,C320,$D$1:$D$1368,D320,$B$1:$B$1368,"&lt;="&amp;B320)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Iniciales'!$B:$B,D321)+SUMIFS($K$1:$K$1368,$C$1:$C$1368,C321,$D$1:$D$1368,D321,$B$1:$B$1368,"&lt;="&amp;B321)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Iniciales'!$B:$B,D322)+SUMIFS($K$1:$K$1368,$C$1:$C$1368,C322,$D$1:$D$1368,D322,$B$1:$B$1368,"&lt;="&amp;B322)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Iniciales'!$B:$B,D323)+SUMIFS($K$1:$K$1368,$C$1:$C$1368,C323,$D$1:$D$1368,D323,$B$1:$B$1368,"&lt;="&amp;B323)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Iniciales'!$B:$B,D324)+SUMIFS($K$1:$K$1368,$C$1:$C$1368,C324,$D$1:$D$1368,D324,$B$1:$B$1368,"&lt;="&amp;B324)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Iniciales'!$B:$B,D325)+SUMIFS($K$1:$K$1368,$C$1:$C$1368,C325,$D$1:$D$1368,D325,$B$1:$B$1368,"&lt;="&amp;B325)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Iniciales'!$B:$B,D326)+SUMIFS($K$1:$K$1368,$C$1:$C$1368,C326,$D$1:$D$1368,D326,$B$1:$B$1368,"&lt;="&amp;B326)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Iniciales'!$B:$B,D327)+SUMIFS($K$1:$K$1368,$C$1:$C$1368,C327,$D$1:$D$1368,D327,$B$1:$B$1368,"&lt;="&amp;B327)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Iniciales'!$B:$B,D328)+SUMIFS($K$1:$K$1368,$C$1:$C$1368,C328,$D$1:$D$1368,D328,$B$1:$B$1368,"&lt;="&amp;B328)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Iniciales'!$B:$B,D329)+SUMIFS($K$1:$K$1368,$C$1:$C$1368,C329,$D$1:$D$1368,D329,$B$1:$B$1368,"&lt;="&amp;B329)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Iniciales'!$B:$B,D330)+SUMIFS($K$1:$K$1368,$C$1:$C$1368,C330,$D$1:$D$1368,D330,$B$1:$B$1368,"&lt;="&amp;B330)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Iniciales'!$B:$B,D331)+SUMIFS($K$1:$K$1368,$C$1:$C$1368,C331,$D$1:$D$1368,D331,$B$1:$B$1368,"&lt;="&amp;B331)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Iniciales'!$B:$B,D332)+SUMIFS($K$1:$K$1368,$C$1:$C$1368,C332,$D$1:$D$1368,D332,$B$1:$B$1368,"&lt;="&amp;B332)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Iniciales'!$B:$B,D333)+SUMIFS($K$1:$K$1368,$C$1:$C$1368,C333,$D$1:$D$1368,D333,$B$1:$B$1368,"&lt;="&amp;B333)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Iniciales'!$B:$B,D334)+SUMIFS($K$1:$K$1368,$C$1:$C$1368,C334,$D$1:$D$1368,D334,$B$1:$B$1368,"&lt;="&amp;B334)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Iniciales'!$B:$B,D335)+SUMIFS($K$1:$K$1368,$C$1:$C$1368,C335,$D$1:$D$1368,D335,$B$1:$B$1368,"&lt;="&amp;B335)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Iniciales'!$B:$B,D336)+SUMIFS($K$1:$K$1368,$C$1:$C$1368,C336,$D$1:$D$1368,D336,$B$1:$B$1368,"&lt;="&amp;B336)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Iniciales'!$B:$B,D337)+SUMIFS($K$1:$K$1368,$C$1:$C$1368,C337,$D$1:$D$1368,D337,$B$1:$B$1368,"&lt;="&amp;B337)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Iniciales'!$B:$B,D338)+SUMIFS($K$1:$K$1368,$C$1:$C$1368,C338,$D$1:$D$1368,D338,$B$1:$B$1368,"&lt;="&amp;B338)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Iniciales'!$B:$B,D339)+SUMIFS($K$1:$K$1368,$C$1:$C$1368,C339,$D$1:$D$1368,D339,$B$1:$B$1368,"&lt;="&amp;B339)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Iniciales'!$B:$B,D340)+SUMIFS($K$1:$K$1368,$C$1:$C$1368,C340,$D$1:$D$1368,D340,$B$1:$B$1368,"&lt;="&amp;B340)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Iniciales'!$B:$B,D341)+SUMIFS($K$1:$K$1368,$C$1:$C$1368,C341,$D$1:$D$1368,D341,$B$1:$B$1368,"&lt;="&amp;B341)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Iniciales'!$B:$B,D342)+SUMIFS($K$1:$K$1368,$C$1:$C$1368,C342,$D$1:$D$1368,D342,$B$1:$B$1368,"&lt;="&amp;B342)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Iniciales'!$B:$B,D343)+SUMIFS($K$1:$K$1368,$C$1:$C$1368,C343,$D$1:$D$1368,D343,$B$1:$B$1368,"&lt;="&amp;B343)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Iniciales'!$B:$B,D344)+SUMIFS($K$1:$K$1368,$C$1:$C$1368,C344,$D$1:$D$1368,D344,$B$1:$B$1368,"&lt;="&amp;B344)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Iniciales'!$B:$B,D345)+SUMIFS($K$1:$K$1368,$C$1:$C$1368,C345,$D$1:$D$1368,D345,$B$1:$B$1368,"&lt;="&amp;B345)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Iniciales'!$B:$B,D346)+SUMIFS($K$1:$K$1368,$C$1:$C$1368,C346,$D$1:$D$1368,D346,$B$1:$B$1368,"&lt;="&amp;B346)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Iniciales'!$B:$B,D347)+SUMIFS($K$1:$K$1368,$C$1:$C$1368,C347,$D$1:$D$1368,D347,$B$1:$B$1368,"&lt;="&amp;B347)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Iniciales'!$B:$B,D348)+SUMIFS($K$1:$K$1368,$C$1:$C$1368,C348,$D$1:$D$1368,D348,$B$1:$B$1368,"&lt;="&amp;B348)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Iniciales'!$B:$B,D349)+SUMIFS($K$1:$K$1368,$C$1:$C$1368,C349,$D$1:$D$1368,D349,$B$1:$B$1368,"&lt;="&amp;B349)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Iniciales'!$B:$B,D350)+SUMIFS($K$1:$K$1368,$C$1:$C$1368,C350,$D$1:$D$1368,D350,$B$1:$B$1368,"&lt;="&amp;B350)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Iniciales'!$B:$B,D351)+SUMIFS($K$1:$K$1368,$C$1:$C$1368,C351,$D$1:$D$1368,D351,$B$1:$B$1368,"&lt;="&amp;B351)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Iniciales'!$B:$B,D352)+SUMIFS($K$1:$K$1368,$C$1:$C$1368,C352,$D$1:$D$1368,D352,$B$1:$B$1368,"&lt;="&amp;B352)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Iniciales'!$B:$B,D353)+SUMIFS($K$1:$K$1368,$C$1:$C$1368,C353,$D$1:$D$1368,D353,$B$1:$B$1368,"&lt;="&amp;B353)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Iniciales'!$B:$B,D354)+SUMIFS($K$1:$K$1368,$C$1:$C$1368,C354,$D$1:$D$1368,D354,$B$1:$B$1368,"&lt;="&amp;B354)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Iniciales'!$B:$B,D355)+SUMIFS($K$1:$K$1368,$C$1:$C$1368,C355,$D$1:$D$1368,D355,$B$1:$B$1368,"&lt;="&amp;B355)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Iniciales'!$B:$B,D356)+SUMIFS($K$1:$K$1368,$C$1:$C$1368,C356,$D$1:$D$1368,D356,$B$1:$B$1368,"&lt;="&amp;B356)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Iniciales'!$B:$B,D357)+SUMIFS($K$1:$K$1368,$C$1:$C$1368,C357,$D$1:$D$1368,D357,$B$1:$B$1368,"&lt;="&amp;B357)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Iniciales'!$B:$B,D358)+SUMIFS($K$1:$K$1368,$C$1:$C$1368,C358,$D$1:$D$1368,D358,$B$1:$B$1368,"&lt;="&amp;B358)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Iniciales'!$B:$B,D359)+SUMIFS($K$1:$K$1368,$C$1:$C$1368,C359,$D$1:$D$1368,D359,$B$1:$B$1368,"&lt;="&amp;B359)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Iniciales'!$B:$B,D360)+SUMIFS($K$1:$K$1368,$C$1:$C$1368,C360,$D$1:$D$1368,D360,$B$1:$B$1368,"&lt;="&amp;B360)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Iniciales'!$B:$B,D361)+SUMIFS($K$1:$K$1368,$C$1:$C$1368,C361,$D$1:$D$1368,D361,$B$1:$B$1368,"&lt;="&amp;B361)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Iniciales'!$B:$B,D362)+SUMIFS($K$1:$K$1368,$C$1:$C$1368,C362,$D$1:$D$1368,D362,$B$1:$B$1368,"&lt;="&amp;B362)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Iniciales'!$B:$B,D363)+SUMIFS($K$1:$K$1368,$C$1:$C$1368,C363,$D$1:$D$1368,D363,$B$1:$B$1368,"&lt;="&amp;B363)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Iniciales'!$B:$B,D364)+SUMIFS($K$1:$K$1368,$C$1:$C$1368,C364,$D$1:$D$1368,D364,$B$1:$B$1368,"&lt;="&amp;B364)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Iniciales'!$B:$B,D365)+SUMIFS($K$1:$K$1368,$C$1:$C$1368,C365,$D$1:$D$1368,D365,$B$1:$B$1368,"&lt;="&amp;B365)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Iniciales'!$B:$B,D366)+SUMIFS($K$1:$K$1368,$C$1:$C$1368,C366,$D$1:$D$1368,D366,$B$1:$B$1368,"&lt;="&amp;B366)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Iniciales'!$B:$B,D367)+SUMIFS($K$1:$K$1368,$C$1:$C$1368,C367,$D$1:$D$1368,D367,$B$1:$B$1368,"&lt;="&amp;B367)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Iniciales'!$B:$B,D368)+SUMIFS($K$1:$K$1368,$C$1:$C$1368,C368,$D$1:$D$1368,D368,$B$1:$B$1368,"&lt;="&amp;B368)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Iniciales'!$B:$B,D369)+SUMIFS($K$1:$K$1368,$C$1:$C$1368,C369,$D$1:$D$1368,D369,$B$1:$B$1368,"&lt;="&amp;B369)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Iniciales'!$B:$B,D370)+SUMIFS($K$1:$K$1368,$C$1:$C$1368,C370,$D$1:$D$1368,D370,$B$1:$B$1368,"&lt;="&amp;B370)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Iniciales'!$B:$B,D371)+SUMIFS($K$1:$K$1368,$C$1:$C$1368,C371,$D$1:$D$1368,D371,$B$1:$B$1368,"&lt;="&amp;B371)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Iniciales'!$B:$B,D372)+SUMIFS($K$1:$K$1368,$C$1:$C$1368,C372,$D$1:$D$1368,D372,$B$1:$B$1368,"&lt;="&amp;B372)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Iniciales'!$B:$B,D373)+SUMIFS($K$1:$K$1368,$C$1:$C$1368,C373,$D$1:$D$1368,D373,$B$1:$B$1368,"&lt;="&amp;B373)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Iniciales'!$B:$B,D374)+SUMIFS($K$1:$K$1368,$C$1:$C$1368,C374,$D$1:$D$1368,D374,$B$1:$B$1368,"&lt;="&amp;B374)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Iniciales'!$B:$B,D375)+SUMIFS($K$1:$K$1368,$C$1:$C$1368,C375,$D$1:$D$1368,D375,$B$1:$B$1368,"&lt;="&amp;B375)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Iniciales'!$B:$B,D376)+SUMIFS($K$1:$K$1368,$C$1:$C$1368,C376,$D$1:$D$1368,D376,$B$1:$B$1368,"&lt;="&amp;B376)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Iniciales'!$B:$B,D377)+SUMIFS($K$1:$K$1368,$C$1:$C$1368,C377,$D$1:$D$1368,D377,$B$1:$B$1368,"&lt;="&amp;B377)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Iniciales'!$B:$B,D378)+SUMIFS($K$1:$K$1368,$C$1:$C$1368,C378,$D$1:$D$1368,D378,$B$1:$B$1368,"&lt;="&amp;B378)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Iniciales'!$B:$B,D379)+SUMIFS($K$1:$K$1368,$C$1:$C$1368,C379,$D$1:$D$1368,D379,$B$1:$B$1368,"&lt;="&amp;B379)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Iniciales'!$B:$B,D380)+SUMIFS($K$1:$K$1368,$C$1:$C$1368,C380,$D$1:$D$1368,D380,$B$1:$B$1368,"&lt;="&amp;B380)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Iniciales'!$B:$B,D381)+SUMIFS($K$1:$K$1368,$C$1:$C$1368,C381,$D$1:$D$1368,D381,$B$1:$B$1368,"&lt;="&amp;B381)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Iniciales'!$B:$B,D382)+SUMIFS($K$1:$K$1368,$C$1:$C$1368,C382,$D$1:$D$1368,D382,$B$1:$B$1368,"&lt;="&amp;B382)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Iniciales'!$B:$B,D383)+SUMIFS($K$1:$K$1368,$C$1:$C$1368,C383,$D$1:$D$1368,D383,$B$1:$B$1368,"&lt;="&amp;B383)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Iniciales'!$B:$B,D384)+SUMIFS($K$1:$K$1368,$C$1:$C$1368,C384,$D$1:$D$1368,D384,$B$1:$B$1368,"&lt;="&amp;B384)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Iniciales'!$B:$B,D385)+SUMIFS($K$1:$K$1368,$C$1:$C$1368,C385,$D$1:$D$1368,D385,$B$1:$B$1368,"&lt;="&amp;B385)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Iniciales'!$B:$B,D386)+SUMIFS($K$1:$K$1368,$C$1:$C$1368,C386,$D$1:$D$1368,D386,$B$1:$B$1368,"&lt;="&amp;B386)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Iniciales'!$B:$B,D387)+SUMIFS($K$1:$K$1368,$C$1:$C$1368,C387,$D$1:$D$1368,D387,$B$1:$B$1368,"&lt;="&amp;B387)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Iniciales'!$B:$B,D388)+SUMIFS($K$1:$K$1368,$C$1:$C$1368,C388,$D$1:$D$1368,D388,$B$1:$B$1368,"&lt;="&amp;B388)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Iniciales'!$B:$B,D389)+SUMIFS($K$1:$K$1368,$C$1:$C$1368,C389,$D$1:$D$1368,D389,$B$1:$B$1368,"&lt;="&amp;B389)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Iniciales'!$B:$B,D390)+SUMIFS($K$1:$K$1368,$C$1:$C$1368,C390,$D$1:$D$1368,D390,$B$1:$B$1368,"&lt;="&amp;B390)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Iniciales'!$B:$B,D391)+SUMIFS($K$1:$K$1368,$C$1:$C$1368,C391,$D$1:$D$1368,D391,$B$1:$B$1368,"&lt;="&amp;B391)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Iniciales'!$B:$B,D392)+SUMIFS($K$1:$K$1368,$C$1:$C$1368,C392,$D$1:$D$1368,D392,$B$1:$B$1368,"&lt;="&amp;B392)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Iniciales'!$B:$B,D393)+SUMIFS($K$1:$K$1368,$C$1:$C$1368,C393,$D$1:$D$1368,D393,$B$1:$B$1368,"&lt;="&amp;B393)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Iniciales'!$B:$B,D394)+SUMIFS($K$1:$K$1368,$C$1:$C$1368,C394,$D$1:$D$1368,D394,$B$1:$B$1368,"&lt;="&amp;B394)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Iniciales'!$B:$B,D395)+SUMIFS($K$1:$K$1368,$C$1:$C$1368,C395,$D$1:$D$1368,D395,$B$1:$B$1368,"&lt;="&amp;B395)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Iniciales'!$B:$B,D396)+SUMIFS($K$1:$K$1368,$C$1:$C$1368,C396,$D$1:$D$1368,D396,$B$1:$B$1368,"&lt;="&amp;B396)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Iniciales'!$B:$B,D397)+SUMIFS($K$1:$K$1368,$C$1:$C$1368,C397,$D$1:$D$1368,D397,$B$1:$B$1368,"&lt;="&amp;B397)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Iniciales'!$B:$B,D398)+SUMIFS($K$1:$K$1368,$C$1:$C$1368,C398,$D$1:$D$1368,D398,$B$1:$B$1368,"&lt;="&amp;B398)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Iniciales'!$B:$B,D399)+SUMIFS($K$1:$K$1368,$C$1:$C$1368,C399,$D$1:$D$1368,D399,$B$1:$B$1368,"&lt;="&amp;B399)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Iniciales'!$B:$B,D400)+SUMIFS($K$1:$K$1368,$C$1:$C$1368,C400,$D$1:$D$1368,D400,$B$1:$B$1368,"&lt;="&amp;B400)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Iniciales'!$B:$B,D401)+SUMIFS($K$1:$K$1368,$C$1:$C$1368,C401,$D$1:$D$1368,D401,$B$1:$B$1368,"&lt;="&amp;B401)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Iniciales'!$B:$B,D402)+SUMIFS($K$1:$K$1368,$C$1:$C$1368,C402,$D$1:$D$1368,D402,$B$1:$B$1368,"&lt;="&amp;B402)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Iniciales'!$B:$B,D403)+SUMIFS($K$1:$K$1368,$C$1:$C$1368,C403,$D$1:$D$1368,D403,$B$1:$B$1368,"&lt;="&amp;B403)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Iniciales'!$B:$B,D404)+SUMIFS($K$1:$K$1368,$C$1:$C$1368,C404,$D$1:$D$1368,D404,$B$1:$B$1368,"&lt;="&amp;B404)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Iniciales'!$B:$B,D405)+SUMIFS($K$1:$K$1368,$C$1:$C$1368,C405,$D$1:$D$1368,D405,$B$1:$B$1368,"&lt;="&amp;B405)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Iniciales'!$B:$B,D406)+SUMIFS($K$1:$K$1368,$C$1:$C$1368,C406,$D$1:$D$1368,D406,$B$1:$B$1368,"&lt;="&amp;B406)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Iniciales'!$B:$B,D407)+SUMIFS($K$1:$K$1368,$C$1:$C$1368,C407,$D$1:$D$1368,D407,$B$1:$B$1368,"&lt;="&amp;B407)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Iniciales'!$B:$B,D408)+SUMIFS($K$1:$K$1368,$C$1:$C$1368,C408,$D$1:$D$1368,D408,$B$1:$B$1368,"&lt;="&amp;B408)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Iniciales'!$B:$B,D409)+SUMIFS($K$1:$K$1368,$C$1:$C$1368,C409,$D$1:$D$1368,D409,$B$1:$B$1368,"&lt;="&amp;B409)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Iniciales'!$B:$B,D410)+SUMIFS($K$1:$K$1368,$C$1:$C$1368,C410,$D$1:$D$1368,D410,$B$1:$B$1368,"&lt;="&amp;B410)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Iniciales'!$B:$B,D411)+SUMIFS($K$1:$K$1368,$C$1:$C$1368,C411,$D$1:$D$1368,D411,$B$1:$B$1368,"&lt;="&amp;B411)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Iniciales'!$B:$B,D412)+SUMIFS($K$1:$K$1368,$C$1:$C$1368,C412,$D$1:$D$1368,D412,$B$1:$B$1368,"&lt;="&amp;B412)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Iniciales'!$B:$B,D413)+SUMIFS($K$1:$K$1368,$C$1:$C$1368,C413,$D$1:$D$1368,D413,$B$1:$B$1368,"&lt;="&amp;B413)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Iniciales'!$B:$B,D414)+SUMIFS($K$1:$K$1368,$C$1:$C$1368,C414,$D$1:$D$1368,D414,$B$1:$B$1368,"&lt;="&amp;B414)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Iniciales'!$B:$B,D415)+SUMIFS($K$1:$K$1368,$C$1:$C$1368,C415,$D$1:$D$1368,D415,$B$1:$B$1368,"&lt;="&amp;B415)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Iniciales'!$B:$B,D416)+SUMIFS($K$1:$K$1368,$C$1:$C$1368,C416,$D$1:$D$1368,D416,$B$1:$B$1368,"&lt;="&amp;B416)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Iniciales'!$B:$B,D417)+SUMIFS($K$1:$K$1368,$C$1:$C$1368,C417,$D$1:$D$1368,D417,$B$1:$B$1368,"&lt;="&amp;B417)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Iniciales'!$B:$B,D418)+SUMIFS($K$1:$K$1368,$C$1:$C$1368,C418,$D$1:$D$1368,D418,$B$1:$B$1368,"&lt;="&amp;B418)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Iniciales'!$B:$B,D419)+SUMIFS($K$1:$K$1368,$C$1:$C$1368,C419,$D$1:$D$1368,D419,$B$1:$B$1368,"&lt;="&amp;B419)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Iniciales'!$B:$B,D420)+SUMIFS($K$1:$K$1368,$C$1:$C$1368,C420,$D$1:$D$1368,D420,$B$1:$B$1368,"&lt;="&amp;B420)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Iniciales'!$B:$B,D421)+SUMIFS($K$1:$K$1368,$C$1:$C$1368,C421,$D$1:$D$1368,D421,$B$1:$B$1368,"&lt;="&amp;B421)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Iniciales'!$B:$B,D422)+SUMIFS($K$1:$K$1368,$C$1:$C$1368,C422,$D$1:$D$1368,D422,$B$1:$B$1368,"&lt;="&amp;B422)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Iniciales'!$B:$B,D423)+SUMIFS($K$1:$K$1368,$C$1:$C$1368,C423,$D$1:$D$1368,D423,$B$1:$B$1368,"&lt;="&amp;B423)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Iniciales'!$B:$B,D424)+SUMIFS($K$1:$K$1368,$C$1:$C$1368,C424,$D$1:$D$1368,D424,$B$1:$B$1368,"&lt;="&amp;B424)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Iniciales'!$B:$B,D425)+SUMIFS($K$1:$K$1368,$C$1:$C$1368,C425,$D$1:$D$1368,D425,$B$1:$B$1368,"&lt;="&amp;B425)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Iniciales'!$B:$B,D426)+SUMIFS($K$1:$K$1368,$C$1:$C$1368,C426,$D$1:$D$1368,D426,$B$1:$B$1368,"&lt;="&amp;B426)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Iniciales'!$B:$B,D427)+SUMIFS($K$1:$K$1368,$C$1:$C$1368,C427,$D$1:$D$1368,D427,$B$1:$B$1368,"&lt;="&amp;B427)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Iniciales'!$B:$B,D428)+SUMIFS($K$1:$K$1368,$C$1:$C$1368,C428,$D$1:$D$1368,D428,$B$1:$B$1368,"&lt;="&amp;B428)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Iniciales'!$B:$B,D429)+SUMIFS($K$1:$K$1368,$C$1:$C$1368,C429,$D$1:$D$1368,D429,$B$1:$B$1368,"&lt;="&amp;B429)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Iniciales'!$B:$B,D430)+SUMIFS($K$1:$K$1368,$C$1:$C$1368,C430,$D$1:$D$1368,D430,$B$1:$B$1368,"&lt;="&amp;B430)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Iniciales'!$B:$B,D431)+SUMIFS($K$1:$K$1368,$C$1:$C$1368,C431,$D$1:$D$1368,D431,$B$1:$B$1368,"&lt;="&amp;B431)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Iniciales'!$B:$B,D432)+SUMIFS($K$1:$K$1368,$C$1:$C$1368,C432,$D$1:$D$1368,D432,$B$1:$B$1368,"&lt;="&amp;B432)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Iniciales'!$B:$B,D433)+SUMIFS($K$1:$K$1368,$C$1:$C$1368,C433,$D$1:$D$1368,D433,$B$1:$B$1368,"&lt;="&amp;B433)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Iniciales'!$B:$B,D434)+SUMIFS($K$1:$K$1368,$C$1:$C$1368,C434,$D$1:$D$1368,D434,$B$1:$B$1368,"&lt;="&amp;B434)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Iniciales'!$B:$B,D435)+SUMIFS($K$1:$K$1368,$C$1:$C$1368,C435,$D$1:$D$1368,D435,$B$1:$B$1368,"&lt;="&amp;B435)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Iniciales'!$B:$B,D436)+SUMIFS($K$1:$K$1368,$C$1:$C$1368,C436,$D$1:$D$1368,D436,$B$1:$B$1368,"&lt;="&amp;B436)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Iniciales'!$B:$B,D437)+SUMIFS($K$1:$K$1368,$C$1:$C$1368,C437,$D$1:$D$1368,D437,$B$1:$B$1368,"&lt;="&amp;B437)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Iniciales'!$B:$B,D438)+SUMIFS($K$1:$K$1368,$C$1:$C$1368,C438,$D$1:$D$1368,D438,$B$1:$B$1368,"&lt;="&amp;B438)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Iniciales'!$B:$B,D439)+SUMIFS($K$1:$K$1368,$C$1:$C$1368,C439,$D$1:$D$1368,D439,$B$1:$B$1368,"&lt;="&amp;B439)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Iniciales'!$B:$B,D440)+SUMIFS($K$1:$K$1368,$C$1:$C$1368,C440,$D$1:$D$1368,D440,$B$1:$B$1368,"&lt;="&amp;B440)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Iniciales'!$B:$B,D441)+SUMIFS($K$1:$K$1368,$C$1:$C$1368,C441,$D$1:$D$1368,D441,$B$1:$B$1368,"&lt;="&amp;B441)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Iniciales'!$B:$B,D442)+SUMIFS($K$1:$K$1368,$C$1:$C$1368,C442,$D$1:$D$1368,D442,$B$1:$B$1368,"&lt;="&amp;B442)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Iniciales'!$B:$B,D443)+SUMIFS($K$1:$K$1368,$C$1:$C$1368,C443,$D$1:$D$1368,D443,$B$1:$B$1368,"&lt;="&amp;B443)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Iniciales'!$B:$B,D444)+SUMIFS($K$1:$K$1368,$C$1:$C$1368,C444,$D$1:$D$1368,D444,$B$1:$B$1368,"&lt;="&amp;B444)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Iniciales'!$B:$B,D445)+SUMIFS($K$1:$K$1368,$C$1:$C$1368,C445,$D$1:$D$1368,D445,$B$1:$B$1368,"&lt;="&amp;B445)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Iniciales'!$B:$B,D446)+SUMIFS($K$1:$K$1368,$C$1:$C$1368,C446,$D$1:$D$1368,D446,$B$1:$B$1368,"&lt;="&amp;B446)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Iniciales'!$B:$B,D447)+SUMIFS($K$1:$K$1368,$C$1:$C$1368,C447,$D$1:$D$1368,D447,$B$1:$B$1368,"&lt;="&amp;B447)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Iniciales'!$B:$B,D448)+SUMIFS($K$1:$K$1368,$C$1:$C$1368,C448,$D$1:$D$1368,D448,$B$1:$B$1368,"&lt;="&amp;B448)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Iniciales'!$B:$B,D449)+SUMIFS($K$1:$K$1368,$C$1:$C$1368,C449,$D$1:$D$1368,D449,$B$1:$B$1368,"&lt;="&amp;B449)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Iniciales'!$B:$B,D450)+SUMIFS($K$1:$K$1368,$C$1:$C$1368,C450,$D$1:$D$1368,D450,$B$1:$B$1368,"&lt;="&amp;B450)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Iniciales'!$B:$B,D451)+SUMIFS($K$1:$K$1368,$C$1:$C$1368,C451,$D$1:$D$1368,D451,$B$1:$B$1368,"&lt;="&amp;B451)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Iniciales'!$B:$B,D452)+SUMIFS($K$1:$K$1368,$C$1:$C$1368,C452,$D$1:$D$1368,D452,$B$1:$B$1368,"&lt;="&amp;B452)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Iniciales'!$B:$B,D453)+SUMIFS($K$1:$K$1368,$C$1:$C$1368,C453,$D$1:$D$1368,D453,$B$1:$B$1368,"&lt;="&amp;B453)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Iniciales'!$B:$B,D454)+SUMIFS($K$1:$K$1368,$C$1:$C$1368,C454,$D$1:$D$1368,D454,$B$1:$B$1368,"&lt;="&amp;B454)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Iniciales'!$B:$B,D455)+SUMIFS($K$1:$K$1368,$C$1:$C$1368,C455,$D$1:$D$1368,D455,$B$1:$B$1368,"&lt;="&amp;B455)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Iniciales'!$B:$B,D456)+SUMIFS($K$1:$K$1368,$C$1:$C$1368,C456,$D$1:$D$1368,D456,$B$1:$B$1368,"&lt;="&amp;B456)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Iniciales'!$B:$B,D457)+SUMIFS($K$1:$K$1368,$C$1:$C$1368,C457,$D$1:$D$1368,D457,$B$1:$B$1368,"&lt;="&amp;B457)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Iniciales'!$B:$B,D458)+SUMIFS($K$1:$K$1368,$C$1:$C$1368,C458,$D$1:$D$1368,D458,$B$1:$B$1368,"&lt;="&amp;B458)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Iniciales'!$B:$B,D459)+SUMIFS($K$1:$K$1368,$C$1:$C$1368,C459,$D$1:$D$1368,D459,$B$1:$B$1368,"&lt;="&amp;B459)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Iniciales'!$B:$B,D460)+SUMIFS($K$1:$K$1368,$C$1:$C$1368,C460,$D$1:$D$1368,D460,$B$1:$B$1368,"&lt;="&amp;B460)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Iniciales'!$B:$B,D461)+SUMIFS($K$1:$K$1368,$C$1:$C$1368,C461,$D$1:$D$1368,D461,$B$1:$B$1368,"&lt;="&amp;B461)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Iniciales'!$B:$B,D462)+SUMIFS($K$1:$K$1368,$C$1:$C$1368,C462,$D$1:$D$1368,D462,$B$1:$B$1368,"&lt;="&amp;B462)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Iniciales'!$B:$B,D463)+SUMIFS($K$1:$K$1368,$C$1:$C$1368,C463,$D$1:$D$1368,D463,$B$1:$B$1368,"&lt;="&amp;B463)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Iniciales'!$B:$B,D464)+SUMIFS($K$1:$K$1368,$C$1:$C$1368,C464,$D$1:$D$1368,D464,$B$1:$B$1368,"&lt;="&amp;B464)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Iniciales'!$B:$B,D465)+SUMIFS($K$1:$K$1368,$C$1:$C$1368,C465,$D$1:$D$1368,D465,$B$1:$B$1368,"&lt;="&amp;B465)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Iniciales'!$B:$B,D466)+SUMIFS($K$1:$K$1368,$C$1:$C$1368,C466,$D$1:$D$1368,D466,$B$1:$B$1368,"&lt;="&amp;B466)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Iniciales'!$B:$B,D467)+SUMIFS($K$1:$K$1368,$C$1:$C$1368,C467,$D$1:$D$1368,D467,$B$1:$B$1368,"&lt;="&amp;B467)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Iniciales'!$B:$B,D468)+SUMIFS($K$1:$K$1368,$C$1:$C$1368,C468,$D$1:$D$1368,D468,$B$1:$B$1368,"&lt;="&amp;B468)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Iniciales'!$B:$B,D469)+SUMIFS($K$1:$K$1368,$C$1:$C$1368,C469,$D$1:$D$1368,D469,$B$1:$B$1368,"&lt;="&amp;B469)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Iniciales'!$B:$B,D470)+SUMIFS($K$1:$K$1368,$C$1:$C$1368,C470,$D$1:$D$1368,D470,$B$1:$B$1368,"&lt;="&amp;B470)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Iniciales'!$B:$B,D471)+SUMIFS($K$1:$K$1368,$C$1:$C$1368,C471,$D$1:$D$1368,D471,$B$1:$B$1368,"&lt;="&amp;B471)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Iniciales'!$B:$B,D472)+SUMIFS($K$1:$K$1368,$C$1:$C$1368,C472,$D$1:$D$1368,D472,$B$1:$B$1368,"&lt;="&amp;B472)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Iniciales'!$B:$B,D473)+SUMIFS($K$1:$K$1368,$C$1:$C$1368,C473,$D$1:$D$1368,D473,$B$1:$B$1368,"&lt;="&amp;B473)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Iniciales'!$B:$B,D474)+SUMIFS($K$1:$K$1368,$C$1:$C$1368,C474,$D$1:$D$1368,D474,$B$1:$B$1368,"&lt;="&amp;B474)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Iniciales'!$B:$B,D475)+SUMIFS($K$1:$K$1368,$C$1:$C$1368,C475,$D$1:$D$1368,D475,$B$1:$B$1368,"&lt;="&amp;B475)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Iniciales'!$B:$B,D476)+SUMIFS($K$1:$K$1368,$C$1:$C$1368,C476,$D$1:$D$1368,D476,$B$1:$B$1368,"&lt;="&amp;B476)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Iniciales'!$B:$B,D477)+SUMIFS($K$1:$K$1368,$C$1:$C$1368,C477,$D$1:$D$1368,D477,$B$1:$B$1368,"&lt;="&amp;B477)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Iniciales'!$B:$B,D478)+SUMIFS($K$1:$K$1368,$C$1:$C$1368,C478,$D$1:$D$1368,D478,$B$1:$B$1368,"&lt;="&amp;B478)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Iniciales'!$B:$B,D479)+SUMIFS($K$1:$K$1368,$C$1:$C$1368,C479,$D$1:$D$1368,D479,$B$1:$B$1368,"&lt;="&amp;B479)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Iniciales'!$B:$B,D480)+SUMIFS($K$1:$K$1368,$C$1:$C$1368,C480,$D$1:$D$1368,D480,$B$1:$B$1368,"&lt;="&amp;B480)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Iniciales'!$B:$B,D481)+SUMIFS($K$1:$K$1368,$C$1:$C$1368,C481,$D$1:$D$1368,D481,$B$1:$B$1368,"&lt;="&amp;B481)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Iniciales'!$B:$B,D482)+SUMIFS($K$1:$K$1368,$C$1:$C$1368,C482,$D$1:$D$1368,D482,$B$1:$B$1368,"&lt;="&amp;B482)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Iniciales'!$B:$B,D483)+SUMIFS($K$1:$K$1368,$C$1:$C$1368,C483,$D$1:$D$1368,D483,$B$1:$B$1368,"&lt;="&amp;B483)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Iniciales'!$B:$B,D484)+SUMIFS($K$1:$K$1368,$C$1:$C$1368,C484,$D$1:$D$1368,D484,$B$1:$B$1368,"&lt;="&amp;B484)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Iniciales'!$B:$B,D485)+SUMIFS($K$1:$K$1368,$C$1:$C$1368,C485,$D$1:$D$1368,D485,$B$1:$B$1368,"&lt;="&amp;B485)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Iniciales'!$B:$B,D486)+SUMIFS($K$1:$K$1368,$C$1:$C$1368,C486,$D$1:$D$1368,D486,$B$1:$B$1368,"&lt;="&amp;B486)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Iniciales'!$B:$B,D487)+SUMIFS($K$1:$K$1368,$C$1:$C$1368,C487,$D$1:$D$1368,D487,$B$1:$B$1368,"&lt;="&amp;B487)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Iniciales'!$B:$B,D488)+SUMIFS($K$1:$K$1368,$C$1:$C$1368,C488,$D$1:$D$1368,D488,$B$1:$B$1368,"&lt;="&amp;B488)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Iniciales'!$B:$B,D489)+SUMIFS($K$1:$K$1368,$C$1:$C$1368,C489,$D$1:$D$1368,D489,$B$1:$B$1368,"&lt;="&amp;B489)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Iniciales'!$B:$B,D490)+SUMIFS($K$1:$K$1368,$C$1:$C$1368,C490,$D$1:$D$1368,D490,$B$1:$B$1368,"&lt;="&amp;B490)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Iniciales'!$B:$B,D491)+SUMIFS($K$1:$K$1368,$C$1:$C$1368,C491,$D$1:$D$1368,D491,$B$1:$B$1368,"&lt;="&amp;B491)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Iniciales'!$B:$B,D492)+SUMIFS($K$1:$K$1368,$C$1:$C$1368,C492,$D$1:$D$1368,D492,$B$1:$B$1368,"&lt;="&amp;B492)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Iniciales'!$B:$B,D493)+SUMIFS($K$1:$K$1368,$C$1:$C$1368,C493,$D$1:$D$1368,D493,$B$1:$B$1368,"&lt;="&amp;B493)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Iniciales'!$B:$B,D494)+SUMIFS($K$1:$K$1368,$C$1:$C$1368,C494,$D$1:$D$1368,D494,$B$1:$B$1368,"&lt;="&amp;B494)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Iniciales'!$B:$B,D495)+SUMIFS($K$1:$K$1368,$C$1:$C$1368,C495,$D$1:$D$1368,D495,$B$1:$B$1368,"&lt;="&amp;B495)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Iniciales'!$B:$B,D496)+SUMIFS($K$1:$K$1368,$C$1:$C$1368,C496,$D$1:$D$1368,D496,$B$1:$B$1368,"&lt;="&amp;B496)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Iniciales'!$B:$B,D497)+SUMIFS($K$1:$K$1368,$C$1:$C$1368,C497,$D$1:$D$1368,D497,$B$1:$B$1368,"&lt;="&amp;B497)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Iniciales'!$B:$B,D498)+SUMIFS($K$1:$K$1368,$C$1:$C$1368,C498,$D$1:$D$1368,D498,$B$1:$B$1368,"&lt;="&amp;B498)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Iniciales'!$B:$B,D499)+SUMIFS($K$1:$K$1368,$C$1:$C$1368,C499,$D$1:$D$1368,D499,$B$1:$B$1368,"&lt;="&amp;B499)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Iniciales'!$B:$B,D500)+SUMIFS($K$1:$K$1368,$C$1:$C$1368,C500,$D$1:$D$1368,D500,$B$1:$B$1368,"&lt;="&amp;B500)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Iniciales'!$B:$B,D501)+SUMIFS($K$1:$K$1368,$C$1:$C$1368,C501,$D$1:$D$1368,D501,$B$1:$B$1368,"&lt;="&amp;B501)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Iniciales'!$B:$B,D502)+SUMIFS($K$1:$K$1368,$C$1:$C$1368,C502,$D$1:$D$1368,D502,$B$1:$B$1368,"&lt;="&amp;B502)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Iniciales'!$B:$B,D503)+SUMIFS($K$1:$K$1368,$C$1:$C$1368,C503,$D$1:$D$1368,D503,$B$1:$B$1368,"&lt;="&amp;B503)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Iniciales'!$B:$B,D504)+SUMIFS($K$1:$K$1368,$C$1:$C$1368,C504,$D$1:$D$1368,D504,$B$1:$B$1368,"&lt;="&amp;B504)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Iniciales'!$B:$B,D505)+SUMIFS($K$1:$K$1368,$C$1:$C$1368,C505,$D$1:$D$1368,D505,$B$1:$B$1368,"&lt;="&amp;B505)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Iniciales'!$B:$B,D506)+SUMIFS($K$1:$K$1368,$C$1:$C$1368,C506,$D$1:$D$1368,D506,$B$1:$B$1368,"&lt;="&amp;B506)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Iniciales'!$B:$B,D507)+SUMIFS($K$1:$K$1368,$C$1:$C$1368,C507,$D$1:$D$1368,D507,$B$1:$B$1368,"&lt;="&amp;B507)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Iniciales'!$B:$B,D508)+SUMIFS($K$1:$K$1368,$C$1:$C$1368,C508,$D$1:$D$1368,D508,$B$1:$B$1368,"&lt;="&amp;B508)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Iniciales'!$B:$B,D509)+SUMIFS($K$1:$K$1368,$C$1:$C$1368,C509,$D$1:$D$1368,D509,$B$1:$B$1368,"&lt;="&amp;B509)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Iniciales'!$B:$B,D510)+SUMIFS($K$1:$K$1368,$C$1:$C$1368,C510,$D$1:$D$1368,D510,$B$1:$B$1368,"&lt;="&amp;B510)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Iniciales'!$B:$B,D511)+SUMIFS($K$1:$K$1368,$C$1:$C$1368,C511,$D$1:$D$1368,D511,$B$1:$B$1368,"&lt;="&amp;B511)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Iniciales'!$B:$B,D512)+SUMIFS($K$1:$K$1368,$C$1:$C$1368,C512,$D$1:$D$1368,D512,$B$1:$B$1368,"&lt;="&amp;B512)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Iniciales'!$B:$B,D513)+SUMIFS($K$1:$K$1368,$C$1:$C$1368,C513,$D$1:$D$1368,D513,$B$1:$B$1368,"&lt;="&amp;B513)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Iniciales'!$B:$B,D514)+SUMIFS($K$1:$K$1368,$C$1:$C$1368,C514,$D$1:$D$1368,D514,$B$1:$B$1368,"&lt;="&amp;B514)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Iniciales'!$B:$B,D515)+SUMIFS($K$1:$K$1368,$C$1:$C$1368,C515,$D$1:$D$1368,D515,$B$1:$B$1368,"&lt;="&amp;B515)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Iniciales'!$B:$B,D516)+SUMIFS($K$1:$K$1368,$C$1:$C$1368,C516,$D$1:$D$1368,D516,$B$1:$B$1368,"&lt;="&amp;B516)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Iniciales'!$B:$B,D517)+SUMIFS($K$1:$K$1368,$C$1:$C$1368,C517,$D$1:$D$1368,D517,$B$1:$B$1368,"&lt;="&amp;B517)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Iniciales'!$B:$B,D518)+SUMIFS($K$1:$K$1368,$C$1:$C$1368,C518,$D$1:$D$1368,D518,$B$1:$B$1368,"&lt;="&amp;B518)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Iniciales'!$B:$B,D519)+SUMIFS($K$1:$K$1368,$C$1:$C$1368,C519,$D$1:$D$1368,D519,$B$1:$B$1368,"&lt;="&amp;B519)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Iniciales'!$B:$B,D520)+SUMIFS($K$1:$K$1368,$C$1:$C$1368,C520,$D$1:$D$1368,D520,$B$1:$B$1368,"&lt;="&amp;B520)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Iniciales'!$B:$B,D521)+SUMIFS($K$1:$K$1368,$C$1:$C$1368,C521,$D$1:$D$1368,D521,$B$1:$B$1368,"&lt;="&amp;B521)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Iniciales'!$B:$B,D522)+SUMIFS($K$1:$K$1368,$C$1:$C$1368,C522,$D$1:$D$1368,D522,$B$1:$B$1368,"&lt;="&amp;B522)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Iniciales'!$B:$B,D523)+SUMIFS($K$1:$K$1368,$C$1:$C$1368,C523,$D$1:$D$1368,D523,$B$1:$B$1368,"&lt;="&amp;B523)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Iniciales'!$B:$B,D524)+SUMIFS($K$1:$K$1368,$C$1:$C$1368,C524,$D$1:$D$1368,D524,$B$1:$B$1368,"&lt;="&amp;B524)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Iniciales'!$B:$B,D525)+SUMIFS($K$1:$K$1368,$C$1:$C$1368,C525,$D$1:$D$1368,D525,$B$1:$B$1368,"&lt;="&amp;B525)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Iniciales'!$B:$B,D526)+SUMIFS($K$1:$K$1368,$C$1:$C$1368,C526,$D$1:$D$1368,D526,$B$1:$B$1368,"&lt;="&amp;B526)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Iniciales'!$B:$B,D527)+SUMIFS($K$1:$K$1368,$C$1:$C$1368,C527,$D$1:$D$1368,D527,$B$1:$B$1368,"&lt;="&amp;B527)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Iniciales'!$B:$B,D528)+SUMIFS($K$1:$K$1368,$C$1:$C$1368,C528,$D$1:$D$1368,D528,$B$1:$B$1368,"&lt;="&amp;B528)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Iniciales'!$B:$B,D529)+SUMIFS($K$1:$K$1368,$C$1:$C$1368,C529,$D$1:$D$1368,D529,$B$1:$B$1368,"&lt;="&amp;B529)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Iniciales'!$B:$B,D530)+SUMIFS($K$1:$K$1368,$C$1:$C$1368,C530,$D$1:$D$1368,D530,$B$1:$B$1368,"&lt;="&amp;B530)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Iniciales'!$B:$B,D531)+SUMIFS($K$1:$K$1368,$C$1:$C$1368,C531,$D$1:$D$1368,D531,$B$1:$B$1368,"&lt;="&amp;B531)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Iniciales'!$B:$B,D532)+SUMIFS($K$1:$K$1368,$C$1:$C$1368,C532,$D$1:$D$1368,D532,$B$1:$B$1368,"&lt;="&amp;B532)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Iniciales'!$B:$B,D533)+SUMIFS($K$1:$K$1368,$C$1:$C$1368,C533,$D$1:$D$1368,D533,$B$1:$B$1368,"&lt;="&amp;B533)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Iniciales'!$B:$B,D534)+SUMIFS($K$1:$K$1368,$C$1:$C$1368,C534,$D$1:$D$1368,D534,$B$1:$B$1368,"&lt;="&amp;B534)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Iniciales'!$B:$B,D535)+SUMIFS($K$1:$K$1368,$C$1:$C$1368,C535,$D$1:$D$1368,D535,$B$1:$B$1368,"&lt;="&amp;B535)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Iniciales'!$B:$B,D536)+SUMIFS($K$1:$K$1368,$C$1:$C$1368,C536,$D$1:$D$1368,D536,$B$1:$B$1368,"&lt;="&amp;B536)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Iniciales'!$B:$B,D537)+SUMIFS($K$1:$K$1368,$C$1:$C$1368,C537,$D$1:$D$1368,D537,$B$1:$B$1368,"&lt;="&amp;B537)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Iniciales'!$B:$B,D538)+SUMIFS($K$1:$K$1368,$C$1:$C$1368,C538,$D$1:$D$1368,D538,$B$1:$B$1368,"&lt;="&amp;B538)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Iniciales'!$B:$B,D539)+SUMIFS($K$1:$K$1368,$C$1:$C$1368,C539,$D$1:$D$1368,D539,$B$1:$B$1368,"&lt;="&amp;B539)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Iniciales'!$B:$B,D540)+SUMIFS($K$1:$K$1368,$C$1:$C$1368,C540,$D$1:$D$1368,D540,$B$1:$B$1368,"&lt;="&amp;B540)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Iniciales'!$B:$B,D541)+SUMIFS($K$1:$K$1368,$C$1:$C$1368,C541,$D$1:$D$1368,D541,$B$1:$B$1368,"&lt;="&amp;B541)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Iniciales'!$B:$B,D542)+SUMIFS($K$1:$K$1368,$C$1:$C$1368,C542,$D$1:$D$1368,D542,$B$1:$B$1368,"&lt;="&amp;B542)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Iniciales'!$B:$B,D543)+SUMIFS($K$1:$K$1368,$C$1:$C$1368,C543,$D$1:$D$1368,D543,$B$1:$B$1368,"&lt;="&amp;B543)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Iniciales'!$B:$B,D544)+SUMIFS($K$1:$K$1368,$C$1:$C$1368,C544,$D$1:$D$1368,D544,$B$1:$B$1368,"&lt;="&amp;B544)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Iniciales'!$B:$B,D545)+SUMIFS($K$1:$K$1368,$C$1:$C$1368,C545,$D$1:$D$1368,D545,$B$1:$B$1368,"&lt;="&amp;B545)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Iniciales'!$B:$B,D546)+SUMIFS($K$1:$K$1368,$C$1:$C$1368,C546,$D$1:$D$1368,D546,$B$1:$B$1368,"&lt;="&amp;B546)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Iniciales'!$B:$B,D547)+SUMIFS($K$1:$K$1368,$C$1:$C$1368,C547,$D$1:$D$1368,D547,$B$1:$B$1368,"&lt;="&amp;B547)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Iniciales'!$B:$B,D548)+SUMIFS($K$1:$K$1368,$C$1:$C$1368,C548,$D$1:$D$1368,D548,$B$1:$B$1368,"&lt;="&amp;B548)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Iniciales'!$B:$B,D549)+SUMIFS($K$1:$K$1368,$C$1:$C$1368,C549,$D$1:$D$1368,D549,$B$1:$B$1368,"&lt;="&amp;B549)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Iniciales'!$B:$B,D550)+SUMIFS($K$1:$K$1368,$C$1:$C$1368,C550,$D$1:$D$1368,D550,$B$1:$B$1368,"&lt;="&amp;B550)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Iniciales'!$B:$B,D551)+SUMIFS($K$1:$K$1368,$C$1:$C$1368,C551,$D$1:$D$1368,D551,$B$1:$B$1368,"&lt;="&amp;B551)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Iniciales'!$B:$B,D552)+SUMIFS($K$1:$K$1368,$C$1:$C$1368,C552,$D$1:$D$1368,D552,$B$1:$B$1368,"&lt;="&amp;B552)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Iniciales'!$B:$B,D553)+SUMIFS($K$1:$K$1368,$C$1:$C$1368,C553,$D$1:$D$1368,D553,$B$1:$B$1368,"&lt;="&amp;B553)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Iniciales'!$B:$B,D554)+SUMIFS($K$1:$K$1368,$C$1:$C$1368,C554,$D$1:$D$1368,D554,$B$1:$B$1368,"&lt;="&amp;B554)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Iniciales'!$B:$B,D555)+SUMIFS($K$1:$K$1368,$C$1:$C$1368,C555,$D$1:$D$1368,D555,$B$1:$B$1368,"&lt;="&amp;B555)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Iniciales'!$B:$B,D556)+SUMIFS($K$1:$K$1368,$C$1:$C$1368,C556,$D$1:$D$1368,D556,$B$1:$B$1368,"&lt;="&amp;B556)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Iniciales'!$B:$B,D557)+SUMIFS($K$1:$K$1368,$C$1:$C$1368,C557,$D$1:$D$1368,D557,$B$1:$B$1368,"&lt;="&amp;B557)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Iniciales'!$B:$B,D558)+SUMIFS($K$1:$K$1368,$C$1:$C$1368,C558,$D$1:$D$1368,D558,$B$1:$B$1368,"&lt;="&amp;B558)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Iniciales'!$B:$B,D559)+SUMIFS($K$1:$K$1368,$C$1:$C$1368,C559,$D$1:$D$1368,D559,$B$1:$B$1368,"&lt;="&amp;B559)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Iniciales'!$B:$B,D560)+SUMIFS($K$1:$K$1368,$C$1:$C$1368,C560,$D$1:$D$1368,D560,$B$1:$B$1368,"&lt;="&amp;B560)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Iniciales'!$B:$B,D561)+SUMIFS($K$1:$K$1368,$C$1:$C$1368,C561,$D$1:$D$1368,D561,$B$1:$B$1368,"&lt;="&amp;B561)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Iniciales'!$B:$B,D562)+SUMIFS($K$1:$K$1368,$C$1:$C$1368,C562,$D$1:$D$1368,D562,$B$1:$B$1368,"&lt;="&amp;B562)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Iniciales'!$B:$B,D563)+SUMIFS($K$1:$K$1368,$C$1:$C$1368,C563,$D$1:$D$1368,D563,$B$1:$B$1368,"&lt;="&amp;B563)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Iniciales'!$B:$B,D564)+SUMIFS($K$1:$K$1368,$C$1:$C$1368,C564,$D$1:$D$1368,D564,$B$1:$B$1368,"&lt;="&amp;B564)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Iniciales'!$B:$B,D565)+SUMIFS($K$1:$K$1368,$C$1:$C$1368,C565,$D$1:$D$1368,D565,$B$1:$B$1368,"&lt;="&amp;B565)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Iniciales'!$B:$B,D566)+SUMIFS($K$1:$K$1368,$C$1:$C$1368,C566,$D$1:$D$1368,D566,$B$1:$B$1368,"&lt;="&amp;B566)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Iniciales'!$B:$B,D567)+SUMIFS($K$1:$K$1368,$C$1:$C$1368,C567,$D$1:$D$1368,D567,$B$1:$B$1368,"&lt;="&amp;B567)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Iniciales'!$B:$B,D568)+SUMIFS($K$1:$K$1368,$C$1:$C$1368,C568,$D$1:$D$1368,D568,$B$1:$B$1368,"&lt;="&amp;B568)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Iniciales'!$B:$B,D569)+SUMIFS($K$1:$K$1368,$C$1:$C$1368,C569,$D$1:$D$1368,D569,$B$1:$B$1368,"&lt;="&amp;B569)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Iniciales'!$B:$B,D570)+SUMIFS($K$1:$K$1368,$C$1:$C$1368,C570,$D$1:$D$1368,D570,$B$1:$B$1368,"&lt;="&amp;B570)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Iniciales'!$B:$B,D571)+SUMIFS($K$1:$K$1368,$C$1:$C$1368,C571,$D$1:$D$1368,D571,$B$1:$B$1368,"&lt;="&amp;B571)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Iniciales'!$B:$B,D572)+SUMIFS($K$1:$K$1368,$C$1:$C$1368,C572,$D$1:$D$1368,D572,$B$1:$B$1368,"&lt;="&amp;B572)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Iniciales'!$B:$B,D573)+SUMIFS($K$1:$K$1368,$C$1:$C$1368,C573,$D$1:$D$1368,D573,$B$1:$B$1368,"&lt;="&amp;B573)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Iniciales'!$B:$B,D574)+SUMIFS($K$1:$K$1368,$C$1:$C$1368,C574,$D$1:$D$1368,D574,$B$1:$B$1368,"&lt;="&amp;B574)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Iniciales'!$B:$B,D575)+SUMIFS($K$1:$K$1368,$C$1:$C$1368,C575,$D$1:$D$1368,D575,$B$1:$B$1368,"&lt;="&amp;B575)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Iniciales'!$B:$B,D576)+SUMIFS($K$1:$K$1368,$C$1:$C$1368,C576,$D$1:$D$1368,D576,$B$1:$B$1368,"&lt;="&amp;B576)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Iniciales'!$B:$B,D577)+SUMIFS($K$1:$K$1368,$C$1:$C$1368,C577,$D$1:$D$1368,D577,$B$1:$B$1368,"&lt;="&amp;B577)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Iniciales'!$B:$B,D578)+SUMIFS($K$1:$K$1368,$C$1:$C$1368,C578,$D$1:$D$1368,D578,$B$1:$B$1368,"&lt;="&amp;B578)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Iniciales'!$B:$B,D579)+SUMIFS($K$1:$K$1368,$C$1:$C$1368,C579,$D$1:$D$1368,D579,$B$1:$B$1368,"&lt;="&amp;B579)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Iniciales'!$B:$B,D580)+SUMIFS($K$1:$K$1368,$C$1:$C$1368,C580,$D$1:$D$1368,D580,$B$1:$B$1368,"&lt;="&amp;B580)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Iniciales'!$B:$B,D581)+SUMIFS($K$1:$K$1368,$C$1:$C$1368,C581,$D$1:$D$1368,D581,$B$1:$B$1368,"&lt;="&amp;B581)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Iniciales'!$B:$B,D582)+SUMIFS($K$1:$K$1368,$C$1:$C$1368,C582,$D$1:$D$1368,D582,$B$1:$B$1368,"&lt;="&amp;B582)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Iniciales'!$B:$B,D583)+SUMIFS($K$1:$K$1368,$C$1:$C$1368,C583,$D$1:$D$1368,D583,$B$1:$B$1368,"&lt;="&amp;B583)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Iniciales'!$B:$B,D584)+SUMIFS($K$1:$K$1368,$C$1:$C$1368,C584,$D$1:$D$1368,D584,$B$1:$B$1368,"&lt;="&amp;B584)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Iniciales'!$B:$B,D585)+SUMIFS($K$1:$K$1368,$C$1:$C$1368,C585,$D$1:$D$1368,D585,$B$1:$B$1368,"&lt;="&amp;B585)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Iniciales'!$B:$B,D586)+SUMIFS($K$1:$K$1368,$C$1:$C$1368,C586,$D$1:$D$1368,D586,$B$1:$B$1368,"&lt;="&amp;B586)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Iniciales'!$B:$B,D587)+SUMIFS($K$1:$K$1368,$C$1:$C$1368,C587,$D$1:$D$1368,D587,$B$1:$B$1368,"&lt;="&amp;B587)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Iniciales'!$B:$B,D588)+SUMIFS($K$1:$K$1368,$C$1:$C$1368,C588,$D$1:$D$1368,D588,$B$1:$B$1368,"&lt;="&amp;B588)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Iniciales'!$B:$B,D589)+SUMIFS($K$1:$K$1368,$C$1:$C$1368,C589,$D$1:$D$1368,D589,$B$1:$B$1368,"&lt;="&amp;B589)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Iniciales'!$B:$B,D590)+SUMIFS($K$1:$K$1368,$C$1:$C$1368,C590,$D$1:$D$1368,D590,$B$1:$B$1368,"&lt;="&amp;B590)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Iniciales'!$B:$B,D591)+SUMIFS($K$1:$K$1368,$C$1:$C$1368,C591,$D$1:$D$1368,D591,$B$1:$B$1368,"&lt;="&amp;B591)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Iniciales'!$B:$B,D592)+SUMIFS($K$1:$K$1368,$C$1:$C$1368,C592,$D$1:$D$1368,D592,$B$1:$B$1368,"&lt;="&amp;B592)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Iniciales'!$B:$B,D593)+SUMIFS($K$1:$K$1368,$C$1:$C$1368,C593,$D$1:$D$1368,D593,$B$1:$B$1368,"&lt;="&amp;B593)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Iniciales'!$B:$B,D594)+SUMIFS($K$1:$K$1368,$C$1:$C$1368,C594,$D$1:$D$1368,D594,$B$1:$B$1368,"&lt;="&amp;B594)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Iniciales'!$B:$B,D595)+SUMIFS($K$1:$K$1368,$C$1:$C$1368,C595,$D$1:$D$1368,D595,$B$1:$B$1368,"&lt;="&amp;B595)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Iniciales'!$B:$B,D596)+SUMIFS($K$1:$K$1368,$C$1:$C$1368,C596,$D$1:$D$1368,D596,$B$1:$B$1368,"&lt;="&amp;B596)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Iniciales'!$B:$B,D597)+SUMIFS($K$1:$K$1368,$C$1:$C$1368,C597,$D$1:$D$1368,D597,$B$1:$B$1368,"&lt;="&amp;B597)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Iniciales'!$B:$B,D598)+SUMIFS($K$1:$K$1368,$C$1:$C$1368,C598,$D$1:$D$1368,D598,$B$1:$B$1368,"&lt;="&amp;B598)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Iniciales'!$B:$B,D599)+SUMIFS($K$1:$K$1368,$C$1:$C$1368,C599,$D$1:$D$1368,D599,$B$1:$B$1368,"&lt;="&amp;B599)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Iniciales'!$B:$B,D600)+SUMIFS($K$1:$K$1368,$C$1:$C$1368,C600,$D$1:$D$1368,D600,$B$1:$B$1368,"&lt;="&amp;B600)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Iniciales'!$B:$B,D601)+SUMIFS($K$1:$K$1368,$C$1:$C$1368,C601,$D$1:$D$1368,D601,$B$1:$B$1368,"&lt;="&amp;B601)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Iniciales'!$B:$B,D602)+SUMIFS($K$1:$K$1368,$C$1:$C$1368,C602,$D$1:$D$1368,D602,$B$1:$B$1368,"&lt;="&amp;B602)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Iniciales'!$B:$B,D603)+SUMIFS($K$1:$K$1368,$C$1:$C$1368,C603,$D$1:$D$1368,D603,$B$1:$B$1368,"&lt;="&amp;B603)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Iniciales'!$B:$B,D604)+SUMIFS($K$1:$K$1368,$C$1:$C$1368,C604,$D$1:$D$1368,D604,$B$1:$B$1368,"&lt;="&amp;B604)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Iniciales'!$B:$B,D605)+SUMIFS($K$1:$K$1368,$C$1:$C$1368,C605,$D$1:$D$1368,D605,$B$1:$B$1368,"&lt;="&amp;B605)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Iniciales'!$B:$B,D606)+SUMIFS($K$1:$K$1368,$C$1:$C$1368,C606,$D$1:$D$1368,D606,$B$1:$B$1368,"&lt;="&amp;B606)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Iniciales'!$B:$B,D607)+SUMIFS($K$1:$K$1368,$C$1:$C$1368,C607,$D$1:$D$1368,D607,$B$1:$B$1368,"&lt;="&amp;B607)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Iniciales'!$B:$B,D608)+SUMIFS($K$1:$K$1368,$C$1:$C$1368,C608,$D$1:$D$1368,D608,$B$1:$B$1368,"&lt;="&amp;B608)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Iniciales'!$B:$B,D609)+SUMIFS($K$1:$K$1368,$C$1:$C$1368,C609,$D$1:$D$1368,D609,$B$1:$B$1368,"&lt;="&amp;B609)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Iniciales'!$B:$B,D610)+SUMIFS($K$1:$K$1368,$C$1:$C$1368,C610,$D$1:$D$1368,D610,$B$1:$B$1368,"&lt;="&amp;B610)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Iniciales'!$B:$B,D611)+SUMIFS($K$1:$K$1368,$C$1:$C$1368,C611,$D$1:$D$1368,D611,$B$1:$B$1368,"&lt;="&amp;B611)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Iniciales'!$B:$B,D612)+SUMIFS($K$1:$K$1368,$C$1:$C$1368,C612,$D$1:$D$1368,D612,$B$1:$B$1368,"&lt;="&amp;B612)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Iniciales'!$B:$B,D613)+SUMIFS($K$1:$K$1368,$C$1:$C$1368,C613,$D$1:$D$1368,D613,$B$1:$B$1368,"&lt;="&amp;B613)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Iniciales'!$B:$B,D614)+SUMIFS($K$1:$K$1368,$C$1:$C$1368,C614,$D$1:$D$1368,D614,$B$1:$B$1368,"&lt;="&amp;B614)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Iniciales'!$B:$B,D615)+SUMIFS($K$1:$K$1368,$C$1:$C$1368,C615,$D$1:$D$1368,D615,$B$1:$B$1368,"&lt;="&amp;B615)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Iniciales'!$B:$B,D616)+SUMIFS($K$1:$K$1368,$C$1:$C$1368,C616,$D$1:$D$1368,D616,$B$1:$B$1368,"&lt;="&amp;B616)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Iniciales'!$B:$B,D617)+SUMIFS($K$1:$K$1368,$C$1:$C$1368,C617,$D$1:$D$1368,D617,$B$1:$B$1368,"&lt;="&amp;B617)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Iniciales'!$B:$B,D618)+SUMIFS($K$1:$K$1368,$C$1:$C$1368,C618,$D$1:$D$1368,D618,$B$1:$B$1368,"&lt;="&amp;B618)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Iniciales'!$B:$B,D619)+SUMIFS($K$1:$K$1368,$C$1:$C$1368,C619,$D$1:$D$1368,D619,$B$1:$B$1368,"&lt;="&amp;B619)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Iniciales'!$B:$B,D620)+SUMIFS($K$1:$K$1368,$C$1:$C$1368,C620,$D$1:$D$1368,D620,$B$1:$B$1368,"&lt;="&amp;B620)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Iniciales'!$B:$B,D621)+SUMIFS($K$1:$K$1368,$C$1:$C$1368,C621,$D$1:$D$1368,D621,$B$1:$B$1368,"&lt;="&amp;B621)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Iniciales'!$B:$B,D622)+SUMIFS($K$1:$K$1368,$C$1:$C$1368,C622,$D$1:$D$1368,D622,$B$1:$B$1368,"&lt;="&amp;B622)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Iniciales'!$B:$B,D623)+SUMIFS($K$1:$K$1368,$C$1:$C$1368,C623,$D$1:$D$1368,D623,$B$1:$B$1368,"&lt;="&amp;B623)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Iniciales'!$B:$B,D624)+SUMIFS($K$1:$K$1368,$C$1:$C$1368,C624,$D$1:$D$1368,D624,$B$1:$B$1368,"&lt;="&amp;B624)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Iniciales'!$B:$B,D625)+SUMIFS($K$1:$K$1368,$C$1:$C$1368,C625,$D$1:$D$1368,D625,$B$1:$B$1368,"&lt;="&amp;B625)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Iniciales'!$B:$B,D626)+SUMIFS($K$1:$K$1368,$C$1:$C$1368,C626,$D$1:$D$1368,D626,$B$1:$B$1368,"&lt;="&amp;B626)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Iniciales'!$B:$B,D627)+SUMIFS($K$1:$K$1368,$C$1:$C$1368,C627,$D$1:$D$1368,D627,$B$1:$B$1368,"&lt;="&amp;B627)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Iniciales'!$B:$B,D628)+SUMIFS($K$1:$K$1368,$C$1:$C$1368,C628,$D$1:$D$1368,D628,$B$1:$B$1368,"&lt;="&amp;B628)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Iniciales'!$B:$B,D629)+SUMIFS($K$1:$K$1368,$C$1:$C$1368,C629,$D$1:$D$1368,D629,$B$1:$B$1368,"&lt;="&amp;B629)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Iniciales'!$B:$B,D630)+SUMIFS($K$1:$K$1368,$C$1:$C$1368,C630,$D$1:$D$1368,D630,$B$1:$B$1368,"&lt;="&amp;B630)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Iniciales'!$B:$B,D631)+SUMIFS($K$1:$K$1368,$C$1:$C$1368,C631,$D$1:$D$1368,D631,$B$1:$B$1368,"&lt;="&amp;B631)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Iniciales'!$B:$B,D632)+SUMIFS($K$1:$K$1368,$C$1:$C$1368,C632,$D$1:$D$1368,D632,$B$1:$B$1368,"&lt;="&amp;B632)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Iniciales'!$B:$B,D633)+SUMIFS($K$1:$K$1368,$C$1:$C$1368,C633,$D$1:$D$1368,D633,$B$1:$B$1368,"&lt;="&amp;B633)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Iniciales'!$B:$B,D634)+SUMIFS($K$1:$K$1368,$C$1:$C$1368,C634,$D$1:$D$1368,D634,$B$1:$B$1368,"&lt;="&amp;B634)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Iniciales'!$B:$B,D635)+SUMIFS($K$1:$K$1368,$C$1:$C$1368,C635,$D$1:$D$1368,D635,$B$1:$B$1368,"&lt;="&amp;B635)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Iniciales'!$B:$B,D636)+SUMIFS($K$1:$K$1368,$C$1:$C$1368,C636,$D$1:$D$1368,D636,$B$1:$B$1368,"&lt;="&amp;B636)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Iniciales'!$B:$B,D637)+SUMIFS($K$1:$K$1368,$C$1:$C$1368,C637,$D$1:$D$1368,D637,$B$1:$B$1368,"&lt;="&amp;B637)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Iniciales'!$B:$B,D638)+SUMIFS($K$1:$K$1368,$C$1:$C$1368,C638,$D$1:$D$1368,D638,$B$1:$B$1368,"&lt;="&amp;B638)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Iniciales'!$B:$B,D639)+SUMIFS($K$1:$K$1368,$C$1:$C$1368,C639,$D$1:$D$1368,D639,$B$1:$B$1368,"&lt;="&amp;B639)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Iniciales'!$B:$B,D640)+SUMIFS($K$1:$K$1368,$C$1:$C$1368,C640,$D$1:$D$1368,D640,$B$1:$B$1368,"&lt;="&amp;B640)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Iniciales'!$B:$B,D641)+SUMIFS($K$1:$K$1368,$C$1:$C$1368,C641,$D$1:$D$1368,D641,$B$1:$B$1368,"&lt;="&amp;B641)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Iniciales'!$B:$B,D642)+SUMIFS($K$1:$K$1368,$C$1:$C$1368,C642,$D$1:$D$1368,D642,$B$1:$B$1368,"&lt;="&amp;B642)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Iniciales'!$B:$B,D643)+SUMIFS($K$1:$K$1368,$C$1:$C$1368,C643,$D$1:$D$1368,D643,$B$1:$B$1368,"&lt;="&amp;B643)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Iniciales'!$B:$B,D644)+SUMIFS($K$1:$K$1368,$C$1:$C$1368,C644,$D$1:$D$1368,D644,$B$1:$B$1368,"&lt;="&amp;B644)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Iniciales'!$B:$B,D645)+SUMIFS($K$1:$K$1368,$C$1:$C$1368,C645,$D$1:$D$1368,D645,$B$1:$B$1368,"&lt;="&amp;B645)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Iniciales'!$B:$B,D646)+SUMIFS($K$1:$K$1368,$C$1:$C$1368,C646,$D$1:$D$1368,D646,$B$1:$B$1368,"&lt;="&amp;B646)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Iniciales'!$B:$B,D647)+SUMIFS($K$1:$K$1368,$C$1:$C$1368,C647,$D$1:$D$1368,D647,$B$1:$B$1368,"&lt;="&amp;B647)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Iniciales'!$B:$B,D648)+SUMIFS($K$1:$K$1368,$C$1:$C$1368,C648,$D$1:$D$1368,D648,$B$1:$B$1368,"&lt;="&amp;B648)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Iniciales'!$B:$B,D649)+SUMIFS($K$1:$K$1368,$C$1:$C$1368,C649,$D$1:$D$1368,D649,$B$1:$B$1368,"&lt;="&amp;B649)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Iniciales'!$B:$B,D650)+SUMIFS($K$1:$K$1368,$C$1:$C$1368,C650,$D$1:$D$1368,D650,$B$1:$B$1368,"&lt;="&amp;B650)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Iniciales'!$B:$B,D651)+SUMIFS($K$1:$K$1368,$C$1:$C$1368,C651,$D$1:$D$1368,D651,$B$1:$B$1368,"&lt;="&amp;B651)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Iniciales'!$B:$B,D652)+SUMIFS($K$1:$K$1368,$C$1:$C$1368,C652,$D$1:$D$1368,D652,$B$1:$B$1368,"&lt;="&amp;B652)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Iniciales'!$B:$B,D653)+SUMIFS($K$1:$K$1368,$C$1:$C$1368,C653,$D$1:$D$1368,D653,$B$1:$B$1368,"&lt;="&amp;B653)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Iniciales'!$B:$B,D654)+SUMIFS($K$1:$K$1368,$C$1:$C$1368,C654,$D$1:$D$1368,D654,$B$1:$B$1368,"&lt;="&amp;B654)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Iniciales'!$B:$B,D655)+SUMIFS($K$1:$K$1368,$C$1:$C$1368,C655,$D$1:$D$1368,D655,$B$1:$B$1368,"&lt;="&amp;B655)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Iniciales'!$B:$B,D656)+SUMIFS($K$1:$K$1368,$C$1:$C$1368,C656,$D$1:$D$1368,D656,$B$1:$B$1368,"&lt;="&amp;B656)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Iniciales'!$B:$B,D657)+SUMIFS($K$1:$K$1368,$C$1:$C$1368,C657,$D$1:$D$1368,D657,$B$1:$B$1368,"&lt;="&amp;B657)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Iniciales'!$B:$B,D658)+SUMIFS($K$1:$K$1368,$C$1:$C$1368,C658,$D$1:$D$1368,D658,$B$1:$B$1368,"&lt;="&amp;B658)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Iniciales'!$B:$B,D659)+SUMIFS($K$1:$K$1368,$C$1:$C$1368,C659,$D$1:$D$1368,D659,$B$1:$B$1368,"&lt;="&amp;B659)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Iniciales'!$B:$B,D660)+SUMIFS($K$1:$K$1368,$C$1:$C$1368,C660,$D$1:$D$1368,D660,$B$1:$B$1368,"&lt;="&amp;B660)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Iniciales'!$B:$B,D661)+SUMIFS($K$1:$K$1368,$C$1:$C$1368,C661,$D$1:$D$1368,D661,$B$1:$B$1368,"&lt;="&amp;B661)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Iniciales'!$B:$B,D662)+SUMIFS($K$1:$K$1368,$C$1:$C$1368,C662,$D$1:$D$1368,D662,$B$1:$B$1368,"&lt;="&amp;B662)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Iniciales'!$B:$B,D663)+SUMIFS($K$1:$K$1368,$C$1:$C$1368,C663,$D$1:$D$1368,D663,$B$1:$B$1368,"&lt;="&amp;B663)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Iniciales'!$B:$B,D664)+SUMIFS($K$1:$K$1368,$C$1:$C$1368,C664,$D$1:$D$1368,D664,$B$1:$B$1368,"&lt;="&amp;B664)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Iniciales'!$B:$B,D665)+SUMIFS($K$1:$K$1368,$C$1:$C$1368,C665,$D$1:$D$1368,D665,$B$1:$B$1368,"&lt;="&amp;B665)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Iniciales'!$B:$B,D666)+SUMIFS($K$1:$K$1368,$C$1:$C$1368,C666,$D$1:$D$1368,D666,$B$1:$B$1368,"&lt;="&amp;B666)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Iniciales'!$B:$B,D667)+SUMIFS($K$1:$K$1368,$C$1:$C$1368,C667,$D$1:$D$1368,D667,$B$1:$B$1368,"&lt;="&amp;B667)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Iniciales'!$B:$B,D668)+SUMIFS($K$1:$K$1368,$C$1:$C$1368,C668,$D$1:$D$1368,D668,$B$1:$B$1368,"&lt;="&amp;B668)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Iniciales'!$B:$B,D669)+SUMIFS($K$1:$K$1368,$C$1:$C$1368,C669,$D$1:$D$1368,D669,$B$1:$B$1368,"&lt;="&amp;B669)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Iniciales'!$B:$B,D670)+SUMIFS($K$1:$K$1368,$C$1:$C$1368,C670,$D$1:$D$1368,D670,$B$1:$B$1368,"&lt;="&amp;B670)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Iniciales'!$B:$B,D671)+SUMIFS($K$1:$K$1368,$C$1:$C$1368,C671,$D$1:$D$1368,D671,$B$1:$B$1368,"&lt;="&amp;B671)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Iniciales'!$B:$B,D672)+SUMIFS($K$1:$K$1368,$C$1:$C$1368,C672,$D$1:$D$1368,D672,$B$1:$B$1368,"&lt;="&amp;B672)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Iniciales'!$B:$B,D673)+SUMIFS($K$1:$K$1368,$C$1:$C$1368,C673,$D$1:$D$1368,D673,$B$1:$B$1368,"&lt;="&amp;B673)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Iniciales'!$B:$B,D674)+SUMIFS($K$1:$K$1368,$C$1:$C$1368,C674,$D$1:$D$1368,D674,$B$1:$B$1368,"&lt;="&amp;B674)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Iniciales'!$B:$B,D675)+SUMIFS($K$1:$K$1368,$C$1:$C$1368,C675,$D$1:$D$1368,D675,$B$1:$B$1368,"&lt;="&amp;B675)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Iniciales'!$B:$B,D676)+SUMIFS($K$1:$K$1368,$C$1:$C$1368,C676,$D$1:$D$1368,D676,$B$1:$B$1368,"&lt;="&amp;B676)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Iniciales'!$B:$B,D677)+SUMIFS($K$1:$K$1368,$C$1:$C$1368,C677,$D$1:$D$1368,D677,$B$1:$B$1368,"&lt;="&amp;B677)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Iniciales'!$B:$B,D678)+SUMIFS($K$1:$K$1368,$C$1:$C$1368,C678,$D$1:$D$1368,D678,$B$1:$B$1368,"&lt;="&amp;B678)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Iniciales'!$B:$B,D679)+SUMIFS($K$1:$K$1368,$C$1:$C$1368,C679,$D$1:$D$1368,D679,$B$1:$B$1368,"&lt;="&amp;B679)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Iniciales'!$B:$B,D680)+SUMIFS($K$1:$K$1368,$C$1:$C$1368,C680,$D$1:$D$1368,D680,$B$1:$B$1368,"&lt;="&amp;B680)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Iniciales'!$B:$B,D681)+SUMIFS($K$1:$K$1368,$C$1:$C$1368,C681,$D$1:$D$1368,D681,$B$1:$B$1368,"&lt;="&amp;B681)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Iniciales'!$B:$B,D682)+SUMIFS($K$1:$K$1368,$C$1:$C$1368,C682,$D$1:$D$1368,D682,$B$1:$B$1368,"&lt;="&amp;B682)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Iniciales'!$B:$B,D683)+SUMIFS($K$1:$K$1368,$C$1:$C$1368,C683,$D$1:$D$1368,D683,$B$1:$B$1368,"&lt;="&amp;B683)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Iniciales'!$B:$B,D684)+SUMIFS($K$1:$K$1368,$C$1:$C$1368,C684,$D$1:$D$1368,D684,$B$1:$B$1368,"&lt;="&amp;B684)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Iniciales'!$B:$B,D685)+SUMIFS($K$1:$K$1368,$C$1:$C$1368,C685,$D$1:$D$1368,D685,$B$1:$B$1368,"&lt;="&amp;B685)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Iniciales'!$B:$B,D686)+SUMIFS($K$1:$K$1368,$C$1:$C$1368,C686,$D$1:$D$1368,D686,$B$1:$B$1368,"&lt;="&amp;B686)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Iniciales'!$B:$B,D687)+SUMIFS($K$1:$K$1368,$C$1:$C$1368,C687,$D$1:$D$1368,D687,$B$1:$B$1368,"&lt;="&amp;B687)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Iniciales'!$B:$B,D688)+SUMIFS($K$1:$K$1368,$C$1:$C$1368,C688,$D$1:$D$1368,D688,$B$1:$B$1368,"&lt;="&amp;B688)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Iniciales'!$B:$B,D689)+SUMIFS($K$1:$K$1368,$C$1:$C$1368,C689,$D$1:$D$1368,D689,$B$1:$B$1368,"&lt;="&amp;B689)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Iniciales'!$B:$B,D690)+SUMIFS($K$1:$K$1368,$C$1:$C$1368,C690,$D$1:$D$1368,D690,$B$1:$B$1368,"&lt;="&amp;B690)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Iniciales'!$B:$B,D691)+SUMIFS($K$1:$K$1368,$C$1:$C$1368,C691,$D$1:$D$1368,D691,$B$1:$B$1368,"&lt;="&amp;B691)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Iniciales'!$B:$B,D692)+SUMIFS($K$1:$K$1368,$C$1:$C$1368,C692,$D$1:$D$1368,D692,$B$1:$B$1368,"&lt;="&amp;B692)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Iniciales'!$B:$B,D693)+SUMIFS($K$1:$K$1368,$C$1:$C$1368,C693,$D$1:$D$1368,D693,$B$1:$B$1368,"&lt;="&amp;B693)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Iniciales'!$B:$B,D694)+SUMIFS($K$1:$K$1368,$C$1:$C$1368,C694,$D$1:$D$1368,D694,$B$1:$B$1368,"&lt;="&amp;B694)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Iniciales'!$B:$B,D695)+SUMIFS($K$1:$K$1368,$C$1:$C$1368,C695,$D$1:$D$1368,D695,$B$1:$B$1368,"&lt;="&amp;B695)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Iniciales'!$B:$B,D696)+SUMIFS($K$1:$K$1368,$C$1:$C$1368,C696,$D$1:$D$1368,D696,$B$1:$B$1368,"&lt;="&amp;B696)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Iniciales'!$B:$B,D697)+SUMIFS($K$1:$K$1368,$C$1:$C$1368,C697,$D$1:$D$1368,D697,$B$1:$B$1368,"&lt;="&amp;B697)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Iniciales'!$B:$B,D698)+SUMIFS($K$1:$K$1368,$C$1:$C$1368,C698,$D$1:$D$1368,D698,$B$1:$B$1368,"&lt;="&amp;B698)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Iniciales'!$B:$B,D699)+SUMIFS($K$1:$K$1368,$C$1:$C$1368,C699,$D$1:$D$1368,D699,$B$1:$B$1368,"&lt;="&amp;B699)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Iniciales'!$B:$B,D700)+SUMIFS($K$1:$K$1368,$C$1:$C$1368,C700,$D$1:$D$1368,D700,$B$1:$B$1368,"&lt;="&amp;B700)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Iniciales'!$B:$B,D701)+SUMIFS($K$1:$K$1368,$C$1:$C$1368,C701,$D$1:$D$1368,D701,$B$1:$B$1368,"&lt;="&amp;B701)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Iniciales'!$B:$B,D702)+SUMIFS($K$1:$K$1368,$C$1:$C$1368,C702,$D$1:$D$1368,D702,$B$1:$B$1368,"&lt;="&amp;B702)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Iniciales'!$B:$B,D703)+SUMIFS($K$1:$K$1368,$C$1:$C$1368,C703,$D$1:$D$1368,D703,$B$1:$B$1368,"&lt;="&amp;B703)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Iniciales'!$B:$B,D704)+SUMIFS($K$1:$K$1368,$C$1:$C$1368,C704,$D$1:$D$1368,D704,$B$1:$B$1368,"&lt;="&amp;B704)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Iniciales'!$B:$B,D705)+SUMIFS($K$1:$K$1368,$C$1:$C$1368,C705,$D$1:$D$1368,D705,$B$1:$B$1368,"&lt;="&amp;B705)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Iniciales'!$B:$B,D706)+SUMIFS($K$1:$K$1368,$C$1:$C$1368,C706,$D$1:$D$1368,D706,$B$1:$B$1368,"&lt;="&amp;B706)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Iniciales'!$B:$B,D707)+SUMIFS($K$1:$K$1368,$C$1:$C$1368,C707,$D$1:$D$1368,D707,$B$1:$B$1368,"&lt;="&amp;B707)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Iniciales'!$B:$B,D708)+SUMIFS($K$1:$K$1368,$C$1:$C$1368,C708,$D$1:$D$1368,D708,$B$1:$B$1368,"&lt;="&amp;B708)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Iniciales'!$B:$B,D709)+SUMIFS($K$1:$K$1368,$C$1:$C$1368,C709,$D$1:$D$1368,D709,$B$1:$B$1368,"&lt;="&amp;B709)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Iniciales'!$B:$B,D710)+SUMIFS($K$1:$K$1368,$C$1:$C$1368,C710,$D$1:$D$1368,D710,$B$1:$B$1368,"&lt;="&amp;B710)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Iniciales'!$B:$B,D711)+SUMIFS($K$1:$K$1368,$C$1:$C$1368,C711,$D$1:$D$1368,D711,$B$1:$B$1368,"&lt;="&amp;B711)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Iniciales'!$B:$B,D712)+SUMIFS($K$1:$K$1368,$C$1:$C$1368,C712,$D$1:$D$1368,D712,$B$1:$B$1368,"&lt;="&amp;B712)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Iniciales'!$B:$B,D713)+SUMIFS($K$1:$K$1368,$C$1:$C$1368,C713,$D$1:$D$1368,D713,$B$1:$B$1368,"&lt;="&amp;B713)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Iniciales'!$B:$B,D714)+SUMIFS($K$1:$K$1368,$C$1:$C$1368,C714,$D$1:$D$1368,D714,$B$1:$B$1368,"&lt;="&amp;B714)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Iniciales'!$B:$B,D715)+SUMIFS($K$1:$K$1368,$C$1:$C$1368,C715,$D$1:$D$1368,D715,$B$1:$B$1368,"&lt;="&amp;B715)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Iniciales'!$B:$B,D716)+SUMIFS($K$1:$K$1368,$C$1:$C$1368,C716,$D$1:$D$1368,D716,$B$1:$B$1368,"&lt;="&amp;B716)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Iniciales'!$B:$B,D717)+SUMIFS($K$1:$K$1368,$C$1:$C$1368,C717,$D$1:$D$1368,D717,$B$1:$B$1368,"&lt;="&amp;B717)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Iniciales'!$B:$B,D718)+SUMIFS($K$1:$K$1368,$C$1:$C$1368,C718,$D$1:$D$1368,D718,$B$1:$B$1368,"&lt;="&amp;B718)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Iniciales'!$B:$B,D719)+SUMIFS($K$1:$K$1368,$C$1:$C$1368,C719,$D$1:$D$1368,D719,$B$1:$B$1368,"&lt;="&amp;B719)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Iniciales'!$B:$B,D720)+SUMIFS($K$1:$K$1368,$C$1:$C$1368,C720,$D$1:$D$1368,D720,$B$1:$B$1368,"&lt;="&amp;B720)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Iniciales'!$B:$B,D721)+SUMIFS($K$1:$K$1368,$C$1:$C$1368,C721,$D$1:$D$1368,D721,$B$1:$B$1368,"&lt;="&amp;B721)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Iniciales'!$B:$B,D722)+SUMIFS($K$1:$K$1368,$C$1:$C$1368,C722,$D$1:$D$1368,D722,$B$1:$B$1368,"&lt;="&amp;B722)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Iniciales'!$B:$B,D723)+SUMIFS($K$1:$K$1368,$C$1:$C$1368,C723,$D$1:$D$1368,D723,$B$1:$B$1368,"&lt;="&amp;B723)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Iniciales'!$B:$B,D724)+SUMIFS($K$1:$K$1368,$C$1:$C$1368,C724,$D$1:$D$1368,D724,$B$1:$B$1368,"&lt;="&amp;B724)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Iniciales'!$B:$B,D725)+SUMIFS($K$1:$K$1368,$C$1:$C$1368,C725,$D$1:$D$1368,D725,$B$1:$B$1368,"&lt;="&amp;B725)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Iniciales'!$B:$B,D726)+SUMIFS($K$1:$K$1368,$C$1:$C$1368,C726,$D$1:$D$1368,D726,$B$1:$B$1368,"&lt;="&amp;B726)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Iniciales'!$B:$B,D727)+SUMIFS($K$1:$K$1368,$C$1:$C$1368,C727,$D$1:$D$1368,D727,$B$1:$B$1368,"&lt;="&amp;B727)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Iniciales'!$B:$B,D728)+SUMIFS($K$1:$K$1368,$C$1:$C$1368,C728,$D$1:$D$1368,D728,$B$1:$B$1368,"&lt;="&amp;B728)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Iniciales'!$B:$B,D729)+SUMIFS($K$1:$K$1368,$C$1:$C$1368,C729,$D$1:$D$1368,D729,$B$1:$B$1368,"&lt;="&amp;B729)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Iniciales'!$B:$B,D730)+SUMIFS($K$1:$K$1368,$C$1:$C$1368,C730,$D$1:$D$1368,D730,$B$1:$B$1368,"&lt;="&amp;B730)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Iniciales'!$B:$B,D731)+SUMIFS($K$1:$K$1368,$C$1:$C$1368,C731,$D$1:$D$1368,D731,$B$1:$B$1368,"&lt;="&amp;B731)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Iniciales'!$B:$B,D732)+SUMIFS($K$1:$K$1368,$C$1:$C$1368,C732,$D$1:$D$1368,D732,$B$1:$B$1368,"&lt;="&amp;B732)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Iniciales'!$B:$B,D733)+SUMIFS($K$1:$K$1368,$C$1:$C$1368,C733,$D$1:$D$1368,D733,$B$1:$B$1368,"&lt;="&amp;B733)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Iniciales'!$B:$B,D734)+SUMIFS($K$1:$K$1368,$C$1:$C$1368,C734,$D$1:$D$1368,D734,$B$1:$B$1368,"&lt;="&amp;B734)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Iniciales'!$B:$B,D735)+SUMIFS($K$1:$K$1368,$C$1:$C$1368,C735,$D$1:$D$1368,D735,$B$1:$B$1368,"&lt;="&amp;B735)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Iniciales'!$B:$B,D736)+SUMIFS($K$1:$K$1368,$C$1:$C$1368,C736,$D$1:$D$1368,D736,$B$1:$B$1368,"&lt;="&amp;B736)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Iniciales'!$B:$B,D737)+SUMIFS($K$1:$K$1368,$C$1:$C$1368,C737,$D$1:$D$1368,D737,$B$1:$B$1368,"&lt;="&amp;B737)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Iniciales'!$B:$B,D738)+SUMIFS($K$1:$K$1368,$C$1:$C$1368,C738,$D$1:$D$1368,D738,$B$1:$B$1368,"&lt;="&amp;B738)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Iniciales'!$B:$B,D739)+SUMIFS($K$1:$K$1368,$C$1:$C$1368,C739,$D$1:$D$1368,D739,$B$1:$B$1368,"&lt;="&amp;B739)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Iniciales'!$B:$B,D740)+SUMIFS($K$1:$K$1368,$C$1:$C$1368,C740,$D$1:$D$1368,D740,$B$1:$B$1368,"&lt;="&amp;B740)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Iniciales'!$B:$B,D741)+SUMIFS($K$1:$K$1368,$C$1:$C$1368,C741,$D$1:$D$1368,D741,$B$1:$B$1368,"&lt;="&amp;B741)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Iniciales'!$B:$B,D742)+SUMIFS($K$1:$K$1368,$C$1:$C$1368,C742,$D$1:$D$1368,D742,$B$1:$B$1368,"&lt;="&amp;B742)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Iniciales'!$B:$B,D743)+SUMIFS($K$1:$K$1368,$C$1:$C$1368,C743,$D$1:$D$1368,D743,$B$1:$B$1368,"&lt;="&amp;B743)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Iniciales'!$B:$B,D744)+SUMIFS($K$1:$K$1368,$C$1:$C$1368,C744,$D$1:$D$1368,D744,$B$1:$B$1368,"&lt;="&amp;B744)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Iniciales'!$B:$B,D745)+SUMIFS($K$1:$K$1368,$C$1:$C$1368,C745,$D$1:$D$1368,D745,$B$1:$B$1368,"&lt;="&amp;B745)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Iniciales'!$B:$B,D746)+SUMIFS($K$1:$K$1368,$C$1:$C$1368,C746,$D$1:$D$1368,D746,$B$1:$B$1368,"&lt;="&amp;B746)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Iniciales'!$B:$B,D747)+SUMIFS($K$1:$K$1368,$C$1:$C$1368,C747,$D$1:$D$1368,D747,$B$1:$B$1368,"&lt;="&amp;B747)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Iniciales'!$B:$B,D748)+SUMIFS($K$1:$K$1368,$C$1:$C$1368,C748,$D$1:$D$1368,D748,$B$1:$B$1368,"&lt;="&amp;B748)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Iniciales'!$B:$B,D749)+SUMIFS($K$1:$K$1368,$C$1:$C$1368,C749,$D$1:$D$1368,D749,$B$1:$B$1368,"&lt;="&amp;B749)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Iniciales'!$B:$B,D750)+SUMIFS($K$1:$K$1368,$C$1:$C$1368,C750,$D$1:$D$1368,D750,$B$1:$B$1368,"&lt;="&amp;B750)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Iniciales'!$B:$B,D751)+SUMIFS($K$1:$K$1368,$C$1:$C$1368,C751,$D$1:$D$1368,D751,$B$1:$B$1368,"&lt;="&amp;B751)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Iniciales'!$B:$B,D752)+SUMIFS($K$1:$K$1368,$C$1:$C$1368,C752,$D$1:$D$1368,D752,$B$1:$B$1368,"&lt;="&amp;B752)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Iniciales'!$B:$B,D753)+SUMIFS($K$1:$K$1368,$C$1:$C$1368,C753,$D$1:$D$1368,D753,$B$1:$B$1368,"&lt;="&amp;B753)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Iniciales'!$B:$B,D754)+SUMIFS($K$1:$K$1368,$C$1:$C$1368,C754,$D$1:$D$1368,D754,$B$1:$B$1368,"&lt;="&amp;B754)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Iniciales'!$B:$B,D755)+SUMIFS($K$1:$K$1368,$C$1:$C$1368,C755,$D$1:$D$1368,D755,$B$1:$B$1368,"&lt;="&amp;B755)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Iniciales'!$B:$B,D756)+SUMIFS($K$1:$K$1368,$C$1:$C$1368,C756,$D$1:$D$1368,D756,$B$1:$B$1368,"&lt;="&amp;B756)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Iniciales'!$B:$B,D757)+SUMIFS($K$1:$K$1368,$C$1:$C$1368,C757,$D$1:$D$1368,D757,$B$1:$B$1368,"&lt;="&amp;B757)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Iniciales'!$B:$B,D758)+SUMIFS($K$1:$K$1368,$C$1:$C$1368,C758,$D$1:$D$1368,D758,$B$1:$B$1368,"&lt;="&amp;B758)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Iniciales'!$B:$B,D759)+SUMIFS($K$1:$K$1368,$C$1:$C$1368,C759,$D$1:$D$1368,D759,$B$1:$B$1368,"&lt;="&amp;B759)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Iniciales'!$B:$B,D760)+SUMIFS($K$1:$K$1368,$C$1:$C$1368,C760,$D$1:$D$1368,D760,$B$1:$B$1368,"&lt;="&amp;B760)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Iniciales'!$B:$B,D761)+SUMIFS($K$1:$K$1368,$C$1:$C$1368,C761,$D$1:$D$1368,D761,$B$1:$B$1368,"&lt;="&amp;B761)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Iniciales'!$B:$B,D762)+SUMIFS($K$1:$K$1368,$C$1:$C$1368,C762,$D$1:$D$1368,D762,$B$1:$B$1368,"&lt;="&amp;B762)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Iniciales'!$B:$B,D763)+SUMIFS($K$1:$K$1368,$C$1:$C$1368,C763,$D$1:$D$1368,D763,$B$1:$B$1368,"&lt;="&amp;B763)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Iniciales'!$B:$B,D764)+SUMIFS($K$1:$K$1368,$C$1:$C$1368,C764,$D$1:$D$1368,D764,$B$1:$B$1368,"&lt;="&amp;B764)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Iniciales'!$B:$B,D765)+SUMIFS($K$1:$K$1368,$C$1:$C$1368,C765,$D$1:$D$1368,D765,$B$1:$B$1368,"&lt;="&amp;B765)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Iniciales'!$B:$B,D766)+SUMIFS($K$1:$K$1368,$C$1:$C$1368,C766,$D$1:$D$1368,D766,$B$1:$B$1368,"&lt;="&amp;B766)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Iniciales'!$B:$B,D767)+SUMIFS($K$1:$K$1368,$C$1:$C$1368,C767,$D$1:$D$1368,D767,$B$1:$B$1368,"&lt;="&amp;B767)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Iniciales'!$B:$B,D768)+SUMIFS($K$1:$K$1368,$C$1:$C$1368,C768,$D$1:$D$1368,D768,$B$1:$B$1368,"&lt;="&amp;B768)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Iniciales'!$B:$B,D769)+SUMIFS($K$1:$K$1368,$C$1:$C$1368,C769,$D$1:$D$1368,D769,$B$1:$B$1368,"&lt;="&amp;B769)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Iniciales'!$B:$B,D770)+SUMIFS($K$1:$K$1368,$C$1:$C$1368,C770,$D$1:$D$1368,D770,$B$1:$B$1368,"&lt;="&amp;B770)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Iniciales'!$B:$B,D771)+SUMIFS($K$1:$K$1368,$C$1:$C$1368,C771,$D$1:$D$1368,D771,$B$1:$B$1368,"&lt;="&amp;B771)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Iniciales'!$B:$B,D772)+SUMIFS($K$1:$K$1368,$C$1:$C$1368,C772,$D$1:$D$1368,D772,$B$1:$B$1368,"&lt;="&amp;B772)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Iniciales'!$B:$B,D773)+SUMIFS($K$1:$K$1368,$C$1:$C$1368,C773,$D$1:$D$1368,D773,$B$1:$B$1368,"&lt;="&amp;B773)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Iniciales'!$B:$B,D774)+SUMIFS($K$1:$K$1368,$C$1:$C$1368,C774,$D$1:$D$1368,D774,$B$1:$B$1368,"&lt;="&amp;B774)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Iniciales'!$B:$B,D775)+SUMIFS($K$1:$K$1368,$C$1:$C$1368,C775,$D$1:$D$1368,D775,$B$1:$B$1368,"&lt;="&amp;B775)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Iniciales'!$B:$B,D776)+SUMIFS($K$1:$K$1368,$C$1:$C$1368,C776,$D$1:$D$1368,D776,$B$1:$B$1368,"&lt;="&amp;B776)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Iniciales'!$B:$B,D777)+SUMIFS($K$1:$K$1368,$C$1:$C$1368,C777,$D$1:$D$1368,D777,$B$1:$B$1368,"&lt;="&amp;B777)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Iniciales'!$B:$B,D778)+SUMIFS($K$1:$K$1368,$C$1:$C$1368,C778,$D$1:$D$1368,D778,$B$1:$B$1368,"&lt;="&amp;B778)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Iniciales'!$B:$B,D779)+SUMIFS($K$1:$K$1368,$C$1:$C$1368,C779,$D$1:$D$1368,D779,$B$1:$B$1368,"&lt;="&amp;B779)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Iniciales'!$B:$B,D780)+SUMIFS($K$1:$K$1368,$C$1:$C$1368,C780,$D$1:$D$1368,D780,$B$1:$B$1368,"&lt;="&amp;B780)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Iniciales'!$B:$B,D781)+SUMIFS($K$1:$K$1368,$C$1:$C$1368,C781,$D$1:$D$1368,D781,$B$1:$B$1368,"&lt;="&amp;B781)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Iniciales'!$B:$B,D782)+SUMIFS($K$1:$K$1368,$C$1:$C$1368,C782,$D$1:$D$1368,D782,$B$1:$B$1368,"&lt;="&amp;B782)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Iniciales'!$B:$B,D783)+SUMIFS($K$1:$K$1368,$C$1:$C$1368,C783,$D$1:$D$1368,D783,$B$1:$B$1368,"&lt;="&amp;B783)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Iniciales'!$B:$B,D784)+SUMIFS($K$1:$K$1368,$C$1:$C$1368,C784,$D$1:$D$1368,D784,$B$1:$B$1368,"&lt;="&amp;B784)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Iniciales'!$B:$B,D785)+SUMIFS($K$1:$K$1368,$C$1:$C$1368,C785,$D$1:$D$1368,D785,$B$1:$B$1368,"&lt;="&amp;B785)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Iniciales'!$B:$B,D786)+SUMIFS($K$1:$K$1368,$C$1:$C$1368,C786,$D$1:$D$1368,D786,$B$1:$B$1368,"&lt;="&amp;B786)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Iniciales'!$B:$B,D787)+SUMIFS($K$1:$K$1368,$C$1:$C$1368,C787,$D$1:$D$1368,D787,$B$1:$B$1368,"&lt;="&amp;B787)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Iniciales'!$B:$B,D788)+SUMIFS($K$1:$K$1368,$C$1:$C$1368,C788,$D$1:$D$1368,D788,$B$1:$B$1368,"&lt;="&amp;B788)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Iniciales'!$B:$B,D789)+SUMIFS($K$1:$K$1368,$C$1:$C$1368,C789,$D$1:$D$1368,D789,$B$1:$B$1368,"&lt;="&amp;B789)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Iniciales'!$B:$B,D790)+SUMIFS($K$1:$K$1368,$C$1:$C$1368,C790,$D$1:$D$1368,D790,$B$1:$B$1368,"&lt;="&amp;B790)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Iniciales'!$B:$B,D791)+SUMIFS($K$1:$K$1368,$C$1:$C$1368,C791,$D$1:$D$1368,D791,$B$1:$B$1368,"&lt;="&amp;B791)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Iniciales'!$B:$B,D792)+SUMIFS($K$1:$K$1368,$C$1:$C$1368,C792,$D$1:$D$1368,D792,$B$1:$B$1368,"&lt;="&amp;B792)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Iniciales'!$B:$B,D793)+SUMIFS($K$1:$K$1368,$C$1:$C$1368,C793,$D$1:$D$1368,D793,$B$1:$B$1368,"&lt;="&amp;B793)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Iniciales'!$B:$B,D794)+SUMIFS($K$1:$K$1368,$C$1:$C$1368,C794,$D$1:$D$1368,D794,$B$1:$B$1368,"&lt;="&amp;B794)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Iniciales'!$B:$B,D795)+SUMIFS($K$1:$K$1368,$C$1:$C$1368,C795,$D$1:$D$1368,D795,$B$1:$B$1368,"&lt;="&amp;B795)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Iniciales'!$B:$B,D796)+SUMIFS($K$1:$K$1368,$C$1:$C$1368,C796,$D$1:$D$1368,D796,$B$1:$B$1368,"&lt;="&amp;B796)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Iniciales'!$B:$B,D797)+SUMIFS($K$1:$K$1368,$C$1:$C$1368,C797,$D$1:$D$1368,D797,$B$1:$B$1368,"&lt;="&amp;B797)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Iniciales'!$B:$B,D798)+SUMIFS($K$1:$K$1368,$C$1:$C$1368,C798,$D$1:$D$1368,D798,$B$1:$B$1368,"&lt;="&amp;B798)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Iniciales'!$B:$B,D799)+SUMIFS($K$1:$K$1368,$C$1:$C$1368,C799,$D$1:$D$1368,D799,$B$1:$B$1368,"&lt;="&amp;B799)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Iniciales'!$B:$B,D800)+SUMIFS($K$1:$K$1368,$C$1:$C$1368,C800,$D$1:$D$1368,D800,$B$1:$B$1368,"&lt;="&amp;B800)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Iniciales'!$B:$B,D801)+SUMIFS($K$1:$K$1368,$C$1:$C$1368,C801,$D$1:$D$1368,D801,$B$1:$B$1368,"&lt;="&amp;B801)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Iniciales'!$B:$B,D802)+SUMIFS($K$1:$K$1368,$C$1:$C$1368,C802,$D$1:$D$1368,D802,$B$1:$B$1368,"&lt;="&amp;B802)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Iniciales'!$B:$B,D803)+SUMIFS($K$1:$K$1368,$C$1:$C$1368,C803,$D$1:$D$1368,D803,$B$1:$B$1368,"&lt;="&amp;B803)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Iniciales'!$B:$B,D804)+SUMIFS($K$1:$K$1368,$C$1:$C$1368,C804,$D$1:$D$1368,D804,$B$1:$B$1368,"&lt;="&amp;B804)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Iniciales'!$B:$B,D805)+SUMIFS($K$1:$K$1368,$C$1:$C$1368,C805,$D$1:$D$1368,D805,$B$1:$B$1368,"&lt;="&amp;B805)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Iniciales'!$B:$B,D806)+SUMIFS($K$1:$K$1368,$C$1:$C$1368,C806,$D$1:$D$1368,D806,$B$1:$B$1368,"&lt;="&amp;B806)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Iniciales'!$B:$B,D807)+SUMIFS($K$1:$K$1368,$C$1:$C$1368,C807,$D$1:$D$1368,D807,$B$1:$B$1368,"&lt;="&amp;B807)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Iniciales'!$B:$B,D808)+SUMIFS($K$1:$K$1368,$C$1:$C$1368,C808,$D$1:$D$1368,D808,$B$1:$B$1368,"&lt;="&amp;B808)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Iniciales'!$B:$B,D809)+SUMIFS($K$1:$K$1368,$C$1:$C$1368,C809,$D$1:$D$1368,D809,$B$1:$B$1368,"&lt;="&amp;B809)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Iniciales'!$B:$B,D810)+SUMIFS($K$1:$K$1368,$C$1:$C$1368,C810,$D$1:$D$1368,D810,$B$1:$B$1368,"&lt;="&amp;B810)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Iniciales'!$B:$B,D811)+SUMIFS($K$1:$K$1368,$C$1:$C$1368,C811,$D$1:$D$1368,D811,$B$1:$B$1368,"&lt;="&amp;B811)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Iniciales'!$B:$B,D812)+SUMIFS($K$1:$K$1368,$C$1:$C$1368,C812,$D$1:$D$1368,D812,$B$1:$B$1368,"&lt;="&amp;B812)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Iniciales'!$B:$B,D813)+SUMIFS($K$1:$K$1368,$C$1:$C$1368,C813,$D$1:$D$1368,D813,$B$1:$B$1368,"&lt;="&amp;B813)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Iniciales'!$B:$B,D814)+SUMIFS($K$1:$K$1368,$C$1:$C$1368,C814,$D$1:$D$1368,D814,$B$1:$B$1368,"&lt;="&amp;B814)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Iniciales'!$B:$B,D815)+SUMIFS($K$1:$K$1368,$C$1:$C$1368,C815,$D$1:$D$1368,D815,$B$1:$B$1368,"&lt;="&amp;B815)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Iniciales'!$B:$B,D816)+SUMIFS($K$1:$K$1368,$C$1:$C$1368,C816,$D$1:$D$1368,D816,$B$1:$B$1368,"&lt;="&amp;B816)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Iniciales'!$B:$B,D817)+SUMIFS($K$1:$K$1368,$C$1:$C$1368,C817,$D$1:$D$1368,D817,$B$1:$B$1368,"&lt;="&amp;B817)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Iniciales'!$B:$B,D818)+SUMIFS($K$1:$K$1368,$C$1:$C$1368,C818,$D$1:$D$1368,D818,$B$1:$B$1368,"&lt;="&amp;B818)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Iniciales'!$B:$B,D819)+SUMIFS($K$1:$K$1368,$C$1:$C$1368,C819,$D$1:$D$1368,D819,$B$1:$B$1368,"&lt;="&amp;B819)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Iniciales'!$B:$B,D820)+SUMIFS($K$1:$K$1368,$C$1:$C$1368,C820,$D$1:$D$1368,D820,$B$1:$B$1368,"&lt;="&amp;B820)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Iniciales'!$B:$B,D821)+SUMIFS($K$1:$K$1368,$C$1:$C$1368,C821,$D$1:$D$1368,D821,$B$1:$B$1368,"&lt;="&amp;B821)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Iniciales'!$B:$B,D822)+SUMIFS($K$1:$K$1368,$C$1:$C$1368,C822,$D$1:$D$1368,D822,$B$1:$B$1368,"&lt;="&amp;B822)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Iniciales'!$B:$B,D823)+SUMIFS($K$1:$K$1368,$C$1:$C$1368,C823,$D$1:$D$1368,D823,$B$1:$B$1368,"&lt;="&amp;B823)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Iniciales'!$B:$B,D824)+SUMIFS($K$1:$K$1368,$C$1:$C$1368,C824,$D$1:$D$1368,D824,$B$1:$B$1368,"&lt;="&amp;B824)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Iniciales'!$B:$B,D825)+SUMIFS($K$1:$K$1368,$C$1:$C$1368,C825,$D$1:$D$1368,D825,$B$1:$B$1368,"&lt;="&amp;B825)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Iniciales'!$B:$B,D826)+SUMIFS($K$1:$K$1368,$C$1:$C$1368,C826,$D$1:$D$1368,D826,$B$1:$B$1368,"&lt;="&amp;B826)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Iniciales'!$B:$B,D827)+SUMIFS($K$1:$K$1368,$C$1:$C$1368,C827,$D$1:$D$1368,D827,$B$1:$B$1368,"&lt;="&amp;B827)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Iniciales'!$B:$B,D828)+SUMIFS($K$1:$K$1368,$C$1:$C$1368,C828,$D$1:$D$1368,D828,$B$1:$B$1368,"&lt;="&amp;B828)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Iniciales'!$B:$B,D829)+SUMIFS($K$1:$K$1368,$C$1:$C$1368,C829,$D$1:$D$1368,D829,$B$1:$B$1368,"&lt;="&amp;B829)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Iniciales'!$B:$B,D830)+SUMIFS($K$1:$K$1368,$C$1:$C$1368,C830,$D$1:$D$1368,D830,$B$1:$B$1368,"&lt;="&amp;B830)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Iniciales'!$B:$B,D831)+SUMIFS($K$1:$K$1368,$C$1:$C$1368,C831,$D$1:$D$1368,D831,$B$1:$B$1368,"&lt;="&amp;B831)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Iniciales'!$B:$B,D832)+SUMIFS($K$1:$K$1368,$C$1:$C$1368,C832,$D$1:$D$1368,D832,$B$1:$B$1368,"&lt;="&amp;B832)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Iniciales'!$B:$B,D833)+SUMIFS($K$1:$K$1368,$C$1:$C$1368,C833,$D$1:$D$1368,D833,$B$1:$B$1368,"&lt;="&amp;B833)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Iniciales'!$B:$B,D834)+SUMIFS($K$1:$K$1368,$C$1:$C$1368,C834,$D$1:$D$1368,D834,$B$1:$B$1368,"&lt;="&amp;B834)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Iniciales'!$B:$B,D835)+SUMIFS($K$1:$K$1368,$C$1:$C$1368,C835,$D$1:$D$1368,D835,$B$1:$B$1368,"&lt;="&amp;B835)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Iniciales'!$B:$B,D836)+SUMIFS($K$1:$K$1368,$C$1:$C$1368,C836,$D$1:$D$1368,D836,$B$1:$B$1368,"&lt;="&amp;B836)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Iniciales'!$B:$B,D837)+SUMIFS($K$1:$K$1368,$C$1:$C$1368,C837,$D$1:$D$1368,D837,$B$1:$B$1368,"&lt;="&amp;B837)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Iniciales'!$B:$B,D838)+SUMIFS($K$1:$K$1368,$C$1:$C$1368,C838,$D$1:$D$1368,D838,$B$1:$B$1368,"&lt;="&amp;B838)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Iniciales'!$B:$B,D839)+SUMIFS($K$1:$K$1368,$C$1:$C$1368,C839,$D$1:$D$1368,D839,$B$1:$B$1368,"&lt;="&amp;B839)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Iniciales'!$B:$B,D840)+SUMIFS($K$1:$K$1368,$C$1:$C$1368,C840,$D$1:$D$1368,D840,$B$1:$B$1368,"&lt;="&amp;B840)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Iniciales'!$B:$B,D841)+SUMIFS($K$1:$K$1368,$C$1:$C$1368,C841,$D$1:$D$1368,D841,$B$1:$B$1368,"&lt;="&amp;B841)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Iniciales'!$B:$B,D842)+SUMIFS($K$1:$K$1368,$C$1:$C$1368,C842,$D$1:$D$1368,D842,$B$1:$B$1368,"&lt;="&amp;B842)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Iniciales'!$B:$B,D843)+SUMIFS($K$1:$K$1368,$C$1:$C$1368,C843,$D$1:$D$1368,D843,$B$1:$B$1368,"&lt;="&amp;B843)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Iniciales'!$B:$B,D844)+SUMIFS($K$1:$K$1368,$C$1:$C$1368,C844,$D$1:$D$1368,D844,$B$1:$B$1368,"&lt;="&amp;B844)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Iniciales'!$B:$B,D845)+SUMIFS($K$1:$K$1368,$C$1:$C$1368,C845,$D$1:$D$1368,D845,$B$1:$B$1368,"&lt;="&amp;B845)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Iniciales'!$B:$B,D846)+SUMIFS($K$1:$K$1368,$C$1:$C$1368,C846,$D$1:$D$1368,D846,$B$1:$B$1368,"&lt;="&amp;B846)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Iniciales'!$B:$B,D847)+SUMIFS($K$1:$K$1368,$C$1:$C$1368,C847,$D$1:$D$1368,D847,$B$1:$B$1368,"&lt;="&amp;B847)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Iniciales'!$B:$B,D848)+SUMIFS($K$1:$K$1368,$C$1:$C$1368,C848,$D$1:$D$1368,D848,$B$1:$B$1368,"&lt;="&amp;B848)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Iniciales'!$B:$B,D849)+SUMIFS($K$1:$K$1368,$C$1:$C$1368,C849,$D$1:$D$1368,D849,$B$1:$B$1368,"&lt;="&amp;B849)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Iniciales'!$B:$B,D850)+SUMIFS($K$1:$K$1368,$C$1:$C$1368,C850,$D$1:$D$1368,D850,$B$1:$B$1368,"&lt;="&amp;B850)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Iniciales'!$B:$B,D851)+SUMIFS($K$1:$K$1368,$C$1:$C$1368,C851,$D$1:$D$1368,D851,$B$1:$B$1368,"&lt;="&amp;B851)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Iniciales'!$B:$B,D852)+SUMIFS($K$1:$K$1368,$C$1:$C$1368,C852,$D$1:$D$1368,D852,$B$1:$B$1368,"&lt;="&amp;B852)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Iniciales'!$B:$B,D853)+SUMIFS($K$1:$K$1368,$C$1:$C$1368,C853,$D$1:$D$1368,D853,$B$1:$B$1368,"&lt;="&amp;B853)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Iniciales'!$B:$B,D854)+SUMIFS($K$1:$K$1368,$C$1:$C$1368,C854,$D$1:$D$1368,D854,$B$1:$B$1368,"&lt;="&amp;B854)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Iniciales'!$B:$B,D855)+SUMIFS($K$1:$K$1368,$C$1:$C$1368,C855,$D$1:$D$1368,D855,$B$1:$B$1368,"&lt;="&amp;B855)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Iniciales'!$B:$B,D856)+SUMIFS($K$1:$K$1368,$C$1:$C$1368,C856,$D$1:$D$1368,D856,$B$1:$B$1368,"&lt;="&amp;B856)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Iniciales'!$B:$B,D857)+SUMIFS($K$1:$K$1368,$C$1:$C$1368,C857,$D$1:$D$1368,D857,$B$1:$B$1368,"&lt;="&amp;B857)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Iniciales'!$B:$B,D858)+SUMIFS($K$1:$K$1368,$C$1:$C$1368,C858,$D$1:$D$1368,D858,$B$1:$B$1368,"&lt;="&amp;B858)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Iniciales'!$B:$B,D859)+SUMIFS($K$1:$K$1368,$C$1:$C$1368,C859,$D$1:$D$1368,D859,$B$1:$B$1368,"&lt;="&amp;B859)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Iniciales'!$B:$B,D860)+SUMIFS($K$1:$K$1368,$C$1:$C$1368,C860,$D$1:$D$1368,D860,$B$1:$B$1368,"&lt;="&amp;B860)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Iniciales'!$B:$B,D861)+SUMIFS($K$1:$K$1368,$C$1:$C$1368,C861,$D$1:$D$1368,D861,$B$1:$B$1368,"&lt;="&amp;B861)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Iniciales'!$B:$B,D862)+SUMIFS($K$1:$K$1368,$C$1:$C$1368,C862,$D$1:$D$1368,D862,$B$1:$B$1368,"&lt;="&amp;B862)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Iniciales'!$B:$B,D863)+SUMIFS($K$1:$K$1368,$C$1:$C$1368,C863,$D$1:$D$1368,D863,$B$1:$B$1368,"&lt;="&amp;B863)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Iniciales'!$B:$B,D864)+SUMIFS($K$1:$K$1368,$C$1:$C$1368,C864,$D$1:$D$1368,D864,$B$1:$B$1368,"&lt;="&amp;B864)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Iniciales'!$B:$B,D865)+SUMIFS($K$1:$K$1368,$C$1:$C$1368,C865,$D$1:$D$1368,D865,$B$1:$B$1368,"&lt;="&amp;B865)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Iniciales'!$B:$B,D866)+SUMIFS($K$1:$K$1368,$C$1:$C$1368,C866,$D$1:$D$1368,D866,$B$1:$B$1368,"&lt;="&amp;B866)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Iniciales'!$B:$B,D867)+SUMIFS($K$1:$K$1368,$C$1:$C$1368,C867,$D$1:$D$1368,D867,$B$1:$B$1368,"&lt;="&amp;B867)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Iniciales'!$B:$B,D868)+SUMIFS($K$1:$K$1368,$C$1:$C$1368,C868,$D$1:$D$1368,D868,$B$1:$B$1368,"&lt;="&amp;B868)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Iniciales'!$B:$B,D869)+SUMIFS($K$1:$K$1368,$C$1:$C$1368,C869,$D$1:$D$1368,D869,$B$1:$B$1368,"&lt;="&amp;B869)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Iniciales'!$B:$B,D870)+SUMIFS($K$1:$K$1368,$C$1:$C$1368,C870,$D$1:$D$1368,D870,$B$1:$B$1368,"&lt;="&amp;B870)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Iniciales'!$B:$B,D871)+SUMIFS($K$1:$K$1368,$C$1:$C$1368,C871,$D$1:$D$1368,D871,$B$1:$B$1368,"&lt;="&amp;B871)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Iniciales'!$B:$B,D872)+SUMIFS($K$1:$K$1368,$C$1:$C$1368,C872,$D$1:$D$1368,D872,$B$1:$B$1368,"&lt;="&amp;B872)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Iniciales'!$B:$B,D873)+SUMIFS($K$1:$K$1368,$C$1:$C$1368,C873,$D$1:$D$1368,D873,$B$1:$B$1368,"&lt;="&amp;B873)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Iniciales'!$B:$B,D874)+SUMIFS($K$1:$K$1368,$C$1:$C$1368,C874,$D$1:$D$1368,D874,$B$1:$B$1368,"&lt;="&amp;B874)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Iniciales'!$B:$B,D875)+SUMIFS($K$1:$K$1368,$C$1:$C$1368,C875,$D$1:$D$1368,D875,$B$1:$B$1368,"&lt;="&amp;B875)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Iniciales'!$B:$B,D876)+SUMIFS($K$1:$K$1368,$C$1:$C$1368,C876,$D$1:$D$1368,D876,$B$1:$B$1368,"&lt;="&amp;B876)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Iniciales'!$B:$B,D877)+SUMIFS($K$1:$K$1368,$C$1:$C$1368,C877,$D$1:$D$1368,D877,$B$1:$B$1368,"&lt;="&amp;B877)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Iniciales'!$B:$B,D878)+SUMIFS($K$1:$K$1368,$C$1:$C$1368,C878,$D$1:$D$1368,D878,$B$1:$B$1368,"&lt;="&amp;B878)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Iniciales'!$B:$B,D879)+SUMIFS($K$1:$K$1368,$C$1:$C$1368,C879,$D$1:$D$1368,D879,$B$1:$B$1368,"&lt;="&amp;B879)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Iniciales'!$B:$B,D880)+SUMIFS($K$1:$K$1368,$C$1:$C$1368,C880,$D$1:$D$1368,D880,$B$1:$B$1368,"&lt;="&amp;B880)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Iniciales'!$B:$B,D881)+SUMIFS($K$1:$K$1368,$C$1:$C$1368,C881,$D$1:$D$1368,D881,$B$1:$B$1368,"&lt;="&amp;B881)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Iniciales'!$B:$B,D882)+SUMIFS($K$1:$K$1368,$C$1:$C$1368,C882,$D$1:$D$1368,D882,$B$1:$B$1368,"&lt;="&amp;B882)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Iniciales'!$B:$B,D883)+SUMIFS($K$1:$K$1368,$C$1:$C$1368,C883,$D$1:$D$1368,D883,$B$1:$B$1368,"&lt;="&amp;B883)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Iniciales'!$B:$B,D884)+SUMIFS($K$1:$K$1368,$C$1:$C$1368,C884,$D$1:$D$1368,D884,$B$1:$B$1368,"&lt;="&amp;B884)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Iniciales'!$B:$B,D885)+SUMIFS($K$1:$K$1368,$C$1:$C$1368,C885,$D$1:$D$1368,D885,$B$1:$B$1368,"&lt;="&amp;B885)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Iniciales'!$B:$B,D886)+SUMIFS($K$1:$K$1368,$C$1:$C$1368,C886,$D$1:$D$1368,D886,$B$1:$B$1368,"&lt;="&amp;B886)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Iniciales'!$B:$B,D887)+SUMIFS($K$1:$K$1368,$C$1:$C$1368,C887,$D$1:$D$1368,D887,$B$1:$B$1368,"&lt;="&amp;B887)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Iniciales'!$B:$B,D888)+SUMIFS($K$1:$K$1368,$C$1:$C$1368,C888,$D$1:$D$1368,D888,$B$1:$B$1368,"&lt;="&amp;B888)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Iniciales'!$B:$B,D889)+SUMIFS($K$1:$K$1368,$C$1:$C$1368,C889,$D$1:$D$1368,D889,$B$1:$B$1368,"&lt;="&amp;B889)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Iniciales'!$B:$B,D890)+SUMIFS($K$1:$K$1368,$C$1:$C$1368,C890,$D$1:$D$1368,D890,$B$1:$B$1368,"&lt;="&amp;B890)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Iniciales'!$B:$B,D891)+SUMIFS($K$1:$K$1368,$C$1:$C$1368,C891,$D$1:$D$1368,D891,$B$1:$B$1368,"&lt;="&amp;B891)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Iniciales'!$B:$B,D892)+SUMIFS($K$1:$K$1368,$C$1:$C$1368,C892,$D$1:$D$1368,D892,$B$1:$B$1368,"&lt;="&amp;B892)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Iniciales'!$B:$B,D893)+SUMIFS($K$1:$K$1368,$C$1:$C$1368,C893,$D$1:$D$1368,D893,$B$1:$B$1368,"&lt;="&amp;B893)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Iniciales'!$B:$B,D894)+SUMIFS($K$1:$K$1368,$C$1:$C$1368,C894,$D$1:$D$1368,D894,$B$1:$B$1368,"&lt;="&amp;B894)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Iniciales'!$B:$B,D895)+SUMIFS($K$1:$K$1368,$C$1:$C$1368,C895,$D$1:$D$1368,D895,$B$1:$B$1368,"&lt;="&amp;B895)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Iniciales'!$B:$B,D896)+SUMIFS($K$1:$K$1368,$C$1:$C$1368,C896,$D$1:$D$1368,D896,$B$1:$B$1368,"&lt;="&amp;B896)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Iniciales'!$B:$B,D897)+SUMIFS($K$1:$K$1368,$C$1:$C$1368,C897,$D$1:$D$1368,D897,$B$1:$B$1368,"&lt;="&amp;B897)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Iniciales'!$B:$B,D898)+SUMIFS($K$1:$K$1368,$C$1:$C$1368,C898,$D$1:$D$1368,D898,$B$1:$B$1368,"&lt;="&amp;B898)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Iniciales'!$B:$B,D899)+SUMIFS($K$1:$K$1368,$C$1:$C$1368,C899,$D$1:$D$1368,D899,$B$1:$B$1368,"&lt;="&amp;B899)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Iniciales'!$B:$B,D900)+SUMIFS($K$1:$K$1368,$C$1:$C$1368,C900,$D$1:$D$1368,D900,$B$1:$B$1368,"&lt;="&amp;B900)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Iniciales'!$B:$B,D901)+SUMIFS($K$1:$K$1368,$C$1:$C$1368,C901,$D$1:$D$1368,D901,$B$1:$B$1368,"&lt;="&amp;B901)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Iniciales'!$B:$B,D902)+SUMIFS($K$1:$K$1368,$C$1:$C$1368,C902,$D$1:$D$1368,D902,$B$1:$B$1368,"&lt;="&amp;B902)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Iniciales'!$B:$B,D903)+SUMIFS($K$1:$K$1368,$C$1:$C$1368,C903,$D$1:$D$1368,D903,$B$1:$B$1368,"&lt;="&amp;B903)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Iniciales'!$B:$B,D904)+SUMIFS($K$1:$K$1368,$C$1:$C$1368,C904,$D$1:$D$1368,D904,$B$1:$B$1368,"&lt;="&amp;B904)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Iniciales'!$B:$B,D905)+SUMIFS($K$1:$K$1368,$C$1:$C$1368,C905,$D$1:$D$1368,D905,$B$1:$B$1368,"&lt;="&amp;B905)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Iniciales'!$B:$B,D906)+SUMIFS($K$1:$K$1368,$C$1:$C$1368,C906,$D$1:$D$1368,D906,$B$1:$B$1368,"&lt;="&amp;B906)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Iniciales'!$B:$B,D907)+SUMIFS($K$1:$K$1368,$C$1:$C$1368,C907,$D$1:$D$1368,D907,$B$1:$B$1368,"&lt;="&amp;B907)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Iniciales'!$B:$B,D908)+SUMIFS($K$1:$K$1368,$C$1:$C$1368,C908,$D$1:$D$1368,D908,$B$1:$B$1368,"&lt;="&amp;B908)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Iniciales'!$B:$B,D909)+SUMIFS($K$1:$K$1368,$C$1:$C$1368,C909,$D$1:$D$1368,D909,$B$1:$B$1368,"&lt;="&amp;B909)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Iniciales'!$B:$B,D910)+SUMIFS($K$1:$K$1368,$C$1:$C$1368,C910,$D$1:$D$1368,D910,$B$1:$B$1368,"&lt;="&amp;B910)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Iniciales'!$B:$B,D911)+SUMIFS($K$1:$K$1368,$C$1:$C$1368,C911,$D$1:$D$1368,D911,$B$1:$B$1368,"&lt;="&amp;B911)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Iniciales'!$B:$B,D912)+SUMIFS($K$1:$K$1368,$C$1:$C$1368,C912,$D$1:$D$1368,D912,$B$1:$B$1368,"&lt;="&amp;B912)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Iniciales'!$B:$B,D913)+SUMIFS($K$1:$K$1368,$C$1:$C$1368,C913,$D$1:$D$1368,D913,$B$1:$B$1368,"&lt;="&amp;B913)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Iniciales'!$B:$B,D914)+SUMIFS($K$1:$K$1368,$C$1:$C$1368,C914,$D$1:$D$1368,D914,$B$1:$B$1368,"&lt;="&amp;B914)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Iniciales'!$B:$B,D915)+SUMIFS($K$1:$K$1368,$C$1:$C$1368,C915,$D$1:$D$1368,D915,$B$1:$B$1368,"&lt;="&amp;B915)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Iniciales'!$B:$B,D916)+SUMIFS($K$1:$K$1368,$C$1:$C$1368,C916,$D$1:$D$1368,D916,$B$1:$B$1368,"&lt;="&amp;B916)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Iniciales'!$B:$B,D917)+SUMIFS($K$1:$K$1368,$C$1:$C$1368,C917,$D$1:$D$1368,D917,$B$1:$B$1368,"&lt;="&amp;B917)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Iniciales'!$B:$B,D918)+SUMIFS($K$1:$K$1368,$C$1:$C$1368,C918,$D$1:$D$1368,D918,$B$1:$B$1368,"&lt;="&amp;B918)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Iniciales'!$B:$B,D919)+SUMIFS($K$1:$K$1368,$C$1:$C$1368,C919,$D$1:$D$1368,D919,$B$1:$B$1368,"&lt;="&amp;B919)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Iniciales'!$B:$B,D920)+SUMIFS($K$1:$K$1368,$C$1:$C$1368,C920,$D$1:$D$1368,D920,$B$1:$B$1368,"&lt;="&amp;B920)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Iniciales'!$B:$B,D921)+SUMIFS($K$1:$K$1368,$C$1:$C$1368,C921,$D$1:$D$1368,D921,$B$1:$B$1368,"&lt;="&amp;B921)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Iniciales'!$B:$B,D922)+SUMIFS($K$1:$K$1368,$C$1:$C$1368,C922,$D$1:$D$1368,D922,$B$1:$B$1368,"&lt;="&amp;B922)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Iniciales'!$B:$B,D923)+SUMIFS($K$1:$K$1368,$C$1:$C$1368,C923,$D$1:$D$1368,D923,$B$1:$B$1368,"&lt;="&amp;B923)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Iniciales'!$B:$B,D924)+SUMIFS($K$1:$K$1368,$C$1:$C$1368,C924,$D$1:$D$1368,D924,$B$1:$B$1368,"&lt;="&amp;B924)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Iniciales'!$B:$B,D925)+SUMIFS($K$1:$K$1368,$C$1:$C$1368,C925,$D$1:$D$1368,D925,$B$1:$B$1368,"&lt;="&amp;B925)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Iniciales'!$B:$B,D926)+SUMIFS($K$1:$K$1368,$C$1:$C$1368,C926,$D$1:$D$1368,D926,$B$1:$B$1368,"&lt;="&amp;B926)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Iniciales'!$B:$B,D927)+SUMIFS($K$1:$K$1368,$C$1:$C$1368,C927,$D$1:$D$1368,D927,$B$1:$B$1368,"&lt;="&amp;B927)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Iniciales'!$B:$B,D928)+SUMIFS($K$1:$K$1368,$C$1:$C$1368,C928,$D$1:$D$1368,D928,$B$1:$B$1368,"&lt;="&amp;B928)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Iniciales'!$B:$B,D929)+SUMIFS($K$1:$K$1368,$C$1:$C$1368,C929,$D$1:$D$1368,D929,$B$1:$B$1368,"&lt;="&amp;B929)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Iniciales'!$B:$B,D930)+SUMIFS($K$1:$K$1368,$C$1:$C$1368,C930,$D$1:$D$1368,D930,$B$1:$B$1368,"&lt;="&amp;B930)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Iniciales'!$B:$B,D931)+SUMIFS($K$1:$K$1368,$C$1:$C$1368,C931,$D$1:$D$1368,D931,$B$1:$B$1368,"&lt;="&amp;B931)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Iniciales'!$B:$B,D932)+SUMIFS($K$1:$K$1368,$C$1:$C$1368,C932,$D$1:$D$1368,D932,$B$1:$B$1368,"&lt;="&amp;B932)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Iniciales'!$B:$B,D933)+SUMIFS($K$1:$K$1368,$C$1:$C$1368,C933,$D$1:$D$1368,D933,$B$1:$B$1368,"&lt;="&amp;B933)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Iniciales'!$B:$B,D934)+SUMIFS($K$1:$K$1368,$C$1:$C$1368,C934,$D$1:$D$1368,D934,$B$1:$B$1368,"&lt;="&amp;B934)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Iniciales'!$B:$B,D935)+SUMIFS($K$1:$K$1368,$C$1:$C$1368,C935,$D$1:$D$1368,D935,$B$1:$B$1368,"&lt;="&amp;B935)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Iniciales'!$B:$B,D936)+SUMIFS($K$1:$K$1368,$C$1:$C$1368,C936,$D$1:$D$1368,D936,$B$1:$B$1368,"&lt;="&amp;B936)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Iniciales'!$B:$B,D937)+SUMIFS($K$1:$K$1368,$C$1:$C$1368,C937,$D$1:$D$1368,D937,$B$1:$B$1368,"&lt;="&amp;B937)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Iniciales'!$B:$B,D938)+SUMIFS($K$1:$K$1368,$C$1:$C$1368,C938,$D$1:$D$1368,D938,$B$1:$B$1368,"&lt;="&amp;B938)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Iniciales'!$B:$B,D939)+SUMIFS($K$1:$K$1368,$C$1:$C$1368,C939,$D$1:$D$1368,D939,$B$1:$B$1368,"&lt;="&amp;B939)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Iniciales'!$B:$B,D940)+SUMIFS($K$1:$K$1368,$C$1:$C$1368,C940,$D$1:$D$1368,D940,$B$1:$B$1368,"&lt;="&amp;B940)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Iniciales'!$B:$B,D941)+SUMIFS($K$1:$K$1368,$C$1:$C$1368,C941,$D$1:$D$1368,D941,$B$1:$B$1368,"&lt;="&amp;B941)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Iniciales'!$B:$B,D942)+SUMIFS($K$1:$K$1368,$C$1:$C$1368,C942,$D$1:$D$1368,D942,$B$1:$B$1368,"&lt;="&amp;B942)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Iniciales'!$B:$B,D943)+SUMIFS($K$1:$K$1368,$C$1:$C$1368,C943,$D$1:$D$1368,D943,$B$1:$B$1368,"&lt;="&amp;B943)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Iniciales'!$B:$B,D944)+SUMIFS($K$1:$K$1368,$C$1:$C$1368,C944,$D$1:$D$1368,D944,$B$1:$B$1368,"&lt;="&amp;B944)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Iniciales'!$B:$B,D945)+SUMIFS($K$1:$K$1368,$C$1:$C$1368,C945,$D$1:$D$1368,D945,$B$1:$B$1368,"&lt;="&amp;B945)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Iniciales'!$B:$B,D946)+SUMIFS($K$1:$K$1368,$C$1:$C$1368,C946,$D$1:$D$1368,D946,$B$1:$B$1368,"&lt;="&amp;B946)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Iniciales'!$B:$B,D947)+SUMIFS($K$1:$K$1368,$C$1:$C$1368,C947,$D$1:$D$1368,D947,$B$1:$B$1368,"&lt;="&amp;B947)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Iniciales'!$B:$B,D948)+SUMIFS($K$1:$K$1368,$C$1:$C$1368,C948,$D$1:$D$1368,D948,$B$1:$B$1368,"&lt;="&amp;B948)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Iniciales'!$B:$B,D949)+SUMIFS($K$1:$K$1368,$C$1:$C$1368,C949,$D$1:$D$1368,D949,$B$1:$B$1368,"&lt;="&amp;B949)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Iniciales'!$B:$B,D950)+SUMIFS($K$1:$K$1368,$C$1:$C$1368,C950,$D$1:$D$1368,D950,$B$1:$B$1368,"&lt;="&amp;B950)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Iniciales'!$B:$B,D951)+SUMIFS($K$1:$K$1368,$C$1:$C$1368,C951,$D$1:$D$1368,D951,$B$1:$B$1368,"&lt;="&amp;B951)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Iniciales'!$B:$B,D952)+SUMIFS($K$1:$K$1368,$C$1:$C$1368,C952,$D$1:$D$1368,D952,$B$1:$B$1368,"&lt;="&amp;B952)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Iniciales'!$B:$B,D953)+SUMIFS($K$1:$K$1368,$C$1:$C$1368,C953,$D$1:$D$1368,D953,$B$1:$B$1368,"&lt;="&amp;B953)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Iniciales'!$B:$B,D954)+SUMIFS($K$1:$K$1368,$C$1:$C$1368,C954,$D$1:$D$1368,D954,$B$1:$B$1368,"&lt;="&amp;B954)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Iniciales'!$B:$B,D955)+SUMIFS($K$1:$K$1368,$C$1:$C$1368,C955,$D$1:$D$1368,D955,$B$1:$B$1368,"&lt;="&amp;B955)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Iniciales'!$B:$B,D956)+SUMIFS($K$1:$K$1368,$C$1:$C$1368,C956,$D$1:$D$1368,D956,$B$1:$B$1368,"&lt;="&amp;B956)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Iniciales'!$B:$B,D957)+SUMIFS($K$1:$K$1368,$C$1:$C$1368,C957,$D$1:$D$1368,D957,$B$1:$B$1368,"&lt;="&amp;B957)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Iniciales'!$B:$B,D958)+SUMIFS($K$1:$K$1368,$C$1:$C$1368,C958,$D$1:$D$1368,D958,$B$1:$B$1368,"&lt;="&amp;B958)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Iniciales'!$B:$B,D959)+SUMIFS($K$1:$K$1368,$C$1:$C$1368,C959,$D$1:$D$1368,D959,$B$1:$B$1368,"&lt;="&amp;B959)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Iniciales'!$B:$B,D960)+SUMIFS($K$1:$K$1368,$C$1:$C$1368,C960,$D$1:$D$1368,D960,$B$1:$B$1368,"&lt;="&amp;B960)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Iniciales'!$B:$B,D961)+SUMIFS($K$1:$K$1368,$C$1:$C$1368,C961,$D$1:$D$1368,D961,$B$1:$B$1368,"&lt;="&amp;B961)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Iniciales'!$B:$B,D962)+SUMIFS($K$1:$K$1368,$C$1:$C$1368,C962,$D$1:$D$1368,D962,$B$1:$B$1368,"&lt;="&amp;B962)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Iniciales'!$B:$B,D963)+SUMIFS($K$1:$K$1368,$C$1:$C$1368,C963,$D$1:$D$1368,D963,$B$1:$B$1368,"&lt;="&amp;B963)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Iniciales'!$B:$B,D964)+SUMIFS($K$1:$K$1368,$C$1:$C$1368,C964,$D$1:$D$1368,D964,$B$1:$B$1368,"&lt;="&amp;B964)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Iniciales'!$B:$B,D965)+SUMIFS($K$1:$K$1368,$C$1:$C$1368,C965,$D$1:$D$1368,D965,$B$1:$B$1368,"&lt;="&amp;B965)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Iniciales'!$B:$B,D966)+SUMIFS($K$1:$K$1368,$C$1:$C$1368,C966,$D$1:$D$1368,D966,$B$1:$B$1368,"&lt;="&amp;B966)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Iniciales'!$B:$B,D967)+SUMIFS($K$1:$K$1368,$C$1:$C$1368,C967,$D$1:$D$1368,D967,$B$1:$B$1368,"&lt;="&amp;B967)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Iniciales'!$B:$B,D968)+SUMIFS($K$1:$K$1368,$C$1:$C$1368,C968,$D$1:$D$1368,D968,$B$1:$B$1368,"&lt;="&amp;B968)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Iniciales'!$B:$B,D969)+SUMIFS($K$1:$K$1368,$C$1:$C$1368,C969,$D$1:$D$1368,D969,$B$1:$B$1368,"&lt;="&amp;B969)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Iniciales'!$B:$B,D970)+SUMIFS($K$1:$K$1368,$C$1:$C$1368,C970,$D$1:$D$1368,D970,$B$1:$B$1368,"&lt;="&amp;B970)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Iniciales'!$B:$B,D971)+SUMIFS($K$1:$K$1368,$C$1:$C$1368,C971,$D$1:$D$1368,D971,$B$1:$B$1368,"&lt;="&amp;B971)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Iniciales'!$B:$B,D972)+SUMIFS($K$1:$K$1368,$C$1:$C$1368,C972,$D$1:$D$1368,D972,$B$1:$B$1368,"&lt;="&amp;B972)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Iniciales'!$B:$B,D973)+SUMIFS($K$1:$K$1368,$C$1:$C$1368,C973,$D$1:$D$1368,D973,$B$1:$B$1368,"&lt;="&amp;B973)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Iniciales'!$B:$B,D974)+SUMIFS($K$1:$K$1368,$C$1:$C$1368,C974,$D$1:$D$1368,D974,$B$1:$B$1368,"&lt;="&amp;B974)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Iniciales'!$B:$B,D975)+SUMIFS($K$1:$K$1368,$C$1:$C$1368,C975,$D$1:$D$1368,D975,$B$1:$B$1368,"&lt;="&amp;B975)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Iniciales'!$B:$B,D976)+SUMIFS($K$1:$K$1368,$C$1:$C$1368,C976,$D$1:$D$1368,D976,$B$1:$B$1368,"&lt;="&amp;B976)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Iniciales'!$B:$B,D977)+SUMIFS($K$1:$K$1368,$C$1:$C$1368,C977,$D$1:$D$1368,D977,$B$1:$B$1368,"&lt;="&amp;B977)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Iniciales'!$B:$B,D978)+SUMIFS($K$1:$K$1368,$C$1:$C$1368,C978,$D$1:$D$1368,D978,$B$1:$B$1368,"&lt;="&amp;B978)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Iniciales'!$B:$B,D979)+SUMIFS($K$1:$K$1368,$C$1:$C$1368,C979,$D$1:$D$1368,D979,$B$1:$B$1368,"&lt;="&amp;B979)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Iniciales'!$B:$B,D980)+SUMIFS($K$1:$K$1368,$C$1:$C$1368,C980,$D$1:$D$1368,D980,$B$1:$B$1368,"&lt;="&amp;B980)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Iniciales'!$B:$B,D981)+SUMIFS($K$1:$K$1368,$C$1:$C$1368,C981,$D$1:$D$1368,D981,$B$1:$B$1368,"&lt;="&amp;B981)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Iniciales'!$B:$B,D982)+SUMIFS($K$1:$K$1368,$C$1:$C$1368,C982,$D$1:$D$1368,D982,$B$1:$B$1368,"&lt;="&amp;B982)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Iniciales'!$B:$B,D983)+SUMIFS($K$1:$K$1368,$C$1:$C$1368,C983,$D$1:$D$1368,D983,$B$1:$B$1368,"&lt;="&amp;B983)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Iniciales'!$B:$B,D984)+SUMIFS($K$1:$K$1368,$C$1:$C$1368,C984,$D$1:$D$1368,D984,$B$1:$B$1368,"&lt;="&amp;B984)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Iniciales'!$B:$B,D985)+SUMIFS($K$1:$K$1368,$C$1:$C$1368,C985,$D$1:$D$1368,D985,$B$1:$B$1368,"&lt;="&amp;B985)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Iniciales'!$B:$B,D986)+SUMIFS($K$1:$K$1368,$C$1:$C$1368,C986,$D$1:$D$1368,D986,$B$1:$B$1368,"&lt;="&amp;B986)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Iniciales'!$B:$B,D987)+SUMIFS($K$1:$K$1368,$C$1:$C$1368,C987,$D$1:$D$1368,D987,$B$1:$B$1368,"&lt;="&amp;B987)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Iniciales'!$B:$B,D988)+SUMIFS($K$1:$K$1368,$C$1:$C$1368,C988,$D$1:$D$1368,D988,$B$1:$B$1368,"&lt;="&amp;B988)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Iniciales'!$B:$B,D989)+SUMIFS($K$1:$K$1368,$C$1:$C$1368,C989,$D$1:$D$1368,D989,$B$1:$B$1368,"&lt;="&amp;B989)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Iniciales'!$B:$B,D990)+SUMIFS($K$1:$K$1368,$C$1:$C$1368,C990,$D$1:$D$1368,D990,$B$1:$B$1368,"&lt;="&amp;B990)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Iniciales'!$B:$B,D991)+SUMIFS($K$1:$K$1368,$C$1:$C$1368,C991,$D$1:$D$1368,D991,$B$1:$B$1368,"&lt;="&amp;B991)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Iniciales'!$B:$B,D992)+SUMIFS($K$1:$K$1368,$C$1:$C$1368,C992,$D$1:$D$1368,D992,$B$1:$B$1368,"&lt;="&amp;B992)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Iniciales'!$B:$B,D993)+SUMIFS($K$1:$K$1368,$C$1:$C$1368,C993,$D$1:$D$1368,D993,$B$1:$B$1368,"&lt;="&amp;B993)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Iniciales'!$B:$B,D994)+SUMIFS($K$1:$K$1368,$C$1:$C$1368,C994,$D$1:$D$1368,D994,$B$1:$B$1368,"&lt;="&amp;B994)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Iniciales'!$B:$B,D995)+SUMIFS($K$1:$K$1368,$C$1:$C$1368,C995,$D$1:$D$1368,D995,$B$1:$B$1368,"&lt;="&amp;B995)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Iniciales'!$B:$B,D996)+SUMIFS($K$1:$K$1368,$C$1:$C$1368,C996,$D$1:$D$1368,D996,$B$1:$B$1368,"&lt;="&amp;B996)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Iniciales'!$B:$B,D997)+SUMIFS($K$1:$K$1368,$C$1:$C$1368,C997,$D$1:$D$1368,D997,$B$1:$B$1368,"&lt;="&amp;B997)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Iniciales'!$B:$B,D998)+SUMIFS($K$1:$K$1368,$C$1:$C$1368,C998,$D$1:$D$1368,D998,$B$1:$B$1368,"&lt;="&amp;B998)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Iniciales'!$B:$B,D999)+SUMIFS($K$1:$K$1368,$C$1:$C$1368,C999,$D$1:$D$1368,D999,$B$1:$B$1368,"&lt;="&amp;B999)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Iniciales'!$B:$B,D1000)+SUMIFS($K$1:$K$1368,$C$1:$C$1368,C1000,$D$1:$D$1368,D1000,$B$1:$B$1368,"&lt;="&amp;B1000)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Iniciales'!$B:$B,D1001)+SUMIFS($K$1:$K$1368,$C$1:$C$1368,C1001,$D$1:$D$1368,D1001,$B$1:$B$1368,"&lt;="&amp;B1001)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Iniciales'!$B:$B,D1002)+SUMIFS($K$1:$K$1368,$C$1:$C$1368,C1002,$D$1:$D$1368,D1002,$B$1:$B$1368,"&lt;="&amp;B1002)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Iniciales'!$B:$B,D1003)+SUMIFS($K$1:$K$1368,$C$1:$C$1368,C1003,$D$1:$D$1368,D1003,$B$1:$B$1368,"&lt;="&amp;B1003)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Iniciales'!$B:$B,D1004)+SUMIFS($K$1:$K$1368,$C$1:$C$1368,C1004,$D$1:$D$1368,D1004,$B$1:$B$1368,"&lt;="&amp;B1004)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Iniciales'!$B:$B,D1005)+SUMIFS($K$1:$K$1368,$C$1:$C$1368,C1005,$D$1:$D$1368,D1005,$B$1:$B$1368,"&lt;="&amp;B1005)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Iniciales'!$B:$B,D1006)+SUMIFS($K$1:$K$1368,$C$1:$C$1368,C1006,$D$1:$D$1368,D1006,$B$1:$B$1368,"&lt;="&amp;B1006)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Iniciales'!$B:$B,D1007)+SUMIFS($K$1:$K$1368,$C$1:$C$1368,C1007,$D$1:$D$1368,D1007,$B$1:$B$1368,"&lt;="&amp;B1007)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Iniciales'!$B:$B,D1008)+SUMIFS($K$1:$K$1368,$C$1:$C$1368,C1008,$D$1:$D$1368,D1008,$B$1:$B$1368,"&lt;="&amp;B1008)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Iniciales'!$B:$B,D1009)+SUMIFS($K$1:$K$1368,$C$1:$C$1368,C1009,$D$1:$D$1368,D1009,$B$1:$B$1368,"&lt;="&amp;B1009)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Iniciales'!$B:$B,D1010)+SUMIFS($K$1:$K$1368,$C$1:$C$1368,C1010,$D$1:$D$1368,D1010,$B$1:$B$1368,"&lt;="&amp;B1010)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Iniciales'!$B:$B,D1011)+SUMIFS($K$1:$K$1368,$C$1:$C$1368,C1011,$D$1:$D$1368,D1011,$B$1:$B$1368,"&lt;="&amp;B1011)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Iniciales'!$B:$B,D1012)+SUMIFS($K$1:$K$1368,$C$1:$C$1368,C1012,$D$1:$D$1368,D1012,$B$1:$B$1368,"&lt;="&amp;B1012)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Iniciales'!$B:$B,D1013)+SUMIFS($K$1:$K$1368,$C$1:$C$1368,C1013,$D$1:$D$1368,D1013,$B$1:$B$1368,"&lt;="&amp;B1013)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Iniciales'!$B:$B,D1014)+SUMIFS($K$1:$K$1368,$C$1:$C$1368,C1014,$D$1:$D$1368,D1014,$B$1:$B$1368,"&lt;="&amp;B1014)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Iniciales'!$B:$B,D1015)+SUMIFS($K$1:$K$1368,$C$1:$C$1368,C1015,$D$1:$D$1368,D1015,$B$1:$B$1368,"&lt;="&amp;B1015)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Iniciales'!$B:$B,D1016)+SUMIFS($K$1:$K$1368,$C$1:$C$1368,C1016,$D$1:$D$1368,D1016,$B$1:$B$1368,"&lt;="&amp;B1016)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Iniciales'!$B:$B,D1017)+SUMIFS($K$1:$K$1368,$C$1:$C$1368,C1017,$D$1:$D$1368,D1017,$B$1:$B$1368,"&lt;="&amp;B1017)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Iniciales'!$B:$B,D1018)+SUMIFS($K$1:$K$1368,$C$1:$C$1368,C1018,$D$1:$D$1368,D1018,$B$1:$B$1368,"&lt;="&amp;B1018)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Iniciales'!$B:$B,D1019)+SUMIFS($K$1:$K$1368,$C$1:$C$1368,C1019,$D$1:$D$1368,D1019,$B$1:$B$1368,"&lt;="&amp;B1019)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Iniciales'!$B:$B,D1020)+SUMIFS($K$1:$K$1368,$C$1:$C$1368,C1020,$D$1:$D$1368,D1020,$B$1:$B$1368,"&lt;="&amp;B1020)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Iniciales'!$B:$B,D1021)+SUMIFS($K$1:$K$1368,$C$1:$C$1368,C1021,$D$1:$D$1368,D1021,$B$1:$B$1368,"&lt;="&amp;B1021)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Iniciales'!$B:$B,D1022)+SUMIFS($K$1:$K$1368,$C$1:$C$1368,C1022,$D$1:$D$1368,D1022,$B$1:$B$1368,"&lt;="&amp;B1022)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Iniciales'!$B:$B,D1023)+SUMIFS($K$1:$K$1368,$C$1:$C$1368,C1023,$D$1:$D$1368,D1023,$B$1:$B$1368,"&lt;="&amp;B1023)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Iniciales'!$B:$B,D1024)+SUMIFS($K$1:$K$1368,$C$1:$C$1368,C1024,$D$1:$D$1368,D1024,$B$1:$B$1368,"&lt;="&amp;B1024)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Iniciales'!$B:$B,D1025)+SUMIFS($K$1:$K$1368,$C$1:$C$1368,C1025,$D$1:$D$1368,D1025,$B$1:$B$1368,"&lt;="&amp;B1025)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Iniciales'!$B:$B,D1026)+SUMIFS($K$1:$K$1368,$C$1:$C$1368,C1026,$D$1:$D$1368,D1026,$B$1:$B$1368,"&lt;="&amp;B1026)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Iniciales'!$B:$B,D1027)+SUMIFS($K$1:$K$1368,$C$1:$C$1368,C1027,$D$1:$D$1368,D1027,$B$1:$B$1368,"&lt;="&amp;B1027)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Iniciales'!$B:$B,D1028)+SUMIFS($K$1:$K$1368,$C$1:$C$1368,C1028,$D$1:$D$1368,D1028,$B$1:$B$1368,"&lt;="&amp;B1028)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Iniciales'!$B:$B,D1029)+SUMIFS($K$1:$K$1368,$C$1:$C$1368,C1029,$D$1:$D$1368,D1029,$B$1:$B$1368,"&lt;="&amp;B1029)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Iniciales'!$B:$B,D1030)+SUMIFS($K$1:$K$1368,$C$1:$C$1368,C1030,$D$1:$D$1368,D1030,$B$1:$B$1368,"&lt;="&amp;B1030)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Iniciales'!$B:$B,D1031)+SUMIFS($K$1:$K$1368,$C$1:$C$1368,C1031,$D$1:$D$1368,D1031,$B$1:$B$1368,"&lt;="&amp;B1031)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Iniciales'!$B:$B,D1032)+SUMIFS($K$1:$K$1368,$C$1:$C$1368,C1032,$D$1:$D$1368,D1032,$B$1:$B$1368,"&lt;="&amp;B1032)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Iniciales'!$B:$B,D1033)+SUMIFS($K$1:$K$1368,$C$1:$C$1368,C1033,$D$1:$D$1368,D1033,$B$1:$B$1368,"&lt;="&amp;B1033)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Iniciales'!$B:$B,D1034)+SUMIFS($K$1:$K$1368,$C$1:$C$1368,C1034,$D$1:$D$1368,D1034,$B$1:$B$1368,"&lt;="&amp;B1034)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Iniciales'!$B:$B,D1035)+SUMIFS($K$1:$K$1368,$C$1:$C$1368,C1035,$D$1:$D$1368,D1035,$B$1:$B$1368,"&lt;="&amp;B1035)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Iniciales'!$B:$B,D1036)+SUMIFS($K$1:$K$1368,$C$1:$C$1368,C1036,$D$1:$D$1368,D1036,$B$1:$B$1368,"&lt;="&amp;B1036)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Iniciales'!$B:$B,D1037)+SUMIFS($K$1:$K$1368,$C$1:$C$1368,C1037,$D$1:$D$1368,D1037,$B$1:$B$1368,"&lt;="&amp;B1037)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Iniciales'!$B:$B,D1038)+SUMIFS($K$1:$K$1368,$C$1:$C$1368,C1038,$D$1:$D$1368,D1038,$B$1:$B$1368,"&lt;="&amp;B1038)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Iniciales'!$B:$B,D1039)+SUMIFS($K$1:$K$1368,$C$1:$C$1368,C1039,$D$1:$D$1368,D1039,$B$1:$B$1368,"&lt;="&amp;B1039)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Iniciales'!$B:$B,D1040)+SUMIFS($K$1:$K$1368,$C$1:$C$1368,C1040,$D$1:$D$1368,D1040,$B$1:$B$1368,"&lt;="&amp;B1040)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Iniciales'!$B:$B,D1041)+SUMIFS($K$1:$K$1368,$C$1:$C$1368,C1041,$D$1:$D$1368,D1041,$B$1:$B$1368,"&lt;="&amp;B1041)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Iniciales'!$B:$B,D1042)+SUMIFS($K$1:$K$1368,$C$1:$C$1368,C1042,$D$1:$D$1368,D1042,$B$1:$B$1368,"&lt;="&amp;B1042)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Iniciales'!$B:$B,D1043)+SUMIFS($K$1:$K$1368,$C$1:$C$1368,C1043,$D$1:$D$1368,D1043,$B$1:$B$1368,"&lt;="&amp;B1043)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Iniciales'!$B:$B,D1044)+SUMIFS($K$1:$K$1368,$C$1:$C$1368,C1044,$D$1:$D$1368,D1044,$B$1:$B$1368,"&lt;="&amp;B1044)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Iniciales'!$B:$B,D1045)+SUMIFS($K$1:$K$1368,$C$1:$C$1368,C1045,$D$1:$D$1368,D1045,$B$1:$B$1368,"&lt;="&amp;B1045)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Iniciales'!$B:$B,D1046)+SUMIFS($K$1:$K$1368,$C$1:$C$1368,C1046,$D$1:$D$1368,D1046,$B$1:$B$1368,"&lt;="&amp;B1046)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Iniciales'!$B:$B,D1047)+SUMIFS($K$1:$K$1368,$C$1:$C$1368,C1047,$D$1:$D$1368,D1047,$B$1:$B$1368,"&lt;="&amp;B1047)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Iniciales'!$B:$B,D1048)+SUMIFS($K$1:$K$1368,$C$1:$C$1368,C1048,$D$1:$D$1368,D1048,$B$1:$B$1368,"&lt;="&amp;B1048)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Iniciales'!$B:$B,D1049)+SUMIFS($K$1:$K$1368,$C$1:$C$1368,C1049,$D$1:$D$1368,D1049,$B$1:$B$1368,"&lt;="&amp;B1049)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Iniciales'!$B:$B,D1050)+SUMIFS($K$1:$K$1368,$C$1:$C$1368,C1050,$D$1:$D$1368,D1050,$B$1:$B$1368,"&lt;="&amp;B1050)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Iniciales'!$B:$B,D1051)+SUMIFS($K$1:$K$1368,$C$1:$C$1368,C1051,$D$1:$D$1368,D1051,$B$1:$B$1368,"&lt;="&amp;B1051)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Iniciales'!$B:$B,D1052)+SUMIFS($K$1:$K$1368,$C$1:$C$1368,C1052,$D$1:$D$1368,D1052,$B$1:$B$1368,"&lt;="&amp;B1052)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Iniciales'!$B:$B,D1053)+SUMIFS($K$1:$K$1368,$C$1:$C$1368,C1053,$D$1:$D$1368,D1053,$B$1:$B$1368,"&lt;="&amp;B1053)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Iniciales'!$B:$B,D1054)+SUMIFS($K$1:$K$1368,$C$1:$C$1368,C1054,$D$1:$D$1368,D1054,$B$1:$B$1368,"&lt;="&amp;B1054)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Iniciales'!$B:$B,D1055)+SUMIFS($K$1:$K$1368,$C$1:$C$1368,C1055,$D$1:$D$1368,D1055,$B$1:$B$1368,"&lt;="&amp;B1055)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Iniciales'!$B:$B,D1056)+SUMIFS($K$1:$K$1368,$C$1:$C$1368,C1056,$D$1:$D$1368,D1056,$B$1:$B$1368,"&lt;="&amp;B1056)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Iniciales'!$B:$B,D1057)+SUMIFS($K$1:$K$1368,$C$1:$C$1368,C1057,$D$1:$D$1368,D1057,$B$1:$B$1368,"&lt;="&amp;B1057)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Iniciales'!$B:$B,D1058)+SUMIFS($K$1:$K$1368,$C$1:$C$1368,C1058,$D$1:$D$1368,D1058,$B$1:$B$1368,"&lt;="&amp;B1058)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Iniciales'!$B:$B,D1059)+SUMIFS($K$1:$K$1368,$C$1:$C$1368,C1059,$D$1:$D$1368,D1059,$B$1:$B$1368,"&lt;="&amp;B1059)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Iniciales'!$B:$B,D1060)+SUMIFS($K$1:$K$1368,$C$1:$C$1368,C1060,$D$1:$D$1368,D1060,$B$1:$B$1368,"&lt;="&amp;B1060)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Iniciales'!$B:$B,D1061)+SUMIFS($K$1:$K$1368,$C$1:$C$1368,C1061,$D$1:$D$1368,D1061,$B$1:$B$1368,"&lt;="&amp;B1061)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Iniciales'!$B:$B,D1062)+SUMIFS($K$1:$K$1368,$C$1:$C$1368,C1062,$D$1:$D$1368,D1062,$B$1:$B$1368,"&lt;="&amp;B1062)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Iniciales'!$B:$B,D1063)+SUMIFS($K$1:$K$1368,$C$1:$C$1368,C1063,$D$1:$D$1368,D1063,$B$1:$B$1368,"&lt;="&amp;B1063)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Iniciales'!$B:$B,D1064)+SUMIFS($K$1:$K$1368,$C$1:$C$1368,C1064,$D$1:$D$1368,D1064,$B$1:$B$1368,"&lt;="&amp;B1064)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Iniciales'!$B:$B,D1065)+SUMIFS($K$1:$K$1368,$C$1:$C$1368,C1065,$D$1:$D$1368,D1065,$B$1:$B$1368,"&lt;="&amp;B1065)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Iniciales'!$B:$B,D1066)+SUMIFS($K$1:$K$1368,$C$1:$C$1368,C1066,$D$1:$D$1368,D1066,$B$1:$B$1368,"&lt;="&amp;B1066)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Iniciales'!$B:$B,D1067)+SUMIFS($K$1:$K$1368,$C$1:$C$1368,C1067,$D$1:$D$1368,D1067,$B$1:$B$1368,"&lt;="&amp;B1067)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Iniciales'!$B:$B,D1068)+SUMIFS($K$1:$K$1368,$C$1:$C$1368,C1068,$D$1:$D$1368,D1068,$B$1:$B$1368,"&lt;="&amp;B1068)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Iniciales'!$B:$B,D1069)+SUMIFS($K$1:$K$1368,$C$1:$C$1368,C1069,$D$1:$D$1368,D1069,$B$1:$B$1368,"&lt;="&amp;B1069)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Iniciales'!$B:$B,D1070)+SUMIFS($K$1:$K$1368,$C$1:$C$1368,C1070,$D$1:$D$1368,D1070,$B$1:$B$1368,"&lt;="&amp;B1070)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Iniciales'!$B:$B,D1071)+SUMIFS($K$1:$K$1368,$C$1:$C$1368,C1071,$D$1:$D$1368,D1071,$B$1:$B$1368,"&lt;="&amp;B1071)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Iniciales'!$B:$B,D1072)+SUMIFS($K$1:$K$1368,$C$1:$C$1368,C1072,$D$1:$D$1368,D1072,$B$1:$B$1368,"&lt;="&amp;B1072)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Iniciales'!$B:$B,D1073)+SUMIFS($K$1:$K$1368,$C$1:$C$1368,C1073,$D$1:$D$1368,D1073,$B$1:$B$1368,"&lt;="&amp;B1073)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Iniciales'!$B:$B,D1074)+SUMIFS($K$1:$K$1368,$C$1:$C$1368,C1074,$D$1:$D$1368,D1074,$B$1:$B$1368,"&lt;="&amp;B1074)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Iniciales'!$B:$B,D1075)+SUMIFS($K$1:$K$1368,$C$1:$C$1368,C1075,$D$1:$D$1368,D1075,$B$1:$B$1368,"&lt;="&amp;B1075)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Iniciales'!$B:$B,D1076)+SUMIFS($K$1:$K$1368,$C$1:$C$1368,C1076,$D$1:$D$1368,D1076,$B$1:$B$1368,"&lt;="&amp;B1076)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Iniciales'!$B:$B,D1077)+SUMIFS($K$1:$K$1368,$C$1:$C$1368,C1077,$D$1:$D$1368,D1077,$B$1:$B$1368,"&lt;="&amp;B1077)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Iniciales'!$B:$B,D1078)+SUMIFS($K$1:$K$1368,$C$1:$C$1368,C1078,$D$1:$D$1368,D1078,$B$1:$B$1368,"&lt;="&amp;B1078)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Iniciales'!$B:$B,D1079)+SUMIFS($K$1:$K$1368,$C$1:$C$1368,C1079,$D$1:$D$1368,D1079,$B$1:$B$1368,"&lt;="&amp;B1079)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Iniciales'!$B:$B,D1080)+SUMIFS($K$1:$K$1368,$C$1:$C$1368,C1080,$D$1:$D$1368,D1080,$B$1:$B$1368,"&lt;="&amp;B1080)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Iniciales'!$B:$B,D1081)+SUMIFS($K$1:$K$1368,$C$1:$C$1368,C1081,$D$1:$D$1368,D1081,$B$1:$B$1368,"&lt;="&amp;B1081)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Iniciales'!$B:$B,D1082)+SUMIFS($K$1:$K$1368,$C$1:$C$1368,C1082,$D$1:$D$1368,D1082,$B$1:$B$1368,"&lt;="&amp;B1082)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Iniciales'!$B:$B,D1083)+SUMIFS($K$1:$K$1368,$C$1:$C$1368,C1083,$D$1:$D$1368,D1083,$B$1:$B$1368,"&lt;="&amp;B1083)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Iniciales'!$B:$B,D1084)+SUMIFS($K$1:$K$1368,$C$1:$C$1368,C1084,$D$1:$D$1368,D1084,$B$1:$B$1368,"&lt;="&amp;B1084)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Iniciales'!$B:$B,D1085)+SUMIFS($K$1:$K$1368,$C$1:$C$1368,C1085,$D$1:$D$1368,D1085,$B$1:$B$1368,"&lt;="&amp;B1085)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Iniciales'!$B:$B,D1086)+SUMIFS($K$1:$K$1368,$C$1:$C$1368,C1086,$D$1:$D$1368,D1086,$B$1:$B$1368,"&lt;="&amp;B1086)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Iniciales'!$B:$B,D1087)+SUMIFS($K$1:$K$1368,$C$1:$C$1368,C1087,$D$1:$D$1368,D1087,$B$1:$B$1368,"&lt;="&amp;B1087)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Iniciales'!$B:$B,D1088)+SUMIFS($K$1:$K$1368,$C$1:$C$1368,C1088,$D$1:$D$1368,D1088,$B$1:$B$1368,"&lt;="&amp;B1088)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Iniciales'!$B:$B,D1089)+SUMIFS($K$1:$K$1368,$C$1:$C$1368,C1089,$D$1:$D$1368,D1089,$B$1:$B$1368,"&lt;="&amp;B1089)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Iniciales'!$B:$B,D1090)+SUMIFS($K$1:$K$1368,$C$1:$C$1368,C1090,$D$1:$D$1368,D1090,$B$1:$B$1368,"&lt;="&amp;B1090)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Iniciales'!$B:$B,D1091)+SUMIFS($K$1:$K$1368,$C$1:$C$1368,C1091,$D$1:$D$1368,D1091,$B$1:$B$1368,"&lt;="&amp;B1091)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Iniciales'!$B:$B,D1092)+SUMIFS($K$1:$K$1368,$C$1:$C$1368,C1092,$D$1:$D$1368,D1092,$B$1:$B$1368,"&lt;="&amp;B1092)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Iniciales'!$B:$B,D1093)+SUMIFS($K$1:$K$1368,$C$1:$C$1368,C1093,$D$1:$D$1368,D1093,$B$1:$B$1368,"&lt;="&amp;B1093)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Iniciales'!$B:$B,D1094)+SUMIFS($K$1:$K$1368,$C$1:$C$1368,C1094,$D$1:$D$1368,D1094,$B$1:$B$1368,"&lt;="&amp;B1094)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Iniciales'!$B:$B,D1095)+SUMIFS($K$1:$K$1368,$C$1:$C$1368,C1095,$D$1:$D$1368,D1095,$B$1:$B$1368,"&lt;="&amp;B1095)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Iniciales'!$B:$B,D1096)+SUMIFS($K$1:$K$1368,$C$1:$C$1368,C1096,$D$1:$D$1368,D1096,$B$1:$B$1368,"&lt;="&amp;B1096)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Iniciales'!$B:$B,D1097)+SUMIFS($K$1:$K$1368,$C$1:$C$1368,C1097,$D$1:$D$1368,D1097,$B$1:$B$1368,"&lt;="&amp;B1097)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Iniciales'!$B:$B,D1098)+SUMIFS($K$1:$K$1368,$C$1:$C$1368,C1098,$D$1:$D$1368,D1098,$B$1:$B$1368,"&lt;="&amp;B1098)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Iniciales'!$B:$B,D1099)+SUMIFS($K$1:$K$1368,$C$1:$C$1368,C1099,$D$1:$D$1368,D1099,$B$1:$B$1368,"&lt;="&amp;B1099)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Iniciales'!$B:$B,D1100)+SUMIFS($K$1:$K$1368,$C$1:$C$1368,C1100,$D$1:$D$1368,D1100,$B$1:$B$1368,"&lt;="&amp;B1100)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Iniciales'!$B:$B,D1101)+SUMIFS($K$1:$K$1368,$C$1:$C$1368,C1101,$D$1:$D$1368,D1101,$B$1:$B$1368,"&lt;="&amp;B1101)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Iniciales'!$B:$B,D1102)+SUMIFS($K$1:$K$1368,$C$1:$C$1368,C1102,$D$1:$D$1368,D1102,$B$1:$B$1368,"&lt;="&amp;B1102)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Iniciales'!$B:$B,D1103)+SUMIFS($K$1:$K$1368,$C$1:$C$1368,C1103,$D$1:$D$1368,D1103,$B$1:$B$1368,"&lt;="&amp;B1103)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Iniciales'!$B:$B,D1104)+SUMIFS($K$1:$K$1368,$C$1:$C$1368,C1104,$D$1:$D$1368,D1104,$B$1:$B$1368,"&lt;="&amp;B1104)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Iniciales'!$B:$B,D1105)+SUMIFS($K$1:$K$1368,$C$1:$C$1368,C1105,$D$1:$D$1368,D1105,$B$1:$B$1368,"&lt;="&amp;B1105)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Iniciales'!$B:$B,D1106)+SUMIFS($K$1:$K$1368,$C$1:$C$1368,C1106,$D$1:$D$1368,D1106,$B$1:$B$1368,"&lt;="&amp;B1106)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Iniciales'!$B:$B,D1107)+SUMIFS($K$1:$K$1368,$C$1:$C$1368,C1107,$D$1:$D$1368,D1107,$B$1:$B$1368,"&lt;="&amp;B1107)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Iniciales'!$B:$B,D1108)+SUMIFS($K$1:$K$1368,$C$1:$C$1368,C1108,$D$1:$D$1368,D1108,$B$1:$B$1368,"&lt;="&amp;B1108)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Iniciales'!$B:$B,D1109)+SUMIFS($K$1:$K$1368,$C$1:$C$1368,C1109,$D$1:$D$1368,D1109,$B$1:$B$1368,"&lt;="&amp;B1109)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Iniciales'!$B:$B,D1110)+SUMIFS($K$1:$K$1368,$C$1:$C$1368,C1110,$D$1:$D$1368,D1110,$B$1:$B$1368,"&lt;="&amp;B1110)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Iniciales'!$B:$B,D1111)+SUMIFS($K$1:$K$1368,$C$1:$C$1368,C1111,$D$1:$D$1368,D1111,$B$1:$B$1368,"&lt;="&amp;B1111)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Iniciales'!$B:$B,D1112)+SUMIFS($K$1:$K$1368,$C$1:$C$1368,C1112,$D$1:$D$1368,D1112,$B$1:$B$1368,"&lt;="&amp;B1112)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Iniciales'!$B:$B,D1113)+SUMIFS($K$1:$K$1368,$C$1:$C$1368,C1113,$D$1:$D$1368,D1113,$B$1:$B$1368,"&lt;="&amp;B1113)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Iniciales'!$B:$B,D1114)+SUMIFS($K$1:$K$1368,$C$1:$C$1368,C1114,$D$1:$D$1368,D1114,$B$1:$B$1368,"&lt;="&amp;B1114)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Iniciales'!$B:$B,D1115)+SUMIFS($K$1:$K$1368,$C$1:$C$1368,C1115,$D$1:$D$1368,D1115,$B$1:$B$1368,"&lt;="&amp;B1115)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Iniciales'!$B:$B,D1116)+SUMIFS($K$1:$K$1368,$C$1:$C$1368,C1116,$D$1:$D$1368,D1116,$B$1:$B$1368,"&lt;="&amp;B1116)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Iniciales'!$B:$B,D1117)+SUMIFS($K$1:$K$1368,$C$1:$C$1368,C1117,$D$1:$D$1368,D1117,$B$1:$B$1368,"&lt;="&amp;B1117)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Iniciales'!$B:$B,D1118)+SUMIFS($K$1:$K$1368,$C$1:$C$1368,C1118,$D$1:$D$1368,D1118,$B$1:$B$1368,"&lt;="&amp;B1118)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Iniciales'!$B:$B,D1119)+SUMIFS($K$1:$K$1368,$C$1:$C$1368,C1119,$D$1:$D$1368,D1119,$B$1:$B$1368,"&lt;="&amp;B1119)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Iniciales'!$B:$B,D1120)+SUMIFS($K$1:$K$1368,$C$1:$C$1368,C1120,$D$1:$D$1368,D1120,$B$1:$B$1368,"&lt;="&amp;B1120)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Iniciales'!$B:$B,D1121)+SUMIFS($K$1:$K$1368,$C$1:$C$1368,C1121,$D$1:$D$1368,D1121,$B$1:$B$1368,"&lt;="&amp;B1121)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Iniciales'!$B:$B,D1122)+SUMIFS($K$1:$K$1368,$C$1:$C$1368,C1122,$D$1:$D$1368,D1122,$B$1:$B$1368,"&lt;="&amp;B1122)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Iniciales'!$B:$B,D1123)+SUMIFS($K$1:$K$1368,$C$1:$C$1368,C1123,$D$1:$D$1368,D1123,$B$1:$B$1368,"&lt;="&amp;B1123)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Iniciales'!$B:$B,D1124)+SUMIFS($K$1:$K$1368,$C$1:$C$1368,C1124,$D$1:$D$1368,D1124,$B$1:$B$1368,"&lt;="&amp;B1124)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Iniciales'!$B:$B,D1125)+SUMIFS($K$1:$K$1368,$C$1:$C$1368,C1125,$D$1:$D$1368,D1125,$B$1:$B$1368,"&lt;="&amp;B1125)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Iniciales'!$B:$B,D1126)+SUMIFS($K$1:$K$1368,$C$1:$C$1368,C1126,$D$1:$D$1368,D1126,$B$1:$B$1368,"&lt;="&amp;B1126)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Iniciales'!$B:$B,D1127)+SUMIFS($K$1:$K$1368,$C$1:$C$1368,C1127,$D$1:$D$1368,D1127,$B$1:$B$1368,"&lt;="&amp;B1127)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Iniciales'!$B:$B,D1128)+SUMIFS($K$1:$K$1368,$C$1:$C$1368,C1128,$D$1:$D$1368,D1128,$B$1:$B$1368,"&lt;="&amp;B1128)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Iniciales'!$B:$B,D1129)+SUMIFS($K$1:$K$1368,$C$1:$C$1368,C1129,$D$1:$D$1368,D1129,$B$1:$B$1368,"&lt;="&amp;B1129)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Iniciales'!$B:$B,D1130)+SUMIFS($K$1:$K$1368,$C$1:$C$1368,C1130,$D$1:$D$1368,D1130,$B$1:$B$1368,"&lt;="&amp;B1130)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Iniciales'!$B:$B,D1131)+SUMIFS($K$1:$K$1368,$C$1:$C$1368,C1131,$D$1:$D$1368,D1131,$B$1:$B$1368,"&lt;="&amp;B1131)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Iniciales'!$B:$B,D1132)+SUMIFS($K$1:$K$1368,$C$1:$C$1368,C1132,$D$1:$D$1368,D1132,$B$1:$B$1368,"&lt;="&amp;B1132)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Iniciales'!$B:$B,D1133)+SUMIFS($K$1:$K$1368,$C$1:$C$1368,C1133,$D$1:$D$1368,D1133,$B$1:$B$1368,"&lt;="&amp;B1133)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Iniciales'!$B:$B,D1134)+SUMIFS($K$1:$K$1368,$C$1:$C$1368,C1134,$D$1:$D$1368,D1134,$B$1:$B$1368,"&lt;="&amp;B1134)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Iniciales'!$B:$B,D1135)+SUMIFS($K$1:$K$1368,$C$1:$C$1368,C1135,$D$1:$D$1368,D1135,$B$1:$B$1368,"&lt;="&amp;B1135)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Iniciales'!$B:$B,D1136)+SUMIFS($K$1:$K$1368,$C$1:$C$1368,C1136,$D$1:$D$1368,D1136,$B$1:$B$1368,"&lt;="&amp;B1136)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Iniciales'!$B:$B,D1137)+SUMIFS($K$1:$K$1368,$C$1:$C$1368,C1137,$D$1:$D$1368,D1137,$B$1:$B$1368,"&lt;="&amp;B1137)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Iniciales'!$B:$B,D1138)+SUMIFS($K$1:$K$1368,$C$1:$C$1368,C1138,$D$1:$D$1368,D1138,$B$1:$B$1368,"&lt;="&amp;B1138)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Iniciales'!$B:$B,D1139)+SUMIFS($K$1:$K$1368,$C$1:$C$1368,C1139,$D$1:$D$1368,D1139,$B$1:$B$1368,"&lt;="&amp;B1139)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Iniciales'!$B:$B,D1140)+SUMIFS($K$1:$K$1368,$C$1:$C$1368,C1140,$D$1:$D$1368,D1140,$B$1:$B$1368,"&lt;="&amp;B1140)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Iniciales'!$B:$B,D1141)+SUMIFS($K$1:$K$1368,$C$1:$C$1368,C1141,$D$1:$D$1368,D1141,$B$1:$B$1368,"&lt;="&amp;B1141)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Iniciales'!$B:$B,D1142)+SUMIFS($K$1:$K$1368,$C$1:$C$1368,C1142,$D$1:$D$1368,D1142,$B$1:$B$1368,"&lt;="&amp;B1142)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Iniciales'!$B:$B,D1143)+SUMIFS($K$1:$K$1368,$C$1:$C$1368,C1143,$D$1:$D$1368,D1143,$B$1:$B$1368,"&lt;="&amp;B1143)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Iniciales'!$B:$B,D1144)+SUMIFS($K$1:$K$1368,$C$1:$C$1368,C1144,$D$1:$D$1368,D1144,$B$1:$B$1368,"&lt;="&amp;B1144)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Iniciales'!$B:$B,D1145)+SUMIFS($K$1:$K$1368,$C$1:$C$1368,C1145,$D$1:$D$1368,D1145,$B$1:$B$1368,"&lt;="&amp;B1145)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Iniciales'!$B:$B,D1146)+SUMIFS($K$1:$K$1368,$C$1:$C$1368,C1146,$D$1:$D$1368,D1146,$B$1:$B$1368,"&lt;="&amp;B1146)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Iniciales'!$B:$B,D1147)+SUMIFS($K$1:$K$1368,$C$1:$C$1368,C1147,$D$1:$D$1368,D1147,$B$1:$B$1368,"&lt;="&amp;B1147)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Iniciales'!$B:$B,D1148)+SUMIFS($K$1:$K$1368,$C$1:$C$1368,C1148,$D$1:$D$1368,D1148,$B$1:$B$1368,"&lt;="&amp;B1148)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Iniciales'!$B:$B,D1149)+SUMIFS($K$1:$K$1368,$C$1:$C$1368,C1149,$D$1:$D$1368,D1149,$B$1:$B$1368,"&lt;="&amp;B1149)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Iniciales'!$B:$B,D1150)+SUMIFS($K$1:$K$1368,$C$1:$C$1368,C1150,$D$1:$D$1368,D1150,$B$1:$B$1368,"&lt;="&amp;B1150)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Iniciales'!$B:$B,D1151)+SUMIFS($K$1:$K$1368,$C$1:$C$1368,C1151,$D$1:$D$1368,D1151,$B$1:$B$1368,"&lt;="&amp;B1151)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Iniciales'!$B:$B,D1152)+SUMIFS($K$1:$K$1368,$C$1:$C$1368,C1152,$D$1:$D$1368,D1152,$B$1:$B$1368,"&lt;="&amp;B1152)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Iniciales'!$B:$B,D1153)+SUMIFS($K$1:$K$1368,$C$1:$C$1368,C1153,$D$1:$D$1368,D1153,$B$1:$B$1368,"&lt;="&amp;B1153)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Iniciales'!$B:$B,D1154)+SUMIFS($K$1:$K$1368,$C$1:$C$1368,C1154,$D$1:$D$1368,D1154,$B$1:$B$1368,"&lt;="&amp;B1154)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Iniciales'!$B:$B,D1155)+SUMIFS($K$1:$K$1368,$C$1:$C$1368,C1155,$D$1:$D$1368,D1155,$B$1:$B$1368,"&lt;="&amp;B1155)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Iniciales'!$B:$B,D1156)+SUMIFS($K$1:$K$1368,$C$1:$C$1368,C1156,$D$1:$D$1368,D1156,$B$1:$B$1368,"&lt;="&amp;B1156)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Iniciales'!$B:$B,D1157)+SUMIFS($K$1:$K$1368,$C$1:$C$1368,C1157,$D$1:$D$1368,D1157,$B$1:$B$1368,"&lt;="&amp;B1157)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Iniciales'!$B:$B,D1158)+SUMIFS($K$1:$K$1368,$C$1:$C$1368,C1158,$D$1:$D$1368,D1158,$B$1:$B$1368,"&lt;="&amp;B1158)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Iniciales'!$B:$B,D1159)+SUMIFS($K$1:$K$1368,$C$1:$C$1368,C1159,$D$1:$D$1368,D1159,$B$1:$B$1368,"&lt;="&amp;B1159)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Iniciales'!$B:$B,D1160)+SUMIFS($K$1:$K$1368,$C$1:$C$1368,C1160,$D$1:$D$1368,D1160,$B$1:$B$1368,"&lt;="&amp;B1160)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Iniciales'!$B:$B,D1161)+SUMIFS($K$1:$K$1368,$C$1:$C$1368,C1161,$D$1:$D$1368,D1161,$B$1:$B$1368,"&lt;="&amp;B1161)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Iniciales'!$B:$B,D1162)+SUMIFS($K$1:$K$1368,$C$1:$C$1368,C1162,$D$1:$D$1368,D1162,$B$1:$B$1368,"&lt;="&amp;B1162)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Iniciales'!$B:$B,D1163)+SUMIFS($K$1:$K$1368,$C$1:$C$1368,C1163,$D$1:$D$1368,D1163,$B$1:$B$1368,"&lt;="&amp;B1163)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Iniciales'!$B:$B,D1164)+SUMIFS($K$1:$K$1368,$C$1:$C$1368,C1164,$D$1:$D$1368,D1164,$B$1:$B$1368,"&lt;="&amp;B1164)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Iniciales'!$B:$B,D1165)+SUMIFS($K$1:$K$1368,$C$1:$C$1368,C1165,$D$1:$D$1368,D1165,$B$1:$B$1368,"&lt;="&amp;B1165)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Iniciales'!$B:$B,D1166)+SUMIFS($K$1:$K$1368,$C$1:$C$1368,C1166,$D$1:$D$1368,D1166,$B$1:$B$1368,"&lt;="&amp;B1166)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Iniciales'!$B:$B,D1167)+SUMIFS($K$1:$K$1368,$C$1:$C$1368,C1167,$D$1:$D$1368,D1167,$B$1:$B$1368,"&lt;="&amp;B1167)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Iniciales'!$B:$B,D1168)+SUMIFS($K$1:$K$1368,$C$1:$C$1368,C1168,$D$1:$D$1368,D1168,$B$1:$B$1368,"&lt;="&amp;B1168)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Iniciales'!$B:$B,D1169)+SUMIFS($K$1:$K$1368,$C$1:$C$1368,C1169,$D$1:$D$1368,D1169,$B$1:$B$1368,"&lt;="&amp;B1169)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Iniciales'!$B:$B,D1170)+SUMIFS($K$1:$K$1368,$C$1:$C$1368,C1170,$D$1:$D$1368,D1170,$B$1:$B$1368,"&lt;="&amp;B1170)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Iniciales'!$B:$B,D1171)+SUMIFS($K$1:$K$1368,$C$1:$C$1368,C1171,$D$1:$D$1368,D1171,$B$1:$B$1368,"&lt;="&amp;B1171)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Iniciales'!$B:$B,D1172)+SUMIFS($K$1:$K$1368,$C$1:$C$1368,C1172,$D$1:$D$1368,D1172,$B$1:$B$1368,"&lt;="&amp;B1172)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Iniciales'!$B:$B,D1173)+SUMIFS($K$1:$K$1368,$C$1:$C$1368,C1173,$D$1:$D$1368,D1173,$B$1:$B$1368,"&lt;="&amp;B1173)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Iniciales'!$B:$B,D1174)+SUMIFS($K$1:$K$1368,$C$1:$C$1368,C1174,$D$1:$D$1368,D1174,$B$1:$B$1368,"&lt;="&amp;B1174)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Iniciales'!$B:$B,D1175)+SUMIFS($K$1:$K$1368,$C$1:$C$1368,C1175,$D$1:$D$1368,D1175,$B$1:$B$1368,"&lt;="&amp;B1175)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Iniciales'!$B:$B,D1176)+SUMIFS($K$1:$K$1368,$C$1:$C$1368,C1176,$D$1:$D$1368,D1176,$B$1:$B$1368,"&lt;="&amp;B1176)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Iniciales'!$B:$B,D1177)+SUMIFS($K$1:$K$1368,$C$1:$C$1368,C1177,$D$1:$D$1368,D1177,$B$1:$B$1368,"&lt;="&amp;B1177)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Iniciales'!$B:$B,D1178)+SUMIFS($K$1:$K$1368,$C$1:$C$1368,C1178,$D$1:$D$1368,D1178,$B$1:$B$1368,"&lt;="&amp;B1178)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Iniciales'!$B:$B,D1179)+SUMIFS($K$1:$K$1368,$C$1:$C$1368,C1179,$D$1:$D$1368,D1179,$B$1:$B$1368,"&lt;="&amp;B1179)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Iniciales'!$B:$B,D1180)+SUMIFS($K$1:$K$1368,$C$1:$C$1368,C1180,$D$1:$D$1368,D1180,$B$1:$B$1368,"&lt;="&amp;B1180)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Iniciales'!$B:$B,D1181)+SUMIFS($K$1:$K$1368,$C$1:$C$1368,C1181,$D$1:$D$1368,D1181,$B$1:$B$1368,"&lt;="&amp;B1181)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Iniciales'!$B:$B,D1182)+SUMIFS($K$1:$K$1368,$C$1:$C$1368,C1182,$D$1:$D$1368,D1182,$B$1:$B$1368,"&lt;="&amp;B1182)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Iniciales'!$B:$B,D1183)+SUMIFS($K$1:$K$1368,$C$1:$C$1368,C1183,$D$1:$D$1368,D1183,$B$1:$B$1368,"&lt;="&amp;B1183)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Iniciales'!$B:$B,D1184)+SUMIFS($K$1:$K$1368,$C$1:$C$1368,C1184,$D$1:$D$1368,D1184,$B$1:$B$1368,"&lt;="&amp;B1184)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Iniciales'!$B:$B,D1185)+SUMIFS($K$1:$K$1368,$C$1:$C$1368,C1185,$D$1:$D$1368,D1185,$B$1:$B$1368,"&lt;="&amp;B1185)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Iniciales'!$B:$B,D1186)+SUMIFS($K$1:$K$1368,$C$1:$C$1368,C1186,$D$1:$D$1368,D1186,$B$1:$B$1368,"&lt;="&amp;B1186)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Iniciales'!$B:$B,D1187)+SUMIFS($K$1:$K$1368,$C$1:$C$1368,C1187,$D$1:$D$1368,D1187,$B$1:$B$1368,"&lt;="&amp;B1187)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Iniciales'!$B:$B,D1188)+SUMIFS($K$1:$K$1368,$C$1:$C$1368,C1188,$D$1:$D$1368,D1188,$B$1:$B$1368,"&lt;="&amp;B1188)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Iniciales'!$B:$B,D1189)+SUMIFS($K$1:$K$1368,$C$1:$C$1368,C1189,$D$1:$D$1368,D1189,$B$1:$B$1368,"&lt;="&amp;B1189)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Iniciales'!$B:$B,D1190)+SUMIFS($K$1:$K$1368,$C$1:$C$1368,C1190,$D$1:$D$1368,D1190,$B$1:$B$1368,"&lt;="&amp;B1190)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Iniciales'!$B:$B,D1191)+SUMIFS($K$1:$K$1368,$C$1:$C$1368,C1191,$D$1:$D$1368,D1191,$B$1:$B$1368,"&lt;="&amp;B1191)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Iniciales'!$B:$B,D1192)+SUMIFS($K$1:$K$1368,$C$1:$C$1368,C1192,$D$1:$D$1368,D1192,$B$1:$B$1368,"&lt;="&amp;B1192)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Iniciales'!$B:$B,D1193)+SUMIFS($K$1:$K$1368,$C$1:$C$1368,C1193,$D$1:$D$1368,D1193,$B$1:$B$1368,"&lt;="&amp;B1193)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Iniciales'!$B:$B,D1194)+SUMIFS($K$1:$K$1368,$C$1:$C$1368,C1194,$D$1:$D$1368,D1194,$B$1:$B$1368,"&lt;="&amp;B1194)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Iniciales'!$B:$B,D1195)+SUMIFS($K$1:$K$1368,$C$1:$C$1368,C1195,$D$1:$D$1368,D1195,$B$1:$B$1368,"&lt;="&amp;B1195)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Iniciales'!$B:$B,D1196)+SUMIFS($K$1:$K$1368,$C$1:$C$1368,C1196,$D$1:$D$1368,D1196,$B$1:$B$1368,"&lt;="&amp;B1196)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Iniciales'!$B:$B,D1197)+SUMIFS($K$1:$K$1368,$C$1:$C$1368,C1197,$D$1:$D$1368,D1197,$B$1:$B$1368,"&lt;="&amp;B1197)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Iniciales'!$B:$B,D1198)+SUMIFS($K$1:$K$1368,$C$1:$C$1368,C1198,$D$1:$D$1368,D1198,$B$1:$B$1368,"&lt;="&amp;B1198)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Iniciales'!$B:$B,D1199)+SUMIFS($K$1:$K$1368,$C$1:$C$1368,C1199,$D$1:$D$1368,D1199,$B$1:$B$1368,"&lt;="&amp;B1199)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Iniciales'!$B:$B,D1200)+SUMIFS($K$1:$K$1368,$C$1:$C$1368,C1200,$D$1:$D$1368,D1200,$B$1:$B$1368,"&lt;="&amp;B1200)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Iniciales'!$B:$B,D1201)+SUMIFS($K$1:$K$1368,$C$1:$C$1368,C1201,$D$1:$D$1368,D1201,$B$1:$B$1368,"&lt;="&amp;B1201)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Iniciales'!$B:$B,D1202)+SUMIFS($K$1:$K$1368,$C$1:$C$1368,C1202,$D$1:$D$1368,D1202,$B$1:$B$1368,"&lt;="&amp;B1202)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Iniciales'!$B:$B,D1203)+SUMIFS($K$1:$K$1368,$C$1:$C$1368,C1203,$D$1:$D$1368,D1203,$B$1:$B$1368,"&lt;="&amp;B1203)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Iniciales'!$B:$B,D1204)+SUMIFS($K$1:$K$1368,$C$1:$C$1368,C1204,$D$1:$D$1368,D1204,$B$1:$B$1368,"&lt;="&amp;B1204)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Iniciales'!$B:$B,D1205)+SUMIFS($K$1:$K$1368,$C$1:$C$1368,C1205,$D$1:$D$1368,D1205,$B$1:$B$1368,"&lt;="&amp;B1205)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Iniciales'!$B:$B,D1206)+SUMIFS($K$1:$K$1368,$C$1:$C$1368,C1206,$D$1:$D$1368,D1206,$B$1:$B$1368,"&lt;="&amp;B1206)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Iniciales'!$B:$B,D1207)+SUMIFS($K$1:$K$1368,$C$1:$C$1368,C1207,$D$1:$D$1368,D1207,$B$1:$B$1368,"&lt;="&amp;B1207)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Iniciales'!$B:$B,D1208)+SUMIFS($K$1:$K$1368,$C$1:$C$1368,C1208,$D$1:$D$1368,D1208,$B$1:$B$1368,"&lt;="&amp;B1208)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Iniciales'!$B:$B,D1209)+SUMIFS($K$1:$K$1368,$C$1:$C$1368,C1209,$D$1:$D$1368,D1209,$B$1:$B$1368,"&lt;="&amp;B1209)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Iniciales'!$B:$B,D1210)+SUMIFS($K$1:$K$1368,$C$1:$C$1368,C1210,$D$1:$D$1368,D1210,$B$1:$B$1368,"&lt;="&amp;B1210)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Iniciales'!$B:$B,D1211)+SUMIFS($K$1:$K$1368,$C$1:$C$1368,C1211,$D$1:$D$1368,D1211,$B$1:$B$1368,"&lt;="&amp;B1211)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Iniciales'!$B:$B,D1212)+SUMIFS($K$1:$K$1368,$C$1:$C$1368,C1212,$D$1:$D$1368,D1212,$B$1:$B$1368,"&lt;="&amp;B1212)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Iniciales'!$B:$B,D1213)+SUMIFS($K$1:$K$1368,$C$1:$C$1368,C1213,$D$1:$D$1368,D1213,$B$1:$B$1368,"&lt;="&amp;B1213)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Iniciales'!$B:$B,D1214)+SUMIFS($K$1:$K$1368,$C$1:$C$1368,C1214,$D$1:$D$1368,D1214,$B$1:$B$1368,"&lt;="&amp;B1214)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Iniciales'!$B:$B,D1215)+SUMIFS($K$1:$K$1368,$C$1:$C$1368,C1215,$D$1:$D$1368,D1215,$B$1:$B$1368,"&lt;="&amp;B1215)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Iniciales'!$B:$B,D1216)+SUMIFS($K$1:$K$1368,$C$1:$C$1368,C1216,$D$1:$D$1368,D1216,$B$1:$B$1368,"&lt;="&amp;B1216)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Iniciales'!$B:$B,D1217)+SUMIFS($K$1:$K$1368,$C$1:$C$1368,C1217,$D$1:$D$1368,D1217,$B$1:$B$1368,"&lt;="&amp;B1217)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Iniciales'!$B:$B,D1218)+SUMIFS($K$1:$K$1368,$C$1:$C$1368,C1218,$D$1:$D$1368,D1218,$B$1:$B$1368,"&lt;="&amp;B1218)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Iniciales'!$B:$B,D1219)+SUMIFS($K$1:$K$1368,$C$1:$C$1368,C1219,$D$1:$D$1368,D1219,$B$1:$B$1368,"&lt;="&amp;B1219)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Iniciales'!$B:$B,D1220)+SUMIFS($K$1:$K$1368,$C$1:$C$1368,C1220,$D$1:$D$1368,D1220,$B$1:$B$1368,"&lt;="&amp;B1220)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Iniciales'!$B:$B,D1221)+SUMIFS($K$1:$K$1368,$C$1:$C$1368,C1221,$D$1:$D$1368,D1221,$B$1:$B$1368,"&lt;="&amp;B1221)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Iniciales'!$B:$B,D1222)+SUMIFS($K$1:$K$1368,$C$1:$C$1368,C1222,$D$1:$D$1368,D1222,$B$1:$B$1368,"&lt;="&amp;B1222)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Iniciales'!$B:$B,D1223)+SUMIFS($K$1:$K$1368,$C$1:$C$1368,C1223,$D$1:$D$1368,D1223,$B$1:$B$1368,"&lt;="&amp;B1223)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Iniciales'!$B:$B,D1224)+SUMIFS($K$1:$K$1368,$C$1:$C$1368,C1224,$D$1:$D$1368,D1224,$B$1:$B$1368,"&lt;="&amp;B1224)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Iniciales'!$B:$B,D1225)+SUMIFS($K$1:$K$1368,$C$1:$C$1368,C1225,$D$1:$D$1368,D1225,$B$1:$B$1368,"&lt;="&amp;B1225)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Iniciales'!$B:$B,D1226)+SUMIFS($K$1:$K$1368,$C$1:$C$1368,C1226,$D$1:$D$1368,D1226,$B$1:$B$1368,"&lt;="&amp;B1226)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Iniciales'!$B:$B,D1227)+SUMIFS($K$1:$K$1368,$C$1:$C$1368,C1227,$D$1:$D$1368,D1227,$B$1:$B$1368,"&lt;="&amp;B1227)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Iniciales'!$B:$B,D1228)+SUMIFS($K$1:$K$1368,$C$1:$C$1368,C1228,$D$1:$D$1368,D1228,$B$1:$B$1368,"&lt;="&amp;B1228)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Iniciales'!$B:$B,D1229)+SUMIFS($K$1:$K$1368,$C$1:$C$1368,C1229,$D$1:$D$1368,D1229,$B$1:$B$1368,"&lt;="&amp;B1229)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Iniciales'!$B:$B,D1230)+SUMIFS($K$1:$K$1368,$C$1:$C$1368,C1230,$D$1:$D$1368,D1230,$B$1:$B$1368,"&lt;="&amp;B1230)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Iniciales'!$B:$B,D1231)+SUMIFS($K$1:$K$1368,$C$1:$C$1368,C1231,$D$1:$D$1368,D1231,$B$1:$B$1368,"&lt;="&amp;B1231)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Iniciales'!$B:$B,D1232)+SUMIFS($K$1:$K$1368,$C$1:$C$1368,C1232,$D$1:$D$1368,D1232,$B$1:$B$1368,"&lt;="&amp;B1232)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Iniciales'!$B:$B,D1233)+SUMIFS($K$1:$K$1368,$C$1:$C$1368,C1233,$D$1:$D$1368,D1233,$B$1:$B$1368,"&lt;="&amp;B1233)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Iniciales'!$B:$B,D1234)+SUMIFS($K$1:$K$1368,$C$1:$C$1368,C1234,$D$1:$D$1368,D1234,$B$1:$B$1368,"&lt;="&amp;B1234)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Iniciales'!$B:$B,D1235)+SUMIFS($K$1:$K$1368,$C$1:$C$1368,C1235,$D$1:$D$1368,D1235,$B$1:$B$1368,"&lt;="&amp;B1235)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Iniciales'!$B:$B,D1236)+SUMIFS($K$1:$K$1368,$C$1:$C$1368,C1236,$D$1:$D$1368,D1236,$B$1:$B$1368,"&lt;="&amp;B1236)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Iniciales'!$B:$B,D1237)+SUMIFS($K$1:$K$1368,$C$1:$C$1368,C1237,$D$1:$D$1368,D1237,$B$1:$B$1368,"&lt;="&amp;B1237)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Iniciales'!$B:$B,D1238)+SUMIFS($K$1:$K$1368,$C$1:$C$1368,C1238,$D$1:$D$1368,D1238,$B$1:$B$1368,"&lt;="&amp;B1238)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Iniciales'!$B:$B,D1239)+SUMIFS($K$1:$K$1368,$C$1:$C$1368,C1239,$D$1:$D$1368,D1239,$B$1:$B$1368,"&lt;="&amp;B1239)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Iniciales'!$B:$B,D1240)+SUMIFS($K$1:$K$1368,$C$1:$C$1368,C1240,$D$1:$D$1368,D1240,$B$1:$B$1368,"&lt;="&amp;B1240)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Iniciales'!$B:$B,D1241)+SUMIFS($K$1:$K$1368,$C$1:$C$1368,C1241,$D$1:$D$1368,D1241,$B$1:$B$1368,"&lt;="&amp;B1241)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Iniciales'!$B:$B,D1242)+SUMIFS($K$1:$K$1368,$C$1:$C$1368,C1242,$D$1:$D$1368,D1242,$B$1:$B$1368,"&lt;="&amp;B1242)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Iniciales'!$B:$B,D1243)+SUMIFS($K$1:$K$1368,$C$1:$C$1368,C1243,$D$1:$D$1368,D1243,$B$1:$B$1368,"&lt;="&amp;B1243)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Iniciales'!$B:$B,D1244)+SUMIFS($K$1:$K$1368,$C$1:$C$1368,C1244,$D$1:$D$1368,D1244,$B$1:$B$1368,"&lt;="&amp;B1244)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Iniciales'!$B:$B,D1245)+SUMIFS($K$1:$K$1368,$C$1:$C$1368,C1245,$D$1:$D$1368,D1245,$B$1:$B$1368,"&lt;="&amp;B1245)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Iniciales'!$B:$B,D1246)+SUMIFS($K$1:$K$1368,$C$1:$C$1368,C1246,$D$1:$D$1368,D1246,$B$1:$B$1368,"&lt;="&amp;B1246)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Iniciales'!$B:$B,D1247)+SUMIFS($K$1:$K$1368,$C$1:$C$1368,C1247,$D$1:$D$1368,D1247,$B$1:$B$1368,"&lt;="&amp;B1247)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Iniciales'!$B:$B,D1248)+SUMIFS($K$1:$K$1368,$C$1:$C$1368,C1248,$D$1:$D$1368,D1248,$B$1:$B$1368,"&lt;="&amp;B1248)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Iniciales'!$B:$B,D1249)+SUMIFS($K$1:$K$1368,$C$1:$C$1368,C1249,$D$1:$D$1368,D1249,$B$1:$B$1368,"&lt;="&amp;B1249)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Iniciales'!$B:$B,D1250)+SUMIFS($K$1:$K$1368,$C$1:$C$1368,C1250,$D$1:$D$1368,D1250,$B$1:$B$1368,"&lt;="&amp;B1250)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Iniciales'!$B:$B,D1251)+SUMIFS($K$1:$K$1368,$C$1:$C$1368,C1251,$D$1:$D$1368,D1251,$B$1:$B$1368,"&lt;="&amp;B1251)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Iniciales'!$B:$B,D1252)+SUMIFS($K$1:$K$1368,$C$1:$C$1368,C1252,$D$1:$D$1368,D1252,$B$1:$B$1368,"&lt;="&amp;B1252)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Iniciales'!$B:$B,D1253)+SUMIFS($K$1:$K$1368,$C$1:$C$1368,C1253,$D$1:$D$1368,D1253,$B$1:$B$1368,"&lt;="&amp;B1253)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Iniciales'!$B:$B,D1254)+SUMIFS($K$1:$K$1368,$C$1:$C$1368,C1254,$D$1:$D$1368,D1254,$B$1:$B$1368,"&lt;="&amp;B1254)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Iniciales'!$B:$B,D1255)+SUMIFS($K$1:$K$1368,$C$1:$C$1368,C1255,$D$1:$D$1368,D1255,$B$1:$B$1368,"&lt;="&amp;B1255)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Iniciales'!$B:$B,D1256)+SUMIFS($K$1:$K$1368,$C$1:$C$1368,C1256,$D$1:$D$1368,D1256,$B$1:$B$1368,"&lt;="&amp;B1256)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Iniciales'!$B:$B,D1257)+SUMIFS($K$1:$K$1368,$C$1:$C$1368,C1257,$D$1:$D$1368,D1257,$B$1:$B$1368,"&lt;="&amp;B1257)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Iniciales'!$B:$B,D1258)+SUMIFS($K$1:$K$1368,$C$1:$C$1368,C1258,$D$1:$D$1368,D1258,$B$1:$B$1368,"&lt;="&amp;B1258)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Iniciales'!$B:$B,D1259)+SUMIFS($K$1:$K$1368,$C$1:$C$1368,C1259,$D$1:$D$1368,D1259,$B$1:$B$1368,"&lt;="&amp;B1259)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Iniciales'!$B:$B,D1260)+SUMIFS($K$1:$K$1368,$C$1:$C$1368,C1260,$D$1:$D$1368,D1260,$B$1:$B$1368,"&lt;="&amp;B1260)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Iniciales'!$B:$B,D1261)+SUMIFS($K$1:$K$1368,$C$1:$C$1368,C1261,$D$1:$D$1368,D1261,$B$1:$B$1368,"&lt;="&amp;B1261)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Iniciales'!$B:$B,D1262)+SUMIFS($K$1:$K$1368,$C$1:$C$1368,C1262,$D$1:$D$1368,D1262,$B$1:$B$1368,"&lt;="&amp;B1262)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Iniciales'!$B:$B,D1263)+SUMIFS($K$1:$K$1368,$C$1:$C$1368,C1263,$D$1:$D$1368,D1263,$B$1:$B$1368,"&lt;="&amp;B1263)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Iniciales'!$B:$B,D1264)+SUMIFS($K$1:$K$1368,$C$1:$C$1368,C1264,$D$1:$D$1368,D1264,$B$1:$B$1368,"&lt;="&amp;B1264)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Iniciales'!$B:$B,D1265)+SUMIFS($K$1:$K$1368,$C$1:$C$1368,C1265,$D$1:$D$1368,D1265,$B$1:$B$1368,"&lt;="&amp;B1265)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Iniciales'!$B:$B,D1266)+SUMIFS($K$1:$K$1368,$C$1:$C$1368,C1266,$D$1:$D$1368,D1266,$B$1:$B$1368,"&lt;="&amp;B1266)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Iniciales'!$B:$B,D1267)+SUMIFS($K$1:$K$1368,$C$1:$C$1368,C1267,$D$1:$D$1368,D1267,$B$1:$B$1368,"&lt;="&amp;B1267)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Iniciales'!$B:$B,D1268)+SUMIFS($K$1:$K$1368,$C$1:$C$1368,C1268,$D$1:$D$1368,D1268,$B$1:$B$1368,"&lt;="&amp;B1268)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Iniciales'!$B:$B,D1269)+SUMIFS($K$1:$K$1368,$C$1:$C$1368,C1269,$D$1:$D$1368,D1269,$B$1:$B$1368,"&lt;="&amp;B1269)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Iniciales'!$B:$B,D1270)+SUMIFS($K$1:$K$1368,$C$1:$C$1368,C1270,$D$1:$D$1368,D1270,$B$1:$B$1368,"&lt;="&amp;B1270)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Iniciales'!$B:$B,D1271)+SUMIFS($K$1:$K$1368,$C$1:$C$1368,C1271,$D$1:$D$1368,D1271,$B$1:$B$1368,"&lt;="&amp;B1271)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Iniciales'!$B:$B,D1272)+SUMIFS($K$1:$K$1368,$C$1:$C$1368,C1272,$D$1:$D$1368,D1272,$B$1:$B$1368,"&lt;="&amp;B1272)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Iniciales'!$B:$B,D1273)+SUMIFS($K$1:$K$1368,$C$1:$C$1368,C1273,$D$1:$D$1368,D1273,$B$1:$B$1368,"&lt;="&amp;B1273)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Iniciales'!$B:$B,D1274)+SUMIFS($K$1:$K$1368,$C$1:$C$1368,C1274,$D$1:$D$1368,D1274,$B$1:$B$1368,"&lt;="&amp;B1274)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Iniciales'!$B:$B,D1275)+SUMIFS($K$1:$K$1368,$C$1:$C$1368,C1275,$D$1:$D$1368,D1275,$B$1:$B$1368,"&lt;="&amp;B1275)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Iniciales'!$B:$B,D1276)+SUMIFS($K$1:$K$1368,$C$1:$C$1368,C1276,$D$1:$D$1368,D1276,$B$1:$B$1368,"&lt;="&amp;B1276)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Iniciales'!$B:$B,D1277)+SUMIFS($K$1:$K$1368,$C$1:$C$1368,C1277,$D$1:$D$1368,D1277,$B$1:$B$1368,"&lt;="&amp;B1277)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Iniciales'!$B:$B,D1278)+SUMIFS($K$1:$K$1368,$C$1:$C$1368,C1278,$D$1:$D$1368,D1278,$B$1:$B$1368,"&lt;="&amp;B1278)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Iniciales'!$B:$B,D1279)+SUMIFS($K$1:$K$1368,$C$1:$C$1368,C1279,$D$1:$D$1368,D1279,$B$1:$B$1368,"&lt;="&amp;B1279)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Iniciales'!$B:$B,D1280)+SUMIFS($K$1:$K$1368,$C$1:$C$1368,C1280,$D$1:$D$1368,D1280,$B$1:$B$1368,"&lt;="&amp;B1280)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Iniciales'!$B:$B,D1281)+SUMIFS($K$1:$K$1368,$C$1:$C$1368,C1281,$D$1:$D$1368,D1281,$B$1:$B$1368,"&lt;="&amp;B1281)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Iniciales'!$B:$B,D1282)+SUMIFS($K$1:$K$1368,$C$1:$C$1368,C1282,$D$1:$D$1368,D1282,$B$1:$B$1368,"&lt;="&amp;B1282)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Iniciales'!$B:$B,D1283)+SUMIFS($K$1:$K$1368,$C$1:$C$1368,C1283,$D$1:$D$1368,D1283,$B$1:$B$1368,"&lt;="&amp;B1283)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Iniciales'!$B:$B,D1284)+SUMIFS($K$1:$K$1368,$C$1:$C$1368,C1284,$D$1:$D$1368,D1284,$B$1:$B$1368,"&lt;="&amp;B1284)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Iniciales'!$B:$B,D1285)+SUMIFS($K$1:$K$1368,$C$1:$C$1368,C1285,$D$1:$D$1368,D1285,$B$1:$B$1368,"&lt;="&amp;B1285)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Iniciales'!$B:$B,D1286)+SUMIFS($K$1:$K$1368,$C$1:$C$1368,C1286,$D$1:$D$1368,D1286,$B$1:$B$1368,"&lt;="&amp;B1286)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Iniciales'!$B:$B,D1287)+SUMIFS($K$1:$K$1368,$C$1:$C$1368,C1287,$D$1:$D$1368,D1287,$B$1:$B$1368,"&lt;="&amp;B1287)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Iniciales'!$B:$B,D1288)+SUMIFS($K$1:$K$1368,$C$1:$C$1368,C1288,$D$1:$D$1368,D1288,$B$1:$B$1368,"&lt;="&amp;B1288)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Iniciales'!$B:$B,D1289)+SUMIFS($K$1:$K$1368,$C$1:$C$1368,C1289,$D$1:$D$1368,D1289,$B$1:$B$1368,"&lt;="&amp;B1289)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Iniciales'!$B:$B,D1290)+SUMIFS($K$1:$K$1368,$C$1:$C$1368,C1290,$D$1:$D$1368,D1290,$B$1:$B$1368,"&lt;="&amp;B1290)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Iniciales'!$B:$B,D1291)+SUMIFS($K$1:$K$1368,$C$1:$C$1368,C1291,$D$1:$D$1368,D1291,$B$1:$B$1368,"&lt;="&amp;B1291)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Iniciales'!$B:$B,D1292)+SUMIFS($K$1:$K$1368,$C$1:$C$1368,C1292,$D$1:$D$1368,D1292,$B$1:$B$1368,"&lt;="&amp;B1292)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Iniciales'!$B:$B,D1293)+SUMIFS($K$1:$K$1368,$C$1:$C$1368,C1293,$D$1:$D$1368,D1293,$B$1:$B$1368,"&lt;="&amp;B1293)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Iniciales'!$B:$B,D1294)+SUMIFS($K$1:$K$1368,$C$1:$C$1368,C1294,$D$1:$D$1368,D1294,$B$1:$B$1368,"&lt;="&amp;B1294)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Iniciales'!$B:$B,D1295)+SUMIFS($K$1:$K$1368,$C$1:$C$1368,C1295,$D$1:$D$1368,D1295,$B$1:$B$1368,"&lt;="&amp;B1295)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Iniciales'!$B:$B,D1296)+SUMIFS($K$1:$K$1368,$C$1:$C$1368,C1296,$D$1:$D$1368,D1296,$B$1:$B$1368,"&lt;="&amp;B1296)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Iniciales'!$B:$B,D1297)+SUMIFS($K$1:$K$1368,$C$1:$C$1368,C1297,$D$1:$D$1368,D1297,$B$1:$B$1368,"&lt;="&amp;B1297)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Iniciales'!$B:$B,D1298)+SUMIFS($K$1:$K$1368,$C$1:$C$1368,C1298,$D$1:$D$1368,D1298,$B$1:$B$1368,"&lt;="&amp;B1298)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Iniciales'!$B:$B,D1299)+SUMIFS($K$1:$K$1368,$C$1:$C$1368,C1299,$D$1:$D$1368,D1299,$B$1:$B$1368,"&lt;="&amp;B1299)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Iniciales'!$B:$B,D1300)+SUMIFS($K$1:$K$1368,$C$1:$C$1368,C1300,$D$1:$D$1368,D1300,$B$1:$B$1368,"&lt;="&amp;B1300)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Iniciales'!$B:$B,D1301)+SUMIFS($K$1:$K$1368,$C$1:$C$1368,C1301,$D$1:$D$1368,D1301,$B$1:$B$1368,"&lt;="&amp;B1301)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Iniciales'!$B:$B,D1302)+SUMIFS($K$1:$K$1368,$C$1:$C$1368,C1302,$D$1:$D$1368,D1302,$B$1:$B$1368,"&lt;="&amp;B1302)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Iniciales'!$B:$B,D1303)+SUMIFS($K$1:$K$1368,$C$1:$C$1368,C1303,$D$1:$D$1368,D1303,$B$1:$B$1368,"&lt;="&amp;B1303)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Iniciales'!$B:$B,D1304)+SUMIFS($K$1:$K$1368,$C$1:$C$1368,C1304,$D$1:$D$1368,D1304,$B$1:$B$1368,"&lt;="&amp;B1304)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Iniciales'!$B:$B,D1305)+SUMIFS($K$1:$K$1368,$C$1:$C$1368,C1305,$D$1:$D$1368,D1305,$B$1:$B$1368,"&lt;="&amp;B1305)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Iniciales'!$B:$B,D1306)+SUMIFS($K$1:$K$1368,$C$1:$C$1368,C1306,$D$1:$D$1368,D1306,$B$1:$B$1368,"&lt;="&amp;B1306)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Iniciales'!$B:$B,D1307)+SUMIFS($K$1:$K$1368,$C$1:$C$1368,C1307,$D$1:$D$1368,D1307,$B$1:$B$1368,"&lt;="&amp;B1307)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Iniciales'!$B:$B,D1308)+SUMIFS($K$1:$K$1368,$C$1:$C$1368,C1308,$D$1:$D$1368,D1308,$B$1:$B$1368,"&lt;="&amp;B1308)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Iniciales'!$B:$B,D1309)+SUMIFS($K$1:$K$1368,$C$1:$C$1368,C1309,$D$1:$D$1368,D1309,$B$1:$B$1368,"&lt;="&amp;B1309)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Iniciales'!$B:$B,D1310)+SUMIFS($K$1:$K$1368,$C$1:$C$1368,C1310,$D$1:$D$1368,D1310,$B$1:$B$1368,"&lt;="&amp;B1310)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Iniciales'!$B:$B,D1311)+SUMIFS($K$1:$K$1368,$C$1:$C$1368,C1311,$D$1:$D$1368,D1311,$B$1:$B$1368,"&lt;="&amp;B1311)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Iniciales'!$B:$B,D1312)+SUMIFS($K$1:$K$1368,$C$1:$C$1368,C1312,$D$1:$D$1368,D1312,$B$1:$B$1368,"&lt;="&amp;B1312)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Iniciales'!$B:$B,D1313)+SUMIFS($K$1:$K$1368,$C$1:$C$1368,C1313,$D$1:$D$1368,D1313,$B$1:$B$1368,"&lt;="&amp;B1313)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Iniciales'!$B:$B,D1314)+SUMIFS($K$1:$K$1368,$C$1:$C$1368,C1314,$D$1:$D$1368,D1314,$B$1:$B$1368,"&lt;="&amp;B1314)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Iniciales'!$B:$B,D1315)+SUMIFS($K$1:$K$1368,$C$1:$C$1368,C1315,$D$1:$D$1368,D1315,$B$1:$B$1368,"&lt;="&amp;B1315)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Iniciales'!$B:$B,D1316)+SUMIFS($K$1:$K$1368,$C$1:$C$1368,C1316,$D$1:$D$1368,D1316,$B$1:$B$1368,"&lt;="&amp;B1316)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Iniciales'!$B:$B,D1317)+SUMIFS($K$1:$K$1368,$C$1:$C$1368,C1317,$D$1:$D$1368,D1317,$B$1:$B$1368,"&lt;="&amp;B1317)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Iniciales'!$B:$B,D1318)+SUMIFS($K$1:$K$1368,$C$1:$C$1368,C1318,$D$1:$D$1368,D1318,$B$1:$B$1368,"&lt;="&amp;B1318)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Iniciales'!$B:$B,D1319)+SUMIFS($K$1:$K$1368,$C$1:$C$1368,C1319,$D$1:$D$1368,D1319,$B$1:$B$1368,"&lt;="&amp;B1319)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Iniciales'!$B:$B,D1320)+SUMIFS($K$1:$K$1368,$C$1:$C$1368,C1320,$D$1:$D$1368,D1320,$B$1:$B$1368,"&lt;="&amp;B1320)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Iniciales'!$B:$B,D1321)+SUMIFS($K$1:$K$1368,$C$1:$C$1368,C1321,$D$1:$D$1368,D1321,$B$1:$B$1368,"&lt;="&amp;B1321)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Iniciales'!$B:$B,D1322)+SUMIFS($K$1:$K$1368,$C$1:$C$1368,C1322,$D$1:$D$1368,D1322,$B$1:$B$1368,"&lt;="&amp;B1322)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Iniciales'!$B:$B,D1323)+SUMIFS($K$1:$K$1368,$C$1:$C$1368,C1323,$D$1:$D$1368,D1323,$B$1:$B$1368,"&lt;="&amp;B1323)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Iniciales'!$B:$B,D1324)+SUMIFS($K$1:$K$1368,$C$1:$C$1368,C1324,$D$1:$D$1368,D1324,$B$1:$B$1368,"&lt;="&amp;B1324)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Iniciales'!$B:$B,D1325)+SUMIFS($K$1:$K$1368,$C$1:$C$1368,C1325,$D$1:$D$1368,D1325,$B$1:$B$1368,"&lt;="&amp;B1325)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Iniciales'!$B:$B,D1326)+SUMIFS($K$1:$K$1368,$C$1:$C$1368,C1326,$D$1:$D$1368,D1326,$B$1:$B$1368,"&lt;="&amp;B1326)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Iniciales'!$B:$B,D1327)+SUMIFS($K$1:$K$1368,$C$1:$C$1368,C1327,$D$1:$D$1368,D1327,$B$1:$B$1368,"&lt;="&amp;B1327)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Iniciales'!$B:$B,D1328)+SUMIFS($K$1:$K$1368,$C$1:$C$1368,C1328,$D$1:$D$1368,D1328,$B$1:$B$1368,"&lt;="&amp;B1328)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Iniciales'!$B:$B,D1329)+SUMIFS($K$1:$K$1368,$C$1:$C$1368,C1329,$D$1:$D$1368,D1329,$B$1:$B$1368,"&lt;="&amp;B1329)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Iniciales'!$B:$B,D1330)+SUMIFS($K$1:$K$1368,$C$1:$C$1368,C1330,$D$1:$D$1368,D1330,$B$1:$B$1368,"&lt;="&amp;B1330)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Iniciales'!$B:$B,D1331)+SUMIFS($K$1:$K$1368,$C$1:$C$1368,C1331,$D$1:$D$1368,D1331,$B$1:$B$1368,"&lt;="&amp;B1331)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Iniciales'!$B:$B,D1332)+SUMIFS($K$1:$K$1368,$C$1:$C$1368,C1332,$D$1:$D$1368,D1332,$B$1:$B$1368,"&lt;="&amp;B1332)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Iniciales'!$B:$B,D1333)+SUMIFS($K$1:$K$1368,$C$1:$C$1368,C1333,$D$1:$D$1368,D1333,$B$1:$B$1368,"&lt;="&amp;B1333)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Iniciales'!$B:$B,D1334)+SUMIFS($K$1:$K$1368,$C$1:$C$1368,C1334,$D$1:$D$1368,D1334,$B$1:$B$1368,"&lt;="&amp;B1334)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Iniciales'!$B:$B,D1335)+SUMIFS($K$1:$K$1368,$C$1:$C$1368,C1335,$D$1:$D$1368,D1335,$B$1:$B$1368,"&lt;="&amp;B1335)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Iniciales'!$B:$B,D1336)+SUMIFS($K$1:$K$1368,$C$1:$C$1368,C1336,$D$1:$D$1368,D1336,$B$1:$B$1368,"&lt;="&amp;B1336)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Iniciales'!$B:$B,D1337)+SUMIFS($K$1:$K$1368,$C$1:$C$1368,C1337,$D$1:$D$1368,D1337,$B$1:$B$1368,"&lt;="&amp;B1337)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Iniciales'!$B:$B,D1338)+SUMIFS($K$1:$K$1368,$C$1:$C$1368,C1338,$D$1:$D$1368,D1338,$B$1:$B$1368,"&lt;="&amp;B1338)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3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Iniciales'!$B:$B,D1339)+SUMIFS($K$1:$K$1368,$C$1:$C$1368,C1339,$D$1:$D$1368,D1339,$B$1:$B$1368,"&lt;="&amp;B1339)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Iniciales'!$B:$B,D1340)+SUMIFS($K$1:$K$1368,$C$1:$C$1368,C1340,$D$1:$D$1368,D1340,$B$1:$B$1368,"&lt;="&amp;B1340)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Iniciales'!$B:$B,D1341)+SUMIFS($K$1:$K$1368,$C$1:$C$1368,C1341,$D$1:$D$1368,D1341,$B$1:$B$1368,"&lt;="&amp;B1341)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Iniciales'!$B:$B,D1342)+SUMIFS($K$1:$K$1368,$C$1:$C$1368,C1342,$D$1:$D$1368,D1342,$B$1:$B$1368,"&lt;="&amp;B1342)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Iniciales'!$B:$B,D1343)+SUMIFS($K$1:$K$1368,$C$1:$C$1368,C1343,$D$1:$D$1368,D1343,$B$1:$B$1368,"&lt;="&amp;B1343)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68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Iniciales'!$B:$B,D1344)+SUMIFS($K$1:$K$1368,$C$1:$C$1368,C1344,$D$1:$D$1368,D1344,$B$1:$B$1368,"&lt;="&amp;B1344)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4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Iniciales'!$B:$B,D1345)+SUMIFS($K$1:$K$1368,$C$1:$C$1368,C1345,$D$1:$D$1368,D1345,$B$1:$B$1368,"&lt;="&amp;B1345)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4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Iniciales'!$B:$B,D1346)+SUMIFS($K$1:$K$1368,$C$1:$C$1368,C1346,$D$1:$D$1368,D1346,$B$1:$B$1368,"&lt;="&amp;B1346)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4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Iniciales'!$B:$B,D1347)+SUMIFS($K$1:$K$1368,$C$1:$C$1368,C1347,$D$1:$D$1368,D1347,$B$1:$B$1368,"&lt;="&amp;B1347)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39">
        <v>46321</v>
      </c>
      <c r="C1348" s="4" t="str">
        <f>_xlfn.XLOOKUP(tblMovimientos[[#This Row],[Cuenta Bancaria]],Listas!$B:$B,Listas!$A:$A,"")</f>
        <v>CFT Group</v>
      </c>
      <c r="D1348" s="41" t="s">
        <v>94</v>
      </c>
      <c r="E1348" s="46" t="str">
        <f>_xlfn.XLOOKUP(tblMovimientos[[#This Row],[Cuenta Bancaria]],Listas!$B:$B,Listas!$C:$C,"")</f>
        <v>Bank of America</v>
      </c>
      <c r="F1348" s="41" t="s">
        <v>9</v>
      </c>
      <c r="G1348" s="41" t="s">
        <v>68</v>
      </c>
      <c r="H1348" s="46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43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Iniciales'!$B:$B,D1348)+SUMIFS($K$1:$K$1368,$C$1:$C$1368,C1348,$D$1:$D$1368,D1348,$B$1:$B$1368,"&lt;="&amp;B1348)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  <row r="1349" spans="1:18" x14ac:dyDescent="0.3">
      <c r="B1349" s="39">
        <v>46322</v>
      </c>
      <c r="C1349" s="4" t="str">
        <f>_xlfn.XLOOKUP(tblMovimientos[[#This Row],[Cuenta Bancaria]],Listas!$B:$B,Listas!$A:$A,"")</f>
        <v>SSP Capital</v>
      </c>
      <c r="D1349" s="41" t="s">
        <v>101</v>
      </c>
      <c r="E1349" s="4" t="str">
        <f>_xlfn.XLOOKUP(tblMovimientos[[#This Row],[Cuenta Bancaria]],Listas!$B:$B,Listas!$C:$C,"")</f>
        <v>Bank of America</v>
      </c>
      <c r="F1349" s="41" t="s">
        <v>10</v>
      </c>
      <c r="G1349" s="41" t="s">
        <v>45</v>
      </c>
      <c r="H1349" s="4" t="str">
        <f>IFERROR(_xlfn.XLOOKUP(G1349,Listas!E:E,Listas!F:F,""),"")</f>
        <v>Operativo</v>
      </c>
      <c r="I1349" s="4" t="str">
        <f>IFERROR(_xlfn.XLOOKUP(G1349,Listas!E:E,Listas!G:G,""),"")</f>
        <v>Externo</v>
      </c>
      <c r="J1349" s="43">
        <v>0.5</v>
      </c>
      <c r="K1349" s="5">
        <f t="shared" si="22"/>
        <v>-0.5</v>
      </c>
      <c r="L1349" s="15" t="s">
        <v>134</v>
      </c>
      <c r="M1349" s="44">
        <f>SUMIFS('Saldos Iniciales'!$D:$D,'Saldos Iniciales'!$A:$A,C1349,'Saldos Iniciales'!$B:$B,D1349)+SUMIFS($K$1:$K$1368,$C$1:$C$1368,C1349,$D$1:$D$1368,D1349,$B$1:$B$1368,"&lt;="&amp;B1349)</f>
        <v>22738.820000000007</v>
      </c>
      <c r="N1349" s="59" t="str">
        <f>IF(tblMovimientos[[#This Row],[Tipo de Movimiento]]="Ingreso",tblMovimientos[[#This Row],[Monto (S/)]],"0")</f>
        <v>0</v>
      </c>
      <c r="O1349" s="59">
        <f>IF(tblMovimientos[[#This Row],[Tipo de Movimiento]]="Egreso",tblMovimientos[[#This Row],[Monto (S/)]],"0")</f>
        <v>0.5</v>
      </c>
      <c r="P1349" s="28">
        <f>IF(tblMovimientos[[#This Row],[Tipo de Movimiento]]="Ingreso",tblMovimientos[[#This Row],[Ingreso]],-tblMovimientos[[#This Row],[Egreso]])</f>
        <v>-0.5</v>
      </c>
      <c r="Q1349" s="80" t="str">
        <f>_xlfn.XLOOKUP(tblMovimientos[[#This Row],[Cuenta Bancaria]],Cuentas!$C:$C,Cuentas!$A:$A,"")&amp;""</f>
        <v>SSP Group</v>
      </c>
      <c r="R1349" s="80" t="str">
        <f>_xlfn.XLOOKUP(tblMovimientos[[#This Row],[Cuenta Bancaria]],Cuentas!$C:$C,Cuentas!$B:$B,"",0,-1)&amp;""</f>
        <v/>
      </c>
    </row>
    <row r="1350" spans="1:18" x14ac:dyDescent="0.3">
      <c r="B1350" s="39">
        <v>46322</v>
      </c>
      <c r="C1350" s="4" t="str">
        <f>_xlfn.XLOOKUP(tblMovimientos[[#This Row],[Cuenta Bancaria]],Listas!$B:$B,Listas!$A:$A,"")</f>
        <v>2515 Overbrook</v>
      </c>
      <c r="D1350" s="41" t="s">
        <v>121</v>
      </c>
      <c r="E1350" s="4" t="str">
        <f>_xlfn.XLOOKUP(tblMovimientos[[#This Row],[Cuenta Bancaria]],Listas!$B:$B,Listas!$C:$C,"")</f>
        <v>Bank of America</v>
      </c>
      <c r="F1350" s="41" t="s">
        <v>10</v>
      </c>
      <c r="G1350" s="41" t="s">
        <v>38</v>
      </c>
      <c r="H1350" s="4" t="str">
        <f>IFERROR(_xlfn.XLOOKUP(G1350,Listas!E:E,Listas!F:F,""),"")</f>
        <v>Operativo</v>
      </c>
      <c r="I1350" s="4" t="str">
        <f>IFERROR(_xlfn.XLOOKUP(G1350,Listas!E:E,Listas!G:G,""),"")</f>
        <v>Externo</v>
      </c>
      <c r="J1350" s="43">
        <v>149.07</v>
      </c>
      <c r="K1350" s="5">
        <f t="shared" si="22"/>
        <v>-149.07</v>
      </c>
      <c r="L1350" s="15" t="s">
        <v>134</v>
      </c>
      <c r="M1350" s="44">
        <f>SUMIFS('Saldos Iniciales'!$D:$D,'Saldos Iniciales'!$A:$A,C1350,'Saldos Iniciales'!$B:$B,D1350)+SUMIFS($K$1:$K$1368,$C$1:$C$1368,C1350,$D$1:$D$1368,D1350,$B$1:$B$1368,"&lt;="&amp;B1350)</f>
        <v>39454.559999999969</v>
      </c>
      <c r="N1350" s="59" t="str">
        <f>IF(tblMovimientos[[#This Row],[Tipo de Movimiento]]="Ingreso",tblMovimientos[[#This Row],[Monto (S/)]],"0")</f>
        <v>0</v>
      </c>
      <c r="O1350" s="59">
        <f>IF(tblMovimientos[[#This Row],[Tipo de Movimiento]]="Egreso",tblMovimientos[[#This Row],[Monto (S/)]],"0")</f>
        <v>149.07</v>
      </c>
      <c r="P1350" s="28">
        <f>IF(tblMovimientos[[#This Row],[Tipo de Movimiento]]="Ingreso",tblMovimientos[[#This Row],[Ingreso]],-tblMovimientos[[#This Row],[Egreso]])</f>
        <v>-149.07</v>
      </c>
      <c r="Q1350" s="80" t="str">
        <f>_xlfn.XLOOKUP(tblMovimientos[[#This Row],[Cuenta Bancaria]],Cuentas!$C:$C,Cuentas!$A:$A,"")&amp;""</f>
        <v>SSP Group</v>
      </c>
      <c r="R1350" s="80" t="str">
        <f>_xlfn.XLOOKUP(tblMovimientos[[#This Row],[Cuenta Bancaria]],Cuentas!$C:$C,Cuentas!$B:$B,"",0,-1)&amp;""</f>
        <v/>
      </c>
    </row>
    <row r="1351" spans="1:18" x14ac:dyDescent="0.3">
      <c r="A1351" s="45"/>
      <c r="B1351" s="39">
        <v>46322</v>
      </c>
      <c r="C1351" s="4" t="str">
        <f>_xlfn.XLOOKUP(tblMovimientos[[#This Row],[Cuenta Bancaria]],Listas!$B:$B,Listas!$A:$A,"")</f>
        <v>M1B</v>
      </c>
      <c r="D1351" s="41" t="s">
        <v>97</v>
      </c>
      <c r="E1351" s="46" t="str">
        <f>_xlfn.XLOOKUP(tblMovimientos[[#This Row],[Cuenta Bancaria]],Listas!$B:$B,Listas!$C:$C,"")</f>
        <v xml:space="preserve">Amerant Bank </v>
      </c>
      <c r="F1351" s="41" t="s">
        <v>9</v>
      </c>
      <c r="G1351" s="41" t="s">
        <v>68</v>
      </c>
      <c r="H1351" s="46" t="str">
        <f>IFERROR(_xlfn.XLOOKUP(G1351,Listas!E:E,Listas!F:F,""),"")</f>
        <v>Operativo</v>
      </c>
      <c r="I1351" s="4" t="str">
        <f>IFERROR(_xlfn.XLOOKUP(G1351,Listas!E:E,Listas!G:G,""),"")</f>
        <v>Externo</v>
      </c>
      <c r="J1351" s="43">
        <v>6979.11</v>
      </c>
      <c r="K1351" s="5">
        <f t="shared" si="22"/>
        <v>6979.11</v>
      </c>
      <c r="L1351" s="15" t="s">
        <v>134</v>
      </c>
      <c r="M1351" s="44">
        <f>SUMIFS('Saldos Iniciales'!$D:$D,'Saldos Iniciales'!$A:$A,C1351,'Saldos Iniciales'!$B:$B,D1351)+SUMIFS($K$1:$K$1368,$C$1:$C$1368,C1351,$D$1:$D$1368,D1351,$B$1:$B$1368,"&lt;="&amp;B1351)</f>
        <v>105102.70000000016</v>
      </c>
      <c r="N1351" s="81">
        <f>IF(tblMovimientos[[#This Row],[Tipo de Movimiento]]="Ingreso",tblMovimientos[[#This Row],[Monto (S/)]],"0")</f>
        <v>6979.11</v>
      </c>
      <c r="O1351" s="81" t="str">
        <f>IF(tblMovimientos[[#This Row],[Tipo de Movimiento]]="Egreso",tblMovimientos[[#This Row],[Monto (S/)]],"0")</f>
        <v>0</v>
      </c>
      <c r="P1351" s="28">
        <f>IF(tblMovimientos[[#This Row],[Tipo de Movimiento]]="Ingreso",tblMovimientos[[#This Row],[Ingreso]],-tblMovimientos[[#This Row],[Egreso]])</f>
        <v>6979.11</v>
      </c>
      <c r="Q1351" s="80" t="str">
        <f>_xlfn.XLOOKUP(tblMovimientos[[#This Row],[Cuenta Bancaria]],Cuentas!$C:$C,Cuentas!$A:$A,"")&amp;""</f>
        <v>SSP Group</v>
      </c>
      <c r="R1351" s="80" t="str">
        <f>_xlfn.XLOOKUP(tblMovimientos[[#This Row],[Cuenta Bancaria]],Cuentas!$C:$C,Cuentas!$B:$B,"",0,-1)&amp;""</f>
        <v/>
      </c>
    </row>
    <row r="1352" spans="1:18" x14ac:dyDescent="0.3">
      <c r="B1352" s="39">
        <v>46323</v>
      </c>
      <c r="C1352" s="4" t="str">
        <f>_xlfn.XLOOKUP(tblMovimientos[[#This Row],[Cuenta Bancaria]],Listas!$B:$B,Listas!$A:$A,"")</f>
        <v>Go Blue</v>
      </c>
      <c r="D1352" s="41" t="s">
        <v>165</v>
      </c>
      <c r="E1352" s="4" t="str">
        <f>_xlfn.XLOOKUP(tblMovimientos[[#This Row],[Cuenta Bancaria]],Listas!$B:$B,Listas!$C:$C,"")</f>
        <v xml:space="preserve">Amerant Bank </v>
      </c>
      <c r="F1352" s="41" t="s">
        <v>10</v>
      </c>
      <c r="G1352" s="41" t="s">
        <v>38</v>
      </c>
      <c r="H1352" s="4" t="str">
        <f>IFERROR(_xlfn.XLOOKUP(G1352,Listas!E:E,Listas!F:F,""),"")</f>
        <v>Operativo</v>
      </c>
      <c r="I1352" s="4" t="str">
        <f>IFERROR(_xlfn.XLOOKUP(G1352,Listas!E:E,Listas!G:G,""),"")</f>
        <v>Externo</v>
      </c>
      <c r="J1352" s="43">
        <v>103.01</v>
      </c>
      <c r="K1352" s="5">
        <f t="shared" si="22"/>
        <v>-103.01</v>
      </c>
      <c r="L1352" s="15" t="s">
        <v>134</v>
      </c>
      <c r="M1352" s="44">
        <f>SUMIFS('Saldos Iniciales'!$D:$D,'Saldos Iniciales'!$A:$A,C1352,'Saldos Iniciales'!$B:$B,D1352)+SUMIFS($K$1:$K$1368,$C$1:$C$1368,C1352,$D$1:$D$1368,D1352,$B$1:$B$1368,"&lt;="&amp;B1352)</f>
        <v>542.68000000000029</v>
      </c>
      <c r="N1352" s="81" t="str">
        <f>IF(tblMovimientos[[#This Row],[Tipo de Movimiento]]="Ingreso",tblMovimientos[[#This Row],[Monto (S/)]],"0")</f>
        <v>0</v>
      </c>
      <c r="O1352" s="81">
        <f>IF(tblMovimientos[[#This Row],[Tipo de Movimiento]]="Egreso",tblMovimientos[[#This Row],[Monto (S/)]],"0")</f>
        <v>103.01</v>
      </c>
      <c r="P1352" s="28">
        <f>IF(tblMovimientos[[#This Row],[Tipo de Movimiento]]="Ingreso",tblMovimientos[[#This Row],[Ingreso]],-tblMovimientos[[#This Row],[Egreso]])</f>
        <v>-103.01</v>
      </c>
      <c r="Q1352" s="80" t="str">
        <f>_xlfn.XLOOKUP(tblMovimientos[[#This Row],[Cuenta Bancaria]],Cuentas!$C:$C,Cuentas!$A:$A,"")&amp;""</f>
        <v>SSP Group</v>
      </c>
      <c r="R1352" s="80" t="str">
        <f>_xlfn.XLOOKUP(tblMovimientos[[#This Row],[Cuenta Bancaria]],Cuentas!$C:$C,Cuentas!$B:$B,"",0,-1)&amp;""</f>
        <v/>
      </c>
    </row>
    <row r="1353" spans="1:18" x14ac:dyDescent="0.3">
      <c r="B1353" s="39">
        <v>46323</v>
      </c>
      <c r="C1353" s="4" t="str">
        <f>_xlfn.XLOOKUP(tblMovimientos[[#This Row],[Cuenta Bancaria]],Listas!$B:$B,Listas!$A:$A,"")</f>
        <v>Go Blue</v>
      </c>
      <c r="D1353" s="41" t="s">
        <v>165</v>
      </c>
      <c r="E1353" s="4" t="str">
        <f>_xlfn.XLOOKUP(tblMovimientos[[#This Row],[Cuenta Bancaria]],Listas!$B:$B,Listas!$C:$C,"")</f>
        <v xml:space="preserve">Amerant Bank </v>
      </c>
      <c r="F1353" s="41" t="s">
        <v>10</v>
      </c>
      <c r="G1353" s="41" t="s">
        <v>38</v>
      </c>
      <c r="H1353" s="4" t="str">
        <f>IFERROR(_xlfn.XLOOKUP(G1353,Listas!E:E,Listas!F:F,""),"")</f>
        <v>Operativo</v>
      </c>
      <c r="I1353" s="4" t="str">
        <f>IFERROR(_xlfn.XLOOKUP(G1353,Listas!E:E,Listas!G:G,""),"")</f>
        <v>Externo</v>
      </c>
      <c r="J1353" s="43">
        <v>213.81</v>
      </c>
      <c r="K1353" s="5">
        <f t="shared" si="22"/>
        <v>-213.81</v>
      </c>
      <c r="L1353" s="15" t="s">
        <v>134</v>
      </c>
      <c r="M1353" s="44">
        <f>SUMIFS('Saldos Iniciales'!$D:$D,'Saldos Iniciales'!$A:$A,C1353,'Saldos Iniciales'!$B:$B,D1353)+SUMIFS($K$1:$K$1368,$C$1:$C$1368,C1353,$D$1:$D$1368,D1353,$B$1:$B$1368,"&lt;="&amp;B1353)</f>
        <v>542.68000000000029</v>
      </c>
      <c r="N1353" s="81" t="str">
        <f>IF(tblMovimientos[[#This Row],[Tipo de Movimiento]]="Ingreso",tblMovimientos[[#This Row],[Monto (S/)]],"0")</f>
        <v>0</v>
      </c>
      <c r="O1353" s="81">
        <f>IF(tblMovimientos[[#This Row],[Tipo de Movimiento]]="Egreso",tblMovimientos[[#This Row],[Monto (S/)]],"0")</f>
        <v>213.81</v>
      </c>
      <c r="P1353" s="28">
        <f>IF(tblMovimientos[[#This Row],[Tipo de Movimiento]]="Ingreso",tblMovimientos[[#This Row],[Ingreso]],-tblMovimientos[[#This Row],[Egreso]])</f>
        <v>-213.81</v>
      </c>
      <c r="Q1353" s="80" t="str">
        <f>_xlfn.XLOOKUP(tblMovimientos[[#This Row],[Cuenta Bancaria]],Cuentas!$C:$C,Cuentas!$A:$A,"")&amp;""</f>
        <v>SSP Group</v>
      </c>
      <c r="R1353" s="80" t="str">
        <f>_xlfn.XLOOKUP(tblMovimientos[[#This Row],[Cuenta Bancaria]],Cuentas!$C:$C,Cuentas!$B:$B,"",0,-1)&amp;""</f>
        <v/>
      </c>
    </row>
    <row r="1354" spans="1:18" x14ac:dyDescent="0.3">
      <c r="B1354" s="39">
        <v>46323</v>
      </c>
      <c r="C1354" s="4" t="str">
        <f>_xlfn.XLOOKUP(tblMovimientos[[#This Row],[Cuenta Bancaria]],Listas!$B:$B,Listas!$A:$A,"")</f>
        <v>CFT Group</v>
      </c>
      <c r="D1354" s="41" t="s">
        <v>95</v>
      </c>
      <c r="E1354" s="4" t="str">
        <f>_xlfn.XLOOKUP(tblMovimientos[[#This Row],[Cuenta Bancaria]],Listas!$B:$B,Listas!$C:$C,"")</f>
        <v xml:space="preserve">Amerant Bank </v>
      </c>
      <c r="F1354" s="41" t="s">
        <v>9</v>
      </c>
      <c r="G1354" s="41" t="s">
        <v>76</v>
      </c>
      <c r="H1354" s="4" t="str">
        <f>IFERROR(_xlfn.XLOOKUP(G1354,Listas!E:E,Listas!F:F,""),"")</f>
        <v>Financiamiento</v>
      </c>
      <c r="I1354" s="4" t="str">
        <f>IFERROR(_xlfn.XLOOKUP(G1354,Listas!E:E,Listas!G:G,""),"")</f>
        <v>Externo</v>
      </c>
      <c r="J1354" s="43">
        <v>2428571.4300000002</v>
      </c>
      <c r="K1354" s="5">
        <f t="shared" si="22"/>
        <v>2428571.4300000002</v>
      </c>
      <c r="L1354" s="15" t="s">
        <v>134</v>
      </c>
      <c r="M1354" s="44">
        <f>SUMIFS('Saldos Iniciales'!$D:$D,'Saldos Iniciales'!$A:$A,C1354,'Saldos Iniciales'!$B:$B,D1354)+SUMIFS($K$1:$K$1368,$C$1:$C$1368,C1354,$D$1:$D$1368,D1354,$B$1:$B$1368,"&lt;="&amp;B1354)</f>
        <v>3655873.6600000015</v>
      </c>
      <c r="N1354" s="81">
        <f>IF(tblMovimientos[[#This Row],[Tipo de Movimiento]]="Ingreso",tblMovimientos[[#This Row],[Monto (S/)]],"0")</f>
        <v>2428571.4300000002</v>
      </c>
      <c r="O1354" s="81" t="str">
        <f>IF(tblMovimientos[[#This Row],[Tipo de Movimiento]]="Egreso",tblMovimientos[[#This Row],[Monto (S/)]],"0")</f>
        <v>0</v>
      </c>
      <c r="P1354" s="28">
        <f>IF(tblMovimientos[[#This Row],[Tipo de Movimiento]]="Ingreso",tblMovimientos[[#This Row],[Ingreso]],-tblMovimientos[[#This Row],[Egreso]])</f>
        <v>2428571.4300000002</v>
      </c>
      <c r="Q1354" s="80" t="str">
        <f>_xlfn.XLOOKUP(tblMovimientos[[#This Row],[Cuenta Bancaria]],Cuentas!$C:$C,Cuentas!$A:$A,"")&amp;""</f>
        <v>SSP Group</v>
      </c>
      <c r="R1354" s="80" t="str">
        <f>_xlfn.XLOOKUP(tblMovimientos[[#This Row],[Cuenta Bancaria]],Cuentas!$C:$C,Cuentas!$B:$B,"",0,-1)&amp;""</f>
        <v/>
      </c>
    </row>
    <row r="1355" spans="1:18" x14ac:dyDescent="0.3">
      <c r="B1355" s="39">
        <v>46323</v>
      </c>
      <c r="C1355" s="4" t="str">
        <f>_xlfn.XLOOKUP(tblMovimientos[[#This Row],[Cuenta Bancaria]],Listas!$B:$B,Listas!$A:$A,"")</f>
        <v>SSP Capital</v>
      </c>
      <c r="D1355" s="41" t="s">
        <v>101</v>
      </c>
      <c r="E1355" s="4" t="str">
        <f>_xlfn.XLOOKUP(tblMovimientos[[#This Row],[Cuenta Bancaria]],Listas!$B:$B,Listas!$C:$C,"")</f>
        <v>Bank of America</v>
      </c>
      <c r="F1355" s="41" t="s">
        <v>10</v>
      </c>
      <c r="G1355" s="41" t="s">
        <v>38</v>
      </c>
      <c r="H1355" s="4" t="str">
        <f>IFERROR(_xlfn.XLOOKUP(G1355,Listas!E:E,Listas!F:F,""),"")</f>
        <v>Operativo</v>
      </c>
      <c r="I1355" s="4" t="str">
        <f>IFERROR(_xlfn.XLOOKUP(G1355,Listas!E:E,Listas!G:G,""),"")</f>
        <v>Externo</v>
      </c>
      <c r="J1355" s="43">
        <v>526.75</v>
      </c>
      <c r="K1355" s="5">
        <f t="shared" si="22"/>
        <v>-526.75</v>
      </c>
      <c r="L1355" s="15" t="s">
        <v>134</v>
      </c>
      <c r="M1355" s="44">
        <f>SUMIFS('Saldos Iniciales'!$D:$D,'Saldos Iniciales'!$A:$A,C1355,'Saldos Iniciales'!$B:$B,D1355)+SUMIFS($K$1:$K$1368,$C$1:$C$1368,C1355,$D$1:$D$1368,D1355,$B$1:$B$1368,"&lt;="&amp;B1355)</f>
        <v>22212.070000000007</v>
      </c>
      <c r="N1355" s="81" t="str">
        <f>IF(tblMovimientos[[#This Row],[Tipo de Movimiento]]="Ingreso",tblMovimientos[[#This Row],[Monto (S/)]],"0")</f>
        <v>0</v>
      </c>
      <c r="O1355" s="81">
        <f>IF(tblMovimientos[[#This Row],[Tipo de Movimiento]]="Egreso",tblMovimientos[[#This Row],[Monto (S/)]],"0")</f>
        <v>526.75</v>
      </c>
      <c r="P1355" s="28">
        <f>IF(tblMovimientos[[#This Row],[Tipo de Movimiento]]="Ingreso",tblMovimientos[[#This Row],[Ingreso]],-tblMovimientos[[#This Row],[Egreso]])</f>
        <v>-526.75</v>
      </c>
      <c r="Q1355" s="80" t="str">
        <f>_xlfn.XLOOKUP(tblMovimientos[[#This Row],[Cuenta Bancaria]],Cuentas!$C:$C,Cuentas!$A:$A,"")&amp;""</f>
        <v>SSP Group</v>
      </c>
      <c r="R1355" s="80" t="str">
        <f>_xlfn.XLOOKUP(tblMovimientos[[#This Row],[Cuenta Bancaria]],Cuentas!$C:$C,Cuentas!$B:$B,"",0,-1)&amp;""</f>
        <v/>
      </c>
    </row>
    <row r="1356" spans="1:18" x14ac:dyDescent="0.3">
      <c r="A1356" s="45"/>
      <c r="B1356" s="39">
        <v>46323</v>
      </c>
      <c r="C1356" s="4" t="str">
        <f>_xlfn.XLOOKUP(tblMovimientos[[#This Row],[Cuenta Bancaria]],Listas!$B:$B,Listas!$A:$A,"")</f>
        <v>112 Florida Ave</v>
      </c>
      <c r="D1356" s="41" t="s">
        <v>123</v>
      </c>
      <c r="E1356" s="46" t="str">
        <f>_xlfn.XLOOKUP(tblMovimientos[[#This Row],[Cuenta Bancaria]],Listas!$B:$B,Listas!$C:$C,"")</f>
        <v>Bank of America</v>
      </c>
      <c r="F1356" s="41" t="s">
        <v>10</v>
      </c>
      <c r="G1356" s="41" t="s">
        <v>38</v>
      </c>
      <c r="H1356" s="46" t="str">
        <f>IFERROR(_xlfn.XLOOKUP(G1356,Listas!E:E,Listas!F:F,""),"")</f>
        <v>Operativo</v>
      </c>
      <c r="I1356" s="4" t="str">
        <f>IFERROR(_xlfn.XLOOKUP(G1356,Listas!E:E,Listas!G:G,""),"")</f>
        <v>Externo</v>
      </c>
      <c r="J1356" s="43">
        <v>76.95</v>
      </c>
      <c r="K1356" s="5">
        <f t="shared" si="22"/>
        <v>-76.95</v>
      </c>
      <c r="L1356" s="15" t="s">
        <v>134</v>
      </c>
      <c r="M1356" s="44">
        <f>SUMIFS('Saldos Iniciales'!$D:$D,'Saldos Iniciales'!$A:$A,C1356,'Saldos Iniciales'!$B:$B,D1356)+SUMIFS($K$1:$K$1368,$C$1:$C$1368,C1356,$D$1:$D$1368,D1356,$B$1:$B$1368,"&lt;="&amp;B1356)</f>
        <v>13499.110000000008</v>
      </c>
      <c r="N1356" s="81" t="str">
        <f>IF(tblMovimientos[[#This Row],[Tipo de Movimiento]]="Ingreso",tblMovimientos[[#This Row],[Monto (S/)]],"0")</f>
        <v>0</v>
      </c>
      <c r="O1356" s="81">
        <f>IF(tblMovimientos[[#This Row],[Tipo de Movimiento]]="Egreso",tblMovimientos[[#This Row],[Monto (S/)]],"0")</f>
        <v>76.95</v>
      </c>
      <c r="P1356" s="28">
        <f>IF(tblMovimientos[[#This Row],[Tipo de Movimiento]]="Ingreso",tblMovimientos[[#This Row],[Ingreso]],-tblMovimientos[[#This Row],[Egreso]])</f>
        <v>-76.95</v>
      </c>
      <c r="Q1356" s="80" t="str">
        <f>_xlfn.XLOOKUP(tblMovimientos[[#This Row],[Cuenta Bancaria]],Cuentas!$C:$C,Cuentas!$A:$A,"")&amp;""</f>
        <v>SSP Group</v>
      </c>
      <c r="R1356" s="80" t="str">
        <f>_xlfn.XLOOKUP(tblMovimientos[[#This Row],[Cuenta Bancaria]],Cuentas!$C:$C,Cuentas!$B:$B,"",0,-1)&amp;""</f>
        <v/>
      </c>
    </row>
    <row r="1357" spans="1:18" x14ac:dyDescent="0.3">
      <c r="B1357" s="39">
        <v>46324</v>
      </c>
      <c r="C1357" s="4" t="str">
        <f>_xlfn.XLOOKUP(tblMovimientos[[#This Row],[Cuenta Bancaria]],Listas!$B:$B,Listas!$A:$A,"")</f>
        <v>SSP Capital</v>
      </c>
      <c r="D1357" s="41" t="s">
        <v>101</v>
      </c>
      <c r="E1357" s="4" t="str">
        <f>_xlfn.XLOOKUP(tblMovimientos[[#This Row],[Cuenta Bancaria]],Listas!$B:$B,Listas!$C:$C,"")</f>
        <v>Bank of America</v>
      </c>
      <c r="F1357" s="41" t="s">
        <v>10</v>
      </c>
      <c r="G1357" s="41" t="s">
        <v>38</v>
      </c>
      <c r="H1357" s="82" t="str">
        <f>IFERROR(_xlfn.XLOOKUP(G1357,Listas!E:E,Listas!F:F,""),"")</f>
        <v>Operativo</v>
      </c>
      <c r="I1357" s="4" t="str">
        <f>IFERROR(_xlfn.XLOOKUP(G1357,Listas!E:E,Listas!G:G,""),"")</f>
        <v>Externo</v>
      </c>
      <c r="J1357" s="43">
        <v>195.23</v>
      </c>
      <c r="K1357" s="5">
        <f t="shared" si="22"/>
        <v>-195.23</v>
      </c>
      <c r="L1357" s="15" t="s">
        <v>134</v>
      </c>
      <c r="M1357" s="44">
        <f>SUMIFS('Saldos Iniciales'!$D:$D,'Saldos Iniciales'!$A:$A,C1357,'Saldos Iniciales'!$B:$B,D1357)+SUMIFS($K$1:$K$1368,$C$1:$C$1368,C1357,$D$1:$D$1368,D1357,$B$1:$B$1368,"&lt;="&amp;B1357)</f>
        <v>22016.840000000011</v>
      </c>
      <c r="N1357" s="83" t="str">
        <f>IF(tblMovimientos[[#This Row],[Tipo de Movimiento]]="Ingreso",tblMovimientos[[#This Row],[Monto (S/)]],"0")</f>
        <v>0</v>
      </c>
      <c r="O1357" s="83">
        <f>IF(tblMovimientos[[#This Row],[Tipo de Movimiento]]="Egreso",tblMovimientos[[#This Row],[Monto (S/)]],"0")</f>
        <v>195.23</v>
      </c>
      <c r="P1357" s="28">
        <f>IF(tblMovimientos[[#This Row],[Tipo de Movimiento]]="Ingreso",tblMovimientos[[#This Row],[Ingreso]],-tblMovimientos[[#This Row],[Egreso]])</f>
        <v>-195.23</v>
      </c>
      <c r="Q1357" s="80" t="str">
        <f>_xlfn.XLOOKUP(tblMovimientos[[#This Row],[Cuenta Bancaria]],Cuentas!$C:$C,Cuentas!$A:$A,"")&amp;""</f>
        <v>SSP Group</v>
      </c>
      <c r="R1357" s="80" t="str">
        <f>_xlfn.XLOOKUP(tblMovimientos[[#This Row],[Cuenta Bancaria]],Cuentas!$C:$C,Cuentas!$B:$B,"",0,-1)&amp;""</f>
        <v/>
      </c>
    </row>
    <row r="1358" spans="1:18" x14ac:dyDescent="0.3">
      <c r="B1358" s="39">
        <v>46324</v>
      </c>
      <c r="C1358" s="4" t="str">
        <f>_xlfn.XLOOKUP(tblMovimientos[[#This Row],[Cuenta Bancaria]],Listas!$B:$B,Listas!$A:$A,"")</f>
        <v>A&amp;M Imports</v>
      </c>
      <c r="D1358" s="41" t="s">
        <v>100</v>
      </c>
      <c r="E1358" s="4" t="str">
        <f>_xlfn.XLOOKUP(tblMovimientos[[#This Row],[Cuenta Bancaria]],Listas!$B:$B,Listas!$C:$C,"")</f>
        <v>Bank of America</v>
      </c>
      <c r="F1358" s="41" t="s">
        <v>9</v>
      </c>
      <c r="G1358" s="41" t="s">
        <v>68</v>
      </c>
      <c r="H1358" s="82" t="str">
        <f>IFERROR(_xlfn.XLOOKUP(G1358,Listas!E:E,Listas!F:F,""),"")</f>
        <v>Operativo</v>
      </c>
      <c r="I1358" s="4" t="str">
        <f>IFERROR(_xlfn.XLOOKUP(G1358,Listas!E:E,Listas!G:G,""),"")</f>
        <v>Externo</v>
      </c>
      <c r="J1358" s="43">
        <v>23023.97</v>
      </c>
      <c r="K1358" s="5">
        <f t="shared" si="22"/>
        <v>23023.97</v>
      </c>
      <c r="L1358" s="15" t="s">
        <v>134</v>
      </c>
      <c r="M1358" s="44">
        <f>SUMIFS('Saldos Iniciales'!$D:$D,'Saldos Iniciales'!$A:$A,C1358,'Saldos Iniciales'!$B:$B,D1358)+SUMIFS($K$1:$K$1368,$C$1:$C$1368,C1358,$D$1:$D$1368,D1358,$B$1:$B$1368,"&lt;="&amp;B1358)</f>
        <v>1161160.8399999996</v>
      </c>
      <c r="N1358" s="83">
        <f>IF(tblMovimientos[[#This Row],[Tipo de Movimiento]]="Ingreso",tblMovimientos[[#This Row],[Monto (S/)]],"0")</f>
        <v>23023.97</v>
      </c>
      <c r="O1358" s="83" t="str">
        <f>IF(tblMovimientos[[#This Row],[Tipo de Movimiento]]="Egreso",tblMovimientos[[#This Row],[Monto (S/)]],"0")</f>
        <v>0</v>
      </c>
      <c r="P1358" s="28">
        <f>IF(tblMovimientos[[#This Row],[Tipo de Movimiento]]="Ingreso",tblMovimientos[[#This Row],[Ingreso]],-tblMovimientos[[#This Row],[Egreso]])</f>
        <v>23023.97</v>
      </c>
      <c r="Q1358" s="80" t="str">
        <f>_xlfn.XLOOKUP(tblMovimientos[[#This Row],[Cuenta Bancaria]],Cuentas!$C:$C,Cuentas!$A:$A,"")&amp;""</f>
        <v>SSP Group</v>
      </c>
      <c r="R1358" s="80" t="str">
        <f>_xlfn.XLOOKUP(tblMovimientos[[#This Row],[Cuenta Bancaria]],Cuentas!$C:$C,Cuentas!$B:$B,"",0,-1)&amp;""</f>
        <v/>
      </c>
    </row>
    <row r="1359" spans="1:18" x14ac:dyDescent="0.3">
      <c r="B1359" s="39">
        <v>46324</v>
      </c>
      <c r="C1359" s="4" t="str">
        <f>_xlfn.XLOOKUP(tblMovimientos[[#This Row],[Cuenta Bancaria]],Listas!$B:$B,Listas!$A:$A,"")</f>
        <v>A&amp;M Imports</v>
      </c>
      <c r="D1359" s="41" t="s">
        <v>100</v>
      </c>
      <c r="E1359" s="4" t="str">
        <f>_xlfn.XLOOKUP(tblMovimientos[[#This Row],[Cuenta Bancaria]],Listas!$B:$B,Listas!$C:$C,"")</f>
        <v>Bank of America</v>
      </c>
      <c r="F1359" s="41" t="s">
        <v>9</v>
      </c>
      <c r="G1359" s="41" t="s">
        <v>68</v>
      </c>
      <c r="H1359" s="82" t="str">
        <f>IFERROR(_xlfn.XLOOKUP(G1359,Listas!E:E,Listas!F:F,""),"")</f>
        <v>Operativo</v>
      </c>
      <c r="I1359" s="4" t="str">
        <f>IFERROR(_xlfn.XLOOKUP(G1359,Listas!E:E,Listas!G:G,""),"")</f>
        <v>Externo</v>
      </c>
      <c r="J1359" s="43">
        <v>1452.33</v>
      </c>
      <c r="K1359" s="5">
        <f t="shared" si="22"/>
        <v>1452.33</v>
      </c>
      <c r="L1359" s="15" t="s">
        <v>134</v>
      </c>
      <c r="M1359" s="44">
        <f>SUMIFS('Saldos Iniciales'!$D:$D,'Saldos Iniciales'!$A:$A,C1359,'Saldos Iniciales'!$B:$B,D1359)+SUMIFS($K$1:$K$1368,$C$1:$C$1368,C1359,$D$1:$D$1368,D1359,$B$1:$B$1368,"&lt;="&amp;B1359)</f>
        <v>1161160.8399999996</v>
      </c>
      <c r="N1359" s="83">
        <f>IF(tblMovimientos[[#This Row],[Tipo de Movimiento]]="Ingreso",tblMovimientos[[#This Row],[Monto (S/)]],"0")</f>
        <v>1452.33</v>
      </c>
      <c r="O1359" s="83" t="str">
        <f>IF(tblMovimientos[[#This Row],[Tipo de Movimiento]]="Egreso",tblMovimientos[[#This Row],[Monto (S/)]],"0")</f>
        <v>0</v>
      </c>
      <c r="P1359" s="28">
        <f>IF(tblMovimientos[[#This Row],[Tipo de Movimiento]]="Ingreso",tblMovimientos[[#This Row],[Ingreso]],-tblMovimientos[[#This Row],[Egreso]])</f>
        <v>1452.33</v>
      </c>
      <c r="Q1359" s="80" t="str">
        <f>_xlfn.XLOOKUP(tblMovimientos[[#This Row],[Cuenta Bancaria]],Cuentas!$C:$C,Cuentas!$A:$A,"")&amp;""</f>
        <v>SSP Group</v>
      </c>
      <c r="R1359" s="80" t="str">
        <f>_xlfn.XLOOKUP(tblMovimientos[[#This Row],[Cuenta Bancaria]],Cuentas!$C:$C,Cuentas!$B:$B,"",0,-1)&amp;""</f>
        <v/>
      </c>
    </row>
    <row r="1360" spans="1:18" x14ac:dyDescent="0.3">
      <c r="B1360" s="39">
        <v>46324</v>
      </c>
      <c r="C1360" s="4" t="str">
        <f>_xlfn.XLOOKUP(tblMovimientos[[#This Row],[Cuenta Bancaria]],Listas!$B:$B,Listas!$A:$A,"")</f>
        <v>CFT Group</v>
      </c>
      <c r="D1360" s="41" t="s">
        <v>94</v>
      </c>
      <c r="E1360" s="4" t="str">
        <f>_xlfn.XLOOKUP(tblMovimientos[[#This Row],[Cuenta Bancaria]],Listas!$B:$B,Listas!$C:$C,"")</f>
        <v>Bank of America</v>
      </c>
      <c r="F1360" s="41" t="s">
        <v>9</v>
      </c>
      <c r="G1360" s="41" t="s">
        <v>87</v>
      </c>
      <c r="H1360" s="82" t="str">
        <f>IFERROR(_xlfn.XLOOKUP(G1360,Listas!E:E,Listas!F:F,""),"")</f>
        <v>Operativo</v>
      </c>
      <c r="I1360" s="4" t="str">
        <f>IFERROR(_xlfn.XLOOKUP(G1360,Listas!E:E,Listas!G:G,""),"")</f>
        <v>Externo</v>
      </c>
      <c r="J1360" s="43">
        <v>125000</v>
      </c>
      <c r="K1360" s="5">
        <f t="shared" si="22"/>
        <v>125000</v>
      </c>
      <c r="L1360" s="15" t="s">
        <v>134</v>
      </c>
      <c r="M1360" s="44">
        <f>SUMIFS('Saldos Iniciales'!$D:$D,'Saldos Iniciales'!$A:$A,C1360,'Saldos Iniciales'!$B:$B,D1360)+SUMIFS($K$1:$K$1368,$C$1:$C$1368,C1360,$D$1:$D$1368,D1360,$B$1:$B$1368,"&lt;="&amp;B1360)</f>
        <v>455761.27999999991</v>
      </c>
      <c r="N1360" s="83">
        <f>IF(tblMovimientos[[#This Row],[Tipo de Movimiento]]="Ingreso",tblMovimientos[[#This Row],[Monto (S/)]],"0")</f>
        <v>125000</v>
      </c>
      <c r="O1360" s="83" t="str">
        <f>IF(tblMovimientos[[#This Row],[Tipo de Movimiento]]="Egreso",tblMovimientos[[#This Row],[Monto (S/)]],"0")</f>
        <v>0</v>
      </c>
      <c r="P1360" s="28">
        <f>IF(tblMovimientos[[#This Row],[Tipo de Movimiento]]="Ingreso",tblMovimientos[[#This Row],[Ingreso]],-tblMovimientos[[#This Row],[Egreso]])</f>
        <v>125000</v>
      </c>
      <c r="Q1360" s="80" t="str">
        <f>_xlfn.XLOOKUP(tblMovimientos[[#This Row],[Cuenta Bancaria]],Cuentas!$C:$C,Cuentas!$A:$A,"")&amp;""</f>
        <v>SSP Group</v>
      </c>
      <c r="R1360" s="80" t="str">
        <f>_xlfn.XLOOKUP(tblMovimientos[[#This Row],[Cuenta Bancaria]],Cuentas!$C:$C,Cuentas!$B:$B,"",0,-1)&amp;""</f>
        <v/>
      </c>
    </row>
    <row r="1361" spans="1:18" x14ac:dyDescent="0.3">
      <c r="B1361" s="39">
        <v>46324</v>
      </c>
      <c r="C1361" s="4" t="str">
        <f>_xlfn.XLOOKUP(tblMovimientos[[#This Row],[Cuenta Bancaria]],Listas!$B:$B,Listas!$A:$A,"")</f>
        <v>CFT Group</v>
      </c>
      <c r="D1361" s="41" t="s">
        <v>94</v>
      </c>
      <c r="E1361" s="4" t="str">
        <f>_xlfn.XLOOKUP(tblMovimientos[[#This Row],[Cuenta Bancaria]],Listas!$B:$B,Listas!$C:$C,"")</f>
        <v>Bank of America</v>
      </c>
      <c r="F1361" s="41" t="s">
        <v>9</v>
      </c>
      <c r="G1361" s="41" t="s">
        <v>68</v>
      </c>
      <c r="H1361" s="82" t="str">
        <f>IFERROR(_xlfn.XLOOKUP(G1361,Listas!E:E,Listas!F:F,""),"")</f>
        <v>Operativo</v>
      </c>
      <c r="I1361" s="4" t="str">
        <f>IFERROR(_xlfn.XLOOKUP(G1361,Listas!E:E,Listas!G:G,""),"")</f>
        <v>Externo</v>
      </c>
      <c r="J1361" s="43">
        <v>73227.34</v>
      </c>
      <c r="K1361" s="5">
        <f t="shared" si="22"/>
        <v>73227.34</v>
      </c>
      <c r="L1361" s="15" t="s">
        <v>134</v>
      </c>
      <c r="M1361" s="44">
        <f>SUMIFS('Saldos Iniciales'!$D:$D,'Saldos Iniciales'!$A:$A,C1361,'Saldos Iniciales'!$B:$B,D1361)+SUMIFS($K$1:$K$1368,$C$1:$C$1368,C1361,$D$1:$D$1368,D1361,$B$1:$B$1368,"&lt;="&amp;B1361)</f>
        <v>455761.27999999991</v>
      </c>
      <c r="N1361" s="83">
        <f>IF(tblMovimientos[[#This Row],[Tipo de Movimiento]]="Ingreso",tblMovimientos[[#This Row],[Monto (S/)]],"0")</f>
        <v>73227.34</v>
      </c>
      <c r="O1361" s="83" t="str">
        <f>IF(tblMovimientos[[#This Row],[Tipo de Movimiento]]="Egreso",tblMovimientos[[#This Row],[Monto (S/)]],"0")</f>
        <v>0</v>
      </c>
      <c r="P1361" s="28">
        <f>IF(tblMovimientos[[#This Row],[Tipo de Movimiento]]="Ingreso",tblMovimientos[[#This Row],[Ingreso]],-tblMovimientos[[#This Row],[Egreso]])</f>
        <v>73227.34</v>
      </c>
      <c r="Q1361" s="80" t="str">
        <f>_xlfn.XLOOKUP(tblMovimientos[[#This Row],[Cuenta Bancaria]],Cuentas!$C:$C,Cuentas!$A:$A,"")&amp;""</f>
        <v>SSP Group</v>
      </c>
      <c r="R1361" s="80" t="str">
        <f>_xlfn.XLOOKUP(tblMovimientos[[#This Row],[Cuenta Bancaria]],Cuentas!$C:$C,Cuentas!$B:$B,"",0,-1)&amp;""</f>
        <v/>
      </c>
    </row>
    <row r="1362" spans="1:18" x14ac:dyDescent="0.3">
      <c r="B1362" s="39">
        <v>46324</v>
      </c>
      <c r="C1362" s="4" t="str">
        <f>_xlfn.XLOOKUP(tblMovimientos[[#This Row],[Cuenta Bancaria]],Listas!$B:$B,Listas!$A:$A,"")</f>
        <v>CFT Group</v>
      </c>
      <c r="D1362" s="41" t="s">
        <v>94</v>
      </c>
      <c r="E1362" s="4" t="str">
        <f>_xlfn.XLOOKUP(tblMovimientos[[#This Row],[Cuenta Bancaria]],Listas!$B:$B,Listas!$C:$C,"")</f>
        <v>Bank of America</v>
      </c>
      <c r="F1362" s="41" t="s">
        <v>9</v>
      </c>
      <c r="G1362" s="41" t="s">
        <v>68</v>
      </c>
      <c r="H1362" s="82" t="str">
        <f>IFERROR(_xlfn.XLOOKUP(G1362,Listas!E:E,Listas!F:F,""),"")</f>
        <v>Operativo</v>
      </c>
      <c r="I1362" s="4" t="str">
        <f>IFERROR(_xlfn.XLOOKUP(G1362,Listas!E:E,Listas!G:G,""),"")</f>
        <v>Externo</v>
      </c>
      <c r="J1362" s="43">
        <v>13758.91</v>
      </c>
      <c r="K1362" s="5">
        <f t="shared" si="22"/>
        <v>13758.91</v>
      </c>
      <c r="L1362" s="15" t="s">
        <v>134</v>
      </c>
      <c r="M1362" s="44">
        <f>SUMIFS('Saldos Iniciales'!$D:$D,'Saldos Iniciales'!$A:$A,C1362,'Saldos Iniciales'!$B:$B,D1362)+SUMIFS($K$1:$K$1368,$C$1:$C$1368,C1362,$D$1:$D$1368,D1362,$B$1:$B$1368,"&lt;="&amp;B1362)</f>
        <v>455761.27999999991</v>
      </c>
      <c r="N1362" s="83">
        <f>IF(tblMovimientos[[#This Row],[Tipo de Movimiento]]="Ingreso",tblMovimientos[[#This Row],[Monto (S/)]],"0")</f>
        <v>13758.91</v>
      </c>
      <c r="O1362" s="83" t="str">
        <f>IF(tblMovimientos[[#This Row],[Tipo de Movimiento]]="Egreso",tblMovimientos[[#This Row],[Monto (S/)]],"0")</f>
        <v>0</v>
      </c>
      <c r="P1362" s="28">
        <f>IF(tblMovimientos[[#This Row],[Tipo de Movimiento]]="Ingreso",tblMovimientos[[#This Row],[Ingreso]],-tblMovimientos[[#This Row],[Egreso]])</f>
        <v>13758.91</v>
      </c>
      <c r="Q1362" s="80" t="str">
        <f>_xlfn.XLOOKUP(tblMovimientos[[#This Row],[Cuenta Bancaria]],Cuentas!$C:$C,Cuentas!$A:$A,"")&amp;""</f>
        <v>SSP Group</v>
      </c>
      <c r="R1362" s="80" t="str">
        <f>_xlfn.XLOOKUP(tblMovimientos[[#This Row],[Cuenta Bancaria]],Cuentas!$C:$C,Cuentas!$B:$B,"",0,-1)&amp;""</f>
        <v/>
      </c>
    </row>
    <row r="1363" spans="1:18" x14ac:dyDescent="0.3">
      <c r="B1363" s="39">
        <v>46324</v>
      </c>
      <c r="C1363" s="4" t="str">
        <f>_xlfn.XLOOKUP(tblMovimientos[[#This Row],[Cuenta Bancaria]],Listas!$B:$B,Listas!$A:$A,"")</f>
        <v>2515 Overbrook</v>
      </c>
      <c r="D1363" s="41" t="s">
        <v>121</v>
      </c>
      <c r="E1363" s="4" t="str">
        <f>_xlfn.XLOOKUP(tblMovimientos[[#This Row],[Cuenta Bancaria]],Listas!$B:$B,Listas!$C:$C,"")</f>
        <v>Bank of America</v>
      </c>
      <c r="F1363" s="41" t="s">
        <v>9</v>
      </c>
      <c r="G1363" s="41" t="s">
        <v>87</v>
      </c>
      <c r="H1363" s="82" t="str">
        <f>IFERROR(_xlfn.XLOOKUP(G1363,Listas!E:E,Listas!F:F,""),"")</f>
        <v>Operativo</v>
      </c>
      <c r="I1363" s="4" t="str">
        <f>IFERROR(_xlfn.XLOOKUP(G1363,Listas!E:E,Listas!G:G,""),"")</f>
        <v>Externo</v>
      </c>
      <c r="J1363" s="43">
        <v>5250</v>
      </c>
      <c r="K1363" s="5">
        <f t="shared" si="22"/>
        <v>5250</v>
      </c>
      <c r="L1363" s="15" t="s">
        <v>134</v>
      </c>
      <c r="M1363" s="44">
        <f>SUMIFS('Saldos Iniciales'!$D:$D,'Saldos Iniciales'!$A:$A,C1363,'Saldos Iniciales'!$B:$B,D1363)+SUMIFS($K$1:$K$1368,$C$1:$C$1368,C1363,$D$1:$D$1368,D1363,$B$1:$B$1368,"&lt;="&amp;B1363)</f>
        <v>44704.559999999969</v>
      </c>
      <c r="N1363" s="83">
        <f>IF(tblMovimientos[[#This Row],[Tipo de Movimiento]]="Ingreso",tblMovimientos[[#This Row],[Monto (S/)]],"0")</f>
        <v>5250</v>
      </c>
      <c r="O1363" s="83" t="str">
        <f>IF(tblMovimientos[[#This Row],[Tipo de Movimiento]]="Egreso",tblMovimientos[[#This Row],[Monto (S/)]],"0")</f>
        <v>0</v>
      </c>
      <c r="P1363" s="28">
        <f>IF(tblMovimientos[[#This Row],[Tipo de Movimiento]]="Ingreso",tblMovimientos[[#This Row],[Ingreso]],-tblMovimientos[[#This Row],[Egreso]])</f>
        <v>5250</v>
      </c>
      <c r="Q1363" s="80" t="str">
        <f>_xlfn.XLOOKUP(tblMovimientos[[#This Row],[Cuenta Bancaria]],Cuentas!$C:$C,Cuentas!$A:$A,"")&amp;""</f>
        <v>SSP Group</v>
      </c>
      <c r="R1363" s="80" t="str">
        <f>_xlfn.XLOOKUP(tblMovimientos[[#This Row],[Cuenta Bancaria]],Cuentas!$C:$C,Cuentas!$B:$B,"",0,-1)&amp;""</f>
        <v/>
      </c>
    </row>
    <row r="1364" spans="1:18" x14ac:dyDescent="0.3">
      <c r="B1364" s="39">
        <v>46324</v>
      </c>
      <c r="C1364" s="4" t="str">
        <f>_xlfn.XLOOKUP(tblMovimientos[[#This Row],[Cuenta Bancaria]],Listas!$B:$B,Listas!$A:$A,"")</f>
        <v>3628 Thomas Ave</v>
      </c>
      <c r="D1364" s="41" t="s">
        <v>124</v>
      </c>
      <c r="E1364" s="4" t="str">
        <f>_xlfn.XLOOKUP(tblMovimientos[[#This Row],[Cuenta Bancaria]],Listas!$B:$B,Listas!$C:$C,"")</f>
        <v>Bank of America</v>
      </c>
      <c r="F1364" s="41" t="s">
        <v>9</v>
      </c>
      <c r="G1364" s="41" t="s">
        <v>81</v>
      </c>
      <c r="H1364" s="82" t="str">
        <f>IFERROR(_xlfn.XLOOKUP(G1364,Listas!E:E,Listas!F:F,""),"")</f>
        <v>Operativo</v>
      </c>
      <c r="I1364" s="4" t="str">
        <f>IFERROR(_xlfn.XLOOKUP(G1364,Listas!E:E,Listas!G:G,""),"")</f>
        <v>Externo</v>
      </c>
      <c r="J1364" s="43">
        <v>3000</v>
      </c>
      <c r="K1364" s="5">
        <f t="shared" si="22"/>
        <v>3000</v>
      </c>
      <c r="L1364" s="15" t="s">
        <v>134</v>
      </c>
      <c r="M1364" s="44">
        <f>SUMIFS('Saldos Iniciales'!$D:$D,'Saldos Iniciales'!$A:$A,C1364,'Saldos Iniciales'!$B:$B,D1364)+SUMIFS($K$1:$K$1368,$C$1:$C$1368,C1364,$D$1:$D$1368,D1364,$B$1:$B$1368,"&lt;="&amp;B1364)</f>
        <v>19303.769999999997</v>
      </c>
      <c r="N1364" s="83">
        <f>IF(tblMovimientos[[#This Row],[Tipo de Movimiento]]="Ingreso",tblMovimientos[[#This Row],[Monto (S/)]],"0")</f>
        <v>3000</v>
      </c>
      <c r="O1364" s="83" t="str">
        <f>IF(tblMovimientos[[#This Row],[Tipo de Movimiento]]="Egreso",tblMovimientos[[#This Row],[Monto (S/)]],"0")</f>
        <v>0</v>
      </c>
      <c r="P1364" s="28">
        <f>IF(tblMovimientos[[#This Row],[Tipo de Movimiento]]="Ingreso",tblMovimientos[[#This Row],[Ingreso]],-tblMovimientos[[#This Row],[Egreso]])</f>
        <v>3000</v>
      </c>
      <c r="Q1364" s="80" t="str">
        <f>_xlfn.XLOOKUP(tblMovimientos[[#This Row],[Cuenta Bancaria]],Cuentas!$C:$C,Cuentas!$A:$A,"")&amp;""</f>
        <v>SSP Group</v>
      </c>
      <c r="R1364" s="80" t="str">
        <f>_xlfn.XLOOKUP(tblMovimientos[[#This Row],[Cuenta Bancaria]],Cuentas!$C:$C,Cuentas!$B:$B,"",0,-1)&amp;""</f>
        <v/>
      </c>
    </row>
    <row r="1365" spans="1:18" x14ac:dyDescent="0.3">
      <c r="B1365" s="39">
        <v>46324</v>
      </c>
      <c r="C1365" s="4" t="str">
        <f>_xlfn.XLOOKUP(tblMovimientos[[#This Row],[Cuenta Bancaria]],Listas!$B:$B,Listas!$A:$A,"")</f>
        <v>M1B</v>
      </c>
      <c r="D1365" s="41" t="s">
        <v>97</v>
      </c>
      <c r="E1365" s="4" t="str">
        <f>_xlfn.XLOOKUP(tblMovimientos[[#This Row],[Cuenta Bancaria]],Listas!$B:$B,Listas!$C:$C,"")</f>
        <v xml:space="preserve">Amerant Bank </v>
      </c>
      <c r="F1365" s="41" t="s">
        <v>9</v>
      </c>
      <c r="G1365" s="41" t="s">
        <v>68</v>
      </c>
      <c r="H1365" s="82" t="str">
        <f>IFERROR(_xlfn.XLOOKUP(G1365,Listas!E:E,Listas!F:F,""),"")</f>
        <v>Operativo</v>
      </c>
      <c r="I1365" s="4" t="str">
        <f>IFERROR(_xlfn.XLOOKUP(G1365,Listas!E:E,Listas!G:G,""),"")</f>
        <v>Externo</v>
      </c>
      <c r="J1365" s="43">
        <v>2552.06</v>
      </c>
      <c r="K1365" s="5">
        <f t="shared" si="22"/>
        <v>2552.06</v>
      </c>
      <c r="L1365" s="15" t="s">
        <v>134</v>
      </c>
      <c r="M1365" s="44">
        <f>SUMIFS('Saldos Iniciales'!$D:$D,'Saldos Iniciales'!$A:$A,C1365,'Saldos Iniciales'!$B:$B,D1365)+SUMIFS($K$1:$K$1368,$C$1:$C$1368,C1365,$D$1:$D$1368,D1365,$B$1:$B$1368,"&lt;="&amp;B1365)</f>
        <v>107654.76000000015</v>
      </c>
      <c r="N1365" s="83">
        <f>IF(tblMovimientos[[#This Row],[Tipo de Movimiento]]="Ingreso",tblMovimientos[[#This Row],[Monto (S/)]],"0")</f>
        <v>2552.06</v>
      </c>
      <c r="O1365" s="83" t="str">
        <f>IF(tblMovimientos[[#This Row],[Tipo de Movimiento]]="Egreso",tblMovimientos[[#This Row],[Monto (S/)]],"0")</f>
        <v>0</v>
      </c>
      <c r="P1365" s="28">
        <f>IF(tblMovimientos[[#This Row],[Tipo de Movimiento]]="Ingreso",tblMovimientos[[#This Row],[Ingreso]],-tblMovimientos[[#This Row],[Egreso]])</f>
        <v>2552.06</v>
      </c>
      <c r="Q1365" s="80" t="str">
        <f>_xlfn.XLOOKUP(tblMovimientos[[#This Row],[Cuenta Bancaria]],Cuentas!$C:$C,Cuentas!$A:$A,"")&amp;""</f>
        <v>SSP Group</v>
      </c>
      <c r="R1365" s="80" t="str">
        <f>_xlfn.XLOOKUP(tblMovimientos[[#This Row],[Cuenta Bancaria]],Cuentas!$C:$C,Cuentas!$B:$B,"",0,-1)&amp;""</f>
        <v/>
      </c>
    </row>
    <row r="1366" spans="1:18" x14ac:dyDescent="0.3">
      <c r="B1366" s="39">
        <v>46324</v>
      </c>
      <c r="C1366" s="4" t="str">
        <f>_xlfn.XLOOKUP(tblMovimientos[[#This Row],[Cuenta Bancaria]],Listas!$B:$B,Listas!$A:$A,"")</f>
        <v>SSP Capital</v>
      </c>
      <c r="D1366" s="41" t="s">
        <v>104</v>
      </c>
      <c r="E1366" s="4" t="str">
        <f>_xlfn.XLOOKUP(tblMovimientos[[#This Row],[Cuenta Bancaria]],Listas!$B:$B,Listas!$C:$C,"")</f>
        <v xml:space="preserve">Amerant Bank </v>
      </c>
      <c r="F1366" s="41" t="s">
        <v>10</v>
      </c>
      <c r="G1366" s="41" t="s">
        <v>40</v>
      </c>
      <c r="H1366" s="82" t="str">
        <f>IFERROR(_xlfn.XLOOKUP(G1366,Listas!E:E,Listas!F:F,""),"")</f>
        <v>Operativo</v>
      </c>
      <c r="I1366" s="4" t="str">
        <f>IFERROR(_xlfn.XLOOKUP(G1366,Listas!E:E,Listas!G:G,""),"")</f>
        <v>Externo</v>
      </c>
      <c r="J1366" s="43">
        <v>166494.24</v>
      </c>
      <c r="K1366" s="5">
        <f t="shared" si="22"/>
        <v>-166494.24</v>
      </c>
      <c r="L1366" s="15" t="s">
        <v>134</v>
      </c>
      <c r="M1366" s="44">
        <f>SUMIFS('Saldos Iniciales'!$D:$D,'Saldos Iniciales'!$A:$A,C1366,'Saldos Iniciales'!$B:$B,D1366)+SUMIFS($K$1:$K$1368,$C$1:$C$1368,C1366,$D$1:$D$1368,D1366,$B$1:$B$1368,"&lt;="&amp;B1366)</f>
        <v>267108.49999999924</v>
      </c>
      <c r="N1366" s="83" t="str">
        <f>IF(tblMovimientos[[#This Row],[Tipo de Movimiento]]="Ingreso",tblMovimientos[[#This Row],[Monto (S/)]],"0")</f>
        <v>0</v>
      </c>
      <c r="O1366" s="83">
        <f>IF(tblMovimientos[[#This Row],[Tipo de Movimiento]]="Egreso",tblMovimientos[[#This Row],[Monto (S/)]],"0")</f>
        <v>166494.24</v>
      </c>
      <c r="P1366" s="28">
        <f>IF(tblMovimientos[[#This Row],[Tipo de Movimiento]]="Ingreso",tblMovimientos[[#This Row],[Ingreso]],-tblMovimientos[[#This Row],[Egreso]])</f>
        <v>-166494.24</v>
      </c>
      <c r="Q1366" s="80" t="str">
        <f>_xlfn.XLOOKUP(tblMovimientos[[#This Row],[Cuenta Bancaria]],Cuentas!$C:$C,Cuentas!$A:$A,"")&amp;""</f>
        <v>SSP Group</v>
      </c>
      <c r="R1366" s="80" t="str">
        <f>_xlfn.XLOOKUP(tblMovimientos[[#This Row],[Cuenta Bancaria]],Cuentas!$C:$C,Cuentas!$B:$B,"",0,-1)&amp;""</f>
        <v/>
      </c>
    </row>
    <row r="1367" spans="1:18" x14ac:dyDescent="0.3">
      <c r="B1367" s="39">
        <v>46324</v>
      </c>
      <c r="C1367" s="4" t="str">
        <f>_xlfn.XLOOKUP(tblMovimientos[[#This Row],[Cuenta Bancaria]],Listas!$B:$B,Listas!$A:$A,"")</f>
        <v>Prendamas SRL</v>
      </c>
      <c r="D1367" s="41" t="s">
        <v>186</v>
      </c>
      <c r="E1367" s="4" t="str">
        <f>_xlfn.XLOOKUP(tblMovimientos[[#This Row],[Cuenta Bancaria]],Listas!$B:$B,Listas!$C:$C,"")</f>
        <v xml:space="preserve">Amerant Bank </v>
      </c>
      <c r="F1367" s="41" t="s">
        <v>10</v>
      </c>
      <c r="G1367" s="41" t="s">
        <v>38</v>
      </c>
      <c r="H1367" s="82" t="str">
        <f>IFERROR(_xlfn.XLOOKUP(G1367,Listas!E:E,Listas!F:F,""),"")</f>
        <v>Operativo</v>
      </c>
      <c r="I1367" s="4" t="str">
        <f>IFERROR(_xlfn.XLOOKUP(G1367,Listas!E:E,Listas!G:G,""),"")</f>
        <v>Externo</v>
      </c>
      <c r="J1367" s="43">
        <v>500.17</v>
      </c>
      <c r="K1367" s="5">
        <f t="shared" si="22"/>
        <v>-500.17</v>
      </c>
      <c r="L1367" s="15" t="s">
        <v>134</v>
      </c>
      <c r="M1367" s="44">
        <f>SUMIFS('Saldos Iniciales'!$D:$D,'Saldos Iniciales'!$A:$A,C1367,'Saldos Iniciales'!$B:$B,D1367)+SUMIFS($K$1:$K$1368,$C$1:$C$1368,C1367,$D$1:$D$1368,D1367,$B$1:$B$1368,"&lt;="&amp;B1367)</f>
        <v>98478.63999999997</v>
      </c>
      <c r="N1367" s="83" t="str">
        <f>IF(tblMovimientos[[#This Row],[Tipo de Movimiento]]="Ingreso",tblMovimientos[[#This Row],[Monto (S/)]],"0")</f>
        <v>0</v>
      </c>
      <c r="O1367" s="83">
        <f>IF(tblMovimientos[[#This Row],[Tipo de Movimiento]]="Egreso",tblMovimientos[[#This Row],[Monto (S/)]],"0")</f>
        <v>500.17</v>
      </c>
      <c r="P1367" s="28">
        <f>IF(tblMovimientos[[#This Row],[Tipo de Movimiento]]="Ingreso",tblMovimientos[[#This Row],[Ingreso]],-tblMovimientos[[#This Row],[Egreso]])</f>
        <v>-500.17</v>
      </c>
      <c r="Q1367" s="80" t="str">
        <f>_xlfn.XLOOKUP(tblMovimientos[[#This Row],[Cuenta Bancaria]],Cuentas!$C:$C,Cuentas!$A:$A,"")&amp;""</f>
        <v>Unidades de Negocio</v>
      </c>
      <c r="R1367" s="80" t="str">
        <f>_xlfn.XLOOKUP(tblMovimientos[[#This Row],[Cuenta Bancaria]],Cuentas!$C:$C,Cuentas!$B:$B,"",0,-1)&amp;""</f>
        <v/>
      </c>
    </row>
    <row r="1368" spans="1:18" x14ac:dyDescent="0.3">
      <c r="A1368" s="45"/>
      <c r="B1368" s="84">
        <v>46324</v>
      </c>
      <c r="C1368" s="4" t="str">
        <f>_xlfn.XLOOKUP(tblMovimientos[[#This Row],[Cuenta Bancaria]],Listas!$B:$B,Listas!$A:$A,"")</f>
        <v>Prendamas SRL</v>
      </c>
      <c r="D1368" s="85" t="s">
        <v>186</v>
      </c>
      <c r="E1368" s="46" t="str">
        <f>_xlfn.XLOOKUP(tblMovimientos[[#This Row],[Cuenta Bancaria]],Listas!$B:$B,Listas!$C:$C,"")</f>
        <v xml:space="preserve">Amerant Bank </v>
      </c>
      <c r="F1368" s="85" t="s">
        <v>10</v>
      </c>
      <c r="G1368" s="85" t="s">
        <v>44</v>
      </c>
      <c r="H1368" s="86" t="str">
        <f>IFERROR(_xlfn.XLOOKUP(G1368,Listas!E:E,Listas!F:F,""),"")</f>
        <v>Operativo</v>
      </c>
      <c r="I1368" s="4" t="str">
        <f>IFERROR(_xlfn.XLOOKUP(G1368,Listas!E:E,Listas!G:G,""),"")</f>
        <v>Externo</v>
      </c>
      <c r="J1368" s="87">
        <v>15.01</v>
      </c>
      <c r="K1368" s="5">
        <f t="shared" si="22"/>
        <v>-15.01</v>
      </c>
      <c r="L1368" s="15" t="s">
        <v>134</v>
      </c>
      <c r="M1368" s="44">
        <f>SUMIFS('Saldos Iniciales'!$D:$D,'Saldos Iniciales'!$A:$A,C1368,'Saldos Iniciales'!$B:$B,D1368)+SUMIFS($K$1:$K$1368,$C$1:$C$1368,C1368,$D$1:$D$1368,D1368,$B$1:$B$1368,"&lt;="&amp;B1368)</f>
        <v>98478.63999999997</v>
      </c>
      <c r="N1368" s="83" t="str">
        <f>IF(tblMovimientos[[#This Row],[Tipo de Movimiento]]="Ingreso",tblMovimientos[[#This Row],[Monto (S/)]],"0")</f>
        <v>0</v>
      </c>
      <c r="O1368" s="83">
        <f>IF(tblMovimientos[[#This Row],[Tipo de Movimiento]]="Egreso",tblMovimientos[[#This Row],[Monto (S/)]],"0")</f>
        <v>15.01</v>
      </c>
      <c r="P1368" s="28">
        <f>IF(tblMovimientos[[#This Row],[Tipo de Movimiento]]="Ingreso",tblMovimientos[[#This Row],[Ingreso]],-tblMovimientos[[#This Row],[Egreso]])</f>
        <v>-15.01</v>
      </c>
      <c r="Q1368" s="80" t="str">
        <f>_xlfn.XLOOKUP(tblMovimientos[[#This Row],[Cuenta Bancaria]],Cuentas!$C:$C,Cuentas!$A:$A,"")&amp;""</f>
        <v>Unidades de Negocio</v>
      </c>
      <c r="R1368" s="80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1458026.6900000013</v>
      </c>
      <c r="E2" s="37">
        <f>C2+D2</f>
        <v>2422096.290000001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4923433.1800000081</v>
      </c>
      <c r="E3" s="37">
        <f t="shared" ref="E3:E9" si="0">C3+D3</f>
        <v>6542459.2400000077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SUMIFS(Movimientos!$J$1:$J$1368,Movimientos!$C$1:$C$1368,$B2,Movimientos!$D$1:$D$1368,$C2,Movimientos!$L$1:$L$1368,A$3,Movimientos!$F$1:$F$1368,"Ingreso")</f>
        <v>490932.83999999997</v>
      </c>
      <c r="K2" s="44">
        <f>SUMIFS(Movimientos!$J$1:$J$1368,Movimientos!$C$1:$C$1368,$B2,Movimientos!$D$1:$D$1368,$C2,Movimientos!$L$1:$L$1368,A$3,Movimientos!$F$1:$F$1368,"Egreso")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SUMIFS(Movimientos!$J$1:$J$1368,Movimientos!$C$1:$C$1368,$B2,Movimientos!$D$1:$D$1368,$C2,Movimientos!$L$1:$L$1368,A$4,Movimientos!$F$1:$F$1368,"Ingreso")</f>
        <v>215870.71999999997</v>
      </c>
      <c r="P2" s="44">
        <f>SUMIFS(Movimientos!$J$1:$J$1368,Movimientos!$C$1:$C$1368,$B2,Movimientos!$D$1:$D$1368,$C2,Movimientos!$L$1:$L$1368,A$4,Movimientos!$F$1:$F$1368,"Egreso")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SUMIFS(Movimientos!$J$1:$J$1368,Movimientos!$C$1:$C$1368,$B2,Movimientos!$D$1:$D$1368,$C2,Movimientos!$L$1:$L$1368,A$5,Movimientos!$F$1:$F$1368,"Ingreso")</f>
        <v>555995.58000000007</v>
      </c>
      <c r="U2" s="44">
        <f>SUMIFS(Movimientos!$J$1:$J$1368,Movimientos!$C$1:$C$1368,$B2,Movimientos!$D$1:$D$1368,$C2,Movimientos!$L$1:$L$1368,A$5,Movimientos!$F$1:$F$1368,"Egreso")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SUMIFS(Movimientos!$J$1:$J$1368,Movimientos!$C$1:$C$1368,$B2,Movimientos!$D$1:$D$1368,$C2,Movimientos!$L$1:$L$1368,A$6,Movimientos!$F$1:$F$1368,"Ingreso")</f>
        <v>432537.32</v>
      </c>
      <c r="Z2" s="44">
        <f>SUMIFS(Movimientos!$J$1:$J$1368,Movimientos!$C$1:$C$1368,$B2,Movimientos!$D$1:$D$1368,$C2,Movimientos!$L$1:$L$1368,A$6,Movimientos!$F$1:$F$1368,"Egreso")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SUMIFS(Movimientos!$J$1:$J$1368,Movimientos!$C$1:$C$1368,$B3,Movimientos!$D$1:$D$1368,$C3,Movimientos!$L$1:$L$1368,A$3,Movimientos!$F$1:$F$1368,"Ingreso")</f>
        <v>8947382.8399999999</v>
      </c>
      <c r="K3" s="44">
        <f>SUMIFS(Movimientos!$J$1:$J$1368,Movimientos!$C$1:$C$1368,$B3,Movimientos!$D$1:$D$1368,$C3,Movimientos!$L$1:$L$1368,A$3,Movimientos!$F$1:$F$1368,"Egreso")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SUMIFS(Movimientos!$J$1:$J$1368,Movimientos!$C$1:$C$1368,$B3,Movimientos!$D$1:$D$1368,$C3,Movimientos!$L$1:$L$1368,A$4,Movimientos!$F$1:$F$1368,"Ingreso")</f>
        <v>250000</v>
      </c>
      <c r="P3" s="44">
        <f>SUMIFS(Movimientos!$J$1:$J$1368,Movimientos!$C$1:$C$1368,$B3,Movimientos!$D$1:$D$1368,$C3,Movimientos!$L$1:$L$1368,A$4,Movimientos!$F$1:$F$1368,"Egreso")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SUMIFS(Movimientos!$J$1:$J$1368,Movimientos!$C$1:$C$1368,$B3,Movimientos!$D$1:$D$1368,$C3,Movimientos!$L$1:$L$1368,A$5,Movimientos!$F$1:$F$1368,"Ingreso")</f>
        <v>910061.42999999993</v>
      </c>
      <c r="U3" s="44">
        <f>SUMIFS(Movimientos!$J$1:$J$1368,Movimientos!$C$1:$C$1368,$B3,Movimientos!$D$1:$D$1368,$C3,Movimientos!$L$1:$L$1368,A$5,Movimientos!$F$1:$F$1368,"Egreso")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SUMIFS(Movimientos!$J$1:$J$1368,Movimientos!$C$1:$C$1368,$B3,Movimientos!$D$1:$D$1368,$C3,Movimientos!$L$1:$L$1368,A$6,Movimientos!$F$1:$F$1368,"Ingreso")</f>
        <v>2658155.37</v>
      </c>
      <c r="Z3" s="44">
        <f>SUMIFS(Movimientos!$J$1:$J$1368,Movimientos!$C$1:$C$1368,$B3,Movimientos!$D$1:$D$1368,$C3,Movimientos!$L$1:$L$1368,A$6,Movimientos!$F$1:$F$1368,"Egreso")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SUMIFS(Movimientos!$J$1:$J$1368,Movimientos!$C$1:$C$1368,$B4,Movimientos!$D$1:$D$1368,$C4,Movimientos!$L$1:$L$1368,A$3,Movimientos!$F$1:$F$1368,"Ingreso")</f>
        <v>0</v>
      </c>
      <c r="K4" s="44">
        <f>SUMIFS(Movimientos!$J$1:$J$1368,Movimientos!$C$1:$C$1368,$B4,Movimientos!$D$1:$D$1368,$C4,Movimientos!$L$1:$L$1368,A$3,Movimientos!$F$1:$F$1368,"Egreso")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SUMIFS(Movimientos!$J$1:$J$1368,Movimientos!$C$1:$C$1368,$B4,Movimientos!$D$1:$D$1368,$C4,Movimientos!$L$1:$L$1368,A$4,Movimientos!$F$1:$F$1368,"Ingreso")</f>
        <v>0</v>
      </c>
      <c r="P4" s="44">
        <f>SUMIFS(Movimientos!$J$1:$J$1368,Movimientos!$C$1:$C$1368,$B4,Movimientos!$D$1:$D$1368,$C4,Movimientos!$L$1:$L$1368,A$4,Movimientos!$F$1:$F$1368,"Egreso")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SUMIFS(Movimientos!$J$1:$J$1368,Movimientos!$C$1:$C$1368,$B4,Movimientos!$D$1:$D$1368,$C4,Movimientos!$L$1:$L$1368,A$5,Movimientos!$F$1:$F$1368,"Ingreso")</f>
        <v>0</v>
      </c>
      <c r="U4" s="44">
        <f>SUMIFS(Movimientos!$J$1:$J$1368,Movimientos!$C$1:$C$1368,$B4,Movimientos!$D$1:$D$1368,$C4,Movimientos!$L$1:$L$1368,A$5,Movimientos!$F$1:$F$1368,"Egreso")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SUMIFS(Movimientos!$J$1:$J$1368,Movimientos!$C$1:$C$1368,$B4,Movimientos!$D$1:$D$1368,$C4,Movimientos!$L$1:$L$1368,A$6,Movimientos!$F$1:$F$1368,"Ingreso")</f>
        <v>0</v>
      </c>
      <c r="Z4" s="44">
        <f>SUMIFS(Movimientos!$J$1:$J$1368,Movimientos!$C$1:$C$1368,$B4,Movimientos!$D$1:$D$1368,$C4,Movimientos!$L$1:$L$1368,A$6,Movimientos!$F$1:$F$1368,"Egreso")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SUMIFS(Movimientos!$J$1:$J$1368,Movimientos!$C$1:$C$1368,$B5,Movimientos!$D$1:$D$1368,$C5,Movimientos!$L$1:$L$1368,A$3,Movimientos!$F$1:$F$1368,"Ingreso")</f>
        <v>16742.400000000001</v>
      </c>
      <c r="K5" s="44">
        <f>SUMIFS(Movimientos!$J$1:$J$1368,Movimientos!$C$1:$C$1368,$B5,Movimientos!$D$1:$D$1368,$C5,Movimientos!$L$1:$L$1368,A$3,Movimientos!$F$1:$F$1368,"Egreso")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SUMIFS(Movimientos!$J$1:$J$1368,Movimientos!$C$1:$C$1368,$B5,Movimientos!$D$1:$D$1368,$C5,Movimientos!$L$1:$L$1368,A$4,Movimientos!$F$1:$F$1368,"Ingreso")</f>
        <v>10053.57</v>
      </c>
      <c r="P5" s="44">
        <f>SUMIFS(Movimientos!$J$1:$J$1368,Movimientos!$C$1:$C$1368,$B5,Movimientos!$D$1:$D$1368,$C5,Movimientos!$L$1:$L$1368,A$4,Movimientos!$F$1:$F$1368,"Egreso")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SUMIFS(Movimientos!$J$1:$J$1368,Movimientos!$C$1:$C$1368,$B5,Movimientos!$D$1:$D$1368,$C5,Movimientos!$L$1:$L$1368,A$5,Movimientos!$F$1:$F$1368,"Ingreso")</f>
        <v>10068.98</v>
      </c>
      <c r="U5" s="44">
        <f>SUMIFS(Movimientos!$J$1:$J$1368,Movimientos!$C$1:$C$1368,$B5,Movimientos!$D$1:$D$1368,$C5,Movimientos!$L$1:$L$1368,A$5,Movimientos!$F$1:$F$1368,"Egreso")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SUMIFS(Movimientos!$J$1:$J$1368,Movimientos!$C$1:$C$1368,$B5,Movimientos!$D$1:$D$1368,$C5,Movimientos!$L$1:$L$1368,A$6,Movimientos!$F$1:$F$1368,"Ingreso")</f>
        <v>9843.36</v>
      </c>
      <c r="Z5" s="44">
        <f>SUMIFS(Movimientos!$J$1:$J$1368,Movimientos!$C$1:$C$1368,$B5,Movimientos!$D$1:$D$1368,$C5,Movimientos!$L$1:$L$1368,A$6,Movimientos!$F$1:$F$1368,"Egreso")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SUMIFS(Movimientos!$J$1:$J$1368,Movimientos!$C$1:$C$1368,$B6,Movimientos!$D$1:$D$1368,$C6,Movimientos!$L$1:$L$1368,A$3,Movimientos!$F$1:$F$1368,"Ingreso")</f>
        <v>0</v>
      </c>
      <c r="K6" s="44">
        <f>SUMIFS(Movimientos!$J$1:$J$1368,Movimientos!$C$1:$C$1368,$B6,Movimientos!$D$1:$D$1368,$C6,Movimientos!$L$1:$L$1368,A$3,Movimientos!$F$1:$F$1368,"Egreso")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SUMIFS(Movimientos!$J$1:$J$1368,Movimientos!$C$1:$C$1368,$B6,Movimientos!$D$1:$D$1368,$C6,Movimientos!$L$1:$L$1368,A$4,Movimientos!$F$1:$F$1368,"Ingreso")</f>
        <v>0</v>
      </c>
      <c r="P6" s="44">
        <f>SUMIFS(Movimientos!$J$1:$J$1368,Movimientos!$C$1:$C$1368,$B6,Movimientos!$D$1:$D$1368,$C6,Movimientos!$L$1:$L$1368,A$4,Movimientos!$F$1:$F$1368,"Egreso")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SUMIFS(Movimientos!$J$1:$J$1368,Movimientos!$C$1:$C$1368,$B6,Movimientos!$D$1:$D$1368,$C6,Movimientos!$L$1:$L$1368,A$5,Movimientos!$F$1:$F$1368,"Ingreso")</f>
        <v>0</v>
      </c>
      <c r="U6" s="44">
        <f>SUMIFS(Movimientos!$J$1:$J$1368,Movimientos!$C$1:$C$1368,$B6,Movimientos!$D$1:$D$1368,$C6,Movimientos!$L$1:$L$1368,A$5,Movimientos!$F$1:$F$1368,"Egreso")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SUMIFS(Movimientos!$J$1:$J$1368,Movimientos!$C$1:$C$1368,$B6,Movimientos!$D$1:$D$1368,$C6,Movimientos!$L$1:$L$1368,A$6,Movimientos!$F$1:$F$1368,"Ingreso")</f>
        <v>0</v>
      </c>
      <c r="Z6" s="44">
        <f>SUMIFS(Movimientos!$J$1:$J$1368,Movimientos!$C$1:$C$1368,$B6,Movimientos!$D$1:$D$1368,$C6,Movimientos!$L$1:$L$1368,A$6,Movimientos!$F$1:$F$1368,"Egreso")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SUMIFS(Movimientos!$J$1:$J$1368,Movimientos!$C$1:$C$1368,$B7,Movimientos!$D$1:$D$1368,$C7,Movimientos!$L$1:$L$1368,A$3,Movimientos!$F$1:$F$1368,"Ingreso")</f>
        <v>0</v>
      </c>
      <c r="K7" s="44">
        <f>SUMIFS(Movimientos!$J$1:$J$1368,Movimientos!$C$1:$C$1368,$B7,Movimientos!$D$1:$D$1368,$C7,Movimientos!$L$1:$L$1368,A$3,Movimientos!$F$1:$F$1368,"Egreso")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SUMIFS(Movimientos!$J$1:$J$1368,Movimientos!$C$1:$C$1368,$B7,Movimientos!$D$1:$D$1368,$C7,Movimientos!$L$1:$L$1368,A$4,Movimientos!$F$1:$F$1368,"Ingreso")</f>
        <v>0</v>
      </c>
      <c r="P7" s="44">
        <f>SUMIFS(Movimientos!$J$1:$J$1368,Movimientos!$C$1:$C$1368,$B7,Movimientos!$D$1:$D$1368,$C7,Movimientos!$L$1:$L$1368,A$4,Movimientos!$F$1:$F$1368,"Egreso")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SUMIFS(Movimientos!$J$1:$J$1368,Movimientos!$C$1:$C$1368,$B7,Movimientos!$D$1:$D$1368,$C7,Movimientos!$L$1:$L$1368,A$5,Movimientos!$F$1:$F$1368,"Ingreso")</f>
        <v>0</v>
      </c>
      <c r="U7" s="44">
        <f>SUMIFS(Movimientos!$J$1:$J$1368,Movimientos!$C$1:$C$1368,$B7,Movimientos!$D$1:$D$1368,$C7,Movimientos!$L$1:$L$1368,A$5,Movimientos!$F$1:$F$1368,"Egreso")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SUMIFS(Movimientos!$J$1:$J$1368,Movimientos!$C$1:$C$1368,$B7,Movimientos!$D$1:$D$1368,$C7,Movimientos!$L$1:$L$1368,A$6,Movimientos!$F$1:$F$1368,"Ingreso")</f>
        <v>0</v>
      </c>
      <c r="Z7" s="44">
        <f>SUMIFS(Movimientos!$J$1:$J$1368,Movimientos!$C$1:$C$1368,$B7,Movimientos!$D$1:$D$1368,$C7,Movimientos!$L$1:$L$1368,F$5,Movimientos!$F$1:$F$1368,"Egreso")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SUMIFS(Movimientos!$J$1:$J$1368,Movimientos!$C$1:$C$1368,$B8,Movimientos!$D$1:$D$1368,$C8,Movimientos!$L$1:$L$1368,A$3,Movimientos!$F$1:$F$1368,"Ingreso")</f>
        <v>440602.39</v>
      </c>
      <c r="K8" s="44">
        <f>SUMIFS(Movimientos!$J$1:$J$1368,Movimientos!$C$1:$C$1368,$B8,Movimientos!$D$1:$D$1368,$C8,Movimientos!$L$1:$L$1368,A$3,Movimientos!$F$1:$F$1368,"Egreso")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SUMIFS(Movimientos!$J$1:$J$1368,Movimientos!$C$1:$C$1368,$B8,Movimientos!$D$1:$D$1368,$C8,Movimientos!$L$1:$L$1368,A$4,Movimientos!$F$1:$F$1368,"Ingreso")</f>
        <v>1306812.04</v>
      </c>
      <c r="P8" s="44">
        <f>SUMIFS(Movimientos!$J$1:$J$1368,Movimientos!$C$1:$C$1368,$B8,Movimientos!$D$1:$D$1368,$C8,Movimientos!$L$1:$L$1368,A$4,Movimientos!$F$1:$F$1368,"Egreso")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SUMIFS(Movimientos!$J$1:$J$1368,Movimientos!$C$1:$C$1368,$B8,Movimientos!$D$1:$D$1368,$C8,Movimientos!$L$1:$L$1368,A$5,Movimientos!$F$1:$F$1368,"Ingreso")</f>
        <v>250866.9</v>
      </c>
      <c r="U8" s="44">
        <f>SUMIFS(Movimientos!$J$1:$J$1368,Movimientos!$C$1:$C$1368,$B8,Movimientos!$D$1:$D$1368,$C8,Movimientos!$L$1:$L$1368,A$5,Movimientos!$F$1:$F$1368,"Egreso")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SUMIFS(Movimientos!$J$1:$J$1368,Movimientos!$C$1:$C$1368,$B8,Movimientos!$D$1:$D$1368,$C8,Movimientos!$L$1:$L$1368,A$6,Movimientos!$F$1:$F$1368,"Ingreso")</f>
        <v>542761.79999999993</v>
      </c>
      <c r="Z8" s="44">
        <f>SUMIFS(Movimientos!$J$1:$J$1368,Movimientos!$C$1:$C$1368,$B8,Movimientos!$D$1:$D$1368,$C8,Movimientos!$L$1:$L$1368,F$5,Movimientos!$F$1:$F$1368,"Egreso")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SUMIFS(Movimientos!$J$1:$J$1368,Movimientos!$C$1:$C$1368,$B9,Movimientos!$D$1:$D$1368,$C9,Movimientos!$L$1:$L$1368,A$3,Movimientos!$F$1:$F$1368,"Ingreso")</f>
        <v>15307.88</v>
      </c>
      <c r="K9" s="44">
        <f>SUMIFS(Movimientos!$J$1:$J$1368,Movimientos!$C$1:$C$1368,$B9,Movimientos!$D$1:$D$1368,$C9,Movimientos!$L$1:$L$1368,A$3,Movimientos!$F$1:$F$1368,"Egreso")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SUMIFS(Movimientos!$J$1:$J$1368,Movimientos!$C$1:$C$1368,$B9,Movimientos!$D$1:$D$1368,$C9,Movimientos!$L$1:$L$1368,A$4,Movimientos!$F$1:$F$1368,"Ingreso")</f>
        <v>15280.15</v>
      </c>
      <c r="P9" s="44">
        <f>SUMIFS(Movimientos!$J$1:$J$1368,Movimientos!$C$1:$C$1368,$B9,Movimientos!$D$1:$D$1368,$C9,Movimientos!$L$1:$L$1368,A$4,Movimientos!$F$1:$F$1368,"Egreso")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SUMIFS(Movimientos!$J$1:$J$1368,Movimientos!$C$1:$C$1368,$B9,Movimientos!$D$1:$D$1368,$C9,Movimientos!$L$1:$L$1368,A$5,Movimientos!$F$1:$F$1368,"Ingreso")</f>
        <v>35280.15</v>
      </c>
      <c r="U9" s="44">
        <f>SUMIFS(Movimientos!$J$1:$J$1368,Movimientos!$C$1:$C$1368,$B9,Movimientos!$D$1:$D$1368,$C9,Movimientos!$L$1:$L$1368,A$5,Movimientos!$F$1:$F$1368,"Egreso")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SUMIFS(Movimientos!$J$1:$J$1368,Movimientos!$C$1:$C$1368,$B9,Movimientos!$D$1:$D$1368,$C9,Movimientos!$L$1:$L$1368,A$6,Movimientos!$F$1:$F$1368,"Ingreso")</f>
        <v>15266.29</v>
      </c>
      <c r="Z9" s="44">
        <f>SUMIFS(Movimientos!$J$1:$J$1368,Movimientos!$C$1:$C$1368,$B9,Movimientos!$D$1:$D$1368,$C9,Movimientos!$L$1:$L$1368,F$5,Movimientos!$F$1:$F$1368,"Egreso")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SUMIFS(Movimientos!$J$1:$J$1368,Movimientos!$C$1:$C$1368,$B10,Movimientos!$D$1:$D$1368,$C10,Movimientos!$L$1:$L$1368,A$3,Movimientos!$F$1:$F$1368,"Ingreso")</f>
        <v>0</v>
      </c>
      <c r="K10" s="44">
        <f>SUMIFS(Movimientos!$J$1:$J$1368,Movimientos!$C$1:$C$1368,$B10,Movimientos!$D$1:$D$1368,$C10,Movimientos!$L$1:$L$1368,A$3,Movimientos!$F$1:$F$1368,"Egreso")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SUMIFS(Movimientos!$J$1:$J$1368,Movimientos!$C$1:$C$1368,$B10,Movimientos!$D$1:$D$1368,$C10,Movimientos!$L$1:$L$1368,A$4,Movimientos!$F$1:$F$1368,"Ingreso")</f>
        <v>1000</v>
      </c>
      <c r="P10" s="44">
        <f>SUMIFS(Movimientos!$J$1:$J$1368,Movimientos!$C$1:$C$1368,$B10,Movimientos!$D$1:$D$1368,$C10,Movimientos!$L$1:$L$1368,A$4,Movimientos!$F$1:$F$1368,"Egreso")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SUMIFS(Movimientos!$J$1:$J$1368,Movimientos!$C$1:$C$1368,$B10,Movimientos!$D$1:$D$1368,$C10,Movimientos!$L$1:$L$1368,A$5,Movimientos!$F$1:$F$1368,"Ingreso")</f>
        <v>0</v>
      </c>
      <c r="U10" s="44">
        <f>SUMIFS(Movimientos!$J$1:$J$1368,Movimientos!$C$1:$C$1368,$B10,Movimientos!$D$1:$D$1368,$C10,Movimientos!$L$1:$L$1368,A$5,Movimientos!$F$1:$F$1368,"Egreso")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SUMIFS(Movimientos!$J$1:$J$1368,Movimientos!$C$1:$C$1368,$B10,Movimientos!$D$1:$D$1368,$C10,Movimientos!$L$1:$L$1368,A$6,Movimientos!$F$1:$F$1368,"Ingreso")</f>
        <v>0</v>
      </c>
      <c r="Z10" s="44">
        <f>SUMIFS(Movimientos!$J$1:$J$1368,Movimientos!$C$1:$C$1368,$B10,Movimientos!$D$1:$D$1368,$C10,Movimientos!$L$1:$L$1368,F$5,Movimientos!$F$1:$F$1368,"Egreso")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SUMIFS(Movimientos!$J$1:$J$1368,Movimientos!$C$1:$C$1368,$B11,Movimientos!$D$1:$D$1368,$C11,Movimientos!$L$1:$L$1368,A$3,Movimientos!$F$1:$F$1368,"Ingreso")</f>
        <v>0</v>
      </c>
      <c r="K11" s="44">
        <f>SUMIFS(Movimientos!$J$1:$J$1368,Movimientos!$C$1:$C$1368,$B11,Movimientos!$D$1:$D$1368,$C11,Movimientos!$L$1:$L$1368,A$3,Movimientos!$F$1:$F$1368,"Egreso")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SUMIFS(Movimientos!$J$1:$J$1368,Movimientos!$C$1:$C$1368,$B11,Movimientos!$D$1:$D$1368,$C11,Movimientos!$L$1:$L$1368,A$4,Movimientos!$F$1:$F$1368,"Ingreso")</f>
        <v>0</v>
      </c>
      <c r="P11" s="44">
        <f>SUMIFS(Movimientos!$J$1:$J$1368,Movimientos!$C$1:$C$1368,$B11,Movimientos!$D$1:$D$1368,$C11,Movimientos!$L$1:$L$1368,A$4,Movimientos!$F$1:$F$1368,"Egreso")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SUMIFS(Movimientos!$J$1:$J$1368,Movimientos!$C$1:$C$1368,$B11,Movimientos!$D$1:$D$1368,$C11,Movimientos!$L$1:$L$1368,A$5,Movimientos!$F$1:$F$1368,"Ingreso")</f>
        <v>0</v>
      </c>
      <c r="U11" s="44">
        <f>SUMIFS(Movimientos!$J$1:$J$1368,Movimientos!$C$1:$C$1368,$B11,Movimientos!$D$1:$D$1368,$C11,Movimientos!$L$1:$L$1368,A$5,Movimientos!$F$1:$F$1368,"Egreso")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SUMIFS(Movimientos!$J$1:$J$1368,Movimientos!$C$1:$C$1368,$B11,Movimientos!$D$1:$D$1368,$C11,Movimientos!$L$1:$L$1368,A$6,Movimientos!$F$1:$F$1368,"Ingreso")</f>
        <v>0</v>
      </c>
      <c r="Z11" s="44">
        <f>SUMIFS(Movimientos!$J$1:$J$1368,Movimientos!$C$1:$C$1368,$B11,Movimientos!$D$1:$D$1368,$C11,Movimientos!$L$1:$L$1368,F$5,Movimientos!$F$1:$F$1368,"Egreso")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SUMIFS(Movimientos!$J$1:$J$1368,Movimientos!$C$1:$C$1368,$B12,Movimientos!$D$1:$D$1368,$C12,Movimientos!$L$1:$L$1368,A$3,Movimientos!$F$1:$F$1368,"Ingreso")</f>
        <v>4970000</v>
      </c>
      <c r="K12" s="44">
        <f>SUMIFS(Movimientos!$J$1:$J$1368,Movimientos!$C$1:$C$1368,$B12,Movimientos!$D$1:$D$1368,$C12,Movimientos!$L$1:$L$1368,A$3,Movimientos!$F$1:$F$1368,"Egreso")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SUMIFS(Movimientos!$J$1:$J$1368,Movimientos!$C$1:$C$1368,$B12,Movimientos!$D$1:$D$1368,$C12,Movimientos!$L$1:$L$1368,A$4,Movimientos!$F$1:$F$1368,"Ingreso")</f>
        <v>1320000</v>
      </c>
      <c r="P12" s="44">
        <f>SUMIFS(Movimientos!$J$1:$J$1368,Movimientos!$C$1:$C$1368,$B12,Movimientos!$D$1:$D$1368,$C12,Movimientos!$L$1:$L$1368,A$4,Movimientos!$F$1:$F$1368,"Egreso")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SUMIFS(Movimientos!$J$1:$J$1368,Movimientos!$C$1:$C$1368,$B12,Movimientos!$D$1:$D$1368,$C12,Movimientos!$L$1:$L$1368,A$5,Movimientos!$F$1:$F$1368,"Ingreso")</f>
        <v>1100000</v>
      </c>
      <c r="U12" s="44">
        <f>SUMIFS(Movimientos!$J$1:$J$1368,Movimientos!$C$1:$C$1368,$B12,Movimientos!$D$1:$D$1368,$C12,Movimientos!$L$1:$L$1368,A$5,Movimientos!$F$1:$F$1368,"Egreso")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SUMIFS(Movimientos!$J$1:$J$1368,Movimientos!$C$1:$C$1368,$B12,Movimientos!$D$1:$D$1368,$C12,Movimientos!$L$1:$L$1368,A$6,Movimientos!$F$1:$F$1368,"Ingreso")</f>
        <v>350000</v>
      </c>
      <c r="Z12" s="44">
        <f>SUMIFS(Movimientos!$J$1:$J$1368,Movimientos!$C$1:$C$1368,$B12,Movimientos!$D$1:$D$1368,$C12,Movimientos!$L$1:$L$1368,F$5,Movimientos!$F$1:$F$1368,"Egreso")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SUMIFS(Movimientos!$J$1:$J$1368,Movimientos!$C$1:$C$1368,$B13,Movimientos!$D$1:$D$1368,$C13,Movimientos!$L$1:$L$1368,A$3,Movimientos!$F$1:$F$1368,"Ingreso")</f>
        <v>0</v>
      </c>
      <c r="K13" s="44">
        <f>SUMIFS(Movimientos!$J$1:$J$1368,Movimientos!$C$1:$C$1368,$B13,Movimientos!$D$1:$D$1368,$C13,Movimientos!$L$1:$L$1368,A$3,Movimientos!$F$1:$F$1368,"Egreso")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SUMIFS(Movimientos!$J$1:$J$1368,Movimientos!$C$1:$C$1368,$B13,Movimientos!$D$1:$D$1368,$C13,Movimientos!$L$1:$L$1368,A$4,Movimientos!$F$1:$F$1368,"Ingreso")</f>
        <v>0</v>
      </c>
      <c r="P13" s="44">
        <f>SUMIFS(Movimientos!$J$1:$J$1368,Movimientos!$C$1:$C$1368,$B13,Movimientos!$D$1:$D$1368,$C13,Movimientos!$L$1:$L$1368,A$4,Movimientos!$F$1:$F$1368,"Egreso")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SUMIFS(Movimientos!$J$1:$J$1368,Movimientos!$C$1:$C$1368,$B13,Movimientos!$D$1:$D$1368,$C13,Movimientos!$L$1:$L$1368,A$5,Movimientos!$F$1:$F$1368,"Ingreso")</f>
        <v>0</v>
      </c>
      <c r="U13" s="44">
        <f>SUMIFS(Movimientos!$J$1:$J$1368,Movimientos!$C$1:$C$1368,$B13,Movimientos!$D$1:$D$1368,$C13,Movimientos!$L$1:$L$1368,A$5,Movimientos!$F$1:$F$1368,"Egreso")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SUMIFS(Movimientos!$J$1:$J$1368,Movimientos!$C$1:$C$1368,$B13,Movimientos!$D$1:$D$1368,$C13,Movimientos!$L$1:$L$1368,A$6,Movimientos!$F$1:$F$1368,"Ingreso")</f>
        <v>0</v>
      </c>
      <c r="Z13" s="44">
        <f>SUMIFS(Movimientos!$J$1:$J$1368,Movimientos!$C$1:$C$1368,$B13,Movimientos!$D$1:$D$1368,$C13,Movimientos!$L$1:$L$1368,F$5,Movimientos!$F$1:$F$1368,"Egreso")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SUMIFS(Movimientos!$J$1:$J$1368,Movimientos!$C$1:$C$1368,$B14,Movimientos!$D$1:$D$1368,$C14,Movimientos!$L$1:$L$1368,A$3,Movimientos!$F$1:$F$1368,"Ingreso")</f>
        <v>56867.66</v>
      </c>
      <c r="K14" s="44">
        <f>SUMIFS(Movimientos!$J$1:$J$1368,Movimientos!$C$1:$C$1368,$B14,Movimientos!$D$1:$D$1368,$C14,Movimientos!$L$1:$L$1368,A$3,Movimientos!$F$1:$F$1368,"Egreso")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SUMIFS(Movimientos!$J$1:$J$1368,Movimientos!$C$1:$C$1368,$B14,Movimientos!$D$1:$D$1368,$C14,Movimientos!$L$1:$L$1368,A$4,Movimientos!$F$1:$F$1368,"Ingreso")</f>
        <v>2426.71</v>
      </c>
      <c r="P14" s="44">
        <f>SUMIFS(Movimientos!$J$1:$J$1368,Movimientos!$C$1:$C$1368,$B14,Movimientos!$D$1:$D$1368,$C14,Movimientos!$L$1:$L$1368,A$4,Movimientos!$F$1:$F$1368,"Egreso")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SUMIFS(Movimientos!$J$1:$J$1368,Movimientos!$C$1:$C$1368,$B14,Movimientos!$D$1:$D$1368,$C14,Movimientos!$L$1:$L$1368,A$5,Movimientos!$F$1:$F$1368,"Ingreso")</f>
        <v>2434.02</v>
      </c>
      <c r="U14" s="44">
        <f>SUMIFS(Movimientos!$J$1:$J$1368,Movimientos!$C$1:$C$1368,$B14,Movimientos!$D$1:$D$1368,$C14,Movimientos!$L$1:$L$1368,A$5,Movimientos!$F$1:$F$1368,"Egreso")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SUMIFS(Movimientos!$J$1:$J$1368,Movimientos!$C$1:$C$1368,$B14,Movimientos!$D$1:$D$1368,$C14,Movimientos!$L$1:$L$1368,A$6,Movimientos!$F$1:$F$1368,"Ingreso")</f>
        <v>2362.59</v>
      </c>
      <c r="Z14" s="44">
        <f>SUMIFS(Movimientos!$J$1:$J$1368,Movimientos!$C$1:$C$1368,$B14,Movimientos!$D$1:$D$1368,$C14,Movimientos!$L$1:$L$1368,F$5,Movimientos!$F$1:$F$1368,"Egreso")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SUMIFS(Movimientos!$J$1:$J$1368,Movimientos!$C$1:$C$1368,$B15,Movimientos!$D$1:$D$1368,$C15,Movimientos!$L$1:$L$1368,A$3,Movimientos!$F$1:$F$1368,"Ingreso")</f>
        <v>0</v>
      </c>
      <c r="K15" s="44">
        <f>SUMIFS(Movimientos!$J$1:$J$1368,Movimientos!$C$1:$C$1368,$B15,Movimientos!$D$1:$D$1368,$C15,Movimientos!$L$1:$L$1368,A$3,Movimientos!$F$1:$F$1368,"Egreso")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SUMIFS(Movimientos!$J$1:$J$1368,Movimientos!$C$1:$C$1368,$B15,Movimientos!$D$1:$D$1368,$C15,Movimientos!$L$1:$L$1368,A$4,Movimientos!$F$1:$F$1368,"Ingreso")</f>
        <v>0</v>
      </c>
      <c r="P15" s="44">
        <f>SUMIFS(Movimientos!$J$1:$J$1368,Movimientos!$C$1:$C$1368,$B15,Movimientos!$D$1:$D$1368,$C15,Movimientos!$L$1:$L$1368,A$4,Movimientos!$F$1:$F$1368,"Egreso")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SUMIFS(Movimientos!$J$1:$J$1368,Movimientos!$C$1:$C$1368,$B15,Movimientos!$D$1:$D$1368,$C15,Movimientos!$L$1:$L$1368,A$5,Movimientos!$F$1:$F$1368,"Ingreso")</f>
        <v>0</v>
      </c>
      <c r="U15" s="44">
        <f>SUMIFS(Movimientos!$J$1:$J$1368,Movimientos!$C$1:$C$1368,$B15,Movimientos!$D$1:$D$1368,$C15,Movimientos!$L$1:$L$1368,A$5,Movimientos!$F$1:$F$1368,"Egreso")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SUMIFS(Movimientos!$J$1:$J$1368,Movimientos!$C$1:$C$1368,$B15,Movimientos!$D$1:$D$1368,$C15,Movimientos!$L$1:$L$1368,A$6,Movimientos!$F$1:$F$1368,"Ingreso")</f>
        <v>0</v>
      </c>
      <c r="Z15" s="44">
        <f>SUMIFS(Movimientos!$J$1:$J$1368,Movimientos!$C$1:$C$1368,$B15,Movimientos!$D$1:$D$1368,$C15,Movimientos!$L$1:$L$1368,F$5,Movimientos!$F$1:$F$1368,"Egreso")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SUMIFS(Movimientos!$J$1:$J$1368,Movimientos!$C$1:$C$1368,$B16,Movimientos!$D$1:$D$1368,$C16,Movimientos!$L$1:$L$1368,A$3,Movimientos!$F$1:$F$1368,"Ingreso")</f>
        <v>0</v>
      </c>
      <c r="K16" s="44">
        <f>SUMIFS(Movimientos!$J$1:$J$1368,Movimientos!$C$1:$C$1368,$B16,Movimientos!$D$1:$D$1368,$C16,Movimientos!$L$1:$L$1368,A$3,Movimientos!$F$1:$F$1368,"Egreso")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SUMIFS(Movimientos!$J$1:$J$1368,Movimientos!$C$1:$C$1368,$B16,Movimientos!$D$1:$D$1368,$C16,Movimientos!$L$1:$L$1368,A$4,Movimientos!$F$1:$F$1368,"Ingreso")</f>
        <v>0</v>
      </c>
      <c r="P16" s="44">
        <f>SUMIFS(Movimientos!$J$1:$J$1368,Movimientos!$C$1:$C$1368,$B16,Movimientos!$D$1:$D$1368,$C16,Movimientos!$L$1:$L$1368,A$4,Movimientos!$F$1:$F$1368,"Egreso")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SUMIFS(Movimientos!$J$1:$J$1368,Movimientos!$C$1:$C$1368,$B16,Movimientos!$D$1:$D$1368,$C16,Movimientos!$L$1:$L$1368,A$5,Movimientos!$F$1:$F$1368,"Ingreso")</f>
        <v>0</v>
      </c>
      <c r="U16" s="44">
        <f>SUMIFS(Movimientos!$J$1:$J$1368,Movimientos!$C$1:$C$1368,$B16,Movimientos!$D$1:$D$1368,$C16,Movimientos!$L$1:$L$1368,A$5,Movimientos!$F$1:$F$1368,"Egreso")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SUMIFS(Movimientos!$J$1:$J$1368,Movimientos!$C$1:$C$1368,$B16,Movimientos!$D$1:$D$1368,$C16,Movimientos!$L$1:$L$1368,A$6,Movimientos!$F$1:$F$1368,"Ingreso")</f>
        <v>0</v>
      </c>
      <c r="Z16" s="44">
        <f>SUMIFS(Movimientos!$J$1:$J$1368,Movimientos!$C$1:$C$1368,$B16,Movimientos!$D$1:$D$1368,$C16,Movimientos!$L$1:$L$1368,F$5,Movimientos!$F$1:$F$1368,"Egreso")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SUMIFS(Movimientos!$J$1:$J$1368,Movimientos!$C$1:$C$1368,$B17,Movimientos!$D$1:$D$1368,$C17,Movimientos!$L$1:$L$1368,A$3,Movimientos!$F$1:$F$1368,"Ingreso")</f>
        <v>0</v>
      </c>
      <c r="K17" s="44">
        <f>SUMIFS(Movimientos!$J$1:$J$1368,Movimientos!$C$1:$C$1368,$B17,Movimientos!$D$1:$D$1368,$C17,Movimientos!$L$1:$L$1368,A$3,Movimientos!$F$1:$F$1368,"Egreso")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SUMIFS(Movimientos!$J$1:$J$1368,Movimientos!$C$1:$C$1368,$B17,Movimientos!$D$1:$D$1368,$C17,Movimientos!$L$1:$L$1368,A$4,Movimientos!$F$1:$F$1368,"Ingreso")</f>
        <v>0</v>
      </c>
      <c r="P17" s="44">
        <f>SUMIFS(Movimientos!$J$1:$J$1368,Movimientos!$C$1:$C$1368,$B17,Movimientos!$D$1:$D$1368,$C17,Movimientos!$L$1:$L$1368,A$4,Movimientos!$F$1:$F$1368,"Egreso")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SUMIFS(Movimientos!$J$1:$J$1368,Movimientos!$C$1:$C$1368,$B17,Movimientos!$D$1:$D$1368,$C17,Movimientos!$L$1:$L$1368,A$5,Movimientos!$F$1:$F$1368,"Ingreso")</f>
        <v>0</v>
      </c>
      <c r="U17" s="44">
        <f>SUMIFS(Movimientos!$J$1:$J$1368,Movimientos!$C$1:$C$1368,$B17,Movimientos!$D$1:$D$1368,$C17,Movimientos!$L$1:$L$1368,A$5,Movimientos!$F$1:$F$1368,"Egreso")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SUMIFS(Movimientos!$J$1:$J$1368,Movimientos!$C$1:$C$1368,$B17,Movimientos!$D$1:$D$1368,$C17,Movimientos!$L$1:$L$1368,A$6,Movimientos!$F$1:$F$1368,"Ingreso")</f>
        <v>0</v>
      </c>
      <c r="Z17" s="44">
        <f>SUMIFS(Movimientos!$J$1:$J$1368,Movimientos!$C$1:$C$1368,$B17,Movimientos!$D$1:$D$1368,$C17,Movimientos!$L$1:$L$1368,F$5,Movimientos!$F$1:$F$1368,"Egreso")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SUMIFS(Movimientos!$J$1:$J$1368,Movimientos!$C$1:$C$1368,$B18,Movimientos!$D$1:$D$1368,$C18,Movimientos!$L$1:$L$1368,A$3,Movimientos!$F$1:$F$1368,"Ingreso")</f>
        <v>0</v>
      </c>
      <c r="K18" s="44">
        <f>SUMIFS(Movimientos!$J$1:$J$1368,Movimientos!$C$1:$C$1368,$B18,Movimientos!$D$1:$D$1368,$C18,Movimientos!$L$1:$L$1368,A$3,Movimientos!$F$1:$F$1368,"Egreso")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SUMIFS(Movimientos!$J$1:$J$1368,Movimientos!$C$1:$C$1368,$B18,Movimientos!$D$1:$D$1368,$C18,Movimientos!$L$1:$L$1368,A$4,Movimientos!$F$1:$F$1368,"Ingreso")</f>
        <v>0</v>
      </c>
      <c r="P18" s="44">
        <f>SUMIFS(Movimientos!$J$1:$J$1368,Movimientos!$C$1:$C$1368,$B18,Movimientos!$D$1:$D$1368,$C18,Movimientos!$L$1:$L$1368,A$4,Movimientos!$F$1:$F$1368,"Egreso")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SUMIFS(Movimientos!$J$1:$J$1368,Movimientos!$C$1:$C$1368,$B18,Movimientos!$D$1:$D$1368,$C18,Movimientos!$L$1:$L$1368,A$5,Movimientos!$F$1:$F$1368,"Ingreso")</f>
        <v>0</v>
      </c>
      <c r="U18" s="44">
        <f>SUMIFS(Movimientos!$J$1:$J$1368,Movimientos!$C$1:$C$1368,$B18,Movimientos!$D$1:$D$1368,$C18,Movimientos!$L$1:$L$1368,A$5,Movimientos!$F$1:$F$1368,"Egreso")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SUMIFS(Movimientos!$J$1:$J$1368,Movimientos!$C$1:$C$1368,$B18,Movimientos!$D$1:$D$1368,$C18,Movimientos!$L$1:$L$1368,A$6,Movimientos!$F$1:$F$1368,"Ingreso")</f>
        <v>0</v>
      </c>
      <c r="Z18" s="44">
        <f>SUMIFS(Movimientos!$J$1:$J$1368,Movimientos!$C$1:$C$1368,$B18,Movimientos!$D$1:$D$1368,$C18,Movimientos!$L$1:$L$1368,F$5,Movimientos!$F$1:$F$1368,"Egreso")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SUMIFS(Movimientos!$J$1:$J$1368,Movimientos!$C$1:$C$1368,$B19,Movimientos!$D$1:$D$1368,$C19,Movimientos!$L$1:$L$1368,A$3,Movimientos!$F$1:$F$1368,"Ingreso")</f>
        <v>2580000</v>
      </c>
      <c r="K19" s="44">
        <f>SUMIFS(Movimientos!$J$1:$J$1368,Movimientos!$C$1:$C$1368,$B19,Movimientos!$D$1:$D$1368,$C19,Movimientos!$L$1:$L$1368,A$3,Movimientos!$F$1:$F$1368,"Egreso")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SUMIFS(Movimientos!$J$1:$J$1368,Movimientos!$C$1:$C$1368,$B19,Movimientos!$D$1:$D$1368,$C19,Movimientos!$L$1:$L$1368,A$4,Movimientos!$F$1:$F$1368,"Ingreso")</f>
        <v>0</v>
      </c>
      <c r="P19" s="44">
        <f>SUMIFS(Movimientos!$J$1:$J$1368,Movimientos!$C$1:$C$1368,$B19,Movimientos!$D$1:$D$1368,$C19,Movimientos!$L$1:$L$1368,A$4,Movimientos!$F$1:$F$1368,"Egreso")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SUMIFS(Movimientos!$J$1:$J$1368,Movimientos!$C$1:$C$1368,$B19,Movimientos!$D$1:$D$1368,$C19,Movimientos!$L$1:$L$1368,A$5,Movimientos!$F$1:$F$1368,"Ingreso")</f>
        <v>560000</v>
      </c>
      <c r="U19" s="44">
        <f>SUMIFS(Movimientos!$J$1:$J$1368,Movimientos!$C$1:$C$1368,$B19,Movimientos!$D$1:$D$1368,$C19,Movimientos!$L$1:$L$1368,A$5,Movimientos!$F$1:$F$1368,"Egreso")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SUMIFS(Movimientos!$J$1:$J$1368,Movimientos!$C$1:$C$1368,$B19,Movimientos!$D$1:$D$1368,$C19,Movimientos!$L$1:$L$1368,A$6,Movimientos!$F$1:$F$1368,"Ingreso")</f>
        <v>34281.760000000002</v>
      </c>
      <c r="Z19" s="44">
        <f>SUMIFS(Movimientos!$J$1:$J$1368,Movimientos!$C$1:$C$1368,$B19,Movimientos!$D$1:$D$1368,$C19,Movimientos!$L$1:$L$1368,F$5,Movimientos!$F$1:$F$1368,"Egreso")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SUMIFS(Movimientos!$J$1:$J$1368,Movimientos!$C$1:$C$1368,$B20,Movimientos!$D$1:$D$1368,$C20,Movimientos!$L$1:$L$1368,A$3,Movimientos!$F$1:$F$1368,"Ingreso")</f>
        <v>310000.62</v>
      </c>
      <c r="K20" s="44">
        <f>SUMIFS(Movimientos!$J$1:$J$1368,Movimientos!$C$1:$C$1368,$B20,Movimientos!$D$1:$D$1368,$C20,Movimientos!$L$1:$L$1368,A$3,Movimientos!$F$1:$F$1368,"Egreso")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SUMIFS(Movimientos!$J$1:$J$1368,Movimientos!$C$1:$C$1368,$B20,Movimientos!$D$1:$D$1368,$C20,Movimientos!$L$1:$L$1368,A$4,Movimientos!$F$1:$F$1368,"Ingreso")</f>
        <v>3.46</v>
      </c>
      <c r="P20" s="44">
        <f>SUMIFS(Movimientos!$J$1:$J$1368,Movimientos!$C$1:$C$1368,$B20,Movimientos!$D$1:$D$1368,$C20,Movimientos!$L$1:$L$1368,A$4,Movimientos!$F$1:$F$1368,"Egreso")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SUMIFS(Movimientos!$J$1:$J$1368,Movimientos!$C$1:$C$1368,$B20,Movimientos!$D$1:$D$1368,$C20,Movimientos!$L$1:$L$1368,A$5,Movimientos!$F$1:$F$1368,"Ingreso")</f>
        <v>70003.87</v>
      </c>
      <c r="U20" s="44">
        <f>SUMIFS(Movimientos!$J$1:$J$1368,Movimientos!$C$1:$C$1368,$B20,Movimientos!$D$1:$D$1368,$C20,Movimientos!$L$1:$L$1368,A$5,Movimientos!$F$1:$F$1368,"Egreso")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SUMIFS(Movimientos!$J$1:$J$1368,Movimientos!$C$1:$C$1368,$B20,Movimientos!$D$1:$D$1368,$C20,Movimientos!$L$1:$L$1368,A$6,Movimientos!$F$1:$F$1368,"Ingreso")</f>
        <v>4.24</v>
      </c>
      <c r="Z20" s="44">
        <f>SUMIFS(Movimientos!$J$1:$J$1368,Movimientos!$C$1:$C$1368,$B20,Movimientos!$D$1:$D$1368,$C20,Movimientos!$L$1:$L$1368,F$5,Movimientos!$F$1:$F$1368,"Egreso")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SUMIFS(Movimientos!$J$1:$J$1368,Movimientos!$C$1:$C$1368,$B21,Movimientos!$D$1:$D$1368,$C21,Movimientos!$L$1:$L$1368,A$3,Movimientos!$F$1:$F$1368,"Ingreso")</f>
        <v>0</v>
      </c>
      <c r="K21" s="44">
        <f>SUMIFS(Movimientos!$J$1:$J$1368,Movimientos!$C$1:$C$1368,$B21,Movimientos!$D$1:$D$1368,$C21,Movimientos!$L$1:$L$1368,A$3,Movimientos!$F$1:$F$1368,"Egreso")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SUMIFS(Movimientos!$J$1:$J$1368,Movimientos!$C$1:$C$1368,$B21,Movimientos!$D$1:$D$1368,$C21,Movimientos!$L$1:$L$1368,A$4,Movimientos!$F$1:$F$1368,"Ingreso")</f>
        <v>14659.29</v>
      </c>
      <c r="P21" s="44">
        <f>SUMIFS(Movimientos!$J$1:$J$1368,Movimientos!$C$1:$C$1368,$B21,Movimientos!$D$1:$D$1368,$C21,Movimientos!$L$1:$L$1368,A$4,Movimientos!$F$1:$F$1368,"Egreso")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SUMIFS(Movimientos!$J$1:$J$1368,Movimientos!$C$1:$C$1368,$B21,Movimientos!$D$1:$D$1368,$C21,Movimientos!$L$1:$L$1368,A$5,Movimientos!$F$1:$F$1368,"Ingreso")</f>
        <v>0</v>
      </c>
      <c r="U21" s="44">
        <f>SUMIFS(Movimientos!$J$1:$J$1368,Movimientos!$C$1:$C$1368,$B21,Movimientos!$D$1:$D$1368,$C21,Movimientos!$L$1:$L$1368,A$5,Movimientos!$F$1:$F$1368,"Egreso")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SUMIFS(Movimientos!$J$1:$J$1368,Movimientos!$C$1:$C$1368,$B21,Movimientos!$D$1:$D$1368,$C21,Movimientos!$L$1:$L$1368,A$6,Movimientos!$F$1:$F$1368,"Ingreso")</f>
        <v>0</v>
      </c>
      <c r="Z21" s="44">
        <f>SUMIFS(Movimientos!$J$1:$J$1368,Movimientos!$C$1:$C$1368,$B21,Movimientos!$D$1:$D$1368,$C21,Movimientos!$L$1:$L$1368,F$5,Movimientos!$F$1:$F$1368,"Egreso")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SUMIFS(Movimientos!$J$1:$J$1368,Movimientos!$C$1:$C$1368,$B22,Movimientos!$D$1:$D$1368,$C22,Movimientos!$L$1:$L$1368,A$3,Movimientos!$F$1:$F$1368,"Ingreso")</f>
        <v>0</v>
      </c>
      <c r="K22" s="44">
        <f>SUMIFS(Movimientos!$J$1:$J$1368,Movimientos!$C$1:$C$1368,$B22,Movimientos!$D$1:$D$1368,$C22,Movimientos!$L$1:$L$1368,A$3,Movimientos!$F$1:$F$1368,"Egreso")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SUMIFS(Movimientos!$J$1:$J$1368,Movimientos!$C$1:$C$1368,$B22,Movimientos!$D$1:$D$1368,$C22,Movimientos!$L$1:$L$1368,A$4,Movimientos!$F$1:$F$1368,"Ingreso")</f>
        <v>0</v>
      </c>
      <c r="P22" s="44">
        <f>SUMIFS(Movimientos!$J$1:$J$1368,Movimientos!$C$1:$C$1368,$B22,Movimientos!$D$1:$D$1368,$C22,Movimientos!$L$1:$L$1368,A$4,Movimientos!$F$1:$F$1368,"Egreso")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SUMIFS(Movimientos!$J$1:$J$1368,Movimientos!$C$1:$C$1368,$B22,Movimientos!$D$1:$D$1368,$C22,Movimientos!$L$1:$L$1368,A$5,Movimientos!$F$1:$F$1368,"Ingreso")</f>
        <v>100</v>
      </c>
      <c r="U22" s="44">
        <f>SUMIFS(Movimientos!$J$1:$J$1368,Movimientos!$C$1:$C$1368,$B22,Movimientos!$D$1:$D$1368,$C22,Movimientos!$L$1:$L$1368,A$5,Movimientos!$F$1:$F$1368,"Egreso")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SUMIFS(Movimientos!$J$1:$J$1368,Movimientos!$C$1:$C$1368,$B22,Movimientos!$D$1:$D$1368,$C22,Movimientos!$L$1:$L$1368,A$6,Movimientos!$F$1:$F$1368,"Ingreso")</f>
        <v>0</v>
      </c>
      <c r="Z22" s="44">
        <f>SUMIFS(Movimientos!$J$1:$J$1368,Movimientos!$C$1:$C$1368,$B22,Movimientos!$D$1:$D$1368,$C22,Movimientos!$L$1:$L$1368,F$5,Movimientos!$F$1:$F$1368,"Egreso")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SUMIFS(Movimientos!$J$1:$J$1368,Movimientos!$C$1:$C$1368,$B23,Movimientos!$D$1:$D$1368,$C23,Movimientos!$L$1:$L$1368,A$3,Movimientos!$F$1:$F$1368,"Ingreso")</f>
        <v>0</v>
      </c>
      <c r="K23" s="44">
        <f>SUMIFS(Movimientos!$J$1:$J$1368,Movimientos!$C$1:$C$1368,$B23,Movimientos!$D$1:$D$1368,$C23,Movimientos!$L$1:$L$1368,A$3,Movimientos!$F$1:$F$1368,"Egreso")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SUMIFS(Movimientos!$J$1:$J$1368,Movimientos!$C$1:$C$1368,$B23,Movimientos!$D$1:$D$1368,$C23,Movimientos!$L$1:$L$1368,A$4,Movimientos!$F$1:$F$1368,"Ingreso")</f>
        <v>0</v>
      </c>
      <c r="P23" s="44">
        <f>SUMIFS(Movimientos!$J$1:$J$1368,Movimientos!$C$1:$C$1368,$B23,Movimientos!$D$1:$D$1368,$C23,Movimientos!$L$1:$L$1368,A$4,Movimientos!$F$1:$F$1368,"Egreso")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SUMIFS(Movimientos!$J$1:$J$1368,Movimientos!$C$1:$C$1368,$B23,Movimientos!$D$1:$D$1368,$C23,Movimientos!$L$1:$L$1368,A$5,Movimientos!$F$1:$F$1368,"Ingreso")</f>
        <v>0</v>
      </c>
      <c r="U23" s="44">
        <f>SUMIFS(Movimientos!$J$1:$J$1368,Movimientos!$C$1:$C$1368,$B23,Movimientos!$D$1:$D$1368,$C23,Movimientos!$L$1:$L$1368,A$5,Movimientos!$F$1:$F$1368,"Egreso")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SUMIFS(Movimientos!$J$1:$J$1368,Movimientos!$C$1:$C$1368,$B23,Movimientos!$D$1:$D$1368,$C23,Movimientos!$L$1:$L$1368,A$6,Movimientos!$F$1:$F$1368,"Ingreso")</f>
        <v>0</v>
      </c>
      <c r="Z23" s="44">
        <f>SUMIFS(Movimientos!$J$1:$J$1368,Movimientos!$C$1:$C$1368,$B23,Movimientos!$D$1:$D$1368,$C23,Movimientos!$L$1:$L$1368,F$5,Movimientos!$F$1:$F$1368,"Egreso")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SUMIFS(Movimientos!$J$1:$J$1368,Movimientos!$C$1:$C$1368,$B24,Movimientos!$D$1:$D$1368,$C24,Movimientos!$L$1:$L$1368,A$3,Movimientos!$F$1:$F$1368,"Ingreso")</f>
        <v>0</v>
      </c>
      <c r="K24" s="44">
        <f>SUMIFS(Movimientos!$J$1:$J$1368,Movimientos!$C$1:$C$1368,$B24,Movimientos!$D$1:$D$1368,$C24,Movimientos!$L$1:$L$1368,A$3,Movimientos!$F$1:$F$1368,"Egreso")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SUMIFS(Movimientos!$J$1:$J$1368,Movimientos!$C$1:$C$1368,$B24,Movimientos!$D$1:$D$1368,$C24,Movimientos!$L$1:$L$1368,A$4,Movimientos!$F$1:$F$1368,"Ingreso")</f>
        <v>1451269.78</v>
      </c>
      <c r="P24" s="44">
        <f>SUMIFS(Movimientos!$J$1:$J$1368,Movimientos!$C$1:$C$1368,$B24,Movimientos!$D$1:$D$1368,$C24,Movimientos!$L$1:$L$1368,A$4,Movimientos!$F$1:$F$1368,"Egreso")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SUMIFS(Movimientos!$J$1:$J$1368,Movimientos!$C$1:$C$1368,$B24,Movimientos!$D$1:$D$1368,$C24,Movimientos!$L$1:$L$1368,A$5,Movimientos!$F$1:$F$1368,"Ingreso")</f>
        <v>0</v>
      </c>
      <c r="U24" s="44">
        <f>SUMIFS(Movimientos!$J$1:$J$1368,Movimientos!$C$1:$C$1368,$B24,Movimientos!$D$1:$D$1368,$C24,Movimientos!$L$1:$L$1368,A$5,Movimientos!$F$1:$F$1368,"Egreso")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SUMIFS(Movimientos!$J$1:$J$1368,Movimientos!$C$1:$C$1368,$B24,Movimientos!$D$1:$D$1368,$C24,Movimientos!$L$1:$L$1368,A$6,Movimientos!$F$1:$F$1368,"Ingreso")</f>
        <v>0</v>
      </c>
      <c r="Z24" s="44">
        <f>SUMIFS(Movimientos!$J$1:$J$1368,Movimientos!$C$1:$C$1368,$B24,Movimientos!$D$1:$D$1368,$C24,Movimientos!$L$1:$L$1368,F$5,Movimientos!$F$1:$F$1368,"Egreso")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SUMIFS(Movimientos!$J$1:$J$1368,Movimientos!$C$1:$C$1368,$B25,Movimientos!$D$1:$D$1368,$C25,Movimientos!$L$1:$L$1368,A$3,Movimientos!$F$1:$F$1368,"Ingreso")</f>
        <v>0</v>
      </c>
      <c r="K25" s="44">
        <f>SUMIFS(Movimientos!$J$1:$J$1368,Movimientos!$C$1:$C$1368,$B25,Movimientos!$D$1:$D$1368,$C25,Movimientos!$L$1:$L$1368,A$3,Movimientos!$F$1:$F$1368,"Egreso")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SUMIFS(Movimientos!$J$1:$J$1368,Movimientos!$C$1:$C$1368,$B25,Movimientos!$D$1:$D$1368,$C25,Movimientos!$L$1:$L$1368,A$4,Movimientos!$F$1:$F$1368,"Ingreso")</f>
        <v>0</v>
      </c>
      <c r="P25" s="44">
        <f>SUMIFS(Movimientos!$J$1:$J$1368,Movimientos!$C$1:$C$1368,$B25,Movimientos!$D$1:$D$1368,$C25,Movimientos!$L$1:$L$1368,A$4,Movimientos!$F$1:$F$1368,"Egreso")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SUMIFS(Movimientos!$J$1:$J$1368,Movimientos!$C$1:$C$1368,$B25,Movimientos!$D$1:$D$1368,$C25,Movimientos!$L$1:$L$1368,A$5,Movimientos!$F$1:$F$1368,"Ingreso")</f>
        <v>0</v>
      </c>
      <c r="U25" s="44">
        <f>SUMIFS(Movimientos!$J$1:$J$1368,Movimientos!$C$1:$C$1368,$B25,Movimientos!$D$1:$D$1368,$C25,Movimientos!$L$1:$L$1368,A$5,Movimientos!$F$1:$F$1368,"Egreso")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SUMIFS(Movimientos!$J$1:$J$1368,Movimientos!$C$1:$C$1368,$B25,Movimientos!$D$1:$D$1368,$C25,Movimientos!$L$1:$L$1368,A$6,Movimientos!$F$1:$F$1368,"Ingreso")</f>
        <v>0</v>
      </c>
      <c r="Z25" s="44">
        <f>SUMIFS(Movimientos!$J$1:$J$1368,Movimientos!$C$1:$C$1368,$B25,Movimientos!$D$1:$D$1368,$C25,Movimientos!$L$1:$L$1368,F$5,Movimientos!$F$1:$F$1368,"Egreso")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SUMIFS(Movimientos!$J$1:$J$1368,Movimientos!$C$1:$C$1368,$B26,Movimientos!$D$1:$D$1368,$C26,Movimientos!$L$1:$L$1368,A$3,Movimientos!$F$1:$F$1368,"Ingreso")</f>
        <v>0</v>
      </c>
      <c r="K26" s="44">
        <f>SUMIFS(Movimientos!$J$1:$J$1368,Movimientos!$C$1:$C$1368,$B26,Movimientos!$D$1:$D$1368,$C26,Movimientos!$L$1:$L$1368,A$3,Movimientos!$F$1:$F$1368,"Egreso")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SUMIFS(Movimientos!$J$1:$J$1368,Movimientos!$C$1:$C$1368,$B26,Movimientos!$D$1:$D$1368,$C26,Movimientos!$L$1:$L$1368,A$4,Movimientos!$F$1:$F$1368,"Ingreso")</f>
        <v>0</v>
      </c>
      <c r="P26" s="44">
        <f>SUMIFS(Movimientos!$J$1:$J$1368,Movimientos!$C$1:$C$1368,$B26,Movimientos!$D$1:$D$1368,$C26,Movimientos!$L$1:$L$1368,A$4,Movimientos!$F$1:$F$1368,"Egreso")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SUMIFS(Movimientos!$J$1:$J$1368,Movimientos!$C$1:$C$1368,$B26,Movimientos!$D$1:$D$1368,$C26,Movimientos!$L$1:$L$1368,A$5,Movimientos!$F$1:$F$1368,"Ingreso")</f>
        <v>0</v>
      </c>
      <c r="U26" s="44">
        <f>SUMIFS(Movimientos!$J$1:$J$1368,Movimientos!$C$1:$C$1368,$B26,Movimientos!$D$1:$D$1368,$C26,Movimientos!$L$1:$L$1368,A$5,Movimientos!$F$1:$F$1368,"Egreso")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SUMIFS(Movimientos!$J$1:$J$1368,Movimientos!$C$1:$C$1368,$B26,Movimientos!$D$1:$D$1368,$C26,Movimientos!$L$1:$L$1368,A$6,Movimientos!$F$1:$F$1368,"Ingreso")</f>
        <v>0</v>
      </c>
      <c r="Z26" s="44">
        <f>SUMIFS(Movimientos!$J$1:$J$1368,Movimientos!$C$1:$C$1368,$B26,Movimientos!$D$1:$D$1368,$C26,Movimientos!$L$1:$L$1368,F$5,Movimientos!$F$1:$F$1368,"Egreso")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SUMIFS(Movimientos!$J$1:$J$1368,Movimientos!$C$1:$C$1368,$B27,Movimientos!$D$1:$D$1368,$C27,Movimientos!$L$1:$L$1368,A$3,Movimientos!$F$1:$F$1368,"Ingreso")</f>
        <v>0</v>
      </c>
      <c r="K27" s="44">
        <f>SUMIFS(Movimientos!$J$1:$J$1368,Movimientos!$C$1:$C$1368,$B27,Movimientos!$D$1:$D$1368,$C27,Movimientos!$L$1:$L$1368,A$3,Movimientos!$F$1:$F$1368,"Egreso")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SUMIFS(Movimientos!$J$1:$J$1368,Movimientos!$C$1:$C$1368,$B27,Movimientos!$D$1:$D$1368,$C27,Movimientos!$L$1:$L$1368,A$4,Movimientos!$F$1:$F$1368,"Ingreso")</f>
        <v>518.65</v>
      </c>
      <c r="P27" s="44">
        <f>SUMIFS(Movimientos!$J$1:$J$1368,Movimientos!$C$1:$C$1368,$B27,Movimientos!$D$1:$D$1368,$C27,Movimientos!$L$1:$L$1368,A$4,Movimientos!$F$1:$F$1368,"Egreso")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SUMIFS(Movimientos!$J$1:$J$1368,Movimientos!$C$1:$C$1368,$B27,Movimientos!$D$1:$D$1368,$C27,Movimientos!$L$1:$L$1368,A$5,Movimientos!$F$1:$F$1368,"Ingreso")</f>
        <v>0</v>
      </c>
      <c r="U27" s="44">
        <f>SUMIFS(Movimientos!$J$1:$J$1368,Movimientos!$C$1:$C$1368,$B27,Movimientos!$D$1:$D$1368,$C27,Movimientos!$L$1:$L$1368,A$5,Movimientos!$F$1:$F$1368,"Egreso")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SUMIFS(Movimientos!$J$1:$J$1368,Movimientos!$C$1:$C$1368,$B27,Movimientos!$D$1:$D$1368,$C27,Movimientos!$L$1:$L$1368,A$6,Movimientos!$F$1:$F$1368,"Ingreso")</f>
        <v>0</v>
      </c>
      <c r="Z27" s="44">
        <f>SUMIFS(Movimientos!$J$1:$J$1368,Movimientos!$C$1:$C$1368,$B27,Movimientos!$D$1:$D$1368,$C27,Movimientos!$L$1:$L$1368,F$5,Movimientos!$F$1:$F$1368,"Egreso")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SUMIFS(Movimientos!$J$1:$J$1368,Movimientos!$C$1:$C$1368,$B28,Movimientos!$D$1:$D$1368,$C28,Movimientos!$L$1:$L$1368,A$3,Movimientos!$F$1:$F$1368,"Ingreso")</f>
        <v>0</v>
      </c>
      <c r="K28" s="44">
        <f>SUMIFS(Movimientos!$J$1:$J$1368,Movimientos!$C$1:$C$1368,$B28,Movimientos!$D$1:$D$1368,$C28,Movimientos!$L$1:$L$1368,A$3,Movimientos!$F$1:$F$1368,"Egreso")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SUMIFS(Movimientos!$J$1:$J$1368,Movimientos!$C$1:$C$1368,$B28,Movimientos!$D$1:$D$1368,$C28,Movimientos!$L$1:$L$1368,A$4,Movimientos!$F$1:$F$1368,"Ingreso")</f>
        <v>0</v>
      </c>
      <c r="P28" s="44">
        <f>SUMIFS(Movimientos!$J$1:$J$1368,Movimientos!$C$1:$C$1368,$B28,Movimientos!$D$1:$D$1368,$C28,Movimientos!$L$1:$L$1368,A$4,Movimientos!$F$1:$F$1368,"Egreso")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SUMIFS(Movimientos!$J$1:$J$1368,Movimientos!$C$1:$C$1368,$B28,Movimientos!$D$1:$D$1368,$C28,Movimientos!$L$1:$L$1368,A$5,Movimientos!$F$1:$F$1368,"Ingreso")</f>
        <v>0</v>
      </c>
      <c r="U28" s="44">
        <f>SUMIFS(Movimientos!$J$1:$J$1368,Movimientos!$C$1:$C$1368,$B28,Movimientos!$D$1:$D$1368,$C28,Movimientos!$L$1:$L$1368,A$5,Movimientos!$F$1:$F$1368,"Egreso")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SUMIFS(Movimientos!$J$1:$J$1368,Movimientos!$C$1:$C$1368,$B28,Movimientos!$D$1:$D$1368,$C28,Movimientos!$L$1:$L$1368,A$6,Movimientos!$F$1:$F$1368,"Ingreso")</f>
        <v>0</v>
      </c>
      <c r="Z28" s="44">
        <f>SUMIFS(Movimientos!$J$1:$J$1368,Movimientos!$C$1:$C$1368,$B28,Movimientos!$D$1:$D$1368,$C28,Movimientos!$L$1:$L$1368,F$5,Movimientos!$F$1:$F$1368,"Egreso")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SUMIFS(Movimientos!$J$1:$J$1368,Movimientos!$C$1:$C$1368,$B29,Movimientos!$D$1:$D$1368,$C29,Movimientos!$L$1:$L$1368,A$3,Movimientos!$F$1:$F$1368,"Ingreso")</f>
        <v>5250</v>
      </c>
      <c r="K29" s="44">
        <f>SUMIFS(Movimientos!$J$1:$J$1368,Movimientos!$C$1:$C$1368,$B29,Movimientos!$D$1:$D$1368,$C29,Movimientos!$L$1:$L$1368,A$3,Movimientos!$F$1:$F$1368,"Egreso")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SUMIFS(Movimientos!$J$1:$J$1368,Movimientos!$C$1:$C$1368,$B29,Movimientos!$D$1:$D$1368,$C29,Movimientos!$L$1:$L$1368,A$4,Movimientos!$F$1:$F$1368,"Ingreso")</f>
        <v>0</v>
      </c>
      <c r="P29" s="44">
        <f>SUMIFS(Movimientos!$J$1:$J$1368,Movimientos!$C$1:$C$1368,$B29,Movimientos!$D$1:$D$1368,$C29,Movimientos!$L$1:$L$1368,A$4,Movimientos!$F$1:$F$1368,"Egreso")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SUMIFS(Movimientos!$J$1:$J$1368,Movimientos!$C$1:$C$1368,$B29,Movimientos!$D$1:$D$1368,$C29,Movimientos!$L$1:$L$1368,A$5,Movimientos!$F$1:$F$1368,"Ingreso")</f>
        <v>30105.4</v>
      </c>
      <c r="U29" s="44">
        <f>SUMIFS(Movimientos!$J$1:$J$1368,Movimientos!$C$1:$C$1368,$B29,Movimientos!$D$1:$D$1368,$C29,Movimientos!$L$1:$L$1368,A$5,Movimientos!$F$1:$F$1368,"Egreso")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SUMIFS(Movimientos!$J$1:$J$1368,Movimientos!$C$1:$C$1368,$B29,Movimientos!$D$1:$D$1368,$C29,Movimientos!$L$1:$L$1368,A$6,Movimientos!$F$1:$F$1368,"Ingreso")</f>
        <v>5250</v>
      </c>
      <c r="Z29" s="44">
        <f>SUMIFS(Movimientos!$J$1:$J$1368,Movimientos!$C$1:$C$1368,$B29,Movimientos!$D$1:$D$1368,$C29,Movimientos!$L$1:$L$1368,F$5,Movimientos!$F$1:$F$1368,"Egreso")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SUMIFS(Movimientos!$J$1:$J$1368,Movimientos!$C$1:$C$1368,$B30,Movimientos!$D$1:$D$1368,$C30,Movimientos!$L$1:$L$1368,A$3,Movimientos!$F$1:$F$1368,"Ingreso")</f>
        <v>0</v>
      </c>
      <c r="K30" s="44">
        <f>SUMIFS(Movimientos!$J$1:$J$1368,Movimientos!$C$1:$C$1368,$B30,Movimientos!$D$1:$D$1368,$C30,Movimientos!$L$1:$L$1368,A$3,Movimientos!$F$1:$F$1368,"Egreso")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SUMIFS(Movimientos!$J$1:$J$1368,Movimientos!$C$1:$C$1368,$B30,Movimientos!$D$1:$D$1368,$C30,Movimientos!$L$1:$L$1368,A$4,Movimientos!$F$1:$F$1368,"Ingreso")</f>
        <v>0</v>
      </c>
      <c r="P30" s="44">
        <f>SUMIFS(Movimientos!$J$1:$J$1368,Movimientos!$C$1:$C$1368,$B30,Movimientos!$D$1:$D$1368,$C30,Movimientos!$L$1:$L$1368,A$4,Movimientos!$F$1:$F$1368,"Egreso")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SUMIFS(Movimientos!$J$1:$J$1368,Movimientos!$C$1:$C$1368,$B30,Movimientos!$D$1:$D$1368,$C30,Movimientos!$L$1:$L$1368,A$5,Movimientos!$F$1:$F$1368,"Ingreso")</f>
        <v>0</v>
      </c>
      <c r="U30" s="44">
        <f>SUMIFS(Movimientos!$J$1:$J$1368,Movimientos!$C$1:$C$1368,$B30,Movimientos!$D$1:$D$1368,$C30,Movimientos!$L$1:$L$1368,A$5,Movimientos!$F$1:$F$1368,"Egreso")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SUMIFS(Movimientos!$J$1:$J$1368,Movimientos!$C$1:$C$1368,$B30,Movimientos!$D$1:$D$1368,$C30,Movimientos!$L$1:$L$1368,A$6,Movimientos!$F$1:$F$1368,"Ingreso")</f>
        <v>0</v>
      </c>
      <c r="Z30" s="44">
        <f>SUMIFS(Movimientos!$J$1:$J$1368,Movimientos!$C$1:$C$1368,$B30,Movimientos!$D$1:$D$1368,$C30,Movimientos!$L$1:$L$1368,F$5,Movimientos!$F$1:$F$1368,"Egreso")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SUMIFS(Movimientos!$J$1:$J$1368,Movimientos!$C$1:$C$1368,$B31,Movimientos!$D$1:$D$1368,$C31,Movimientos!$L$1:$L$1368,A$3,Movimientos!$F$1:$F$1368,"Ingreso")</f>
        <v>15000</v>
      </c>
      <c r="K31" s="44">
        <f>SUMIFS(Movimientos!$J$1:$J$1368,Movimientos!$C$1:$C$1368,$B31,Movimientos!$D$1:$D$1368,$C31,Movimientos!$L$1:$L$1368,A$3,Movimientos!$F$1:$F$1368,"Egreso")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SUMIFS(Movimientos!$J$1:$J$1368,Movimientos!$C$1:$C$1368,$B31,Movimientos!$D$1:$D$1368,$C31,Movimientos!$L$1:$L$1368,A$4,Movimientos!$F$1:$F$1368,"Ingreso")</f>
        <v>15000</v>
      </c>
      <c r="P31" s="44">
        <f>SUMIFS(Movimientos!$J$1:$J$1368,Movimientos!$C$1:$C$1368,$B31,Movimientos!$D$1:$D$1368,$C31,Movimientos!$L$1:$L$1368,A$4,Movimientos!$F$1:$F$1368,"Egreso")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SUMIFS(Movimientos!$J$1:$J$1368,Movimientos!$C$1:$C$1368,$B31,Movimientos!$D$1:$D$1368,$C31,Movimientos!$L$1:$L$1368,A$5,Movimientos!$F$1:$F$1368,"Ingreso")</f>
        <v>21000</v>
      </c>
      <c r="U31" s="44">
        <f>SUMIFS(Movimientos!$J$1:$J$1368,Movimientos!$C$1:$C$1368,$B31,Movimientos!$D$1:$D$1368,$C31,Movimientos!$L$1:$L$1368,A$5,Movimientos!$F$1:$F$1368,"Egreso")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SUMIFS(Movimientos!$J$1:$J$1368,Movimientos!$C$1:$C$1368,$B31,Movimientos!$D$1:$D$1368,$C31,Movimientos!$L$1:$L$1368,A$6,Movimientos!$F$1:$F$1368,"Ingreso")</f>
        <v>8227.09</v>
      </c>
      <c r="Z31" s="44">
        <f>SUMIFS(Movimientos!$J$1:$J$1368,Movimientos!$C$1:$C$1368,$B31,Movimientos!$D$1:$D$1368,$C31,Movimientos!$L$1:$L$1368,F$5,Movimientos!$F$1:$F$1368,"Egreso")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SUMIFS(Movimientos!$J$1:$J$1368,Movimientos!$C$1:$C$1368,$B32,Movimientos!$D$1:$D$1368,$C32,Movimientos!$L$1:$L$1368,A$3,Movimientos!$F$1:$F$1368,"Ingreso")</f>
        <v>12000</v>
      </c>
      <c r="K32" s="44">
        <f>SUMIFS(Movimientos!$J$1:$J$1368,Movimientos!$C$1:$C$1368,$B32,Movimientos!$D$1:$D$1368,$C32,Movimientos!$L$1:$L$1368,A$3,Movimientos!$F$1:$F$1368,"Egreso")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SUMIFS(Movimientos!$J$1:$J$1368,Movimientos!$C$1:$C$1368,$B32,Movimientos!$D$1:$D$1368,$C32,Movimientos!$L$1:$L$1368,A$4,Movimientos!$F$1:$F$1368,"Ingreso")</f>
        <v>8800</v>
      </c>
      <c r="P32" s="44">
        <f>SUMIFS(Movimientos!$J$1:$J$1368,Movimientos!$C$1:$C$1368,$B32,Movimientos!$D$1:$D$1368,$C32,Movimientos!$L$1:$L$1368,A$4,Movimientos!$F$1:$F$1368,"Egreso")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SUMIFS(Movimientos!$J$1:$J$1368,Movimientos!$C$1:$C$1368,$B32,Movimientos!$D$1:$D$1368,$C32,Movimientos!$L$1:$L$1368,A$5,Movimientos!$F$1:$F$1368,"Ingreso")</f>
        <v>9400</v>
      </c>
      <c r="U32" s="44">
        <f>SUMIFS(Movimientos!$J$1:$J$1368,Movimientos!$C$1:$C$1368,$B32,Movimientos!$D$1:$D$1368,$C32,Movimientos!$L$1:$L$1368,A$5,Movimientos!$F$1:$F$1368,"Egreso")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SUMIFS(Movimientos!$J$1:$J$1368,Movimientos!$C$1:$C$1368,$B32,Movimientos!$D$1:$D$1368,$C32,Movimientos!$L$1:$L$1368,A$6,Movimientos!$F$1:$F$1368,"Ingreso")</f>
        <v>7304.8099999999995</v>
      </c>
      <c r="Z32" s="44">
        <f>SUMIFS(Movimientos!$J$1:$J$1368,Movimientos!$C$1:$C$1368,$B32,Movimientos!$D$1:$D$1368,$C32,Movimientos!$L$1:$L$1368,F$5,Movimientos!$F$1:$F$1368,"Egreso")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SUMIFS(Movimientos!$J$1:$J$1368,Movimientos!$C$1:$C$1368,$B33,Movimientos!$D$1:$D$1368,$C33,Movimientos!$L$1:$L$1368,A$3,Movimientos!$F$1:$F$1368,"Ingreso")</f>
        <v>59000</v>
      </c>
      <c r="K33" s="44">
        <f>SUMIFS(Movimientos!$J$1:$J$1368,Movimientos!$C$1:$C$1368,$B33,Movimientos!$D$1:$D$1368,$C33,Movimientos!$L$1:$L$1368,A$3,Movimientos!$F$1:$F$1368,"Egreso")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SUMIFS(Movimientos!$J$1:$J$1368,Movimientos!$C$1:$C$1368,$B33,Movimientos!$D$1:$D$1368,$C33,Movimientos!$L$1:$L$1368,A$4,Movimientos!$F$1:$F$1368,"Ingreso")</f>
        <v>50000</v>
      </c>
      <c r="P33" s="44">
        <f>SUMIFS(Movimientos!$J$1:$J$1368,Movimientos!$C$1:$C$1368,$B33,Movimientos!$D$1:$D$1368,$C33,Movimientos!$L$1:$L$1368,A$4,Movimientos!$F$1:$F$1368,"Egreso")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SUMIFS(Movimientos!$J$1:$J$1368,Movimientos!$C$1:$C$1368,$B33,Movimientos!$D$1:$D$1368,$C33,Movimientos!$L$1:$L$1368,A$5,Movimientos!$F$1:$F$1368,"Ingreso")</f>
        <v>23000</v>
      </c>
      <c r="U33" s="44">
        <f>SUMIFS(Movimientos!$J$1:$J$1368,Movimientos!$C$1:$C$1368,$B33,Movimientos!$D$1:$D$1368,$C33,Movimientos!$L$1:$L$1368,A$5,Movimientos!$F$1:$F$1368,"Egreso")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SUMIFS(Movimientos!$J$1:$J$1368,Movimientos!$C$1:$C$1368,$B33,Movimientos!$D$1:$D$1368,$C33,Movimientos!$L$1:$L$1368,A$6,Movimientos!$F$1:$F$1368,"Ingreso")</f>
        <v>20000</v>
      </c>
      <c r="Z33" s="44">
        <f>SUMIFS(Movimientos!$J$1:$J$1368,Movimientos!$C$1:$C$1368,$B33,Movimientos!$D$1:$D$1368,$C33,Movimientos!$L$1:$L$1368,F$5,Movimientos!$F$1:$F$1368,"Egreso")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SUMIFS(Movimientos!$J$1:$J$1368,Movimientos!$C$1:$C$1368,$B34,Movimientos!$D$1:$D$1368,$C34,Movimientos!$L$1:$L$1368,A$3,Movimientos!$F$1:$F$1368,"Ingreso")</f>
        <v>59000</v>
      </c>
      <c r="K34" s="44">
        <f>SUMIFS(Movimientos!$J$1:$J$1368,Movimientos!$C$1:$C$1368,$B34,Movimientos!$D$1:$D$1368,$C34,Movimientos!$L$1:$L$1368,A$3,Movimientos!$F$1:$F$1368,"Egreso")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SUMIFS(Movimientos!$J$1:$J$1368,Movimientos!$C$1:$C$1368,$B34,Movimientos!$D$1:$D$1368,$C34,Movimientos!$L$1:$L$1368,A$4,Movimientos!$F$1:$F$1368,"Ingreso")</f>
        <v>50000</v>
      </c>
      <c r="P34" s="44">
        <f>SUMIFS(Movimientos!$J$1:$J$1368,Movimientos!$C$1:$C$1368,$B34,Movimientos!$D$1:$D$1368,$C34,Movimientos!$L$1:$L$1368,A$4,Movimientos!$F$1:$F$1368,"Egreso")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SUMIFS(Movimientos!$J$1:$J$1368,Movimientos!$C$1:$C$1368,$B34,Movimientos!$D$1:$D$1368,$C34,Movimientos!$L$1:$L$1368,A$5,Movimientos!$F$1:$F$1368,"Ingreso")</f>
        <v>23000</v>
      </c>
      <c r="U34" s="44">
        <f>SUMIFS(Movimientos!$J$1:$J$1368,Movimientos!$C$1:$C$1368,$B34,Movimientos!$D$1:$D$1368,$C34,Movimientos!$L$1:$L$1368,A$5,Movimientos!$F$1:$F$1368,"Egreso")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SUMIFS(Movimientos!$J$1:$J$1368,Movimientos!$C$1:$C$1368,$B34,Movimientos!$D$1:$D$1368,$C34,Movimientos!$L$1:$L$1368,A$6,Movimientos!$F$1:$F$1368,"Ingreso")</f>
        <v>20000</v>
      </c>
      <c r="Z34" s="44">
        <f>SUMIFS(Movimientos!$J$1:$J$1368,Movimientos!$C$1:$C$1368,$B34,Movimientos!$D$1:$D$1368,$C34,Movimientos!$L$1:$L$1368,F$5,Movimientos!$F$1:$F$1368,"Egreso")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SUMIFS(Movimientos!$J$1:$J$1368,Movimientos!$C$1:$C$1368,$B35,Movimientos!$D$1:$D$1368,$C35,Movimientos!$L$1:$L$1368,A$3,Movimientos!$F$1:$F$1368,"Ingreso")</f>
        <v>0</v>
      </c>
      <c r="K35" s="44">
        <f>SUMIFS(Movimientos!$J$1:$J$1368,Movimientos!$C$1:$C$1368,$B35,Movimientos!$D$1:$D$1368,$C35,Movimientos!$L$1:$L$1368,A$3,Movimientos!$F$1:$F$1368,"Egreso")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SUMIFS(Movimientos!$J$1:$J$1368,Movimientos!$C$1:$C$1368,$B35,Movimientos!$D$1:$D$1368,$C35,Movimientos!$L$1:$L$1368,A$4,Movimientos!$F$1:$F$1368,"Ingreso")</f>
        <v>15000</v>
      </c>
      <c r="P35" s="44">
        <f>SUMIFS(Movimientos!$J$1:$J$1368,Movimientos!$C$1:$C$1368,$B35,Movimientos!$D$1:$D$1368,$C35,Movimientos!$L$1:$L$1368,A$4,Movimientos!$F$1:$F$1368,"Egreso")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SUMIFS(Movimientos!$J$1:$J$1368,Movimientos!$C$1:$C$1368,$B35,Movimientos!$D$1:$D$1368,$C35,Movimientos!$L$1:$L$1368,A$5,Movimientos!$F$1:$F$1368,"Ingreso")</f>
        <v>0</v>
      </c>
      <c r="U35" s="44">
        <f>SUMIFS(Movimientos!$J$1:$J$1368,Movimientos!$C$1:$C$1368,$B35,Movimientos!$D$1:$D$1368,$C35,Movimientos!$L$1:$L$1368,A$5,Movimientos!$F$1:$F$1368,"Egreso")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SUMIFS(Movimientos!$J$1:$J$1368,Movimientos!$C$1:$C$1368,$B35,Movimientos!$D$1:$D$1368,$C35,Movimientos!$L$1:$L$1368,A$6,Movimientos!$F$1:$F$1368,"Ingreso")</f>
        <v>6500</v>
      </c>
      <c r="Z35" s="44">
        <f>SUMIFS(Movimientos!$J$1:$J$1368,Movimientos!$C$1:$C$1368,$B35,Movimientos!$D$1:$D$1368,$C35,Movimientos!$L$1:$L$1368,F$5,Movimientos!$F$1:$F$1368,"Egreso")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3"/>
  <sheetViews>
    <sheetView showGridLines="0" zoomScale="80" zoomScaleNormal="80" workbookViewId="0">
      <pane xSplit="2" ySplit="1" topLeftCell="C172" activePane="bottomRight" state="frozen"/>
      <selection pane="topRight" activeCell="C1" sqref="C1"/>
      <selection pane="bottomLeft" activeCell="A2" sqref="A2"/>
      <selection pane="bottomRight" activeCell="A183" sqref="A183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Group")+SUMIFS(Movimientos!$K$1:$K$1368,Movimientos!$C$1:$C$1368,"CFT Group",Movimientos!$B$1:$B$1368,"&lt;="&amp;$B33)</f>
        <v>983394.14000000013</v>
      </c>
      <c r="D33" s="24">
        <f>SUMIFS('Saldos Iniciales'!$D:$D,'Saldos Iniciales'!$A:$A,"M1B")+SUMIFS(Movimientos!$K$1:$K$1368,Movimientos!$C$1:$C$1368,"M1B",Movimientos!$B$1:$B$1368,"&lt;="&amp;$B33)</f>
        <v>69376.390000000174</v>
      </c>
      <c r="E33" s="24">
        <f>SUMIFS('Saldos Iniciales'!$D:$D,'Saldos Iniciales'!$A:$A,"Durand")+SUMIFS(Movimientos!$K$1:$K$1368,Movimientos!$C$1:$C$1368,"Durand",Movimientos!$B$1:$B$1368,"&lt;="&amp;$B33)</f>
        <v>1669.89</v>
      </c>
      <c r="F33" s="24">
        <f>SUMIFS('Saldos Iniciales'!$D:$D,'Saldos Iniciales'!$A:$A,"A&amp;M Imports")+SUMIFS(Movimientos!$K$1:$K$1368,Movimientos!$C$1:$C$1368,"A&amp;M Imports",Movimientos!$B$1:$B$1368,"&lt;="&amp;$B33)</f>
        <v>804853.11999999988</v>
      </c>
      <c r="G33" s="24">
        <f>SUMIFS('Saldos Iniciales'!$D:$D,'Saldos Iniciales'!$A:$A,"SSP Capital")+SUMIFS(Movimientos!$K$1:$K$1368,Movimientos!$C$1:$C$1368,"SSP Capital",Movimientos!$B$1:$B$1368,"&lt;="&amp;$B33)</f>
        <v>1015901.6699999992</v>
      </c>
      <c r="H33" s="24">
        <f>SUMIFS('Saldos Iniciales'!$D:$D,'Saldos Iniciales'!$A:$A,"Cross Family Trust")+SUMIFS(Movimientos!$K$1:$K$1368,Movimientos!$C$1:$C$1368,"Cross Family Trust",Movimientos!$B$1:$B$1368,"&lt;="&amp;$B33)</f>
        <v>131496.38</v>
      </c>
      <c r="I33" s="24">
        <f>SUMIFS('Saldos Iniciales'!$D:$D,'Saldos Iniciales'!$A:$A,"Cross Security Trust")+SUMIFS(Movimientos!$K$1:$K$1368,Movimientos!$C$1:$C$1368,"Cross Security Trust",Movimientos!$B$1:$B$1368,"&lt;="&amp;$B33)</f>
        <v>20375.37</v>
      </c>
      <c r="J33" s="24">
        <f>SUMIFS('Saldos Iniciales'!$D:$D,'Saldos Iniciales'!$A:$A,"Electrama")+SUMIFS(Movimientos!$K$1:$K$1368,Movimientos!$C$1:$C$1368,"Electrama",Movimientos!$B$1:$B$1368,"&lt;="&amp;$B33)</f>
        <v>511.15999999999985</v>
      </c>
      <c r="K33" s="24">
        <f>SUMIFS('Saldos Iniciales'!$D:$D,'Saldos Iniciales'!$A:$A,"Sacred Valley Capital")+SUMIFS(Movimientos!$K$1:$K$1368,Movimientos!$C$1:$C$1368,"Sacred Valley Capital",Movimientos!$B$1:$B$1368,"&lt;="&amp;$B33)</f>
        <v>84.35</v>
      </c>
      <c r="L33" s="24">
        <f>SUMIFS('Saldos Iniciales'!$D:$D,'Saldos Iniciales'!$A:$A,"YWC Capital")+SUMIFS(Movimientos!$K$1:$K$1368,Movimientos!$C$1:$C$1368,"YWC Capital",Movimientos!$B$1:$B$1368,"&lt;="&amp;$B33)</f>
        <v>2237.77</v>
      </c>
      <c r="M33" s="24">
        <f>SUMIFS('Saldos Iniciales'!$D:$D,'Saldos Iniciales'!$A:$A,"Soweto")+SUMIFS(Movimientos!$K$1:$K$1368,Movimientos!$C$1:$C$1368,"Soweto",Movimientos!$B$1:$B$1368,"&lt;="&amp;$B33)</f>
        <v>3349.94</v>
      </c>
      <c r="N33" s="24">
        <f>SUMIFS('Saldos Iniciales'!$D:$D,'Saldos Iniciales'!$A:$A,"Green Stone Trust")+SUMIFS(Movimientos!$K$1:$K$1368,Movimientos!$C$1:$C$1368,"Green Stone Trust",Movimientos!$B$1:$B$1368,"&lt;="&amp;$B33)</f>
        <v>1968.99</v>
      </c>
      <c r="O33" s="24">
        <f>SUMIFS('Saldos Iniciales'!$D:$D,'Saldos Iniciales'!$A:$A,"EC Auto")+SUMIFS(Movimientos!$K$1:$K$1368,Movimientos!$C$1:$C$1368,"EC Auto",Movimientos!$B$1:$B$1368,"&lt;="&amp;$B33)</f>
        <v>901.34</v>
      </c>
      <c r="P33" s="24">
        <f>SUMIFS('Saldos Iniciales'!$D:$D,'Saldos Iniciales'!$A:$A,"Arbor Capital Properties")+SUMIFS(Movimientos!$K$1:$K$1368,Movimientos!$C$1:$C$1368,"Arbor Capital Properties",Movimientos!$B$1:$B$1368,"&lt;="&amp;$B33)</f>
        <v>1428.08</v>
      </c>
      <c r="Q33" s="24">
        <f>SUMIFS('Saldos Iniciales'!$D:$D,'Saldos Iniciales'!$A:$A,"2515 Overbrook")+SUMIFS(Movimientos!$K$1:$K$1368,Movimientos!$C$1:$C$1368,"2515 Overbrook",Movimientos!$B$1:$B$1368,"&lt;="&amp;$B33)</f>
        <v>26416.26999999996</v>
      </c>
      <c r="R33" s="24">
        <f>SUMIFS('Saldos Iniciales'!$D:$D,'Saldos Iniciales'!$A:$A,"112 Florida Ave")+SUMIFS(Movimientos!$K$1:$K$1368,Movimientos!$C$1:$C$1368,"112 Florida Ave",Movimientos!$B$1:$B$1368,"&lt;="&amp;$B33)</f>
        <v>5321.4300000000021</v>
      </c>
      <c r="S33" s="24">
        <f>SUMIFS('Saldos Iniciales'!$D:$D,'Saldos Iniciales'!$A:$A,"3628 Thomas Ave")+SUMIFS(Movimientos!$K$1:$K$1368,Movimientos!$C$1:$C$1368,"3628 Thomas Ave",Movimientos!$B$1:$B$1368,"&lt;="&amp;$B33)</f>
        <v>24833.23</v>
      </c>
      <c r="T33" s="24">
        <f>SUMIFS('Saldos Iniciales'!$D:$D,'Saldos Iniciales'!$A:$A,"Green Harbor Trust")+SUMIFS(Movimientos!$K$1:$K$1368,Movimientos!$C$1:$C$1368,"Green Harbor Trust",Movimientos!$B$1:$B$1368,"&lt;="&amp;$B33)</f>
        <v>345</v>
      </c>
      <c r="U33" s="24">
        <f>SUMIFS('Saldos Iniciales'!$D:$D,'Saldos Iniciales'!$A:$A,"Go Blue")+SUMIFS(Movimientos!$K$1:$K$1368,Movimientos!$C$1:$C$1368,"Go Blue",Movimientos!$B$1:$B$1368,"&lt;="&amp;$B33)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Group")+SUMIFS(Movimientos!$K$1:$K$1368,Movimientos!$C$1:$C$1368,"CFT Group",Movimientos!$B$1:$B$1368,"&lt;="&amp;$B34)</f>
        <v>983394.14000000013</v>
      </c>
      <c r="D34" s="24">
        <f>SUMIFS('Saldos Iniciales'!$D:$D,'Saldos Iniciales'!$A:$A,"M1B")+SUMIFS(Movimientos!$K$1:$K$1368,Movimientos!$C$1:$C$1368,"M1B",Movimientos!$B$1:$B$1368,"&lt;="&amp;$B34)</f>
        <v>69376.390000000174</v>
      </c>
      <c r="E34" s="24">
        <f>SUMIFS('Saldos Iniciales'!$D:$D,'Saldos Iniciales'!$A:$A,"Durand")+SUMIFS(Movimientos!$K$1:$K$1368,Movimientos!$C$1:$C$1368,"Durand",Movimientos!$B$1:$B$1368,"&lt;="&amp;$B34)</f>
        <v>1669.89</v>
      </c>
      <c r="F34" s="24">
        <f>SUMIFS('Saldos Iniciales'!$D:$D,'Saldos Iniciales'!$A:$A,"A&amp;M Imports")+SUMIFS(Movimientos!$K$1:$K$1368,Movimientos!$C$1:$C$1368,"A&amp;M Imports",Movimientos!$B$1:$B$1368,"&lt;="&amp;$B34)</f>
        <v>804853.11999999988</v>
      </c>
      <c r="G34" s="24">
        <f>SUMIFS('Saldos Iniciales'!$D:$D,'Saldos Iniciales'!$A:$A,"SSP Capital")+SUMIFS(Movimientos!$K$1:$K$1368,Movimientos!$C$1:$C$1368,"SSP Capital",Movimientos!$B$1:$B$1368,"&lt;="&amp;$B34)</f>
        <v>1015901.6699999992</v>
      </c>
      <c r="H34" s="24">
        <f>SUMIFS('Saldos Iniciales'!$D:$D,'Saldos Iniciales'!$A:$A,"Cross Family Trust")+SUMIFS(Movimientos!$K$1:$K$1368,Movimientos!$C$1:$C$1368,"Cross Family Trust",Movimientos!$B$1:$B$1368,"&lt;="&amp;$B34)</f>
        <v>131496.38</v>
      </c>
      <c r="I34" s="24">
        <f>SUMIFS('Saldos Iniciales'!$D:$D,'Saldos Iniciales'!$A:$A,"Cross Security Trust")+SUMIFS(Movimientos!$K$1:$K$1368,Movimientos!$C$1:$C$1368,"Cross Security Trust",Movimientos!$B$1:$B$1368,"&lt;="&amp;$B34)</f>
        <v>20375.37</v>
      </c>
      <c r="J34" s="24">
        <f>SUMIFS('Saldos Iniciales'!$D:$D,'Saldos Iniciales'!$A:$A,"Electrama")+SUMIFS(Movimientos!$K$1:$K$1368,Movimientos!$C$1:$C$1368,"Electrama",Movimientos!$B$1:$B$1368,"&lt;="&amp;$B34)</f>
        <v>511.15999999999985</v>
      </c>
      <c r="K34" s="24">
        <f>SUMIFS('Saldos Iniciales'!$D:$D,'Saldos Iniciales'!$A:$A,"Sacred Valley Capital")+SUMIFS(Movimientos!$K$1:$K$1368,Movimientos!$C$1:$C$1368,"Sacred Valley Capital",Movimientos!$B$1:$B$1368,"&lt;="&amp;$B34)</f>
        <v>84.35</v>
      </c>
      <c r="L34" s="24">
        <f>SUMIFS('Saldos Iniciales'!$D:$D,'Saldos Iniciales'!$A:$A,"YWC Capital")+SUMIFS(Movimientos!$K$1:$K$1368,Movimientos!$C$1:$C$1368,"YWC Capital",Movimientos!$B$1:$B$1368,"&lt;="&amp;$B34)</f>
        <v>2237.77</v>
      </c>
      <c r="M34" s="24">
        <f>SUMIFS('Saldos Iniciales'!$D:$D,'Saldos Iniciales'!$A:$A,"Soweto")+SUMIFS(Movimientos!$K$1:$K$1368,Movimientos!$C$1:$C$1368,"Soweto",Movimientos!$B$1:$B$1368,"&lt;="&amp;$B34)</f>
        <v>3349.94</v>
      </c>
      <c r="N34" s="24">
        <f>SUMIFS('Saldos Iniciales'!$D:$D,'Saldos Iniciales'!$A:$A,"Green Stone Trust")+SUMIFS(Movimientos!$K$1:$K$1368,Movimientos!$C$1:$C$1368,"Green Stone Trust",Movimientos!$B$1:$B$1368,"&lt;="&amp;$B34)</f>
        <v>1968.99</v>
      </c>
      <c r="O34" s="24">
        <f>SUMIFS('Saldos Iniciales'!$D:$D,'Saldos Iniciales'!$A:$A,"EC Auto")+SUMIFS(Movimientos!$K$1:$K$1368,Movimientos!$C$1:$C$1368,"EC Auto",Movimientos!$B$1:$B$1368,"&lt;="&amp;$B34)</f>
        <v>901.34</v>
      </c>
      <c r="P34" s="24">
        <f>SUMIFS('Saldos Iniciales'!$D:$D,'Saldos Iniciales'!$A:$A,"Arbor Capital Properties")+SUMIFS(Movimientos!$K$1:$K$1368,Movimientos!$C$1:$C$1368,"Arbor Capital Properties",Movimientos!$B$1:$B$1368,"&lt;="&amp;$B34)</f>
        <v>1428.08</v>
      </c>
      <c r="Q34" s="24">
        <f>SUMIFS('Saldos Iniciales'!$D:$D,'Saldos Iniciales'!$A:$A,"2515 Overbrook")+SUMIFS(Movimientos!$K$1:$K$1368,Movimientos!$C$1:$C$1368,"2515 Overbrook",Movimientos!$B$1:$B$1368,"&lt;="&amp;$B34)</f>
        <v>25789.969999999961</v>
      </c>
      <c r="R34" s="24">
        <f>SUMIFS('Saldos Iniciales'!$D:$D,'Saldos Iniciales'!$A:$A,"112 Florida Ave")+SUMIFS(Movimientos!$K$1:$K$1368,Movimientos!$C$1:$C$1368,"112 Florida Ave",Movimientos!$B$1:$B$1368,"&lt;="&amp;$B34)</f>
        <v>5321.4300000000021</v>
      </c>
      <c r="S34" s="24">
        <f>SUMIFS('Saldos Iniciales'!$D:$D,'Saldos Iniciales'!$A:$A,"3628 Thomas Ave")+SUMIFS(Movimientos!$K$1:$K$1368,Movimientos!$C$1:$C$1368,"3628 Thomas Ave",Movimientos!$B$1:$B$1368,"&lt;="&amp;$B34)</f>
        <v>24833.23</v>
      </c>
      <c r="T34" s="24">
        <f>SUMIFS('Saldos Iniciales'!$D:$D,'Saldos Iniciales'!$A:$A,"Green Harbor Trust")+SUMIFS(Movimientos!$K$1:$K$1368,Movimientos!$C$1:$C$1368,"Green Harbor Trust",Movimientos!$B$1:$B$1368,"&lt;="&amp;$B34)</f>
        <v>345</v>
      </c>
      <c r="U34" s="24">
        <f>SUMIFS('Saldos Iniciales'!$D:$D,'Saldos Iniciales'!$A:$A,"Go Blue")+SUMIFS(Movimientos!$K$1:$K$1368,Movimientos!$C$1:$C$1368,"Go Blue",Movimientos!$B$1:$B$1368,"&lt;="&amp;$B34)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Group")+SUMIFS(Movimientos!$K$1:$K$1368,Movimientos!$C$1:$C$1368,"CFT Group",Movimientos!$B$1:$B$1368,"&lt;="&amp;$B35)</f>
        <v>983394.14000000013</v>
      </c>
      <c r="D35" s="24">
        <f>SUMIFS('Saldos Iniciales'!$D:$D,'Saldos Iniciales'!$A:$A,"M1B")+SUMIFS(Movimientos!$K$1:$K$1368,Movimientos!$C$1:$C$1368,"M1B",Movimientos!$B$1:$B$1368,"&lt;="&amp;$B35)</f>
        <v>69376.390000000174</v>
      </c>
      <c r="E35" s="24">
        <f>SUMIFS('Saldos Iniciales'!$D:$D,'Saldos Iniciales'!$A:$A,"Durand")+SUMIFS(Movimientos!$K$1:$K$1368,Movimientos!$C$1:$C$1368,"Durand",Movimientos!$B$1:$B$1368,"&lt;="&amp;$B35)</f>
        <v>1669.89</v>
      </c>
      <c r="F35" s="24">
        <f>SUMIFS('Saldos Iniciales'!$D:$D,'Saldos Iniciales'!$A:$A,"A&amp;M Imports")+SUMIFS(Movimientos!$K$1:$K$1368,Movimientos!$C$1:$C$1368,"A&amp;M Imports",Movimientos!$B$1:$B$1368,"&lt;="&amp;$B35)</f>
        <v>804853.11999999988</v>
      </c>
      <c r="G35" s="24">
        <f>SUMIFS('Saldos Iniciales'!$D:$D,'Saldos Iniciales'!$A:$A,"SSP Capital")+SUMIFS(Movimientos!$K$1:$K$1368,Movimientos!$C$1:$C$1368,"SSP Capital",Movimientos!$B$1:$B$1368,"&lt;="&amp;$B35)</f>
        <v>1015611.6599999993</v>
      </c>
      <c r="H35" s="24">
        <f>SUMIFS('Saldos Iniciales'!$D:$D,'Saldos Iniciales'!$A:$A,"Cross Family Trust")+SUMIFS(Movimientos!$K$1:$K$1368,Movimientos!$C$1:$C$1368,"Cross Family Trust",Movimientos!$B$1:$B$1368,"&lt;="&amp;$B35)</f>
        <v>125496.38</v>
      </c>
      <c r="I35" s="24">
        <f>SUMIFS('Saldos Iniciales'!$D:$D,'Saldos Iniciales'!$A:$A,"Cross Security Trust")+SUMIFS(Movimientos!$K$1:$K$1368,Movimientos!$C$1:$C$1368,"Cross Security Trust",Movimientos!$B$1:$B$1368,"&lt;="&amp;$B35)</f>
        <v>20375.37</v>
      </c>
      <c r="J35" s="24">
        <f>SUMIFS('Saldos Iniciales'!$D:$D,'Saldos Iniciales'!$A:$A,"Electrama")+SUMIFS(Movimientos!$K$1:$K$1368,Movimientos!$C$1:$C$1368,"Electrama",Movimientos!$B$1:$B$1368,"&lt;="&amp;$B35)</f>
        <v>511.15999999999985</v>
      </c>
      <c r="K35" s="24">
        <f>SUMIFS('Saldos Iniciales'!$D:$D,'Saldos Iniciales'!$A:$A,"Sacred Valley Capital")+SUMIFS(Movimientos!$K$1:$K$1368,Movimientos!$C$1:$C$1368,"Sacred Valley Capital",Movimientos!$B$1:$B$1368,"&lt;="&amp;$B35)</f>
        <v>84.35</v>
      </c>
      <c r="L35" s="24">
        <f>SUMIFS('Saldos Iniciales'!$D:$D,'Saldos Iniciales'!$A:$A,"YWC Capital")+SUMIFS(Movimientos!$K$1:$K$1368,Movimientos!$C$1:$C$1368,"YWC Capital",Movimientos!$B$1:$B$1368,"&lt;="&amp;$B35)</f>
        <v>2237.77</v>
      </c>
      <c r="M35" s="24">
        <f>SUMIFS('Saldos Iniciales'!$D:$D,'Saldos Iniciales'!$A:$A,"Soweto")+SUMIFS(Movimientos!$K$1:$K$1368,Movimientos!$C$1:$C$1368,"Soweto",Movimientos!$B$1:$B$1368,"&lt;="&amp;$B35)</f>
        <v>3349.94</v>
      </c>
      <c r="N35" s="24">
        <f>SUMIFS('Saldos Iniciales'!$D:$D,'Saldos Iniciales'!$A:$A,"Green Stone Trust")+SUMIFS(Movimientos!$K$1:$K$1368,Movimientos!$C$1:$C$1368,"Green Stone Trust",Movimientos!$B$1:$B$1368,"&lt;="&amp;$B35)</f>
        <v>1968.99</v>
      </c>
      <c r="O35" s="24">
        <f>SUMIFS('Saldos Iniciales'!$D:$D,'Saldos Iniciales'!$A:$A,"EC Auto")+SUMIFS(Movimientos!$K$1:$K$1368,Movimientos!$C$1:$C$1368,"EC Auto",Movimientos!$B$1:$B$1368,"&lt;="&amp;$B35)</f>
        <v>901.34</v>
      </c>
      <c r="P35" s="24">
        <f>SUMIFS('Saldos Iniciales'!$D:$D,'Saldos Iniciales'!$A:$A,"Arbor Capital Properties")+SUMIFS(Movimientos!$K$1:$K$1368,Movimientos!$C$1:$C$1368,"Arbor Capital Properties",Movimientos!$B$1:$B$1368,"&lt;="&amp;$B35)</f>
        <v>1428.08</v>
      </c>
      <c r="Q35" s="24">
        <f>SUMIFS('Saldos Iniciales'!$D:$D,'Saldos Iniciales'!$A:$A,"2515 Overbrook")+SUMIFS(Movimientos!$K$1:$K$1368,Movimientos!$C$1:$C$1368,"2515 Overbrook",Movimientos!$B$1:$B$1368,"&lt;="&amp;$B35)</f>
        <v>25789.969999999961</v>
      </c>
      <c r="R35" s="24">
        <f>SUMIFS('Saldos Iniciales'!$D:$D,'Saldos Iniciales'!$A:$A,"112 Florida Ave")+SUMIFS(Movimientos!$K$1:$K$1368,Movimientos!$C$1:$C$1368,"112 Florida Ave",Movimientos!$B$1:$B$1368,"&lt;="&amp;$B35)</f>
        <v>5321.4300000000021</v>
      </c>
      <c r="S35" s="24">
        <f>SUMIFS('Saldos Iniciales'!$D:$D,'Saldos Iniciales'!$A:$A,"3628 Thomas Ave")+SUMIFS(Movimientos!$K$1:$K$1368,Movimientos!$C$1:$C$1368,"3628 Thomas Ave",Movimientos!$B$1:$B$1368,"&lt;="&amp;$B35)</f>
        <v>24833.23</v>
      </c>
      <c r="T35" s="24">
        <f>SUMIFS('Saldos Iniciales'!$D:$D,'Saldos Iniciales'!$A:$A,"Green Harbor Trust")+SUMIFS(Movimientos!$K$1:$K$1368,Movimientos!$C$1:$C$1368,"Green Harbor Trust",Movimientos!$B$1:$B$1368,"&lt;="&amp;$B35)</f>
        <v>345</v>
      </c>
      <c r="U35" s="24">
        <f>SUMIFS('Saldos Iniciales'!$D:$D,'Saldos Iniciales'!$A:$A,"Go Blue")+SUMIFS(Movimientos!$K$1:$K$1368,Movimientos!$C$1:$C$1368,"Go Blue",Movimientos!$B$1:$B$1368,"&lt;="&amp;$B35)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Group")+SUMIFS(Movimientos!$K$1:$K$1368,Movimientos!$C$1:$C$1368,"CFT Group",Movimientos!$B$1:$B$1368,"&lt;="&amp;$B36)</f>
        <v>733394.14000000013</v>
      </c>
      <c r="D36" s="24">
        <f>SUMIFS('Saldos Iniciales'!$D:$D,'Saldos Iniciales'!$A:$A,"M1B")+SUMIFS(Movimientos!$K$1:$K$1368,Movimientos!$C$1:$C$1368,"M1B",Movimientos!$B$1:$B$1368,"&lt;="&amp;$B36)</f>
        <v>69376.390000000174</v>
      </c>
      <c r="E36" s="24">
        <f>SUMIFS('Saldos Iniciales'!$D:$D,'Saldos Iniciales'!$A:$A,"Durand")+SUMIFS(Movimientos!$K$1:$K$1368,Movimientos!$C$1:$C$1368,"Durand",Movimientos!$B$1:$B$1368,"&lt;="&amp;$B36)</f>
        <v>1669.89</v>
      </c>
      <c r="F36" s="24">
        <f>SUMIFS('Saldos Iniciales'!$D:$D,'Saldos Iniciales'!$A:$A,"A&amp;M Imports")+SUMIFS(Movimientos!$K$1:$K$1368,Movimientos!$C$1:$C$1368,"A&amp;M Imports",Movimientos!$B$1:$B$1368,"&lt;="&amp;$B36)</f>
        <v>729545.23999999987</v>
      </c>
      <c r="G36" s="24">
        <f>SUMIFS('Saldos Iniciales'!$D:$D,'Saldos Iniciales'!$A:$A,"SSP Capital")+SUMIFS(Movimientos!$K$1:$K$1368,Movimientos!$C$1:$C$1368,"SSP Capital",Movimientos!$B$1:$B$1368,"&lt;="&amp;$B36)</f>
        <v>1171714.4499999993</v>
      </c>
      <c r="H36" s="24">
        <f>SUMIFS('Saldos Iniciales'!$D:$D,'Saldos Iniciales'!$A:$A,"Cross Family Trust")+SUMIFS(Movimientos!$K$1:$K$1368,Movimientos!$C$1:$C$1368,"Cross Family Trust",Movimientos!$B$1:$B$1368,"&lt;="&amp;$B36)</f>
        <v>116496.38</v>
      </c>
      <c r="I36" s="24">
        <f>SUMIFS('Saldos Iniciales'!$D:$D,'Saldos Iniciales'!$A:$A,"Cross Security Trust")+SUMIFS(Movimientos!$K$1:$K$1368,Movimientos!$C$1:$C$1368,"Cross Security Trust",Movimientos!$B$1:$B$1368,"&lt;="&amp;$B36)</f>
        <v>20375.37</v>
      </c>
      <c r="J36" s="24">
        <f>SUMIFS('Saldos Iniciales'!$D:$D,'Saldos Iniciales'!$A:$A,"Electrama")+SUMIFS(Movimientos!$K$1:$K$1368,Movimientos!$C$1:$C$1368,"Electrama",Movimientos!$B$1:$B$1368,"&lt;="&amp;$B36)</f>
        <v>511.15999999999985</v>
      </c>
      <c r="K36" s="24">
        <f>SUMIFS('Saldos Iniciales'!$D:$D,'Saldos Iniciales'!$A:$A,"Sacred Valley Capital")+SUMIFS(Movimientos!$K$1:$K$1368,Movimientos!$C$1:$C$1368,"Sacred Valley Capital",Movimientos!$B$1:$B$1368,"&lt;="&amp;$B36)</f>
        <v>84.35</v>
      </c>
      <c r="L36" s="24">
        <f>SUMIFS('Saldos Iniciales'!$D:$D,'Saldos Iniciales'!$A:$A,"YWC Capital")+SUMIFS(Movimientos!$K$1:$K$1368,Movimientos!$C$1:$C$1368,"YWC Capital",Movimientos!$B$1:$B$1368,"&lt;="&amp;$B36)</f>
        <v>2237.77</v>
      </c>
      <c r="M36" s="24">
        <f>SUMIFS('Saldos Iniciales'!$D:$D,'Saldos Iniciales'!$A:$A,"Soweto")+SUMIFS(Movimientos!$K$1:$K$1368,Movimientos!$C$1:$C$1368,"Soweto",Movimientos!$B$1:$B$1368,"&lt;="&amp;$B36)</f>
        <v>3349.94</v>
      </c>
      <c r="N36" s="24">
        <f>SUMIFS('Saldos Iniciales'!$D:$D,'Saldos Iniciales'!$A:$A,"Green Stone Trust")+SUMIFS(Movimientos!$K$1:$K$1368,Movimientos!$C$1:$C$1368,"Green Stone Trust",Movimientos!$B$1:$B$1368,"&lt;="&amp;$B36)</f>
        <v>1968.99</v>
      </c>
      <c r="O36" s="24">
        <f>SUMIFS('Saldos Iniciales'!$D:$D,'Saldos Iniciales'!$A:$A,"EC Auto")+SUMIFS(Movimientos!$K$1:$K$1368,Movimientos!$C$1:$C$1368,"EC Auto",Movimientos!$B$1:$B$1368,"&lt;="&amp;$B36)</f>
        <v>382.69000000000005</v>
      </c>
      <c r="P36" s="24">
        <f>SUMIFS('Saldos Iniciales'!$D:$D,'Saldos Iniciales'!$A:$A,"Arbor Capital Properties")+SUMIFS(Movimientos!$K$1:$K$1368,Movimientos!$C$1:$C$1368,"Arbor Capital Properties",Movimientos!$B$1:$B$1368,"&lt;="&amp;$B36)</f>
        <v>1428.08</v>
      </c>
      <c r="Q36" s="24">
        <f>SUMIFS('Saldos Iniciales'!$D:$D,'Saldos Iniciales'!$A:$A,"2515 Overbrook")+SUMIFS(Movimientos!$K$1:$K$1368,Movimientos!$C$1:$C$1368,"2515 Overbrook",Movimientos!$B$1:$B$1368,"&lt;="&amp;$B36)</f>
        <v>25789.969999999961</v>
      </c>
      <c r="R36" s="24">
        <f>SUMIFS('Saldos Iniciales'!$D:$D,'Saldos Iniciales'!$A:$A,"112 Florida Ave")+SUMIFS(Movimientos!$K$1:$K$1368,Movimientos!$C$1:$C$1368,"112 Florida Ave",Movimientos!$B$1:$B$1368,"&lt;="&amp;$B36)</f>
        <v>5321.4300000000021</v>
      </c>
      <c r="S36" s="24">
        <f>SUMIFS('Saldos Iniciales'!$D:$D,'Saldos Iniciales'!$A:$A,"3628 Thomas Ave")+SUMIFS(Movimientos!$K$1:$K$1368,Movimientos!$C$1:$C$1368,"3628 Thomas Ave",Movimientos!$B$1:$B$1368,"&lt;="&amp;$B36)</f>
        <v>24833.23</v>
      </c>
      <c r="T36" s="24">
        <f>SUMIFS('Saldos Iniciales'!$D:$D,'Saldos Iniciales'!$A:$A,"Green Harbor Trust")+SUMIFS(Movimientos!$K$1:$K$1368,Movimientos!$C$1:$C$1368,"Green Harbor Trust",Movimientos!$B$1:$B$1368,"&lt;="&amp;$B36)</f>
        <v>345</v>
      </c>
      <c r="U36" s="24">
        <f>SUMIFS('Saldos Iniciales'!$D:$D,'Saldos Iniciales'!$A:$A,"Go Blue")+SUMIFS(Movimientos!$K$1:$K$1368,Movimientos!$C$1:$C$1368,"Go Blue",Movimientos!$B$1:$B$1368,"&lt;="&amp;$B36)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Group")+SUMIFS(Movimientos!$K$1:$K$1368,Movimientos!$C$1:$C$1368,"CFT Group",Movimientos!$B$1:$B$1368,"&lt;="&amp;$B37)</f>
        <v>733394.14000000013</v>
      </c>
      <c r="D37" s="24">
        <f>SUMIFS('Saldos Iniciales'!$D:$D,'Saldos Iniciales'!$A:$A,"M1B")+SUMIFS(Movimientos!$K$1:$K$1368,Movimientos!$C$1:$C$1368,"M1B",Movimientos!$B$1:$B$1368,"&lt;="&amp;$B37)</f>
        <v>69376.390000000174</v>
      </c>
      <c r="E37" s="24">
        <f>SUMIFS('Saldos Iniciales'!$D:$D,'Saldos Iniciales'!$A:$A,"Durand")+SUMIFS(Movimientos!$K$1:$K$1368,Movimientos!$C$1:$C$1368,"Durand",Movimientos!$B$1:$B$1368,"&lt;="&amp;$B37)</f>
        <v>1669.89</v>
      </c>
      <c r="F37" s="24">
        <f>SUMIFS('Saldos Iniciales'!$D:$D,'Saldos Iniciales'!$A:$A,"A&amp;M Imports")+SUMIFS(Movimientos!$K$1:$K$1368,Movimientos!$C$1:$C$1368,"A&amp;M Imports",Movimientos!$B$1:$B$1368,"&lt;="&amp;$B37)</f>
        <v>729545.23999999987</v>
      </c>
      <c r="G37" s="24">
        <f>SUMIFS('Saldos Iniciales'!$D:$D,'Saldos Iniciales'!$A:$A,"SSP Capital")+SUMIFS(Movimientos!$K$1:$K$1368,Movimientos!$C$1:$C$1368,"SSP Capital",Movimientos!$B$1:$B$1368,"&lt;="&amp;$B37)</f>
        <v>1164028.3199999994</v>
      </c>
      <c r="H37" s="24">
        <f>SUMIFS('Saldos Iniciales'!$D:$D,'Saldos Iniciales'!$A:$A,"Cross Family Trust")+SUMIFS(Movimientos!$K$1:$K$1368,Movimientos!$C$1:$C$1368,"Cross Family Trust",Movimientos!$B$1:$B$1368,"&lt;="&amp;$B37)</f>
        <v>116496.38</v>
      </c>
      <c r="I37" s="24">
        <f>SUMIFS('Saldos Iniciales'!$D:$D,'Saldos Iniciales'!$A:$A,"Cross Security Trust")+SUMIFS(Movimientos!$K$1:$K$1368,Movimientos!$C$1:$C$1368,"Cross Security Trust",Movimientos!$B$1:$B$1368,"&lt;="&amp;$B37)</f>
        <v>20375.37</v>
      </c>
      <c r="J37" s="24">
        <f>SUMIFS('Saldos Iniciales'!$D:$D,'Saldos Iniciales'!$A:$A,"Electrama")+SUMIFS(Movimientos!$K$1:$K$1368,Movimientos!$C$1:$C$1368,"Electrama",Movimientos!$B$1:$B$1368,"&lt;="&amp;$B37)</f>
        <v>511.15999999999985</v>
      </c>
      <c r="K37" s="24">
        <f>SUMIFS('Saldos Iniciales'!$D:$D,'Saldos Iniciales'!$A:$A,"Sacred Valley Capital")+SUMIFS(Movimientos!$K$1:$K$1368,Movimientos!$C$1:$C$1368,"Sacred Valley Capital",Movimientos!$B$1:$B$1368,"&lt;="&amp;$B37)</f>
        <v>84.35</v>
      </c>
      <c r="L37" s="24">
        <f>SUMIFS('Saldos Iniciales'!$D:$D,'Saldos Iniciales'!$A:$A,"YWC Capital")+SUMIFS(Movimientos!$K$1:$K$1368,Movimientos!$C$1:$C$1368,"YWC Capital",Movimientos!$B$1:$B$1368,"&lt;="&amp;$B37)</f>
        <v>2237.77</v>
      </c>
      <c r="M37" s="24">
        <f>SUMIFS('Saldos Iniciales'!$D:$D,'Saldos Iniciales'!$A:$A,"Soweto")+SUMIFS(Movimientos!$K$1:$K$1368,Movimientos!$C$1:$C$1368,"Soweto",Movimientos!$B$1:$B$1368,"&lt;="&amp;$B37)</f>
        <v>3349.94</v>
      </c>
      <c r="N37" s="24">
        <f>SUMIFS('Saldos Iniciales'!$D:$D,'Saldos Iniciales'!$A:$A,"Green Stone Trust")+SUMIFS(Movimientos!$K$1:$K$1368,Movimientos!$C$1:$C$1368,"Green Stone Trust",Movimientos!$B$1:$B$1368,"&lt;="&amp;$B37)</f>
        <v>1968.99</v>
      </c>
      <c r="O37" s="24">
        <f>SUMIFS('Saldos Iniciales'!$D:$D,'Saldos Iniciales'!$A:$A,"EC Auto")+SUMIFS(Movimientos!$K$1:$K$1368,Movimientos!$C$1:$C$1368,"EC Auto",Movimientos!$B$1:$B$1368,"&lt;="&amp;$B37)</f>
        <v>382.69000000000005</v>
      </c>
      <c r="P37" s="24">
        <f>SUMIFS('Saldos Iniciales'!$D:$D,'Saldos Iniciales'!$A:$A,"Arbor Capital Properties")+SUMIFS(Movimientos!$K$1:$K$1368,Movimientos!$C$1:$C$1368,"Arbor Capital Properties",Movimientos!$B$1:$B$1368,"&lt;="&amp;$B37)</f>
        <v>1428.08</v>
      </c>
      <c r="Q37" s="24">
        <f>SUMIFS('Saldos Iniciales'!$D:$D,'Saldos Iniciales'!$A:$A,"2515 Overbrook")+SUMIFS(Movimientos!$K$1:$K$1368,Movimientos!$C$1:$C$1368,"2515 Overbrook",Movimientos!$B$1:$B$1368,"&lt;="&amp;$B37)</f>
        <v>25789.969999999961</v>
      </c>
      <c r="R37" s="24">
        <f>SUMIFS('Saldos Iniciales'!$D:$D,'Saldos Iniciales'!$A:$A,"112 Florida Ave")+SUMIFS(Movimientos!$K$1:$K$1368,Movimientos!$C$1:$C$1368,"112 Florida Ave",Movimientos!$B$1:$B$1368,"&lt;="&amp;$B37)</f>
        <v>5321.4300000000021</v>
      </c>
      <c r="S37" s="24">
        <f>SUMIFS('Saldos Iniciales'!$D:$D,'Saldos Iniciales'!$A:$A,"3628 Thomas Ave")+SUMIFS(Movimientos!$K$1:$K$1368,Movimientos!$C$1:$C$1368,"3628 Thomas Ave",Movimientos!$B$1:$B$1368,"&lt;="&amp;$B37)</f>
        <v>24833.23</v>
      </c>
      <c r="T37" s="24">
        <f>SUMIFS('Saldos Iniciales'!$D:$D,'Saldos Iniciales'!$A:$A,"Green Harbor Trust")+SUMIFS(Movimientos!$K$1:$K$1368,Movimientos!$C$1:$C$1368,"Green Harbor Trust",Movimientos!$B$1:$B$1368,"&lt;="&amp;$B37)</f>
        <v>345</v>
      </c>
      <c r="U37" s="24">
        <f>SUMIFS('Saldos Iniciales'!$D:$D,'Saldos Iniciales'!$A:$A,"Go Blue")+SUMIFS(Movimientos!$K$1:$K$1368,Movimientos!$C$1:$C$1368,"Go Blue",Movimientos!$B$1:$B$1368,"&lt;="&amp;$B37)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Group")+SUMIFS(Movimientos!$K$1:$K$1368,Movimientos!$C$1:$C$1368,"CFT Group",Movimientos!$B$1:$B$1368,"&lt;="&amp;$B38)</f>
        <v>733394.14000000013</v>
      </c>
      <c r="D38" s="24">
        <f>SUMIFS('Saldos Iniciales'!$D:$D,'Saldos Iniciales'!$A:$A,"M1B")+SUMIFS(Movimientos!$K$1:$K$1368,Movimientos!$C$1:$C$1368,"M1B",Movimientos!$B$1:$B$1368,"&lt;="&amp;$B38)</f>
        <v>69376.390000000174</v>
      </c>
      <c r="E38" s="24">
        <f>SUMIFS('Saldos Iniciales'!$D:$D,'Saldos Iniciales'!$A:$A,"Durand")+SUMIFS(Movimientos!$K$1:$K$1368,Movimientos!$C$1:$C$1368,"Durand",Movimientos!$B$1:$B$1368,"&lt;="&amp;$B38)</f>
        <v>1669.89</v>
      </c>
      <c r="F38" s="24">
        <f>SUMIFS('Saldos Iniciales'!$D:$D,'Saldos Iniciales'!$A:$A,"A&amp;M Imports")+SUMIFS(Movimientos!$K$1:$K$1368,Movimientos!$C$1:$C$1368,"A&amp;M Imports",Movimientos!$B$1:$B$1368,"&lt;="&amp;$B38)</f>
        <v>729545.23999999987</v>
      </c>
      <c r="G38" s="24">
        <f>SUMIFS('Saldos Iniciales'!$D:$D,'Saldos Iniciales'!$A:$A,"SSP Capital")+SUMIFS(Movimientos!$K$1:$K$1368,Movimientos!$C$1:$C$1368,"SSP Capital",Movimientos!$B$1:$B$1368,"&lt;="&amp;$B38)</f>
        <v>1164028.3199999994</v>
      </c>
      <c r="H38" s="24">
        <f>SUMIFS('Saldos Iniciales'!$D:$D,'Saldos Iniciales'!$A:$A,"Cross Family Trust")+SUMIFS(Movimientos!$K$1:$K$1368,Movimientos!$C$1:$C$1368,"Cross Family Trust",Movimientos!$B$1:$B$1368,"&lt;="&amp;$B38)</f>
        <v>116496.38</v>
      </c>
      <c r="I38" s="24">
        <f>SUMIFS('Saldos Iniciales'!$D:$D,'Saldos Iniciales'!$A:$A,"Cross Security Trust")+SUMIFS(Movimientos!$K$1:$K$1368,Movimientos!$C$1:$C$1368,"Cross Security Trust",Movimientos!$B$1:$B$1368,"&lt;="&amp;$B38)</f>
        <v>20375.37</v>
      </c>
      <c r="J38" s="24">
        <f>SUMIFS('Saldos Iniciales'!$D:$D,'Saldos Iniciales'!$A:$A,"Electrama")+SUMIFS(Movimientos!$K$1:$K$1368,Movimientos!$C$1:$C$1368,"Electrama",Movimientos!$B$1:$B$1368,"&lt;="&amp;$B38)</f>
        <v>511.15999999999985</v>
      </c>
      <c r="K38" s="24">
        <f>SUMIFS('Saldos Iniciales'!$D:$D,'Saldos Iniciales'!$A:$A,"Sacred Valley Capital")+SUMIFS(Movimientos!$K$1:$K$1368,Movimientos!$C$1:$C$1368,"Sacred Valley Capital",Movimientos!$B$1:$B$1368,"&lt;="&amp;$B38)</f>
        <v>84.35</v>
      </c>
      <c r="L38" s="24">
        <f>SUMIFS('Saldos Iniciales'!$D:$D,'Saldos Iniciales'!$A:$A,"YWC Capital")+SUMIFS(Movimientos!$K$1:$K$1368,Movimientos!$C$1:$C$1368,"YWC Capital",Movimientos!$B$1:$B$1368,"&lt;="&amp;$B38)</f>
        <v>2237.77</v>
      </c>
      <c r="M38" s="24">
        <f>SUMIFS('Saldos Iniciales'!$D:$D,'Saldos Iniciales'!$A:$A,"Soweto")+SUMIFS(Movimientos!$K$1:$K$1368,Movimientos!$C$1:$C$1368,"Soweto",Movimientos!$B$1:$B$1368,"&lt;="&amp;$B38)</f>
        <v>3349.94</v>
      </c>
      <c r="N38" s="24">
        <f>SUMIFS('Saldos Iniciales'!$D:$D,'Saldos Iniciales'!$A:$A,"Green Stone Trust")+SUMIFS(Movimientos!$K$1:$K$1368,Movimientos!$C$1:$C$1368,"Green Stone Trust",Movimientos!$B$1:$B$1368,"&lt;="&amp;$B38)</f>
        <v>1968.99</v>
      </c>
      <c r="O38" s="24">
        <f>SUMIFS('Saldos Iniciales'!$D:$D,'Saldos Iniciales'!$A:$A,"EC Auto")+SUMIFS(Movimientos!$K$1:$K$1368,Movimientos!$C$1:$C$1368,"EC Auto",Movimientos!$B$1:$B$1368,"&lt;="&amp;$B38)</f>
        <v>382.69000000000005</v>
      </c>
      <c r="P38" s="24">
        <f>SUMIFS('Saldos Iniciales'!$D:$D,'Saldos Iniciales'!$A:$A,"Arbor Capital Properties")+SUMIFS(Movimientos!$K$1:$K$1368,Movimientos!$C$1:$C$1368,"Arbor Capital Properties",Movimientos!$B$1:$B$1368,"&lt;="&amp;$B38)</f>
        <v>1428.08</v>
      </c>
      <c r="Q38" s="24">
        <f>SUMIFS('Saldos Iniciales'!$D:$D,'Saldos Iniciales'!$A:$A,"2515 Overbrook")+SUMIFS(Movimientos!$K$1:$K$1368,Movimientos!$C$1:$C$1368,"2515 Overbrook",Movimientos!$B$1:$B$1368,"&lt;="&amp;$B38)</f>
        <v>25789.969999999961</v>
      </c>
      <c r="R38" s="24">
        <f>SUMIFS('Saldos Iniciales'!$D:$D,'Saldos Iniciales'!$A:$A,"112 Florida Ave")+SUMIFS(Movimientos!$K$1:$K$1368,Movimientos!$C$1:$C$1368,"112 Florida Ave",Movimientos!$B$1:$B$1368,"&lt;="&amp;$B38)</f>
        <v>5321.4300000000021</v>
      </c>
      <c r="S38" s="24">
        <f>SUMIFS('Saldos Iniciales'!$D:$D,'Saldos Iniciales'!$A:$A,"3628 Thomas Ave")+SUMIFS(Movimientos!$K$1:$K$1368,Movimientos!$C$1:$C$1368,"3628 Thomas Ave",Movimientos!$B$1:$B$1368,"&lt;="&amp;$B38)</f>
        <v>24833.23</v>
      </c>
      <c r="T38" s="24">
        <f>SUMIFS('Saldos Iniciales'!$D:$D,'Saldos Iniciales'!$A:$A,"Green Harbor Trust")+SUMIFS(Movimientos!$K$1:$K$1368,Movimientos!$C$1:$C$1368,"Green Harbor Trust",Movimientos!$B$1:$B$1368,"&lt;="&amp;$B38)</f>
        <v>345</v>
      </c>
      <c r="U38" s="24">
        <f>SUMIFS('Saldos Iniciales'!$D:$D,'Saldos Iniciales'!$A:$A,"Go Blue")+SUMIFS(Movimientos!$K$1:$K$1368,Movimientos!$C$1:$C$1368,"Go Blue",Movimientos!$B$1:$B$1368,"&lt;="&amp;$B38)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Group")+SUMIFS(Movimientos!$K$1:$K$1368,Movimientos!$C$1:$C$1368,"CFT Group",Movimientos!$B$1:$B$1368,"&lt;="&amp;$B39)</f>
        <v>733394.14000000013</v>
      </c>
      <c r="D39" s="24">
        <f>SUMIFS('Saldos Iniciales'!$D:$D,'Saldos Iniciales'!$A:$A,"M1B")+SUMIFS(Movimientos!$K$1:$K$1368,Movimientos!$C$1:$C$1368,"M1B",Movimientos!$B$1:$B$1368,"&lt;="&amp;$B39)</f>
        <v>69376.390000000174</v>
      </c>
      <c r="E39" s="24">
        <f>SUMIFS('Saldos Iniciales'!$D:$D,'Saldos Iniciales'!$A:$A,"Durand")+SUMIFS(Movimientos!$K$1:$K$1368,Movimientos!$C$1:$C$1368,"Durand",Movimientos!$B$1:$B$1368,"&lt;="&amp;$B39)</f>
        <v>1669.89</v>
      </c>
      <c r="F39" s="24">
        <f>SUMIFS('Saldos Iniciales'!$D:$D,'Saldos Iniciales'!$A:$A,"A&amp;M Imports")+SUMIFS(Movimientos!$K$1:$K$1368,Movimientos!$C$1:$C$1368,"A&amp;M Imports",Movimientos!$B$1:$B$1368,"&lt;="&amp;$B39)</f>
        <v>729545.23999999987</v>
      </c>
      <c r="G39" s="24">
        <f>SUMIFS('Saldos Iniciales'!$D:$D,'Saldos Iniciales'!$A:$A,"SSP Capital")+SUMIFS(Movimientos!$K$1:$K$1368,Movimientos!$C$1:$C$1368,"SSP Capital",Movimientos!$B$1:$B$1368,"&lt;="&amp;$B39)</f>
        <v>1164028.3199999994</v>
      </c>
      <c r="H39" s="24">
        <f>SUMIFS('Saldos Iniciales'!$D:$D,'Saldos Iniciales'!$A:$A,"Cross Family Trust")+SUMIFS(Movimientos!$K$1:$K$1368,Movimientos!$C$1:$C$1368,"Cross Family Trust",Movimientos!$B$1:$B$1368,"&lt;="&amp;$B39)</f>
        <v>116496.38</v>
      </c>
      <c r="I39" s="24">
        <f>SUMIFS('Saldos Iniciales'!$D:$D,'Saldos Iniciales'!$A:$A,"Cross Security Trust")+SUMIFS(Movimientos!$K$1:$K$1368,Movimientos!$C$1:$C$1368,"Cross Security Trust",Movimientos!$B$1:$B$1368,"&lt;="&amp;$B39)</f>
        <v>20375.37</v>
      </c>
      <c r="J39" s="24">
        <f>SUMIFS('Saldos Iniciales'!$D:$D,'Saldos Iniciales'!$A:$A,"Electrama")+SUMIFS(Movimientos!$K$1:$K$1368,Movimientos!$C$1:$C$1368,"Electrama",Movimientos!$B$1:$B$1368,"&lt;="&amp;$B39)</f>
        <v>511.15999999999985</v>
      </c>
      <c r="K39" s="24">
        <f>SUMIFS('Saldos Iniciales'!$D:$D,'Saldos Iniciales'!$A:$A,"Sacred Valley Capital")+SUMIFS(Movimientos!$K$1:$K$1368,Movimientos!$C$1:$C$1368,"Sacred Valley Capital",Movimientos!$B$1:$B$1368,"&lt;="&amp;$B39)</f>
        <v>84.35</v>
      </c>
      <c r="L39" s="24">
        <f>SUMIFS('Saldos Iniciales'!$D:$D,'Saldos Iniciales'!$A:$A,"YWC Capital")+SUMIFS(Movimientos!$K$1:$K$1368,Movimientos!$C$1:$C$1368,"YWC Capital",Movimientos!$B$1:$B$1368,"&lt;="&amp;$B39)</f>
        <v>2237.77</v>
      </c>
      <c r="M39" s="24">
        <f>SUMIFS('Saldos Iniciales'!$D:$D,'Saldos Iniciales'!$A:$A,"Soweto")+SUMIFS(Movimientos!$K$1:$K$1368,Movimientos!$C$1:$C$1368,"Soweto",Movimientos!$B$1:$B$1368,"&lt;="&amp;$B39)</f>
        <v>3349.94</v>
      </c>
      <c r="N39" s="24">
        <f>SUMIFS('Saldos Iniciales'!$D:$D,'Saldos Iniciales'!$A:$A,"Green Stone Trust")+SUMIFS(Movimientos!$K$1:$K$1368,Movimientos!$C$1:$C$1368,"Green Stone Trust",Movimientos!$B$1:$B$1368,"&lt;="&amp;$B39)</f>
        <v>1968.99</v>
      </c>
      <c r="O39" s="24">
        <f>SUMIFS('Saldos Iniciales'!$D:$D,'Saldos Iniciales'!$A:$A,"EC Auto")+SUMIFS(Movimientos!$K$1:$K$1368,Movimientos!$C$1:$C$1368,"EC Auto",Movimientos!$B$1:$B$1368,"&lt;="&amp;$B39)</f>
        <v>382.69000000000005</v>
      </c>
      <c r="P39" s="24">
        <f>SUMIFS('Saldos Iniciales'!$D:$D,'Saldos Iniciales'!$A:$A,"Arbor Capital Properties")+SUMIFS(Movimientos!$K$1:$K$1368,Movimientos!$C$1:$C$1368,"Arbor Capital Properties",Movimientos!$B$1:$B$1368,"&lt;="&amp;$B39)</f>
        <v>1428.08</v>
      </c>
      <c r="Q39" s="24">
        <f>SUMIFS('Saldos Iniciales'!$D:$D,'Saldos Iniciales'!$A:$A,"2515 Overbrook")+SUMIFS(Movimientos!$K$1:$K$1368,Movimientos!$C$1:$C$1368,"2515 Overbrook",Movimientos!$B$1:$B$1368,"&lt;="&amp;$B39)</f>
        <v>25789.969999999961</v>
      </c>
      <c r="R39" s="24">
        <f>SUMIFS('Saldos Iniciales'!$D:$D,'Saldos Iniciales'!$A:$A,"112 Florida Ave")+SUMIFS(Movimientos!$K$1:$K$1368,Movimientos!$C$1:$C$1368,"112 Florida Ave",Movimientos!$B$1:$B$1368,"&lt;="&amp;$B39)</f>
        <v>5321.4300000000021</v>
      </c>
      <c r="S39" s="24">
        <f>SUMIFS('Saldos Iniciales'!$D:$D,'Saldos Iniciales'!$A:$A,"3628 Thomas Ave")+SUMIFS(Movimientos!$K$1:$K$1368,Movimientos!$C$1:$C$1368,"3628 Thomas Ave",Movimientos!$B$1:$B$1368,"&lt;="&amp;$B39)</f>
        <v>24833.23</v>
      </c>
      <c r="T39" s="24">
        <f>SUMIFS('Saldos Iniciales'!$D:$D,'Saldos Iniciales'!$A:$A,"Green Harbor Trust")+SUMIFS(Movimientos!$K$1:$K$1368,Movimientos!$C$1:$C$1368,"Green Harbor Trust",Movimientos!$B$1:$B$1368,"&lt;="&amp;$B39)</f>
        <v>345</v>
      </c>
      <c r="U39" s="24">
        <f>SUMIFS('Saldos Iniciales'!$D:$D,'Saldos Iniciales'!$A:$A,"Go Blue")+SUMIFS(Movimientos!$K$1:$K$1368,Movimientos!$C$1:$C$1368,"Go Blue",Movimientos!$B$1:$B$1368,"&lt;="&amp;$B39)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Group")+SUMIFS(Movimientos!$K$1:$K$1368,Movimientos!$C$1:$C$1368,"CFT Group",Movimientos!$B$1:$B$1368,"&lt;="&amp;$B40)</f>
        <v>733394.14000000013</v>
      </c>
      <c r="D40" s="24">
        <f>SUMIFS('Saldos Iniciales'!$D:$D,'Saldos Iniciales'!$A:$A,"M1B")+SUMIFS(Movimientos!$K$1:$K$1368,Movimientos!$C$1:$C$1368,"M1B",Movimientos!$B$1:$B$1368,"&lt;="&amp;$B40)</f>
        <v>69376.390000000174</v>
      </c>
      <c r="E40" s="24">
        <f>SUMIFS('Saldos Iniciales'!$D:$D,'Saldos Iniciales'!$A:$A,"Durand")+SUMIFS(Movimientos!$K$1:$K$1368,Movimientos!$C$1:$C$1368,"Durand",Movimientos!$B$1:$B$1368,"&lt;="&amp;$B40)</f>
        <v>1669.89</v>
      </c>
      <c r="F40" s="24">
        <f>SUMIFS('Saldos Iniciales'!$D:$D,'Saldos Iniciales'!$A:$A,"A&amp;M Imports")+SUMIFS(Movimientos!$K$1:$K$1368,Movimientos!$C$1:$C$1368,"A&amp;M Imports",Movimientos!$B$1:$B$1368,"&lt;="&amp;$B40)</f>
        <v>729545.23999999987</v>
      </c>
      <c r="G40" s="24">
        <f>SUMIFS('Saldos Iniciales'!$D:$D,'Saldos Iniciales'!$A:$A,"SSP Capital")+SUMIFS(Movimientos!$K$1:$K$1368,Movimientos!$C$1:$C$1368,"SSP Capital",Movimientos!$B$1:$B$1368,"&lt;="&amp;$B40)</f>
        <v>1164028.3199999994</v>
      </c>
      <c r="H40" s="24">
        <f>SUMIFS('Saldos Iniciales'!$D:$D,'Saldos Iniciales'!$A:$A,"Cross Family Trust")+SUMIFS(Movimientos!$K$1:$K$1368,Movimientos!$C$1:$C$1368,"Cross Family Trust",Movimientos!$B$1:$B$1368,"&lt;="&amp;$B40)</f>
        <v>116496.38</v>
      </c>
      <c r="I40" s="24">
        <f>SUMIFS('Saldos Iniciales'!$D:$D,'Saldos Iniciales'!$A:$A,"Cross Security Trust")+SUMIFS(Movimientos!$K$1:$K$1368,Movimientos!$C$1:$C$1368,"Cross Security Trust",Movimientos!$B$1:$B$1368,"&lt;="&amp;$B40)</f>
        <v>20375.37</v>
      </c>
      <c r="J40" s="24">
        <f>SUMIFS('Saldos Iniciales'!$D:$D,'Saldos Iniciales'!$A:$A,"Electrama")+SUMIFS(Movimientos!$K$1:$K$1368,Movimientos!$C$1:$C$1368,"Electrama",Movimientos!$B$1:$B$1368,"&lt;="&amp;$B40)</f>
        <v>511.15999999999985</v>
      </c>
      <c r="K40" s="24">
        <f>SUMIFS('Saldos Iniciales'!$D:$D,'Saldos Iniciales'!$A:$A,"Sacred Valley Capital")+SUMIFS(Movimientos!$K$1:$K$1368,Movimientos!$C$1:$C$1368,"Sacred Valley Capital",Movimientos!$B$1:$B$1368,"&lt;="&amp;$B40)</f>
        <v>84.35</v>
      </c>
      <c r="L40" s="24">
        <f>SUMIFS('Saldos Iniciales'!$D:$D,'Saldos Iniciales'!$A:$A,"YWC Capital")+SUMIFS(Movimientos!$K$1:$K$1368,Movimientos!$C$1:$C$1368,"YWC Capital",Movimientos!$B$1:$B$1368,"&lt;="&amp;$B40)</f>
        <v>2237.77</v>
      </c>
      <c r="M40" s="24">
        <f>SUMIFS('Saldos Iniciales'!$D:$D,'Saldos Iniciales'!$A:$A,"Soweto")+SUMIFS(Movimientos!$K$1:$K$1368,Movimientos!$C$1:$C$1368,"Soweto",Movimientos!$B$1:$B$1368,"&lt;="&amp;$B40)</f>
        <v>3349.94</v>
      </c>
      <c r="N40" s="24">
        <f>SUMIFS('Saldos Iniciales'!$D:$D,'Saldos Iniciales'!$A:$A,"Green Stone Trust")+SUMIFS(Movimientos!$K$1:$K$1368,Movimientos!$C$1:$C$1368,"Green Stone Trust",Movimientos!$B$1:$B$1368,"&lt;="&amp;$B40)</f>
        <v>1968.99</v>
      </c>
      <c r="O40" s="24">
        <f>SUMIFS('Saldos Iniciales'!$D:$D,'Saldos Iniciales'!$A:$A,"EC Auto")+SUMIFS(Movimientos!$K$1:$K$1368,Movimientos!$C$1:$C$1368,"EC Auto",Movimientos!$B$1:$B$1368,"&lt;="&amp;$B40)</f>
        <v>382.69000000000005</v>
      </c>
      <c r="P40" s="24">
        <f>SUMIFS('Saldos Iniciales'!$D:$D,'Saldos Iniciales'!$A:$A,"Arbor Capital Properties")+SUMIFS(Movimientos!$K$1:$K$1368,Movimientos!$C$1:$C$1368,"Arbor Capital Properties",Movimientos!$B$1:$B$1368,"&lt;="&amp;$B40)</f>
        <v>1428.08</v>
      </c>
      <c r="Q40" s="24">
        <f>SUMIFS('Saldos Iniciales'!$D:$D,'Saldos Iniciales'!$A:$A,"2515 Overbrook")+SUMIFS(Movimientos!$K$1:$K$1368,Movimientos!$C$1:$C$1368,"2515 Overbrook",Movimientos!$B$1:$B$1368,"&lt;="&amp;$B40)</f>
        <v>25789.969999999961</v>
      </c>
      <c r="R40" s="24">
        <f>SUMIFS('Saldos Iniciales'!$D:$D,'Saldos Iniciales'!$A:$A,"112 Florida Ave")+SUMIFS(Movimientos!$K$1:$K$1368,Movimientos!$C$1:$C$1368,"112 Florida Ave",Movimientos!$B$1:$B$1368,"&lt;="&amp;$B40)</f>
        <v>5321.4300000000021</v>
      </c>
      <c r="S40" s="24">
        <f>SUMIFS('Saldos Iniciales'!$D:$D,'Saldos Iniciales'!$A:$A,"3628 Thomas Ave")+SUMIFS(Movimientos!$K$1:$K$1368,Movimientos!$C$1:$C$1368,"3628 Thomas Ave",Movimientos!$B$1:$B$1368,"&lt;="&amp;$B40)</f>
        <v>24833.23</v>
      </c>
      <c r="T40" s="24">
        <f>SUMIFS('Saldos Iniciales'!$D:$D,'Saldos Iniciales'!$A:$A,"Green Harbor Trust")+SUMIFS(Movimientos!$K$1:$K$1368,Movimientos!$C$1:$C$1368,"Green Harbor Trust",Movimientos!$B$1:$B$1368,"&lt;="&amp;$B40)</f>
        <v>345</v>
      </c>
      <c r="U40" s="24">
        <f>SUMIFS('Saldos Iniciales'!$D:$D,'Saldos Iniciales'!$A:$A,"Go Blue")+SUMIFS(Movimientos!$K$1:$K$1368,Movimientos!$C$1:$C$1368,"Go Blue",Movimientos!$B$1:$B$1368,"&lt;="&amp;$B40)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Group")+SUMIFS(Movimientos!$K$1:$K$1368,Movimientos!$C$1:$C$1368,"CFT Group",Movimientos!$B$1:$B$1368,"&lt;="&amp;$B41)</f>
        <v>847381.29000000015</v>
      </c>
      <c r="D41" s="24">
        <f>SUMIFS('Saldos Iniciales'!$D:$D,'Saldos Iniciales'!$A:$A,"M1B")+SUMIFS(Movimientos!$K$1:$K$1368,Movimientos!$C$1:$C$1368,"M1B",Movimientos!$B$1:$B$1368,"&lt;="&amp;$B41)</f>
        <v>69376.390000000174</v>
      </c>
      <c r="E41" s="24">
        <f>SUMIFS('Saldos Iniciales'!$D:$D,'Saldos Iniciales'!$A:$A,"Durand")+SUMIFS(Movimientos!$K$1:$K$1368,Movimientos!$C$1:$C$1368,"Durand",Movimientos!$B$1:$B$1368,"&lt;="&amp;$B41)</f>
        <v>1669.89</v>
      </c>
      <c r="F41" s="24">
        <f>SUMIFS('Saldos Iniciales'!$D:$D,'Saldos Iniciales'!$A:$A,"A&amp;M Imports")+SUMIFS(Movimientos!$K$1:$K$1368,Movimientos!$C$1:$C$1368,"A&amp;M Imports",Movimientos!$B$1:$B$1368,"&lt;="&amp;$B41)</f>
        <v>729545.23999999987</v>
      </c>
      <c r="G41" s="24">
        <f>SUMIFS('Saldos Iniciales'!$D:$D,'Saldos Iniciales'!$A:$A,"SSP Capital")+SUMIFS(Movimientos!$K$1:$K$1368,Movimientos!$C$1:$C$1368,"SSP Capital",Movimientos!$B$1:$B$1368,"&lt;="&amp;$B41)</f>
        <v>1160274.0499999993</v>
      </c>
      <c r="H41" s="24">
        <f>SUMIFS('Saldos Iniciales'!$D:$D,'Saldos Iniciales'!$A:$A,"Cross Family Trust")+SUMIFS(Movimientos!$K$1:$K$1368,Movimientos!$C$1:$C$1368,"Cross Family Trust",Movimientos!$B$1:$B$1368,"&lt;="&amp;$B41)</f>
        <v>116496.38</v>
      </c>
      <c r="I41" s="24">
        <f>SUMIFS('Saldos Iniciales'!$D:$D,'Saldos Iniciales'!$A:$A,"Cross Security Trust")+SUMIFS(Movimientos!$K$1:$K$1368,Movimientos!$C$1:$C$1368,"Cross Security Trust",Movimientos!$B$1:$B$1368,"&lt;="&amp;$B41)</f>
        <v>20375.37</v>
      </c>
      <c r="J41" s="24">
        <f>SUMIFS('Saldos Iniciales'!$D:$D,'Saldos Iniciales'!$A:$A,"Electrama")+SUMIFS(Movimientos!$K$1:$K$1368,Movimientos!$C$1:$C$1368,"Electrama",Movimientos!$B$1:$B$1368,"&lt;="&amp;$B41)</f>
        <v>511.15999999999985</v>
      </c>
      <c r="K41" s="24">
        <f>SUMIFS('Saldos Iniciales'!$D:$D,'Saldos Iniciales'!$A:$A,"Sacred Valley Capital")+SUMIFS(Movimientos!$K$1:$K$1368,Movimientos!$C$1:$C$1368,"Sacred Valley Capital",Movimientos!$B$1:$B$1368,"&lt;="&amp;$B41)</f>
        <v>84.35</v>
      </c>
      <c r="L41" s="24">
        <f>SUMIFS('Saldos Iniciales'!$D:$D,'Saldos Iniciales'!$A:$A,"YWC Capital")+SUMIFS(Movimientos!$K$1:$K$1368,Movimientos!$C$1:$C$1368,"YWC Capital",Movimientos!$B$1:$B$1368,"&lt;="&amp;$B41)</f>
        <v>2237.77</v>
      </c>
      <c r="M41" s="24">
        <f>SUMIFS('Saldos Iniciales'!$D:$D,'Saldos Iniciales'!$A:$A,"Soweto")+SUMIFS(Movimientos!$K$1:$K$1368,Movimientos!$C$1:$C$1368,"Soweto",Movimientos!$B$1:$B$1368,"&lt;="&amp;$B41)</f>
        <v>3349.94</v>
      </c>
      <c r="N41" s="24">
        <f>SUMIFS('Saldos Iniciales'!$D:$D,'Saldos Iniciales'!$A:$A,"Green Stone Trust")+SUMIFS(Movimientos!$K$1:$K$1368,Movimientos!$C$1:$C$1368,"Green Stone Trust",Movimientos!$B$1:$B$1368,"&lt;="&amp;$B41)</f>
        <v>1968.99</v>
      </c>
      <c r="O41" s="24">
        <f>SUMIFS('Saldos Iniciales'!$D:$D,'Saldos Iniciales'!$A:$A,"EC Auto")+SUMIFS(Movimientos!$K$1:$K$1368,Movimientos!$C$1:$C$1368,"EC Auto",Movimientos!$B$1:$B$1368,"&lt;="&amp;$B41)</f>
        <v>382.69000000000005</v>
      </c>
      <c r="P41" s="24">
        <f>SUMIFS('Saldos Iniciales'!$D:$D,'Saldos Iniciales'!$A:$A,"Arbor Capital Properties")+SUMIFS(Movimientos!$K$1:$K$1368,Movimientos!$C$1:$C$1368,"Arbor Capital Properties",Movimientos!$B$1:$B$1368,"&lt;="&amp;$B41)</f>
        <v>1428.08</v>
      </c>
      <c r="Q41" s="24">
        <f>SUMIFS('Saldos Iniciales'!$D:$D,'Saldos Iniciales'!$A:$A,"2515 Overbrook")+SUMIFS(Movimientos!$K$1:$K$1368,Movimientos!$C$1:$C$1368,"2515 Overbrook",Movimientos!$B$1:$B$1368,"&lt;="&amp;$B41)</f>
        <v>25789.969999999961</v>
      </c>
      <c r="R41" s="24">
        <f>SUMIFS('Saldos Iniciales'!$D:$D,'Saldos Iniciales'!$A:$A,"112 Florida Ave")+SUMIFS(Movimientos!$K$1:$K$1368,Movimientos!$C$1:$C$1368,"112 Florida Ave",Movimientos!$B$1:$B$1368,"&lt;="&amp;$B41)</f>
        <v>5321.4300000000021</v>
      </c>
      <c r="S41" s="24">
        <f>SUMIFS('Saldos Iniciales'!$D:$D,'Saldos Iniciales'!$A:$A,"3628 Thomas Ave")+SUMIFS(Movimientos!$K$1:$K$1368,Movimientos!$C$1:$C$1368,"3628 Thomas Ave",Movimientos!$B$1:$B$1368,"&lt;="&amp;$B41)</f>
        <v>24833.23</v>
      </c>
      <c r="T41" s="24">
        <f>SUMIFS('Saldos Iniciales'!$D:$D,'Saldos Iniciales'!$A:$A,"Green Harbor Trust")+SUMIFS(Movimientos!$K$1:$K$1368,Movimientos!$C$1:$C$1368,"Green Harbor Trust",Movimientos!$B$1:$B$1368,"&lt;="&amp;$B41)</f>
        <v>345</v>
      </c>
      <c r="U41" s="24">
        <f>SUMIFS('Saldos Iniciales'!$D:$D,'Saldos Iniciales'!$A:$A,"Go Blue")+SUMIFS(Movimientos!$K$1:$K$1368,Movimientos!$C$1:$C$1368,"Go Blue",Movimientos!$B$1:$B$1368,"&lt;="&amp;$B41)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Group")+SUMIFS(Movimientos!$K$1:$K$1368,Movimientos!$C$1:$C$1368,"CFT Group",Movimientos!$B$1:$B$1368,"&lt;="&amp;$B42)</f>
        <v>2288745.9500000002</v>
      </c>
      <c r="D42" s="24">
        <f>SUMIFS('Saldos Iniciales'!$D:$D,'Saldos Iniciales'!$A:$A,"M1B")+SUMIFS(Movimientos!$K$1:$K$1368,Movimientos!$C$1:$C$1368,"M1B",Movimientos!$B$1:$B$1368,"&lt;="&amp;$B42)</f>
        <v>69376.390000000174</v>
      </c>
      <c r="E42" s="24">
        <f>SUMIFS('Saldos Iniciales'!$D:$D,'Saldos Iniciales'!$A:$A,"Durand")+SUMIFS(Movimientos!$K$1:$K$1368,Movimientos!$C$1:$C$1368,"Durand",Movimientos!$B$1:$B$1368,"&lt;="&amp;$B42)</f>
        <v>1669.89</v>
      </c>
      <c r="F42" s="24">
        <f>SUMIFS('Saldos Iniciales'!$D:$D,'Saldos Iniciales'!$A:$A,"A&amp;M Imports")+SUMIFS(Movimientos!$K$1:$K$1368,Movimientos!$C$1:$C$1368,"A&amp;M Imports",Movimientos!$B$1:$B$1368,"&lt;="&amp;$B42)</f>
        <v>744306.80999999982</v>
      </c>
      <c r="G42" s="24">
        <f>SUMIFS('Saldos Iniciales'!$D:$D,'Saldos Iniciales'!$A:$A,"SSP Capital")+SUMIFS(Movimientos!$K$1:$K$1368,Movimientos!$C$1:$C$1368,"SSP Capital",Movimientos!$B$1:$B$1368,"&lt;="&amp;$B42)</f>
        <v>1160274.0499999993</v>
      </c>
      <c r="H42" s="24">
        <f>SUMIFS('Saldos Iniciales'!$D:$D,'Saldos Iniciales'!$A:$A,"Cross Family Trust")+SUMIFS(Movimientos!$K$1:$K$1368,Movimientos!$C$1:$C$1368,"Cross Family Trust",Movimientos!$B$1:$B$1368,"&lt;="&amp;$B42)</f>
        <v>116496.38</v>
      </c>
      <c r="I42" s="24">
        <f>SUMIFS('Saldos Iniciales'!$D:$D,'Saldos Iniciales'!$A:$A,"Cross Security Trust")+SUMIFS(Movimientos!$K$1:$K$1368,Movimientos!$C$1:$C$1368,"Cross Security Trust",Movimientos!$B$1:$B$1368,"&lt;="&amp;$B42)</f>
        <v>20375.37</v>
      </c>
      <c r="J42" s="24">
        <f>SUMIFS('Saldos Iniciales'!$D:$D,'Saldos Iniciales'!$A:$A,"Electrama")+SUMIFS(Movimientos!$K$1:$K$1368,Movimientos!$C$1:$C$1368,"Electrama",Movimientos!$B$1:$B$1368,"&lt;="&amp;$B42)</f>
        <v>511.15999999999985</v>
      </c>
      <c r="K42" s="24">
        <f>SUMIFS('Saldos Iniciales'!$D:$D,'Saldos Iniciales'!$A:$A,"Sacred Valley Capital")+SUMIFS(Movimientos!$K$1:$K$1368,Movimientos!$C$1:$C$1368,"Sacred Valley Capital",Movimientos!$B$1:$B$1368,"&lt;="&amp;$B42)</f>
        <v>84.35</v>
      </c>
      <c r="L42" s="24">
        <f>SUMIFS('Saldos Iniciales'!$D:$D,'Saldos Iniciales'!$A:$A,"YWC Capital")+SUMIFS(Movimientos!$K$1:$K$1368,Movimientos!$C$1:$C$1368,"YWC Capital",Movimientos!$B$1:$B$1368,"&lt;="&amp;$B42)</f>
        <v>2237.77</v>
      </c>
      <c r="M42" s="24">
        <f>SUMIFS('Saldos Iniciales'!$D:$D,'Saldos Iniciales'!$A:$A,"Soweto")+SUMIFS(Movimientos!$K$1:$K$1368,Movimientos!$C$1:$C$1368,"Soweto",Movimientos!$B$1:$B$1368,"&lt;="&amp;$B42)</f>
        <v>3349.94</v>
      </c>
      <c r="N42" s="24">
        <f>SUMIFS('Saldos Iniciales'!$D:$D,'Saldos Iniciales'!$A:$A,"Green Stone Trust")+SUMIFS(Movimientos!$K$1:$K$1368,Movimientos!$C$1:$C$1368,"Green Stone Trust",Movimientos!$B$1:$B$1368,"&lt;="&amp;$B42)</f>
        <v>1968.99</v>
      </c>
      <c r="O42" s="24">
        <f>SUMIFS('Saldos Iniciales'!$D:$D,'Saldos Iniciales'!$A:$A,"EC Auto")+SUMIFS(Movimientos!$K$1:$K$1368,Movimientos!$C$1:$C$1368,"EC Auto",Movimientos!$B$1:$B$1368,"&lt;="&amp;$B42)</f>
        <v>382.69000000000005</v>
      </c>
      <c r="P42" s="24">
        <f>SUMIFS('Saldos Iniciales'!$D:$D,'Saldos Iniciales'!$A:$A,"Arbor Capital Properties")+SUMIFS(Movimientos!$K$1:$K$1368,Movimientos!$C$1:$C$1368,"Arbor Capital Properties",Movimientos!$B$1:$B$1368,"&lt;="&amp;$B42)</f>
        <v>1428.08</v>
      </c>
      <c r="Q42" s="24">
        <f>SUMIFS('Saldos Iniciales'!$D:$D,'Saldos Iniciales'!$A:$A,"2515 Overbrook")+SUMIFS(Movimientos!$K$1:$K$1368,Movimientos!$C$1:$C$1368,"2515 Overbrook",Movimientos!$B$1:$B$1368,"&lt;="&amp;$B42)</f>
        <v>25789.969999999961</v>
      </c>
      <c r="R42" s="24">
        <f>SUMIFS('Saldos Iniciales'!$D:$D,'Saldos Iniciales'!$A:$A,"112 Florida Ave")+SUMIFS(Movimientos!$K$1:$K$1368,Movimientos!$C$1:$C$1368,"112 Florida Ave",Movimientos!$B$1:$B$1368,"&lt;="&amp;$B42)</f>
        <v>5321.4300000000021</v>
      </c>
      <c r="S42" s="24">
        <f>SUMIFS('Saldos Iniciales'!$D:$D,'Saldos Iniciales'!$A:$A,"3628 Thomas Ave")+SUMIFS(Movimientos!$K$1:$K$1368,Movimientos!$C$1:$C$1368,"3628 Thomas Ave",Movimientos!$B$1:$B$1368,"&lt;="&amp;$B42)</f>
        <v>24743.98</v>
      </c>
      <c r="T42" s="24">
        <f>SUMIFS('Saldos Iniciales'!$D:$D,'Saldos Iniciales'!$A:$A,"Green Harbor Trust")+SUMIFS(Movimientos!$K$1:$K$1368,Movimientos!$C$1:$C$1368,"Green Harbor Trust",Movimientos!$B$1:$B$1368,"&lt;="&amp;$B42)</f>
        <v>345</v>
      </c>
      <c r="U42" s="24">
        <f>SUMIFS('Saldos Iniciales'!$D:$D,'Saldos Iniciales'!$A:$A,"Go Blue")+SUMIFS(Movimientos!$K$1:$K$1368,Movimientos!$C$1:$C$1368,"Go Blue",Movimientos!$B$1:$B$1368,"&lt;="&amp;$B42)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Group")+SUMIFS(Movimientos!$K$1:$K$1368,Movimientos!$C$1:$C$1368,"CFT Group",Movimientos!$B$1:$B$1368,"&lt;="&amp;$B43)</f>
        <v>1837784.84</v>
      </c>
      <c r="D43" s="24">
        <f>SUMIFS('Saldos Iniciales'!$D:$D,'Saldos Iniciales'!$A:$A,"M1B")+SUMIFS(Movimientos!$K$1:$K$1368,Movimientos!$C$1:$C$1368,"M1B",Movimientos!$B$1:$B$1368,"&lt;="&amp;$B43)</f>
        <v>69376.390000000174</v>
      </c>
      <c r="E43" s="24">
        <f>SUMIFS('Saldos Iniciales'!$D:$D,'Saldos Iniciales'!$A:$A,"Durand")+SUMIFS(Movimientos!$K$1:$K$1368,Movimientos!$C$1:$C$1368,"Durand",Movimientos!$B$1:$B$1368,"&lt;="&amp;$B43)</f>
        <v>1669.89</v>
      </c>
      <c r="F43" s="24">
        <f>SUMIFS('Saldos Iniciales'!$D:$D,'Saldos Iniciales'!$A:$A,"A&amp;M Imports")+SUMIFS(Movimientos!$K$1:$K$1368,Movimientos!$C$1:$C$1368,"A&amp;M Imports",Movimientos!$B$1:$B$1368,"&lt;="&amp;$B43)</f>
        <v>564626.20999999985</v>
      </c>
      <c r="G43" s="24">
        <f>SUMIFS('Saldos Iniciales'!$D:$D,'Saldos Iniciales'!$A:$A,"SSP Capital")+SUMIFS(Movimientos!$K$1:$K$1368,Movimientos!$C$1:$C$1368,"SSP Capital",Movimientos!$B$1:$B$1368,"&lt;="&amp;$B43)</f>
        <v>794731.82999999926</v>
      </c>
      <c r="H43" s="24">
        <f>SUMIFS('Saldos Iniciales'!$D:$D,'Saldos Iniciales'!$A:$A,"Cross Family Trust")+SUMIFS(Movimientos!$K$1:$K$1368,Movimientos!$C$1:$C$1368,"Cross Family Trust",Movimientos!$B$1:$B$1368,"&lt;="&amp;$B43)</f>
        <v>116496.38</v>
      </c>
      <c r="I43" s="24">
        <f>SUMIFS('Saldos Iniciales'!$D:$D,'Saldos Iniciales'!$A:$A,"Cross Security Trust")+SUMIFS(Movimientos!$K$1:$K$1368,Movimientos!$C$1:$C$1368,"Cross Security Trust",Movimientos!$B$1:$B$1368,"&lt;="&amp;$B43)</f>
        <v>20375.37</v>
      </c>
      <c r="J43" s="24">
        <f>SUMIFS('Saldos Iniciales'!$D:$D,'Saldos Iniciales'!$A:$A,"Electrama")+SUMIFS(Movimientos!$K$1:$K$1368,Movimientos!$C$1:$C$1368,"Electrama",Movimientos!$B$1:$B$1368,"&lt;="&amp;$B43)</f>
        <v>511.15999999999985</v>
      </c>
      <c r="K43" s="24">
        <f>SUMIFS('Saldos Iniciales'!$D:$D,'Saldos Iniciales'!$A:$A,"Sacred Valley Capital")+SUMIFS(Movimientos!$K$1:$K$1368,Movimientos!$C$1:$C$1368,"Sacred Valley Capital",Movimientos!$B$1:$B$1368,"&lt;="&amp;$B43)</f>
        <v>84.35</v>
      </c>
      <c r="L43" s="24">
        <f>SUMIFS('Saldos Iniciales'!$D:$D,'Saldos Iniciales'!$A:$A,"YWC Capital")+SUMIFS(Movimientos!$K$1:$K$1368,Movimientos!$C$1:$C$1368,"YWC Capital",Movimientos!$B$1:$B$1368,"&lt;="&amp;$B43)</f>
        <v>2237.77</v>
      </c>
      <c r="M43" s="24">
        <f>SUMIFS('Saldos Iniciales'!$D:$D,'Saldos Iniciales'!$A:$A,"Soweto")+SUMIFS(Movimientos!$K$1:$K$1368,Movimientos!$C$1:$C$1368,"Soweto",Movimientos!$B$1:$B$1368,"&lt;="&amp;$B43)</f>
        <v>3349.94</v>
      </c>
      <c r="N43" s="24">
        <f>SUMIFS('Saldos Iniciales'!$D:$D,'Saldos Iniciales'!$A:$A,"Green Stone Trust")+SUMIFS(Movimientos!$K$1:$K$1368,Movimientos!$C$1:$C$1368,"Green Stone Trust",Movimientos!$B$1:$B$1368,"&lt;="&amp;$B43)</f>
        <v>1968.99</v>
      </c>
      <c r="O43" s="24">
        <f>SUMIFS('Saldos Iniciales'!$D:$D,'Saldos Iniciales'!$A:$A,"EC Auto")+SUMIFS(Movimientos!$K$1:$K$1368,Movimientos!$C$1:$C$1368,"EC Auto",Movimientos!$B$1:$B$1368,"&lt;="&amp;$B43)</f>
        <v>382.69000000000005</v>
      </c>
      <c r="P43" s="24">
        <f>SUMIFS('Saldos Iniciales'!$D:$D,'Saldos Iniciales'!$A:$A,"Arbor Capital Properties")+SUMIFS(Movimientos!$K$1:$K$1368,Movimientos!$C$1:$C$1368,"Arbor Capital Properties",Movimientos!$B$1:$B$1368,"&lt;="&amp;$B43)</f>
        <v>1428.08</v>
      </c>
      <c r="Q43" s="24">
        <f>SUMIFS('Saldos Iniciales'!$D:$D,'Saldos Iniciales'!$A:$A,"2515 Overbrook")+SUMIFS(Movimientos!$K$1:$K$1368,Movimientos!$C$1:$C$1368,"2515 Overbrook",Movimientos!$B$1:$B$1368,"&lt;="&amp;$B43)</f>
        <v>25789.969999999961</v>
      </c>
      <c r="R43" s="24">
        <f>SUMIFS('Saldos Iniciales'!$D:$D,'Saldos Iniciales'!$A:$A,"112 Florida Ave")+SUMIFS(Movimientos!$K$1:$K$1368,Movimientos!$C$1:$C$1368,"112 Florida Ave",Movimientos!$B$1:$B$1368,"&lt;="&amp;$B43)</f>
        <v>5321.4300000000021</v>
      </c>
      <c r="S43" s="24">
        <f>SUMIFS('Saldos Iniciales'!$D:$D,'Saldos Iniciales'!$A:$A,"3628 Thomas Ave")+SUMIFS(Movimientos!$K$1:$K$1368,Movimientos!$C$1:$C$1368,"3628 Thomas Ave",Movimientos!$B$1:$B$1368,"&lt;="&amp;$B43)</f>
        <v>24743.98</v>
      </c>
      <c r="T43" s="24">
        <f>SUMIFS('Saldos Iniciales'!$D:$D,'Saldos Iniciales'!$A:$A,"Green Harbor Trust")+SUMIFS(Movimientos!$K$1:$K$1368,Movimientos!$C$1:$C$1368,"Green Harbor Trust",Movimientos!$B$1:$B$1368,"&lt;="&amp;$B43)</f>
        <v>345</v>
      </c>
      <c r="U43" s="24">
        <f>SUMIFS('Saldos Iniciales'!$D:$D,'Saldos Iniciales'!$A:$A,"Go Blue")+SUMIFS(Movimientos!$K$1:$K$1368,Movimientos!$C$1:$C$1368,"Go Blue",Movimientos!$B$1:$B$1368,"&lt;="&amp;$B43)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Group")+SUMIFS(Movimientos!$K$1:$K$1368,Movimientos!$C$1:$C$1368,"CFT Group",Movimientos!$B$1:$B$1368,"&lt;="&amp;$B44)</f>
        <v>1837784.84</v>
      </c>
      <c r="D44" s="24">
        <f>SUMIFS('Saldos Iniciales'!$D:$D,'Saldos Iniciales'!$A:$A,"M1B")+SUMIFS(Movimientos!$K$1:$K$1368,Movimientos!$C$1:$C$1368,"M1B",Movimientos!$B$1:$B$1368,"&lt;="&amp;$B44)</f>
        <v>69376.390000000174</v>
      </c>
      <c r="E44" s="24">
        <f>SUMIFS('Saldos Iniciales'!$D:$D,'Saldos Iniciales'!$A:$A,"Durand")+SUMIFS(Movimientos!$K$1:$K$1368,Movimientos!$C$1:$C$1368,"Durand",Movimientos!$B$1:$B$1368,"&lt;="&amp;$B44)</f>
        <v>1669.89</v>
      </c>
      <c r="F44" s="24">
        <f>SUMIFS('Saldos Iniciales'!$D:$D,'Saldos Iniciales'!$A:$A,"A&amp;M Imports")+SUMIFS(Movimientos!$K$1:$K$1368,Movimientos!$C$1:$C$1368,"A&amp;M Imports",Movimientos!$B$1:$B$1368,"&lt;="&amp;$B44)</f>
        <v>564626.20999999985</v>
      </c>
      <c r="G44" s="24">
        <f>SUMIFS('Saldos Iniciales'!$D:$D,'Saldos Iniciales'!$A:$A,"SSP Capital")+SUMIFS(Movimientos!$K$1:$K$1368,Movimientos!$C$1:$C$1368,"SSP Capital",Movimientos!$B$1:$B$1368,"&lt;="&amp;$B44)</f>
        <v>3763348.8299999996</v>
      </c>
      <c r="H44" s="24">
        <f>SUMIFS('Saldos Iniciales'!$D:$D,'Saldos Iniciales'!$A:$A,"Cross Family Trust")+SUMIFS(Movimientos!$K$1:$K$1368,Movimientos!$C$1:$C$1368,"Cross Family Trust",Movimientos!$B$1:$B$1368,"&lt;="&amp;$B44)</f>
        <v>116496.38</v>
      </c>
      <c r="I44" s="24">
        <f>SUMIFS('Saldos Iniciales'!$D:$D,'Saldos Iniciales'!$A:$A,"Cross Security Trust")+SUMIFS(Movimientos!$K$1:$K$1368,Movimientos!$C$1:$C$1368,"Cross Security Trust",Movimientos!$B$1:$B$1368,"&lt;="&amp;$B44)</f>
        <v>20375.989999999998</v>
      </c>
      <c r="J44" s="24">
        <f>SUMIFS('Saldos Iniciales'!$D:$D,'Saldos Iniciales'!$A:$A,"Electrama")+SUMIFS(Movimientos!$K$1:$K$1368,Movimientos!$C$1:$C$1368,"Electrama",Movimientos!$B$1:$B$1368,"&lt;="&amp;$B44)</f>
        <v>511.15999999999985</v>
      </c>
      <c r="K44" s="24">
        <f>SUMIFS('Saldos Iniciales'!$D:$D,'Saldos Iniciales'!$A:$A,"Sacred Valley Capital")+SUMIFS(Movimientos!$K$1:$K$1368,Movimientos!$C$1:$C$1368,"Sacred Valley Capital",Movimientos!$B$1:$B$1368,"&lt;="&amp;$B44)</f>
        <v>84.35</v>
      </c>
      <c r="L44" s="24">
        <f>SUMIFS('Saldos Iniciales'!$D:$D,'Saldos Iniciales'!$A:$A,"YWC Capital")+SUMIFS(Movimientos!$K$1:$K$1368,Movimientos!$C$1:$C$1368,"YWC Capital",Movimientos!$B$1:$B$1368,"&lt;="&amp;$B44)</f>
        <v>2237.77</v>
      </c>
      <c r="M44" s="24">
        <f>SUMIFS('Saldos Iniciales'!$D:$D,'Saldos Iniciales'!$A:$A,"Soweto")+SUMIFS(Movimientos!$K$1:$K$1368,Movimientos!$C$1:$C$1368,"Soweto",Movimientos!$B$1:$B$1368,"&lt;="&amp;$B44)</f>
        <v>3349.94</v>
      </c>
      <c r="N44" s="24">
        <f>SUMIFS('Saldos Iniciales'!$D:$D,'Saldos Iniciales'!$A:$A,"Green Stone Trust")+SUMIFS(Movimientos!$K$1:$K$1368,Movimientos!$C$1:$C$1368,"Green Stone Trust",Movimientos!$B$1:$B$1368,"&lt;="&amp;$B44)</f>
        <v>1968.99</v>
      </c>
      <c r="O44" s="24">
        <f>SUMIFS('Saldos Iniciales'!$D:$D,'Saldos Iniciales'!$A:$A,"EC Auto")+SUMIFS(Movimientos!$K$1:$K$1368,Movimientos!$C$1:$C$1368,"EC Auto",Movimientos!$B$1:$B$1368,"&lt;="&amp;$B44)</f>
        <v>382.69000000000005</v>
      </c>
      <c r="P44" s="24">
        <f>SUMIFS('Saldos Iniciales'!$D:$D,'Saldos Iniciales'!$A:$A,"Arbor Capital Properties")+SUMIFS(Movimientos!$K$1:$K$1368,Movimientos!$C$1:$C$1368,"Arbor Capital Properties",Movimientos!$B$1:$B$1368,"&lt;="&amp;$B44)</f>
        <v>1428.08</v>
      </c>
      <c r="Q44" s="24">
        <f>SUMIFS('Saldos Iniciales'!$D:$D,'Saldos Iniciales'!$A:$A,"2515 Overbrook")+SUMIFS(Movimientos!$K$1:$K$1368,Movimientos!$C$1:$C$1368,"2515 Overbrook",Movimientos!$B$1:$B$1368,"&lt;="&amp;$B44)</f>
        <v>27789.969999999961</v>
      </c>
      <c r="R44" s="24">
        <f>SUMIFS('Saldos Iniciales'!$D:$D,'Saldos Iniciales'!$A:$A,"112 Florida Ave")+SUMIFS(Movimientos!$K$1:$K$1368,Movimientos!$C$1:$C$1368,"112 Florida Ave",Movimientos!$B$1:$B$1368,"&lt;="&amp;$B44)</f>
        <v>5321.4300000000021</v>
      </c>
      <c r="S44" s="24">
        <f>SUMIFS('Saldos Iniciales'!$D:$D,'Saldos Iniciales'!$A:$A,"3628 Thomas Ave")+SUMIFS(Movimientos!$K$1:$K$1368,Movimientos!$C$1:$C$1368,"3628 Thomas Ave",Movimientos!$B$1:$B$1368,"&lt;="&amp;$B44)</f>
        <v>24484.85</v>
      </c>
      <c r="T44" s="24">
        <f>SUMIFS('Saldos Iniciales'!$D:$D,'Saldos Iniciales'!$A:$A,"Green Harbor Trust")+SUMIFS(Movimientos!$K$1:$K$1368,Movimientos!$C$1:$C$1368,"Green Harbor Trust",Movimientos!$B$1:$B$1368,"&lt;="&amp;$B44)</f>
        <v>345</v>
      </c>
      <c r="U44" s="24">
        <f>SUMIFS('Saldos Iniciales'!$D:$D,'Saldos Iniciales'!$A:$A,"Go Blue")+SUMIFS(Movimientos!$K$1:$K$1368,Movimientos!$C$1:$C$1368,"Go Blue",Movimientos!$B$1:$B$1368,"&lt;="&amp;$B44)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Group")+SUMIFS(Movimientos!$K$1:$K$1368,Movimientos!$C$1:$C$1368,"CFT Group",Movimientos!$B$1:$B$1368,"&lt;="&amp;$B45)</f>
        <v>1837784.84</v>
      </c>
      <c r="D45" s="24">
        <f>SUMIFS('Saldos Iniciales'!$D:$D,'Saldos Iniciales'!$A:$A,"M1B")+SUMIFS(Movimientos!$K$1:$K$1368,Movimientos!$C$1:$C$1368,"M1B",Movimientos!$B$1:$B$1368,"&lt;="&amp;$B45)</f>
        <v>69376.390000000174</v>
      </c>
      <c r="E45" s="24">
        <f>SUMIFS('Saldos Iniciales'!$D:$D,'Saldos Iniciales'!$A:$A,"Durand")+SUMIFS(Movimientos!$K$1:$K$1368,Movimientos!$C$1:$C$1368,"Durand",Movimientos!$B$1:$B$1368,"&lt;="&amp;$B45)</f>
        <v>1669.89</v>
      </c>
      <c r="F45" s="24">
        <f>SUMIFS('Saldos Iniciales'!$D:$D,'Saldos Iniciales'!$A:$A,"A&amp;M Imports")+SUMIFS(Movimientos!$K$1:$K$1368,Movimientos!$C$1:$C$1368,"A&amp;M Imports",Movimientos!$B$1:$B$1368,"&lt;="&amp;$B45)</f>
        <v>564626.20999999985</v>
      </c>
      <c r="G45" s="24">
        <f>SUMIFS('Saldos Iniciales'!$D:$D,'Saldos Iniciales'!$A:$A,"SSP Capital")+SUMIFS(Movimientos!$K$1:$K$1368,Movimientos!$C$1:$C$1368,"SSP Capital",Movimientos!$B$1:$B$1368,"&lt;="&amp;$B45)</f>
        <v>3763348.8299999996</v>
      </c>
      <c r="H45" s="24">
        <f>SUMIFS('Saldos Iniciales'!$D:$D,'Saldos Iniciales'!$A:$A,"Cross Family Trust")+SUMIFS(Movimientos!$K$1:$K$1368,Movimientos!$C$1:$C$1368,"Cross Family Trust",Movimientos!$B$1:$B$1368,"&lt;="&amp;$B45)</f>
        <v>116496.38</v>
      </c>
      <c r="I45" s="24">
        <f>SUMIFS('Saldos Iniciales'!$D:$D,'Saldos Iniciales'!$A:$A,"Cross Security Trust")+SUMIFS(Movimientos!$K$1:$K$1368,Movimientos!$C$1:$C$1368,"Cross Security Trust",Movimientos!$B$1:$B$1368,"&lt;="&amp;$B45)</f>
        <v>20375.989999999998</v>
      </c>
      <c r="J45" s="24">
        <f>SUMIFS('Saldos Iniciales'!$D:$D,'Saldos Iniciales'!$A:$A,"Electrama")+SUMIFS(Movimientos!$K$1:$K$1368,Movimientos!$C$1:$C$1368,"Electrama",Movimientos!$B$1:$B$1368,"&lt;="&amp;$B45)</f>
        <v>511.15999999999985</v>
      </c>
      <c r="K45" s="24">
        <f>SUMIFS('Saldos Iniciales'!$D:$D,'Saldos Iniciales'!$A:$A,"Sacred Valley Capital")+SUMIFS(Movimientos!$K$1:$K$1368,Movimientos!$C$1:$C$1368,"Sacred Valley Capital",Movimientos!$B$1:$B$1368,"&lt;="&amp;$B45)</f>
        <v>84.35</v>
      </c>
      <c r="L45" s="24">
        <f>SUMIFS('Saldos Iniciales'!$D:$D,'Saldos Iniciales'!$A:$A,"YWC Capital")+SUMIFS(Movimientos!$K$1:$K$1368,Movimientos!$C$1:$C$1368,"YWC Capital",Movimientos!$B$1:$B$1368,"&lt;="&amp;$B45)</f>
        <v>2237.77</v>
      </c>
      <c r="M45" s="24">
        <f>SUMIFS('Saldos Iniciales'!$D:$D,'Saldos Iniciales'!$A:$A,"Soweto")+SUMIFS(Movimientos!$K$1:$K$1368,Movimientos!$C$1:$C$1368,"Soweto",Movimientos!$B$1:$B$1368,"&lt;="&amp;$B45)</f>
        <v>3349.94</v>
      </c>
      <c r="N45" s="24">
        <f>SUMIFS('Saldos Iniciales'!$D:$D,'Saldos Iniciales'!$A:$A,"Green Stone Trust")+SUMIFS(Movimientos!$K$1:$K$1368,Movimientos!$C$1:$C$1368,"Green Stone Trust",Movimientos!$B$1:$B$1368,"&lt;="&amp;$B45)</f>
        <v>1968.99</v>
      </c>
      <c r="O45" s="24">
        <f>SUMIFS('Saldos Iniciales'!$D:$D,'Saldos Iniciales'!$A:$A,"EC Auto")+SUMIFS(Movimientos!$K$1:$K$1368,Movimientos!$C$1:$C$1368,"EC Auto",Movimientos!$B$1:$B$1368,"&lt;="&amp;$B45)</f>
        <v>382.69000000000005</v>
      </c>
      <c r="P45" s="24">
        <f>SUMIFS('Saldos Iniciales'!$D:$D,'Saldos Iniciales'!$A:$A,"Arbor Capital Properties")+SUMIFS(Movimientos!$K$1:$K$1368,Movimientos!$C$1:$C$1368,"Arbor Capital Properties",Movimientos!$B$1:$B$1368,"&lt;="&amp;$B45)</f>
        <v>1428.08</v>
      </c>
      <c r="Q45" s="24">
        <f>SUMIFS('Saldos Iniciales'!$D:$D,'Saldos Iniciales'!$A:$A,"2515 Overbrook")+SUMIFS(Movimientos!$K$1:$K$1368,Movimientos!$C$1:$C$1368,"2515 Overbrook",Movimientos!$B$1:$B$1368,"&lt;="&amp;$B45)</f>
        <v>27789.969999999961</v>
      </c>
      <c r="R45" s="24">
        <f>SUMIFS('Saldos Iniciales'!$D:$D,'Saldos Iniciales'!$A:$A,"112 Florida Ave")+SUMIFS(Movimientos!$K$1:$K$1368,Movimientos!$C$1:$C$1368,"112 Florida Ave",Movimientos!$B$1:$B$1368,"&lt;="&amp;$B45)</f>
        <v>5321.4300000000021</v>
      </c>
      <c r="S45" s="24">
        <f>SUMIFS('Saldos Iniciales'!$D:$D,'Saldos Iniciales'!$A:$A,"3628 Thomas Ave")+SUMIFS(Movimientos!$K$1:$K$1368,Movimientos!$C$1:$C$1368,"3628 Thomas Ave",Movimientos!$B$1:$B$1368,"&lt;="&amp;$B45)</f>
        <v>24484.85</v>
      </c>
      <c r="T45" s="24">
        <f>SUMIFS('Saldos Iniciales'!$D:$D,'Saldos Iniciales'!$A:$A,"Green Harbor Trust")+SUMIFS(Movimientos!$K$1:$K$1368,Movimientos!$C$1:$C$1368,"Green Harbor Trust",Movimientos!$B$1:$B$1368,"&lt;="&amp;$B45)</f>
        <v>345</v>
      </c>
      <c r="U45" s="24">
        <f>SUMIFS('Saldos Iniciales'!$D:$D,'Saldos Iniciales'!$A:$A,"Go Blue")+SUMIFS(Movimientos!$K$1:$K$1368,Movimientos!$C$1:$C$1368,"Go Blue",Movimientos!$B$1:$B$1368,"&lt;="&amp;$B45)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Group")+SUMIFS(Movimientos!$K$1:$K$1368,Movimientos!$C$1:$C$1368,"CFT Group",Movimientos!$B$1:$B$1368,"&lt;="&amp;$B46)</f>
        <v>1837784.84</v>
      </c>
      <c r="D46" s="24">
        <f>SUMIFS('Saldos Iniciales'!$D:$D,'Saldos Iniciales'!$A:$A,"M1B")+SUMIFS(Movimientos!$K$1:$K$1368,Movimientos!$C$1:$C$1368,"M1B",Movimientos!$B$1:$B$1368,"&lt;="&amp;$B46)</f>
        <v>69376.390000000174</v>
      </c>
      <c r="E46" s="24">
        <f>SUMIFS('Saldos Iniciales'!$D:$D,'Saldos Iniciales'!$A:$A,"Durand")+SUMIFS(Movimientos!$K$1:$K$1368,Movimientos!$C$1:$C$1368,"Durand",Movimientos!$B$1:$B$1368,"&lt;="&amp;$B46)</f>
        <v>1669.89</v>
      </c>
      <c r="F46" s="24">
        <f>SUMIFS('Saldos Iniciales'!$D:$D,'Saldos Iniciales'!$A:$A,"A&amp;M Imports")+SUMIFS(Movimientos!$K$1:$K$1368,Movimientos!$C$1:$C$1368,"A&amp;M Imports",Movimientos!$B$1:$B$1368,"&lt;="&amp;$B46)</f>
        <v>564626.20999999985</v>
      </c>
      <c r="G46" s="24">
        <f>SUMIFS('Saldos Iniciales'!$D:$D,'Saldos Iniciales'!$A:$A,"SSP Capital")+SUMIFS(Movimientos!$K$1:$K$1368,Movimientos!$C$1:$C$1368,"SSP Capital",Movimientos!$B$1:$B$1368,"&lt;="&amp;$B46)</f>
        <v>3763348.8299999996</v>
      </c>
      <c r="H46" s="24">
        <f>SUMIFS('Saldos Iniciales'!$D:$D,'Saldos Iniciales'!$A:$A,"Cross Family Trust")+SUMIFS(Movimientos!$K$1:$K$1368,Movimientos!$C$1:$C$1368,"Cross Family Trust",Movimientos!$B$1:$B$1368,"&lt;="&amp;$B46)</f>
        <v>116496.38</v>
      </c>
      <c r="I46" s="24">
        <f>SUMIFS('Saldos Iniciales'!$D:$D,'Saldos Iniciales'!$A:$A,"Cross Security Trust")+SUMIFS(Movimientos!$K$1:$K$1368,Movimientos!$C$1:$C$1368,"Cross Security Trust",Movimientos!$B$1:$B$1368,"&lt;="&amp;$B46)</f>
        <v>20375.989999999998</v>
      </c>
      <c r="J46" s="24">
        <f>SUMIFS('Saldos Iniciales'!$D:$D,'Saldos Iniciales'!$A:$A,"Electrama")+SUMIFS(Movimientos!$K$1:$K$1368,Movimientos!$C$1:$C$1368,"Electrama",Movimientos!$B$1:$B$1368,"&lt;="&amp;$B46)</f>
        <v>511.15999999999985</v>
      </c>
      <c r="K46" s="24">
        <f>SUMIFS('Saldos Iniciales'!$D:$D,'Saldos Iniciales'!$A:$A,"Sacred Valley Capital")+SUMIFS(Movimientos!$K$1:$K$1368,Movimientos!$C$1:$C$1368,"Sacred Valley Capital",Movimientos!$B$1:$B$1368,"&lt;="&amp;$B46)</f>
        <v>84.35</v>
      </c>
      <c r="L46" s="24">
        <f>SUMIFS('Saldos Iniciales'!$D:$D,'Saldos Iniciales'!$A:$A,"YWC Capital")+SUMIFS(Movimientos!$K$1:$K$1368,Movimientos!$C$1:$C$1368,"YWC Capital",Movimientos!$B$1:$B$1368,"&lt;="&amp;$B46)</f>
        <v>2237.77</v>
      </c>
      <c r="M46" s="24">
        <f>SUMIFS('Saldos Iniciales'!$D:$D,'Saldos Iniciales'!$A:$A,"Soweto")+SUMIFS(Movimientos!$K$1:$K$1368,Movimientos!$C$1:$C$1368,"Soweto",Movimientos!$B$1:$B$1368,"&lt;="&amp;$B46)</f>
        <v>3349.94</v>
      </c>
      <c r="N46" s="24">
        <f>SUMIFS('Saldos Iniciales'!$D:$D,'Saldos Iniciales'!$A:$A,"Green Stone Trust")+SUMIFS(Movimientos!$K$1:$K$1368,Movimientos!$C$1:$C$1368,"Green Stone Trust",Movimientos!$B$1:$B$1368,"&lt;="&amp;$B46)</f>
        <v>1968.99</v>
      </c>
      <c r="O46" s="24">
        <f>SUMIFS('Saldos Iniciales'!$D:$D,'Saldos Iniciales'!$A:$A,"EC Auto")+SUMIFS(Movimientos!$K$1:$K$1368,Movimientos!$C$1:$C$1368,"EC Auto",Movimientos!$B$1:$B$1368,"&lt;="&amp;$B46)</f>
        <v>382.69000000000005</v>
      </c>
      <c r="P46" s="24">
        <f>SUMIFS('Saldos Iniciales'!$D:$D,'Saldos Iniciales'!$A:$A,"Arbor Capital Properties")+SUMIFS(Movimientos!$K$1:$K$1368,Movimientos!$C$1:$C$1368,"Arbor Capital Properties",Movimientos!$B$1:$B$1368,"&lt;="&amp;$B46)</f>
        <v>1428.08</v>
      </c>
      <c r="Q46" s="24">
        <f>SUMIFS('Saldos Iniciales'!$D:$D,'Saldos Iniciales'!$A:$A,"2515 Overbrook")+SUMIFS(Movimientos!$K$1:$K$1368,Movimientos!$C$1:$C$1368,"2515 Overbrook",Movimientos!$B$1:$B$1368,"&lt;="&amp;$B46)</f>
        <v>27789.969999999961</v>
      </c>
      <c r="R46" s="24">
        <f>SUMIFS('Saldos Iniciales'!$D:$D,'Saldos Iniciales'!$A:$A,"112 Florida Ave")+SUMIFS(Movimientos!$K$1:$K$1368,Movimientos!$C$1:$C$1368,"112 Florida Ave",Movimientos!$B$1:$B$1368,"&lt;="&amp;$B46)</f>
        <v>5321.4300000000021</v>
      </c>
      <c r="S46" s="24">
        <f>SUMIFS('Saldos Iniciales'!$D:$D,'Saldos Iniciales'!$A:$A,"3628 Thomas Ave")+SUMIFS(Movimientos!$K$1:$K$1368,Movimientos!$C$1:$C$1368,"3628 Thomas Ave",Movimientos!$B$1:$B$1368,"&lt;="&amp;$B46)</f>
        <v>24484.85</v>
      </c>
      <c r="T46" s="24">
        <f>SUMIFS('Saldos Iniciales'!$D:$D,'Saldos Iniciales'!$A:$A,"Green Harbor Trust")+SUMIFS(Movimientos!$K$1:$K$1368,Movimientos!$C$1:$C$1368,"Green Harbor Trust",Movimientos!$B$1:$B$1368,"&lt;="&amp;$B46)</f>
        <v>345</v>
      </c>
      <c r="U46" s="24">
        <f>SUMIFS('Saldos Iniciales'!$D:$D,'Saldos Iniciales'!$A:$A,"Go Blue")+SUMIFS(Movimientos!$K$1:$K$1368,Movimientos!$C$1:$C$1368,"Go Blue",Movimientos!$B$1:$B$1368,"&lt;="&amp;$B46)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Group")+SUMIFS(Movimientos!$K$1:$K$1368,Movimientos!$C$1:$C$1368,"CFT Group",Movimientos!$B$1:$B$1368,"&lt;="&amp;$B47)</f>
        <v>985975.94000000029</v>
      </c>
      <c r="D47" s="24">
        <f>SUMIFS('Saldos Iniciales'!$D:$D,'Saldos Iniciales'!$A:$A,"M1B")+SUMIFS(Movimientos!$K$1:$K$1368,Movimientos!$C$1:$C$1368,"M1B",Movimientos!$B$1:$B$1368,"&lt;="&amp;$B47)</f>
        <v>69376.390000000174</v>
      </c>
      <c r="E47" s="24">
        <f>SUMIFS('Saldos Iniciales'!$D:$D,'Saldos Iniciales'!$A:$A,"Durand")+SUMIFS(Movimientos!$K$1:$K$1368,Movimientos!$C$1:$C$1368,"Durand",Movimientos!$B$1:$B$1368,"&lt;="&amp;$B47)</f>
        <v>1669.89</v>
      </c>
      <c r="F47" s="24">
        <f>SUMIFS('Saldos Iniciales'!$D:$D,'Saldos Iniciales'!$A:$A,"A&amp;M Imports")+SUMIFS(Movimientos!$K$1:$K$1368,Movimientos!$C$1:$C$1368,"A&amp;M Imports",Movimientos!$B$1:$B$1368,"&lt;="&amp;$B47)</f>
        <v>503904.80999999982</v>
      </c>
      <c r="G47" s="24">
        <f>SUMIFS('Saldos Iniciales'!$D:$D,'Saldos Iniciales'!$A:$A,"SSP Capital")+SUMIFS(Movimientos!$K$1:$K$1368,Movimientos!$C$1:$C$1368,"SSP Capital",Movimientos!$B$1:$B$1368,"&lt;="&amp;$B47)</f>
        <v>3331737.2399999998</v>
      </c>
      <c r="H47" s="24">
        <f>SUMIFS('Saldos Iniciales'!$D:$D,'Saldos Iniciales'!$A:$A,"Cross Family Trust")+SUMIFS(Movimientos!$K$1:$K$1368,Movimientos!$C$1:$C$1368,"Cross Family Trust",Movimientos!$B$1:$B$1368,"&lt;="&amp;$B47)</f>
        <v>116496.38</v>
      </c>
      <c r="I47" s="24">
        <f>SUMIFS('Saldos Iniciales'!$D:$D,'Saldos Iniciales'!$A:$A,"Cross Security Trust")+SUMIFS(Movimientos!$K$1:$K$1368,Movimientos!$C$1:$C$1368,"Cross Security Trust",Movimientos!$B$1:$B$1368,"&lt;="&amp;$B47)</f>
        <v>20375.989999999998</v>
      </c>
      <c r="J47" s="24">
        <f>SUMIFS('Saldos Iniciales'!$D:$D,'Saldos Iniciales'!$A:$A,"Electrama")+SUMIFS(Movimientos!$K$1:$K$1368,Movimientos!$C$1:$C$1368,"Electrama",Movimientos!$B$1:$B$1368,"&lt;="&amp;$B47)</f>
        <v>511.15999999999985</v>
      </c>
      <c r="K47" s="24">
        <f>SUMIFS('Saldos Iniciales'!$D:$D,'Saldos Iniciales'!$A:$A,"Sacred Valley Capital")+SUMIFS(Movimientos!$K$1:$K$1368,Movimientos!$C$1:$C$1368,"Sacred Valley Capital",Movimientos!$B$1:$B$1368,"&lt;="&amp;$B47)</f>
        <v>84.35</v>
      </c>
      <c r="L47" s="24">
        <f>SUMIFS('Saldos Iniciales'!$D:$D,'Saldos Iniciales'!$A:$A,"YWC Capital")+SUMIFS(Movimientos!$K$1:$K$1368,Movimientos!$C$1:$C$1368,"YWC Capital",Movimientos!$B$1:$B$1368,"&lt;="&amp;$B47)</f>
        <v>2237.77</v>
      </c>
      <c r="M47" s="24">
        <f>SUMIFS('Saldos Iniciales'!$D:$D,'Saldos Iniciales'!$A:$A,"Soweto")+SUMIFS(Movimientos!$K$1:$K$1368,Movimientos!$C$1:$C$1368,"Soweto",Movimientos!$B$1:$B$1368,"&lt;="&amp;$B47)</f>
        <v>3349.94</v>
      </c>
      <c r="N47" s="24">
        <f>SUMIFS('Saldos Iniciales'!$D:$D,'Saldos Iniciales'!$A:$A,"Green Stone Trust")+SUMIFS(Movimientos!$K$1:$K$1368,Movimientos!$C$1:$C$1368,"Green Stone Trust",Movimientos!$B$1:$B$1368,"&lt;="&amp;$B47)</f>
        <v>1968.99</v>
      </c>
      <c r="O47" s="24">
        <f>SUMIFS('Saldos Iniciales'!$D:$D,'Saldos Iniciales'!$A:$A,"EC Auto")+SUMIFS(Movimientos!$K$1:$K$1368,Movimientos!$C$1:$C$1368,"EC Auto",Movimientos!$B$1:$B$1368,"&lt;="&amp;$B47)</f>
        <v>382.69000000000005</v>
      </c>
      <c r="P47" s="24">
        <f>SUMIFS('Saldos Iniciales'!$D:$D,'Saldos Iniciales'!$A:$A,"Arbor Capital Properties")+SUMIFS(Movimientos!$K$1:$K$1368,Movimientos!$C$1:$C$1368,"Arbor Capital Properties",Movimientos!$B$1:$B$1368,"&lt;="&amp;$B47)</f>
        <v>1428.08</v>
      </c>
      <c r="Q47" s="24">
        <f>SUMIFS('Saldos Iniciales'!$D:$D,'Saldos Iniciales'!$A:$A,"2515 Overbrook")+SUMIFS(Movimientos!$K$1:$K$1368,Movimientos!$C$1:$C$1368,"2515 Overbrook",Movimientos!$B$1:$B$1368,"&lt;="&amp;$B47)</f>
        <v>29789.969999999961</v>
      </c>
      <c r="R47" s="24">
        <f>SUMIFS('Saldos Iniciales'!$D:$D,'Saldos Iniciales'!$A:$A,"112 Florida Ave")+SUMIFS(Movimientos!$K$1:$K$1368,Movimientos!$C$1:$C$1368,"112 Florida Ave",Movimientos!$B$1:$B$1368,"&lt;="&amp;$B47)</f>
        <v>5321.4300000000021</v>
      </c>
      <c r="S47" s="24">
        <f>SUMIFS('Saldos Iniciales'!$D:$D,'Saldos Iniciales'!$A:$A,"3628 Thomas Ave")+SUMIFS(Movimientos!$K$1:$K$1368,Movimientos!$C$1:$C$1368,"3628 Thomas Ave",Movimientos!$B$1:$B$1368,"&lt;="&amp;$B47)</f>
        <v>20484.849999999999</v>
      </c>
      <c r="T47" s="24">
        <f>SUMIFS('Saldos Iniciales'!$D:$D,'Saldos Iniciales'!$A:$A,"Green Harbor Trust")+SUMIFS(Movimientos!$K$1:$K$1368,Movimientos!$C$1:$C$1368,"Green Harbor Trust",Movimientos!$B$1:$B$1368,"&lt;="&amp;$B47)</f>
        <v>345</v>
      </c>
      <c r="U47" s="24">
        <f>SUMIFS('Saldos Iniciales'!$D:$D,'Saldos Iniciales'!$A:$A,"Go Blue")+SUMIFS(Movimientos!$K$1:$K$1368,Movimientos!$C$1:$C$1368,"Go Blue",Movimientos!$B$1:$B$1368,"&lt;="&amp;$B47)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Group")+SUMIFS(Movimientos!$K$1:$K$1368,Movimientos!$C$1:$C$1368,"CFT Group",Movimientos!$B$1:$B$1368,"&lt;="&amp;$B48)</f>
        <v>1086358.7500000002</v>
      </c>
      <c r="D48" s="24">
        <f>SUMIFS('Saldos Iniciales'!$D:$D,'Saldos Iniciales'!$A:$A,"M1B")+SUMIFS(Movimientos!$K$1:$K$1368,Movimientos!$C$1:$C$1368,"M1B",Movimientos!$B$1:$B$1368,"&lt;="&amp;$B48)</f>
        <v>69376.390000000174</v>
      </c>
      <c r="E48" s="24">
        <f>SUMIFS('Saldos Iniciales'!$D:$D,'Saldos Iniciales'!$A:$A,"Durand")+SUMIFS(Movimientos!$K$1:$K$1368,Movimientos!$C$1:$C$1368,"Durand",Movimientos!$B$1:$B$1368,"&lt;="&amp;$B48)</f>
        <v>1669.89</v>
      </c>
      <c r="F48" s="24">
        <f>SUMIFS('Saldos Iniciales'!$D:$D,'Saldos Iniciales'!$A:$A,"A&amp;M Imports")+SUMIFS(Movimientos!$K$1:$K$1368,Movimientos!$C$1:$C$1368,"A&amp;M Imports",Movimientos!$B$1:$B$1368,"&lt;="&amp;$B48)</f>
        <v>503904.80999999982</v>
      </c>
      <c r="G48" s="24">
        <f>SUMIFS('Saldos Iniciales'!$D:$D,'Saldos Iniciales'!$A:$A,"SSP Capital")+SUMIFS(Movimientos!$K$1:$K$1368,Movimientos!$C$1:$C$1368,"SSP Capital",Movimientos!$B$1:$B$1368,"&lt;="&amp;$B48)</f>
        <v>3329246.88</v>
      </c>
      <c r="H48" s="24">
        <f>SUMIFS('Saldos Iniciales'!$D:$D,'Saldos Iniciales'!$A:$A,"Cross Family Trust")+SUMIFS(Movimientos!$K$1:$K$1368,Movimientos!$C$1:$C$1368,"Cross Family Trust",Movimientos!$B$1:$B$1368,"&lt;="&amp;$B48)</f>
        <v>116496.38</v>
      </c>
      <c r="I48" s="24">
        <f>SUMIFS('Saldos Iniciales'!$D:$D,'Saldos Iniciales'!$A:$A,"Cross Security Trust")+SUMIFS(Movimientos!$K$1:$K$1368,Movimientos!$C$1:$C$1368,"Cross Security Trust",Movimientos!$B$1:$B$1368,"&lt;="&amp;$B48)</f>
        <v>20375.989999999998</v>
      </c>
      <c r="J48" s="24">
        <f>SUMIFS('Saldos Iniciales'!$D:$D,'Saldos Iniciales'!$A:$A,"Electrama")+SUMIFS(Movimientos!$K$1:$K$1368,Movimientos!$C$1:$C$1368,"Electrama",Movimientos!$B$1:$B$1368,"&lt;="&amp;$B48)</f>
        <v>511.15999999999985</v>
      </c>
      <c r="K48" s="24">
        <f>SUMIFS('Saldos Iniciales'!$D:$D,'Saldos Iniciales'!$A:$A,"Sacred Valley Capital")+SUMIFS(Movimientos!$K$1:$K$1368,Movimientos!$C$1:$C$1368,"Sacred Valley Capital",Movimientos!$B$1:$B$1368,"&lt;="&amp;$B48)</f>
        <v>84.35</v>
      </c>
      <c r="L48" s="24">
        <f>SUMIFS('Saldos Iniciales'!$D:$D,'Saldos Iniciales'!$A:$A,"YWC Capital")+SUMIFS(Movimientos!$K$1:$K$1368,Movimientos!$C$1:$C$1368,"YWC Capital",Movimientos!$B$1:$B$1368,"&lt;="&amp;$B48)</f>
        <v>2237.77</v>
      </c>
      <c r="M48" s="24">
        <f>SUMIFS('Saldos Iniciales'!$D:$D,'Saldos Iniciales'!$A:$A,"Soweto")+SUMIFS(Movimientos!$K$1:$K$1368,Movimientos!$C$1:$C$1368,"Soweto",Movimientos!$B$1:$B$1368,"&lt;="&amp;$B48)</f>
        <v>3349.94</v>
      </c>
      <c r="N48" s="24">
        <f>SUMIFS('Saldos Iniciales'!$D:$D,'Saldos Iniciales'!$A:$A,"Green Stone Trust")+SUMIFS(Movimientos!$K$1:$K$1368,Movimientos!$C$1:$C$1368,"Green Stone Trust",Movimientos!$B$1:$B$1368,"&lt;="&amp;$B48)</f>
        <v>1968.99</v>
      </c>
      <c r="O48" s="24">
        <f>SUMIFS('Saldos Iniciales'!$D:$D,'Saldos Iniciales'!$A:$A,"EC Auto")+SUMIFS(Movimientos!$K$1:$K$1368,Movimientos!$C$1:$C$1368,"EC Auto",Movimientos!$B$1:$B$1368,"&lt;="&amp;$B48)</f>
        <v>382.69000000000005</v>
      </c>
      <c r="P48" s="24">
        <f>SUMIFS('Saldos Iniciales'!$D:$D,'Saldos Iniciales'!$A:$A,"Arbor Capital Properties")+SUMIFS(Movimientos!$K$1:$K$1368,Movimientos!$C$1:$C$1368,"Arbor Capital Properties",Movimientos!$B$1:$B$1368,"&lt;="&amp;$B48)</f>
        <v>1428.08</v>
      </c>
      <c r="Q48" s="24">
        <f>SUMIFS('Saldos Iniciales'!$D:$D,'Saldos Iniciales'!$A:$A,"2515 Overbrook")+SUMIFS(Movimientos!$K$1:$K$1368,Movimientos!$C$1:$C$1368,"2515 Overbrook",Movimientos!$B$1:$B$1368,"&lt;="&amp;$B48)</f>
        <v>29789.969999999961</v>
      </c>
      <c r="R48" s="24">
        <f>SUMIFS('Saldos Iniciales'!$D:$D,'Saldos Iniciales'!$A:$A,"112 Florida Ave")+SUMIFS(Movimientos!$K$1:$K$1368,Movimientos!$C$1:$C$1368,"112 Florida Ave",Movimientos!$B$1:$B$1368,"&lt;="&amp;$B48)</f>
        <v>20321.43</v>
      </c>
      <c r="S48" s="24">
        <f>SUMIFS('Saldos Iniciales'!$D:$D,'Saldos Iniciales'!$A:$A,"3628 Thomas Ave")+SUMIFS(Movimientos!$K$1:$K$1368,Movimientos!$C$1:$C$1368,"3628 Thomas Ave",Movimientos!$B$1:$B$1368,"&lt;="&amp;$B48)</f>
        <v>19811.349999999999</v>
      </c>
      <c r="T48" s="24">
        <f>SUMIFS('Saldos Iniciales'!$D:$D,'Saldos Iniciales'!$A:$A,"Green Harbor Trust")+SUMIFS(Movimientos!$K$1:$K$1368,Movimientos!$C$1:$C$1368,"Green Harbor Trust",Movimientos!$B$1:$B$1368,"&lt;="&amp;$B48)</f>
        <v>345</v>
      </c>
      <c r="U48" s="24">
        <f>SUMIFS('Saldos Iniciales'!$D:$D,'Saldos Iniciales'!$A:$A,"Go Blue")+SUMIFS(Movimientos!$K$1:$K$1368,Movimientos!$C$1:$C$1368,"Go Blue",Movimientos!$B$1:$B$1368,"&lt;="&amp;$B48)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Group")+SUMIFS(Movimientos!$K$1:$K$1368,Movimientos!$C$1:$C$1368,"CFT Group",Movimientos!$B$1:$B$1368,"&lt;="&amp;$B49)</f>
        <v>1098358.7500000002</v>
      </c>
      <c r="D49" s="24">
        <f>SUMIFS('Saldos Iniciales'!$D:$D,'Saldos Iniciales'!$A:$A,"M1B")+SUMIFS(Movimientos!$K$1:$K$1368,Movimientos!$C$1:$C$1368,"M1B",Movimientos!$B$1:$B$1368,"&lt;="&amp;$B49)</f>
        <v>69376.390000000174</v>
      </c>
      <c r="E49" s="24">
        <f>SUMIFS('Saldos Iniciales'!$D:$D,'Saldos Iniciales'!$A:$A,"Durand")+SUMIFS(Movimientos!$K$1:$K$1368,Movimientos!$C$1:$C$1368,"Durand",Movimientos!$B$1:$B$1368,"&lt;="&amp;$B49)</f>
        <v>1669.89</v>
      </c>
      <c r="F49" s="24">
        <f>SUMIFS('Saldos Iniciales'!$D:$D,'Saldos Iniciales'!$A:$A,"A&amp;M Imports")+SUMIFS(Movimientos!$K$1:$K$1368,Movimientos!$C$1:$C$1368,"A&amp;M Imports",Movimientos!$B$1:$B$1368,"&lt;="&amp;$B49)</f>
        <v>503904.80999999982</v>
      </c>
      <c r="G49" s="24">
        <f>SUMIFS('Saldos Iniciales'!$D:$D,'Saldos Iniciales'!$A:$A,"SSP Capital")+SUMIFS(Movimientos!$K$1:$K$1368,Movimientos!$C$1:$C$1368,"SSP Capital",Movimientos!$B$1:$B$1368,"&lt;="&amp;$B49)</f>
        <v>3326863.3899999997</v>
      </c>
      <c r="H49" s="24">
        <f>SUMIFS('Saldos Iniciales'!$D:$D,'Saldos Iniciales'!$A:$A,"Cross Family Trust")+SUMIFS(Movimientos!$K$1:$K$1368,Movimientos!$C$1:$C$1368,"Cross Family Trust",Movimientos!$B$1:$B$1368,"&lt;="&amp;$B49)</f>
        <v>116496.38</v>
      </c>
      <c r="I49" s="24">
        <f>SUMIFS('Saldos Iniciales'!$D:$D,'Saldos Iniciales'!$A:$A,"Cross Security Trust")+SUMIFS(Movimientos!$K$1:$K$1368,Movimientos!$C$1:$C$1368,"Cross Security Trust",Movimientos!$B$1:$B$1368,"&lt;="&amp;$B49)</f>
        <v>20375.989999999998</v>
      </c>
      <c r="J49" s="24">
        <f>SUMIFS('Saldos Iniciales'!$D:$D,'Saldos Iniciales'!$A:$A,"Electrama")+SUMIFS(Movimientos!$K$1:$K$1368,Movimientos!$C$1:$C$1368,"Electrama",Movimientos!$B$1:$B$1368,"&lt;="&amp;$B49)</f>
        <v>511.15999999999985</v>
      </c>
      <c r="K49" s="24">
        <f>SUMIFS('Saldos Iniciales'!$D:$D,'Saldos Iniciales'!$A:$A,"Sacred Valley Capital")+SUMIFS(Movimientos!$K$1:$K$1368,Movimientos!$C$1:$C$1368,"Sacred Valley Capital",Movimientos!$B$1:$B$1368,"&lt;="&amp;$B49)</f>
        <v>84.35</v>
      </c>
      <c r="L49" s="24">
        <f>SUMIFS('Saldos Iniciales'!$D:$D,'Saldos Iniciales'!$A:$A,"YWC Capital")+SUMIFS(Movimientos!$K$1:$K$1368,Movimientos!$C$1:$C$1368,"YWC Capital",Movimientos!$B$1:$B$1368,"&lt;="&amp;$B49)</f>
        <v>2237.77</v>
      </c>
      <c r="M49" s="24">
        <f>SUMIFS('Saldos Iniciales'!$D:$D,'Saldos Iniciales'!$A:$A,"Soweto")+SUMIFS(Movimientos!$K$1:$K$1368,Movimientos!$C$1:$C$1368,"Soweto",Movimientos!$B$1:$B$1368,"&lt;="&amp;$B49)</f>
        <v>3349.94</v>
      </c>
      <c r="N49" s="24">
        <f>SUMIFS('Saldos Iniciales'!$D:$D,'Saldos Iniciales'!$A:$A,"Green Stone Trust")+SUMIFS(Movimientos!$K$1:$K$1368,Movimientos!$C$1:$C$1368,"Green Stone Trust",Movimientos!$B$1:$B$1368,"&lt;="&amp;$B49)</f>
        <v>1968.99</v>
      </c>
      <c r="O49" s="24">
        <f>SUMIFS('Saldos Iniciales'!$D:$D,'Saldos Iniciales'!$A:$A,"EC Auto")+SUMIFS(Movimientos!$K$1:$K$1368,Movimientos!$C$1:$C$1368,"EC Auto",Movimientos!$B$1:$B$1368,"&lt;="&amp;$B49)</f>
        <v>382.69000000000005</v>
      </c>
      <c r="P49" s="24">
        <f>SUMIFS('Saldos Iniciales'!$D:$D,'Saldos Iniciales'!$A:$A,"Arbor Capital Properties")+SUMIFS(Movimientos!$K$1:$K$1368,Movimientos!$C$1:$C$1368,"Arbor Capital Properties",Movimientos!$B$1:$B$1368,"&lt;="&amp;$B49)</f>
        <v>1428.08</v>
      </c>
      <c r="Q49" s="24">
        <f>SUMIFS('Saldos Iniciales'!$D:$D,'Saldos Iniciales'!$A:$A,"2515 Overbrook")+SUMIFS(Movimientos!$K$1:$K$1368,Movimientos!$C$1:$C$1368,"2515 Overbrook",Movimientos!$B$1:$B$1368,"&lt;="&amp;$B49)</f>
        <v>29789.969999999961</v>
      </c>
      <c r="R49" s="24">
        <f>SUMIFS('Saldos Iniciales'!$D:$D,'Saldos Iniciales'!$A:$A,"112 Florida Ave")+SUMIFS(Movimientos!$K$1:$K$1368,Movimientos!$C$1:$C$1368,"112 Florida Ave",Movimientos!$B$1:$B$1368,"&lt;="&amp;$B49)</f>
        <v>20321.43</v>
      </c>
      <c r="S49" s="24">
        <f>SUMIFS('Saldos Iniciales'!$D:$D,'Saldos Iniciales'!$A:$A,"3628 Thomas Ave")+SUMIFS(Movimientos!$K$1:$K$1368,Movimientos!$C$1:$C$1368,"3628 Thomas Ave",Movimientos!$B$1:$B$1368,"&lt;="&amp;$B49)</f>
        <v>16681.349999999999</v>
      </c>
      <c r="T49" s="24">
        <f>SUMIFS('Saldos Iniciales'!$D:$D,'Saldos Iniciales'!$A:$A,"Green Harbor Trust")+SUMIFS(Movimientos!$K$1:$K$1368,Movimientos!$C$1:$C$1368,"Green Harbor Trust",Movimientos!$B$1:$B$1368,"&lt;="&amp;$B49)</f>
        <v>345</v>
      </c>
      <c r="U49" s="24">
        <f>SUMIFS('Saldos Iniciales'!$D:$D,'Saldos Iniciales'!$A:$A,"Go Blue")+SUMIFS(Movimientos!$K$1:$K$1368,Movimientos!$C$1:$C$1368,"Go Blue",Movimientos!$B$1:$B$1368,"&lt;="&amp;$B49)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Group")+SUMIFS(Movimientos!$K$1:$K$1368,Movimientos!$C$1:$C$1368,"CFT Group",Movimientos!$B$1:$B$1368,"&lt;="&amp;$B50)</f>
        <v>1098358.7500000002</v>
      </c>
      <c r="D50" s="24">
        <f>SUMIFS('Saldos Iniciales'!$D:$D,'Saldos Iniciales'!$A:$A,"M1B")+SUMIFS(Movimientos!$K$1:$K$1368,Movimientos!$C$1:$C$1368,"M1B",Movimientos!$B$1:$B$1368,"&lt;="&amp;$B50)</f>
        <v>69376.390000000174</v>
      </c>
      <c r="E50" s="24">
        <f>SUMIFS('Saldos Iniciales'!$D:$D,'Saldos Iniciales'!$A:$A,"Durand")+SUMIFS(Movimientos!$K$1:$K$1368,Movimientos!$C$1:$C$1368,"Durand",Movimientos!$B$1:$B$1368,"&lt;="&amp;$B50)</f>
        <v>1669.89</v>
      </c>
      <c r="F50" s="24">
        <f>SUMIFS('Saldos Iniciales'!$D:$D,'Saldos Iniciales'!$A:$A,"A&amp;M Imports")+SUMIFS(Movimientos!$K$1:$K$1368,Movimientos!$C$1:$C$1368,"A&amp;M Imports",Movimientos!$B$1:$B$1368,"&lt;="&amp;$B50)</f>
        <v>503904.80999999982</v>
      </c>
      <c r="G50" s="24">
        <f>SUMIFS('Saldos Iniciales'!$D:$D,'Saldos Iniciales'!$A:$A,"SSP Capital")+SUMIFS(Movimientos!$K$1:$K$1368,Movimientos!$C$1:$C$1368,"SSP Capital",Movimientos!$B$1:$B$1368,"&lt;="&amp;$B50)</f>
        <v>3326696.7299999995</v>
      </c>
      <c r="H50" s="24">
        <f>SUMIFS('Saldos Iniciales'!$D:$D,'Saldos Iniciales'!$A:$A,"Cross Family Trust")+SUMIFS(Movimientos!$K$1:$K$1368,Movimientos!$C$1:$C$1368,"Cross Family Trust",Movimientos!$B$1:$B$1368,"&lt;="&amp;$B50)</f>
        <v>116496.38</v>
      </c>
      <c r="I50" s="24">
        <f>SUMIFS('Saldos Iniciales'!$D:$D,'Saldos Iniciales'!$A:$A,"Cross Security Trust")+SUMIFS(Movimientos!$K$1:$K$1368,Movimientos!$C$1:$C$1368,"Cross Security Trust",Movimientos!$B$1:$B$1368,"&lt;="&amp;$B50)</f>
        <v>20375.989999999998</v>
      </c>
      <c r="J50" s="24">
        <f>SUMIFS('Saldos Iniciales'!$D:$D,'Saldos Iniciales'!$A:$A,"Electrama")+SUMIFS(Movimientos!$K$1:$K$1368,Movimientos!$C$1:$C$1368,"Electrama",Movimientos!$B$1:$B$1368,"&lt;="&amp;$B50)</f>
        <v>511.15999999999985</v>
      </c>
      <c r="K50" s="24">
        <f>SUMIFS('Saldos Iniciales'!$D:$D,'Saldos Iniciales'!$A:$A,"Sacred Valley Capital")+SUMIFS(Movimientos!$K$1:$K$1368,Movimientos!$C$1:$C$1368,"Sacred Valley Capital",Movimientos!$B$1:$B$1368,"&lt;="&amp;$B50)</f>
        <v>84.35</v>
      </c>
      <c r="L50" s="24">
        <f>SUMIFS('Saldos Iniciales'!$D:$D,'Saldos Iniciales'!$A:$A,"YWC Capital")+SUMIFS(Movimientos!$K$1:$K$1368,Movimientos!$C$1:$C$1368,"YWC Capital",Movimientos!$B$1:$B$1368,"&lt;="&amp;$B50)</f>
        <v>2237.77</v>
      </c>
      <c r="M50" s="24">
        <f>SUMIFS('Saldos Iniciales'!$D:$D,'Saldos Iniciales'!$A:$A,"Soweto")+SUMIFS(Movimientos!$K$1:$K$1368,Movimientos!$C$1:$C$1368,"Soweto",Movimientos!$B$1:$B$1368,"&lt;="&amp;$B50)</f>
        <v>3349.94</v>
      </c>
      <c r="N50" s="24">
        <f>SUMIFS('Saldos Iniciales'!$D:$D,'Saldos Iniciales'!$A:$A,"Green Stone Trust")+SUMIFS(Movimientos!$K$1:$K$1368,Movimientos!$C$1:$C$1368,"Green Stone Trust",Movimientos!$B$1:$B$1368,"&lt;="&amp;$B50)</f>
        <v>1968.99</v>
      </c>
      <c r="O50" s="24">
        <f>SUMIFS('Saldos Iniciales'!$D:$D,'Saldos Iniciales'!$A:$A,"EC Auto")+SUMIFS(Movimientos!$K$1:$K$1368,Movimientos!$C$1:$C$1368,"EC Auto",Movimientos!$B$1:$B$1368,"&lt;="&amp;$B50)</f>
        <v>382.69000000000005</v>
      </c>
      <c r="P50" s="24">
        <f>SUMIFS('Saldos Iniciales'!$D:$D,'Saldos Iniciales'!$A:$A,"Arbor Capital Properties")+SUMIFS(Movimientos!$K$1:$K$1368,Movimientos!$C$1:$C$1368,"Arbor Capital Properties",Movimientos!$B$1:$B$1368,"&lt;="&amp;$B50)</f>
        <v>1428.08</v>
      </c>
      <c r="Q50" s="24">
        <f>SUMIFS('Saldos Iniciales'!$D:$D,'Saldos Iniciales'!$A:$A,"2515 Overbrook")+SUMIFS(Movimientos!$K$1:$K$1368,Movimientos!$C$1:$C$1368,"2515 Overbrook",Movimientos!$B$1:$B$1368,"&lt;="&amp;$B50)</f>
        <v>29789.969999999961</v>
      </c>
      <c r="R50" s="24">
        <f>SUMIFS('Saldos Iniciales'!$D:$D,'Saldos Iniciales'!$A:$A,"112 Florida Ave")+SUMIFS(Movimientos!$K$1:$K$1368,Movimientos!$C$1:$C$1368,"112 Florida Ave",Movimientos!$B$1:$B$1368,"&lt;="&amp;$B50)</f>
        <v>20321.43</v>
      </c>
      <c r="S50" s="24">
        <f>SUMIFS('Saldos Iniciales'!$D:$D,'Saldos Iniciales'!$A:$A,"3628 Thomas Ave")+SUMIFS(Movimientos!$K$1:$K$1368,Movimientos!$C$1:$C$1368,"3628 Thomas Ave",Movimientos!$B$1:$B$1368,"&lt;="&amp;$B50)</f>
        <v>16681.349999999999</v>
      </c>
      <c r="T50" s="24">
        <f>SUMIFS('Saldos Iniciales'!$D:$D,'Saldos Iniciales'!$A:$A,"Green Harbor Trust")+SUMIFS(Movimientos!$K$1:$K$1368,Movimientos!$C$1:$C$1368,"Green Harbor Trust",Movimientos!$B$1:$B$1368,"&lt;="&amp;$B50)</f>
        <v>345</v>
      </c>
      <c r="U50" s="24">
        <f>SUMIFS('Saldos Iniciales'!$D:$D,'Saldos Iniciales'!$A:$A,"Go Blue")+SUMIFS(Movimientos!$K$1:$K$1368,Movimientos!$C$1:$C$1368,"Go Blue",Movimientos!$B$1:$B$1368,"&lt;="&amp;$B50)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Group")+SUMIFS(Movimientos!$K$1:$K$1368,Movimientos!$C$1:$C$1368,"CFT Group",Movimientos!$B$1:$B$1368,"&lt;="&amp;$B51)</f>
        <v>1098358.7500000002</v>
      </c>
      <c r="D51" s="24">
        <f>SUMIFS('Saldos Iniciales'!$D:$D,'Saldos Iniciales'!$A:$A,"M1B")+SUMIFS(Movimientos!$K$1:$K$1368,Movimientos!$C$1:$C$1368,"M1B",Movimientos!$B$1:$B$1368,"&lt;="&amp;$B51)</f>
        <v>69376.390000000174</v>
      </c>
      <c r="E51" s="24">
        <f>SUMIFS('Saldos Iniciales'!$D:$D,'Saldos Iniciales'!$A:$A,"Durand")+SUMIFS(Movimientos!$K$1:$K$1368,Movimientos!$C$1:$C$1368,"Durand",Movimientos!$B$1:$B$1368,"&lt;="&amp;$B51)</f>
        <v>1669.89</v>
      </c>
      <c r="F51" s="24">
        <f>SUMIFS('Saldos Iniciales'!$D:$D,'Saldos Iniciales'!$A:$A,"A&amp;M Imports")+SUMIFS(Movimientos!$K$1:$K$1368,Movimientos!$C$1:$C$1368,"A&amp;M Imports",Movimientos!$B$1:$B$1368,"&lt;="&amp;$B51)</f>
        <v>503904.80999999982</v>
      </c>
      <c r="G51" s="24">
        <f>SUMIFS('Saldos Iniciales'!$D:$D,'Saldos Iniciales'!$A:$A,"SSP Capital")+SUMIFS(Movimientos!$K$1:$K$1368,Movimientos!$C$1:$C$1368,"SSP Capital",Movimientos!$B$1:$B$1368,"&lt;="&amp;$B51)</f>
        <v>3326696.7299999995</v>
      </c>
      <c r="H51" s="24">
        <f>SUMIFS('Saldos Iniciales'!$D:$D,'Saldos Iniciales'!$A:$A,"Cross Family Trust")+SUMIFS(Movimientos!$K$1:$K$1368,Movimientos!$C$1:$C$1368,"Cross Family Trust",Movimientos!$B$1:$B$1368,"&lt;="&amp;$B51)</f>
        <v>116496.38</v>
      </c>
      <c r="I51" s="24">
        <f>SUMIFS('Saldos Iniciales'!$D:$D,'Saldos Iniciales'!$A:$A,"Cross Security Trust")+SUMIFS(Movimientos!$K$1:$K$1368,Movimientos!$C$1:$C$1368,"Cross Security Trust",Movimientos!$B$1:$B$1368,"&lt;="&amp;$B51)</f>
        <v>20375.989999999998</v>
      </c>
      <c r="J51" s="24">
        <f>SUMIFS('Saldos Iniciales'!$D:$D,'Saldos Iniciales'!$A:$A,"Electrama")+SUMIFS(Movimientos!$K$1:$K$1368,Movimientos!$C$1:$C$1368,"Electrama",Movimientos!$B$1:$B$1368,"&lt;="&amp;$B51)</f>
        <v>511.15999999999985</v>
      </c>
      <c r="K51" s="24">
        <f>SUMIFS('Saldos Iniciales'!$D:$D,'Saldos Iniciales'!$A:$A,"Sacred Valley Capital")+SUMIFS(Movimientos!$K$1:$K$1368,Movimientos!$C$1:$C$1368,"Sacred Valley Capital",Movimientos!$B$1:$B$1368,"&lt;="&amp;$B51)</f>
        <v>84.35</v>
      </c>
      <c r="L51" s="24">
        <f>SUMIFS('Saldos Iniciales'!$D:$D,'Saldos Iniciales'!$A:$A,"YWC Capital")+SUMIFS(Movimientos!$K$1:$K$1368,Movimientos!$C$1:$C$1368,"YWC Capital",Movimientos!$B$1:$B$1368,"&lt;="&amp;$B51)</f>
        <v>2237.77</v>
      </c>
      <c r="M51" s="24">
        <f>SUMIFS('Saldos Iniciales'!$D:$D,'Saldos Iniciales'!$A:$A,"Soweto")+SUMIFS(Movimientos!$K$1:$K$1368,Movimientos!$C$1:$C$1368,"Soweto",Movimientos!$B$1:$B$1368,"&lt;="&amp;$B51)</f>
        <v>3349.94</v>
      </c>
      <c r="N51" s="24">
        <f>SUMIFS('Saldos Iniciales'!$D:$D,'Saldos Iniciales'!$A:$A,"Green Stone Trust")+SUMIFS(Movimientos!$K$1:$K$1368,Movimientos!$C$1:$C$1368,"Green Stone Trust",Movimientos!$B$1:$B$1368,"&lt;="&amp;$B51)</f>
        <v>1968.99</v>
      </c>
      <c r="O51" s="24">
        <f>SUMIFS('Saldos Iniciales'!$D:$D,'Saldos Iniciales'!$A:$A,"EC Auto")+SUMIFS(Movimientos!$K$1:$K$1368,Movimientos!$C$1:$C$1368,"EC Auto",Movimientos!$B$1:$B$1368,"&lt;="&amp;$B51)</f>
        <v>382.69000000000005</v>
      </c>
      <c r="P51" s="24">
        <f>SUMIFS('Saldos Iniciales'!$D:$D,'Saldos Iniciales'!$A:$A,"Arbor Capital Properties")+SUMIFS(Movimientos!$K$1:$K$1368,Movimientos!$C$1:$C$1368,"Arbor Capital Properties",Movimientos!$B$1:$B$1368,"&lt;="&amp;$B51)</f>
        <v>1428.08</v>
      </c>
      <c r="Q51" s="24">
        <f>SUMIFS('Saldos Iniciales'!$D:$D,'Saldos Iniciales'!$A:$A,"2515 Overbrook")+SUMIFS(Movimientos!$K$1:$K$1368,Movimientos!$C$1:$C$1368,"2515 Overbrook",Movimientos!$B$1:$B$1368,"&lt;="&amp;$B51)</f>
        <v>29789.969999999961</v>
      </c>
      <c r="R51" s="24">
        <f>SUMIFS('Saldos Iniciales'!$D:$D,'Saldos Iniciales'!$A:$A,"112 Florida Ave")+SUMIFS(Movimientos!$K$1:$K$1368,Movimientos!$C$1:$C$1368,"112 Florida Ave",Movimientos!$B$1:$B$1368,"&lt;="&amp;$B51)</f>
        <v>20321.43</v>
      </c>
      <c r="S51" s="24">
        <f>SUMIFS('Saldos Iniciales'!$D:$D,'Saldos Iniciales'!$A:$A,"3628 Thomas Ave")+SUMIFS(Movimientos!$K$1:$K$1368,Movimientos!$C$1:$C$1368,"3628 Thomas Ave",Movimientos!$B$1:$B$1368,"&lt;="&amp;$B51)</f>
        <v>16681.349999999999</v>
      </c>
      <c r="T51" s="24">
        <f>SUMIFS('Saldos Iniciales'!$D:$D,'Saldos Iniciales'!$A:$A,"Green Harbor Trust")+SUMIFS(Movimientos!$K$1:$K$1368,Movimientos!$C$1:$C$1368,"Green Harbor Trust",Movimientos!$B$1:$B$1368,"&lt;="&amp;$B51)</f>
        <v>345</v>
      </c>
      <c r="U51" s="24">
        <f>SUMIFS('Saldos Iniciales'!$D:$D,'Saldos Iniciales'!$A:$A,"Go Blue")+SUMIFS(Movimientos!$K$1:$K$1368,Movimientos!$C$1:$C$1368,"Go Blue",Movimientos!$B$1:$B$1368,"&lt;="&amp;$B51)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Group")+SUMIFS(Movimientos!$K$1:$K$1368,Movimientos!$C$1:$C$1368,"CFT Group",Movimientos!$B$1:$B$1368,"&lt;="&amp;$B52)</f>
        <v>1098358.7500000002</v>
      </c>
      <c r="D52" s="24">
        <f>SUMIFS('Saldos Iniciales'!$D:$D,'Saldos Iniciales'!$A:$A,"M1B")+SUMIFS(Movimientos!$K$1:$K$1368,Movimientos!$C$1:$C$1368,"M1B",Movimientos!$B$1:$B$1368,"&lt;="&amp;$B52)</f>
        <v>69376.390000000174</v>
      </c>
      <c r="E52" s="24">
        <f>SUMIFS('Saldos Iniciales'!$D:$D,'Saldos Iniciales'!$A:$A,"Durand")+SUMIFS(Movimientos!$K$1:$K$1368,Movimientos!$C$1:$C$1368,"Durand",Movimientos!$B$1:$B$1368,"&lt;="&amp;$B52)</f>
        <v>1669.89</v>
      </c>
      <c r="F52" s="24">
        <f>SUMIFS('Saldos Iniciales'!$D:$D,'Saldos Iniciales'!$A:$A,"A&amp;M Imports")+SUMIFS(Movimientos!$K$1:$K$1368,Movimientos!$C$1:$C$1368,"A&amp;M Imports",Movimientos!$B$1:$B$1368,"&lt;="&amp;$B52)</f>
        <v>503904.80999999982</v>
      </c>
      <c r="G52" s="24">
        <f>SUMIFS('Saldos Iniciales'!$D:$D,'Saldos Iniciales'!$A:$A,"SSP Capital")+SUMIFS(Movimientos!$K$1:$K$1368,Movimientos!$C$1:$C$1368,"SSP Capital",Movimientos!$B$1:$B$1368,"&lt;="&amp;$B52)</f>
        <v>3326696.7299999995</v>
      </c>
      <c r="H52" s="24">
        <f>SUMIFS('Saldos Iniciales'!$D:$D,'Saldos Iniciales'!$A:$A,"Cross Family Trust")+SUMIFS(Movimientos!$K$1:$K$1368,Movimientos!$C$1:$C$1368,"Cross Family Trust",Movimientos!$B$1:$B$1368,"&lt;="&amp;$B52)</f>
        <v>116496.38</v>
      </c>
      <c r="I52" s="24">
        <f>SUMIFS('Saldos Iniciales'!$D:$D,'Saldos Iniciales'!$A:$A,"Cross Security Trust")+SUMIFS(Movimientos!$K$1:$K$1368,Movimientos!$C$1:$C$1368,"Cross Security Trust",Movimientos!$B$1:$B$1368,"&lt;="&amp;$B52)</f>
        <v>20375.989999999998</v>
      </c>
      <c r="J52" s="24">
        <f>SUMIFS('Saldos Iniciales'!$D:$D,'Saldos Iniciales'!$A:$A,"Electrama")+SUMIFS(Movimientos!$K$1:$K$1368,Movimientos!$C$1:$C$1368,"Electrama",Movimientos!$B$1:$B$1368,"&lt;="&amp;$B52)</f>
        <v>511.15999999999985</v>
      </c>
      <c r="K52" s="24">
        <f>SUMIFS('Saldos Iniciales'!$D:$D,'Saldos Iniciales'!$A:$A,"Sacred Valley Capital")+SUMIFS(Movimientos!$K$1:$K$1368,Movimientos!$C$1:$C$1368,"Sacred Valley Capital",Movimientos!$B$1:$B$1368,"&lt;="&amp;$B52)</f>
        <v>84.35</v>
      </c>
      <c r="L52" s="24">
        <f>SUMIFS('Saldos Iniciales'!$D:$D,'Saldos Iniciales'!$A:$A,"YWC Capital")+SUMIFS(Movimientos!$K$1:$K$1368,Movimientos!$C$1:$C$1368,"YWC Capital",Movimientos!$B$1:$B$1368,"&lt;="&amp;$B52)</f>
        <v>2237.77</v>
      </c>
      <c r="M52" s="24">
        <f>SUMIFS('Saldos Iniciales'!$D:$D,'Saldos Iniciales'!$A:$A,"Soweto")+SUMIFS(Movimientos!$K$1:$K$1368,Movimientos!$C$1:$C$1368,"Soweto",Movimientos!$B$1:$B$1368,"&lt;="&amp;$B52)</f>
        <v>3349.94</v>
      </c>
      <c r="N52" s="24">
        <f>SUMIFS('Saldos Iniciales'!$D:$D,'Saldos Iniciales'!$A:$A,"Green Stone Trust")+SUMIFS(Movimientos!$K$1:$K$1368,Movimientos!$C$1:$C$1368,"Green Stone Trust",Movimientos!$B$1:$B$1368,"&lt;="&amp;$B52)</f>
        <v>1968.99</v>
      </c>
      <c r="O52" s="24">
        <f>SUMIFS('Saldos Iniciales'!$D:$D,'Saldos Iniciales'!$A:$A,"EC Auto")+SUMIFS(Movimientos!$K$1:$K$1368,Movimientos!$C$1:$C$1368,"EC Auto",Movimientos!$B$1:$B$1368,"&lt;="&amp;$B52)</f>
        <v>382.69000000000005</v>
      </c>
      <c r="P52" s="24">
        <f>SUMIFS('Saldos Iniciales'!$D:$D,'Saldos Iniciales'!$A:$A,"Arbor Capital Properties")+SUMIFS(Movimientos!$K$1:$K$1368,Movimientos!$C$1:$C$1368,"Arbor Capital Properties",Movimientos!$B$1:$B$1368,"&lt;="&amp;$B52)</f>
        <v>1428.08</v>
      </c>
      <c r="Q52" s="24">
        <f>SUMIFS('Saldos Iniciales'!$D:$D,'Saldos Iniciales'!$A:$A,"2515 Overbrook")+SUMIFS(Movimientos!$K$1:$K$1368,Movimientos!$C$1:$C$1368,"2515 Overbrook",Movimientos!$B$1:$B$1368,"&lt;="&amp;$B52)</f>
        <v>29789.969999999961</v>
      </c>
      <c r="R52" s="24">
        <f>SUMIFS('Saldos Iniciales'!$D:$D,'Saldos Iniciales'!$A:$A,"112 Florida Ave")+SUMIFS(Movimientos!$K$1:$K$1368,Movimientos!$C$1:$C$1368,"112 Florida Ave",Movimientos!$B$1:$B$1368,"&lt;="&amp;$B52)</f>
        <v>20321.43</v>
      </c>
      <c r="S52" s="24">
        <f>SUMIFS('Saldos Iniciales'!$D:$D,'Saldos Iniciales'!$A:$A,"3628 Thomas Ave")+SUMIFS(Movimientos!$K$1:$K$1368,Movimientos!$C$1:$C$1368,"3628 Thomas Ave",Movimientos!$B$1:$B$1368,"&lt;="&amp;$B52)</f>
        <v>16681.349999999999</v>
      </c>
      <c r="T52" s="24">
        <f>SUMIFS('Saldos Iniciales'!$D:$D,'Saldos Iniciales'!$A:$A,"Green Harbor Trust")+SUMIFS(Movimientos!$K$1:$K$1368,Movimientos!$C$1:$C$1368,"Green Harbor Trust",Movimientos!$B$1:$B$1368,"&lt;="&amp;$B52)</f>
        <v>345</v>
      </c>
      <c r="U52" s="24">
        <f>SUMIFS('Saldos Iniciales'!$D:$D,'Saldos Iniciales'!$A:$A,"Go Blue")+SUMIFS(Movimientos!$K$1:$K$1368,Movimientos!$C$1:$C$1368,"Go Blue",Movimientos!$B$1:$B$1368,"&lt;="&amp;$B52)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Group")+SUMIFS(Movimientos!$K$1:$K$1368,Movimientos!$C$1:$C$1368,"CFT Group",Movimientos!$B$1:$B$1368,"&lt;="&amp;$B53)</f>
        <v>1098358.7500000002</v>
      </c>
      <c r="D53" s="24">
        <f>SUMIFS('Saldos Iniciales'!$D:$D,'Saldos Iniciales'!$A:$A,"M1B")+SUMIFS(Movimientos!$K$1:$K$1368,Movimientos!$C$1:$C$1368,"M1B",Movimientos!$B$1:$B$1368,"&lt;="&amp;$B53)</f>
        <v>69376.390000000174</v>
      </c>
      <c r="E53" s="24">
        <f>SUMIFS('Saldos Iniciales'!$D:$D,'Saldos Iniciales'!$A:$A,"Durand")+SUMIFS(Movimientos!$K$1:$K$1368,Movimientos!$C$1:$C$1368,"Durand",Movimientos!$B$1:$B$1368,"&lt;="&amp;$B53)</f>
        <v>1669.89</v>
      </c>
      <c r="F53" s="24">
        <f>SUMIFS('Saldos Iniciales'!$D:$D,'Saldos Iniciales'!$A:$A,"A&amp;M Imports")+SUMIFS(Movimientos!$K$1:$K$1368,Movimientos!$C$1:$C$1368,"A&amp;M Imports",Movimientos!$B$1:$B$1368,"&lt;="&amp;$B53)</f>
        <v>503904.80999999982</v>
      </c>
      <c r="G53" s="24">
        <f>SUMIFS('Saldos Iniciales'!$D:$D,'Saldos Iniciales'!$A:$A,"SSP Capital")+SUMIFS(Movimientos!$K$1:$K$1368,Movimientos!$C$1:$C$1368,"SSP Capital",Movimientos!$B$1:$B$1368,"&lt;="&amp;$B53)</f>
        <v>3326696.7299999995</v>
      </c>
      <c r="H53" s="24">
        <f>SUMIFS('Saldos Iniciales'!$D:$D,'Saldos Iniciales'!$A:$A,"Cross Family Trust")+SUMIFS(Movimientos!$K$1:$K$1368,Movimientos!$C$1:$C$1368,"Cross Family Trust",Movimientos!$B$1:$B$1368,"&lt;="&amp;$B53)</f>
        <v>116496.38</v>
      </c>
      <c r="I53" s="24">
        <f>SUMIFS('Saldos Iniciales'!$D:$D,'Saldos Iniciales'!$A:$A,"Cross Security Trust")+SUMIFS(Movimientos!$K$1:$K$1368,Movimientos!$C$1:$C$1368,"Cross Security Trust",Movimientos!$B$1:$B$1368,"&lt;="&amp;$B53)</f>
        <v>20375.989999999998</v>
      </c>
      <c r="J53" s="24">
        <f>SUMIFS('Saldos Iniciales'!$D:$D,'Saldos Iniciales'!$A:$A,"Electrama")+SUMIFS(Movimientos!$K$1:$K$1368,Movimientos!$C$1:$C$1368,"Electrama",Movimientos!$B$1:$B$1368,"&lt;="&amp;$B53)</f>
        <v>511.15999999999985</v>
      </c>
      <c r="K53" s="24">
        <f>SUMIFS('Saldos Iniciales'!$D:$D,'Saldos Iniciales'!$A:$A,"Sacred Valley Capital")+SUMIFS(Movimientos!$K$1:$K$1368,Movimientos!$C$1:$C$1368,"Sacred Valley Capital",Movimientos!$B$1:$B$1368,"&lt;="&amp;$B53)</f>
        <v>84.35</v>
      </c>
      <c r="L53" s="24">
        <f>SUMIFS('Saldos Iniciales'!$D:$D,'Saldos Iniciales'!$A:$A,"YWC Capital")+SUMIFS(Movimientos!$K$1:$K$1368,Movimientos!$C$1:$C$1368,"YWC Capital",Movimientos!$B$1:$B$1368,"&lt;="&amp;$B53)</f>
        <v>2237.77</v>
      </c>
      <c r="M53" s="24">
        <f>SUMIFS('Saldos Iniciales'!$D:$D,'Saldos Iniciales'!$A:$A,"Soweto")+SUMIFS(Movimientos!$K$1:$K$1368,Movimientos!$C$1:$C$1368,"Soweto",Movimientos!$B$1:$B$1368,"&lt;="&amp;$B53)</f>
        <v>3349.94</v>
      </c>
      <c r="N53" s="24">
        <f>SUMIFS('Saldos Iniciales'!$D:$D,'Saldos Iniciales'!$A:$A,"Green Stone Trust")+SUMIFS(Movimientos!$K$1:$K$1368,Movimientos!$C$1:$C$1368,"Green Stone Trust",Movimientos!$B$1:$B$1368,"&lt;="&amp;$B53)</f>
        <v>1968.99</v>
      </c>
      <c r="O53" s="24">
        <f>SUMIFS('Saldos Iniciales'!$D:$D,'Saldos Iniciales'!$A:$A,"EC Auto")+SUMIFS(Movimientos!$K$1:$K$1368,Movimientos!$C$1:$C$1368,"EC Auto",Movimientos!$B$1:$B$1368,"&lt;="&amp;$B53)</f>
        <v>382.69000000000005</v>
      </c>
      <c r="P53" s="24">
        <f>SUMIFS('Saldos Iniciales'!$D:$D,'Saldos Iniciales'!$A:$A,"Arbor Capital Properties")+SUMIFS(Movimientos!$K$1:$K$1368,Movimientos!$C$1:$C$1368,"Arbor Capital Properties",Movimientos!$B$1:$B$1368,"&lt;="&amp;$B53)</f>
        <v>1428.08</v>
      </c>
      <c r="Q53" s="24">
        <f>SUMIFS('Saldos Iniciales'!$D:$D,'Saldos Iniciales'!$A:$A,"2515 Overbrook")+SUMIFS(Movimientos!$K$1:$K$1368,Movimientos!$C$1:$C$1368,"2515 Overbrook",Movimientos!$B$1:$B$1368,"&lt;="&amp;$B53)</f>
        <v>29789.969999999961</v>
      </c>
      <c r="R53" s="24">
        <f>SUMIFS('Saldos Iniciales'!$D:$D,'Saldos Iniciales'!$A:$A,"112 Florida Ave")+SUMIFS(Movimientos!$K$1:$K$1368,Movimientos!$C$1:$C$1368,"112 Florida Ave",Movimientos!$B$1:$B$1368,"&lt;="&amp;$B53)</f>
        <v>20321.43</v>
      </c>
      <c r="S53" s="24">
        <f>SUMIFS('Saldos Iniciales'!$D:$D,'Saldos Iniciales'!$A:$A,"3628 Thomas Ave")+SUMIFS(Movimientos!$K$1:$K$1368,Movimientos!$C$1:$C$1368,"3628 Thomas Ave",Movimientos!$B$1:$B$1368,"&lt;="&amp;$B53)</f>
        <v>16681.349999999999</v>
      </c>
      <c r="T53" s="24">
        <f>SUMIFS('Saldos Iniciales'!$D:$D,'Saldos Iniciales'!$A:$A,"Green Harbor Trust")+SUMIFS(Movimientos!$K$1:$K$1368,Movimientos!$C$1:$C$1368,"Green Harbor Trust",Movimientos!$B$1:$B$1368,"&lt;="&amp;$B53)</f>
        <v>345</v>
      </c>
      <c r="U53" s="24">
        <f>SUMIFS('Saldos Iniciales'!$D:$D,'Saldos Iniciales'!$A:$A,"Go Blue")+SUMIFS(Movimientos!$K$1:$K$1368,Movimientos!$C$1:$C$1368,"Go Blue",Movimientos!$B$1:$B$1368,"&lt;="&amp;$B53)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Group")+SUMIFS(Movimientos!$K$1:$K$1368,Movimientos!$C$1:$C$1368,"CFT Group",Movimientos!$B$1:$B$1368,"&lt;="&amp;$B54)</f>
        <v>7613332.1400000006</v>
      </c>
      <c r="D54" s="24">
        <f>SUMIFS('Saldos Iniciales'!$D:$D,'Saldos Iniciales'!$A:$A,"M1B")+SUMIFS(Movimientos!$K$1:$K$1368,Movimientos!$C$1:$C$1368,"M1B",Movimientos!$B$1:$B$1368,"&lt;="&amp;$B54)</f>
        <v>69376.390000000174</v>
      </c>
      <c r="E54" s="24">
        <f>SUMIFS('Saldos Iniciales'!$D:$D,'Saldos Iniciales'!$A:$A,"Durand")+SUMIFS(Movimientos!$K$1:$K$1368,Movimientos!$C$1:$C$1368,"Durand",Movimientos!$B$1:$B$1368,"&lt;="&amp;$B54)</f>
        <v>1669.89</v>
      </c>
      <c r="F54" s="24">
        <f>SUMIFS('Saldos Iniciales'!$D:$D,'Saldos Iniciales'!$A:$A,"A&amp;M Imports")+SUMIFS(Movimientos!$K$1:$K$1368,Movimientos!$C$1:$C$1368,"A&amp;M Imports",Movimientos!$B$1:$B$1368,"&lt;="&amp;$B54)</f>
        <v>503904.80999999982</v>
      </c>
      <c r="G54" s="24">
        <f>SUMIFS('Saldos Iniciales'!$D:$D,'Saldos Iniciales'!$A:$A,"SSP Capital")+SUMIFS(Movimientos!$K$1:$K$1368,Movimientos!$C$1:$C$1368,"SSP Capital",Movimientos!$B$1:$B$1368,"&lt;="&amp;$B54)</f>
        <v>3325868.6899999995</v>
      </c>
      <c r="H54" s="24">
        <f>SUMIFS('Saldos Iniciales'!$D:$D,'Saldos Iniciales'!$A:$A,"Cross Family Trust")+SUMIFS(Movimientos!$K$1:$K$1368,Movimientos!$C$1:$C$1368,"Cross Family Trust",Movimientos!$B$1:$B$1368,"&lt;="&amp;$B54)</f>
        <v>116496.38</v>
      </c>
      <c r="I54" s="24">
        <f>SUMIFS('Saldos Iniciales'!$D:$D,'Saldos Iniciales'!$A:$A,"Cross Security Trust")+SUMIFS(Movimientos!$K$1:$K$1368,Movimientos!$C$1:$C$1368,"Cross Security Trust",Movimientos!$B$1:$B$1368,"&lt;="&amp;$B54)</f>
        <v>20375.989999999998</v>
      </c>
      <c r="J54" s="24">
        <f>SUMIFS('Saldos Iniciales'!$D:$D,'Saldos Iniciales'!$A:$A,"Electrama")+SUMIFS(Movimientos!$K$1:$K$1368,Movimientos!$C$1:$C$1368,"Electrama",Movimientos!$B$1:$B$1368,"&lt;="&amp;$B54)</f>
        <v>511.15999999999985</v>
      </c>
      <c r="K54" s="24">
        <f>SUMIFS('Saldos Iniciales'!$D:$D,'Saldos Iniciales'!$A:$A,"Sacred Valley Capital")+SUMIFS(Movimientos!$K$1:$K$1368,Movimientos!$C$1:$C$1368,"Sacred Valley Capital",Movimientos!$B$1:$B$1368,"&lt;="&amp;$B54)</f>
        <v>84.35</v>
      </c>
      <c r="L54" s="24">
        <f>SUMIFS('Saldos Iniciales'!$D:$D,'Saldos Iniciales'!$A:$A,"YWC Capital")+SUMIFS(Movimientos!$K$1:$K$1368,Movimientos!$C$1:$C$1368,"YWC Capital",Movimientos!$B$1:$B$1368,"&lt;="&amp;$B54)</f>
        <v>2237.77</v>
      </c>
      <c r="M54" s="24">
        <f>SUMIFS('Saldos Iniciales'!$D:$D,'Saldos Iniciales'!$A:$A,"Soweto")+SUMIFS(Movimientos!$K$1:$K$1368,Movimientos!$C$1:$C$1368,"Soweto",Movimientos!$B$1:$B$1368,"&lt;="&amp;$B54)</f>
        <v>3349.94</v>
      </c>
      <c r="N54" s="24">
        <f>SUMIFS('Saldos Iniciales'!$D:$D,'Saldos Iniciales'!$A:$A,"Green Stone Trust")+SUMIFS(Movimientos!$K$1:$K$1368,Movimientos!$C$1:$C$1368,"Green Stone Trust",Movimientos!$B$1:$B$1368,"&lt;="&amp;$B54)</f>
        <v>1968.99</v>
      </c>
      <c r="O54" s="24">
        <f>SUMIFS('Saldos Iniciales'!$D:$D,'Saldos Iniciales'!$A:$A,"EC Auto")+SUMIFS(Movimientos!$K$1:$K$1368,Movimientos!$C$1:$C$1368,"EC Auto",Movimientos!$B$1:$B$1368,"&lt;="&amp;$B54)</f>
        <v>382.69000000000005</v>
      </c>
      <c r="P54" s="24">
        <f>SUMIFS('Saldos Iniciales'!$D:$D,'Saldos Iniciales'!$A:$A,"Arbor Capital Properties")+SUMIFS(Movimientos!$K$1:$K$1368,Movimientos!$C$1:$C$1368,"Arbor Capital Properties",Movimientos!$B$1:$B$1368,"&lt;="&amp;$B54)</f>
        <v>1428.08</v>
      </c>
      <c r="Q54" s="24">
        <f>SUMIFS('Saldos Iniciales'!$D:$D,'Saldos Iniciales'!$A:$A,"2515 Overbrook")+SUMIFS(Movimientos!$K$1:$K$1368,Movimientos!$C$1:$C$1368,"2515 Overbrook",Movimientos!$B$1:$B$1368,"&lt;="&amp;$B54)</f>
        <v>31039.969999999961</v>
      </c>
      <c r="R54" s="24">
        <f>SUMIFS('Saldos Iniciales'!$D:$D,'Saldos Iniciales'!$A:$A,"112 Florida Ave")+SUMIFS(Movimientos!$K$1:$K$1368,Movimientos!$C$1:$C$1368,"112 Florida Ave",Movimientos!$B$1:$B$1368,"&lt;="&amp;$B54)</f>
        <v>20321.43</v>
      </c>
      <c r="S54" s="24">
        <f>SUMIFS('Saldos Iniciales'!$D:$D,'Saldos Iniciales'!$A:$A,"3628 Thomas Ave")+SUMIFS(Movimientos!$K$1:$K$1368,Movimientos!$C$1:$C$1368,"3628 Thomas Ave",Movimientos!$B$1:$B$1368,"&lt;="&amp;$B54)</f>
        <v>16681.349999999999</v>
      </c>
      <c r="T54" s="24">
        <f>SUMIFS('Saldos Iniciales'!$D:$D,'Saldos Iniciales'!$A:$A,"Green Harbor Trust")+SUMIFS(Movimientos!$K$1:$K$1368,Movimientos!$C$1:$C$1368,"Green Harbor Trust",Movimientos!$B$1:$B$1368,"&lt;="&amp;$B54)</f>
        <v>345</v>
      </c>
      <c r="U54" s="24">
        <f>SUMIFS('Saldos Iniciales'!$D:$D,'Saldos Iniciales'!$A:$A,"Go Blue")+SUMIFS(Movimientos!$K$1:$K$1368,Movimientos!$C$1:$C$1368,"Go Blue",Movimientos!$B$1:$B$1368,"&lt;="&amp;$B54)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Group")+SUMIFS(Movimientos!$K$1:$K$1368,Movimientos!$C$1:$C$1368,"CFT Group",Movimientos!$B$1:$B$1368,"&lt;="&amp;$B55)</f>
        <v>7675741.5900000008</v>
      </c>
      <c r="D55" s="24">
        <f>SUMIFS('Saldos Iniciales'!$D:$D,'Saldos Iniciales'!$A:$A,"M1B")+SUMIFS(Movimientos!$K$1:$K$1368,Movimientos!$C$1:$C$1368,"M1B",Movimientos!$B$1:$B$1368,"&lt;="&amp;$B55)</f>
        <v>69376.390000000174</v>
      </c>
      <c r="E55" s="24">
        <f>SUMIFS('Saldos Iniciales'!$D:$D,'Saldos Iniciales'!$A:$A,"Durand")+SUMIFS(Movimientos!$K$1:$K$1368,Movimientos!$C$1:$C$1368,"Durand",Movimientos!$B$1:$B$1368,"&lt;="&amp;$B55)</f>
        <v>1669.89</v>
      </c>
      <c r="F55" s="24">
        <f>SUMIFS('Saldos Iniciales'!$D:$D,'Saldos Iniciales'!$A:$A,"A&amp;M Imports")+SUMIFS(Movimientos!$K$1:$K$1368,Movimientos!$C$1:$C$1368,"A&amp;M Imports",Movimientos!$B$1:$B$1368,"&lt;="&amp;$B55)</f>
        <v>503904.80999999982</v>
      </c>
      <c r="G55" s="24">
        <f>SUMIFS('Saldos Iniciales'!$D:$D,'Saldos Iniciales'!$A:$A,"SSP Capital")+SUMIFS(Movimientos!$K$1:$K$1368,Movimientos!$C$1:$C$1368,"SSP Capital",Movimientos!$B$1:$B$1368,"&lt;="&amp;$B55)</f>
        <v>3325868.6899999995</v>
      </c>
      <c r="H55" s="24">
        <f>SUMIFS('Saldos Iniciales'!$D:$D,'Saldos Iniciales'!$A:$A,"Cross Family Trust")+SUMIFS(Movimientos!$K$1:$K$1368,Movimientos!$C$1:$C$1368,"Cross Family Trust",Movimientos!$B$1:$B$1368,"&lt;="&amp;$B55)</f>
        <v>116496.38</v>
      </c>
      <c r="I55" s="24">
        <f>SUMIFS('Saldos Iniciales'!$D:$D,'Saldos Iniciales'!$A:$A,"Cross Security Trust")+SUMIFS(Movimientos!$K$1:$K$1368,Movimientos!$C$1:$C$1368,"Cross Security Trust",Movimientos!$B$1:$B$1368,"&lt;="&amp;$B55)</f>
        <v>20375.989999999998</v>
      </c>
      <c r="J55" s="24">
        <f>SUMIFS('Saldos Iniciales'!$D:$D,'Saldos Iniciales'!$A:$A,"Electrama")+SUMIFS(Movimientos!$K$1:$K$1368,Movimientos!$C$1:$C$1368,"Electrama",Movimientos!$B$1:$B$1368,"&lt;="&amp;$B55)</f>
        <v>511.15999999999985</v>
      </c>
      <c r="K55" s="24">
        <f>SUMIFS('Saldos Iniciales'!$D:$D,'Saldos Iniciales'!$A:$A,"Sacred Valley Capital")+SUMIFS(Movimientos!$K$1:$K$1368,Movimientos!$C$1:$C$1368,"Sacred Valley Capital",Movimientos!$B$1:$B$1368,"&lt;="&amp;$B55)</f>
        <v>84.35</v>
      </c>
      <c r="L55" s="24">
        <f>SUMIFS('Saldos Iniciales'!$D:$D,'Saldos Iniciales'!$A:$A,"YWC Capital")+SUMIFS(Movimientos!$K$1:$K$1368,Movimientos!$C$1:$C$1368,"YWC Capital",Movimientos!$B$1:$B$1368,"&lt;="&amp;$B55)</f>
        <v>2237.77</v>
      </c>
      <c r="M55" s="24">
        <f>SUMIFS('Saldos Iniciales'!$D:$D,'Saldos Iniciales'!$A:$A,"Soweto")+SUMIFS(Movimientos!$K$1:$K$1368,Movimientos!$C$1:$C$1368,"Soweto",Movimientos!$B$1:$B$1368,"&lt;="&amp;$B55)</f>
        <v>3349.94</v>
      </c>
      <c r="N55" s="24">
        <f>SUMIFS('Saldos Iniciales'!$D:$D,'Saldos Iniciales'!$A:$A,"Green Stone Trust")+SUMIFS(Movimientos!$K$1:$K$1368,Movimientos!$C$1:$C$1368,"Green Stone Trust",Movimientos!$B$1:$B$1368,"&lt;="&amp;$B55)</f>
        <v>1968.99</v>
      </c>
      <c r="O55" s="24">
        <f>SUMIFS('Saldos Iniciales'!$D:$D,'Saldos Iniciales'!$A:$A,"EC Auto")+SUMIFS(Movimientos!$K$1:$K$1368,Movimientos!$C$1:$C$1368,"EC Auto",Movimientos!$B$1:$B$1368,"&lt;="&amp;$B55)</f>
        <v>382.69000000000005</v>
      </c>
      <c r="P55" s="24">
        <f>SUMIFS('Saldos Iniciales'!$D:$D,'Saldos Iniciales'!$A:$A,"Arbor Capital Properties")+SUMIFS(Movimientos!$K$1:$K$1368,Movimientos!$C$1:$C$1368,"Arbor Capital Properties",Movimientos!$B$1:$B$1368,"&lt;="&amp;$B55)</f>
        <v>1428.08</v>
      </c>
      <c r="Q55" s="24">
        <f>SUMIFS('Saldos Iniciales'!$D:$D,'Saldos Iniciales'!$A:$A,"2515 Overbrook")+SUMIFS(Movimientos!$K$1:$K$1368,Movimientos!$C$1:$C$1368,"2515 Overbrook",Movimientos!$B$1:$B$1368,"&lt;="&amp;$B55)</f>
        <v>31039.969999999961</v>
      </c>
      <c r="R55" s="24">
        <f>SUMIFS('Saldos Iniciales'!$D:$D,'Saldos Iniciales'!$A:$A,"112 Florida Ave")+SUMIFS(Movimientos!$K$1:$K$1368,Movimientos!$C$1:$C$1368,"112 Florida Ave",Movimientos!$B$1:$B$1368,"&lt;="&amp;$B55)</f>
        <v>20321.43</v>
      </c>
      <c r="S55" s="24">
        <f>SUMIFS('Saldos Iniciales'!$D:$D,'Saldos Iniciales'!$A:$A,"3628 Thomas Ave")+SUMIFS(Movimientos!$K$1:$K$1368,Movimientos!$C$1:$C$1368,"3628 Thomas Ave",Movimientos!$B$1:$B$1368,"&lt;="&amp;$B55)</f>
        <v>16681.349999999999</v>
      </c>
      <c r="T55" s="24">
        <f>SUMIFS('Saldos Iniciales'!$D:$D,'Saldos Iniciales'!$A:$A,"Green Harbor Trust")+SUMIFS(Movimientos!$K$1:$K$1368,Movimientos!$C$1:$C$1368,"Green Harbor Trust",Movimientos!$B$1:$B$1368,"&lt;="&amp;$B55)</f>
        <v>345</v>
      </c>
      <c r="U55" s="24">
        <f>SUMIFS('Saldos Iniciales'!$D:$D,'Saldos Iniciales'!$A:$A,"Go Blue")+SUMIFS(Movimientos!$K$1:$K$1368,Movimientos!$C$1:$C$1368,"Go Blue",Movimientos!$B$1:$B$1368,"&lt;="&amp;$B55)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Group")+SUMIFS(Movimientos!$K$1:$K$1368,Movimientos!$C$1:$C$1368,"CFT Group",Movimientos!$B$1:$B$1368,"&lt;="&amp;$B56)</f>
        <v>7742810.7100000009</v>
      </c>
      <c r="D56" s="24">
        <f>SUMIFS('Saldos Iniciales'!$D:$D,'Saldos Iniciales'!$A:$A,"M1B")+SUMIFS(Movimientos!$K$1:$K$1368,Movimientos!$C$1:$C$1368,"M1B",Movimientos!$B$1:$B$1368,"&lt;="&amp;$B56)</f>
        <v>72386.190000000177</v>
      </c>
      <c r="E56" s="24">
        <f>SUMIFS('Saldos Iniciales'!$D:$D,'Saldos Iniciales'!$A:$A,"Durand")+SUMIFS(Movimientos!$K$1:$K$1368,Movimientos!$C$1:$C$1368,"Durand",Movimientos!$B$1:$B$1368,"&lt;="&amp;$B56)</f>
        <v>1669.89</v>
      </c>
      <c r="F56" s="24">
        <f>SUMIFS('Saldos Iniciales'!$D:$D,'Saldos Iniciales'!$A:$A,"A&amp;M Imports")+SUMIFS(Movimientos!$K$1:$K$1368,Movimientos!$C$1:$C$1368,"A&amp;M Imports",Movimientos!$B$1:$B$1368,"&lt;="&amp;$B56)</f>
        <v>532766.72999999986</v>
      </c>
      <c r="G56" s="24">
        <f>SUMIFS('Saldos Iniciales'!$D:$D,'Saldos Iniciales'!$A:$A,"SSP Capital")+SUMIFS(Movimientos!$K$1:$K$1368,Movimientos!$C$1:$C$1368,"SSP Capital",Movimientos!$B$1:$B$1368,"&lt;="&amp;$B56)</f>
        <v>3325868.6899999995</v>
      </c>
      <c r="H56" s="24">
        <f>SUMIFS('Saldos Iniciales'!$D:$D,'Saldos Iniciales'!$A:$A,"Cross Family Trust")+SUMIFS(Movimientos!$K$1:$K$1368,Movimientos!$C$1:$C$1368,"Cross Family Trust",Movimientos!$B$1:$B$1368,"&lt;="&amp;$B56)</f>
        <v>116496.38</v>
      </c>
      <c r="I56" s="24">
        <f>SUMIFS('Saldos Iniciales'!$D:$D,'Saldos Iniciales'!$A:$A,"Cross Security Trust")+SUMIFS(Movimientos!$K$1:$K$1368,Movimientos!$C$1:$C$1368,"Cross Security Trust",Movimientos!$B$1:$B$1368,"&lt;="&amp;$B56)</f>
        <v>20375.989999999998</v>
      </c>
      <c r="J56" s="24">
        <f>SUMIFS('Saldos Iniciales'!$D:$D,'Saldos Iniciales'!$A:$A,"Electrama")+SUMIFS(Movimientos!$K$1:$K$1368,Movimientos!$C$1:$C$1368,"Electrama",Movimientos!$B$1:$B$1368,"&lt;="&amp;$B56)</f>
        <v>511.15999999999985</v>
      </c>
      <c r="K56" s="24">
        <f>SUMIFS('Saldos Iniciales'!$D:$D,'Saldos Iniciales'!$A:$A,"Sacred Valley Capital")+SUMIFS(Movimientos!$K$1:$K$1368,Movimientos!$C$1:$C$1368,"Sacred Valley Capital",Movimientos!$B$1:$B$1368,"&lt;="&amp;$B56)</f>
        <v>84.35</v>
      </c>
      <c r="L56" s="24">
        <f>SUMIFS('Saldos Iniciales'!$D:$D,'Saldos Iniciales'!$A:$A,"YWC Capital")+SUMIFS(Movimientos!$K$1:$K$1368,Movimientos!$C$1:$C$1368,"YWC Capital",Movimientos!$B$1:$B$1368,"&lt;="&amp;$B56)</f>
        <v>2237.77</v>
      </c>
      <c r="M56" s="24">
        <f>SUMIFS('Saldos Iniciales'!$D:$D,'Saldos Iniciales'!$A:$A,"Soweto")+SUMIFS(Movimientos!$K$1:$K$1368,Movimientos!$C$1:$C$1368,"Soweto",Movimientos!$B$1:$B$1368,"&lt;="&amp;$B56)</f>
        <v>3349.94</v>
      </c>
      <c r="N56" s="24">
        <f>SUMIFS('Saldos Iniciales'!$D:$D,'Saldos Iniciales'!$A:$A,"Green Stone Trust")+SUMIFS(Movimientos!$K$1:$K$1368,Movimientos!$C$1:$C$1368,"Green Stone Trust",Movimientos!$B$1:$B$1368,"&lt;="&amp;$B56)</f>
        <v>1968.99</v>
      </c>
      <c r="O56" s="24">
        <f>SUMIFS('Saldos Iniciales'!$D:$D,'Saldos Iniciales'!$A:$A,"EC Auto")+SUMIFS(Movimientos!$K$1:$K$1368,Movimientos!$C$1:$C$1368,"EC Auto",Movimientos!$B$1:$B$1368,"&lt;="&amp;$B56)</f>
        <v>382.69000000000005</v>
      </c>
      <c r="P56" s="24">
        <f>SUMIFS('Saldos Iniciales'!$D:$D,'Saldos Iniciales'!$A:$A,"Arbor Capital Properties")+SUMIFS(Movimientos!$K$1:$K$1368,Movimientos!$C$1:$C$1368,"Arbor Capital Properties",Movimientos!$B$1:$B$1368,"&lt;="&amp;$B56)</f>
        <v>1428.08</v>
      </c>
      <c r="Q56" s="24">
        <f>SUMIFS('Saldos Iniciales'!$D:$D,'Saldos Iniciales'!$A:$A,"2515 Overbrook")+SUMIFS(Movimientos!$K$1:$K$1368,Movimientos!$C$1:$C$1368,"2515 Overbrook",Movimientos!$B$1:$B$1368,"&lt;="&amp;$B56)</f>
        <v>31039.969999999961</v>
      </c>
      <c r="R56" s="24">
        <f>SUMIFS('Saldos Iniciales'!$D:$D,'Saldos Iniciales'!$A:$A,"112 Florida Ave")+SUMIFS(Movimientos!$K$1:$K$1368,Movimientos!$C$1:$C$1368,"112 Florida Ave",Movimientos!$B$1:$B$1368,"&lt;="&amp;$B56)</f>
        <v>20321.43</v>
      </c>
      <c r="S56" s="24">
        <f>SUMIFS('Saldos Iniciales'!$D:$D,'Saldos Iniciales'!$A:$A,"3628 Thomas Ave")+SUMIFS(Movimientos!$K$1:$K$1368,Movimientos!$C$1:$C$1368,"3628 Thomas Ave",Movimientos!$B$1:$B$1368,"&lt;="&amp;$B56)</f>
        <v>16681.349999999999</v>
      </c>
      <c r="T56" s="24">
        <f>SUMIFS('Saldos Iniciales'!$D:$D,'Saldos Iniciales'!$A:$A,"Green Harbor Trust")+SUMIFS(Movimientos!$K$1:$K$1368,Movimientos!$C$1:$C$1368,"Green Harbor Trust",Movimientos!$B$1:$B$1368,"&lt;="&amp;$B56)</f>
        <v>345</v>
      </c>
      <c r="U56" s="24">
        <f>SUMIFS('Saldos Iniciales'!$D:$D,'Saldos Iniciales'!$A:$A,"Go Blue")+SUMIFS(Movimientos!$K$1:$K$1368,Movimientos!$C$1:$C$1368,"Go Blue",Movimientos!$B$1:$B$1368,"&lt;="&amp;$B56)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Group")+SUMIFS(Movimientos!$K$1:$K$1368,Movimientos!$C$1:$C$1368,"CFT Group",Movimientos!$B$1:$B$1368,"&lt;="&amp;$B57)</f>
        <v>6298935.7100000009</v>
      </c>
      <c r="D57" s="24">
        <f>SUMIFS('Saldos Iniciales'!$D:$D,'Saldos Iniciales'!$A:$A,"M1B")+SUMIFS(Movimientos!$K$1:$K$1368,Movimientos!$C$1:$C$1368,"M1B",Movimientos!$B$1:$B$1368,"&lt;="&amp;$B57)</f>
        <v>72386.190000000177</v>
      </c>
      <c r="E57" s="24">
        <f>SUMIFS('Saldos Iniciales'!$D:$D,'Saldos Iniciales'!$A:$A,"Durand")+SUMIFS(Movimientos!$K$1:$K$1368,Movimientos!$C$1:$C$1368,"Durand",Movimientos!$B$1:$B$1368,"&lt;="&amp;$B57)</f>
        <v>1669.89</v>
      </c>
      <c r="F57" s="24">
        <f>SUMIFS('Saldos Iniciales'!$D:$D,'Saldos Iniciales'!$A:$A,"A&amp;M Imports")+SUMIFS(Movimientos!$K$1:$K$1368,Movimientos!$C$1:$C$1368,"A&amp;M Imports",Movimientos!$B$1:$B$1368,"&lt;="&amp;$B57)</f>
        <v>472766.72999999986</v>
      </c>
      <c r="G57" s="24">
        <f>SUMIFS('Saldos Iniciales'!$D:$D,'Saldos Iniciales'!$A:$A,"SSP Capital")+SUMIFS(Movimientos!$K$1:$K$1368,Movimientos!$C$1:$C$1368,"SSP Capital",Movimientos!$B$1:$B$1368,"&lt;="&amp;$B57)</f>
        <v>1933152.7099999995</v>
      </c>
      <c r="H57" s="24">
        <f>SUMIFS('Saldos Iniciales'!$D:$D,'Saldos Iniciales'!$A:$A,"Cross Family Trust")+SUMIFS(Movimientos!$K$1:$K$1368,Movimientos!$C$1:$C$1368,"Cross Family Trust",Movimientos!$B$1:$B$1368,"&lt;="&amp;$B57)</f>
        <v>1996496.38</v>
      </c>
      <c r="I57" s="24">
        <f>SUMIFS('Saldos Iniciales'!$D:$D,'Saldos Iniciales'!$A:$A,"Cross Security Trust")+SUMIFS(Movimientos!$K$1:$K$1368,Movimientos!$C$1:$C$1368,"Cross Security Trust",Movimientos!$B$1:$B$1368,"&lt;="&amp;$B57)</f>
        <v>330375.99000000005</v>
      </c>
      <c r="J57" s="24">
        <f>SUMIFS('Saldos Iniciales'!$D:$D,'Saldos Iniciales'!$A:$A,"Electrama")+SUMIFS(Movimientos!$K$1:$K$1368,Movimientos!$C$1:$C$1368,"Electrama",Movimientos!$B$1:$B$1368,"&lt;="&amp;$B57)</f>
        <v>511.15999999999985</v>
      </c>
      <c r="K57" s="24">
        <f>SUMIFS('Saldos Iniciales'!$D:$D,'Saldos Iniciales'!$A:$A,"Sacred Valley Capital")+SUMIFS(Movimientos!$K$1:$K$1368,Movimientos!$C$1:$C$1368,"Sacred Valley Capital",Movimientos!$B$1:$B$1368,"&lt;="&amp;$B57)</f>
        <v>84.35</v>
      </c>
      <c r="L57" s="24">
        <f>SUMIFS('Saldos Iniciales'!$D:$D,'Saldos Iniciales'!$A:$A,"YWC Capital")+SUMIFS(Movimientos!$K$1:$K$1368,Movimientos!$C$1:$C$1368,"YWC Capital",Movimientos!$B$1:$B$1368,"&lt;="&amp;$B57)</f>
        <v>2237.77</v>
      </c>
      <c r="M57" s="24">
        <f>SUMIFS('Saldos Iniciales'!$D:$D,'Saldos Iniciales'!$A:$A,"Soweto")+SUMIFS(Movimientos!$K$1:$K$1368,Movimientos!$C$1:$C$1368,"Soweto",Movimientos!$B$1:$B$1368,"&lt;="&amp;$B57)</f>
        <v>3349.94</v>
      </c>
      <c r="N57" s="24">
        <f>SUMIFS('Saldos Iniciales'!$D:$D,'Saldos Iniciales'!$A:$A,"Green Stone Trust")+SUMIFS(Movimientos!$K$1:$K$1368,Movimientos!$C$1:$C$1368,"Green Stone Trust",Movimientos!$B$1:$B$1368,"&lt;="&amp;$B57)</f>
        <v>1968.99</v>
      </c>
      <c r="O57" s="24">
        <f>SUMIFS('Saldos Iniciales'!$D:$D,'Saldos Iniciales'!$A:$A,"EC Auto")+SUMIFS(Movimientos!$K$1:$K$1368,Movimientos!$C$1:$C$1368,"EC Auto",Movimientos!$B$1:$B$1368,"&lt;="&amp;$B57)</f>
        <v>382.69000000000005</v>
      </c>
      <c r="P57" s="24">
        <f>SUMIFS('Saldos Iniciales'!$D:$D,'Saldos Iniciales'!$A:$A,"Arbor Capital Properties")+SUMIFS(Movimientos!$K$1:$K$1368,Movimientos!$C$1:$C$1368,"Arbor Capital Properties",Movimientos!$B$1:$B$1368,"&lt;="&amp;$B57)</f>
        <v>1428.08</v>
      </c>
      <c r="Q57" s="24">
        <f>SUMIFS('Saldos Iniciales'!$D:$D,'Saldos Iniciales'!$A:$A,"2515 Overbrook")+SUMIFS(Movimientos!$K$1:$K$1368,Movimientos!$C$1:$C$1368,"2515 Overbrook",Movimientos!$B$1:$B$1368,"&lt;="&amp;$B57)</f>
        <v>31039.969999999961</v>
      </c>
      <c r="R57" s="24">
        <f>SUMIFS('Saldos Iniciales'!$D:$D,'Saldos Iniciales'!$A:$A,"112 Florida Ave")+SUMIFS(Movimientos!$K$1:$K$1368,Movimientos!$C$1:$C$1368,"112 Florida Ave",Movimientos!$B$1:$B$1368,"&lt;="&amp;$B57)</f>
        <v>20321.43</v>
      </c>
      <c r="S57" s="24">
        <f>SUMIFS('Saldos Iniciales'!$D:$D,'Saldos Iniciales'!$A:$A,"3628 Thomas Ave")+SUMIFS(Movimientos!$K$1:$K$1368,Movimientos!$C$1:$C$1368,"3628 Thomas Ave",Movimientos!$B$1:$B$1368,"&lt;="&amp;$B57)</f>
        <v>28473.599999999999</v>
      </c>
      <c r="T57" s="24">
        <f>SUMIFS('Saldos Iniciales'!$D:$D,'Saldos Iniciales'!$A:$A,"Green Harbor Trust")+SUMIFS(Movimientos!$K$1:$K$1368,Movimientos!$C$1:$C$1368,"Green Harbor Trust",Movimientos!$B$1:$B$1368,"&lt;="&amp;$B57)</f>
        <v>345</v>
      </c>
      <c r="U57" s="24">
        <f>SUMIFS('Saldos Iniciales'!$D:$D,'Saldos Iniciales'!$A:$A,"Go Blue")+SUMIFS(Movimientos!$K$1:$K$1368,Movimientos!$C$1:$C$1368,"Go Blue",Movimientos!$B$1:$B$1368,"&lt;="&amp;$B57)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Group")+SUMIFS(Movimientos!$K$1:$K$1368,Movimientos!$C$1:$C$1368,"CFT Group",Movimientos!$B$1:$B$1368,"&lt;="&amp;$B58)</f>
        <v>6288055.7100000009</v>
      </c>
      <c r="D58" s="24">
        <f>SUMIFS('Saldos Iniciales'!$D:$D,'Saldos Iniciales'!$A:$A,"M1B")+SUMIFS(Movimientos!$K$1:$K$1368,Movimientos!$C$1:$C$1368,"M1B",Movimientos!$B$1:$B$1368,"&lt;="&amp;$B58)</f>
        <v>72386.190000000177</v>
      </c>
      <c r="E58" s="24">
        <f>SUMIFS('Saldos Iniciales'!$D:$D,'Saldos Iniciales'!$A:$A,"Durand")+SUMIFS(Movimientos!$K$1:$K$1368,Movimientos!$C$1:$C$1368,"Durand",Movimientos!$B$1:$B$1368,"&lt;="&amp;$B58)</f>
        <v>1669.89</v>
      </c>
      <c r="F58" s="24">
        <f>SUMIFS('Saldos Iniciales'!$D:$D,'Saldos Iniciales'!$A:$A,"A&amp;M Imports")+SUMIFS(Movimientos!$K$1:$K$1368,Movimientos!$C$1:$C$1368,"A&amp;M Imports",Movimientos!$B$1:$B$1368,"&lt;="&amp;$B58)</f>
        <v>472766.72999999986</v>
      </c>
      <c r="G58" s="24">
        <f>SUMIFS('Saldos Iniciales'!$D:$D,'Saldos Iniciales'!$A:$A,"SSP Capital")+SUMIFS(Movimientos!$K$1:$K$1368,Movimientos!$C$1:$C$1368,"SSP Capital",Movimientos!$B$1:$B$1368,"&lt;="&amp;$B58)</f>
        <v>1932389.7199999993</v>
      </c>
      <c r="H58" s="24">
        <f>SUMIFS('Saldos Iniciales'!$D:$D,'Saldos Iniciales'!$A:$A,"Cross Family Trust")+SUMIFS(Movimientos!$K$1:$K$1368,Movimientos!$C$1:$C$1368,"Cross Family Trust",Movimientos!$B$1:$B$1368,"&lt;="&amp;$B58)</f>
        <v>1396496.38</v>
      </c>
      <c r="I58" s="24">
        <f>SUMIFS('Saldos Iniciales'!$D:$D,'Saldos Iniciales'!$A:$A,"Cross Security Trust")+SUMIFS(Movimientos!$K$1:$K$1368,Movimientos!$C$1:$C$1368,"Cross Security Trust",Movimientos!$B$1:$B$1368,"&lt;="&amp;$B58)</f>
        <v>330375.99000000005</v>
      </c>
      <c r="J58" s="24">
        <f>SUMIFS('Saldos Iniciales'!$D:$D,'Saldos Iniciales'!$A:$A,"Electrama")+SUMIFS(Movimientos!$K$1:$K$1368,Movimientos!$C$1:$C$1368,"Electrama",Movimientos!$B$1:$B$1368,"&lt;="&amp;$B58)</f>
        <v>511.15999999999985</v>
      </c>
      <c r="K58" s="24">
        <f>SUMIFS('Saldos Iniciales'!$D:$D,'Saldos Iniciales'!$A:$A,"Sacred Valley Capital")+SUMIFS(Movimientos!$K$1:$K$1368,Movimientos!$C$1:$C$1368,"Sacred Valley Capital",Movimientos!$B$1:$B$1368,"&lt;="&amp;$B58)</f>
        <v>84.35</v>
      </c>
      <c r="L58" s="24">
        <f>SUMIFS('Saldos Iniciales'!$D:$D,'Saldos Iniciales'!$A:$A,"YWC Capital")+SUMIFS(Movimientos!$K$1:$K$1368,Movimientos!$C$1:$C$1368,"YWC Capital",Movimientos!$B$1:$B$1368,"&lt;="&amp;$B58)</f>
        <v>2237.77</v>
      </c>
      <c r="M58" s="24">
        <f>SUMIFS('Saldos Iniciales'!$D:$D,'Saldos Iniciales'!$A:$A,"Soweto")+SUMIFS(Movimientos!$K$1:$K$1368,Movimientos!$C$1:$C$1368,"Soweto",Movimientos!$B$1:$B$1368,"&lt;="&amp;$B58)</f>
        <v>3349.94</v>
      </c>
      <c r="N58" s="24">
        <f>SUMIFS('Saldos Iniciales'!$D:$D,'Saldos Iniciales'!$A:$A,"Green Stone Trust")+SUMIFS(Movimientos!$K$1:$K$1368,Movimientos!$C$1:$C$1368,"Green Stone Trust",Movimientos!$B$1:$B$1368,"&lt;="&amp;$B58)</f>
        <v>1968.99</v>
      </c>
      <c r="O58" s="24">
        <f>SUMIFS('Saldos Iniciales'!$D:$D,'Saldos Iniciales'!$A:$A,"EC Auto")+SUMIFS(Movimientos!$K$1:$K$1368,Movimientos!$C$1:$C$1368,"EC Auto",Movimientos!$B$1:$B$1368,"&lt;="&amp;$B58)</f>
        <v>382.69000000000005</v>
      </c>
      <c r="P58" s="24">
        <f>SUMIFS('Saldos Iniciales'!$D:$D,'Saldos Iniciales'!$A:$A,"Arbor Capital Properties")+SUMIFS(Movimientos!$K$1:$K$1368,Movimientos!$C$1:$C$1368,"Arbor Capital Properties",Movimientos!$B$1:$B$1368,"&lt;="&amp;$B58)</f>
        <v>1428.08</v>
      </c>
      <c r="Q58" s="24">
        <f>SUMIFS('Saldos Iniciales'!$D:$D,'Saldos Iniciales'!$A:$A,"2515 Overbrook")+SUMIFS(Movimientos!$K$1:$K$1368,Movimientos!$C$1:$C$1368,"2515 Overbrook",Movimientos!$B$1:$B$1368,"&lt;="&amp;$B58)</f>
        <v>31039.969999999961</v>
      </c>
      <c r="R58" s="24">
        <f>SUMIFS('Saldos Iniciales'!$D:$D,'Saldos Iniciales'!$A:$A,"112 Florida Ave")+SUMIFS(Movimientos!$K$1:$K$1368,Movimientos!$C$1:$C$1368,"112 Florida Ave",Movimientos!$B$1:$B$1368,"&lt;="&amp;$B58)</f>
        <v>20321.43</v>
      </c>
      <c r="S58" s="24">
        <f>SUMIFS('Saldos Iniciales'!$D:$D,'Saldos Iniciales'!$A:$A,"3628 Thomas Ave")+SUMIFS(Movimientos!$K$1:$K$1368,Movimientos!$C$1:$C$1368,"3628 Thomas Ave",Movimientos!$B$1:$B$1368,"&lt;="&amp;$B58)</f>
        <v>28458.6</v>
      </c>
      <c r="T58" s="24">
        <f>SUMIFS('Saldos Iniciales'!$D:$D,'Saldos Iniciales'!$A:$A,"Green Harbor Trust")+SUMIFS(Movimientos!$K$1:$K$1368,Movimientos!$C$1:$C$1368,"Green Harbor Trust",Movimientos!$B$1:$B$1368,"&lt;="&amp;$B58)</f>
        <v>345</v>
      </c>
      <c r="U58" s="24">
        <f>SUMIFS('Saldos Iniciales'!$D:$D,'Saldos Iniciales'!$A:$A,"Go Blue")+SUMIFS(Movimientos!$K$1:$K$1368,Movimientos!$C$1:$C$1368,"Go Blue",Movimientos!$B$1:$B$1368,"&lt;="&amp;$B58)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Group")+SUMIFS(Movimientos!$K$1:$K$1368,Movimientos!$C$1:$C$1368,"CFT Group",Movimientos!$B$1:$B$1368,"&lt;="&amp;$B59)</f>
        <v>6288055.7100000009</v>
      </c>
      <c r="D59" s="24">
        <f>SUMIFS('Saldos Iniciales'!$D:$D,'Saldos Iniciales'!$A:$A,"M1B")+SUMIFS(Movimientos!$K$1:$K$1368,Movimientos!$C$1:$C$1368,"M1B",Movimientos!$B$1:$B$1368,"&lt;="&amp;$B59)</f>
        <v>72386.190000000177</v>
      </c>
      <c r="E59" s="24">
        <f>SUMIFS('Saldos Iniciales'!$D:$D,'Saldos Iniciales'!$A:$A,"Durand")+SUMIFS(Movimientos!$K$1:$K$1368,Movimientos!$C$1:$C$1368,"Durand",Movimientos!$B$1:$B$1368,"&lt;="&amp;$B59)</f>
        <v>1669.89</v>
      </c>
      <c r="F59" s="24">
        <f>SUMIFS('Saldos Iniciales'!$D:$D,'Saldos Iniciales'!$A:$A,"A&amp;M Imports")+SUMIFS(Movimientos!$K$1:$K$1368,Movimientos!$C$1:$C$1368,"A&amp;M Imports",Movimientos!$B$1:$B$1368,"&lt;="&amp;$B59)</f>
        <v>472766.72999999986</v>
      </c>
      <c r="G59" s="24">
        <f>SUMIFS('Saldos Iniciales'!$D:$D,'Saldos Iniciales'!$A:$A,"SSP Capital")+SUMIFS(Movimientos!$K$1:$K$1368,Movimientos!$C$1:$C$1368,"SSP Capital",Movimientos!$B$1:$B$1368,"&lt;="&amp;$B59)</f>
        <v>1932389.7199999993</v>
      </c>
      <c r="H59" s="24">
        <f>SUMIFS('Saldos Iniciales'!$D:$D,'Saldos Iniciales'!$A:$A,"Cross Family Trust")+SUMIFS(Movimientos!$K$1:$K$1368,Movimientos!$C$1:$C$1368,"Cross Family Trust",Movimientos!$B$1:$B$1368,"&lt;="&amp;$B59)</f>
        <v>1396496.38</v>
      </c>
      <c r="I59" s="24">
        <f>SUMIFS('Saldos Iniciales'!$D:$D,'Saldos Iniciales'!$A:$A,"Cross Security Trust")+SUMIFS(Movimientos!$K$1:$K$1368,Movimientos!$C$1:$C$1368,"Cross Security Trust",Movimientos!$B$1:$B$1368,"&lt;="&amp;$B59)</f>
        <v>330375.99000000005</v>
      </c>
      <c r="J59" s="24">
        <f>SUMIFS('Saldos Iniciales'!$D:$D,'Saldos Iniciales'!$A:$A,"Electrama")+SUMIFS(Movimientos!$K$1:$K$1368,Movimientos!$C$1:$C$1368,"Electrama",Movimientos!$B$1:$B$1368,"&lt;="&amp;$B59)</f>
        <v>511.15999999999985</v>
      </c>
      <c r="K59" s="24">
        <f>SUMIFS('Saldos Iniciales'!$D:$D,'Saldos Iniciales'!$A:$A,"Sacred Valley Capital")+SUMIFS(Movimientos!$K$1:$K$1368,Movimientos!$C$1:$C$1368,"Sacred Valley Capital",Movimientos!$B$1:$B$1368,"&lt;="&amp;$B59)</f>
        <v>84.35</v>
      </c>
      <c r="L59" s="24">
        <f>SUMIFS('Saldos Iniciales'!$D:$D,'Saldos Iniciales'!$A:$A,"YWC Capital")+SUMIFS(Movimientos!$K$1:$K$1368,Movimientos!$C$1:$C$1368,"YWC Capital",Movimientos!$B$1:$B$1368,"&lt;="&amp;$B59)</f>
        <v>2237.77</v>
      </c>
      <c r="M59" s="24">
        <f>SUMIFS('Saldos Iniciales'!$D:$D,'Saldos Iniciales'!$A:$A,"Soweto")+SUMIFS(Movimientos!$K$1:$K$1368,Movimientos!$C$1:$C$1368,"Soweto",Movimientos!$B$1:$B$1368,"&lt;="&amp;$B59)</f>
        <v>3349.94</v>
      </c>
      <c r="N59" s="24">
        <f>SUMIFS('Saldos Iniciales'!$D:$D,'Saldos Iniciales'!$A:$A,"Green Stone Trust")+SUMIFS(Movimientos!$K$1:$K$1368,Movimientos!$C$1:$C$1368,"Green Stone Trust",Movimientos!$B$1:$B$1368,"&lt;="&amp;$B59)</f>
        <v>1968.99</v>
      </c>
      <c r="O59" s="24">
        <f>SUMIFS('Saldos Iniciales'!$D:$D,'Saldos Iniciales'!$A:$A,"EC Auto")+SUMIFS(Movimientos!$K$1:$K$1368,Movimientos!$C$1:$C$1368,"EC Auto",Movimientos!$B$1:$B$1368,"&lt;="&amp;$B59)</f>
        <v>382.69000000000005</v>
      </c>
      <c r="P59" s="24">
        <f>SUMIFS('Saldos Iniciales'!$D:$D,'Saldos Iniciales'!$A:$A,"Arbor Capital Properties")+SUMIFS(Movimientos!$K$1:$K$1368,Movimientos!$C$1:$C$1368,"Arbor Capital Properties",Movimientos!$B$1:$B$1368,"&lt;="&amp;$B59)</f>
        <v>1428.08</v>
      </c>
      <c r="Q59" s="24">
        <f>SUMIFS('Saldos Iniciales'!$D:$D,'Saldos Iniciales'!$A:$A,"2515 Overbrook")+SUMIFS(Movimientos!$K$1:$K$1368,Movimientos!$C$1:$C$1368,"2515 Overbrook",Movimientos!$B$1:$B$1368,"&lt;="&amp;$B59)</f>
        <v>31039.969999999961</v>
      </c>
      <c r="R59" s="24">
        <f>SUMIFS('Saldos Iniciales'!$D:$D,'Saldos Iniciales'!$A:$A,"112 Florida Ave")+SUMIFS(Movimientos!$K$1:$K$1368,Movimientos!$C$1:$C$1368,"112 Florida Ave",Movimientos!$B$1:$B$1368,"&lt;="&amp;$B59)</f>
        <v>20321.43</v>
      </c>
      <c r="S59" s="24">
        <f>SUMIFS('Saldos Iniciales'!$D:$D,'Saldos Iniciales'!$A:$A,"3628 Thomas Ave")+SUMIFS(Movimientos!$K$1:$K$1368,Movimientos!$C$1:$C$1368,"3628 Thomas Ave",Movimientos!$B$1:$B$1368,"&lt;="&amp;$B59)</f>
        <v>28458.6</v>
      </c>
      <c r="T59" s="24">
        <f>SUMIFS('Saldos Iniciales'!$D:$D,'Saldos Iniciales'!$A:$A,"Green Harbor Trust")+SUMIFS(Movimientos!$K$1:$K$1368,Movimientos!$C$1:$C$1368,"Green Harbor Trust",Movimientos!$B$1:$B$1368,"&lt;="&amp;$B59)</f>
        <v>345</v>
      </c>
      <c r="U59" s="24">
        <f>SUMIFS('Saldos Iniciales'!$D:$D,'Saldos Iniciales'!$A:$A,"Go Blue")+SUMIFS(Movimientos!$K$1:$K$1368,Movimientos!$C$1:$C$1368,"Go Blue",Movimientos!$B$1:$B$1368,"&lt;="&amp;$B59)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Group")+SUMIFS(Movimientos!$K$1:$K$1368,Movimientos!$C$1:$C$1368,"CFT Group",Movimientos!$B$1:$B$1368,"&lt;="&amp;$B60)</f>
        <v>6288055.7100000009</v>
      </c>
      <c r="D60" s="24">
        <f>SUMIFS('Saldos Iniciales'!$D:$D,'Saldos Iniciales'!$A:$A,"M1B")+SUMIFS(Movimientos!$K$1:$K$1368,Movimientos!$C$1:$C$1368,"M1B",Movimientos!$B$1:$B$1368,"&lt;="&amp;$B60)</f>
        <v>72386.190000000177</v>
      </c>
      <c r="E60" s="24">
        <f>SUMIFS('Saldos Iniciales'!$D:$D,'Saldos Iniciales'!$A:$A,"Durand")+SUMIFS(Movimientos!$K$1:$K$1368,Movimientos!$C$1:$C$1368,"Durand",Movimientos!$B$1:$B$1368,"&lt;="&amp;$B60)</f>
        <v>1669.89</v>
      </c>
      <c r="F60" s="24">
        <f>SUMIFS('Saldos Iniciales'!$D:$D,'Saldos Iniciales'!$A:$A,"A&amp;M Imports")+SUMIFS(Movimientos!$K$1:$K$1368,Movimientos!$C$1:$C$1368,"A&amp;M Imports",Movimientos!$B$1:$B$1368,"&lt;="&amp;$B60)</f>
        <v>472766.72999999986</v>
      </c>
      <c r="G60" s="24">
        <f>SUMIFS('Saldos Iniciales'!$D:$D,'Saldos Iniciales'!$A:$A,"SSP Capital")+SUMIFS(Movimientos!$K$1:$K$1368,Movimientos!$C$1:$C$1368,"SSP Capital",Movimientos!$B$1:$B$1368,"&lt;="&amp;$B60)</f>
        <v>1932389.7199999993</v>
      </c>
      <c r="H60" s="24">
        <f>SUMIFS('Saldos Iniciales'!$D:$D,'Saldos Iniciales'!$A:$A,"Cross Family Trust")+SUMIFS(Movimientos!$K$1:$K$1368,Movimientos!$C$1:$C$1368,"Cross Family Trust",Movimientos!$B$1:$B$1368,"&lt;="&amp;$B60)</f>
        <v>1396496.38</v>
      </c>
      <c r="I60" s="24">
        <f>SUMIFS('Saldos Iniciales'!$D:$D,'Saldos Iniciales'!$A:$A,"Cross Security Trust")+SUMIFS(Movimientos!$K$1:$K$1368,Movimientos!$C$1:$C$1368,"Cross Security Trust",Movimientos!$B$1:$B$1368,"&lt;="&amp;$B60)</f>
        <v>330375.99000000005</v>
      </c>
      <c r="J60" s="24">
        <f>SUMIFS('Saldos Iniciales'!$D:$D,'Saldos Iniciales'!$A:$A,"Electrama")+SUMIFS(Movimientos!$K$1:$K$1368,Movimientos!$C$1:$C$1368,"Electrama",Movimientos!$B$1:$B$1368,"&lt;="&amp;$B60)</f>
        <v>511.15999999999985</v>
      </c>
      <c r="K60" s="24">
        <f>SUMIFS('Saldos Iniciales'!$D:$D,'Saldos Iniciales'!$A:$A,"Sacred Valley Capital")+SUMIFS(Movimientos!$K$1:$K$1368,Movimientos!$C$1:$C$1368,"Sacred Valley Capital",Movimientos!$B$1:$B$1368,"&lt;="&amp;$B60)</f>
        <v>84.35</v>
      </c>
      <c r="L60" s="24">
        <f>SUMIFS('Saldos Iniciales'!$D:$D,'Saldos Iniciales'!$A:$A,"YWC Capital")+SUMIFS(Movimientos!$K$1:$K$1368,Movimientos!$C$1:$C$1368,"YWC Capital",Movimientos!$B$1:$B$1368,"&lt;="&amp;$B60)</f>
        <v>2237.77</v>
      </c>
      <c r="M60" s="24">
        <f>SUMIFS('Saldos Iniciales'!$D:$D,'Saldos Iniciales'!$A:$A,"Soweto")+SUMIFS(Movimientos!$K$1:$K$1368,Movimientos!$C$1:$C$1368,"Soweto",Movimientos!$B$1:$B$1368,"&lt;="&amp;$B60)</f>
        <v>3349.94</v>
      </c>
      <c r="N60" s="24">
        <f>SUMIFS('Saldos Iniciales'!$D:$D,'Saldos Iniciales'!$A:$A,"Green Stone Trust")+SUMIFS(Movimientos!$K$1:$K$1368,Movimientos!$C$1:$C$1368,"Green Stone Trust",Movimientos!$B$1:$B$1368,"&lt;="&amp;$B60)</f>
        <v>1968.99</v>
      </c>
      <c r="O60" s="24">
        <f>SUMIFS('Saldos Iniciales'!$D:$D,'Saldos Iniciales'!$A:$A,"EC Auto")+SUMIFS(Movimientos!$K$1:$K$1368,Movimientos!$C$1:$C$1368,"EC Auto",Movimientos!$B$1:$B$1368,"&lt;="&amp;$B60)</f>
        <v>382.69000000000005</v>
      </c>
      <c r="P60" s="24">
        <f>SUMIFS('Saldos Iniciales'!$D:$D,'Saldos Iniciales'!$A:$A,"Arbor Capital Properties")+SUMIFS(Movimientos!$K$1:$K$1368,Movimientos!$C$1:$C$1368,"Arbor Capital Properties",Movimientos!$B$1:$B$1368,"&lt;="&amp;$B60)</f>
        <v>1428.08</v>
      </c>
      <c r="Q60" s="24">
        <f>SUMIFS('Saldos Iniciales'!$D:$D,'Saldos Iniciales'!$A:$A,"2515 Overbrook")+SUMIFS(Movimientos!$K$1:$K$1368,Movimientos!$C$1:$C$1368,"2515 Overbrook",Movimientos!$B$1:$B$1368,"&lt;="&amp;$B60)</f>
        <v>31039.969999999961</v>
      </c>
      <c r="R60" s="24">
        <f>SUMIFS('Saldos Iniciales'!$D:$D,'Saldos Iniciales'!$A:$A,"112 Florida Ave")+SUMIFS(Movimientos!$K$1:$K$1368,Movimientos!$C$1:$C$1368,"112 Florida Ave",Movimientos!$B$1:$B$1368,"&lt;="&amp;$B60)</f>
        <v>20321.43</v>
      </c>
      <c r="S60" s="24">
        <f>SUMIFS('Saldos Iniciales'!$D:$D,'Saldos Iniciales'!$A:$A,"3628 Thomas Ave")+SUMIFS(Movimientos!$K$1:$K$1368,Movimientos!$C$1:$C$1368,"3628 Thomas Ave",Movimientos!$B$1:$B$1368,"&lt;="&amp;$B60)</f>
        <v>28458.6</v>
      </c>
      <c r="T60" s="24">
        <f>SUMIFS('Saldos Iniciales'!$D:$D,'Saldos Iniciales'!$A:$A,"Green Harbor Trust")+SUMIFS(Movimientos!$K$1:$K$1368,Movimientos!$C$1:$C$1368,"Green Harbor Trust",Movimientos!$B$1:$B$1368,"&lt;="&amp;$B60)</f>
        <v>345</v>
      </c>
      <c r="U60" s="24">
        <f>SUMIFS('Saldos Iniciales'!$D:$D,'Saldos Iniciales'!$A:$A,"Go Blue")+SUMIFS(Movimientos!$K$1:$K$1368,Movimientos!$C$1:$C$1368,"Go Blue",Movimientos!$B$1:$B$1368,"&lt;="&amp;$B60)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Group")+SUMIFS(Movimientos!$K$1:$K$1368,Movimientos!$C$1:$C$1368,"CFT Group",Movimientos!$B$1:$B$1368,"&lt;="&amp;$B61)</f>
        <v>6299174.8100000015</v>
      </c>
      <c r="D61" s="24">
        <f>SUMIFS('Saldos Iniciales'!$D:$D,'Saldos Iniciales'!$A:$A,"M1B")+SUMIFS(Movimientos!$K$1:$K$1368,Movimientos!$C$1:$C$1368,"M1B",Movimientos!$B$1:$B$1368,"&lt;="&amp;$B61)</f>
        <v>72386.190000000177</v>
      </c>
      <c r="E61" s="24">
        <f>SUMIFS('Saldos Iniciales'!$D:$D,'Saldos Iniciales'!$A:$A,"Durand")+SUMIFS(Movimientos!$K$1:$K$1368,Movimientos!$C$1:$C$1368,"Durand",Movimientos!$B$1:$B$1368,"&lt;="&amp;$B61)</f>
        <v>1669.89</v>
      </c>
      <c r="F61" s="24">
        <f>SUMIFS('Saldos Iniciales'!$D:$D,'Saldos Iniciales'!$A:$A,"A&amp;M Imports")+SUMIFS(Movimientos!$K$1:$K$1368,Movimientos!$C$1:$C$1368,"A&amp;M Imports",Movimientos!$B$1:$B$1368,"&lt;="&amp;$B61)</f>
        <v>489745.62999999989</v>
      </c>
      <c r="G61" s="24">
        <f>SUMIFS('Saldos Iniciales'!$D:$D,'Saldos Iniciales'!$A:$A,"SSP Capital")+SUMIFS(Movimientos!$K$1:$K$1368,Movimientos!$C$1:$C$1368,"SSP Capital",Movimientos!$B$1:$B$1368,"&lt;="&amp;$B61)</f>
        <v>1768167.9199999995</v>
      </c>
      <c r="H61" s="24">
        <f>SUMIFS('Saldos Iniciales'!$D:$D,'Saldos Iniciales'!$A:$A,"Cross Family Trust")+SUMIFS(Movimientos!$K$1:$K$1368,Movimientos!$C$1:$C$1368,"Cross Family Trust",Movimientos!$B$1:$B$1368,"&lt;="&amp;$B61)</f>
        <v>396496.38</v>
      </c>
      <c r="I61" s="24">
        <f>SUMIFS('Saldos Iniciales'!$D:$D,'Saldos Iniciales'!$A:$A,"Cross Security Trust")+SUMIFS(Movimientos!$K$1:$K$1368,Movimientos!$C$1:$C$1368,"Cross Security Trust",Movimientos!$B$1:$B$1368,"&lt;="&amp;$B61)</f>
        <v>327405.99000000005</v>
      </c>
      <c r="J61" s="24">
        <f>SUMIFS('Saldos Iniciales'!$D:$D,'Saldos Iniciales'!$A:$A,"Electrama")+SUMIFS(Movimientos!$K$1:$K$1368,Movimientos!$C$1:$C$1368,"Electrama",Movimientos!$B$1:$B$1368,"&lt;="&amp;$B61)</f>
        <v>511.15999999999985</v>
      </c>
      <c r="K61" s="24">
        <f>SUMIFS('Saldos Iniciales'!$D:$D,'Saldos Iniciales'!$A:$A,"Sacred Valley Capital")+SUMIFS(Movimientos!$K$1:$K$1368,Movimientos!$C$1:$C$1368,"Sacred Valley Capital",Movimientos!$B$1:$B$1368,"&lt;="&amp;$B61)</f>
        <v>84.35</v>
      </c>
      <c r="L61" s="24">
        <f>SUMIFS('Saldos Iniciales'!$D:$D,'Saldos Iniciales'!$A:$A,"YWC Capital")+SUMIFS(Movimientos!$K$1:$K$1368,Movimientos!$C$1:$C$1368,"YWC Capital",Movimientos!$B$1:$B$1368,"&lt;="&amp;$B61)</f>
        <v>2237.77</v>
      </c>
      <c r="M61" s="24">
        <f>SUMIFS('Saldos Iniciales'!$D:$D,'Saldos Iniciales'!$A:$A,"Soweto")+SUMIFS(Movimientos!$K$1:$K$1368,Movimientos!$C$1:$C$1368,"Soweto",Movimientos!$B$1:$B$1368,"&lt;="&amp;$B61)</f>
        <v>3349.94</v>
      </c>
      <c r="N61" s="24">
        <f>SUMIFS('Saldos Iniciales'!$D:$D,'Saldos Iniciales'!$A:$A,"Green Stone Trust")+SUMIFS(Movimientos!$K$1:$K$1368,Movimientos!$C$1:$C$1368,"Green Stone Trust",Movimientos!$B$1:$B$1368,"&lt;="&amp;$B61)</f>
        <v>1968.99</v>
      </c>
      <c r="O61" s="24">
        <f>SUMIFS('Saldos Iniciales'!$D:$D,'Saldos Iniciales'!$A:$A,"EC Auto")+SUMIFS(Movimientos!$K$1:$K$1368,Movimientos!$C$1:$C$1368,"EC Auto",Movimientos!$B$1:$B$1368,"&lt;="&amp;$B61)</f>
        <v>382.69000000000005</v>
      </c>
      <c r="P61" s="24">
        <f>SUMIFS('Saldos Iniciales'!$D:$D,'Saldos Iniciales'!$A:$A,"Arbor Capital Properties")+SUMIFS(Movimientos!$K$1:$K$1368,Movimientos!$C$1:$C$1368,"Arbor Capital Properties",Movimientos!$B$1:$B$1368,"&lt;="&amp;$B61)</f>
        <v>1428.08</v>
      </c>
      <c r="Q61" s="24">
        <f>SUMIFS('Saldos Iniciales'!$D:$D,'Saldos Iniciales'!$A:$A,"2515 Overbrook")+SUMIFS(Movimientos!$K$1:$K$1368,Movimientos!$C$1:$C$1368,"2515 Overbrook",Movimientos!$B$1:$B$1368,"&lt;="&amp;$B61)</f>
        <v>31039.969999999961</v>
      </c>
      <c r="R61" s="24">
        <f>SUMIFS('Saldos Iniciales'!$D:$D,'Saldos Iniciales'!$A:$A,"112 Florida Ave")+SUMIFS(Movimientos!$K$1:$K$1368,Movimientos!$C$1:$C$1368,"112 Florida Ave",Movimientos!$B$1:$B$1368,"&lt;="&amp;$B61)</f>
        <v>20321.43</v>
      </c>
      <c r="S61" s="24">
        <f>SUMIFS('Saldos Iniciales'!$D:$D,'Saldos Iniciales'!$A:$A,"3628 Thomas Ave")+SUMIFS(Movimientos!$K$1:$K$1368,Movimientos!$C$1:$C$1368,"3628 Thomas Ave",Movimientos!$B$1:$B$1368,"&lt;="&amp;$B61)</f>
        <v>28458.6</v>
      </c>
      <c r="T61" s="24">
        <f>SUMIFS('Saldos Iniciales'!$D:$D,'Saldos Iniciales'!$A:$A,"Green Harbor Trust")+SUMIFS(Movimientos!$K$1:$K$1368,Movimientos!$C$1:$C$1368,"Green Harbor Trust",Movimientos!$B$1:$B$1368,"&lt;="&amp;$B61)</f>
        <v>345</v>
      </c>
      <c r="U61" s="24">
        <f>SUMIFS('Saldos Iniciales'!$D:$D,'Saldos Iniciales'!$A:$A,"Go Blue")+SUMIFS(Movimientos!$K$1:$K$1368,Movimientos!$C$1:$C$1368,"Go Blue",Movimientos!$B$1:$B$1368,"&lt;="&amp;$B61)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Group")+SUMIFS(Movimientos!$K$1:$K$1368,Movimientos!$C$1:$C$1368,"CFT Group",Movimientos!$B$1:$B$1368,"&lt;="&amp;$B62)</f>
        <v>6295585.7500000009</v>
      </c>
      <c r="D62" s="24">
        <f>SUMIFS('Saldos Iniciales'!$D:$D,'Saldos Iniciales'!$A:$A,"M1B")+SUMIFS(Movimientos!$K$1:$K$1368,Movimientos!$C$1:$C$1368,"M1B",Movimientos!$B$1:$B$1368,"&lt;="&amp;$B62)</f>
        <v>79139.680000000168</v>
      </c>
      <c r="E62" s="24">
        <f>SUMIFS('Saldos Iniciales'!$D:$D,'Saldos Iniciales'!$A:$A,"Durand")+SUMIFS(Movimientos!$K$1:$K$1368,Movimientos!$C$1:$C$1368,"Durand",Movimientos!$B$1:$B$1368,"&lt;="&amp;$B62)</f>
        <v>1669.89</v>
      </c>
      <c r="F62" s="24">
        <f>SUMIFS('Saldos Iniciales'!$D:$D,'Saldos Iniciales'!$A:$A,"A&amp;M Imports")+SUMIFS(Movimientos!$K$1:$K$1368,Movimientos!$C$1:$C$1368,"A&amp;M Imports",Movimientos!$B$1:$B$1368,"&lt;="&amp;$B62)</f>
        <v>489745.62999999989</v>
      </c>
      <c r="G62" s="24">
        <f>SUMIFS('Saldos Iniciales'!$D:$D,'Saldos Iniciales'!$A:$A,"SSP Capital")+SUMIFS(Movimientos!$K$1:$K$1368,Movimientos!$C$1:$C$1368,"SSP Capital",Movimientos!$B$1:$B$1368,"&lt;="&amp;$B62)</f>
        <v>1696284.7299999995</v>
      </c>
      <c r="H62" s="24">
        <f>SUMIFS('Saldos Iniciales'!$D:$D,'Saldos Iniciales'!$A:$A,"Cross Family Trust")+SUMIFS(Movimientos!$K$1:$K$1368,Movimientos!$C$1:$C$1368,"Cross Family Trust",Movimientos!$B$1:$B$1368,"&lt;="&amp;$B62)</f>
        <v>390496.38</v>
      </c>
      <c r="I62" s="24">
        <f>SUMIFS('Saldos Iniciales'!$D:$D,'Saldos Iniciales'!$A:$A,"Cross Security Trust")+SUMIFS(Movimientos!$K$1:$K$1368,Movimientos!$C$1:$C$1368,"Cross Security Trust",Movimientos!$B$1:$B$1368,"&lt;="&amp;$B62)</f>
        <v>267503.99000000005</v>
      </c>
      <c r="J62" s="24">
        <f>SUMIFS('Saldos Iniciales'!$D:$D,'Saldos Iniciales'!$A:$A,"Electrama")+SUMIFS(Movimientos!$K$1:$K$1368,Movimientos!$C$1:$C$1368,"Electrama",Movimientos!$B$1:$B$1368,"&lt;="&amp;$B62)</f>
        <v>511.15999999999985</v>
      </c>
      <c r="K62" s="24">
        <f>SUMIFS('Saldos Iniciales'!$D:$D,'Saldos Iniciales'!$A:$A,"Sacred Valley Capital")+SUMIFS(Movimientos!$K$1:$K$1368,Movimientos!$C$1:$C$1368,"Sacred Valley Capital",Movimientos!$B$1:$B$1368,"&lt;="&amp;$B62)</f>
        <v>84.35</v>
      </c>
      <c r="L62" s="24">
        <f>SUMIFS('Saldos Iniciales'!$D:$D,'Saldos Iniciales'!$A:$A,"YWC Capital")+SUMIFS(Movimientos!$K$1:$K$1368,Movimientos!$C$1:$C$1368,"YWC Capital",Movimientos!$B$1:$B$1368,"&lt;="&amp;$B62)</f>
        <v>2237.77</v>
      </c>
      <c r="M62" s="24">
        <f>SUMIFS('Saldos Iniciales'!$D:$D,'Saldos Iniciales'!$A:$A,"Soweto")+SUMIFS(Movimientos!$K$1:$K$1368,Movimientos!$C$1:$C$1368,"Soweto",Movimientos!$B$1:$B$1368,"&lt;="&amp;$B62)</f>
        <v>3349.94</v>
      </c>
      <c r="N62" s="24">
        <f>SUMIFS('Saldos Iniciales'!$D:$D,'Saldos Iniciales'!$A:$A,"Green Stone Trust")+SUMIFS(Movimientos!$K$1:$K$1368,Movimientos!$C$1:$C$1368,"Green Stone Trust",Movimientos!$B$1:$B$1368,"&lt;="&amp;$B62)</f>
        <v>1968.99</v>
      </c>
      <c r="O62" s="24">
        <f>SUMIFS('Saldos Iniciales'!$D:$D,'Saldos Iniciales'!$A:$A,"EC Auto")+SUMIFS(Movimientos!$K$1:$K$1368,Movimientos!$C$1:$C$1368,"EC Auto",Movimientos!$B$1:$B$1368,"&lt;="&amp;$B62)</f>
        <v>382.69000000000005</v>
      </c>
      <c r="P62" s="24">
        <f>SUMIFS('Saldos Iniciales'!$D:$D,'Saldos Iniciales'!$A:$A,"Arbor Capital Properties")+SUMIFS(Movimientos!$K$1:$K$1368,Movimientos!$C$1:$C$1368,"Arbor Capital Properties",Movimientos!$B$1:$B$1368,"&lt;="&amp;$B62)</f>
        <v>1428.08</v>
      </c>
      <c r="Q62" s="24">
        <f>SUMIFS('Saldos Iniciales'!$D:$D,'Saldos Iniciales'!$A:$A,"2515 Overbrook")+SUMIFS(Movimientos!$K$1:$K$1368,Movimientos!$C$1:$C$1368,"2515 Overbrook",Movimientos!$B$1:$B$1368,"&lt;="&amp;$B62)</f>
        <v>31039.969999999961</v>
      </c>
      <c r="R62" s="24">
        <f>SUMIFS('Saldos Iniciales'!$D:$D,'Saldos Iniciales'!$A:$A,"112 Florida Ave")+SUMIFS(Movimientos!$K$1:$K$1368,Movimientos!$C$1:$C$1368,"112 Florida Ave",Movimientos!$B$1:$B$1368,"&lt;="&amp;$B62)</f>
        <v>20321.43</v>
      </c>
      <c r="S62" s="24">
        <f>SUMIFS('Saldos Iniciales'!$D:$D,'Saldos Iniciales'!$A:$A,"3628 Thomas Ave")+SUMIFS(Movimientos!$K$1:$K$1368,Movimientos!$C$1:$C$1368,"3628 Thomas Ave",Movimientos!$B$1:$B$1368,"&lt;="&amp;$B62)</f>
        <v>28458.6</v>
      </c>
      <c r="T62" s="24">
        <f>SUMIFS('Saldos Iniciales'!$D:$D,'Saldos Iniciales'!$A:$A,"Green Harbor Trust")+SUMIFS(Movimientos!$K$1:$K$1368,Movimientos!$C$1:$C$1368,"Green Harbor Trust",Movimientos!$B$1:$B$1368,"&lt;="&amp;$B62)</f>
        <v>345</v>
      </c>
      <c r="U62" s="24">
        <f>SUMIFS('Saldos Iniciales'!$D:$D,'Saldos Iniciales'!$A:$A,"Go Blue")+SUMIFS(Movimientos!$K$1:$K$1368,Movimientos!$C$1:$C$1368,"Go Blue",Movimientos!$B$1:$B$1368,"&lt;="&amp;$B62)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Group")+SUMIFS(Movimientos!$K$1:$K$1368,Movimientos!$C$1:$C$1368,"CFT Group",Movimientos!$B$1:$B$1368,"&lt;="&amp;$B63)</f>
        <v>6295585.7500000009</v>
      </c>
      <c r="D63" s="24">
        <f>SUMIFS('Saldos Iniciales'!$D:$D,'Saldos Iniciales'!$A:$A,"M1B")+SUMIFS(Movimientos!$K$1:$K$1368,Movimientos!$C$1:$C$1368,"M1B",Movimientos!$B$1:$B$1368,"&lt;="&amp;$B63)</f>
        <v>79139.680000000168</v>
      </c>
      <c r="E63" s="24">
        <f>SUMIFS('Saldos Iniciales'!$D:$D,'Saldos Iniciales'!$A:$A,"Durand")+SUMIFS(Movimientos!$K$1:$K$1368,Movimientos!$C$1:$C$1368,"Durand",Movimientos!$B$1:$B$1368,"&lt;="&amp;$B63)</f>
        <v>1669.89</v>
      </c>
      <c r="F63" s="24">
        <f>SUMIFS('Saldos Iniciales'!$D:$D,'Saldos Iniciales'!$A:$A,"A&amp;M Imports")+SUMIFS(Movimientos!$K$1:$K$1368,Movimientos!$C$1:$C$1368,"A&amp;M Imports",Movimientos!$B$1:$B$1368,"&lt;="&amp;$B63)</f>
        <v>507936.37999999989</v>
      </c>
      <c r="G63" s="24">
        <f>SUMIFS('Saldos Iniciales'!$D:$D,'Saldos Iniciales'!$A:$A,"SSP Capital")+SUMIFS(Movimientos!$K$1:$K$1368,Movimientos!$C$1:$C$1368,"SSP Capital",Movimientos!$B$1:$B$1368,"&lt;="&amp;$B63)</f>
        <v>1696284.7299999995</v>
      </c>
      <c r="H63" s="24">
        <f>SUMIFS('Saldos Iniciales'!$D:$D,'Saldos Iniciales'!$A:$A,"Cross Family Trust")+SUMIFS(Movimientos!$K$1:$K$1368,Movimientos!$C$1:$C$1368,"Cross Family Trust",Movimientos!$B$1:$B$1368,"&lt;="&amp;$B63)</f>
        <v>390496.38</v>
      </c>
      <c r="I63" s="24">
        <f>SUMIFS('Saldos Iniciales'!$D:$D,'Saldos Iniciales'!$A:$A,"Cross Security Trust")+SUMIFS(Movimientos!$K$1:$K$1368,Movimientos!$C$1:$C$1368,"Cross Security Trust",Movimientos!$B$1:$B$1368,"&lt;="&amp;$B63)</f>
        <v>267503.99000000005</v>
      </c>
      <c r="J63" s="24">
        <f>SUMIFS('Saldos Iniciales'!$D:$D,'Saldos Iniciales'!$A:$A,"Electrama")+SUMIFS(Movimientos!$K$1:$K$1368,Movimientos!$C$1:$C$1368,"Electrama",Movimientos!$B$1:$B$1368,"&lt;="&amp;$B63)</f>
        <v>511.15999999999985</v>
      </c>
      <c r="K63" s="24">
        <f>SUMIFS('Saldos Iniciales'!$D:$D,'Saldos Iniciales'!$A:$A,"Sacred Valley Capital")+SUMIFS(Movimientos!$K$1:$K$1368,Movimientos!$C$1:$C$1368,"Sacred Valley Capital",Movimientos!$B$1:$B$1368,"&lt;="&amp;$B63)</f>
        <v>54.400000000000006</v>
      </c>
      <c r="L63" s="24">
        <f>SUMIFS('Saldos Iniciales'!$D:$D,'Saldos Iniciales'!$A:$A,"YWC Capital")+SUMIFS(Movimientos!$K$1:$K$1368,Movimientos!$C$1:$C$1368,"YWC Capital",Movimientos!$B$1:$B$1368,"&lt;="&amp;$B63)</f>
        <v>2207.8200000000002</v>
      </c>
      <c r="M63" s="24">
        <f>SUMIFS('Saldos Iniciales'!$D:$D,'Saldos Iniciales'!$A:$A,"Soweto")+SUMIFS(Movimientos!$K$1:$K$1368,Movimientos!$C$1:$C$1368,"Soweto",Movimientos!$B$1:$B$1368,"&lt;="&amp;$B63)</f>
        <v>3349.94</v>
      </c>
      <c r="N63" s="24">
        <f>SUMIFS('Saldos Iniciales'!$D:$D,'Saldos Iniciales'!$A:$A,"Green Stone Trust")+SUMIFS(Movimientos!$K$1:$K$1368,Movimientos!$C$1:$C$1368,"Green Stone Trust",Movimientos!$B$1:$B$1368,"&lt;="&amp;$B63)</f>
        <v>1968.99</v>
      </c>
      <c r="O63" s="24">
        <f>SUMIFS('Saldos Iniciales'!$D:$D,'Saldos Iniciales'!$A:$A,"EC Auto")+SUMIFS(Movimientos!$K$1:$K$1368,Movimientos!$C$1:$C$1368,"EC Auto",Movimientos!$B$1:$B$1368,"&lt;="&amp;$B63)</f>
        <v>382.69000000000005</v>
      </c>
      <c r="P63" s="24">
        <f>SUMIFS('Saldos Iniciales'!$D:$D,'Saldos Iniciales'!$A:$A,"Arbor Capital Properties")+SUMIFS(Movimientos!$K$1:$K$1368,Movimientos!$C$1:$C$1368,"Arbor Capital Properties",Movimientos!$B$1:$B$1368,"&lt;="&amp;$B63)</f>
        <v>1412.08</v>
      </c>
      <c r="Q63" s="24">
        <f>SUMIFS('Saldos Iniciales'!$D:$D,'Saldos Iniciales'!$A:$A,"2515 Overbrook")+SUMIFS(Movimientos!$K$1:$K$1368,Movimientos!$C$1:$C$1368,"2515 Overbrook",Movimientos!$B$1:$B$1368,"&lt;="&amp;$B63)</f>
        <v>22496.639999999959</v>
      </c>
      <c r="R63" s="24">
        <f>SUMIFS('Saldos Iniciales'!$D:$D,'Saldos Iniciales'!$A:$A,"112 Florida Ave")+SUMIFS(Movimientos!$K$1:$K$1368,Movimientos!$C$1:$C$1368,"112 Florida Ave",Movimientos!$B$1:$B$1368,"&lt;="&amp;$B63)</f>
        <v>10522.800000000003</v>
      </c>
      <c r="S63" s="24">
        <f>SUMIFS('Saldos Iniciales'!$D:$D,'Saldos Iniciales'!$A:$A,"3628 Thomas Ave")+SUMIFS(Movimientos!$K$1:$K$1368,Movimientos!$C$1:$C$1368,"3628 Thomas Ave",Movimientos!$B$1:$B$1368,"&lt;="&amp;$B63)</f>
        <v>19685.559999999998</v>
      </c>
      <c r="T63" s="24">
        <f>SUMIFS('Saldos Iniciales'!$D:$D,'Saldos Iniciales'!$A:$A,"Green Harbor Trust")+SUMIFS(Movimientos!$K$1:$K$1368,Movimientos!$C$1:$C$1368,"Green Harbor Trust",Movimientos!$B$1:$B$1368,"&lt;="&amp;$B63)</f>
        <v>345</v>
      </c>
      <c r="U63" s="24">
        <f>SUMIFS('Saldos Iniciales'!$D:$D,'Saldos Iniciales'!$A:$A,"Go Blue")+SUMIFS(Movimientos!$K$1:$K$1368,Movimientos!$C$1:$C$1368,"Go Blue",Movimientos!$B$1:$B$1368,"&lt;="&amp;$B63)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Group")+SUMIFS(Movimientos!$K$1:$K$1368,Movimientos!$C$1:$C$1368,"CFT Group",Movimientos!$B$1:$B$1368,"&lt;="&amp;$B64)</f>
        <v>5592585.7500000009</v>
      </c>
      <c r="D64" s="24">
        <f>SUMIFS('Saldos Iniciales'!$D:$D,'Saldos Iniciales'!$A:$A,"M1B")+SUMIFS(Movimientos!$K$1:$K$1368,Movimientos!$C$1:$C$1368,"M1B",Movimientos!$B$1:$B$1368,"&lt;="&amp;$B64)</f>
        <v>79139.680000000168</v>
      </c>
      <c r="E64" s="24">
        <f>SUMIFS('Saldos Iniciales'!$D:$D,'Saldos Iniciales'!$A:$A,"Durand")+SUMIFS(Movimientos!$K$1:$K$1368,Movimientos!$C$1:$C$1368,"Durand",Movimientos!$B$1:$B$1368,"&lt;="&amp;$B64)</f>
        <v>1669.89</v>
      </c>
      <c r="F64" s="24">
        <f>SUMIFS('Saldos Iniciales'!$D:$D,'Saldos Iniciales'!$A:$A,"A&amp;M Imports")+SUMIFS(Movimientos!$K$1:$K$1368,Movimientos!$C$1:$C$1368,"A&amp;M Imports",Movimientos!$B$1:$B$1368,"&lt;="&amp;$B64)</f>
        <v>350475.62999999989</v>
      </c>
      <c r="G64" s="24">
        <f>SUMIFS('Saldos Iniciales'!$D:$D,'Saldos Iniciales'!$A:$A,"SSP Capital")+SUMIFS(Movimientos!$K$1:$K$1368,Movimientos!$C$1:$C$1368,"SSP Capital",Movimientos!$B$1:$B$1368,"&lt;="&amp;$B64)</f>
        <v>1761564.8799999994</v>
      </c>
      <c r="H64" s="24">
        <f>SUMIFS('Saldos Iniciales'!$D:$D,'Saldos Iniciales'!$A:$A,"Cross Family Trust")+SUMIFS(Movimientos!$K$1:$K$1368,Movimientos!$C$1:$C$1368,"Cross Family Trust",Movimientos!$B$1:$B$1368,"&lt;="&amp;$B64)</f>
        <v>220496.38</v>
      </c>
      <c r="I64" s="24">
        <f>SUMIFS('Saldos Iniciales'!$D:$D,'Saldos Iniciales'!$A:$A,"Cross Security Trust")+SUMIFS(Movimientos!$K$1:$K$1368,Movimientos!$C$1:$C$1368,"Cross Security Trust",Movimientos!$B$1:$B$1368,"&lt;="&amp;$B64)</f>
        <v>267503.99000000005</v>
      </c>
      <c r="J64" s="24">
        <f>SUMIFS('Saldos Iniciales'!$D:$D,'Saldos Iniciales'!$A:$A,"Electrama")+SUMIFS(Movimientos!$K$1:$K$1368,Movimientos!$C$1:$C$1368,"Electrama",Movimientos!$B$1:$B$1368,"&lt;="&amp;$B64)</f>
        <v>511.15999999999985</v>
      </c>
      <c r="K64" s="24">
        <f>SUMIFS('Saldos Iniciales'!$D:$D,'Saldos Iniciales'!$A:$A,"Sacred Valley Capital")+SUMIFS(Movimientos!$K$1:$K$1368,Movimientos!$C$1:$C$1368,"Sacred Valley Capital",Movimientos!$B$1:$B$1368,"&lt;="&amp;$B64)</f>
        <v>54.400000000000006</v>
      </c>
      <c r="L64" s="24">
        <f>SUMIFS('Saldos Iniciales'!$D:$D,'Saldos Iniciales'!$A:$A,"YWC Capital")+SUMIFS(Movimientos!$K$1:$K$1368,Movimientos!$C$1:$C$1368,"YWC Capital",Movimientos!$B$1:$B$1368,"&lt;="&amp;$B64)</f>
        <v>2207.8200000000002</v>
      </c>
      <c r="M64" s="24">
        <f>SUMIFS('Saldos Iniciales'!$D:$D,'Saldos Iniciales'!$A:$A,"Soweto")+SUMIFS(Movimientos!$K$1:$K$1368,Movimientos!$C$1:$C$1368,"Soweto",Movimientos!$B$1:$B$1368,"&lt;="&amp;$B64)</f>
        <v>3349.94</v>
      </c>
      <c r="N64" s="24">
        <f>SUMIFS('Saldos Iniciales'!$D:$D,'Saldos Iniciales'!$A:$A,"Green Stone Trust")+SUMIFS(Movimientos!$K$1:$K$1368,Movimientos!$C$1:$C$1368,"Green Stone Trust",Movimientos!$B$1:$B$1368,"&lt;="&amp;$B64)</f>
        <v>1968.99</v>
      </c>
      <c r="O64" s="24">
        <f>SUMIFS('Saldos Iniciales'!$D:$D,'Saldos Iniciales'!$A:$A,"EC Auto")+SUMIFS(Movimientos!$K$1:$K$1368,Movimientos!$C$1:$C$1368,"EC Auto",Movimientos!$B$1:$B$1368,"&lt;="&amp;$B64)</f>
        <v>382.69000000000005</v>
      </c>
      <c r="P64" s="24">
        <f>SUMIFS('Saldos Iniciales'!$D:$D,'Saldos Iniciales'!$A:$A,"Arbor Capital Properties")+SUMIFS(Movimientos!$K$1:$K$1368,Movimientos!$C$1:$C$1368,"Arbor Capital Properties",Movimientos!$B$1:$B$1368,"&lt;="&amp;$B64)</f>
        <v>1412.08</v>
      </c>
      <c r="Q64" s="24">
        <f>SUMIFS('Saldos Iniciales'!$D:$D,'Saldos Iniciales'!$A:$A,"2515 Overbrook")+SUMIFS(Movimientos!$K$1:$K$1368,Movimientos!$C$1:$C$1368,"2515 Overbrook",Movimientos!$B$1:$B$1368,"&lt;="&amp;$B64)</f>
        <v>22496.639999999959</v>
      </c>
      <c r="R64" s="24">
        <f>SUMIFS('Saldos Iniciales'!$D:$D,'Saldos Iniciales'!$A:$A,"112 Florida Ave")+SUMIFS(Movimientos!$K$1:$K$1368,Movimientos!$C$1:$C$1368,"112 Florida Ave",Movimientos!$B$1:$B$1368,"&lt;="&amp;$B64)</f>
        <v>10522.800000000003</v>
      </c>
      <c r="S64" s="24">
        <f>SUMIFS('Saldos Iniciales'!$D:$D,'Saldos Iniciales'!$A:$A,"3628 Thomas Ave")+SUMIFS(Movimientos!$K$1:$K$1368,Movimientos!$C$1:$C$1368,"3628 Thomas Ave",Movimientos!$B$1:$B$1368,"&lt;="&amp;$B64)</f>
        <v>28485.559999999998</v>
      </c>
      <c r="T64" s="24">
        <f>SUMIFS('Saldos Iniciales'!$D:$D,'Saldos Iniciales'!$A:$A,"Green Harbor Trust")+SUMIFS(Movimientos!$K$1:$K$1368,Movimientos!$C$1:$C$1368,"Green Harbor Trust",Movimientos!$B$1:$B$1368,"&lt;="&amp;$B64)</f>
        <v>345</v>
      </c>
      <c r="U64" s="24">
        <f>SUMIFS('Saldos Iniciales'!$D:$D,'Saldos Iniciales'!$A:$A,"Go Blue")+SUMIFS(Movimientos!$K$1:$K$1368,Movimientos!$C$1:$C$1368,"Go Blue",Movimientos!$B$1:$B$1368,"&lt;="&amp;$B64)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Group")+SUMIFS(Movimientos!$K$1:$K$1368,Movimientos!$C$1:$C$1368,"CFT Group",Movimientos!$B$1:$B$1368,"&lt;="&amp;$B65)</f>
        <v>5592585.7500000009</v>
      </c>
      <c r="D65" s="24">
        <f>SUMIFS('Saldos Iniciales'!$D:$D,'Saldos Iniciales'!$A:$A,"M1B")+SUMIFS(Movimientos!$K$1:$K$1368,Movimientos!$C$1:$C$1368,"M1B",Movimientos!$B$1:$B$1368,"&lt;="&amp;$B65)</f>
        <v>79139.680000000168</v>
      </c>
      <c r="E65" s="24">
        <f>SUMIFS('Saldos Iniciales'!$D:$D,'Saldos Iniciales'!$A:$A,"Durand")+SUMIFS(Movimientos!$K$1:$K$1368,Movimientos!$C$1:$C$1368,"Durand",Movimientos!$B$1:$B$1368,"&lt;="&amp;$B65)</f>
        <v>1669.89</v>
      </c>
      <c r="F65" s="24">
        <f>SUMIFS('Saldos Iniciales'!$D:$D,'Saldos Iniciales'!$A:$A,"A&amp;M Imports")+SUMIFS(Movimientos!$K$1:$K$1368,Movimientos!$C$1:$C$1368,"A&amp;M Imports",Movimientos!$B$1:$B$1368,"&lt;="&amp;$B65)</f>
        <v>350475.62999999989</v>
      </c>
      <c r="G65" s="24">
        <f>SUMIFS('Saldos Iniciales'!$D:$D,'Saldos Iniciales'!$A:$A,"SSP Capital")+SUMIFS(Movimientos!$K$1:$K$1368,Movimientos!$C$1:$C$1368,"SSP Capital",Movimientos!$B$1:$B$1368,"&lt;="&amp;$B65)</f>
        <v>1761564.8799999994</v>
      </c>
      <c r="H65" s="24">
        <f>SUMIFS('Saldos Iniciales'!$D:$D,'Saldos Iniciales'!$A:$A,"Cross Family Trust")+SUMIFS(Movimientos!$K$1:$K$1368,Movimientos!$C$1:$C$1368,"Cross Family Trust",Movimientos!$B$1:$B$1368,"&lt;="&amp;$B65)</f>
        <v>220496.38</v>
      </c>
      <c r="I65" s="24">
        <f>SUMIFS('Saldos Iniciales'!$D:$D,'Saldos Iniciales'!$A:$A,"Cross Security Trust")+SUMIFS(Movimientos!$K$1:$K$1368,Movimientos!$C$1:$C$1368,"Cross Security Trust",Movimientos!$B$1:$B$1368,"&lt;="&amp;$B65)</f>
        <v>267503.99000000005</v>
      </c>
      <c r="J65" s="24">
        <f>SUMIFS('Saldos Iniciales'!$D:$D,'Saldos Iniciales'!$A:$A,"Electrama")+SUMIFS(Movimientos!$K$1:$K$1368,Movimientos!$C$1:$C$1368,"Electrama",Movimientos!$B$1:$B$1368,"&lt;="&amp;$B65)</f>
        <v>471.15999999999985</v>
      </c>
      <c r="K65" s="24">
        <f>SUMIFS('Saldos Iniciales'!$D:$D,'Saldos Iniciales'!$A:$A,"Sacred Valley Capital")+SUMIFS(Movimientos!$K$1:$K$1368,Movimientos!$C$1:$C$1368,"Sacred Valley Capital",Movimientos!$B$1:$B$1368,"&lt;="&amp;$B65)</f>
        <v>54.400000000000006</v>
      </c>
      <c r="L65" s="24">
        <f>SUMIFS('Saldos Iniciales'!$D:$D,'Saldos Iniciales'!$A:$A,"YWC Capital")+SUMIFS(Movimientos!$K$1:$K$1368,Movimientos!$C$1:$C$1368,"YWC Capital",Movimientos!$B$1:$B$1368,"&lt;="&amp;$B65)</f>
        <v>2207.8200000000002</v>
      </c>
      <c r="M65" s="24">
        <f>SUMIFS('Saldos Iniciales'!$D:$D,'Saldos Iniciales'!$A:$A,"Soweto")+SUMIFS(Movimientos!$K$1:$K$1368,Movimientos!$C$1:$C$1368,"Soweto",Movimientos!$B$1:$B$1368,"&lt;="&amp;$B65)</f>
        <v>3349.94</v>
      </c>
      <c r="N65" s="24">
        <f>SUMIFS('Saldos Iniciales'!$D:$D,'Saldos Iniciales'!$A:$A,"Green Stone Trust")+SUMIFS(Movimientos!$K$1:$K$1368,Movimientos!$C$1:$C$1368,"Green Stone Trust",Movimientos!$B$1:$B$1368,"&lt;="&amp;$B65)</f>
        <v>1968.99</v>
      </c>
      <c r="O65" s="24">
        <f>SUMIFS('Saldos Iniciales'!$D:$D,'Saldos Iniciales'!$A:$A,"EC Auto")+SUMIFS(Movimientos!$K$1:$K$1368,Movimientos!$C$1:$C$1368,"EC Auto",Movimientos!$B$1:$B$1368,"&lt;="&amp;$B65)</f>
        <v>382.69000000000005</v>
      </c>
      <c r="P65" s="24">
        <f>SUMIFS('Saldos Iniciales'!$D:$D,'Saldos Iniciales'!$A:$A,"Arbor Capital Properties")+SUMIFS(Movimientos!$K$1:$K$1368,Movimientos!$C$1:$C$1368,"Arbor Capital Properties",Movimientos!$B$1:$B$1368,"&lt;="&amp;$B65)</f>
        <v>1412.08</v>
      </c>
      <c r="Q65" s="24">
        <f>SUMIFS('Saldos Iniciales'!$D:$D,'Saldos Iniciales'!$A:$A,"2515 Overbrook")+SUMIFS(Movimientos!$K$1:$K$1368,Movimientos!$C$1:$C$1368,"2515 Overbrook",Movimientos!$B$1:$B$1368,"&lt;="&amp;$B65)</f>
        <v>22496.639999999959</v>
      </c>
      <c r="R65" s="24">
        <f>SUMIFS('Saldos Iniciales'!$D:$D,'Saldos Iniciales'!$A:$A,"112 Florida Ave")+SUMIFS(Movimientos!$K$1:$K$1368,Movimientos!$C$1:$C$1368,"112 Florida Ave",Movimientos!$B$1:$B$1368,"&lt;="&amp;$B65)</f>
        <v>10522.800000000003</v>
      </c>
      <c r="S65" s="24">
        <f>SUMIFS('Saldos Iniciales'!$D:$D,'Saldos Iniciales'!$A:$A,"3628 Thomas Ave")+SUMIFS(Movimientos!$K$1:$K$1368,Movimientos!$C$1:$C$1368,"3628 Thomas Ave",Movimientos!$B$1:$B$1368,"&lt;="&amp;$B65)</f>
        <v>28485.559999999998</v>
      </c>
      <c r="T65" s="24">
        <f>SUMIFS('Saldos Iniciales'!$D:$D,'Saldos Iniciales'!$A:$A,"Green Harbor Trust")+SUMIFS(Movimientos!$K$1:$K$1368,Movimientos!$C$1:$C$1368,"Green Harbor Trust",Movimientos!$B$1:$B$1368,"&lt;="&amp;$B65)</f>
        <v>345</v>
      </c>
      <c r="U65" s="24">
        <f>SUMIFS('Saldos Iniciales'!$D:$D,'Saldos Iniciales'!$A:$A,"Go Blue")+SUMIFS(Movimientos!$K$1:$K$1368,Movimientos!$C$1:$C$1368,"Go Blue",Movimientos!$B$1:$B$1368,"&lt;="&amp;$B65)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Group")+SUMIFS(Movimientos!$K$1:$K$1368,Movimientos!$C$1:$C$1368,"CFT Group",Movimientos!$B$1:$B$1368,"&lt;="&amp;$B66)</f>
        <v>5592585.7500000009</v>
      </c>
      <c r="D66" s="24">
        <f>SUMIFS('Saldos Iniciales'!$D:$D,'Saldos Iniciales'!$A:$A,"M1B")+SUMIFS(Movimientos!$K$1:$K$1368,Movimientos!$C$1:$C$1368,"M1B",Movimientos!$B$1:$B$1368,"&lt;="&amp;$B66)</f>
        <v>79139.680000000168</v>
      </c>
      <c r="E66" s="24">
        <f>SUMIFS('Saldos Iniciales'!$D:$D,'Saldos Iniciales'!$A:$A,"Durand")+SUMIFS(Movimientos!$K$1:$K$1368,Movimientos!$C$1:$C$1368,"Durand",Movimientos!$B$1:$B$1368,"&lt;="&amp;$B66)</f>
        <v>1669.89</v>
      </c>
      <c r="F66" s="24">
        <f>SUMIFS('Saldos Iniciales'!$D:$D,'Saldos Iniciales'!$A:$A,"A&amp;M Imports")+SUMIFS(Movimientos!$K$1:$K$1368,Movimientos!$C$1:$C$1368,"A&amp;M Imports",Movimientos!$B$1:$B$1368,"&lt;="&amp;$B66)</f>
        <v>350475.62999999989</v>
      </c>
      <c r="G66" s="24">
        <f>SUMIFS('Saldos Iniciales'!$D:$D,'Saldos Iniciales'!$A:$A,"SSP Capital")+SUMIFS(Movimientos!$K$1:$K$1368,Movimientos!$C$1:$C$1368,"SSP Capital",Movimientos!$B$1:$B$1368,"&lt;="&amp;$B66)</f>
        <v>1761564.8799999994</v>
      </c>
      <c r="H66" s="24">
        <f>SUMIFS('Saldos Iniciales'!$D:$D,'Saldos Iniciales'!$A:$A,"Cross Family Trust")+SUMIFS(Movimientos!$K$1:$K$1368,Movimientos!$C$1:$C$1368,"Cross Family Trust",Movimientos!$B$1:$B$1368,"&lt;="&amp;$B66)</f>
        <v>220496.38</v>
      </c>
      <c r="I66" s="24">
        <f>SUMIFS('Saldos Iniciales'!$D:$D,'Saldos Iniciales'!$A:$A,"Cross Security Trust")+SUMIFS(Movimientos!$K$1:$K$1368,Movimientos!$C$1:$C$1368,"Cross Security Trust",Movimientos!$B$1:$B$1368,"&lt;="&amp;$B66)</f>
        <v>267503.99000000005</v>
      </c>
      <c r="J66" s="24">
        <f>SUMIFS('Saldos Iniciales'!$D:$D,'Saldos Iniciales'!$A:$A,"Electrama")+SUMIFS(Movimientos!$K$1:$K$1368,Movimientos!$C$1:$C$1368,"Electrama",Movimientos!$B$1:$B$1368,"&lt;="&amp;$B66)</f>
        <v>471.15999999999985</v>
      </c>
      <c r="K66" s="24">
        <f>SUMIFS('Saldos Iniciales'!$D:$D,'Saldos Iniciales'!$A:$A,"Sacred Valley Capital")+SUMIFS(Movimientos!$K$1:$K$1368,Movimientos!$C$1:$C$1368,"Sacred Valley Capital",Movimientos!$B$1:$B$1368,"&lt;="&amp;$B66)</f>
        <v>54.400000000000006</v>
      </c>
      <c r="L66" s="24">
        <f>SUMIFS('Saldos Iniciales'!$D:$D,'Saldos Iniciales'!$A:$A,"YWC Capital")+SUMIFS(Movimientos!$K$1:$K$1368,Movimientos!$C$1:$C$1368,"YWC Capital",Movimientos!$B$1:$B$1368,"&lt;="&amp;$B66)</f>
        <v>2207.8200000000002</v>
      </c>
      <c r="M66" s="24">
        <f>SUMIFS('Saldos Iniciales'!$D:$D,'Saldos Iniciales'!$A:$A,"Soweto")+SUMIFS(Movimientos!$K$1:$K$1368,Movimientos!$C$1:$C$1368,"Soweto",Movimientos!$B$1:$B$1368,"&lt;="&amp;$B66)</f>
        <v>3349.94</v>
      </c>
      <c r="N66" s="24">
        <f>SUMIFS('Saldos Iniciales'!$D:$D,'Saldos Iniciales'!$A:$A,"Green Stone Trust")+SUMIFS(Movimientos!$K$1:$K$1368,Movimientos!$C$1:$C$1368,"Green Stone Trust",Movimientos!$B$1:$B$1368,"&lt;="&amp;$B66)</f>
        <v>1968.99</v>
      </c>
      <c r="O66" s="24">
        <f>SUMIFS('Saldos Iniciales'!$D:$D,'Saldos Iniciales'!$A:$A,"EC Auto")+SUMIFS(Movimientos!$K$1:$K$1368,Movimientos!$C$1:$C$1368,"EC Auto",Movimientos!$B$1:$B$1368,"&lt;="&amp;$B66)</f>
        <v>382.69000000000005</v>
      </c>
      <c r="P66" s="24">
        <f>SUMIFS('Saldos Iniciales'!$D:$D,'Saldos Iniciales'!$A:$A,"Arbor Capital Properties")+SUMIFS(Movimientos!$K$1:$K$1368,Movimientos!$C$1:$C$1368,"Arbor Capital Properties",Movimientos!$B$1:$B$1368,"&lt;="&amp;$B66)</f>
        <v>1412.08</v>
      </c>
      <c r="Q66" s="24">
        <f>SUMIFS('Saldos Iniciales'!$D:$D,'Saldos Iniciales'!$A:$A,"2515 Overbrook")+SUMIFS(Movimientos!$K$1:$K$1368,Movimientos!$C$1:$C$1368,"2515 Overbrook",Movimientos!$B$1:$B$1368,"&lt;="&amp;$B66)</f>
        <v>22496.639999999959</v>
      </c>
      <c r="R66" s="24">
        <f>SUMIFS('Saldos Iniciales'!$D:$D,'Saldos Iniciales'!$A:$A,"112 Florida Ave")+SUMIFS(Movimientos!$K$1:$K$1368,Movimientos!$C$1:$C$1368,"112 Florida Ave",Movimientos!$B$1:$B$1368,"&lt;="&amp;$B66)</f>
        <v>10522.800000000003</v>
      </c>
      <c r="S66" s="24">
        <f>SUMIFS('Saldos Iniciales'!$D:$D,'Saldos Iniciales'!$A:$A,"3628 Thomas Ave")+SUMIFS(Movimientos!$K$1:$K$1368,Movimientos!$C$1:$C$1368,"3628 Thomas Ave",Movimientos!$B$1:$B$1368,"&lt;="&amp;$B66)</f>
        <v>28485.559999999998</v>
      </c>
      <c r="T66" s="24">
        <f>SUMIFS('Saldos Iniciales'!$D:$D,'Saldos Iniciales'!$A:$A,"Green Harbor Trust")+SUMIFS(Movimientos!$K$1:$K$1368,Movimientos!$C$1:$C$1368,"Green Harbor Trust",Movimientos!$B$1:$B$1368,"&lt;="&amp;$B66)</f>
        <v>345</v>
      </c>
      <c r="U66" s="24">
        <f>SUMIFS('Saldos Iniciales'!$D:$D,'Saldos Iniciales'!$A:$A,"Go Blue")+SUMIFS(Movimientos!$K$1:$K$1368,Movimientos!$C$1:$C$1368,"Go Blue",Movimientos!$B$1:$B$1368,"&lt;="&amp;$B66)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Group")+SUMIFS(Movimientos!$K$1:$K$1368,Movimientos!$C$1:$C$1368,"CFT Group",Movimientos!$B$1:$B$1368,"&lt;="&amp;$B67)</f>
        <v>5592585.7500000009</v>
      </c>
      <c r="D67" s="24">
        <f>SUMIFS('Saldos Iniciales'!$D:$D,'Saldos Iniciales'!$A:$A,"M1B")+SUMIFS(Movimientos!$K$1:$K$1368,Movimientos!$C$1:$C$1368,"M1B",Movimientos!$B$1:$B$1368,"&lt;="&amp;$B67)</f>
        <v>79139.680000000168</v>
      </c>
      <c r="E67" s="24">
        <f>SUMIFS('Saldos Iniciales'!$D:$D,'Saldos Iniciales'!$A:$A,"Durand")+SUMIFS(Movimientos!$K$1:$K$1368,Movimientos!$C$1:$C$1368,"Durand",Movimientos!$B$1:$B$1368,"&lt;="&amp;$B67)</f>
        <v>1669.89</v>
      </c>
      <c r="F67" s="24">
        <f>SUMIFS('Saldos Iniciales'!$D:$D,'Saldos Iniciales'!$A:$A,"A&amp;M Imports")+SUMIFS(Movimientos!$K$1:$K$1368,Movimientos!$C$1:$C$1368,"A&amp;M Imports",Movimientos!$B$1:$B$1368,"&lt;="&amp;$B67)</f>
        <v>350475.62999999989</v>
      </c>
      <c r="G67" s="24">
        <f>SUMIFS('Saldos Iniciales'!$D:$D,'Saldos Iniciales'!$A:$A,"SSP Capital")+SUMIFS(Movimientos!$K$1:$K$1368,Movimientos!$C$1:$C$1368,"SSP Capital",Movimientos!$B$1:$B$1368,"&lt;="&amp;$B67)</f>
        <v>1761564.8799999994</v>
      </c>
      <c r="H67" s="24">
        <f>SUMIFS('Saldos Iniciales'!$D:$D,'Saldos Iniciales'!$A:$A,"Cross Family Trust")+SUMIFS(Movimientos!$K$1:$K$1368,Movimientos!$C$1:$C$1368,"Cross Family Trust",Movimientos!$B$1:$B$1368,"&lt;="&amp;$B67)</f>
        <v>220496.38</v>
      </c>
      <c r="I67" s="24">
        <f>SUMIFS('Saldos Iniciales'!$D:$D,'Saldos Iniciales'!$A:$A,"Cross Security Trust")+SUMIFS(Movimientos!$K$1:$K$1368,Movimientos!$C$1:$C$1368,"Cross Security Trust",Movimientos!$B$1:$B$1368,"&lt;="&amp;$B67)</f>
        <v>267503.99000000005</v>
      </c>
      <c r="J67" s="24">
        <f>SUMIFS('Saldos Iniciales'!$D:$D,'Saldos Iniciales'!$A:$A,"Electrama")+SUMIFS(Movimientos!$K$1:$K$1368,Movimientos!$C$1:$C$1368,"Electrama",Movimientos!$B$1:$B$1368,"&lt;="&amp;$B67)</f>
        <v>471.15999999999985</v>
      </c>
      <c r="K67" s="24">
        <f>SUMIFS('Saldos Iniciales'!$D:$D,'Saldos Iniciales'!$A:$A,"Sacred Valley Capital")+SUMIFS(Movimientos!$K$1:$K$1368,Movimientos!$C$1:$C$1368,"Sacred Valley Capital",Movimientos!$B$1:$B$1368,"&lt;="&amp;$B67)</f>
        <v>54.400000000000006</v>
      </c>
      <c r="L67" s="24">
        <f>SUMIFS('Saldos Iniciales'!$D:$D,'Saldos Iniciales'!$A:$A,"YWC Capital")+SUMIFS(Movimientos!$K$1:$K$1368,Movimientos!$C$1:$C$1368,"YWC Capital",Movimientos!$B$1:$B$1368,"&lt;="&amp;$B67)</f>
        <v>2207.8200000000002</v>
      </c>
      <c r="M67" s="24">
        <f>SUMIFS('Saldos Iniciales'!$D:$D,'Saldos Iniciales'!$A:$A,"Soweto")+SUMIFS(Movimientos!$K$1:$K$1368,Movimientos!$C$1:$C$1368,"Soweto",Movimientos!$B$1:$B$1368,"&lt;="&amp;$B67)</f>
        <v>3349.94</v>
      </c>
      <c r="N67" s="24">
        <f>SUMIFS('Saldos Iniciales'!$D:$D,'Saldos Iniciales'!$A:$A,"Green Stone Trust")+SUMIFS(Movimientos!$K$1:$K$1368,Movimientos!$C$1:$C$1368,"Green Stone Trust",Movimientos!$B$1:$B$1368,"&lt;="&amp;$B67)</f>
        <v>1968.99</v>
      </c>
      <c r="O67" s="24">
        <f>SUMIFS('Saldos Iniciales'!$D:$D,'Saldos Iniciales'!$A:$A,"EC Auto")+SUMIFS(Movimientos!$K$1:$K$1368,Movimientos!$C$1:$C$1368,"EC Auto",Movimientos!$B$1:$B$1368,"&lt;="&amp;$B67)</f>
        <v>382.69000000000005</v>
      </c>
      <c r="P67" s="24">
        <f>SUMIFS('Saldos Iniciales'!$D:$D,'Saldos Iniciales'!$A:$A,"Arbor Capital Properties")+SUMIFS(Movimientos!$K$1:$K$1368,Movimientos!$C$1:$C$1368,"Arbor Capital Properties",Movimientos!$B$1:$B$1368,"&lt;="&amp;$B67)</f>
        <v>1412.08</v>
      </c>
      <c r="Q67" s="24">
        <f>SUMIFS('Saldos Iniciales'!$D:$D,'Saldos Iniciales'!$A:$A,"2515 Overbrook")+SUMIFS(Movimientos!$K$1:$K$1368,Movimientos!$C$1:$C$1368,"2515 Overbrook",Movimientos!$B$1:$B$1368,"&lt;="&amp;$B67)</f>
        <v>22496.639999999959</v>
      </c>
      <c r="R67" s="24">
        <f>SUMIFS('Saldos Iniciales'!$D:$D,'Saldos Iniciales'!$A:$A,"112 Florida Ave")+SUMIFS(Movimientos!$K$1:$K$1368,Movimientos!$C$1:$C$1368,"112 Florida Ave",Movimientos!$B$1:$B$1368,"&lt;="&amp;$B67)</f>
        <v>10522.800000000003</v>
      </c>
      <c r="S67" s="24">
        <f>SUMIFS('Saldos Iniciales'!$D:$D,'Saldos Iniciales'!$A:$A,"3628 Thomas Ave")+SUMIFS(Movimientos!$K$1:$K$1368,Movimientos!$C$1:$C$1368,"3628 Thomas Ave",Movimientos!$B$1:$B$1368,"&lt;="&amp;$B67)</f>
        <v>28485.559999999998</v>
      </c>
      <c r="T67" s="24">
        <f>SUMIFS('Saldos Iniciales'!$D:$D,'Saldos Iniciales'!$A:$A,"Green Harbor Trust")+SUMIFS(Movimientos!$K$1:$K$1368,Movimientos!$C$1:$C$1368,"Green Harbor Trust",Movimientos!$B$1:$B$1368,"&lt;="&amp;$B67)</f>
        <v>345</v>
      </c>
      <c r="U67" s="24">
        <f>SUMIFS('Saldos Iniciales'!$D:$D,'Saldos Iniciales'!$A:$A,"Go Blue")+SUMIFS(Movimientos!$K$1:$K$1368,Movimientos!$C$1:$C$1368,"Go Blue",Movimientos!$B$1:$B$1368,"&lt;="&amp;$B67)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Group")+SUMIFS(Movimientos!$K$1:$K$1368,Movimientos!$C$1:$C$1368,"CFT Group",Movimientos!$B$1:$B$1368,"&lt;="&amp;$B68)</f>
        <v>5592585.7500000009</v>
      </c>
      <c r="D68" s="24">
        <f>SUMIFS('Saldos Iniciales'!$D:$D,'Saldos Iniciales'!$A:$A,"M1B")+SUMIFS(Movimientos!$K$1:$K$1368,Movimientos!$C$1:$C$1368,"M1B",Movimientos!$B$1:$B$1368,"&lt;="&amp;$B68)</f>
        <v>79139.680000000168</v>
      </c>
      <c r="E68" s="24">
        <f>SUMIFS('Saldos Iniciales'!$D:$D,'Saldos Iniciales'!$A:$A,"Durand")+SUMIFS(Movimientos!$K$1:$K$1368,Movimientos!$C$1:$C$1368,"Durand",Movimientos!$B$1:$B$1368,"&lt;="&amp;$B68)</f>
        <v>1669.89</v>
      </c>
      <c r="F68" s="24">
        <f>SUMIFS('Saldos Iniciales'!$D:$D,'Saldos Iniciales'!$A:$A,"A&amp;M Imports")+SUMIFS(Movimientos!$K$1:$K$1368,Movimientos!$C$1:$C$1368,"A&amp;M Imports",Movimientos!$B$1:$B$1368,"&lt;="&amp;$B68)</f>
        <v>350475.62999999989</v>
      </c>
      <c r="G68" s="24">
        <f>SUMIFS('Saldos Iniciales'!$D:$D,'Saldos Iniciales'!$A:$A,"SSP Capital")+SUMIFS(Movimientos!$K$1:$K$1368,Movimientos!$C$1:$C$1368,"SSP Capital",Movimientos!$B$1:$B$1368,"&lt;="&amp;$B68)</f>
        <v>1761026.4599999995</v>
      </c>
      <c r="H68" s="24">
        <f>SUMIFS('Saldos Iniciales'!$D:$D,'Saldos Iniciales'!$A:$A,"Cross Family Trust")+SUMIFS(Movimientos!$K$1:$K$1368,Movimientos!$C$1:$C$1368,"Cross Family Trust",Movimientos!$B$1:$B$1368,"&lt;="&amp;$B68)</f>
        <v>220496.38</v>
      </c>
      <c r="I68" s="24">
        <f>SUMIFS('Saldos Iniciales'!$D:$D,'Saldos Iniciales'!$A:$A,"Cross Security Trust")+SUMIFS(Movimientos!$K$1:$K$1368,Movimientos!$C$1:$C$1368,"Cross Security Trust",Movimientos!$B$1:$B$1368,"&lt;="&amp;$B68)</f>
        <v>267503.99000000005</v>
      </c>
      <c r="J68" s="24">
        <f>SUMIFS('Saldos Iniciales'!$D:$D,'Saldos Iniciales'!$A:$A,"Electrama")+SUMIFS(Movimientos!$K$1:$K$1368,Movimientos!$C$1:$C$1368,"Electrama",Movimientos!$B$1:$B$1368,"&lt;="&amp;$B68)</f>
        <v>471.15999999999985</v>
      </c>
      <c r="K68" s="24">
        <f>SUMIFS('Saldos Iniciales'!$D:$D,'Saldos Iniciales'!$A:$A,"Sacred Valley Capital")+SUMIFS(Movimientos!$K$1:$K$1368,Movimientos!$C$1:$C$1368,"Sacred Valley Capital",Movimientos!$B$1:$B$1368,"&lt;="&amp;$B68)</f>
        <v>54.400000000000006</v>
      </c>
      <c r="L68" s="24">
        <f>SUMIFS('Saldos Iniciales'!$D:$D,'Saldos Iniciales'!$A:$A,"YWC Capital")+SUMIFS(Movimientos!$K$1:$K$1368,Movimientos!$C$1:$C$1368,"YWC Capital",Movimientos!$B$1:$B$1368,"&lt;="&amp;$B68)</f>
        <v>2207.8200000000002</v>
      </c>
      <c r="M68" s="24">
        <f>SUMIFS('Saldos Iniciales'!$D:$D,'Saldos Iniciales'!$A:$A,"Soweto")+SUMIFS(Movimientos!$K$1:$K$1368,Movimientos!$C$1:$C$1368,"Soweto",Movimientos!$B$1:$B$1368,"&lt;="&amp;$B68)</f>
        <v>3349.94</v>
      </c>
      <c r="N68" s="24">
        <f>SUMIFS('Saldos Iniciales'!$D:$D,'Saldos Iniciales'!$A:$A,"Green Stone Trust")+SUMIFS(Movimientos!$K$1:$K$1368,Movimientos!$C$1:$C$1368,"Green Stone Trust",Movimientos!$B$1:$B$1368,"&lt;="&amp;$B68)</f>
        <v>1968.99</v>
      </c>
      <c r="O68" s="24">
        <f>SUMIFS('Saldos Iniciales'!$D:$D,'Saldos Iniciales'!$A:$A,"EC Auto")+SUMIFS(Movimientos!$K$1:$K$1368,Movimientos!$C$1:$C$1368,"EC Auto",Movimientos!$B$1:$B$1368,"&lt;="&amp;$B68)</f>
        <v>382.69000000000005</v>
      </c>
      <c r="P68" s="24">
        <f>SUMIFS('Saldos Iniciales'!$D:$D,'Saldos Iniciales'!$A:$A,"Arbor Capital Properties")+SUMIFS(Movimientos!$K$1:$K$1368,Movimientos!$C$1:$C$1368,"Arbor Capital Properties",Movimientos!$B$1:$B$1368,"&lt;="&amp;$B68)</f>
        <v>1412.08</v>
      </c>
      <c r="Q68" s="24">
        <f>SUMIFS('Saldos Iniciales'!$D:$D,'Saldos Iniciales'!$A:$A,"2515 Overbrook")+SUMIFS(Movimientos!$K$1:$K$1368,Movimientos!$C$1:$C$1368,"2515 Overbrook",Movimientos!$B$1:$B$1368,"&lt;="&amp;$B68)</f>
        <v>22496.639999999959</v>
      </c>
      <c r="R68" s="24">
        <f>SUMIFS('Saldos Iniciales'!$D:$D,'Saldos Iniciales'!$A:$A,"112 Florida Ave")+SUMIFS(Movimientos!$K$1:$K$1368,Movimientos!$C$1:$C$1368,"112 Florida Ave",Movimientos!$B$1:$B$1368,"&lt;="&amp;$B68)</f>
        <v>10522.800000000003</v>
      </c>
      <c r="S68" s="24">
        <f>SUMIFS('Saldos Iniciales'!$D:$D,'Saldos Iniciales'!$A:$A,"3628 Thomas Ave")+SUMIFS(Movimientos!$K$1:$K$1368,Movimientos!$C$1:$C$1368,"3628 Thomas Ave",Movimientos!$B$1:$B$1368,"&lt;="&amp;$B68)</f>
        <v>28485.559999999998</v>
      </c>
      <c r="T68" s="24">
        <f>SUMIFS('Saldos Iniciales'!$D:$D,'Saldos Iniciales'!$A:$A,"Green Harbor Trust")+SUMIFS(Movimientos!$K$1:$K$1368,Movimientos!$C$1:$C$1368,"Green Harbor Trust",Movimientos!$B$1:$B$1368,"&lt;="&amp;$B68)</f>
        <v>345</v>
      </c>
      <c r="U68" s="24">
        <f>SUMIFS('Saldos Iniciales'!$D:$D,'Saldos Iniciales'!$A:$A,"Go Blue")+SUMIFS(Movimientos!$K$1:$K$1368,Movimientos!$C$1:$C$1368,"Go Blue",Movimientos!$B$1:$B$1368,"&lt;="&amp;$B68)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Group")+SUMIFS(Movimientos!$K$1:$K$1368,Movimientos!$C$1:$C$1368,"CFT Group",Movimientos!$B$1:$B$1368,"&lt;="&amp;$B69)</f>
        <v>5592585.7500000009</v>
      </c>
      <c r="D69" s="24">
        <f>SUMIFS('Saldos Iniciales'!$D:$D,'Saldos Iniciales'!$A:$A,"M1B")+SUMIFS(Movimientos!$K$1:$K$1368,Movimientos!$C$1:$C$1368,"M1B",Movimientos!$B$1:$B$1368,"&lt;="&amp;$B69)</f>
        <v>79139.680000000168</v>
      </c>
      <c r="E69" s="24">
        <f>SUMIFS('Saldos Iniciales'!$D:$D,'Saldos Iniciales'!$A:$A,"Durand")+SUMIFS(Movimientos!$K$1:$K$1368,Movimientos!$C$1:$C$1368,"Durand",Movimientos!$B$1:$B$1368,"&lt;="&amp;$B69)</f>
        <v>1669.89</v>
      </c>
      <c r="F69" s="24">
        <f>SUMIFS('Saldos Iniciales'!$D:$D,'Saldos Iniciales'!$A:$A,"A&amp;M Imports")+SUMIFS(Movimientos!$K$1:$K$1368,Movimientos!$C$1:$C$1368,"A&amp;M Imports",Movimientos!$B$1:$B$1368,"&lt;="&amp;$B69)</f>
        <v>350475.62999999989</v>
      </c>
      <c r="G69" s="24">
        <f>SUMIFS('Saldos Iniciales'!$D:$D,'Saldos Iniciales'!$A:$A,"SSP Capital")+SUMIFS(Movimientos!$K$1:$K$1368,Movimientos!$C$1:$C$1368,"SSP Capital",Movimientos!$B$1:$B$1368,"&lt;="&amp;$B69)</f>
        <v>1761026.4599999995</v>
      </c>
      <c r="H69" s="24">
        <f>SUMIFS('Saldos Iniciales'!$D:$D,'Saldos Iniciales'!$A:$A,"Cross Family Trust")+SUMIFS(Movimientos!$K$1:$K$1368,Movimientos!$C$1:$C$1368,"Cross Family Trust",Movimientos!$B$1:$B$1368,"&lt;="&amp;$B69)</f>
        <v>220496.38</v>
      </c>
      <c r="I69" s="24">
        <f>SUMIFS('Saldos Iniciales'!$D:$D,'Saldos Iniciales'!$A:$A,"Cross Security Trust")+SUMIFS(Movimientos!$K$1:$K$1368,Movimientos!$C$1:$C$1368,"Cross Security Trust",Movimientos!$B$1:$B$1368,"&lt;="&amp;$B69)</f>
        <v>267503.99000000005</v>
      </c>
      <c r="J69" s="24">
        <f>SUMIFS('Saldos Iniciales'!$D:$D,'Saldos Iniciales'!$A:$A,"Electrama")+SUMIFS(Movimientos!$K$1:$K$1368,Movimientos!$C$1:$C$1368,"Electrama",Movimientos!$B$1:$B$1368,"&lt;="&amp;$B69)</f>
        <v>471.15999999999985</v>
      </c>
      <c r="K69" s="24">
        <f>SUMIFS('Saldos Iniciales'!$D:$D,'Saldos Iniciales'!$A:$A,"Sacred Valley Capital")+SUMIFS(Movimientos!$K$1:$K$1368,Movimientos!$C$1:$C$1368,"Sacred Valley Capital",Movimientos!$B$1:$B$1368,"&lt;="&amp;$B69)</f>
        <v>54.400000000000006</v>
      </c>
      <c r="L69" s="24">
        <f>SUMIFS('Saldos Iniciales'!$D:$D,'Saldos Iniciales'!$A:$A,"YWC Capital")+SUMIFS(Movimientos!$K$1:$K$1368,Movimientos!$C$1:$C$1368,"YWC Capital",Movimientos!$B$1:$B$1368,"&lt;="&amp;$B69)</f>
        <v>2207.8200000000002</v>
      </c>
      <c r="M69" s="24">
        <f>SUMIFS('Saldos Iniciales'!$D:$D,'Saldos Iniciales'!$A:$A,"Soweto")+SUMIFS(Movimientos!$K$1:$K$1368,Movimientos!$C$1:$C$1368,"Soweto",Movimientos!$B$1:$B$1368,"&lt;="&amp;$B69)</f>
        <v>3349.94</v>
      </c>
      <c r="N69" s="24">
        <f>SUMIFS('Saldos Iniciales'!$D:$D,'Saldos Iniciales'!$A:$A,"Green Stone Trust")+SUMIFS(Movimientos!$K$1:$K$1368,Movimientos!$C$1:$C$1368,"Green Stone Trust",Movimientos!$B$1:$B$1368,"&lt;="&amp;$B69)</f>
        <v>1968.99</v>
      </c>
      <c r="O69" s="24">
        <f>SUMIFS('Saldos Iniciales'!$D:$D,'Saldos Iniciales'!$A:$A,"EC Auto")+SUMIFS(Movimientos!$K$1:$K$1368,Movimientos!$C$1:$C$1368,"EC Auto",Movimientos!$B$1:$B$1368,"&lt;="&amp;$B69)</f>
        <v>382.69000000000005</v>
      </c>
      <c r="P69" s="24">
        <f>SUMIFS('Saldos Iniciales'!$D:$D,'Saldos Iniciales'!$A:$A,"Arbor Capital Properties")+SUMIFS(Movimientos!$K$1:$K$1368,Movimientos!$C$1:$C$1368,"Arbor Capital Properties",Movimientos!$B$1:$B$1368,"&lt;="&amp;$B69)</f>
        <v>1412.08</v>
      </c>
      <c r="Q69" s="24">
        <f>SUMIFS('Saldos Iniciales'!$D:$D,'Saldos Iniciales'!$A:$A,"2515 Overbrook")+SUMIFS(Movimientos!$K$1:$K$1368,Movimientos!$C$1:$C$1368,"2515 Overbrook",Movimientos!$B$1:$B$1368,"&lt;="&amp;$B69)</f>
        <v>22496.639999999959</v>
      </c>
      <c r="R69" s="24">
        <f>SUMIFS('Saldos Iniciales'!$D:$D,'Saldos Iniciales'!$A:$A,"112 Florida Ave")+SUMIFS(Movimientos!$K$1:$K$1368,Movimientos!$C$1:$C$1368,"112 Florida Ave",Movimientos!$B$1:$B$1368,"&lt;="&amp;$B69)</f>
        <v>10522.800000000003</v>
      </c>
      <c r="S69" s="24">
        <f>SUMIFS('Saldos Iniciales'!$D:$D,'Saldos Iniciales'!$A:$A,"3628 Thomas Ave")+SUMIFS(Movimientos!$K$1:$K$1368,Movimientos!$C$1:$C$1368,"3628 Thomas Ave",Movimientos!$B$1:$B$1368,"&lt;="&amp;$B69)</f>
        <v>28485.559999999998</v>
      </c>
      <c r="T69" s="24">
        <f>SUMIFS('Saldos Iniciales'!$D:$D,'Saldos Iniciales'!$A:$A,"Green Harbor Trust")+SUMIFS(Movimientos!$K$1:$K$1368,Movimientos!$C$1:$C$1368,"Green Harbor Trust",Movimientos!$B$1:$B$1368,"&lt;="&amp;$B69)</f>
        <v>345</v>
      </c>
      <c r="U69" s="24">
        <f>SUMIFS('Saldos Iniciales'!$D:$D,'Saldos Iniciales'!$A:$A,"Go Blue")+SUMIFS(Movimientos!$K$1:$K$1368,Movimientos!$C$1:$C$1368,"Go Blue",Movimientos!$B$1:$B$1368,"&lt;="&amp;$B69)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Group")+SUMIFS(Movimientos!$K$1:$K$1368,Movimientos!$C$1:$C$1368,"CFT Group",Movimientos!$B$1:$B$1368,"&lt;="&amp;$B70)</f>
        <v>5592585.7500000009</v>
      </c>
      <c r="D70" s="24">
        <f>SUMIFS('Saldos Iniciales'!$D:$D,'Saldos Iniciales'!$A:$A,"M1B")+SUMIFS(Movimientos!$K$1:$K$1368,Movimientos!$C$1:$C$1368,"M1B",Movimientos!$B$1:$B$1368,"&lt;="&amp;$B70)</f>
        <v>79139.680000000168</v>
      </c>
      <c r="E70" s="24">
        <f>SUMIFS('Saldos Iniciales'!$D:$D,'Saldos Iniciales'!$A:$A,"Durand")+SUMIFS(Movimientos!$K$1:$K$1368,Movimientos!$C$1:$C$1368,"Durand",Movimientos!$B$1:$B$1368,"&lt;="&amp;$B70)</f>
        <v>1669.89</v>
      </c>
      <c r="F70" s="24">
        <f>SUMIFS('Saldos Iniciales'!$D:$D,'Saldos Iniciales'!$A:$A,"A&amp;M Imports")+SUMIFS(Movimientos!$K$1:$K$1368,Movimientos!$C$1:$C$1368,"A&amp;M Imports",Movimientos!$B$1:$B$1368,"&lt;="&amp;$B70)</f>
        <v>350475.62999999989</v>
      </c>
      <c r="G70" s="24">
        <f>SUMIFS('Saldos Iniciales'!$D:$D,'Saldos Iniciales'!$A:$A,"SSP Capital")+SUMIFS(Movimientos!$K$1:$K$1368,Movimientos!$C$1:$C$1368,"SSP Capital",Movimientos!$B$1:$B$1368,"&lt;="&amp;$B70)</f>
        <v>1751695.8399999994</v>
      </c>
      <c r="H70" s="24">
        <f>SUMIFS('Saldos Iniciales'!$D:$D,'Saldos Iniciales'!$A:$A,"Cross Family Trust")+SUMIFS(Movimientos!$K$1:$K$1368,Movimientos!$C$1:$C$1368,"Cross Family Trust",Movimientos!$B$1:$B$1368,"&lt;="&amp;$B70)</f>
        <v>220496.38</v>
      </c>
      <c r="I70" s="24">
        <f>SUMIFS('Saldos Iniciales'!$D:$D,'Saldos Iniciales'!$A:$A,"Cross Security Trust")+SUMIFS(Movimientos!$K$1:$K$1368,Movimientos!$C$1:$C$1368,"Cross Security Trust",Movimientos!$B$1:$B$1368,"&lt;="&amp;$B70)</f>
        <v>267503.99000000005</v>
      </c>
      <c r="J70" s="24">
        <f>SUMIFS('Saldos Iniciales'!$D:$D,'Saldos Iniciales'!$A:$A,"Electrama")+SUMIFS(Movimientos!$K$1:$K$1368,Movimientos!$C$1:$C$1368,"Electrama",Movimientos!$B$1:$B$1368,"&lt;="&amp;$B70)</f>
        <v>471.15999999999985</v>
      </c>
      <c r="K70" s="24">
        <f>SUMIFS('Saldos Iniciales'!$D:$D,'Saldos Iniciales'!$A:$A,"Sacred Valley Capital")+SUMIFS(Movimientos!$K$1:$K$1368,Movimientos!$C$1:$C$1368,"Sacred Valley Capital",Movimientos!$B$1:$B$1368,"&lt;="&amp;$B70)</f>
        <v>54.400000000000006</v>
      </c>
      <c r="L70" s="24">
        <f>SUMIFS('Saldos Iniciales'!$D:$D,'Saldos Iniciales'!$A:$A,"YWC Capital")+SUMIFS(Movimientos!$K$1:$K$1368,Movimientos!$C$1:$C$1368,"YWC Capital",Movimientos!$B$1:$B$1368,"&lt;="&amp;$B70)</f>
        <v>2207.8200000000002</v>
      </c>
      <c r="M70" s="24">
        <f>SUMIFS('Saldos Iniciales'!$D:$D,'Saldos Iniciales'!$A:$A,"Soweto")+SUMIFS(Movimientos!$K$1:$K$1368,Movimientos!$C$1:$C$1368,"Soweto",Movimientos!$B$1:$B$1368,"&lt;="&amp;$B70)</f>
        <v>3334.94</v>
      </c>
      <c r="N70" s="24">
        <f>SUMIFS('Saldos Iniciales'!$D:$D,'Saldos Iniciales'!$A:$A,"Green Stone Trust")+SUMIFS(Movimientos!$K$1:$K$1368,Movimientos!$C$1:$C$1368,"Green Stone Trust",Movimientos!$B$1:$B$1368,"&lt;="&amp;$B70)</f>
        <v>1968.99</v>
      </c>
      <c r="O70" s="24">
        <f>SUMIFS('Saldos Iniciales'!$D:$D,'Saldos Iniciales'!$A:$A,"EC Auto")+SUMIFS(Movimientos!$K$1:$K$1368,Movimientos!$C$1:$C$1368,"EC Auto",Movimientos!$B$1:$B$1368,"&lt;="&amp;$B70)</f>
        <v>382.69000000000005</v>
      </c>
      <c r="P70" s="24">
        <f>SUMIFS('Saldos Iniciales'!$D:$D,'Saldos Iniciales'!$A:$A,"Arbor Capital Properties")+SUMIFS(Movimientos!$K$1:$K$1368,Movimientos!$C$1:$C$1368,"Arbor Capital Properties",Movimientos!$B$1:$B$1368,"&lt;="&amp;$B70)</f>
        <v>1412.08</v>
      </c>
      <c r="Q70" s="24">
        <f>SUMIFS('Saldos Iniciales'!$D:$D,'Saldos Iniciales'!$A:$A,"2515 Overbrook")+SUMIFS(Movimientos!$K$1:$K$1368,Movimientos!$C$1:$C$1368,"2515 Overbrook",Movimientos!$B$1:$B$1368,"&lt;="&amp;$B70)</f>
        <v>22496.639999999959</v>
      </c>
      <c r="R70" s="24">
        <f>SUMIFS('Saldos Iniciales'!$D:$D,'Saldos Iniciales'!$A:$A,"112 Florida Ave")+SUMIFS(Movimientos!$K$1:$K$1368,Movimientos!$C$1:$C$1368,"112 Florida Ave",Movimientos!$B$1:$B$1368,"&lt;="&amp;$B70)</f>
        <v>6522.8000000000029</v>
      </c>
      <c r="S70" s="24">
        <f>SUMIFS('Saldos Iniciales'!$D:$D,'Saldos Iniciales'!$A:$A,"3628 Thomas Ave")+SUMIFS(Movimientos!$K$1:$K$1368,Movimientos!$C$1:$C$1368,"3628 Thomas Ave",Movimientos!$B$1:$B$1368,"&lt;="&amp;$B70)</f>
        <v>28485.559999999998</v>
      </c>
      <c r="T70" s="24">
        <f>SUMIFS('Saldos Iniciales'!$D:$D,'Saldos Iniciales'!$A:$A,"Green Harbor Trust")+SUMIFS(Movimientos!$K$1:$K$1368,Movimientos!$C$1:$C$1368,"Green Harbor Trust",Movimientos!$B$1:$B$1368,"&lt;="&amp;$B70)</f>
        <v>345</v>
      </c>
      <c r="U70" s="24">
        <f>SUMIFS('Saldos Iniciales'!$D:$D,'Saldos Iniciales'!$A:$A,"Go Blue")+SUMIFS(Movimientos!$K$1:$K$1368,Movimientos!$C$1:$C$1368,"Go Blue",Movimientos!$B$1:$B$1368,"&lt;="&amp;$B70)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Group")+SUMIFS(Movimientos!$K$1:$K$1368,Movimientos!$C$1:$C$1368,"CFT Group",Movimientos!$B$1:$B$1368,"&lt;="&amp;$B71)</f>
        <v>4377944.080000001</v>
      </c>
      <c r="D71" s="24">
        <f>SUMIFS('Saldos Iniciales'!$D:$D,'Saldos Iniciales'!$A:$A,"M1B")+SUMIFS(Movimientos!$K$1:$K$1368,Movimientos!$C$1:$C$1368,"M1B",Movimientos!$B$1:$B$1368,"&lt;="&amp;$B71)</f>
        <v>73157.680000000168</v>
      </c>
      <c r="E71" s="24">
        <f>SUMIFS('Saldos Iniciales'!$D:$D,'Saldos Iniciales'!$A:$A,"Durand")+SUMIFS(Movimientos!$K$1:$K$1368,Movimientos!$C$1:$C$1368,"Durand",Movimientos!$B$1:$B$1368,"&lt;="&amp;$B71)</f>
        <v>1669.89</v>
      </c>
      <c r="F71" s="24">
        <f>SUMIFS('Saldos Iniciales'!$D:$D,'Saldos Iniciales'!$A:$A,"A&amp;M Imports")+SUMIFS(Movimientos!$K$1:$K$1368,Movimientos!$C$1:$C$1368,"A&amp;M Imports",Movimientos!$B$1:$B$1368,"&lt;="&amp;$B71)</f>
        <v>290475.62999999989</v>
      </c>
      <c r="G71" s="24">
        <f>SUMIFS('Saldos Iniciales'!$D:$D,'Saldos Iniciales'!$A:$A,"SSP Capital")+SUMIFS(Movimientos!$K$1:$K$1368,Movimientos!$C$1:$C$1368,"SSP Capital",Movimientos!$B$1:$B$1368,"&lt;="&amp;$B71)</f>
        <v>2119592.9399999995</v>
      </c>
      <c r="H71" s="24">
        <f>SUMIFS('Saldos Iniciales'!$D:$D,'Saldos Iniciales'!$A:$A,"Cross Family Trust")+SUMIFS(Movimientos!$K$1:$K$1368,Movimientos!$C$1:$C$1368,"Cross Family Trust",Movimientos!$B$1:$B$1368,"&lt;="&amp;$B71)</f>
        <v>200496.38</v>
      </c>
      <c r="I71" s="24">
        <f>SUMIFS('Saldos Iniciales'!$D:$D,'Saldos Iniciales'!$A:$A,"Cross Security Trust")+SUMIFS(Movimientos!$K$1:$K$1368,Movimientos!$C$1:$C$1368,"Cross Security Trust",Movimientos!$B$1:$B$1368,"&lt;="&amp;$B71)</f>
        <v>267503.99000000005</v>
      </c>
      <c r="J71" s="24">
        <f>SUMIFS('Saldos Iniciales'!$D:$D,'Saldos Iniciales'!$A:$A,"Electrama")+SUMIFS(Movimientos!$K$1:$K$1368,Movimientos!$C$1:$C$1368,"Electrama",Movimientos!$B$1:$B$1368,"&lt;="&amp;$B71)</f>
        <v>15130.45</v>
      </c>
      <c r="K71" s="24">
        <f>SUMIFS('Saldos Iniciales'!$D:$D,'Saldos Iniciales'!$A:$A,"Sacred Valley Capital")+SUMIFS(Movimientos!$K$1:$K$1368,Movimientos!$C$1:$C$1368,"Sacred Valley Capital",Movimientos!$B$1:$B$1368,"&lt;="&amp;$B71)</f>
        <v>54.400000000000006</v>
      </c>
      <c r="L71" s="24">
        <f>SUMIFS('Saldos Iniciales'!$D:$D,'Saldos Iniciales'!$A:$A,"YWC Capital")+SUMIFS(Movimientos!$K$1:$K$1368,Movimientos!$C$1:$C$1368,"YWC Capital",Movimientos!$B$1:$B$1368,"&lt;="&amp;$B71)</f>
        <v>2207.8200000000002</v>
      </c>
      <c r="M71" s="24">
        <f>SUMIFS('Saldos Iniciales'!$D:$D,'Saldos Iniciales'!$A:$A,"Soweto")+SUMIFS(Movimientos!$K$1:$K$1368,Movimientos!$C$1:$C$1368,"Soweto",Movimientos!$B$1:$B$1368,"&lt;="&amp;$B71)</f>
        <v>1454604.72</v>
      </c>
      <c r="N71" s="24">
        <f>SUMIFS('Saldos Iniciales'!$D:$D,'Saldos Iniciales'!$A:$A,"Green Stone Trust")+SUMIFS(Movimientos!$K$1:$K$1368,Movimientos!$C$1:$C$1368,"Green Stone Trust",Movimientos!$B$1:$B$1368,"&lt;="&amp;$B71)</f>
        <v>1968.99</v>
      </c>
      <c r="O71" s="24">
        <f>SUMIFS('Saldos Iniciales'!$D:$D,'Saldos Iniciales'!$A:$A,"EC Auto")+SUMIFS(Movimientos!$K$1:$K$1368,Movimientos!$C$1:$C$1368,"EC Auto",Movimientos!$B$1:$B$1368,"&lt;="&amp;$B71)</f>
        <v>382.69000000000005</v>
      </c>
      <c r="P71" s="24">
        <f>SUMIFS('Saldos Iniciales'!$D:$D,'Saldos Iniciales'!$A:$A,"Arbor Capital Properties")+SUMIFS(Movimientos!$K$1:$K$1368,Movimientos!$C$1:$C$1368,"Arbor Capital Properties",Movimientos!$B$1:$B$1368,"&lt;="&amp;$B71)</f>
        <v>1412.08</v>
      </c>
      <c r="Q71" s="24">
        <f>SUMIFS('Saldos Iniciales'!$D:$D,'Saldos Iniciales'!$A:$A,"2515 Overbrook")+SUMIFS(Movimientos!$K$1:$K$1368,Movimientos!$C$1:$C$1368,"2515 Overbrook",Movimientos!$B$1:$B$1368,"&lt;="&amp;$B71)</f>
        <v>22496.639999999959</v>
      </c>
      <c r="R71" s="24">
        <f>SUMIFS('Saldos Iniciales'!$D:$D,'Saldos Iniciales'!$A:$A,"112 Florida Ave")+SUMIFS(Movimientos!$K$1:$K$1368,Movimientos!$C$1:$C$1368,"112 Florida Ave",Movimientos!$B$1:$B$1368,"&lt;="&amp;$B71)</f>
        <v>6522.8000000000029</v>
      </c>
      <c r="S71" s="24">
        <f>SUMIFS('Saldos Iniciales'!$D:$D,'Saldos Iniciales'!$A:$A,"3628 Thomas Ave")+SUMIFS(Movimientos!$K$1:$K$1368,Movimientos!$C$1:$C$1368,"3628 Thomas Ave",Movimientos!$B$1:$B$1368,"&lt;="&amp;$B71)</f>
        <v>28485.559999999998</v>
      </c>
      <c r="T71" s="24">
        <f>SUMIFS('Saldos Iniciales'!$D:$D,'Saldos Iniciales'!$A:$A,"Green Harbor Trust")+SUMIFS(Movimientos!$K$1:$K$1368,Movimientos!$C$1:$C$1368,"Green Harbor Trust",Movimientos!$B$1:$B$1368,"&lt;="&amp;$B71)</f>
        <v>345</v>
      </c>
      <c r="U71" s="24">
        <f>SUMIFS('Saldos Iniciales'!$D:$D,'Saldos Iniciales'!$A:$A,"Go Blue")+SUMIFS(Movimientos!$K$1:$K$1368,Movimientos!$C$1:$C$1368,"Go Blue",Movimientos!$B$1:$B$1368,"&lt;="&amp;$B71)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Group")+SUMIFS(Movimientos!$K$1:$K$1368,Movimientos!$C$1:$C$1368,"CFT Group",Movimientos!$B$1:$B$1368,"&lt;="&amp;$B72)</f>
        <v>4163755.7500000005</v>
      </c>
      <c r="D72" s="24">
        <f>SUMIFS('Saldos Iniciales'!$D:$D,'Saldos Iniciales'!$A:$A,"M1B")+SUMIFS(Movimientos!$K$1:$K$1368,Movimientos!$C$1:$C$1368,"M1B",Movimientos!$B$1:$B$1368,"&lt;="&amp;$B72)</f>
        <v>73157.680000000168</v>
      </c>
      <c r="E72" s="24">
        <f>SUMIFS('Saldos Iniciales'!$D:$D,'Saldos Iniciales'!$A:$A,"Durand")+SUMIFS(Movimientos!$K$1:$K$1368,Movimientos!$C$1:$C$1368,"Durand",Movimientos!$B$1:$B$1368,"&lt;="&amp;$B72)</f>
        <v>1669.89</v>
      </c>
      <c r="F72" s="24">
        <f>SUMIFS('Saldos Iniciales'!$D:$D,'Saldos Iniciales'!$A:$A,"A&amp;M Imports")+SUMIFS(Movimientos!$K$1:$K$1368,Movimientos!$C$1:$C$1368,"A&amp;M Imports",Movimientos!$B$1:$B$1368,"&lt;="&amp;$B72)</f>
        <v>290141.62999999989</v>
      </c>
      <c r="G72" s="24">
        <f>SUMIFS('Saldos Iniciales'!$D:$D,'Saldos Iniciales'!$A:$A,"SSP Capital")+SUMIFS(Movimientos!$K$1:$K$1368,Movimientos!$C$1:$C$1368,"SSP Capital",Movimientos!$B$1:$B$1368,"&lt;="&amp;$B72)</f>
        <v>1921752.2699999993</v>
      </c>
      <c r="H72" s="24">
        <f>SUMIFS('Saldos Iniciales'!$D:$D,'Saldos Iniciales'!$A:$A,"Cross Family Trust")+SUMIFS(Movimientos!$K$1:$K$1368,Movimientos!$C$1:$C$1368,"Cross Family Trust",Movimientos!$B$1:$B$1368,"&lt;="&amp;$B72)</f>
        <v>200496.38</v>
      </c>
      <c r="I72" s="24">
        <f>SUMIFS('Saldos Iniciales'!$D:$D,'Saldos Iniciales'!$A:$A,"Cross Security Trust")+SUMIFS(Movimientos!$K$1:$K$1368,Movimientos!$C$1:$C$1368,"Cross Security Trust",Movimientos!$B$1:$B$1368,"&lt;="&amp;$B72)</f>
        <v>267503.99000000005</v>
      </c>
      <c r="J72" s="24">
        <f>SUMIFS('Saldos Iniciales'!$D:$D,'Saldos Iniciales'!$A:$A,"Electrama")+SUMIFS(Movimientos!$K$1:$K$1368,Movimientos!$C$1:$C$1368,"Electrama",Movimientos!$B$1:$B$1368,"&lt;="&amp;$B72)</f>
        <v>14580.45</v>
      </c>
      <c r="K72" s="24">
        <f>SUMIFS('Saldos Iniciales'!$D:$D,'Saldos Iniciales'!$A:$A,"Sacred Valley Capital")+SUMIFS(Movimientos!$K$1:$K$1368,Movimientos!$C$1:$C$1368,"Sacred Valley Capital",Movimientos!$B$1:$B$1368,"&lt;="&amp;$B72)</f>
        <v>54.400000000000006</v>
      </c>
      <c r="L72" s="24">
        <f>SUMIFS('Saldos Iniciales'!$D:$D,'Saldos Iniciales'!$A:$A,"YWC Capital")+SUMIFS(Movimientos!$K$1:$K$1368,Movimientos!$C$1:$C$1368,"YWC Capital",Movimientos!$B$1:$B$1368,"&lt;="&amp;$B72)</f>
        <v>2207.8200000000002</v>
      </c>
      <c r="M72" s="24">
        <f>SUMIFS('Saldos Iniciales'!$D:$D,'Saldos Iniciales'!$A:$A,"Soweto")+SUMIFS(Movimientos!$K$1:$K$1368,Movimientos!$C$1:$C$1368,"Soweto",Movimientos!$B$1:$B$1368,"&lt;="&amp;$B72)</f>
        <v>1454589.72</v>
      </c>
      <c r="N72" s="24">
        <f>SUMIFS('Saldos Iniciales'!$D:$D,'Saldos Iniciales'!$A:$A,"Green Stone Trust")+SUMIFS(Movimientos!$K$1:$K$1368,Movimientos!$C$1:$C$1368,"Green Stone Trust",Movimientos!$B$1:$B$1368,"&lt;="&amp;$B72)</f>
        <v>1968.99</v>
      </c>
      <c r="O72" s="24">
        <f>SUMIFS('Saldos Iniciales'!$D:$D,'Saldos Iniciales'!$A:$A,"EC Auto")+SUMIFS(Movimientos!$K$1:$K$1368,Movimientos!$C$1:$C$1368,"EC Auto",Movimientos!$B$1:$B$1368,"&lt;="&amp;$B72)</f>
        <v>382.69000000000005</v>
      </c>
      <c r="P72" s="24">
        <f>SUMIFS('Saldos Iniciales'!$D:$D,'Saldos Iniciales'!$A:$A,"Arbor Capital Properties")+SUMIFS(Movimientos!$K$1:$K$1368,Movimientos!$C$1:$C$1368,"Arbor Capital Properties",Movimientos!$B$1:$B$1368,"&lt;="&amp;$B72)</f>
        <v>1412.08</v>
      </c>
      <c r="Q72" s="24">
        <f>SUMIFS('Saldos Iniciales'!$D:$D,'Saldos Iniciales'!$A:$A,"2515 Overbrook")+SUMIFS(Movimientos!$K$1:$K$1368,Movimientos!$C$1:$C$1368,"2515 Overbrook",Movimientos!$B$1:$B$1368,"&lt;="&amp;$B72)</f>
        <v>22496.639999999959</v>
      </c>
      <c r="R72" s="24">
        <f>SUMIFS('Saldos Iniciales'!$D:$D,'Saldos Iniciales'!$A:$A,"112 Florida Ave")+SUMIFS(Movimientos!$K$1:$K$1368,Movimientos!$C$1:$C$1368,"112 Florida Ave",Movimientos!$B$1:$B$1368,"&lt;="&amp;$B72)</f>
        <v>6522.8000000000029</v>
      </c>
      <c r="S72" s="24">
        <f>SUMIFS('Saldos Iniciales'!$D:$D,'Saldos Iniciales'!$A:$A,"3628 Thomas Ave")+SUMIFS(Movimientos!$K$1:$K$1368,Movimientos!$C$1:$C$1368,"3628 Thomas Ave",Movimientos!$B$1:$B$1368,"&lt;="&amp;$B72)</f>
        <v>28485.559999999998</v>
      </c>
      <c r="T72" s="24">
        <f>SUMIFS('Saldos Iniciales'!$D:$D,'Saldos Iniciales'!$A:$A,"Green Harbor Trust")+SUMIFS(Movimientos!$K$1:$K$1368,Movimientos!$C$1:$C$1368,"Green Harbor Trust",Movimientos!$B$1:$B$1368,"&lt;="&amp;$B72)</f>
        <v>345</v>
      </c>
      <c r="U72" s="24">
        <f>SUMIFS('Saldos Iniciales'!$D:$D,'Saldos Iniciales'!$A:$A,"Go Blue")+SUMIFS(Movimientos!$K$1:$K$1368,Movimientos!$C$1:$C$1368,"Go Blue",Movimientos!$B$1:$B$1368,"&lt;="&amp;$B72)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Group")+SUMIFS(Movimientos!$K$1:$K$1368,Movimientos!$C$1:$C$1368,"CFT Group",Movimientos!$B$1:$B$1368,"&lt;="&amp;$B73)</f>
        <v>4163755.7500000005</v>
      </c>
      <c r="D73" s="24">
        <f>SUMIFS('Saldos Iniciales'!$D:$D,'Saldos Iniciales'!$A:$A,"M1B")+SUMIFS(Movimientos!$K$1:$K$1368,Movimientos!$C$1:$C$1368,"M1B",Movimientos!$B$1:$B$1368,"&lt;="&amp;$B73)</f>
        <v>73157.680000000168</v>
      </c>
      <c r="E73" s="24">
        <f>SUMIFS('Saldos Iniciales'!$D:$D,'Saldos Iniciales'!$A:$A,"Durand")+SUMIFS(Movimientos!$K$1:$K$1368,Movimientos!$C$1:$C$1368,"Durand",Movimientos!$B$1:$B$1368,"&lt;="&amp;$B73)</f>
        <v>1669.89</v>
      </c>
      <c r="F73" s="24">
        <f>SUMIFS('Saldos Iniciales'!$D:$D,'Saldos Iniciales'!$A:$A,"A&amp;M Imports")+SUMIFS(Movimientos!$K$1:$K$1368,Movimientos!$C$1:$C$1368,"A&amp;M Imports",Movimientos!$B$1:$B$1368,"&lt;="&amp;$B73)</f>
        <v>290141.62999999989</v>
      </c>
      <c r="G73" s="24">
        <f>SUMIFS('Saldos Iniciales'!$D:$D,'Saldos Iniciales'!$A:$A,"SSP Capital")+SUMIFS(Movimientos!$K$1:$K$1368,Movimientos!$C$1:$C$1368,"SSP Capital",Movimientos!$B$1:$B$1368,"&lt;="&amp;$B73)</f>
        <v>1921752.2699999993</v>
      </c>
      <c r="H73" s="24">
        <f>SUMIFS('Saldos Iniciales'!$D:$D,'Saldos Iniciales'!$A:$A,"Cross Family Trust")+SUMIFS(Movimientos!$K$1:$K$1368,Movimientos!$C$1:$C$1368,"Cross Family Trust",Movimientos!$B$1:$B$1368,"&lt;="&amp;$B73)</f>
        <v>200496.38</v>
      </c>
      <c r="I73" s="24">
        <f>SUMIFS('Saldos Iniciales'!$D:$D,'Saldos Iniciales'!$A:$A,"Cross Security Trust")+SUMIFS(Movimientos!$K$1:$K$1368,Movimientos!$C$1:$C$1368,"Cross Security Trust",Movimientos!$B$1:$B$1368,"&lt;="&amp;$B73)</f>
        <v>267503.99000000005</v>
      </c>
      <c r="J73" s="24">
        <f>SUMIFS('Saldos Iniciales'!$D:$D,'Saldos Iniciales'!$A:$A,"Electrama")+SUMIFS(Movimientos!$K$1:$K$1368,Movimientos!$C$1:$C$1368,"Electrama",Movimientos!$B$1:$B$1368,"&lt;="&amp;$B73)</f>
        <v>14580.45</v>
      </c>
      <c r="K73" s="24">
        <f>SUMIFS('Saldos Iniciales'!$D:$D,'Saldos Iniciales'!$A:$A,"Sacred Valley Capital")+SUMIFS(Movimientos!$K$1:$K$1368,Movimientos!$C$1:$C$1368,"Sacred Valley Capital",Movimientos!$B$1:$B$1368,"&lt;="&amp;$B73)</f>
        <v>54.400000000000006</v>
      </c>
      <c r="L73" s="24">
        <f>SUMIFS('Saldos Iniciales'!$D:$D,'Saldos Iniciales'!$A:$A,"YWC Capital")+SUMIFS(Movimientos!$K$1:$K$1368,Movimientos!$C$1:$C$1368,"YWC Capital",Movimientos!$B$1:$B$1368,"&lt;="&amp;$B73)</f>
        <v>2207.8200000000002</v>
      </c>
      <c r="M73" s="24">
        <f>SUMIFS('Saldos Iniciales'!$D:$D,'Saldos Iniciales'!$A:$A,"Soweto")+SUMIFS(Movimientos!$K$1:$K$1368,Movimientos!$C$1:$C$1368,"Soweto",Movimientos!$B$1:$B$1368,"&lt;="&amp;$B73)</f>
        <v>1454589.72</v>
      </c>
      <c r="N73" s="24">
        <f>SUMIFS('Saldos Iniciales'!$D:$D,'Saldos Iniciales'!$A:$A,"Green Stone Trust")+SUMIFS(Movimientos!$K$1:$K$1368,Movimientos!$C$1:$C$1368,"Green Stone Trust",Movimientos!$B$1:$B$1368,"&lt;="&amp;$B73)</f>
        <v>1968.99</v>
      </c>
      <c r="O73" s="24">
        <f>SUMIFS('Saldos Iniciales'!$D:$D,'Saldos Iniciales'!$A:$A,"EC Auto")+SUMIFS(Movimientos!$K$1:$K$1368,Movimientos!$C$1:$C$1368,"EC Auto",Movimientos!$B$1:$B$1368,"&lt;="&amp;$B73)</f>
        <v>382.69000000000005</v>
      </c>
      <c r="P73" s="24">
        <f>SUMIFS('Saldos Iniciales'!$D:$D,'Saldos Iniciales'!$A:$A,"Arbor Capital Properties")+SUMIFS(Movimientos!$K$1:$K$1368,Movimientos!$C$1:$C$1368,"Arbor Capital Properties",Movimientos!$B$1:$B$1368,"&lt;="&amp;$B73)</f>
        <v>1412.08</v>
      </c>
      <c r="Q73" s="24">
        <f>SUMIFS('Saldos Iniciales'!$D:$D,'Saldos Iniciales'!$A:$A,"2515 Overbrook")+SUMIFS(Movimientos!$K$1:$K$1368,Movimientos!$C$1:$C$1368,"2515 Overbrook",Movimientos!$B$1:$B$1368,"&lt;="&amp;$B73)</f>
        <v>22496.639999999959</v>
      </c>
      <c r="R73" s="24">
        <f>SUMIFS('Saldos Iniciales'!$D:$D,'Saldos Iniciales'!$A:$A,"112 Florida Ave")+SUMIFS(Movimientos!$K$1:$K$1368,Movimientos!$C$1:$C$1368,"112 Florida Ave",Movimientos!$B$1:$B$1368,"&lt;="&amp;$B73)</f>
        <v>6522.8000000000029</v>
      </c>
      <c r="S73" s="24">
        <f>SUMIFS('Saldos Iniciales'!$D:$D,'Saldos Iniciales'!$A:$A,"3628 Thomas Ave")+SUMIFS(Movimientos!$K$1:$K$1368,Movimientos!$C$1:$C$1368,"3628 Thomas Ave",Movimientos!$B$1:$B$1368,"&lt;="&amp;$B73)</f>
        <v>28485.559999999998</v>
      </c>
      <c r="T73" s="24">
        <f>SUMIFS('Saldos Iniciales'!$D:$D,'Saldos Iniciales'!$A:$A,"Green Harbor Trust")+SUMIFS(Movimientos!$K$1:$K$1368,Movimientos!$C$1:$C$1368,"Green Harbor Trust",Movimientos!$B$1:$B$1368,"&lt;="&amp;$B73)</f>
        <v>345</v>
      </c>
      <c r="U73" s="24">
        <f>SUMIFS('Saldos Iniciales'!$D:$D,'Saldos Iniciales'!$A:$A,"Go Blue")+SUMIFS(Movimientos!$K$1:$K$1368,Movimientos!$C$1:$C$1368,"Go Blue",Movimientos!$B$1:$B$1368,"&lt;="&amp;$B73)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Group")+SUMIFS(Movimientos!$K$1:$K$1368,Movimientos!$C$1:$C$1368,"CFT Group",Movimientos!$B$1:$B$1368,"&lt;="&amp;$B74)</f>
        <v>4163755.7500000005</v>
      </c>
      <c r="D74" s="24">
        <f>SUMIFS('Saldos Iniciales'!$D:$D,'Saldos Iniciales'!$A:$A,"M1B")+SUMIFS(Movimientos!$K$1:$K$1368,Movimientos!$C$1:$C$1368,"M1B",Movimientos!$B$1:$B$1368,"&lt;="&amp;$B74)</f>
        <v>73157.680000000168</v>
      </c>
      <c r="E74" s="24">
        <f>SUMIFS('Saldos Iniciales'!$D:$D,'Saldos Iniciales'!$A:$A,"Durand")+SUMIFS(Movimientos!$K$1:$K$1368,Movimientos!$C$1:$C$1368,"Durand",Movimientos!$B$1:$B$1368,"&lt;="&amp;$B74)</f>
        <v>1669.89</v>
      </c>
      <c r="F74" s="24">
        <f>SUMIFS('Saldos Iniciales'!$D:$D,'Saldos Iniciales'!$A:$A,"A&amp;M Imports")+SUMIFS(Movimientos!$K$1:$K$1368,Movimientos!$C$1:$C$1368,"A&amp;M Imports",Movimientos!$B$1:$B$1368,"&lt;="&amp;$B74)</f>
        <v>290141.62999999989</v>
      </c>
      <c r="G74" s="24">
        <f>SUMIFS('Saldos Iniciales'!$D:$D,'Saldos Iniciales'!$A:$A,"SSP Capital")+SUMIFS(Movimientos!$K$1:$K$1368,Movimientos!$C$1:$C$1368,"SSP Capital",Movimientos!$B$1:$B$1368,"&lt;="&amp;$B74)</f>
        <v>1921752.2699999993</v>
      </c>
      <c r="H74" s="24">
        <f>SUMIFS('Saldos Iniciales'!$D:$D,'Saldos Iniciales'!$A:$A,"Cross Family Trust")+SUMIFS(Movimientos!$K$1:$K$1368,Movimientos!$C$1:$C$1368,"Cross Family Trust",Movimientos!$B$1:$B$1368,"&lt;="&amp;$B74)</f>
        <v>200496.38</v>
      </c>
      <c r="I74" s="24">
        <f>SUMIFS('Saldos Iniciales'!$D:$D,'Saldos Iniciales'!$A:$A,"Cross Security Trust")+SUMIFS(Movimientos!$K$1:$K$1368,Movimientos!$C$1:$C$1368,"Cross Security Trust",Movimientos!$B$1:$B$1368,"&lt;="&amp;$B74)</f>
        <v>267503.99000000005</v>
      </c>
      <c r="J74" s="24">
        <f>SUMIFS('Saldos Iniciales'!$D:$D,'Saldos Iniciales'!$A:$A,"Electrama")+SUMIFS(Movimientos!$K$1:$K$1368,Movimientos!$C$1:$C$1368,"Electrama",Movimientos!$B$1:$B$1368,"&lt;="&amp;$B74)</f>
        <v>14580.45</v>
      </c>
      <c r="K74" s="24">
        <f>SUMIFS('Saldos Iniciales'!$D:$D,'Saldos Iniciales'!$A:$A,"Sacred Valley Capital")+SUMIFS(Movimientos!$K$1:$K$1368,Movimientos!$C$1:$C$1368,"Sacred Valley Capital",Movimientos!$B$1:$B$1368,"&lt;="&amp;$B74)</f>
        <v>54.400000000000006</v>
      </c>
      <c r="L74" s="24">
        <f>SUMIFS('Saldos Iniciales'!$D:$D,'Saldos Iniciales'!$A:$A,"YWC Capital")+SUMIFS(Movimientos!$K$1:$K$1368,Movimientos!$C$1:$C$1368,"YWC Capital",Movimientos!$B$1:$B$1368,"&lt;="&amp;$B74)</f>
        <v>2207.8200000000002</v>
      </c>
      <c r="M74" s="24">
        <f>SUMIFS('Saldos Iniciales'!$D:$D,'Saldos Iniciales'!$A:$A,"Soweto")+SUMIFS(Movimientos!$K$1:$K$1368,Movimientos!$C$1:$C$1368,"Soweto",Movimientos!$B$1:$B$1368,"&lt;="&amp;$B74)</f>
        <v>1454589.72</v>
      </c>
      <c r="N74" s="24">
        <f>SUMIFS('Saldos Iniciales'!$D:$D,'Saldos Iniciales'!$A:$A,"Green Stone Trust")+SUMIFS(Movimientos!$K$1:$K$1368,Movimientos!$C$1:$C$1368,"Green Stone Trust",Movimientos!$B$1:$B$1368,"&lt;="&amp;$B74)</f>
        <v>1968.99</v>
      </c>
      <c r="O74" s="24">
        <f>SUMIFS('Saldos Iniciales'!$D:$D,'Saldos Iniciales'!$A:$A,"EC Auto")+SUMIFS(Movimientos!$K$1:$K$1368,Movimientos!$C$1:$C$1368,"EC Auto",Movimientos!$B$1:$B$1368,"&lt;="&amp;$B74)</f>
        <v>382.69000000000005</v>
      </c>
      <c r="P74" s="24">
        <f>SUMIFS('Saldos Iniciales'!$D:$D,'Saldos Iniciales'!$A:$A,"Arbor Capital Properties")+SUMIFS(Movimientos!$K$1:$K$1368,Movimientos!$C$1:$C$1368,"Arbor Capital Properties",Movimientos!$B$1:$B$1368,"&lt;="&amp;$B74)</f>
        <v>1412.08</v>
      </c>
      <c r="Q74" s="24">
        <f>SUMIFS('Saldos Iniciales'!$D:$D,'Saldos Iniciales'!$A:$A,"2515 Overbrook")+SUMIFS(Movimientos!$K$1:$K$1368,Movimientos!$C$1:$C$1368,"2515 Overbrook",Movimientos!$B$1:$B$1368,"&lt;="&amp;$B74)</f>
        <v>22496.639999999959</v>
      </c>
      <c r="R74" s="24">
        <f>SUMIFS('Saldos Iniciales'!$D:$D,'Saldos Iniciales'!$A:$A,"112 Florida Ave")+SUMIFS(Movimientos!$K$1:$K$1368,Movimientos!$C$1:$C$1368,"112 Florida Ave",Movimientos!$B$1:$B$1368,"&lt;="&amp;$B74)</f>
        <v>6522.8000000000029</v>
      </c>
      <c r="S74" s="24">
        <f>SUMIFS('Saldos Iniciales'!$D:$D,'Saldos Iniciales'!$A:$A,"3628 Thomas Ave")+SUMIFS(Movimientos!$K$1:$K$1368,Movimientos!$C$1:$C$1368,"3628 Thomas Ave",Movimientos!$B$1:$B$1368,"&lt;="&amp;$B74)</f>
        <v>28485.559999999998</v>
      </c>
      <c r="T74" s="24">
        <f>SUMIFS('Saldos Iniciales'!$D:$D,'Saldos Iniciales'!$A:$A,"Green Harbor Trust")+SUMIFS(Movimientos!$K$1:$K$1368,Movimientos!$C$1:$C$1368,"Green Harbor Trust",Movimientos!$B$1:$B$1368,"&lt;="&amp;$B74)</f>
        <v>345</v>
      </c>
      <c r="U74" s="24">
        <f>SUMIFS('Saldos Iniciales'!$D:$D,'Saldos Iniciales'!$A:$A,"Go Blue")+SUMIFS(Movimientos!$K$1:$K$1368,Movimientos!$C$1:$C$1368,"Go Blue",Movimientos!$B$1:$B$1368,"&lt;="&amp;$B74)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Group")+SUMIFS(Movimientos!$K$1:$K$1368,Movimientos!$C$1:$C$1368,"CFT Group",Movimientos!$B$1:$B$1368,"&lt;="&amp;$B75)</f>
        <v>4163755.7500000005</v>
      </c>
      <c r="D75" s="24">
        <f>SUMIFS('Saldos Iniciales'!$D:$D,'Saldos Iniciales'!$A:$A,"M1B")+SUMIFS(Movimientos!$K$1:$K$1368,Movimientos!$C$1:$C$1368,"M1B",Movimientos!$B$1:$B$1368,"&lt;="&amp;$B75)</f>
        <v>73157.680000000168</v>
      </c>
      <c r="E75" s="24">
        <f>SUMIFS('Saldos Iniciales'!$D:$D,'Saldos Iniciales'!$A:$A,"Durand")+SUMIFS(Movimientos!$K$1:$K$1368,Movimientos!$C$1:$C$1368,"Durand",Movimientos!$B$1:$B$1368,"&lt;="&amp;$B75)</f>
        <v>1669.89</v>
      </c>
      <c r="F75" s="24">
        <f>SUMIFS('Saldos Iniciales'!$D:$D,'Saldos Iniciales'!$A:$A,"A&amp;M Imports")+SUMIFS(Movimientos!$K$1:$K$1368,Movimientos!$C$1:$C$1368,"A&amp;M Imports",Movimientos!$B$1:$B$1368,"&lt;="&amp;$B75)</f>
        <v>290141.62999999989</v>
      </c>
      <c r="G75" s="24">
        <f>SUMIFS('Saldos Iniciales'!$D:$D,'Saldos Iniciales'!$A:$A,"SSP Capital")+SUMIFS(Movimientos!$K$1:$K$1368,Movimientos!$C$1:$C$1368,"SSP Capital",Movimientos!$B$1:$B$1368,"&lt;="&amp;$B75)</f>
        <v>1921752.2699999993</v>
      </c>
      <c r="H75" s="24">
        <f>SUMIFS('Saldos Iniciales'!$D:$D,'Saldos Iniciales'!$A:$A,"Cross Family Trust")+SUMIFS(Movimientos!$K$1:$K$1368,Movimientos!$C$1:$C$1368,"Cross Family Trust",Movimientos!$B$1:$B$1368,"&lt;="&amp;$B75)</f>
        <v>200496.38</v>
      </c>
      <c r="I75" s="24">
        <f>SUMIFS('Saldos Iniciales'!$D:$D,'Saldos Iniciales'!$A:$A,"Cross Security Trust")+SUMIFS(Movimientos!$K$1:$K$1368,Movimientos!$C$1:$C$1368,"Cross Security Trust",Movimientos!$B$1:$B$1368,"&lt;="&amp;$B75)</f>
        <v>267503.99000000005</v>
      </c>
      <c r="J75" s="24">
        <f>SUMIFS('Saldos Iniciales'!$D:$D,'Saldos Iniciales'!$A:$A,"Electrama")+SUMIFS(Movimientos!$K$1:$K$1368,Movimientos!$C$1:$C$1368,"Electrama",Movimientos!$B$1:$B$1368,"&lt;="&amp;$B75)</f>
        <v>14580.45</v>
      </c>
      <c r="K75" s="24">
        <f>SUMIFS('Saldos Iniciales'!$D:$D,'Saldos Iniciales'!$A:$A,"Sacred Valley Capital")+SUMIFS(Movimientos!$K$1:$K$1368,Movimientos!$C$1:$C$1368,"Sacred Valley Capital",Movimientos!$B$1:$B$1368,"&lt;="&amp;$B75)</f>
        <v>54.400000000000006</v>
      </c>
      <c r="L75" s="24">
        <f>SUMIFS('Saldos Iniciales'!$D:$D,'Saldos Iniciales'!$A:$A,"YWC Capital")+SUMIFS(Movimientos!$K$1:$K$1368,Movimientos!$C$1:$C$1368,"YWC Capital",Movimientos!$B$1:$B$1368,"&lt;="&amp;$B75)</f>
        <v>2207.8200000000002</v>
      </c>
      <c r="M75" s="24">
        <f>SUMIFS('Saldos Iniciales'!$D:$D,'Saldos Iniciales'!$A:$A,"Soweto")+SUMIFS(Movimientos!$K$1:$K$1368,Movimientos!$C$1:$C$1368,"Soweto",Movimientos!$B$1:$B$1368,"&lt;="&amp;$B75)</f>
        <v>1454589.72</v>
      </c>
      <c r="N75" s="24">
        <f>SUMIFS('Saldos Iniciales'!$D:$D,'Saldos Iniciales'!$A:$A,"Green Stone Trust")+SUMIFS(Movimientos!$K$1:$K$1368,Movimientos!$C$1:$C$1368,"Green Stone Trust",Movimientos!$B$1:$B$1368,"&lt;="&amp;$B75)</f>
        <v>1968.99</v>
      </c>
      <c r="O75" s="24">
        <f>SUMIFS('Saldos Iniciales'!$D:$D,'Saldos Iniciales'!$A:$A,"EC Auto")+SUMIFS(Movimientos!$K$1:$K$1368,Movimientos!$C$1:$C$1368,"EC Auto",Movimientos!$B$1:$B$1368,"&lt;="&amp;$B75)</f>
        <v>901.34</v>
      </c>
      <c r="P75" s="24">
        <f>SUMIFS('Saldos Iniciales'!$D:$D,'Saldos Iniciales'!$A:$A,"Arbor Capital Properties")+SUMIFS(Movimientos!$K$1:$K$1368,Movimientos!$C$1:$C$1368,"Arbor Capital Properties",Movimientos!$B$1:$B$1368,"&lt;="&amp;$B75)</f>
        <v>1412.08</v>
      </c>
      <c r="Q75" s="24">
        <f>SUMIFS('Saldos Iniciales'!$D:$D,'Saldos Iniciales'!$A:$A,"2515 Overbrook")+SUMIFS(Movimientos!$K$1:$K$1368,Movimientos!$C$1:$C$1368,"2515 Overbrook",Movimientos!$B$1:$B$1368,"&lt;="&amp;$B75)</f>
        <v>22496.639999999959</v>
      </c>
      <c r="R75" s="24">
        <f>SUMIFS('Saldos Iniciales'!$D:$D,'Saldos Iniciales'!$A:$A,"112 Florida Ave")+SUMIFS(Movimientos!$K$1:$K$1368,Movimientos!$C$1:$C$1368,"112 Florida Ave",Movimientos!$B$1:$B$1368,"&lt;="&amp;$B75)</f>
        <v>6522.8000000000029</v>
      </c>
      <c r="S75" s="24">
        <f>SUMIFS('Saldos Iniciales'!$D:$D,'Saldos Iniciales'!$A:$A,"3628 Thomas Ave")+SUMIFS(Movimientos!$K$1:$K$1368,Movimientos!$C$1:$C$1368,"3628 Thomas Ave",Movimientos!$B$1:$B$1368,"&lt;="&amp;$B75)</f>
        <v>28485.559999999998</v>
      </c>
      <c r="T75" s="24">
        <f>SUMIFS('Saldos Iniciales'!$D:$D,'Saldos Iniciales'!$A:$A,"Green Harbor Trust")+SUMIFS(Movimientos!$K$1:$K$1368,Movimientos!$C$1:$C$1368,"Green Harbor Trust",Movimientos!$B$1:$B$1368,"&lt;="&amp;$B75)</f>
        <v>345</v>
      </c>
      <c r="U75" s="24">
        <f>SUMIFS('Saldos Iniciales'!$D:$D,'Saldos Iniciales'!$A:$A,"Go Blue")+SUMIFS(Movimientos!$K$1:$K$1368,Movimientos!$C$1:$C$1368,"Go Blue",Movimientos!$B$1:$B$1368,"&lt;="&amp;$B75)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Group")+SUMIFS(Movimientos!$K$1:$K$1368,Movimientos!$C$1:$C$1368,"CFT Group",Movimientos!$B$1:$B$1368,"&lt;="&amp;$B76)</f>
        <v>3363755.7500000005</v>
      </c>
      <c r="D76" s="24">
        <f>SUMIFS('Saldos Iniciales'!$D:$D,'Saldos Iniciales'!$A:$A,"M1B")+SUMIFS(Movimientos!$K$1:$K$1368,Movimientos!$C$1:$C$1368,"M1B",Movimientos!$B$1:$B$1368,"&lt;="&amp;$B76)</f>
        <v>73157.680000000168</v>
      </c>
      <c r="E76" s="24">
        <f>SUMIFS('Saldos Iniciales'!$D:$D,'Saldos Iniciales'!$A:$A,"Durand")+SUMIFS(Movimientos!$K$1:$K$1368,Movimientos!$C$1:$C$1368,"Durand",Movimientos!$B$1:$B$1368,"&lt;="&amp;$B76)</f>
        <v>1669.89</v>
      </c>
      <c r="F76" s="24">
        <f>SUMIFS('Saldos Iniciales'!$D:$D,'Saldos Iniciales'!$A:$A,"A&amp;M Imports")+SUMIFS(Movimientos!$K$1:$K$1368,Movimientos!$C$1:$C$1368,"A&amp;M Imports",Movimientos!$B$1:$B$1368,"&lt;="&amp;$B76)</f>
        <v>1090141.6299999999</v>
      </c>
      <c r="G76" s="24">
        <f>SUMIFS('Saldos Iniciales'!$D:$D,'Saldos Iniciales'!$A:$A,"SSP Capital")+SUMIFS(Movimientos!$K$1:$K$1368,Movimientos!$C$1:$C$1368,"SSP Capital",Movimientos!$B$1:$B$1368,"&lt;="&amp;$B76)</f>
        <v>1856542.8899999992</v>
      </c>
      <c r="H76" s="24">
        <f>SUMIFS('Saldos Iniciales'!$D:$D,'Saldos Iniciales'!$A:$A,"Cross Family Trust")+SUMIFS(Movimientos!$K$1:$K$1368,Movimientos!$C$1:$C$1368,"Cross Family Trust",Movimientos!$B$1:$B$1368,"&lt;="&amp;$B76)</f>
        <v>200496.38</v>
      </c>
      <c r="I76" s="24">
        <f>SUMIFS('Saldos Iniciales'!$D:$D,'Saldos Iniciales'!$A:$A,"Cross Security Trust")+SUMIFS(Movimientos!$K$1:$K$1368,Movimientos!$C$1:$C$1368,"Cross Security Trust",Movimientos!$B$1:$B$1368,"&lt;="&amp;$B76)</f>
        <v>267503.99000000005</v>
      </c>
      <c r="J76" s="24">
        <f>SUMIFS('Saldos Iniciales'!$D:$D,'Saldos Iniciales'!$A:$A,"Electrama")+SUMIFS(Movimientos!$K$1:$K$1368,Movimientos!$C$1:$C$1368,"Electrama",Movimientos!$B$1:$B$1368,"&lt;="&amp;$B76)</f>
        <v>14580.45</v>
      </c>
      <c r="K76" s="24">
        <f>SUMIFS('Saldos Iniciales'!$D:$D,'Saldos Iniciales'!$A:$A,"Sacred Valley Capital")+SUMIFS(Movimientos!$K$1:$K$1368,Movimientos!$C$1:$C$1368,"Sacred Valley Capital",Movimientos!$B$1:$B$1368,"&lt;="&amp;$B76)</f>
        <v>54.400000000000006</v>
      </c>
      <c r="L76" s="24">
        <f>SUMIFS('Saldos Iniciales'!$D:$D,'Saldos Iniciales'!$A:$A,"YWC Capital")+SUMIFS(Movimientos!$K$1:$K$1368,Movimientos!$C$1:$C$1368,"YWC Capital",Movimientos!$B$1:$B$1368,"&lt;="&amp;$B76)</f>
        <v>2207.8200000000002</v>
      </c>
      <c r="M76" s="24">
        <f>SUMIFS('Saldos Iniciales'!$D:$D,'Saldos Iniciales'!$A:$A,"Soweto")+SUMIFS(Movimientos!$K$1:$K$1368,Movimientos!$C$1:$C$1368,"Soweto",Movimientos!$B$1:$B$1368,"&lt;="&amp;$B76)</f>
        <v>1454589.72</v>
      </c>
      <c r="N76" s="24">
        <f>SUMIFS('Saldos Iniciales'!$D:$D,'Saldos Iniciales'!$A:$A,"Green Stone Trust")+SUMIFS(Movimientos!$K$1:$K$1368,Movimientos!$C$1:$C$1368,"Green Stone Trust",Movimientos!$B$1:$B$1368,"&lt;="&amp;$B76)</f>
        <v>1968.99</v>
      </c>
      <c r="O76" s="24">
        <f>SUMIFS('Saldos Iniciales'!$D:$D,'Saldos Iniciales'!$A:$A,"EC Auto")+SUMIFS(Movimientos!$K$1:$K$1368,Movimientos!$C$1:$C$1368,"EC Auto",Movimientos!$B$1:$B$1368,"&lt;="&amp;$B76)</f>
        <v>901.34</v>
      </c>
      <c r="P76" s="24">
        <f>SUMIFS('Saldos Iniciales'!$D:$D,'Saldos Iniciales'!$A:$A,"Arbor Capital Properties")+SUMIFS(Movimientos!$K$1:$K$1368,Movimientos!$C$1:$C$1368,"Arbor Capital Properties",Movimientos!$B$1:$B$1368,"&lt;="&amp;$B76)</f>
        <v>1412.08</v>
      </c>
      <c r="Q76" s="24">
        <f>SUMIFS('Saldos Iniciales'!$D:$D,'Saldos Iniciales'!$A:$A,"2515 Overbrook")+SUMIFS(Movimientos!$K$1:$K$1368,Movimientos!$C$1:$C$1368,"2515 Overbrook",Movimientos!$B$1:$B$1368,"&lt;="&amp;$B76)</f>
        <v>22347.56999999996</v>
      </c>
      <c r="R76" s="24">
        <f>SUMIFS('Saldos Iniciales'!$D:$D,'Saldos Iniciales'!$A:$A,"112 Florida Ave")+SUMIFS(Movimientos!$K$1:$K$1368,Movimientos!$C$1:$C$1368,"112 Florida Ave",Movimientos!$B$1:$B$1368,"&lt;="&amp;$B76)</f>
        <v>6522.8000000000029</v>
      </c>
      <c r="S76" s="24">
        <f>SUMIFS('Saldos Iniciales'!$D:$D,'Saldos Iniciales'!$A:$A,"3628 Thomas Ave")+SUMIFS(Movimientos!$K$1:$K$1368,Movimientos!$C$1:$C$1368,"3628 Thomas Ave",Movimientos!$B$1:$B$1368,"&lt;="&amp;$B76)</f>
        <v>28485.559999999998</v>
      </c>
      <c r="T76" s="24">
        <f>SUMIFS('Saldos Iniciales'!$D:$D,'Saldos Iniciales'!$A:$A,"Green Harbor Trust")+SUMIFS(Movimientos!$K$1:$K$1368,Movimientos!$C$1:$C$1368,"Green Harbor Trust",Movimientos!$B$1:$B$1368,"&lt;="&amp;$B76)</f>
        <v>345</v>
      </c>
      <c r="U76" s="24">
        <f>SUMIFS('Saldos Iniciales'!$D:$D,'Saldos Iniciales'!$A:$A,"Go Blue")+SUMIFS(Movimientos!$K$1:$K$1368,Movimientos!$C$1:$C$1368,"Go Blue",Movimientos!$B$1:$B$1368,"&lt;="&amp;$B76)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Group")+SUMIFS(Movimientos!$K$1:$K$1368,Movimientos!$C$1:$C$1368,"CFT Group",Movimientos!$B$1:$B$1368,"&lt;="&amp;$B77)</f>
        <v>3363755.7500000005</v>
      </c>
      <c r="D77" s="24">
        <f>SUMIFS('Saldos Iniciales'!$D:$D,'Saldos Iniciales'!$A:$A,"M1B")+SUMIFS(Movimientos!$K$1:$K$1368,Movimientos!$C$1:$C$1368,"M1B",Movimientos!$B$1:$B$1368,"&lt;="&amp;$B77)</f>
        <v>73157.680000000168</v>
      </c>
      <c r="E77" s="24">
        <f>SUMIFS('Saldos Iniciales'!$D:$D,'Saldos Iniciales'!$A:$A,"Durand")+SUMIFS(Movimientos!$K$1:$K$1368,Movimientos!$C$1:$C$1368,"Durand",Movimientos!$B$1:$B$1368,"&lt;="&amp;$B77)</f>
        <v>1669.89</v>
      </c>
      <c r="F77" s="24">
        <f>SUMIFS('Saldos Iniciales'!$D:$D,'Saldos Iniciales'!$A:$A,"A&amp;M Imports")+SUMIFS(Movimientos!$K$1:$K$1368,Movimientos!$C$1:$C$1368,"A&amp;M Imports",Movimientos!$B$1:$B$1368,"&lt;="&amp;$B77)</f>
        <v>1089804.7499999998</v>
      </c>
      <c r="G77" s="24">
        <f>SUMIFS('Saldos Iniciales'!$D:$D,'Saldos Iniciales'!$A:$A,"SSP Capital")+SUMIFS(Movimientos!$K$1:$K$1368,Movimientos!$C$1:$C$1368,"SSP Capital",Movimientos!$B$1:$B$1368,"&lt;="&amp;$B77)</f>
        <v>1856513.4499999993</v>
      </c>
      <c r="H77" s="24">
        <f>SUMIFS('Saldos Iniciales'!$D:$D,'Saldos Iniciales'!$A:$A,"Cross Family Trust")+SUMIFS(Movimientos!$K$1:$K$1368,Movimientos!$C$1:$C$1368,"Cross Family Trust",Movimientos!$B$1:$B$1368,"&lt;="&amp;$B77)</f>
        <v>200496.38</v>
      </c>
      <c r="I77" s="24">
        <f>SUMIFS('Saldos Iniciales'!$D:$D,'Saldos Iniciales'!$A:$A,"Cross Security Trust")+SUMIFS(Movimientos!$K$1:$K$1368,Movimientos!$C$1:$C$1368,"Cross Security Trust",Movimientos!$B$1:$B$1368,"&lt;="&amp;$B77)</f>
        <v>267503.99000000005</v>
      </c>
      <c r="J77" s="24">
        <f>SUMIFS('Saldos Iniciales'!$D:$D,'Saldos Iniciales'!$A:$A,"Electrama")+SUMIFS(Movimientos!$K$1:$K$1368,Movimientos!$C$1:$C$1368,"Electrama",Movimientos!$B$1:$B$1368,"&lt;="&amp;$B77)</f>
        <v>14580.45</v>
      </c>
      <c r="K77" s="24">
        <f>SUMIFS('Saldos Iniciales'!$D:$D,'Saldos Iniciales'!$A:$A,"Sacred Valley Capital")+SUMIFS(Movimientos!$K$1:$K$1368,Movimientos!$C$1:$C$1368,"Sacred Valley Capital",Movimientos!$B$1:$B$1368,"&lt;="&amp;$B77)</f>
        <v>54.400000000000006</v>
      </c>
      <c r="L77" s="24">
        <f>SUMIFS('Saldos Iniciales'!$D:$D,'Saldos Iniciales'!$A:$A,"YWC Capital")+SUMIFS(Movimientos!$K$1:$K$1368,Movimientos!$C$1:$C$1368,"YWC Capital",Movimientos!$B$1:$B$1368,"&lt;="&amp;$B77)</f>
        <v>2207.8200000000002</v>
      </c>
      <c r="M77" s="24">
        <f>SUMIFS('Saldos Iniciales'!$D:$D,'Saldos Iniciales'!$A:$A,"Soweto")+SUMIFS(Movimientos!$K$1:$K$1368,Movimientos!$C$1:$C$1368,"Soweto",Movimientos!$B$1:$B$1368,"&lt;="&amp;$B77)</f>
        <v>1454589.72</v>
      </c>
      <c r="N77" s="24">
        <f>SUMIFS('Saldos Iniciales'!$D:$D,'Saldos Iniciales'!$A:$A,"Green Stone Trust")+SUMIFS(Movimientos!$K$1:$K$1368,Movimientos!$C$1:$C$1368,"Green Stone Trust",Movimientos!$B$1:$B$1368,"&lt;="&amp;$B77)</f>
        <v>1968.99</v>
      </c>
      <c r="O77" s="24">
        <f>SUMIFS('Saldos Iniciales'!$D:$D,'Saldos Iniciales'!$A:$A,"EC Auto")+SUMIFS(Movimientos!$K$1:$K$1368,Movimientos!$C$1:$C$1368,"EC Auto",Movimientos!$B$1:$B$1368,"&lt;="&amp;$B77)</f>
        <v>901.34</v>
      </c>
      <c r="P77" s="24">
        <f>SUMIFS('Saldos Iniciales'!$D:$D,'Saldos Iniciales'!$A:$A,"Arbor Capital Properties")+SUMIFS(Movimientos!$K$1:$K$1368,Movimientos!$C$1:$C$1368,"Arbor Capital Properties",Movimientos!$B$1:$B$1368,"&lt;="&amp;$B77)</f>
        <v>1412.08</v>
      </c>
      <c r="Q77" s="24">
        <f>SUMIFS('Saldos Iniciales'!$D:$D,'Saldos Iniciales'!$A:$A,"2515 Overbrook")+SUMIFS(Movimientos!$K$1:$K$1368,Movimientos!$C$1:$C$1368,"2515 Overbrook",Movimientos!$B$1:$B$1368,"&lt;="&amp;$B77)</f>
        <v>22347.56999999996</v>
      </c>
      <c r="R77" s="24">
        <f>SUMIFS('Saldos Iniciales'!$D:$D,'Saldos Iniciales'!$A:$A,"112 Florida Ave")+SUMIFS(Movimientos!$K$1:$K$1368,Movimientos!$C$1:$C$1368,"112 Florida Ave",Movimientos!$B$1:$B$1368,"&lt;="&amp;$B77)</f>
        <v>6522.8000000000029</v>
      </c>
      <c r="S77" s="24">
        <f>SUMIFS('Saldos Iniciales'!$D:$D,'Saldos Iniciales'!$A:$A,"3628 Thomas Ave")+SUMIFS(Movimientos!$K$1:$K$1368,Movimientos!$C$1:$C$1368,"3628 Thomas Ave",Movimientos!$B$1:$B$1368,"&lt;="&amp;$B77)</f>
        <v>28485.559999999998</v>
      </c>
      <c r="T77" s="24">
        <f>SUMIFS('Saldos Iniciales'!$D:$D,'Saldos Iniciales'!$A:$A,"Green Harbor Trust")+SUMIFS(Movimientos!$K$1:$K$1368,Movimientos!$C$1:$C$1368,"Green Harbor Trust",Movimientos!$B$1:$B$1368,"&lt;="&amp;$B77)</f>
        <v>345</v>
      </c>
      <c r="U77" s="24">
        <f>SUMIFS('Saldos Iniciales'!$D:$D,'Saldos Iniciales'!$A:$A,"Go Blue")+SUMIFS(Movimientos!$K$1:$K$1368,Movimientos!$C$1:$C$1368,"Go Blue",Movimientos!$B$1:$B$1368,"&lt;="&amp;$B77)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Group")+SUMIFS(Movimientos!$K$1:$K$1368,Movimientos!$C$1:$C$1368,"CFT Group",Movimientos!$B$1:$B$1368,"&lt;="&amp;$B78)</f>
        <v>3110339.0700000008</v>
      </c>
      <c r="D78" s="24">
        <f>SUMIFS('Saldos Iniciales'!$D:$D,'Saldos Iniciales'!$A:$A,"M1B")+SUMIFS(Movimientos!$K$1:$K$1368,Movimientos!$C$1:$C$1368,"M1B",Movimientos!$B$1:$B$1368,"&lt;="&amp;$B78)</f>
        <v>73157.680000000168</v>
      </c>
      <c r="E78" s="24">
        <f>SUMIFS('Saldos Iniciales'!$D:$D,'Saldos Iniciales'!$A:$A,"Durand")+SUMIFS(Movimientos!$K$1:$K$1368,Movimientos!$C$1:$C$1368,"Durand",Movimientos!$B$1:$B$1368,"&lt;="&amp;$B78)</f>
        <v>1669.89</v>
      </c>
      <c r="F78" s="24">
        <f>SUMIFS('Saldos Iniciales'!$D:$D,'Saldos Iniciales'!$A:$A,"A&amp;M Imports")+SUMIFS(Movimientos!$K$1:$K$1368,Movimientos!$C$1:$C$1368,"A&amp;M Imports",Movimientos!$B$1:$B$1368,"&lt;="&amp;$B78)</f>
        <v>1029804.7499999998</v>
      </c>
      <c r="G78" s="24">
        <f>SUMIFS('Saldos Iniciales'!$D:$D,'Saldos Iniciales'!$A:$A,"SSP Capital")+SUMIFS(Movimientos!$K$1:$K$1368,Movimientos!$C$1:$C$1368,"SSP Capital",Movimientos!$B$1:$B$1368,"&lt;="&amp;$B78)</f>
        <v>1678189.7499999995</v>
      </c>
      <c r="H78" s="24">
        <f>SUMIFS('Saldos Iniciales'!$D:$D,'Saldos Iniciales'!$A:$A,"Cross Family Trust")+SUMIFS(Movimientos!$K$1:$K$1368,Movimientos!$C$1:$C$1368,"Cross Family Trust",Movimientos!$B$1:$B$1368,"&lt;="&amp;$B78)</f>
        <v>200496.38</v>
      </c>
      <c r="I78" s="24">
        <f>SUMIFS('Saldos Iniciales'!$D:$D,'Saldos Iniciales'!$A:$A,"Cross Security Trust")+SUMIFS(Movimientos!$K$1:$K$1368,Movimientos!$C$1:$C$1368,"Cross Security Trust",Movimientos!$B$1:$B$1368,"&lt;="&amp;$B78)</f>
        <v>267507.45</v>
      </c>
      <c r="J78" s="24">
        <f>SUMIFS('Saldos Iniciales'!$D:$D,'Saldos Iniciales'!$A:$A,"Electrama")+SUMIFS(Movimientos!$K$1:$K$1368,Movimientos!$C$1:$C$1368,"Electrama",Movimientos!$B$1:$B$1368,"&lt;="&amp;$B78)</f>
        <v>14580.45</v>
      </c>
      <c r="K78" s="24">
        <f>SUMIFS('Saldos Iniciales'!$D:$D,'Saldos Iniciales'!$A:$A,"Sacred Valley Capital")+SUMIFS(Movimientos!$K$1:$K$1368,Movimientos!$C$1:$C$1368,"Sacred Valley Capital",Movimientos!$B$1:$B$1368,"&lt;="&amp;$B78)</f>
        <v>54.400000000000006</v>
      </c>
      <c r="L78" s="24">
        <f>SUMIFS('Saldos Iniciales'!$D:$D,'Saldos Iniciales'!$A:$A,"YWC Capital")+SUMIFS(Movimientos!$K$1:$K$1368,Movimientos!$C$1:$C$1368,"YWC Capital",Movimientos!$B$1:$B$1368,"&lt;="&amp;$B78)</f>
        <v>2207.8200000000002</v>
      </c>
      <c r="M78" s="24">
        <f>SUMIFS('Saldos Iniciales'!$D:$D,'Saldos Iniciales'!$A:$A,"Soweto")+SUMIFS(Movimientos!$K$1:$K$1368,Movimientos!$C$1:$C$1368,"Soweto",Movimientos!$B$1:$B$1368,"&lt;="&amp;$B78)</f>
        <v>1454589.72</v>
      </c>
      <c r="N78" s="24">
        <f>SUMIFS('Saldos Iniciales'!$D:$D,'Saldos Iniciales'!$A:$A,"Green Stone Trust")+SUMIFS(Movimientos!$K$1:$K$1368,Movimientos!$C$1:$C$1368,"Green Stone Trust",Movimientos!$B$1:$B$1368,"&lt;="&amp;$B78)</f>
        <v>1968.99</v>
      </c>
      <c r="O78" s="24">
        <f>SUMIFS('Saldos Iniciales'!$D:$D,'Saldos Iniciales'!$A:$A,"EC Auto")+SUMIFS(Movimientos!$K$1:$K$1368,Movimientos!$C$1:$C$1368,"EC Auto",Movimientos!$B$1:$B$1368,"&lt;="&amp;$B78)</f>
        <v>901.34</v>
      </c>
      <c r="P78" s="24">
        <f>SUMIFS('Saldos Iniciales'!$D:$D,'Saldos Iniciales'!$A:$A,"Arbor Capital Properties")+SUMIFS(Movimientos!$K$1:$K$1368,Movimientos!$C$1:$C$1368,"Arbor Capital Properties",Movimientos!$B$1:$B$1368,"&lt;="&amp;$B78)</f>
        <v>1412.08</v>
      </c>
      <c r="Q78" s="24">
        <f>SUMIFS('Saldos Iniciales'!$D:$D,'Saldos Iniciales'!$A:$A,"2515 Overbrook")+SUMIFS(Movimientos!$K$1:$K$1368,Movimientos!$C$1:$C$1368,"2515 Overbrook",Movimientos!$B$1:$B$1368,"&lt;="&amp;$B78)</f>
        <v>22347.56999999996</v>
      </c>
      <c r="R78" s="24">
        <f>SUMIFS('Saldos Iniciales'!$D:$D,'Saldos Iniciales'!$A:$A,"112 Florida Ave")+SUMIFS(Movimientos!$K$1:$K$1368,Movimientos!$C$1:$C$1368,"112 Florida Ave",Movimientos!$B$1:$B$1368,"&lt;="&amp;$B78)</f>
        <v>3522.8000000000029</v>
      </c>
      <c r="S78" s="24">
        <f>SUMIFS('Saldos Iniciales'!$D:$D,'Saldos Iniciales'!$A:$A,"3628 Thomas Ave")+SUMIFS(Movimientos!$K$1:$K$1368,Movimientos!$C$1:$C$1368,"3628 Thomas Ave",Movimientos!$B$1:$B$1368,"&lt;="&amp;$B78)</f>
        <v>28485.559999999998</v>
      </c>
      <c r="T78" s="24">
        <f>SUMIFS('Saldos Iniciales'!$D:$D,'Saldos Iniciales'!$A:$A,"Green Harbor Trust")+SUMIFS(Movimientos!$K$1:$K$1368,Movimientos!$C$1:$C$1368,"Green Harbor Trust",Movimientos!$B$1:$B$1368,"&lt;="&amp;$B78)</f>
        <v>345</v>
      </c>
      <c r="U78" s="24">
        <f>SUMIFS('Saldos Iniciales'!$D:$D,'Saldos Iniciales'!$A:$A,"Go Blue")+SUMIFS(Movimientos!$K$1:$K$1368,Movimientos!$C$1:$C$1368,"Go Blue",Movimientos!$B$1:$B$1368,"&lt;="&amp;$B78)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Group")+SUMIFS(Movimientos!$K$1:$K$1368,Movimientos!$C$1:$C$1368,"CFT Group",Movimientos!$B$1:$B$1368,"&lt;="&amp;$B79)</f>
        <v>3110339.0700000008</v>
      </c>
      <c r="D79" s="24">
        <f>SUMIFS('Saldos Iniciales'!$D:$D,'Saldos Iniciales'!$A:$A,"M1B")+SUMIFS(Movimientos!$K$1:$K$1368,Movimientos!$C$1:$C$1368,"M1B",Movimientos!$B$1:$B$1368,"&lt;="&amp;$B79)</f>
        <v>73157.680000000168</v>
      </c>
      <c r="E79" s="24">
        <f>SUMIFS('Saldos Iniciales'!$D:$D,'Saldos Iniciales'!$A:$A,"Durand")+SUMIFS(Movimientos!$K$1:$K$1368,Movimientos!$C$1:$C$1368,"Durand",Movimientos!$B$1:$B$1368,"&lt;="&amp;$B79)</f>
        <v>1669.89</v>
      </c>
      <c r="F79" s="24">
        <f>SUMIFS('Saldos Iniciales'!$D:$D,'Saldos Iniciales'!$A:$A,"A&amp;M Imports")+SUMIFS(Movimientos!$K$1:$K$1368,Movimientos!$C$1:$C$1368,"A&amp;M Imports",Movimientos!$B$1:$B$1368,"&lt;="&amp;$B79)</f>
        <v>1029804.7499999998</v>
      </c>
      <c r="G79" s="24">
        <f>SUMIFS('Saldos Iniciales'!$D:$D,'Saldos Iniciales'!$A:$A,"SSP Capital")+SUMIFS(Movimientos!$K$1:$K$1368,Movimientos!$C$1:$C$1368,"SSP Capital",Movimientos!$B$1:$B$1368,"&lt;="&amp;$B79)</f>
        <v>1748189.7499999995</v>
      </c>
      <c r="H79" s="24">
        <f>SUMIFS('Saldos Iniciales'!$D:$D,'Saldos Iniciales'!$A:$A,"Cross Family Trust")+SUMIFS(Movimientos!$K$1:$K$1368,Movimientos!$C$1:$C$1368,"Cross Family Trust",Movimientos!$B$1:$B$1368,"&lt;="&amp;$B79)</f>
        <v>200496.38</v>
      </c>
      <c r="I79" s="24">
        <f>SUMIFS('Saldos Iniciales'!$D:$D,'Saldos Iniciales'!$A:$A,"Cross Security Trust")+SUMIFS(Movimientos!$K$1:$K$1368,Movimientos!$C$1:$C$1368,"Cross Security Trust",Movimientos!$B$1:$B$1368,"&lt;="&amp;$B79)</f>
        <v>267507.45</v>
      </c>
      <c r="J79" s="24">
        <f>SUMIFS('Saldos Iniciales'!$D:$D,'Saldos Iniciales'!$A:$A,"Electrama")+SUMIFS(Movimientos!$K$1:$K$1368,Movimientos!$C$1:$C$1368,"Electrama",Movimientos!$B$1:$B$1368,"&lt;="&amp;$B79)</f>
        <v>14580.45</v>
      </c>
      <c r="K79" s="24">
        <f>SUMIFS('Saldos Iniciales'!$D:$D,'Saldos Iniciales'!$A:$A,"Sacred Valley Capital")+SUMIFS(Movimientos!$K$1:$K$1368,Movimientos!$C$1:$C$1368,"Sacred Valley Capital",Movimientos!$B$1:$B$1368,"&lt;="&amp;$B79)</f>
        <v>54.400000000000006</v>
      </c>
      <c r="L79" s="24">
        <f>SUMIFS('Saldos Iniciales'!$D:$D,'Saldos Iniciales'!$A:$A,"YWC Capital")+SUMIFS(Movimientos!$K$1:$K$1368,Movimientos!$C$1:$C$1368,"YWC Capital",Movimientos!$B$1:$B$1368,"&lt;="&amp;$B79)</f>
        <v>2207.8200000000002</v>
      </c>
      <c r="M79" s="24">
        <f>SUMIFS('Saldos Iniciales'!$D:$D,'Saldos Iniciales'!$A:$A,"Soweto")+SUMIFS(Movimientos!$K$1:$K$1368,Movimientos!$C$1:$C$1368,"Soweto",Movimientos!$B$1:$B$1368,"&lt;="&amp;$B79)</f>
        <v>1454589.72</v>
      </c>
      <c r="N79" s="24">
        <f>SUMIFS('Saldos Iniciales'!$D:$D,'Saldos Iniciales'!$A:$A,"Green Stone Trust")+SUMIFS(Movimientos!$K$1:$K$1368,Movimientos!$C$1:$C$1368,"Green Stone Trust",Movimientos!$B$1:$B$1368,"&lt;="&amp;$B79)</f>
        <v>1968.99</v>
      </c>
      <c r="O79" s="24">
        <f>SUMIFS('Saldos Iniciales'!$D:$D,'Saldos Iniciales'!$A:$A,"EC Auto")+SUMIFS(Movimientos!$K$1:$K$1368,Movimientos!$C$1:$C$1368,"EC Auto",Movimientos!$B$1:$B$1368,"&lt;="&amp;$B79)</f>
        <v>901.34</v>
      </c>
      <c r="P79" s="24">
        <f>SUMIFS('Saldos Iniciales'!$D:$D,'Saldos Iniciales'!$A:$A,"Arbor Capital Properties")+SUMIFS(Movimientos!$K$1:$K$1368,Movimientos!$C$1:$C$1368,"Arbor Capital Properties",Movimientos!$B$1:$B$1368,"&lt;="&amp;$B79)</f>
        <v>1412.08</v>
      </c>
      <c r="Q79" s="24">
        <f>SUMIFS('Saldos Iniciales'!$D:$D,'Saldos Iniciales'!$A:$A,"2515 Overbrook")+SUMIFS(Movimientos!$K$1:$K$1368,Movimientos!$C$1:$C$1368,"2515 Overbrook",Movimientos!$B$1:$B$1368,"&lt;="&amp;$B79)</f>
        <v>22347.56999999996</v>
      </c>
      <c r="R79" s="24">
        <f>SUMIFS('Saldos Iniciales'!$D:$D,'Saldos Iniciales'!$A:$A,"112 Florida Ave")+SUMIFS(Movimientos!$K$1:$K$1368,Movimientos!$C$1:$C$1368,"112 Florida Ave",Movimientos!$B$1:$B$1368,"&lt;="&amp;$B79)</f>
        <v>3522.8000000000029</v>
      </c>
      <c r="S79" s="24">
        <f>SUMIFS('Saldos Iniciales'!$D:$D,'Saldos Iniciales'!$A:$A,"3628 Thomas Ave")+SUMIFS(Movimientos!$K$1:$K$1368,Movimientos!$C$1:$C$1368,"3628 Thomas Ave",Movimientos!$B$1:$B$1368,"&lt;="&amp;$B79)</f>
        <v>28485.559999999998</v>
      </c>
      <c r="T79" s="24">
        <f>SUMIFS('Saldos Iniciales'!$D:$D,'Saldos Iniciales'!$A:$A,"Green Harbor Trust")+SUMIFS(Movimientos!$K$1:$K$1368,Movimientos!$C$1:$C$1368,"Green Harbor Trust",Movimientos!$B$1:$B$1368,"&lt;="&amp;$B79)</f>
        <v>345</v>
      </c>
      <c r="U79" s="24">
        <f>SUMIFS('Saldos Iniciales'!$D:$D,'Saldos Iniciales'!$A:$A,"Go Blue")+SUMIFS(Movimientos!$K$1:$K$1368,Movimientos!$C$1:$C$1368,"Go Blue",Movimientos!$B$1:$B$1368,"&lt;="&amp;$B79)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Group")+SUMIFS(Movimientos!$K$1:$K$1368,Movimientos!$C$1:$C$1368,"CFT Group",Movimientos!$B$1:$B$1368,"&lt;="&amp;$B80)</f>
        <v>3110339.0700000008</v>
      </c>
      <c r="D80" s="24">
        <f>SUMIFS('Saldos Iniciales'!$D:$D,'Saldos Iniciales'!$A:$A,"M1B")+SUMIFS(Movimientos!$K$1:$K$1368,Movimientos!$C$1:$C$1368,"M1B",Movimientos!$B$1:$B$1368,"&lt;="&amp;$B80)</f>
        <v>73157.680000000168</v>
      </c>
      <c r="E80" s="24">
        <f>SUMIFS('Saldos Iniciales'!$D:$D,'Saldos Iniciales'!$A:$A,"Durand")+SUMIFS(Movimientos!$K$1:$K$1368,Movimientos!$C$1:$C$1368,"Durand",Movimientos!$B$1:$B$1368,"&lt;="&amp;$B80)</f>
        <v>1669.89</v>
      </c>
      <c r="F80" s="24">
        <f>SUMIFS('Saldos Iniciales'!$D:$D,'Saldos Iniciales'!$A:$A,"A&amp;M Imports")+SUMIFS(Movimientos!$K$1:$K$1368,Movimientos!$C$1:$C$1368,"A&amp;M Imports",Movimientos!$B$1:$B$1368,"&lt;="&amp;$B80)</f>
        <v>1029804.7499999998</v>
      </c>
      <c r="G80" s="24">
        <f>SUMIFS('Saldos Iniciales'!$D:$D,'Saldos Iniciales'!$A:$A,"SSP Capital")+SUMIFS(Movimientos!$K$1:$K$1368,Movimientos!$C$1:$C$1368,"SSP Capital",Movimientos!$B$1:$B$1368,"&lt;="&amp;$B80)</f>
        <v>1748189.7499999995</v>
      </c>
      <c r="H80" s="24">
        <f>SUMIFS('Saldos Iniciales'!$D:$D,'Saldos Iniciales'!$A:$A,"Cross Family Trust")+SUMIFS(Movimientos!$K$1:$K$1368,Movimientos!$C$1:$C$1368,"Cross Family Trust",Movimientos!$B$1:$B$1368,"&lt;="&amp;$B80)</f>
        <v>200496.38</v>
      </c>
      <c r="I80" s="24">
        <f>SUMIFS('Saldos Iniciales'!$D:$D,'Saldos Iniciales'!$A:$A,"Cross Security Trust")+SUMIFS(Movimientos!$K$1:$K$1368,Movimientos!$C$1:$C$1368,"Cross Security Trust",Movimientos!$B$1:$B$1368,"&lt;="&amp;$B80)</f>
        <v>267507.45</v>
      </c>
      <c r="J80" s="24">
        <f>SUMIFS('Saldos Iniciales'!$D:$D,'Saldos Iniciales'!$A:$A,"Electrama")+SUMIFS(Movimientos!$K$1:$K$1368,Movimientos!$C$1:$C$1368,"Electrama",Movimientos!$B$1:$B$1368,"&lt;="&amp;$B80)</f>
        <v>14580.45</v>
      </c>
      <c r="K80" s="24">
        <f>SUMIFS('Saldos Iniciales'!$D:$D,'Saldos Iniciales'!$A:$A,"Sacred Valley Capital")+SUMIFS(Movimientos!$K$1:$K$1368,Movimientos!$C$1:$C$1368,"Sacred Valley Capital",Movimientos!$B$1:$B$1368,"&lt;="&amp;$B80)</f>
        <v>54.400000000000006</v>
      </c>
      <c r="L80" s="24">
        <f>SUMIFS('Saldos Iniciales'!$D:$D,'Saldos Iniciales'!$A:$A,"YWC Capital")+SUMIFS(Movimientos!$K$1:$K$1368,Movimientos!$C$1:$C$1368,"YWC Capital",Movimientos!$B$1:$B$1368,"&lt;="&amp;$B80)</f>
        <v>2207.8200000000002</v>
      </c>
      <c r="M80" s="24">
        <f>SUMIFS('Saldos Iniciales'!$D:$D,'Saldos Iniciales'!$A:$A,"Soweto")+SUMIFS(Movimientos!$K$1:$K$1368,Movimientos!$C$1:$C$1368,"Soweto",Movimientos!$B$1:$B$1368,"&lt;="&amp;$B80)</f>
        <v>1454589.72</v>
      </c>
      <c r="N80" s="24">
        <f>SUMIFS('Saldos Iniciales'!$D:$D,'Saldos Iniciales'!$A:$A,"Green Stone Trust")+SUMIFS(Movimientos!$K$1:$K$1368,Movimientos!$C$1:$C$1368,"Green Stone Trust",Movimientos!$B$1:$B$1368,"&lt;="&amp;$B80)</f>
        <v>1968.99</v>
      </c>
      <c r="O80" s="24">
        <f>SUMIFS('Saldos Iniciales'!$D:$D,'Saldos Iniciales'!$A:$A,"EC Auto")+SUMIFS(Movimientos!$K$1:$K$1368,Movimientos!$C$1:$C$1368,"EC Auto",Movimientos!$B$1:$B$1368,"&lt;="&amp;$B80)</f>
        <v>901.34</v>
      </c>
      <c r="P80" s="24">
        <f>SUMIFS('Saldos Iniciales'!$D:$D,'Saldos Iniciales'!$A:$A,"Arbor Capital Properties")+SUMIFS(Movimientos!$K$1:$K$1368,Movimientos!$C$1:$C$1368,"Arbor Capital Properties",Movimientos!$B$1:$B$1368,"&lt;="&amp;$B80)</f>
        <v>1412.08</v>
      </c>
      <c r="Q80" s="24">
        <f>SUMIFS('Saldos Iniciales'!$D:$D,'Saldos Iniciales'!$A:$A,"2515 Overbrook")+SUMIFS(Movimientos!$K$1:$K$1368,Movimientos!$C$1:$C$1368,"2515 Overbrook",Movimientos!$B$1:$B$1368,"&lt;="&amp;$B80)</f>
        <v>22347.56999999996</v>
      </c>
      <c r="R80" s="24">
        <f>SUMIFS('Saldos Iniciales'!$D:$D,'Saldos Iniciales'!$A:$A,"112 Florida Ave")+SUMIFS(Movimientos!$K$1:$K$1368,Movimientos!$C$1:$C$1368,"112 Florida Ave",Movimientos!$B$1:$B$1368,"&lt;="&amp;$B80)</f>
        <v>3522.8000000000029</v>
      </c>
      <c r="S80" s="24">
        <f>SUMIFS('Saldos Iniciales'!$D:$D,'Saldos Iniciales'!$A:$A,"3628 Thomas Ave")+SUMIFS(Movimientos!$K$1:$K$1368,Movimientos!$C$1:$C$1368,"3628 Thomas Ave",Movimientos!$B$1:$B$1368,"&lt;="&amp;$B80)</f>
        <v>28485.559999999998</v>
      </c>
      <c r="T80" s="24">
        <f>SUMIFS('Saldos Iniciales'!$D:$D,'Saldos Iniciales'!$A:$A,"Green Harbor Trust")+SUMIFS(Movimientos!$K$1:$K$1368,Movimientos!$C$1:$C$1368,"Green Harbor Trust",Movimientos!$B$1:$B$1368,"&lt;="&amp;$B80)</f>
        <v>345</v>
      </c>
      <c r="U80" s="24">
        <f>SUMIFS('Saldos Iniciales'!$D:$D,'Saldos Iniciales'!$A:$A,"Go Blue")+SUMIFS(Movimientos!$K$1:$K$1368,Movimientos!$C$1:$C$1368,"Go Blue",Movimientos!$B$1:$B$1368,"&lt;="&amp;$B80)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Group")+SUMIFS(Movimientos!$K$1:$K$1368,Movimientos!$C$1:$C$1368,"CFT Group",Movimientos!$B$1:$B$1368,"&lt;="&amp;$B81)</f>
        <v>3110339.0700000008</v>
      </c>
      <c r="D81" s="24">
        <f>SUMIFS('Saldos Iniciales'!$D:$D,'Saldos Iniciales'!$A:$A,"M1B")+SUMIFS(Movimientos!$K$1:$K$1368,Movimientos!$C$1:$C$1368,"M1B",Movimientos!$B$1:$B$1368,"&lt;="&amp;$B81)</f>
        <v>73157.680000000168</v>
      </c>
      <c r="E81" s="24">
        <f>SUMIFS('Saldos Iniciales'!$D:$D,'Saldos Iniciales'!$A:$A,"Durand")+SUMIFS(Movimientos!$K$1:$K$1368,Movimientos!$C$1:$C$1368,"Durand",Movimientos!$B$1:$B$1368,"&lt;="&amp;$B81)</f>
        <v>1669.89</v>
      </c>
      <c r="F81" s="24">
        <f>SUMIFS('Saldos Iniciales'!$D:$D,'Saldos Iniciales'!$A:$A,"A&amp;M Imports")+SUMIFS(Movimientos!$K$1:$K$1368,Movimientos!$C$1:$C$1368,"A&amp;M Imports",Movimientos!$B$1:$B$1368,"&lt;="&amp;$B81)</f>
        <v>1029804.7499999998</v>
      </c>
      <c r="G81" s="24">
        <f>SUMIFS('Saldos Iniciales'!$D:$D,'Saldos Iniciales'!$A:$A,"SSP Capital")+SUMIFS(Movimientos!$K$1:$K$1368,Movimientos!$C$1:$C$1368,"SSP Capital",Movimientos!$B$1:$B$1368,"&lt;="&amp;$B81)</f>
        <v>1748189.7499999995</v>
      </c>
      <c r="H81" s="24">
        <f>SUMIFS('Saldos Iniciales'!$D:$D,'Saldos Iniciales'!$A:$A,"Cross Family Trust")+SUMIFS(Movimientos!$K$1:$K$1368,Movimientos!$C$1:$C$1368,"Cross Family Trust",Movimientos!$B$1:$B$1368,"&lt;="&amp;$B81)</f>
        <v>200496.38</v>
      </c>
      <c r="I81" s="24">
        <f>SUMIFS('Saldos Iniciales'!$D:$D,'Saldos Iniciales'!$A:$A,"Cross Security Trust")+SUMIFS(Movimientos!$K$1:$K$1368,Movimientos!$C$1:$C$1368,"Cross Security Trust",Movimientos!$B$1:$B$1368,"&lt;="&amp;$B81)</f>
        <v>267507.45</v>
      </c>
      <c r="J81" s="24">
        <f>SUMIFS('Saldos Iniciales'!$D:$D,'Saldos Iniciales'!$A:$A,"Electrama")+SUMIFS(Movimientos!$K$1:$K$1368,Movimientos!$C$1:$C$1368,"Electrama",Movimientos!$B$1:$B$1368,"&lt;="&amp;$B81)</f>
        <v>14580.45</v>
      </c>
      <c r="K81" s="24">
        <f>SUMIFS('Saldos Iniciales'!$D:$D,'Saldos Iniciales'!$A:$A,"Sacred Valley Capital")+SUMIFS(Movimientos!$K$1:$K$1368,Movimientos!$C$1:$C$1368,"Sacred Valley Capital",Movimientos!$B$1:$B$1368,"&lt;="&amp;$B81)</f>
        <v>54.400000000000006</v>
      </c>
      <c r="L81" s="24">
        <f>SUMIFS('Saldos Iniciales'!$D:$D,'Saldos Iniciales'!$A:$A,"YWC Capital")+SUMIFS(Movimientos!$K$1:$K$1368,Movimientos!$C$1:$C$1368,"YWC Capital",Movimientos!$B$1:$B$1368,"&lt;="&amp;$B81)</f>
        <v>2207.8200000000002</v>
      </c>
      <c r="M81" s="24">
        <f>SUMIFS('Saldos Iniciales'!$D:$D,'Saldos Iniciales'!$A:$A,"Soweto")+SUMIFS(Movimientos!$K$1:$K$1368,Movimientos!$C$1:$C$1368,"Soweto",Movimientos!$B$1:$B$1368,"&lt;="&amp;$B81)</f>
        <v>1454589.72</v>
      </c>
      <c r="N81" s="24">
        <f>SUMIFS('Saldos Iniciales'!$D:$D,'Saldos Iniciales'!$A:$A,"Green Stone Trust")+SUMIFS(Movimientos!$K$1:$K$1368,Movimientos!$C$1:$C$1368,"Green Stone Trust",Movimientos!$B$1:$B$1368,"&lt;="&amp;$B81)</f>
        <v>1968.99</v>
      </c>
      <c r="O81" s="24">
        <f>SUMIFS('Saldos Iniciales'!$D:$D,'Saldos Iniciales'!$A:$A,"EC Auto")+SUMIFS(Movimientos!$K$1:$K$1368,Movimientos!$C$1:$C$1368,"EC Auto",Movimientos!$B$1:$B$1368,"&lt;="&amp;$B81)</f>
        <v>901.34</v>
      </c>
      <c r="P81" s="24">
        <f>SUMIFS('Saldos Iniciales'!$D:$D,'Saldos Iniciales'!$A:$A,"Arbor Capital Properties")+SUMIFS(Movimientos!$K$1:$K$1368,Movimientos!$C$1:$C$1368,"Arbor Capital Properties",Movimientos!$B$1:$B$1368,"&lt;="&amp;$B81)</f>
        <v>1412.08</v>
      </c>
      <c r="Q81" s="24">
        <f>SUMIFS('Saldos Iniciales'!$D:$D,'Saldos Iniciales'!$A:$A,"2515 Overbrook")+SUMIFS(Movimientos!$K$1:$K$1368,Movimientos!$C$1:$C$1368,"2515 Overbrook",Movimientos!$B$1:$B$1368,"&lt;="&amp;$B81)</f>
        <v>22347.56999999996</v>
      </c>
      <c r="R81" s="24">
        <f>SUMIFS('Saldos Iniciales'!$D:$D,'Saldos Iniciales'!$A:$A,"112 Florida Ave")+SUMIFS(Movimientos!$K$1:$K$1368,Movimientos!$C$1:$C$1368,"112 Florida Ave",Movimientos!$B$1:$B$1368,"&lt;="&amp;$B81)</f>
        <v>3522.8000000000029</v>
      </c>
      <c r="S81" s="24">
        <f>SUMIFS('Saldos Iniciales'!$D:$D,'Saldos Iniciales'!$A:$A,"3628 Thomas Ave")+SUMIFS(Movimientos!$K$1:$K$1368,Movimientos!$C$1:$C$1368,"3628 Thomas Ave",Movimientos!$B$1:$B$1368,"&lt;="&amp;$B81)</f>
        <v>28485.559999999998</v>
      </c>
      <c r="T81" s="24">
        <f>SUMIFS('Saldos Iniciales'!$D:$D,'Saldos Iniciales'!$A:$A,"Green Harbor Trust")+SUMIFS(Movimientos!$K$1:$K$1368,Movimientos!$C$1:$C$1368,"Green Harbor Trust",Movimientos!$B$1:$B$1368,"&lt;="&amp;$B81)</f>
        <v>345</v>
      </c>
      <c r="U81" s="24">
        <f>SUMIFS('Saldos Iniciales'!$D:$D,'Saldos Iniciales'!$A:$A,"Go Blue")+SUMIFS(Movimientos!$K$1:$K$1368,Movimientos!$C$1:$C$1368,"Go Blue",Movimientos!$B$1:$B$1368,"&lt;="&amp;$B81)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Group")+SUMIFS(Movimientos!$K$1:$K$1368,Movimientos!$C$1:$C$1368,"CFT Group",Movimientos!$B$1:$B$1368,"&lt;="&amp;$B82)</f>
        <v>3110339.0700000008</v>
      </c>
      <c r="D82" s="24">
        <f>SUMIFS('Saldos Iniciales'!$D:$D,'Saldos Iniciales'!$A:$A,"M1B")+SUMIFS(Movimientos!$K$1:$K$1368,Movimientos!$C$1:$C$1368,"M1B",Movimientos!$B$1:$B$1368,"&lt;="&amp;$B82)</f>
        <v>73157.680000000168</v>
      </c>
      <c r="E82" s="24">
        <f>SUMIFS('Saldos Iniciales'!$D:$D,'Saldos Iniciales'!$A:$A,"Durand")+SUMIFS(Movimientos!$K$1:$K$1368,Movimientos!$C$1:$C$1368,"Durand",Movimientos!$B$1:$B$1368,"&lt;="&amp;$B82)</f>
        <v>1669.89</v>
      </c>
      <c r="F82" s="24">
        <f>SUMIFS('Saldos Iniciales'!$D:$D,'Saldos Iniciales'!$A:$A,"A&amp;M Imports")+SUMIFS(Movimientos!$K$1:$K$1368,Movimientos!$C$1:$C$1368,"A&amp;M Imports",Movimientos!$B$1:$B$1368,"&lt;="&amp;$B82)</f>
        <v>1029804.7499999998</v>
      </c>
      <c r="G82" s="24">
        <f>SUMIFS('Saldos Iniciales'!$D:$D,'Saldos Iniciales'!$A:$A,"SSP Capital")+SUMIFS(Movimientos!$K$1:$K$1368,Movimientos!$C$1:$C$1368,"SSP Capital",Movimientos!$B$1:$B$1368,"&lt;="&amp;$B82)</f>
        <v>1744257.8699999994</v>
      </c>
      <c r="H82" s="24">
        <f>SUMIFS('Saldos Iniciales'!$D:$D,'Saldos Iniciales'!$A:$A,"Cross Family Trust")+SUMIFS(Movimientos!$K$1:$K$1368,Movimientos!$C$1:$C$1368,"Cross Family Trust",Movimientos!$B$1:$B$1368,"&lt;="&amp;$B82)</f>
        <v>200496.38</v>
      </c>
      <c r="I82" s="24">
        <f>SUMIFS('Saldos Iniciales'!$D:$D,'Saldos Iniciales'!$A:$A,"Cross Security Trust")+SUMIFS(Movimientos!$K$1:$K$1368,Movimientos!$C$1:$C$1368,"Cross Security Trust",Movimientos!$B$1:$B$1368,"&lt;="&amp;$B82)</f>
        <v>267507.45</v>
      </c>
      <c r="J82" s="24">
        <f>SUMIFS('Saldos Iniciales'!$D:$D,'Saldos Iniciales'!$A:$A,"Electrama")+SUMIFS(Movimientos!$K$1:$K$1368,Movimientos!$C$1:$C$1368,"Electrama",Movimientos!$B$1:$B$1368,"&lt;="&amp;$B82)</f>
        <v>14580.45</v>
      </c>
      <c r="K82" s="24">
        <f>SUMIFS('Saldos Iniciales'!$D:$D,'Saldos Iniciales'!$A:$A,"Sacred Valley Capital")+SUMIFS(Movimientos!$K$1:$K$1368,Movimientos!$C$1:$C$1368,"Sacred Valley Capital",Movimientos!$B$1:$B$1368,"&lt;="&amp;$B82)</f>
        <v>54.400000000000006</v>
      </c>
      <c r="L82" s="24">
        <f>SUMIFS('Saldos Iniciales'!$D:$D,'Saldos Iniciales'!$A:$A,"YWC Capital")+SUMIFS(Movimientos!$K$1:$K$1368,Movimientos!$C$1:$C$1368,"YWC Capital",Movimientos!$B$1:$B$1368,"&lt;="&amp;$B82)</f>
        <v>2207.8200000000002</v>
      </c>
      <c r="M82" s="24">
        <f>SUMIFS('Saldos Iniciales'!$D:$D,'Saldos Iniciales'!$A:$A,"Soweto")+SUMIFS(Movimientos!$K$1:$K$1368,Movimientos!$C$1:$C$1368,"Soweto",Movimientos!$B$1:$B$1368,"&lt;="&amp;$B82)</f>
        <v>1454589.72</v>
      </c>
      <c r="N82" s="24">
        <f>SUMIFS('Saldos Iniciales'!$D:$D,'Saldos Iniciales'!$A:$A,"Green Stone Trust")+SUMIFS(Movimientos!$K$1:$K$1368,Movimientos!$C$1:$C$1368,"Green Stone Trust",Movimientos!$B$1:$B$1368,"&lt;="&amp;$B82)</f>
        <v>1968.99</v>
      </c>
      <c r="O82" s="24">
        <f>SUMIFS('Saldos Iniciales'!$D:$D,'Saldos Iniciales'!$A:$A,"EC Auto")+SUMIFS(Movimientos!$K$1:$K$1368,Movimientos!$C$1:$C$1368,"EC Auto",Movimientos!$B$1:$B$1368,"&lt;="&amp;$B82)</f>
        <v>901.34</v>
      </c>
      <c r="P82" s="24">
        <f>SUMIFS('Saldos Iniciales'!$D:$D,'Saldos Iniciales'!$A:$A,"Arbor Capital Properties")+SUMIFS(Movimientos!$K$1:$K$1368,Movimientos!$C$1:$C$1368,"Arbor Capital Properties",Movimientos!$B$1:$B$1368,"&lt;="&amp;$B82)</f>
        <v>1412.08</v>
      </c>
      <c r="Q82" s="24">
        <f>SUMIFS('Saldos Iniciales'!$D:$D,'Saldos Iniciales'!$A:$A,"2515 Overbrook")+SUMIFS(Movimientos!$K$1:$K$1368,Movimientos!$C$1:$C$1368,"2515 Overbrook",Movimientos!$B$1:$B$1368,"&lt;="&amp;$B82)</f>
        <v>22347.56999999996</v>
      </c>
      <c r="R82" s="24">
        <f>SUMIFS('Saldos Iniciales'!$D:$D,'Saldos Iniciales'!$A:$A,"112 Florida Ave")+SUMIFS(Movimientos!$K$1:$K$1368,Movimientos!$C$1:$C$1368,"112 Florida Ave",Movimientos!$B$1:$B$1368,"&lt;="&amp;$B82)</f>
        <v>3522.8000000000029</v>
      </c>
      <c r="S82" s="24">
        <f>SUMIFS('Saldos Iniciales'!$D:$D,'Saldos Iniciales'!$A:$A,"3628 Thomas Ave")+SUMIFS(Movimientos!$K$1:$K$1368,Movimientos!$C$1:$C$1368,"3628 Thomas Ave",Movimientos!$B$1:$B$1368,"&lt;="&amp;$B82)</f>
        <v>28485.559999999998</v>
      </c>
      <c r="T82" s="24">
        <f>SUMIFS('Saldos Iniciales'!$D:$D,'Saldos Iniciales'!$A:$A,"Green Harbor Trust")+SUMIFS(Movimientos!$K$1:$K$1368,Movimientos!$C$1:$C$1368,"Green Harbor Trust",Movimientos!$B$1:$B$1368,"&lt;="&amp;$B82)</f>
        <v>345</v>
      </c>
      <c r="U82" s="24">
        <f>SUMIFS('Saldos Iniciales'!$D:$D,'Saldos Iniciales'!$A:$A,"Go Blue")+SUMIFS(Movimientos!$K$1:$K$1368,Movimientos!$C$1:$C$1368,"Go Blue",Movimientos!$B$1:$B$1368,"&lt;="&amp;$B82)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Group")+SUMIFS(Movimientos!$K$1:$K$1368,Movimientos!$C$1:$C$1368,"CFT Group",Movimientos!$B$1:$B$1368,"&lt;="&amp;$B83)</f>
        <v>3110339.0700000008</v>
      </c>
      <c r="D83" s="24">
        <f>SUMIFS('Saldos Iniciales'!$D:$D,'Saldos Iniciales'!$A:$A,"M1B")+SUMIFS(Movimientos!$K$1:$K$1368,Movimientos!$C$1:$C$1368,"M1B",Movimientos!$B$1:$B$1368,"&lt;="&amp;$B83)</f>
        <v>73157.680000000168</v>
      </c>
      <c r="E83" s="24">
        <f>SUMIFS('Saldos Iniciales'!$D:$D,'Saldos Iniciales'!$A:$A,"Durand")+SUMIFS(Movimientos!$K$1:$K$1368,Movimientos!$C$1:$C$1368,"Durand",Movimientos!$B$1:$B$1368,"&lt;="&amp;$B83)</f>
        <v>1669.89</v>
      </c>
      <c r="F83" s="24">
        <f>SUMIFS('Saldos Iniciales'!$D:$D,'Saldos Iniciales'!$A:$A,"A&amp;M Imports")+SUMIFS(Movimientos!$K$1:$K$1368,Movimientos!$C$1:$C$1368,"A&amp;M Imports",Movimientos!$B$1:$B$1368,"&lt;="&amp;$B83)</f>
        <v>1029804.7499999998</v>
      </c>
      <c r="G83" s="24">
        <f>SUMIFS('Saldos Iniciales'!$D:$D,'Saldos Iniciales'!$A:$A,"SSP Capital")+SUMIFS(Movimientos!$K$1:$K$1368,Movimientos!$C$1:$C$1368,"SSP Capital",Movimientos!$B$1:$B$1368,"&lt;="&amp;$B83)</f>
        <v>1744257.8699999994</v>
      </c>
      <c r="H83" s="24">
        <f>SUMIFS('Saldos Iniciales'!$D:$D,'Saldos Iniciales'!$A:$A,"Cross Family Trust")+SUMIFS(Movimientos!$K$1:$K$1368,Movimientos!$C$1:$C$1368,"Cross Family Trust",Movimientos!$B$1:$B$1368,"&lt;="&amp;$B83)</f>
        <v>200496.38</v>
      </c>
      <c r="I83" s="24">
        <f>SUMIFS('Saldos Iniciales'!$D:$D,'Saldos Iniciales'!$A:$A,"Cross Security Trust")+SUMIFS(Movimientos!$K$1:$K$1368,Movimientos!$C$1:$C$1368,"Cross Security Trust",Movimientos!$B$1:$B$1368,"&lt;="&amp;$B83)</f>
        <v>267507.45</v>
      </c>
      <c r="J83" s="24">
        <f>SUMIFS('Saldos Iniciales'!$D:$D,'Saldos Iniciales'!$A:$A,"Electrama")+SUMIFS(Movimientos!$K$1:$K$1368,Movimientos!$C$1:$C$1368,"Electrama",Movimientos!$B$1:$B$1368,"&lt;="&amp;$B83)</f>
        <v>14580.45</v>
      </c>
      <c r="K83" s="24">
        <f>SUMIFS('Saldos Iniciales'!$D:$D,'Saldos Iniciales'!$A:$A,"Sacred Valley Capital")+SUMIFS(Movimientos!$K$1:$K$1368,Movimientos!$C$1:$C$1368,"Sacred Valley Capital",Movimientos!$B$1:$B$1368,"&lt;="&amp;$B83)</f>
        <v>54.400000000000006</v>
      </c>
      <c r="L83" s="24">
        <f>SUMIFS('Saldos Iniciales'!$D:$D,'Saldos Iniciales'!$A:$A,"YWC Capital")+SUMIFS(Movimientos!$K$1:$K$1368,Movimientos!$C$1:$C$1368,"YWC Capital",Movimientos!$B$1:$B$1368,"&lt;="&amp;$B83)</f>
        <v>2207.8200000000002</v>
      </c>
      <c r="M83" s="24">
        <f>SUMIFS('Saldos Iniciales'!$D:$D,'Saldos Iniciales'!$A:$A,"Soweto")+SUMIFS(Movimientos!$K$1:$K$1368,Movimientos!$C$1:$C$1368,"Soweto",Movimientos!$B$1:$B$1368,"&lt;="&amp;$B83)</f>
        <v>1454589.72</v>
      </c>
      <c r="N83" s="24">
        <f>SUMIFS('Saldos Iniciales'!$D:$D,'Saldos Iniciales'!$A:$A,"Green Stone Trust")+SUMIFS(Movimientos!$K$1:$K$1368,Movimientos!$C$1:$C$1368,"Green Stone Trust",Movimientos!$B$1:$B$1368,"&lt;="&amp;$B83)</f>
        <v>1968.99</v>
      </c>
      <c r="O83" s="24">
        <f>SUMIFS('Saldos Iniciales'!$D:$D,'Saldos Iniciales'!$A:$A,"EC Auto")+SUMIFS(Movimientos!$K$1:$K$1368,Movimientos!$C$1:$C$1368,"EC Auto",Movimientos!$B$1:$B$1368,"&lt;="&amp;$B83)</f>
        <v>901.34</v>
      </c>
      <c r="P83" s="24">
        <f>SUMIFS('Saldos Iniciales'!$D:$D,'Saldos Iniciales'!$A:$A,"Arbor Capital Properties")+SUMIFS(Movimientos!$K$1:$K$1368,Movimientos!$C$1:$C$1368,"Arbor Capital Properties",Movimientos!$B$1:$B$1368,"&lt;="&amp;$B83)</f>
        <v>1412.08</v>
      </c>
      <c r="Q83" s="24">
        <f>SUMIFS('Saldos Iniciales'!$D:$D,'Saldos Iniciales'!$A:$A,"2515 Overbrook")+SUMIFS(Movimientos!$K$1:$K$1368,Movimientos!$C$1:$C$1368,"2515 Overbrook",Movimientos!$B$1:$B$1368,"&lt;="&amp;$B83)</f>
        <v>22347.56999999996</v>
      </c>
      <c r="R83" s="24">
        <f>SUMIFS('Saldos Iniciales'!$D:$D,'Saldos Iniciales'!$A:$A,"112 Florida Ave")+SUMIFS(Movimientos!$K$1:$K$1368,Movimientos!$C$1:$C$1368,"112 Florida Ave",Movimientos!$B$1:$B$1368,"&lt;="&amp;$B83)</f>
        <v>3522.8000000000029</v>
      </c>
      <c r="S83" s="24">
        <f>SUMIFS('Saldos Iniciales'!$D:$D,'Saldos Iniciales'!$A:$A,"3628 Thomas Ave")+SUMIFS(Movimientos!$K$1:$K$1368,Movimientos!$C$1:$C$1368,"3628 Thomas Ave",Movimientos!$B$1:$B$1368,"&lt;="&amp;$B83)</f>
        <v>28485.559999999998</v>
      </c>
      <c r="T83" s="24">
        <f>SUMIFS('Saldos Iniciales'!$D:$D,'Saldos Iniciales'!$A:$A,"Green Harbor Trust")+SUMIFS(Movimientos!$K$1:$K$1368,Movimientos!$C$1:$C$1368,"Green Harbor Trust",Movimientos!$B$1:$B$1368,"&lt;="&amp;$B83)</f>
        <v>345</v>
      </c>
      <c r="U83" s="24">
        <f>SUMIFS('Saldos Iniciales'!$D:$D,'Saldos Iniciales'!$A:$A,"Go Blue")+SUMIFS(Movimientos!$K$1:$K$1368,Movimientos!$C$1:$C$1368,"Go Blue",Movimientos!$B$1:$B$1368,"&lt;="&amp;$B83)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Group")+SUMIFS(Movimientos!$K$1:$K$1368,Movimientos!$C$1:$C$1368,"CFT Group",Movimientos!$B$1:$B$1368,"&lt;="&amp;$B84)</f>
        <v>2255755.7400000007</v>
      </c>
      <c r="D84" s="24">
        <f>SUMIFS('Saldos Iniciales'!$D:$D,'Saldos Iniciales'!$A:$A,"M1B")+SUMIFS(Movimientos!$K$1:$K$1368,Movimientos!$C$1:$C$1368,"M1B",Movimientos!$B$1:$B$1368,"&lt;="&amp;$B84)</f>
        <v>73157.680000000168</v>
      </c>
      <c r="E84" s="24">
        <f>SUMIFS('Saldos Iniciales'!$D:$D,'Saldos Iniciales'!$A:$A,"Durand")+SUMIFS(Movimientos!$K$1:$K$1368,Movimientos!$C$1:$C$1368,"Durand",Movimientos!$B$1:$B$1368,"&lt;="&amp;$B84)</f>
        <v>1669.89</v>
      </c>
      <c r="F84" s="24">
        <f>SUMIFS('Saldos Iniciales'!$D:$D,'Saldos Iniciales'!$A:$A,"A&amp;M Imports")+SUMIFS(Movimientos!$K$1:$K$1368,Movimientos!$C$1:$C$1368,"A&amp;M Imports",Movimientos!$B$1:$B$1368,"&lt;="&amp;$B84)</f>
        <v>1002754.9899999998</v>
      </c>
      <c r="G84" s="24">
        <f>SUMIFS('Saldos Iniciales'!$D:$D,'Saldos Iniciales'!$A:$A,"SSP Capital")+SUMIFS(Movimientos!$K$1:$K$1368,Movimientos!$C$1:$C$1368,"SSP Capital",Movimientos!$B$1:$B$1368,"&lt;="&amp;$B84)</f>
        <v>2022877.8699999996</v>
      </c>
      <c r="H84" s="24">
        <f>SUMIFS('Saldos Iniciales'!$D:$D,'Saldos Iniciales'!$A:$A,"Cross Family Trust")+SUMIFS(Movimientos!$K$1:$K$1368,Movimientos!$C$1:$C$1368,"Cross Family Trust",Movimientos!$B$1:$B$1368,"&lt;="&amp;$B84)</f>
        <v>200496.38</v>
      </c>
      <c r="I84" s="24">
        <f>SUMIFS('Saldos Iniciales'!$D:$D,'Saldos Iniciales'!$A:$A,"Cross Security Trust")+SUMIFS(Movimientos!$K$1:$K$1368,Movimientos!$C$1:$C$1368,"Cross Security Trust",Movimientos!$B$1:$B$1368,"&lt;="&amp;$B84)</f>
        <v>267507.45</v>
      </c>
      <c r="J84" s="24">
        <f>SUMIFS('Saldos Iniciales'!$D:$D,'Saldos Iniciales'!$A:$A,"Electrama")+SUMIFS(Movimientos!$K$1:$K$1368,Movimientos!$C$1:$C$1368,"Electrama",Movimientos!$B$1:$B$1368,"&lt;="&amp;$B84)</f>
        <v>14580.45</v>
      </c>
      <c r="K84" s="24">
        <f>SUMIFS('Saldos Iniciales'!$D:$D,'Saldos Iniciales'!$A:$A,"Sacred Valley Capital")+SUMIFS(Movimientos!$K$1:$K$1368,Movimientos!$C$1:$C$1368,"Sacred Valley Capital",Movimientos!$B$1:$B$1368,"&lt;="&amp;$B84)</f>
        <v>54.400000000000006</v>
      </c>
      <c r="L84" s="24">
        <f>SUMIFS('Saldos Iniciales'!$D:$D,'Saldos Iniciales'!$A:$A,"YWC Capital")+SUMIFS(Movimientos!$K$1:$K$1368,Movimientos!$C$1:$C$1368,"YWC Capital",Movimientos!$B$1:$B$1368,"&lt;="&amp;$B84)</f>
        <v>2207.8200000000002</v>
      </c>
      <c r="M84" s="24">
        <f>SUMIFS('Saldos Iniciales'!$D:$D,'Saldos Iniciales'!$A:$A,"Soweto")+SUMIFS(Movimientos!$K$1:$K$1368,Movimientos!$C$1:$C$1368,"Soweto",Movimientos!$B$1:$B$1368,"&lt;="&amp;$B84)</f>
        <v>1454589.72</v>
      </c>
      <c r="N84" s="24">
        <f>SUMIFS('Saldos Iniciales'!$D:$D,'Saldos Iniciales'!$A:$A,"Green Stone Trust")+SUMIFS(Movimientos!$K$1:$K$1368,Movimientos!$C$1:$C$1368,"Green Stone Trust",Movimientos!$B$1:$B$1368,"&lt;="&amp;$B84)</f>
        <v>1968.99</v>
      </c>
      <c r="O84" s="24">
        <f>SUMIFS('Saldos Iniciales'!$D:$D,'Saldos Iniciales'!$A:$A,"EC Auto")+SUMIFS(Movimientos!$K$1:$K$1368,Movimientos!$C$1:$C$1368,"EC Auto",Movimientos!$B$1:$B$1368,"&lt;="&amp;$B84)</f>
        <v>901.34</v>
      </c>
      <c r="P84" s="24">
        <f>SUMIFS('Saldos Iniciales'!$D:$D,'Saldos Iniciales'!$A:$A,"Arbor Capital Properties")+SUMIFS(Movimientos!$K$1:$K$1368,Movimientos!$C$1:$C$1368,"Arbor Capital Properties",Movimientos!$B$1:$B$1368,"&lt;="&amp;$B84)</f>
        <v>1412.08</v>
      </c>
      <c r="Q84" s="24">
        <f>SUMIFS('Saldos Iniciales'!$D:$D,'Saldos Iniciales'!$A:$A,"2515 Overbrook")+SUMIFS(Movimientos!$K$1:$K$1368,Movimientos!$C$1:$C$1368,"2515 Overbrook",Movimientos!$B$1:$B$1368,"&lt;="&amp;$B84)</f>
        <v>22347.56999999996</v>
      </c>
      <c r="R84" s="24">
        <f>SUMIFS('Saldos Iniciales'!$D:$D,'Saldos Iniciales'!$A:$A,"112 Florida Ave")+SUMIFS(Movimientos!$K$1:$K$1368,Movimientos!$C$1:$C$1368,"112 Florida Ave",Movimientos!$B$1:$B$1368,"&lt;="&amp;$B84)</f>
        <v>3522.8000000000029</v>
      </c>
      <c r="S84" s="24">
        <f>SUMIFS('Saldos Iniciales'!$D:$D,'Saldos Iniciales'!$A:$A,"3628 Thomas Ave")+SUMIFS(Movimientos!$K$1:$K$1368,Movimientos!$C$1:$C$1368,"3628 Thomas Ave",Movimientos!$B$1:$B$1368,"&lt;="&amp;$B84)</f>
        <v>28485.559999999998</v>
      </c>
      <c r="T84" s="24">
        <f>SUMIFS('Saldos Iniciales'!$D:$D,'Saldos Iniciales'!$A:$A,"Green Harbor Trust")+SUMIFS(Movimientos!$K$1:$K$1368,Movimientos!$C$1:$C$1368,"Green Harbor Trust",Movimientos!$B$1:$B$1368,"&lt;="&amp;$B84)</f>
        <v>345</v>
      </c>
      <c r="U84" s="24">
        <f>SUMIFS('Saldos Iniciales'!$D:$D,'Saldos Iniciales'!$A:$A,"Go Blue")+SUMIFS(Movimientos!$K$1:$K$1368,Movimientos!$C$1:$C$1368,"Go Blue",Movimientos!$B$1:$B$1368,"&lt;="&amp;$B84)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Group")+SUMIFS(Movimientos!$K$1:$K$1368,Movimientos!$C$1:$C$1368,"CFT Group",Movimientos!$B$1:$B$1368,"&lt;="&amp;$B85)</f>
        <v>2255750.7400000007</v>
      </c>
      <c r="D85" s="24">
        <f>SUMIFS('Saldos Iniciales'!$D:$D,'Saldos Iniciales'!$A:$A,"M1B")+SUMIFS(Movimientos!$K$1:$K$1368,Movimientos!$C$1:$C$1368,"M1B",Movimientos!$B$1:$B$1368,"&lt;="&amp;$B85)</f>
        <v>73157.680000000168</v>
      </c>
      <c r="E85" s="24">
        <f>SUMIFS('Saldos Iniciales'!$D:$D,'Saldos Iniciales'!$A:$A,"Durand")+SUMIFS(Movimientos!$K$1:$K$1368,Movimientos!$C$1:$C$1368,"Durand",Movimientos!$B$1:$B$1368,"&lt;="&amp;$B85)</f>
        <v>1669.89</v>
      </c>
      <c r="F85" s="24">
        <f>SUMIFS('Saldos Iniciales'!$D:$D,'Saldos Iniciales'!$A:$A,"A&amp;M Imports")+SUMIFS(Movimientos!$K$1:$K$1368,Movimientos!$C$1:$C$1368,"A&amp;M Imports",Movimientos!$B$1:$B$1368,"&lt;="&amp;$B85)</f>
        <v>1042744.6899999997</v>
      </c>
      <c r="G85" s="24">
        <f>SUMIFS('Saldos Iniciales'!$D:$D,'Saldos Iniciales'!$A:$A,"SSP Capital")+SUMIFS(Movimientos!$K$1:$K$1368,Movimientos!$C$1:$C$1368,"SSP Capital",Movimientos!$B$1:$B$1368,"&lt;="&amp;$B85)</f>
        <v>2022877.8699999996</v>
      </c>
      <c r="H85" s="24">
        <f>SUMIFS('Saldos Iniciales'!$D:$D,'Saldos Iniciales'!$A:$A,"Cross Family Trust")+SUMIFS(Movimientos!$K$1:$K$1368,Movimientos!$C$1:$C$1368,"Cross Family Trust",Movimientos!$B$1:$B$1368,"&lt;="&amp;$B85)</f>
        <v>200496.38</v>
      </c>
      <c r="I85" s="24">
        <f>SUMIFS('Saldos Iniciales'!$D:$D,'Saldos Iniciales'!$A:$A,"Cross Security Trust")+SUMIFS(Movimientos!$K$1:$K$1368,Movimientos!$C$1:$C$1368,"Cross Security Trust",Movimientos!$B$1:$B$1368,"&lt;="&amp;$B85)</f>
        <v>267507.45</v>
      </c>
      <c r="J85" s="24">
        <f>SUMIFS('Saldos Iniciales'!$D:$D,'Saldos Iniciales'!$A:$A,"Electrama")+SUMIFS(Movimientos!$K$1:$K$1368,Movimientos!$C$1:$C$1368,"Electrama",Movimientos!$B$1:$B$1368,"&lt;="&amp;$B85)</f>
        <v>14580.45</v>
      </c>
      <c r="K85" s="24">
        <f>SUMIFS('Saldos Iniciales'!$D:$D,'Saldos Iniciales'!$A:$A,"Sacred Valley Capital")+SUMIFS(Movimientos!$K$1:$K$1368,Movimientos!$C$1:$C$1368,"Sacred Valley Capital",Movimientos!$B$1:$B$1368,"&lt;="&amp;$B85)</f>
        <v>54.400000000000006</v>
      </c>
      <c r="L85" s="24">
        <f>SUMIFS('Saldos Iniciales'!$D:$D,'Saldos Iniciales'!$A:$A,"YWC Capital")+SUMIFS(Movimientos!$K$1:$K$1368,Movimientos!$C$1:$C$1368,"YWC Capital",Movimientos!$B$1:$B$1368,"&lt;="&amp;$B85)</f>
        <v>2207.8200000000002</v>
      </c>
      <c r="M85" s="24">
        <f>SUMIFS('Saldos Iniciales'!$D:$D,'Saldos Iniciales'!$A:$A,"Soweto")+SUMIFS(Movimientos!$K$1:$K$1368,Movimientos!$C$1:$C$1368,"Soweto",Movimientos!$B$1:$B$1368,"&lt;="&amp;$B85)</f>
        <v>1454589.72</v>
      </c>
      <c r="N85" s="24">
        <f>SUMIFS('Saldos Iniciales'!$D:$D,'Saldos Iniciales'!$A:$A,"Green Stone Trust")+SUMIFS(Movimientos!$K$1:$K$1368,Movimientos!$C$1:$C$1368,"Green Stone Trust",Movimientos!$B$1:$B$1368,"&lt;="&amp;$B85)</f>
        <v>1968.99</v>
      </c>
      <c r="O85" s="24">
        <f>SUMIFS('Saldos Iniciales'!$D:$D,'Saldos Iniciales'!$A:$A,"EC Auto")+SUMIFS(Movimientos!$K$1:$K$1368,Movimientos!$C$1:$C$1368,"EC Auto",Movimientos!$B$1:$B$1368,"&lt;="&amp;$B85)</f>
        <v>901.34</v>
      </c>
      <c r="P85" s="24">
        <f>SUMIFS('Saldos Iniciales'!$D:$D,'Saldos Iniciales'!$A:$A,"Arbor Capital Properties")+SUMIFS(Movimientos!$K$1:$K$1368,Movimientos!$C$1:$C$1368,"Arbor Capital Properties",Movimientos!$B$1:$B$1368,"&lt;="&amp;$B85)</f>
        <v>1412.08</v>
      </c>
      <c r="Q85" s="24">
        <f>SUMIFS('Saldos Iniciales'!$D:$D,'Saldos Iniciales'!$A:$A,"2515 Overbrook")+SUMIFS(Movimientos!$K$1:$K$1368,Movimientos!$C$1:$C$1368,"2515 Overbrook",Movimientos!$B$1:$B$1368,"&lt;="&amp;$B85)</f>
        <v>22347.56999999996</v>
      </c>
      <c r="R85" s="24">
        <f>SUMIFS('Saldos Iniciales'!$D:$D,'Saldos Iniciales'!$A:$A,"112 Florida Ave")+SUMIFS(Movimientos!$K$1:$K$1368,Movimientos!$C$1:$C$1368,"112 Florida Ave",Movimientos!$B$1:$B$1368,"&lt;="&amp;$B85)</f>
        <v>18522.800000000003</v>
      </c>
      <c r="S85" s="24">
        <f>SUMIFS('Saldos Iniciales'!$D:$D,'Saldos Iniciales'!$A:$A,"3628 Thomas Ave")+SUMIFS(Movimientos!$K$1:$K$1368,Movimientos!$C$1:$C$1368,"3628 Thomas Ave",Movimientos!$B$1:$B$1368,"&lt;="&amp;$B85)</f>
        <v>28485.559999999998</v>
      </c>
      <c r="T85" s="24">
        <f>SUMIFS('Saldos Iniciales'!$D:$D,'Saldos Iniciales'!$A:$A,"Green Harbor Trust")+SUMIFS(Movimientos!$K$1:$K$1368,Movimientos!$C$1:$C$1368,"Green Harbor Trust",Movimientos!$B$1:$B$1368,"&lt;="&amp;$B85)</f>
        <v>345</v>
      </c>
      <c r="U85" s="24">
        <f>SUMIFS('Saldos Iniciales'!$D:$D,'Saldos Iniciales'!$A:$A,"Go Blue")+SUMIFS(Movimientos!$K$1:$K$1368,Movimientos!$C$1:$C$1368,"Go Blue",Movimientos!$B$1:$B$1368,"&lt;="&amp;$B85)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Group")+SUMIFS(Movimientos!$K$1:$K$1368,Movimientos!$C$1:$C$1368,"CFT Group",Movimientos!$B$1:$B$1368,"&lt;="&amp;$B86)</f>
        <v>2255750.7400000007</v>
      </c>
      <c r="D86" s="24">
        <f>SUMIFS('Saldos Iniciales'!$D:$D,'Saldos Iniciales'!$A:$A,"M1B")+SUMIFS(Movimientos!$K$1:$K$1368,Movimientos!$C$1:$C$1368,"M1B",Movimientos!$B$1:$B$1368,"&lt;="&amp;$B86)</f>
        <v>73157.680000000168</v>
      </c>
      <c r="E86" s="24">
        <f>SUMIFS('Saldos Iniciales'!$D:$D,'Saldos Iniciales'!$A:$A,"Durand")+SUMIFS(Movimientos!$K$1:$K$1368,Movimientos!$C$1:$C$1368,"Durand",Movimientos!$B$1:$B$1368,"&lt;="&amp;$B86)</f>
        <v>1669.89</v>
      </c>
      <c r="F86" s="24">
        <f>SUMIFS('Saldos Iniciales'!$D:$D,'Saldos Iniciales'!$A:$A,"A&amp;M Imports")+SUMIFS(Movimientos!$K$1:$K$1368,Movimientos!$C$1:$C$1368,"A&amp;M Imports",Movimientos!$B$1:$B$1368,"&lt;="&amp;$B86)</f>
        <v>1042744.6899999997</v>
      </c>
      <c r="G86" s="24">
        <f>SUMIFS('Saldos Iniciales'!$D:$D,'Saldos Iniciales'!$A:$A,"SSP Capital")+SUMIFS(Movimientos!$K$1:$K$1368,Movimientos!$C$1:$C$1368,"SSP Capital",Movimientos!$B$1:$B$1368,"&lt;="&amp;$B86)</f>
        <v>2022877.8699999996</v>
      </c>
      <c r="H86" s="24">
        <f>SUMIFS('Saldos Iniciales'!$D:$D,'Saldos Iniciales'!$A:$A,"Cross Family Trust")+SUMIFS(Movimientos!$K$1:$K$1368,Movimientos!$C$1:$C$1368,"Cross Family Trust",Movimientos!$B$1:$B$1368,"&lt;="&amp;$B86)</f>
        <v>200496.38</v>
      </c>
      <c r="I86" s="24">
        <f>SUMIFS('Saldos Iniciales'!$D:$D,'Saldos Iniciales'!$A:$A,"Cross Security Trust")+SUMIFS(Movimientos!$K$1:$K$1368,Movimientos!$C$1:$C$1368,"Cross Security Trust",Movimientos!$B$1:$B$1368,"&lt;="&amp;$B86)</f>
        <v>267507.45</v>
      </c>
      <c r="J86" s="24">
        <f>SUMIFS('Saldos Iniciales'!$D:$D,'Saldos Iniciales'!$A:$A,"Electrama")+SUMIFS(Movimientos!$K$1:$K$1368,Movimientos!$C$1:$C$1368,"Electrama",Movimientos!$B$1:$B$1368,"&lt;="&amp;$B86)</f>
        <v>14580.45</v>
      </c>
      <c r="K86" s="24">
        <f>SUMIFS('Saldos Iniciales'!$D:$D,'Saldos Iniciales'!$A:$A,"Sacred Valley Capital")+SUMIFS(Movimientos!$K$1:$K$1368,Movimientos!$C$1:$C$1368,"Sacred Valley Capital",Movimientos!$B$1:$B$1368,"&lt;="&amp;$B86)</f>
        <v>54.400000000000006</v>
      </c>
      <c r="L86" s="24">
        <f>SUMIFS('Saldos Iniciales'!$D:$D,'Saldos Iniciales'!$A:$A,"YWC Capital")+SUMIFS(Movimientos!$K$1:$K$1368,Movimientos!$C$1:$C$1368,"YWC Capital",Movimientos!$B$1:$B$1368,"&lt;="&amp;$B86)</f>
        <v>2207.8200000000002</v>
      </c>
      <c r="M86" s="24">
        <f>SUMIFS('Saldos Iniciales'!$D:$D,'Saldos Iniciales'!$A:$A,"Soweto")+SUMIFS(Movimientos!$K$1:$K$1368,Movimientos!$C$1:$C$1368,"Soweto",Movimientos!$B$1:$B$1368,"&lt;="&amp;$B86)</f>
        <v>1454589.72</v>
      </c>
      <c r="N86" s="24">
        <f>SUMIFS('Saldos Iniciales'!$D:$D,'Saldos Iniciales'!$A:$A,"Green Stone Trust")+SUMIFS(Movimientos!$K$1:$K$1368,Movimientos!$C$1:$C$1368,"Green Stone Trust",Movimientos!$B$1:$B$1368,"&lt;="&amp;$B86)</f>
        <v>1968.99</v>
      </c>
      <c r="O86" s="24">
        <f>SUMIFS('Saldos Iniciales'!$D:$D,'Saldos Iniciales'!$A:$A,"EC Auto")+SUMIFS(Movimientos!$K$1:$K$1368,Movimientos!$C$1:$C$1368,"EC Auto",Movimientos!$B$1:$B$1368,"&lt;="&amp;$B86)</f>
        <v>901.34</v>
      </c>
      <c r="P86" s="24">
        <f>SUMIFS('Saldos Iniciales'!$D:$D,'Saldos Iniciales'!$A:$A,"Arbor Capital Properties")+SUMIFS(Movimientos!$K$1:$K$1368,Movimientos!$C$1:$C$1368,"Arbor Capital Properties",Movimientos!$B$1:$B$1368,"&lt;="&amp;$B86)</f>
        <v>1412.08</v>
      </c>
      <c r="Q86" s="24">
        <f>SUMIFS('Saldos Iniciales'!$D:$D,'Saldos Iniciales'!$A:$A,"2515 Overbrook")+SUMIFS(Movimientos!$K$1:$K$1368,Movimientos!$C$1:$C$1368,"2515 Overbrook",Movimientos!$B$1:$B$1368,"&lt;="&amp;$B86)</f>
        <v>22347.56999999996</v>
      </c>
      <c r="R86" s="24">
        <f>SUMIFS('Saldos Iniciales'!$D:$D,'Saldos Iniciales'!$A:$A,"112 Florida Ave")+SUMIFS(Movimientos!$K$1:$K$1368,Movimientos!$C$1:$C$1368,"112 Florida Ave",Movimientos!$B$1:$B$1368,"&lt;="&amp;$B86)</f>
        <v>18522.800000000003</v>
      </c>
      <c r="S86" s="24">
        <f>SUMIFS('Saldos Iniciales'!$D:$D,'Saldos Iniciales'!$A:$A,"3628 Thomas Ave")+SUMIFS(Movimientos!$K$1:$K$1368,Movimientos!$C$1:$C$1368,"3628 Thomas Ave",Movimientos!$B$1:$B$1368,"&lt;="&amp;$B86)</f>
        <v>28485.559999999998</v>
      </c>
      <c r="T86" s="24">
        <f>SUMIFS('Saldos Iniciales'!$D:$D,'Saldos Iniciales'!$A:$A,"Green Harbor Trust")+SUMIFS(Movimientos!$K$1:$K$1368,Movimientos!$C$1:$C$1368,"Green Harbor Trust",Movimientos!$B$1:$B$1368,"&lt;="&amp;$B86)</f>
        <v>345</v>
      </c>
      <c r="U86" s="24">
        <f>SUMIFS('Saldos Iniciales'!$D:$D,'Saldos Iniciales'!$A:$A,"Go Blue")+SUMIFS(Movimientos!$K$1:$K$1368,Movimientos!$C$1:$C$1368,"Go Blue",Movimientos!$B$1:$B$1368,"&lt;="&amp;$B86)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Group")+SUMIFS(Movimientos!$K$1:$K$1368,Movimientos!$C$1:$C$1368,"CFT Group",Movimientos!$B$1:$B$1368,"&lt;="&amp;$B87)</f>
        <v>2255750.7400000007</v>
      </c>
      <c r="D87" s="24">
        <f>SUMIFS('Saldos Iniciales'!$D:$D,'Saldos Iniciales'!$A:$A,"M1B")+SUMIFS(Movimientos!$K$1:$K$1368,Movimientos!$C$1:$C$1368,"M1B",Movimientos!$B$1:$B$1368,"&lt;="&amp;$B87)</f>
        <v>73157.680000000168</v>
      </c>
      <c r="E87" s="24">
        <f>SUMIFS('Saldos Iniciales'!$D:$D,'Saldos Iniciales'!$A:$A,"Durand")+SUMIFS(Movimientos!$K$1:$K$1368,Movimientos!$C$1:$C$1368,"Durand",Movimientos!$B$1:$B$1368,"&lt;="&amp;$B87)</f>
        <v>1669.89</v>
      </c>
      <c r="F87" s="24">
        <f>SUMIFS('Saldos Iniciales'!$D:$D,'Saldos Iniciales'!$A:$A,"A&amp;M Imports")+SUMIFS(Movimientos!$K$1:$K$1368,Movimientos!$C$1:$C$1368,"A&amp;M Imports",Movimientos!$B$1:$B$1368,"&lt;="&amp;$B87)</f>
        <v>1042744.6899999997</v>
      </c>
      <c r="G87" s="24">
        <f>SUMIFS('Saldos Iniciales'!$D:$D,'Saldos Iniciales'!$A:$A,"SSP Capital")+SUMIFS(Movimientos!$K$1:$K$1368,Movimientos!$C$1:$C$1368,"SSP Capital",Movimientos!$B$1:$B$1368,"&lt;="&amp;$B87)</f>
        <v>2022877.8699999996</v>
      </c>
      <c r="H87" s="24">
        <f>SUMIFS('Saldos Iniciales'!$D:$D,'Saldos Iniciales'!$A:$A,"Cross Family Trust")+SUMIFS(Movimientos!$K$1:$K$1368,Movimientos!$C$1:$C$1368,"Cross Family Trust",Movimientos!$B$1:$B$1368,"&lt;="&amp;$B87)</f>
        <v>200496.38</v>
      </c>
      <c r="I87" s="24">
        <f>SUMIFS('Saldos Iniciales'!$D:$D,'Saldos Iniciales'!$A:$A,"Cross Security Trust")+SUMIFS(Movimientos!$K$1:$K$1368,Movimientos!$C$1:$C$1368,"Cross Security Trust",Movimientos!$B$1:$B$1368,"&lt;="&amp;$B87)</f>
        <v>267507.45</v>
      </c>
      <c r="J87" s="24">
        <f>SUMIFS('Saldos Iniciales'!$D:$D,'Saldos Iniciales'!$A:$A,"Electrama")+SUMIFS(Movimientos!$K$1:$K$1368,Movimientos!$C$1:$C$1368,"Electrama",Movimientos!$B$1:$B$1368,"&lt;="&amp;$B87)</f>
        <v>14580.45</v>
      </c>
      <c r="K87" s="24">
        <f>SUMIFS('Saldos Iniciales'!$D:$D,'Saldos Iniciales'!$A:$A,"Sacred Valley Capital")+SUMIFS(Movimientos!$K$1:$K$1368,Movimientos!$C$1:$C$1368,"Sacred Valley Capital",Movimientos!$B$1:$B$1368,"&lt;="&amp;$B87)</f>
        <v>54.400000000000006</v>
      </c>
      <c r="L87" s="24">
        <f>SUMIFS('Saldos Iniciales'!$D:$D,'Saldos Iniciales'!$A:$A,"YWC Capital")+SUMIFS(Movimientos!$K$1:$K$1368,Movimientos!$C$1:$C$1368,"YWC Capital",Movimientos!$B$1:$B$1368,"&lt;="&amp;$B87)</f>
        <v>2207.8200000000002</v>
      </c>
      <c r="M87" s="24">
        <f>SUMIFS('Saldos Iniciales'!$D:$D,'Saldos Iniciales'!$A:$A,"Soweto")+SUMIFS(Movimientos!$K$1:$K$1368,Movimientos!$C$1:$C$1368,"Soweto",Movimientos!$B$1:$B$1368,"&lt;="&amp;$B87)</f>
        <v>1454589.72</v>
      </c>
      <c r="N87" s="24">
        <f>SUMIFS('Saldos Iniciales'!$D:$D,'Saldos Iniciales'!$A:$A,"Green Stone Trust")+SUMIFS(Movimientos!$K$1:$K$1368,Movimientos!$C$1:$C$1368,"Green Stone Trust",Movimientos!$B$1:$B$1368,"&lt;="&amp;$B87)</f>
        <v>1968.99</v>
      </c>
      <c r="O87" s="24">
        <f>SUMIFS('Saldos Iniciales'!$D:$D,'Saldos Iniciales'!$A:$A,"EC Auto")+SUMIFS(Movimientos!$K$1:$K$1368,Movimientos!$C$1:$C$1368,"EC Auto",Movimientos!$B$1:$B$1368,"&lt;="&amp;$B87)</f>
        <v>901.34</v>
      </c>
      <c r="P87" s="24">
        <f>SUMIFS('Saldos Iniciales'!$D:$D,'Saldos Iniciales'!$A:$A,"Arbor Capital Properties")+SUMIFS(Movimientos!$K$1:$K$1368,Movimientos!$C$1:$C$1368,"Arbor Capital Properties",Movimientos!$B$1:$B$1368,"&lt;="&amp;$B87)</f>
        <v>1412.08</v>
      </c>
      <c r="Q87" s="24">
        <f>SUMIFS('Saldos Iniciales'!$D:$D,'Saldos Iniciales'!$A:$A,"2515 Overbrook")+SUMIFS(Movimientos!$K$1:$K$1368,Movimientos!$C$1:$C$1368,"2515 Overbrook",Movimientos!$B$1:$B$1368,"&lt;="&amp;$B87)</f>
        <v>22347.56999999996</v>
      </c>
      <c r="R87" s="24">
        <f>SUMIFS('Saldos Iniciales'!$D:$D,'Saldos Iniciales'!$A:$A,"112 Florida Ave")+SUMIFS(Movimientos!$K$1:$K$1368,Movimientos!$C$1:$C$1368,"112 Florida Ave",Movimientos!$B$1:$B$1368,"&lt;="&amp;$B87)</f>
        <v>18522.800000000003</v>
      </c>
      <c r="S87" s="24">
        <f>SUMIFS('Saldos Iniciales'!$D:$D,'Saldos Iniciales'!$A:$A,"3628 Thomas Ave")+SUMIFS(Movimientos!$K$1:$K$1368,Movimientos!$C$1:$C$1368,"3628 Thomas Ave",Movimientos!$B$1:$B$1368,"&lt;="&amp;$B87)</f>
        <v>28485.559999999998</v>
      </c>
      <c r="T87" s="24">
        <f>SUMIFS('Saldos Iniciales'!$D:$D,'Saldos Iniciales'!$A:$A,"Green Harbor Trust")+SUMIFS(Movimientos!$K$1:$K$1368,Movimientos!$C$1:$C$1368,"Green Harbor Trust",Movimientos!$B$1:$B$1368,"&lt;="&amp;$B87)</f>
        <v>345</v>
      </c>
      <c r="U87" s="24">
        <f>SUMIFS('Saldos Iniciales'!$D:$D,'Saldos Iniciales'!$A:$A,"Go Blue")+SUMIFS(Movimientos!$K$1:$K$1368,Movimientos!$C$1:$C$1368,"Go Blue",Movimientos!$B$1:$B$1368,"&lt;="&amp;$B87)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Group")+SUMIFS(Movimientos!$K$1:$K$1368,Movimientos!$C$1:$C$1368,"CFT Group",Movimientos!$B$1:$B$1368,"&lt;="&amp;$B88)</f>
        <v>2255750.7400000007</v>
      </c>
      <c r="D88" s="24">
        <f>SUMIFS('Saldos Iniciales'!$D:$D,'Saldos Iniciales'!$A:$A,"M1B")+SUMIFS(Movimientos!$K$1:$K$1368,Movimientos!$C$1:$C$1368,"M1B",Movimientos!$B$1:$B$1368,"&lt;="&amp;$B88)</f>
        <v>73157.680000000168</v>
      </c>
      <c r="E88" s="24">
        <f>SUMIFS('Saldos Iniciales'!$D:$D,'Saldos Iniciales'!$A:$A,"Durand")+SUMIFS(Movimientos!$K$1:$K$1368,Movimientos!$C$1:$C$1368,"Durand",Movimientos!$B$1:$B$1368,"&lt;="&amp;$B88)</f>
        <v>1669.89</v>
      </c>
      <c r="F88" s="24">
        <f>SUMIFS('Saldos Iniciales'!$D:$D,'Saldos Iniciales'!$A:$A,"A&amp;M Imports")+SUMIFS(Movimientos!$K$1:$K$1368,Movimientos!$C$1:$C$1368,"A&amp;M Imports",Movimientos!$B$1:$B$1368,"&lt;="&amp;$B88)</f>
        <v>1042744.6899999997</v>
      </c>
      <c r="G88" s="24">
        <f>SUMIFS('Saldos Iniciales'!$D:$D,'Saldos Iniciales'!$A:$A,"SSP Capital")+SUMIFS(Movimientos!$K$1:$K$1368,Movimientos!$C$1:$C$1368,"SSP Capital",Movimientos!$B$1:$B$1368,"&lt;="&amp;$B88)</f>
        <v>2022877.8699999996</v>
      </c>
      <c r="H88" s="24">
        <f>SUMIFS('Saldos Iniciales'!$D:$D,'Saldos Iniciales'!$A:$A,"Cross Family Trust")+SUMIFS(Movimientos!$K$1:$K$1368,Movimientos!$C$1:$C$1368,"Cross Family Trust",Movimientos!$B$1:$B$1368,"&lt;="&amp;$B88)</f>
        <v>200496.38</v>
      </c>
      <c r="I88" s="24">
        <f>SUMIFS('Saldos Iniciales'!$D:$D,'Saldos Iniciales'!$A:$A,"Cross Security Trust")+SUMIFS(Movimientos!$K$1:$K$1368,Movimientos!$C$1:$C$1368,"Cross Security Trust",Movimientos!$B$1:$B$1368,"&lt;="&amp;$B88)</f>
        <v>267507.45</v>
      </c>
      <c r="J88" s="24">
        <f>SUMIFS('Saldos Iniciales'!$D:$D,'Saldos Iniciales'!$A:$A,"Electrama")+SUMIFS(Movimientos!$K$1:$K$1368,Movimientos!$C$1:$C$1368,"Electrama",Movimientos!$B$1:$B$1368,"&lt;="&amp;$B88)</f>
        <v>14580.45</v>
      </c>
      <c r="K88" s="24">
        <f>SUMIFS('Saldos Iniciales'!$D:$D,'Saldos Iniciales'!$A:$A,"Sacred Valley Capital")+SUMIFS(Movimientos!$K$1:$K$1368,Movimientos!$C$1:$C$1368,"Sacred Valley Capital",Movimientos!$B$1:$B$1368,"&lt;="&amp;$B88)</f>
        <v>54.400000000000006</v>
      </c>
      <c r="L88" s="24">
        <f>SUMIFS('Saldos Iniciales'!$D:$D,'Saldos Iniciales'!$A:$A,"YWC Capital")+SUMIFS(Movimientos!$K$1:$K$1368,Movimientos!$C$1:$C$1368,"YWC Capital",Movimientos!$B$1:$B$1368,"&lt;="&amp;$B88)</f>
        <v>2207.8200000000002</v>
      </c>
      <c r="M88" s="24">
        <f>SUMIFS('Saldos Iniciales'!$D:$D,'Saldos Iniciales'!$A:$A,"Soweto")+SUMIFS(Movimientos!$K$1:$K$1368,Movimientos!$C$1:$C$1368,"Soweto",Movimientos!$B$1:$B$1368,"&lt;="&amp;$B88)</f>
        <v>1454589.72</v>
      </c>
      <c r="N88" s="24">
        <f>SUMIFS('Saldos Iniciales'!$D:$D,'Saldos Iniciales'!$A:$A,"Green Stone Trust")+SUMIFS(Movimientos!$K$1:$K$1368,Movimientos!$C$1:$C$1368,"Green Stone Trust",Movimientos!$B$1:$B$1368,"&lt;="&amp;$B88)</f>
        <v>1968.99</v>
      </c>
      <c r="O88" s="24">
        <f>SUMIFS('Saldos Iniciales'!$D:$D,'Saldos Iniciales'!$A:$A,"EC Auto")+SUMIFS(Movimientos!$K$1:$K$1368,Movimientos!$C$1:$C$1368,"EC Auto",Movimientos!$B$1:$B$1368,"&lt;="&amp;$B88)</f>
        <v>901.34</v>
      </c>
      <c r="P88" s="24">
        <f>SUMIFS('Saldos Iniciales'!$D:$D,'Saldos Iniciales'!$A:$A,"Arbor Capital Properties")+SUMIFS(Movimientos!$K$1:$K$1368,Movimientos!$C$1:$C$1368,"Arbor Capital Properties",Movimientos!$B$1:$B$1368,"&lt;="&amp;$B88)</f>
        <v>1412.08</v>
      </c>
      <c r="Q88" s="24">
        <f>SUMIFS('Saldos Iniciales'!$D:$D,'Saldos Iniciales'!$A:$A,"2515 Overbrook")+SUMIFS(Movimientos!$K$1:$K$1368,Movimientos!$C$1:$C$1368,"2515 Overbrook",Movimientos!$B$1:$B$1368,"&lt;="&amp;$B88)</f>
        <v>22347.56999999996</v>
      </c>
      <c r="R88" s="24">
        <f>SUMIFS('Saldos Iniciales'!$D:$D,'Saldos Iniciales'!$A:$A,"112 Florida Ave")+SUMIFS(Movimientos!$K$1:$K$1368,Movimientos!$C$1:$C$1368,"112 Florida Ave",Movimientos!$B$1:$B$1368,"&lt;="&amp;$B88)</f>
        <v>18522.800000000003</v>
      </c>
      <c r="S88" s="24">
        <f>SUMIFS('Saldos Iniciales'!$D:$D,'Saldos Iniciales'!$A:$A,"3628 Thomas Ave")+SUMIFS(Movimientos!$K$1:$K$1368,Movimientos!$C$1:$C$1368,"3628 Thomas Ave",Movimientos!$B$1:$B$1368,"&lt;="&amp;$B88)</f>
        <v>28485.559999999998</v>
      </c>
      <c r="T88" s="24">
        <f>SUMIFS('Saldos Iniciales'!$D:$D,'Saldos Iniciales'!$A:$A,"Green Harbor Trust")+SUMIFS(Movimientos!$K$1:$K$1368,Movimientos!$C$1:$C$1368,"Green Harbor Trust",Movimientos!$B$1:$B$1368,"&lt;="&amp;$B88)</f>
        <v>345</v>
      </c>
      <c r="U88" s="24">
        <f>SUMIFS('Saldos Iniciales'!$D:$D,'Saldos Iniciales'!$A:$A,"Go Blue")+SUMIFS(Movimientos!$K$1:$K$1368,Movimientos!$C$1:$C$1368,"Go Blue",Movimientos!$B$1:$B$1368,"&lt;="&amp;$B88)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Group")+SUMIFS(Movimientos!$K$1:$K$1368,Movimientos!$C$1:$C$1368,"CFT Group",Movimientos!$B$1:$B$1368,"&lt;="&amp;$B89)</f>
        <v>2255750.7400000007</v>
      </c>
      <c r="D89" s="24">
        <f>SUMIFS('Saldos Iniciales'!$D:$D,'Saldos Iniciales'!$A:$A,"M1B")+SUMIFS(Movimientos!$K$1:$K$1368,Movimientos!$C$1:$C$1368,"M1B",Movimientos!$B$1:$B$1368,"&lt;="&amp;$B89)</f>
        <v>73157.680000000168</v>
      </c>
      <c r="E89" s="24">
        <f>SUMIFS('Saldos Iniciales'!$D:$D,'Saldos Iniciales'!$A:$A,"Durand")+SUMIFS(Movimientos!$K$1:$K$1368,Movimientos!$C$1:$C$1368,"Durand",Movimientos!$B$1:$B$1368,"&lt;="&amp;$B89)</f>
        <v>1669.89</v>
      </c>
      <c r="F89" s="24">
        <f>SUMIFS('Saldos Iniciales'!$D:$D,'Saldos Iniciales'!$A:$A,"A&amp;M Imports")+SUMIFS(Movimientos!$K$1:$K$1368,Movimientos!$C$1:$C$1368,"A&amp;M Imports",Movimientos!$B$1:$B$1368,"&lt;="&amp;$B89)</f>
        <v>1392744.6899999997</v>
      </c>
      <c r="G89" s="24">
        <f>SUMIFS('Saldos Iniciales'!$D:$D,'Saldos Iniciales'!$A:$A,"SSP Capital")+SUMIFS(Movimientos!$K$1:$K$1368,Movimientos!$C$1:$C$1368,"SSP Capital",Movimientos!$B$1:$B$1368,"&lt;="&amp;$B89)</f>
        <v>2022877.8699999996</v>
      </c>
      <c r="H89" s="24">
        <f>SUMIFS('Saldos Iniciales'!$D:$D,'Saldos Iniciales'!$A:$A,"Cross Family Trust")+SUMIFS(Movimientos!$K$1:$K$1368,Movimientos!$C$1:$C$1368,"Cross Family Trust",Movimientos!$B$1:$B$1368,"&lt;="&amp;$B89)</f>
        <v>190496.38</v>
      </c>
      <c r="I89" s="24">
        <f>SUMIFS('Saldos Iniciales'!$D:$D,'Saldos Iniciales'!$A:$A,"Cross Security Trust")+SUMIFS(Movimientos!$K$1:$K$1368,Movimientos!$C$1:$C$1368,"Cross Security Trust",Movimientos!$B$1:$B$1368,"&lt;="&amp;$B89)</f>
        <v>267507.45</v>
      </c>
      <c r="J89" s="24">
        <f>SUMIFS('Saldos Iniciales'!$D:$D,'Saldos Iniciales'!$A:$A,"Electrama")+SUMIFS(Movimientos!$K$1:$K$1368,Movimientos!$C$1:$C$1368,"Electrama",Movimientos!$B$1:$B$1368,"&lt;="&amp;$B89)</f>
        <v>14580.45</v>
      </c>
      <c r="K89" s="24">
        <f>SUMIFS('Saldos Iniciales'!$D:$D,'Saldos Iniciales'!$A:$A,"Sacred Valley Capital")+SUMIFS(Movimientos!$K$1:$K$1368,Movimientos!$C$1:$C$1368,"Sacred Valley Capital",Movimientos!$B$1:$B$1368,"&lt;="&amp;$B89)</f>
        <v>54.400000000000006</v>
      </c>
      <c r="L89" s="24">
        <f>SUMIFS('Saldos Iniciales'!$D:$D,'Saldos Iniciales'!$A:$A,"YWC Capital")+SUMIFS(Movimientos!$K$1:$K$1368,Movimientos!$C$1:$C$1368,"YWC Capital",Movimientos!$B$1:$B$1368,"&lt;="&amp;$B89)</f>
        <v>2207.8200000000002</v>
      </c>
      <c r="M89" s="24">
        <f>SUMIFS('Saldos Iniciales'!$D:$D,'Saldos Iniciales'!$A:$A,"Soweto")+SUMIFS(Movimientos!$K$1:$K$1368,Movimientos!$C$1:$C$1368,"Soweto",Movimientos!$B$1:$B$1368,"&lt;="&amp;$B89)</f>
        <v>1454589.72</v>
      </c>
      <c r="N89" s="24">
        <f>SUMIFS('Saldos Iniciales'!$D:$D,'Saldos Iniciales'!$A:$A,"Green Stone Trust")+SUMIFS(Movimientos!$K$1:$K$1368,Movimientos!$C$1:$C$1368,"Green Stone Trust",Movimientos!$B$1:$B$1368,"&lt;="&amp;$B89)</f>
        <v>1968.99</v>
      </c>
      <c r="O89" s="24">
        <f>SUMIFS('Saldos Iniciales'!$D:$D,'Saldos Iniciales'!$A:$A,"EC Auto")+SUMIFS(Movimientos!$K$1:$K$1368,Movimientos!$C$1:$C$1368,"EC Auto",Movimientos!$B$1:$B$1368,"&lt;="&amp;$B89)</f>
        <v>901.34</v>
      </c>
      <c r="P89" s="24">
        <f>SUMIFS('Saldos Iniciales'!$D:$D,'Saldos Iniciales'!$A:$A,"Arbor Capital Properties")+SUMIFS(Movimientos!$K$1:$K$1368,Movimientos!$C$1:$C$1368,"Arbor Capital Properties",Movimientos!$B$1:$B$1368,"&lt;="&amp;$B89)</f>
        <v>1412.08</v>
      </c>
      <c r="Q89" s="24">
        <f>SUMIFS('Saldos Iniciales'!$D:$D,'Saldos Iniciales'!$A:$A,"2515 Overbrook")+SUMIFS(Movimientos!$K$1:$K$1368,Movimientos!$C$1:$C$1368,"2515 Overbrook",Movimientos!$B$1:$B$1368,"&lt;="&amp;$B89)</f>
        <v>22347.56999999996</v>
      </c>
      <c r="R89" s="24">
        <f>SUMIFS('Saldos Iniciales'!$D:$D,'Saldos Iniciales'!$A:$A,"112 Florida Ave")+SUMIFS(Movimientos!$K$1:$K$1368,Movimientos!$C$1:$C$1368,"112 Florida Ave",Movimientos!$B$1:$B$1368,"&lt;="&amp;$B89)</f>
        <v>18522.800000000003</v>
      </c>
      <c r="S89" s="24">
        <f>SUMIFS('Saldos Iniciales'!$D:$D,'Saldos Iniciales'!$A:$A,"3628 Thomas Ave")+SUMIFS(Movimientos!$K$1:$K$1368,Movimientos!$C$1:$C$1368,"3628 Thomas Ave",Movimientos!$B$1:$B$1368,"&lt;="&amp;$B89)</f>
        <v>28485.559999999998</v>
      </c>
      <c r="T89" s="24">
        <f>SUMIFS('Saldos Iniciales'!$D:$D,'Saldos Iniciales'!$A:$A,"Green Harbor Trust")+SUMIFS(Movimientos!$K$1:$K$1368,Movimientos!$C$1:$C$1368,"Green Harbor Trust",Movimientos!$B$1:$B$1368,"&lt;="&amp;$B89)</f>
        <v>345</v>
      </c>
      <c r="U89" s="24">
        <f>SUMIFS('Saldos Iniciales'!$D:$D,'Saldos Iniciales'!$A:$A,"Go Blue")+SUMIFS(Movimientos!$K$1:$K$1368,Movimientos!$C$1:$C$1368,"Go Blue",Movimientos!$B$1:$B$1368,"&lt;="&amp;$B89)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Group")+SUMIFS(Movimientos!$K$1:$K$1368,Movimientos!$C$1:$C$1368,"CFT Group",Movimientos!$B$1:$B$1368,"&lt;="&amp;$B90)</f>
        <v>2255750.7400000007</v>
      </c>
      <c r="D90" s="24">
        <f>SUMIFS('Saldos Iniciales'!$D:$D,'Saldos Iniciales'!$A:$A,"M1B")+SUMIFS(Movimientos!$K$1:$K$1368,Movimientos!$C$1:$C$1368,"M1B",Movimientos!$B$1:$B$1368,"&lt;="&amp;$B90)</f>
        <v>80574.12000000017</v>
      </c>
      <c r="E90" s="24">
        <f>SUMIFS('Saldos Iniciales'!$D:$D,'Saldos Iniciales'!$A:$A,"Durand")+SUMIFS(Movimientos!$K$1:$K$1368,Movimientos!$C$1:$C$1368,"Durand",Movimientos!$B$1:$B$1368,"&lt;="&amp;$B90)</f>
        <v>1669.89</v>
      </c>
      <c r="F90" s="24">
        <f>SUMIFS('Saldos Iniciales'!$D:$D,'Saldos Iniciales'!$A:$A,"A&amp;M Imports")+SUMIFS(Movimientos!$K$1:$K$1368,Movimientos!$C$1:$C$1368,"A&amp;M Imports",Movimientos!$B$1:$B$1368,"&lt;="&amp;$B90)</f>
        <v>1415636.7399999998</v>
      </c>
      <c r="G90" s="24">
        <f>SUMIFS('Saldos Iniciales'!$D:$D,'Saldos Iniciales'!$A:$A,"SSP Capital")+SUMIFS(Movimientos!$K$1:$K$1368,Movimientos!$C$1:$C$1368,"SSP Capital",Movimientos!$B$1:$B$1368,"&lt;="&amp;$B90)</f>
        <v>1857997.0999999996</v>
      </c>
      <c r="H90" s="24">
        <f>SUMIFS('Saldos Iniciales'!$D:$D,'Saldos Iniciales'!$A:$A,"Cross Family Trust")+SUMIFS(Movimientos!$K$1:$K$1368,Movimientos!$C$1:$C$1368,"Cross Family Trust",Movimientos!$B$1:$B$1368,"&lt;="&amp;$B90)</f>
        <v>190496.38</v>
      </c>
      <c r="I90" s="24">
        <f>SUMIFS('Saldos Iniciales'!$D:$D,'Saldos Iniciales'!$A:$A,"Cross Security Trust")+SUMIFS(Movimientos!$K$1:$K$1368,Movimientos!$C$1:$C$1368,"Cross Security Trust",Movimientos!$B$1:$B$1368,"&lt;="&amp;$B90)</f>
        <v>267507.45</v>
      </c>
      <c r="J90" s="24">
        <f>SUMIFS('Saldos Iniciales'!$D:$D,'Saldos Iniciales'!$A:$A,"Electrama")+SUMIFS(Movimientos!$K$1:$K$1368,Movimientos!$C$1:$C$1368,"Electrama",Movimientos!$B$1:$B$1368,"&lt;="&amp;$B90)</f>
        <v>14580.45</v>
      </c>
      <c r="K90" s="24">
        <f>SUMIFS('Saldos Iniciales'!$D:$D,'Saldos Iniciales'!$A:$A,"Sacred Valley Capital")+SUMIFS(Movimientos!$K$1:$K$1368,Movimientos!$C$1:$C$1368,"Sacred Valley Capital",Movimientos!$B$1:$B$1368,"&lt;="&amp;$B90)</f>
        <v>54.400000000000006</v>
      </c>
      <c r="L90" s="24">
        <f>SUMIFS('Saldos Iniciales'!$D:$D,'Saldos Iniciales'!$A:$A,"YWC Capital")+SUMIFS(Movimientos!$K$1:$K$1368,Movimientos!$C$1:$C$1368,"YWC Capital",Movimientos!$B$1:$B$1368,"&lt;="&amp;$B90)</f>
        <v>2207.8200000000002</v>
      </c>
      <c r="M90" s="24">
        <f>SUMIFS('Saldos Iniciales'!$D:$D,'Saldos Iniciales'!$A:$A,"Soweto")+SUMIFS(Movimientos!$K$1:$K$1368,Movimientos!$C$1:$C$1368,"Soweto",Movimientos!$B$1:$B$1368,"&lt;="&amp;$B90)</f>
        <v>1454589.72</v>
      </c>
      <c r="N90" s="24">
        <f>SUMIFS('Saldos Iniciales'!$D:$D,'Saldos Iniciales'!$A:$A,"Green Stone Trust")+SUMIFS(Movimientos!$K$1:$K$1368,Movimientos!$C$1:$C$1368,"Green Stone Trust",Movimientos!$B$1:$B$1368,"&lt;="&amp;$B90)</f>
        <v>1968.99</v>
      </c>
      <c r="O90" s="24">
        <f>SUMIFS('Saldos Iniciales'!$D:$D,'Saldos Iniciales'!$A:$A,"EC Auto")+SUMIFS(Movimientos!$K$1:$K$1368,Movimientos!$C$1:$C$1368,"EC Auto",Movimientos!$B$1:$B$1368,"&lt;="&amp;$B90)</f>
        <v>901.34</v>
      </c>
      <c r="P90" s="24">
        <f>SUMIFS('Saldos Iniciales'!$D:$D,'Saldos Iniciales'!$A:$A,"Arbor Capital Properties")+SUMIFS(Movimientos!$K$1:$K$1368,Movimientos!$C$1:$C$1368,"Arbor Capital Properties",Movimientos!$B$1:$B$1368,"&lt;="&amp;$B90)</f>
        <v>1412.08</v>
      </c>
      <c r="Q90" s="24">
        <f>SUMIFS('Saldos Iniciales'!$D:$D,'Saldos Iniciales'!$A:$A,"2515 Overbrook")+SUMIFS(Movimientos!$K$1:$K$1368,Movimientos!$C$1:$C$1368,"2515 Overbrook",Movimientos!$B$1:$B$1368,"&lt;="&amp;$B90)</f>
        <v>22347.56999999996</v>
      </c>
      <c r="R90" s="24">
        <f>SUMIFS('Saldos Iniciales'!$D:$D,'Saldos Iniciales'!$A:$A,"112 Florida Ave")+SUMIFS(Movimientos!$K$1:$K$1368,Movimientos!$C$1:$C$1368,"112 Florida Ave",Movimientos!$B$1:$B$1368,"&lt;="&amp;$B90)</f>
        <v>18522.800000000003</v>
      </c>
      <c r="S90" s="24">
        <f>SUMIFS('Saldos Iniciales'!$D:$D,'Saldos Iniciales'!$A:$A,"3628 Thomas Ave")+SUMIFS(Movimientos!$K$1:$K$1368,Movimientos!$C$1:$C$1368,"3628 Thomas Ave",Movimientos!$B$1:$B$1368,"&lt;="&amp;$B90)</f>
        <v>28485.559999999998</v>
      </c>
      <c r="T90" s="24">
        <f>SUMIFS('Saldos Iniciales'!$D:$D,'Saldos Iniciales'!$A:$A,"Green Harbor Trust")+SUMIFS(Movimientos!$K$1:$K$1368,Movimientos!$C$1:$C$1368,"Green Harbor Trust",Movimientos!$B$1:$B$1368,"&lt;="&amp;$B90)</f>
        <v>345</v>
      </c>
      <c r="U90" s="24">
        <f>SUMIFS('Saldos Iniciales'!$D:$D,'Saldos Iniciales'!$A:$A,"Go Blue")+SUMIFS(Movimientos!$K$1:$K$1368,Movimientos!$C$1:$C$1368,"Go Blue",Movimientos!$B$1:$B$1368,"&lt;="&amp;$B90)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Group")+SUMIFS(Movimientos!$K$1:$K$1368,Movimientos!$C$1:$C$1368,"CFT Group",Movimientos!$B$1:$B$1368,"&lt;="&amp;$B91)</f>
        <v>2270539.1300000008</v>
      </c>
      <c r="D91" s="24">
        <f>SUMIFS('Saldos Iniciales'!$D:$D,'Saldos Iniciales'!$A:$A,"M1B")+SUMIFS(Movimientos!$K$1:$K$1368,Movimientos!$C$1:$C$1368,"M1B",Movimientos!$B$1:$B$1368,"&lt;="&amp;$B91)</f>
        <v>83211.250000000175</v>
      </c>
      <c r="E91" s="24">
        <f>SUMIFS('Saldos Iniciales'!$D:$D,'Saldos Iniciales'!$A:$A,"Durand")+SUMIFS(Movimientos!$K$1:$K$1368,Movimientos!$C$1:$C$1368,"Durand",Movimientos!$B$1:$B$1368,"&lt;="&amp;$B91)</f>
        <v>1669.89</v>
      </c>
      <c r="F91" s="24">
        <f>SUMIFS('Saldos Iniciales'!$D:$D,'Saldos Iniciales'!$A:$A,"A&amp;M Imports")+SUMIFS(Movimientos!$K$1:$K$1368,Movimientos!$C$1:$C$1368,"A&amp;M Imports",Movimientos!$B$1:$B$1368,"&lt;="&amp;$B91)</f>
        <v>1434634.5999999999</v>
      </c>
      <c r="G91" s="24">
        <f>SUMIFS('Saldos Iniciales'!$D:$D,'Saldos Iniciales'!$A:$A,"SSP Capital")+SUMIFS(Movimientos!$K$1:$K$1368,Movimientos!$C$1:$C$1368,"SSP Capital",Movimientos!$B$1:$B$1368,"&lt;="&amp;$B91)</f>
        <v>1857997.0999999996</v>
      </c>
      <c r="H91" s="24">
        <f>SUMIFS('Saldos Iniciales'!$D:$D,'Saldos Iniciales'!$A:$A,"Cross Family Trust")+SUMIFS(Movimientos!$K$1:$K$1368,Movimientos!$C$1:$C$1368,"Cross Family Trust",Movimientos!$B$1:$B$1368,"&lt;="&amp;$B91)</f>
        <v>190496.38</v>
      </c>
      <c r="I91" s="24">
        <f>SUMIFS('Saldos Iniciales'!$D:$D,'Saldos Iniciales'!$A:$A,"Cross Security Trust")+SUMIFS(Movimientos!$K$1:$K$1368,Movimientos!$C$1:$C$1368,"Cross Security Trust",Movimientos!$B$1:$B$1368,"&lt;="&amp;$B91)</f>
        <v>267507.45</v>
      </c>
      <c r="J91" s="24">
        <f>SUMIFS('Saldos Iniciales'!$D:$D,'Saldos Iniciales'!$A:$A,"Electrama")+SUMIFS(Movimientos!$K$1:$K$1368,Movimientos!$C$1:$C$1368,"Electrama",Movimientos!$B$1:$B$1368,"&lt;="&amp;$B91)</f>
        <v>14580.45</v>
      </c>
      <c r="K91" s="24">
        <f>SUMIFS('Saldos Iniciales'!$D:$D,'Saldos Iniciales'!$A:$A,"Sacred Valley Capital")+SUMIFS(Movimientos!$K$1:$K$1368,Movimientos!$C$1:$C$1368,"Sacred Valley Capital",Movimientos!$B$1:$B$1368,"&lt;="&amp;$B91)</f>
        <v>54.400000000000006</v>
      </c>
      <c r="L91" s="24">
        <f>SUMIFS('Saldos Iniciales'!$D:$D,'Saldos Iniciales'!$A:$A,"YWC Capital")+SUMIFS(Movimientos!$K$1:$K$1368,Movimientos!$C$1:$C$1368,"YWC Capital",Movimientos!$B$1:$B$1368,"&lt;="&amp;$B91)</f>
        <v>2207.8200000000002</v>
      </c>
      <c r="M91" s="24">
        <f>SUMIFS('Saldos Iniciales'!$D:$D,'Saldos Iniciales'!$A:$A,"Soweto")+SUMIFS(Movimientos!$K$1:$K$1368,Movimientos!$C$1:$C$1368,"Soweto",Movimientos!$B$1:$B$1368,"&lt;="&amp;$B91)</f>
        <v>1454589.72</v>
      </c>
      <c r="N91" s="24">
        <f>SUMIFS('Saldos Iniciales'!$D:$D,'Saldos Iniciales'!$A:$A,"Green Stone Trust")+SUMIFS(Movimientos!$K$1:$K$1368,Movimientos!$C$1:$C$1368,"Green Stone Trust",Movimientos!$B$1:$B$1368,"&lt;="&amp;$B91)</f>
        <v>1968.99</v>
      </c>
      <c r="O91" s="24">
        <f>SUMIFS('Saldos Iniciales'!$D:$D,'Saldos Iniciales'!$A:$A,"EC Auto")+SUMIFS(Movimientos!$K$1:$K$1368,Movimientos!$C$1:$C$1368,"EC Auto",Movimientos!$B$1:$B$1368,"&lt;="&amp;$B91)</f>
        <v>901.34</v>
      </c>
      <c r="P91" s="24">
        <f>SUMIFS('Saldos Iniciales'!$D:$D,'Saldos Iniciales'!$A:$A,"Arbor Capital Properties")+SUMIFS(Movimientos!$K$1:$K$1368,Movimientos!$C$1:$C$1368,"Arbor Capital Properties",Movimientos!$B$1:$B$1368,"&lt;="&amp;$B91)</f>
        <v>1412.08</v>
      </c>
      <c r="Q91" s="24">
        <f>SUMIFS('Saldos Iniciales'!$D:$D,'Saldos Iniciales'!$A:$A,"2515 Overbrook")+SUMIFS(Movimientos!$K$1:$K$1368,Movimientos!$C$1:$C$1368,"2515 Overbrook",Movimientos!$B$1:$B$1368,"&lt;="&amp;$B91)</f>
        <v>22347.56999999996</v>
      </c>
      <c r="R91" s="24">
        <f>SUMIFS('Saldos Iniciales'!$D:$D,'Saldos Iniciales'!$A:$A,"112 Florida Ave")+SUMIFS(Movimientos!$K$1:$K$1368,Movimientos!$C$1:$C$1368,"112 Florida Ave",Movimientos!$B$1:$B$1368,"&lt;="&amp;$B91)</f>
        <v>18522.800000000003</v>
      </c>
      <c r="S91" s="24">
        <f>SUMIFS('Saldos Iniciales'!$D:$D,'Saldos Iniciales'!$A:$A,"3628 Thomas Ave")+SUMIFS(Movimientos!$K$1:$K$1368,Movimientos!$C$1:$C$1368,"3628 Thomas Ave",Movimientos!$B$1:$B$1368,"&lt;="&amp;$B91)</f>
        <v>28485.559999999998</v>
      </c>
      <c r="T91" s="24">
        <f>SUMIFS('Saldos Iniciales'!$D:$D,'Saldos Iniciales'!$A:$A,"Green Harbor Trust")+SUMIFS(Movimientos!$K$1:$K$1368,Movimientos!$C$1:$C$1368,"Green Harbor Trust",Movimientos!$B$1:$B$1368,"&lt;="&amp;$B91)</f>
        <v>345</v>
      </c>
      <c r="U91" s="24">
        <f>SUMIFS('Saldos Iniciales'!$D:$D,'Saldos Iniciales'!$A:$A,"Go Blue")+SUMIFS(Movimientos!$K$1:$K$1368,Movimientos!$C$1:$C$1368,"Go Blue",Movimientos!$B$1:$B$1368,"&lt;="&amp;$B91)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Group")+SUMIFS(Movimientos!$K$1:$K$1368,Movimientos!$C$1:$C$1368,"CFT Group",Movimientos!$B$1:$B$1368,"&lt;="&amp;$B92)</f>
        <v>2470350.7000000002</v>
      </c>
      <c r="D92" s="24">
        <f>SUMIFS('Saldos Iniciales'!$D:$D,'Saldos Iniciales'!$A:$A,"M1B")+SUMIFS(Movimientos!$K$1:$K$1368,Movimientos!$C$1:$C$1368,"M1B",Movimientos!$B$1:$B$1368,"&lt;="&amp;$B92)</f>
        <v>83211.250000000175</v>
      </c>
      <c r="E92" s="24">
        <f>SUMIFS('Saldos Iniciales'!$D:$D,'Saldos Iniciales'!$A:$A,"Durand")+SUMIFS(Movimientos!$K$1:$K$1368,Movimientos!$C$1:$C$1368,"Durand",Movimientos!$B$1:$B$1368,"&lt;="&amp;$B92)</f>
        <v>1669.89</v>
      </c>
      <c r="F92" s="24">
        <f>SUMIFS('Saldos Iniciales'!$D:$D,'Saldos Iniciales'!$A:$A,"A&amp;M Imports")+SUMIFS(Movimientos!$K$1:$K$1368,Movimientos!$C$1:$C$1368,"A&amp;M Imports",Movimientos!$B$1:$B$1368,"&lt;="&amp;$B92)</f>
        <v>1458426.0399999998</v>
      </c>
      <c r="G92" s="24">
        <f>SUMIFS('Saldos Iniciales'!$D:$D,'Saldos Iniciales'!$A:$A,"SSP Capital")+SUMIFS(Movimientos!$K$1:$K$1368,Movimientos!$C$1:$C$1368,"SSP Capital",Movimientos!$B$1:$B$1368,"&lt;="&amp;$B92)</f>
        <v>1857993.8499999996</v>
      </c>
      <c r="H92" s="24">
        <f>SUMIFS('Saldos Iniciales'!$D:$D,'Saldos Iniciales'!$A:$A,"Cross Family Trust")+SUMIFS(Movimientos!$K$1:$K$1368,Movimientos!$C$1:$C$1368,"Cross Family Trust",Movimientos!$B$1:$B$1368,"&lt;="&amp;$B92)</f>
        <v>190496.38</v>
      </c>
      <c r="I92" s="24">
        <f>SUMIFS('Saldos Iniciales'!$D:$D,'Saldos Iniciales'!$A:$A,"Cross Security Trust")+SUMIFS(Movimientos!$K$1:$K$1368,Movimientos!$C$1:$C$1368,"Cross Security Trust",Movimientos!$B$1:$B$1368,"&lt;="&amp;$B92)</f>
        <v>267507.45</v>
      </c>
      <c r="J92" s="24">
        <f>SUMIFS('Saldos Iniciales'!$D:$D,'Saldos Iniciales'!$A:$A,"Electrama")+SUMIFS(Movimientos!$K$1:$K$1368,Movimientos!$C$1:$C$1368,"Electrama",Movimientos!$B$1:$B$1368,"&lt;="&amp;$B92)</f>
        <v>14580.45</v>
      </c>
      <c r="K92" s="24">
        <f>SUMIFS('Saldos Iniciales'!$D:$D,'Saldos Iniciales'!$A:$A,"Sacred Valley Capital")+SUMIFS(Movimientos!$K$1:$K$1368,Movimientos!$C$1:$C$1368,"Sacred Valley Capital",Movimientos!$B$1:$B$1368,"&lt;="&amp;$B92)</f>
        <v>54.400000000000006</v>
      </c>
      <c r="L92" s="24">
        <f>SUMIFS('Saldos Iniciales'!$D:$D,'Saldos Iniciales'!$A:$A,"YWC Capital")+SUMIFS(Movimientos!$K$1:$K$1368,Movimientos!$C$1:$C$1368,"YWC Capital",Movimientos!$B$1:$B$1368,"&lt;="&amp;$B92)</f>
        <v>2207.8200000000002</v>
      </c>
      <c r="M92" s="24">
        <f>SUMIFS('Saldos Iniciales'!$D:$D,'Saldos Iniciales'!$A:$A,"Soweto")+SUMIFS(Movimientos!$K$1:$K$1368,Movimientos!$C$1:$C$1368,"Soweto",Movimientos!$B$1:$B$1368,"&lt;="&amp;$B92)</f>
        <v>1454589.72</v>
      </c>
      <c r="N92" s="24">
        <f>SUMIFS('Saldos Iniciales'!$D:$D,'Saldos Iniciales'!$A:$A,"Green Stone Trust")+SUMIFS(Movimientos!$K$1:$K$1368,Movimientos!$C$1:$C$1368,"Green Stone Trust",Movimientos!$B$1:$B$1368,"&lt;="&amp;$B92)</f>
        <v>1968.99</v>
      </c>
      <c r="O92" s="24">
        <f>SUMIFS('Saldos Iniciales'!$D:$D,'Saldos Iniciales'!$A:$A,"EC Auto")+SUMIFS(Movimientos!$K$1:$K$1368,Movimientos!$C$1:$C$1368,"EC Auto",Movimientos!$B$1:$B$1368,"&lt;="&amp;$B92)</f>
        <v>901.34</v>
      </c>
      <c r="P92" s="24">
        <f>SUMIFS('Saldos Iniciales'!$D:$D,'Saldos Iniciales'!$A:$A,"Arbor Capital Properties")+SUMIFS(Movimientos!$K$1:$K$1368,Movimientos!$C$1:$C$1368,"Arbor Capital Properties",Movimientos!$B$1:$B$1368,"&lt;="&amp;$B92)</f>
        <v>1412.08</v>
      </c>
      <c r="Q92" s="24">
        <f>SUMIFS('Saldos Iniciales'!$D:$D,'Saldos Iniciales'!$A:$A,"2515 Overbrook")+SUMIFS(Movimientos!$K$1:$K$1368,Movimientos!$C$1:$C$1368,"2515 Overbrook",Movimientos!$B$1:$B$1368,"&lt;="&amp;$B92)</f>
        <v>22347.56999999996</v>
      </c>
      <c r="R92" s="24">
        <f>SUMIFS('Saldos Iniciales'!$D:$D,'Saldos Iniciales'!$A:$A,"112 Florida Ave")+SUMIFS(Movimientos!$K$1:$K$1368,Movimientos!$C$1:$C$1368,"112 Florida Ave",Movimientos!$B$1:$B$1368,"&lt;="&amp;$B92)</f>
        <v>18522.800000000003</v>
      </c>
      <c r="S92" s="24">
        <f>SUMIFS('Saldos Iniciales'!$D:$D,'Saldos Iniciales'!$A:$A,"3628 Thomas Ave")+SUMIFS(Movimientos!$K$1:$K$1368,Movimientos!$C$1:$C$1368,"3628 Thomas Ave",Movimientos!$B$1:$B$1368,"&lt;="&amp;$B92)</f>
        <v>28485.559999999998</v>
      </c>
      <c r="T92" s="24">
        <f>SUMIFS('Saldos Iniciales'!$D:$D,'Saldos Iniciales'!$A:$A,"Green Harbor Trust")+SUMIFS(Movimientos!$K$1:$K$1368,Movimientos!$C$1:$C$1368,"Green Harbor Trust",Movimientos!$B$1:$B$1368,"&lt;="&amp;$B92)</f>
        <v>345</v>
      </c>
      <c r="U92" s="24">
        <f>SUMIFS('Saldos Iniciales'!$D:$D,'Saldos Iniciales'!$A:$A,"Go Blue")+SUMIFS(Movimientos!$K$1:$K$1368,Movimientos!$C$1:$C$1368,"Go Blue",Movimientos!$B$1:$B$1368,"&lt;="&amp;$B92)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Group")+SUMIFS(Movimientos!$K$1:$K$1368,Movimientos!$C$1:$C$1368,"CFT Group",Movimientos!$B$1:$B$1368,"&lt;="&amp;$B93)</f>
        <v>2468032.08</v>
      </c>
      <c r="D93" s="24">
        <f>SUMIFS('Saldos Iniciales'!$D:$D,'Saldos Iniciales'!$A:$A,"M1B")+SUMIFS(Movimientos!$K$1:$K$1368,Movimientos!$C$1:$C$1368,"M1B",Movimientos!$B$1:$B$1368,"&lt;="&amp;$B93)</f>
        <v>83211.250000000175</v>
      </c>
      <c r="E93" s="24">
        <f>SUMIFS('Saldos Iniciales'!$D:$D,'Saldos Iniciales'!$A:$A,"Durand")+SUMIFS(Movimientos!$K$1:$K$1368,Movimientos!$C$1:$C$1368,"Durand",Movimientos!$B$1:$B$1368,"&lt;="&amp;$B93)</f>
        <v>1669.89</v>
      </c>
      <c r="F93" s="24">
        <f>SUMIFS('Saldos Iniciales'!$D:$D,'Saldos Iniciales'!$A:$A,"A&amp;M Imports")+SUMIFS(Movimientos!$K$1:$K$1368,Movimientos!$C$1:$C$1368,"A&amp;M Imports",Movimientos!$B$1:$B$1368,"&lt;="&amp;$B93)</f>
        <v>1458426.0399999998</v>
      </c>
      <c r="G93" s="24">
        <f>SUMIFS('Saldos Iniciales'!$D:$D,'Saldos Iniciales'!$A:$A,"SSP Capital")+SUMIFS(Movimientos!$K$1:$K$1368,Movimientos!$C$1:$C$1368,"SSP Capital",Movimientos!$B$1:$B$1368,"&lt;="&amp;$B93)</f>
        <v>1514477.1199999996</v>
      </c>
      <c r="H93" s="24">
        <f>SUMIFS('Saldos Iniciales'!$D:$D,'Saldos Iniciales'!$A:$A,"Cross Family Trust")+SUMIFS(Movimientos!$K$1:$K$1368,Movimientos!$C$1:$C$1368,"Cross Family Trust",Movimientos!$B$1:$B$1368,"&lt;="&amp;$B93)</f>
        <v>190496.38</v>
      </c>
      <c r="I93" s="24">
        <f>SUMIFS('Saldos Iniciales'!$D:$D,'Saldos Iniciales'!$A:$A,"Cross Security Trust")+SUMIFS(Movimientos!$K$1:$K$1368,Movimientos!$C$1:$C$1368,"Cross Security Trust",Movimientos!$B$1:$B$1368,"&lt;="&amp;$B93)</f>
        <v>207605.45</v>
      </c>
      <c r="J93" s="24">
        <f>SUMIFS('Saldos Iniciales'!$D:$D,'Saldos Iniciales'!$A:$A,"Electrama")+SUMIFS(Movimientos!$K$1:$K$1368,Movimientos!$C$1:$C$1368,"Electrama",Movimientos!$B$1:$B$1368,"&lt;="&amp;$B93)</f>
        <v>14580.45</v>
      </c>
      <c r="K93" s="24">
        <f>SUMIFS('Saldos Iniciales'!$D:$D,'Saldos Iniciales'!$A:$A,"Sacred Valley Capital")+SUMIFS(Movimientos!$K$1:$K$1368,Movimientos!$C$1:$C$1368,"Sacred Valley Capital",Movimientos!$B$1:$B$1368,"&lt;="&amp;$B93)</f>
        <v>54.400000000000006</v>
      </c>
      <c r="L93" s="24">
        <f>SUMIFS('Saldos Iniciales'!$D:$D,'Saldos Iniciales'!$A:$A,"YWC Capital")+SUMIFS(Movimientos!$K$1:$K$1368,Movimientos!$C$1:$C$1368,"YWC Capital",Movimientos!$B$1:$B$1368,"&lt;="&amp;$B93)</f>
        <v>2207.8200000000002</v>
      </c>
      <c r="M93" s="24">
        <f>SUMIFS('Saldos Iniciales'!$D:$D,'Saldos Iniciales'!$A:$A,"Soweto")+SUMIFS(Movimientos!$K$1:$K$1368,Movimientos!$C$1:$C$1368,"Soweto",Movimientos!$B$1:$B$1368,"&lt;="&amp;$B93)</f>
        <v>1454589.72</v>
      </c>
      <c r="N93" s="24">
        <f>SUMIFS('Saldos Iniciales'!$D:$D,'Saldos Iniciales'!$A:$A,"Green Stone Trust")+SUMIFS(Movimientos!$K$1:$K$1368,Movimientos!$C$1:$C$1368,"Green Stone Trust",Movimientos!$B$1:$B$1368,"&lt;="&amp;$B93)</f>
        <v>1968.99</v>
      </c>
      <c r="O93" s="24">
        <f>SUMIFS('Saldos Iniciales'!$D:$D,'Saldos Iniciales'!$A:$A,"EC Auto")+SUMIFS(Movimientos!$K$1:$K$1368,Movimientos!$C$1:$C$1368,"EC Auto",Movimientos!$B$1:$B$1368,"&lt;="&amp;$B93)</f>
        <v>901.34</v>
      </c>
      <c r="P93" s="24">
        <f>SUMIFS('Saldos Iniciales'!$D:$D,'Saldos Iniciales'!$A:$A,"Arbor Capital Properties")+SUMIFS(Movimientos!$K$1:$K$1368,Movimientos!$C$1:$C$1368,"Arbor Capital Properties",Movimientos!$B$1:$B$1368,"&lt;="&amp;$B93)</f>
        <v>1412.08</v>
      </c>
      <c r="Q93" s="24">
        <f>SUMIFS('Saldos Iniciales'!$D:$D,'Saldos Iniciales'!$A:$A,"2515 Overbrook")+SUMIFS(Movimientos!$K$1:$K$1368,Movimientos!$C$1:$C$1368,"2515 Overbrook",Movimientos!$B$1:$B$1368,"&lt;="&amp;$B93)</f>
        <v>22347.56999999996</v>
      </c>
      <c r="R93" s="24">
        <f>SUMIFS('Saldos Iniciales'!$D:$D,'Saldos Iniciales'!$A:$A,"112 Florida Ave")+SUMIFS(Movimientos!$K$1:$K$1368,Movimientos!$C$1:$C$1368,"112 Florida Ave",Movimientos!$B$1:$B$1368,"&lt;="&amp;$B93)</f>
        <v>18522.800000000003</v>
      </c>
      <c r="S93" s="24">
        <f>SUMIFS('Saldos Iniciales'!$D:$D,'Saldos Iniciales'!$A:$A,"3628 Thomas Ave")+SUMIFS(Movimientos!$K$1:$K$1368,Movimientos!$C$1:$C$1368,"3628 Thomas Ave",Movimientos!$B$1:$B$1368,"&lt;="&amp;$B93)</f>
        <v>28485.559999999998</v>
      </c>
      <c r="T93" s="24">
        <f>SUMIFS('Saldos Iniciales'!$D:$D,'Saldos Iniciales'!$A:$A,"Green Harbor Trust")+SUMIFS(Movimientos!$K$1:$K$1368,Movimientos!$C$1:$C$1368,"Green Harbor Trust",Movimientos!$B$1:$B$1368,"&lt;="&amp;$B93)</f>
        <v>345</v>
      </c>
      <c r="U93" s="24">
        <f>SUMIFS('Saldos Iniciales'!$D:$D,'Saldos Iniciales'!$A:$A,"Go Blue")+SUMIFS(Movimientos!$K$1:$K$1368,Movimientos!$C$1:$C$1368,"Go Blue",Movimientos!$B$1:$B$1368,"&lt;="&amp;$B93)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Group")+SUMIFS(Movimientos!$K$1:$K$1368,Movimientos!$C$1:$C$1368,"CFT Group",Movimientos!$B$1:$B$1368,"&lt;="&amp;$B94)</f>
        <v>2468032.08</v>
      </c>
      <c r="D94" s="24">
        <f>SUMIFS('Saldos Iniciales'!$D:$D,'Saldos Iniciales'!$A:$A,"M1B")+SUMIFS(Movimientos!$K$1:$K$1368,Movimientos!$C$1:$C$1368,"M1B",Movimientos!$B$1:$B$1368,"&lt;="&amp;$B94)</f>
        <v>83211.250000000175</v>
      </c>
      <c r="E94" s="24">
        <f>SUMIFS('Saldos Iniciales'!$D:$D,'Saldos Iniciales'!$A:$A,"Durand")+SUMIFS(Movimientos!$K$1:$K$1368,Movimientos!$C$1:$C$1368,"Durand",Movimientos!$B$1:$B$1368,"&lt;="&amp;$B94)</f>
        <v>1669.89</v>
      </c>
      <c r="F94" s="24">
        <f>SUMIFS('Saldos Iniciales'!$D:$D,'Saldos Iniciales'!$A:$A,"A&amp;M Imports")+SUMIFS(Movimientos!$K$1:$K$1368,Movimientos!$C$1:$C$1368,"A&amp;M Imports",Movimientos!$B$1:$B$1368,"&lt;="&amp;$B94)</f>
        <v>1458426.0399999998</v>
      </c>
      <c r="G94" s="24">
        <f>SUMIFS('Saldos Iniciales'!$D:$D,'Saldos Iniciales'!$A:$A,"SSP Capital")+SUMIFS(Movimientos!$K$1:$K$1368,Movimientos!$C$1:$C$1368,"SSP Capital",Movimientos!$B$1:$B$1368,"&lt;="&amp;$B94)</f>
        <v>1514477.1199999996</v>
      </c>
      <c r="H94" s="24">
        <f>SUMIFS('Saldos Iniciales'!$D:$D,'Saldos Iniciales'!$A:$A,"Cross Family Trust")+SUMIFS(Movimientos!$K$1:$K$1368,Movimientos!$C$1:$C$1368,"Cross Family Trust",Movimientos!$B$1:$B$1368,"&lt;="&amp;$B94)</f>
        <v>190496.38</v>
      </c>
      <c r="I94" s="24">
        <f>SUMIFS('Saldos Iniciales'!$D:$D,'Saldos Iniciales'!$A:$A,"Cross Security Trust")+SUMIFS(Movimientos!$K$1:$K$1368,Movimientos!$C$1:$C$1368,"Cross Security Trust",Movimientos!$B$1:$B$1368,"&lt;="&amp;$B94)</f>
        <v>207605.45</v>
      </c>
      <c r="J94" s="24">
        <f>SUMIFS('Saldos Iniciales'!$D:$D,'Saldos Iniciales'!$A:$A,"Electrama")+SUMIFS(Movimientos!$K$1:$K$1368,Movimientos!$C$1:$C$1368,"Electrama",Movimientos!$B$1:$B$1368,"&lt;="&amp;$B94)</f>
        <v>14580.45</v>
      </c>
      <c r="K94" s="24">
        <f>SUMIFS('Saldos Iniciales'!$D:$D,'Saldos Iniciales'!$A:$A,"Sacred Valley Capital")+SUMIFS(Movimientos!$K$1:$K$1368,Movimientos!$C$1:$C$1368,"Sacred Valley Capital",Movimientos!$B$1:$B$1368,"&lt;="&amp;$B94)</f>
        <v>54.400000000000006</v>
      </c>
      <c r="L94" s="24">
        <f>SUMIFS('Saldos Iniciales'!$D:$D,'Saldos Iniciales'!$A:$A,"YWC Capital")+SUMIFS(Movimientos!$K$1:$K$1368,Movimientos!$C$1:$C$1368,"YWC Capital",Movimientos!$B$1:$B$1368,"&lt;="&amp;$B94)</f>
        <v>2207.8200000000002</v>
      </c>
      <c r="M94" s="24">
        <f>SUMIFS('Saldos Iniciales'!$D:$D,'Saldos Iniciales'!$A:$A,"Soweto")+SUMIFS(Movimientos!$K$1:$K$1368,Movimientos!$C$1:$C$1368,"Soweto",Movimientos!$B$1:$B$1368,"&lt;="&amp;$B94)</f>
        <v>1454589.72</v>
      </c>
      <c r="N94" s="24">
        <f>SUMIFS('Saldos Iniciales'!$D:$D,'Saldos Iniciales'!$A:$A,"Green Stone Trust")+SUMIFS(Movimientos!$K$1:$K$1368,Movimientos!$C$1:$C$1368,"Green Stone Trust",Movimientos!$B$1:$B$1368,"&lt;="&amp;$B94)</f>
        <v>1968.99</v>
      </c>
      <c r="O94" s="24">
        <f>SUMIFS('Saldos Iniciales'!$D:$D,'Saldos Iniciales'!$A:$A,"EC Auto")+SUMIFS(Movimientos!$K$1:$K$1368,Movimientos!$C$1:$C$1368,"EC Auto",Movimientos!$B$1:$B$1368,"&lt;="&amp;$B94)</f>
        <v>901.34</v>
      </c>
      <c r="P94" s="24">
        <f>SUMIFS('Saldos Iniciales'!$D:$D,'Saldos Iniciales'!$A:$A,"Arbor Capital Properties")+SUMIFS(Movimientos!$K$1:$K$1368,Movimientos!$C$1:$C$1368,"Arbor Capital Properties",Movimientos!$B$1:$B$1368,"&lt;="&amp;$B94)</f>
        <v>1412.08</v>
      </c>
      <c r="Q94" s="24">
        <f>SUMIFS('Saldos Iniciales'!$D:$D,'Saldos Iniciales'!$A:$A,"2515 Overbrook")+SUMIFS(Movimientos!$K$1:$K$1368,Movimientos!$C$1:$C$1368,"2515 Overbrook",Movimientos!$B$1:$B$1368,"&lt;="&amp;$B94)</f>
        <v>22347.56999999996</v>
      </c>
      <c r="R94" s="24">
        <f>SUMIFS('Saldos Iniciales'!$D:$D,'Saldos Iniciales'!$A:$A,"112 Florida Ave")+SUMIFS(Movimientos!$K$1:$K$1368,Movimientos!$C$1:$C$1368,"112 Florida Ave",Movimientos!$B$1:$B$1368,"&lt;="&amp;$B94)</f>
        <v>18522.800000000003</v>
      </c>
      <c r="S94" s="24">
        <f>SUMIFS('Saldos Iniciales'!$D:$D,'Saldos Iniciales'!$A:$A,"3628 Thomas Ave")+SUMIFS(Movimientos!$K$1:$K$1368,Movimientos!$C$1:$C$1368,"3628 Thomas Ave",Movimientos!$B$1:$B$1368,"&lt;="&amp;$B94)</f>
        <v>28485.559999999998</v>
      </c>
      <c r="T94" s="24">
        <f>SUMIFS('Saldos Iniciales'!$D:$D,'Saldos Iniciales'!$A:$A,"Green Harbor Trust")+SUMIFS(Movimientos!$K$1:$K$1368,Movimientos!$C$1:$C$1368,"Green Harbor Trust",Movimientos!$B$1:$B$1368,"&lt;="&amp;$B94)</f>
        <v>345</v>
      </c>
      <c r="U94" s="24">
        <f>SUMIFS('Saldos Iniciales'!$D:$D,'Saldos Iniciales'!$A:$A,"Go Blue")+SUMIFS(Movimientos!$K$1:$K$1368,Movimientos!$C$1:$C$1368,"Go Blue",Movimientos!$B$1:$B$1368,"&lt;="&amp;$B94)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Group")+SUMIFS(Movimientos!$K$1:$K$1368,Movimientos!$C$1:$C$1368,"CFT Group",Movimientos!$B$1:$B$1368,"&lt;="&amp;$B95)</f>
        <v>2468032.08</v>
      </c>
      <c r="D95" s="24">
        <f>SUMIFS('Saldos Iniciales'!$D:$D,'Saldos Iniciales'!$A:$A,"M1B")+SUMIFS(Movimientos!$K$1:$K$1368,Movimientos!$C$1:$C$1368,"M1B",Movimientos!$B$1:$B$1368,"&lt;="&amp;$B95)</f>
        <v>83211.250000000175</v>
      </c>
      <c r="E95" s="24">
        <f>SUMIFS('Saldos Iniciales'!$D:$D,'Saldos Iniciales'!$A:$A,"Durand")+SUMIFS(Movimientos!$K$1:$K$1368,Movimientos!$C$1:$C$1368,"Durand",Movimientos!$B$1:$B$1368,"&lt;="&amp;$B95)</f>
        <v>1669.89</v>
      </c>
      <c r="F95" s="24">
        <f>SUMIFS('Saldos Iniciales'!$D:$D,'Saldos Iniciales'!$A:$A,"A&amp;M Imports")+SUMIFS(Movimientos!$K$1:$K$1368,Movimientos!$C$1:$C$1368,"A&amp;M Imports",Movimientos!$B$1:$B$1368,"&lt;="&amp;$B95)</f>
        <v>1458426.0399999998</v>
      </c>
      <c r="G95" s="24">
        <f>SUMIFS('Saldos Iniciales'!$D:$D,'Saldos Iniciales'!$A:$A,"SSP Capital")+SUMIFS(Movimientos!$K$1:$K$1368,Movimientos!$C$1:$C$1368,"SSP Capital",Movimientos!$B$1:$B$1368,"&lt;="&amp;$B95)</f>
        <v>1514477.1199999996</v>
      </c>
      <c r="H95" s="24">
        <f>SUMIFS('Saldos Iniciales'!$D:$D,'Saldos Iniciales'!$A:$A,"Cross Family Trust")+SUMIFS(Movimientos!$K$1:$K$1368,Movimientos!$C$1:$C$1368,"Cross Family Trust",Movimientos!$B$1:$B$1368,"&lt;="&amp;$B95)</f>
        <v>190496.38</v>
      </c>
      <c r="I95" s="24">
        <f>SUMIFS('Saldos Iniciales'!$D:$D,'Saldos Iniciales'!$A:$A,"Cross Security Trust")+SUMIFS(Movimientos!$K$1:$K$1368,Movimientos!$C$1:$C$1368,"Cross Security Trust",Movimientos!$B$1:$B$1368,"&lt;="&amp;$B95)</f>
        <v>207605.45</v>
      </c>
      <c r="J95" s="24">
        <f>SUMIFS('Saldos Iniciales'!$D:$D,'Saldos Iniciales'!$A:$A,"Electrama")+SUMIFS(Movimientos!$K$1:$K$1368,Movimientos!$C$1:$C$1368,"Electrama",Movimientos!$B$1:$B$1368,"&lt;="&amp;$B95)</f>
        <v>14580.45</v>
      </c>
      <c r="K95" s="24">
        <f>SUMIFS('Saldos Iniciales'!$D:$D,'Saldos Iniciales'!$A:$A,"Sacred Valley Capital")+SUMIFS(Movimientos!$K$1:$K$1368,Movimientos!$C$1:$C$1368,"Sacred Valley Capital",Movimientos!$B$1:$B$1368,"&lt;="&amp;$B95)</f>
        <v>54.400000000000006</v>
      </c>
      <c r="L95" s="24">
        <f>SUMIFS('Saldos Iniciales'!$D:$D,'Saldos Iniciales'!$A:$A,"YWC Capital")+SUMIFS(Movimientos!$K$1:$K$1368,Movimientos!$C$1:$C$1368,"YWC Capital",Movimientos!$B$1:$B$1368,"&lt;="&amp;$B95)</f>
        <v>2207.8200000000002</v>
      </c>
      <c r="M95" s="24">
        <f>SUMIFS('Saldos Iniciales'!$D:$D,'Saldos Iniciales'!$A:$A,"Soweto")+SUMIFS(Movimientos!$K$1:$K$1368,Movimientos!$C$1:$C$1368,"Soweto",Movimientos!$B$1:$B$1368,"&lt;="&amp;$B95)</f>
        <v>1454589.72</v>
      </c>
      <c r="N95" s="24">
        <f>SUMIFS('Saldos Iniciales'!$D:$D,'Saldos Iniciales'!$A:$A,"Green Stone Trust")+SUMIFS(Movimientos!$K$1:$K$1368,Movimientos!$C$1:$C$1368,"Green Stone Trust",Movimientos!$B$1:$B$1368,"&lt;="&amp;$B95)</f>
        <v>1968.99</v>
      </c>
      <c r="O95" s="24">
        <f>SUMIFS('Saldos Iniciales'!$D:$D,'Saldos Iniciales'!$A:$A,"EC Auto")+SUMIFS(Movimientos!$K$1:$K$1368,Movimientos!$C$1:$C$1368,"EC Auto",Movimientos!$B$1:$B$1368,"&lt;="&amp;$B95)</f>
        <v>901.34</v>
      </c>
      <c r="P95" s="24">
        <f>SUMIFS('Saldos Iniciales'!$D:$D,'Saldos Iniciales'!$A:$A,"Arbor Capital Properties")+SUMIFS(Movimientos!$K$1:$K$1368,Movimientos!$C$1:$C$1368,"Arbor Capital Properties",Movimientos!$B$1:$B$1368,"&lt;="&amp;$B95)</f>
        <v>1412.08</v>
      </c>
      <c r="Q95" s="24">
        <f>SUMIFS('Saldos Iniciales'!$D:$D,'Saldos Iniciales'!$A:$A,"2515 Overbrook")+SUMIFS(Movimientos!$K$1:$K$1368,Movimientos!$C$1:$C$1368,"2515 Overbrook",Movimientos!$B$1:$B$1368,"&lt;="&amp;$B95)</f>
        <v>22347.56999999996</v>
      </c>
      <c r="R95" s="24">
        <f>SUMIFS('Saldos Iniciales'!$D:$D,'Saldos Iniciales'!$A:$A,"112 Florida Ave")+SUMIFS(Movimientos!$K$1:$K$1368,Movimientos!$C$1:$C$1368,"112 Florida Ave",Movimientos!$B$1:$B$1368,"&lt;="&amp;$B95)</f>
        <v>18522.800000000003</v>
      </c>
      <c r="S95" s="24">
        <f>SUMIFS('Saldos Iniciales'!$D:$D,'Saldos Iniciales'!$A:$A,"3628 Thomas Ave")+SUMIFS(Movimientos!$K$1:$K$1368,Movimientos!$C$1:$C$1368,"3628 Thomas Ave",Movimientos!$B$1:$B$1368,"&lt;="&amp;$B95)</f>
        <v>28485.559999999998</v>
      </c>
      <c r="T95" s="24">
        <f>SUMIFS('Saldos Iniciales'!$D:$D,'Saldos Iniciales'!$A:$A,"Green Harbor Trust")+SUMIFS(Movimientos!$K$1:$K$1368,Movimientos!$C$1:$C$1368,"Green Harbor Trust",Movimientos!$B$1:$B$1368,"&lt;="&amp;$B95)</f>
        <v>345</v>
      </c>
      <c r="U95" s="24">
        <f>SUMIFS('Saldos Iniciales'!$D:$D,'Saldos Iniciales'!$A:$A,"Go Blue")+SUMIFS(Movimientos!$K$1:$K$1368,Movimientos!$C$1:$C$1368,"Go Blue",Movimientos!$B$1:$B$1368,"&lt;="&amp;$B95)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Group")+SUMIFS(Movimientos!$K$1:$K$1368,Movimientos!$C$1:$C$1368,"CFT Group",Movimientos!$B$1:$B$1368,"&lt;="&amp;$B96)</f>
        <v>2468032.08</v>
      </c>
      <c r="D96" s="24">
        <f>SUMIFS('Saldos Iniciales'!$D:$D,'Saldos Iniciales'!$A:$A,"M1B")+SUMIFS(Movimientos!$K$1:$K$1368,Movimientos!$C$1:$C$1368,"M1B",Movimientos!$B$1:$B$1368,"&lt;="&amp;$B96)</f>
        <v>83211.250000000175</v>
      </c>
      <c r="E96" s="24">
        <f>SUMIFS('Saldos Iniciales'!$D:$D,'Saldos Iniciales'!$A:$A,"Durand")+SUMIFS(Movimientos!$K$1:$K$1368,Movimientos!$C$1:$C$1368,"Durand",Movimientos!$B$1:$B$1368,"&lt;="&amp;$B96)</f>
        <v>1669.89</v>
      </c>
      <c r="F96" s="24">
        <f>SUMIFS('Saldos Iniciales'!$D:$D,'Saldos Iniciales'!$A:$A,"A&amp;M Imports")+SUMIFS(Movimientos!$K$1:$K$1368,Movimientos!$C$1:$C$1368,"A&amp;M Imports",Movimientos!$B$1:$B$1368,"&lt;="&amp;$B96)</f>
        <v>1458426.0399999998</v>
      </c>
      <c r="G96" s="24">
        <f>SUMIFS('Saldos Iniciales'!$D:$D,'Saldos Iniciales'!$A:$A,"SSP Capital")+SUMIFS(Movimientos!$K$1:$K$1368,Movimientos!$C$1:$C$1368,"SSP Capital",Movimientos!$B$1:$B$1368,"&lt;="&amp;$B96)</f>
        <v>1514477.1199999996</v>
      </c>
      <c r="H96" s="24">
        <f>SUMIFS('Saldos Iniciales'!$D:$D,'Saldos Iniciales'!$A:$A,"Cross Family Trust")+SUMIFS(Movimientos!$K$1:$K$1368,Movimientos!$C$1:$C$1368,"Cross Family Trust",Movimientos!$B$1:$B$1368,"&lt;="&amp;$B96)</f>
        <v>190496.38</v>
      </c>
      <c r="I96" s="24">
        <f>SUMIFS('Saldos Iniciales'!$D:$D,'Saldos Iniciales'!$A:$A,"Cross Security Trust")+SUMIFS(Movimientos!$K$1:$K$1368,Movimientos!$C$1:$C$1368,"Cross Security Trust",Movimientos!$B$1:$B$1368,"&lt;="&amp;$B96)</f>
        <v>207605.45</v>
      </c>
      <c r="J96" s="24">
        <f>SUMIFS('Saldos Iniciales'!$D:$D,'Saldos Iniciales'!$A:$A,"Electrama")+SUMIFS(Movimientos!$K$1:$K$1368,Movimientos!$C$1:$C$1368,"Electrama",Movimientos!$B$1:$B$1368,"&lt;="&amp;$B96)</f>
        <v>14580.45</v>
      </c>
      <c r="K96" s="24">
        <f>SUMIFS('Saldos Iniciales'!$D:$D,'Saldos Iniciales'!$A:$A,"Sacred Valley Capital")+SUMIFS(Movimientos!$K$1:$K$1368,Movimientos!$C$1:$C$1368,"Sacred Valley Capital",Movimientos!$B$1:$B$1368,"&lt;="&amp;$B96)</f>
        <v>24.450000000000003</v>
      </c>
      <c r="L96" s="24">
        <f>SUMIFS('Saldos Iniciales'!$D:$D,'Saldos Iniciales'!$A:$A,"YWC Capital")+SUMIFS(Movimientos!$K$1:$K$1368,Movimientos!$C$1:$C$1368,"YWC Capital",Movimientos!$B$1:$B$1368,"&lt;="&amp;$B96)</f>
        <v>2177.87</v>
      </c>
      <c r="M96" s="24">
        <f>SUMIFS('Saldos Iniciales'!$D:$D,'Saldos Iniciales'!$A:$A,"Soweto")+SUMIFS(Movimientos!$K$1:$K$1368,Movimientos!$C$1:$C$1368,"Soweto",Movimientos!$B$1:$B$1368,"&lt;="&amp;$B96)</f>
        <v>1454589.72</v>
      </c>
      <c r="N96" s="24">
        <f>SUMIFS('Saldos Iniciales'!$D:$D,'Saldos Iniciales'!$A:$A,"Green Stone Trust")+SUMIFS(Movimientos!$K$1:$K$1368,Movimientos!$C$1:$C$1368,"Green Stone Trust",Movimientos!$B$1:$B$1368,"&lt;="&amp;$B96)</f>
        <v>1968.99</v>
      </c>
      <c r="O96" s="24">
        <f>SUMIFS('Saldos Iniciales'!$D:$D,'Saldos Iniciales'!$A:$A,"EC Auto")+SUMIFS(Movimientos!$K$1:$K$1368,Movimientos!$C$1:$C$1368,"EC Auto",Movimientos!$B$1:$B$1368,"&lt;="&amp;$B96)</f>
        <v>901.34</v>
      </c>
      <c r="P96" s="24">
        <f>SUMIFS('Saldos Iniciales'!$D:$D,'Saldos Iniciales'!$A:$A,"Arbor Capital Properties")+SUMIFS(Movimientos!$K$1:$K$1368,Movimientos!$C$1:$C$1368,"Arbor Capital Properties",Movimientos!$B$1:$B$1368,"&lt;="&amp;$B96)</f>
        <v>1396.08</v>
      </c>
      <c r="Q96" s="24">
        <f>SUMIFS('Saldos Iniciales'!$D:$D,'Saldos Iniciales'!$A:$A,"2515 Overbrook")+SUMIFS(Movimientos!$K$1:$K$1368,Movimientos!$C$1:$C$1368,"2515 Overbrook",Movimientos!$B$1:$B$1368,"&lt;="&amp;$B96)</f>
        <v>13804.239999999962</v>
      </c>
      <c r="R96" s="24">
        <f>SUMIFS('Saldos Iniciales'!$D:$D,'Saldos Iniciales'!$A:$A,"112 Florida Ave")+SUMIFS(Movimientos!$K$1:$K$1368,Movimientos!$C$1:$C$1368,"112 Florida Ave",Movimientos!$B$1:$B$1368,"&lt;="&amp;$B96)</f>
        <v>8724.1700000000037</v>
      </c>
      <c r="S96" s="24">
        <f>SUMIFS('Saldos Iniciales'!$D:$D,'Saldos Iniciales'!$A:$A,"3628 Thomas Ave")+SUMIFS(Movimientos!$K$1:$K$1368,Movimientos!$C$1:$C$1368,"3628 Thomas Ave",Movimientos!$B$1:$B$1368,"&lt;="&amp;$B96)</f>
        <v>15106.099999999997</v>
      </c>
      <c r="T96" s="24">
        <f>SUMIFS('Saldos Iniciales'!$D:$D,'Saldos Iniciales'!$A:$A,"Green Harbor Trust")+SUMIFS(Movimientos!$K$1:$K$1368,Movimientos!$C$1:$C$1368,"Green Harbor Trust",Movimientos!$B$1:$B$1368,"&lt;="&amp;$B96)</f>
        <v>345</v>
      </c>
      <c r="U96" s="24">
        <f>SUMIFS('Saldos Iniciales'!$D:$D,'Saldos Iniciales'!$A:$A,"Go Blue")+SUMIFS(Movimientos!$K$1:$K$1368,Movimientos!$C$1:$C$1368,"Go Blue",Movimientos!$B$1:$B$1368,"&lt;="&amp;$B96)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Group")+SUMIFS(Movimientos!$K$1:$K$1368,Movimientos!$C$1:$C$1368,"CFT Group",Movimientos!$B$1:$B$1368,"&lt;="&amp;$B97)</f>
        <v>2468032.08</v>
      </c>
      <c r="D97" s="24">
        <f>SUMIFS('Saldos Iniciales'!$D:$D,'Saldos Iniciales'!$A:$A,"M1B")+SUMIFS(Movimientos!$K$1:$K$1368,Movimientos!$C$1:$C$1368,"M1B",Movimientos!$B$1:$B$1368,"&lt;="&amp;$B97)</f>
        <v>83211.250000000175</v>
      </c>
      <c r="E97" s="24">
        <f>SUMIFS('Saldos Iniciales'!$D:$D,'Saldos Iniciales'!$A:$A,"Durand")+SUMIFS(Movimientos!$K$1:$K$1368,Movimientos!$C$1:$C$1368,"Durand",Movimientos!$B$1:$B$1368,"&lt;="&amp;$B97)</f>
        <v>1669.89</v>
      </c>
      <c r="F97" s="24">
        <f>SUMIFS('Saldos Iniciales'!$D:$D,'Saldos Iniciales'!$A:$A,"A&amp;M Imports")+SUMIFS(Movimientos!$K$1:$K$1368,Movimientos!$C$1:$C$1368,"A&amp;M Imports",Movimientos!$B$1:$B$1368,"&lt;="&amp;$B97)</f>
        <v>1458426.0399999998</v>
      </c>
      <c r="G97" s="24">
        <f>SUMIFS('Saldos Iniciales'!$D:$D,'Saldos Iniciales'!$A:$A,"SSP Capital")+SUMIFS(Movimientos!$K$1:$K$1368,Movimientos!$C$1:$C$1368,"SSP Capital",Movimientos!$B$1:$B$1368,"&lt;="&amp;$B97)</f>
        <v>1513867.4199999995</v>
      </c>
      <c r="H97" s="24">
        <f>SUMIFS('Saldos Iniciales'!$D:$D,'Saldos Iniciales'!$A:$A,"Cross Family Trust")+SUMIFS(Movimientos!$K$1:$K$1368,Movimientos!$C$1:$C$1368,"Cross Family Trust",Movimientos!$B$1:$B$1368,"&lt;="&amp;$B97)</f>
        <v>184496.38</v>
      </c>
      <c r="I97" s="24">
        <f>SUMIFS('Saldos Iniciales'!$D:$D,'Saldos Iniciales'!$A:$A,"Cross Security Trust")+SUMIFS(Movimientos!$K$1:$K$1368,Movimientos!$C$1:$C$1368,"Cross Security Trust",Movimientos!$B$1:$B$1368,"&lt;="&amp;$B97)</f>
        <v>207605.45</v>
      </c>
      <c r="J97" s="24">
        <f>SUMIFS('Saldos Iniciales'!$D:$D,'Saldos Iniciales'!$A:$A,"Electrama")+SUMIFS(Movimientos!$K$1:$K$1368,Movimientos!$C$1:$C$1368,"Electrama",Movimientos!$B$1:$B$1368,"&lt;="&amp;$B97)</f>
        <v>14580.45</v>
      </c>
      <c r="K97" s="24">
        <f>SUMIFS('Saldos Iniciales'!$D:$D,'Saldos Iniciales'!$A:$A,"Sacred Valley Capital")+SUMIFS(Movimientos!$K$1:$K$1368,Movimientos!$C$1:$C$1368,"Sacred Valley Capital",Movimientos!$B$1:$B$1368,"&lt;="&amp;$B97)</f>
        <v>24.450000000000003</v>
      </c>
      <c r="L97" s="24">
        <f>SUMIFS('Saldos Iniciales'!$D:$D,'Saldos Iniciales'!$A:$A,"YWC Capital")+SUMIFS(Movimientos!$K$1:$K$1368,Movimientos!$C$1:$C$1368,"YWC Capital",Movimientos!$B$1:$B$1368,"&lt;="&amp;$B97)</f>
        <v>2177.87</v>
      </c>
      <c r="M97" s="24">
        <f>SUMIFS('Saldos Iniciales'!$D:$D,'Saldos Iniciales'!$A:$A,"Soweto")+SUMIFS(Movimientos!$K$1:$K$1368,Movimientos!$C$1:$C$1368,"Soweto",Movimientos!$B$1:$B$1368,"&lt;="&amp;$B97)</f>
        <v>1454589.72</v>
      </c>
      <c r="N97" s="24">
        <f>SUMIFS('Saldos Iniciales'!$D:$D,'Saldos Iniciales'!$A:$A,"Green Stone Trust")+SUMIFS(Movimientos!$K$1:$K$1368,Movimientos!$C$1:$C$1368,"Green Stone Trust",Movimientos!$B$1:$B$1368,"&lt;="&amp;$B97)</f>
        <v>1968.99</v>
      </c>
      <c r="O97" s="24">
        <f>SUMIFS('Saldos Iniciales'!$D:$D,'Saldos Iniciales'!$A:$A,"EC Auto")+SUMIFS(Movimientos!$K$1:$K$1368,Movimientos!$C$1:$C$1368,"EC Auto",Movimientos!$B$1:$B$1368,"&lt;="&amp;$B97)</f>
        <v>901.34</v>
      </c>
      <c r="P97" s="24">
        <f>SUMIFS('Saldos Iniciales'!$D:$D,'Saldos Iniciales'!$A:$A,"Arbor Capital Properties")+SUMIFS(Movimientos!$K$1:$K$1368,Movimientos!$C$1:$C$1368,"Arbor Capital Properties",Movimientos!$B$1:$B$1368,"&lt;="&amp;$B97)</f>
        <v>1396.08</v>
      </c>
      <c r="Q97" s="24">
        <f>SUMIFS('Saldos Iniciales'!$D:$D,'Saldos Iniciales'!$A:$A,"2515 Overbrook")+SUMIFS(Movimientos!$K$1:$K$1368,Movimientos!$C$1:$C$1368,"2515 Overbrook",Movimientos!$B$1:$B$1368,"&lt;="&amp;$B97)</f>
        <v>13804.239999999962</v>
      </c>
      <c r="R97" s="24">
        <f>SUMIFS('Saldos Iniciales'!$D:$D,'Saldos Iniciales'!$A:$A,"112 Florida Ave")+SUMIFS(Movimientos!$K$1:$K$1368,Movimientos!$C$1:$C$1368,"112 Florida Ave",Movimientos!$B$1:$B$1368,"&lt;="&amp;$B97)</f>
        <v>8724.1700000000037</v>
      </c>
      <c r="S97" s="24">
        <f>SUMIFS('Saldos Iniciales'!$D:$D,'Saldos Iniciales'!$A:$A,"3628 Thomas Ave")+SUMIFS(Movimientos!$K$1:$K$1368,Movimientos!$C$1:$C$1368,"3628 Thomas Ave",Movimientos!$B$1:$B$1368,"&lt;="&amp;$B97)</f>
        <v>15106.099999999997</v>
      </c>
      <c r="T97" s="24">
        <f>SUMIFS('Saldos Iniciales'!$D:$D,'Saldos Iniciales'!$A:$A,"Green Harbor Trust")+SUMIFS(Movimientos!$K$1:$K$1368,Movimientos!$C$1:$C$1368,"Green Harbor Trust",Movimientos!$B$1:$B$1368,"&lt;="&amp;$B97)</f>
        <v>345</v>
      </c>
      <c r="U97" s="24">
        <f>SUMIFS('Saldos Iniciales'!$D:$D,'Saldos Iniciales'!$A:$A,"Go Blue")+SUMIFS(Movimientos!$K$1:$K$1368,Movimientos!$C$1:$C$1368,"Go Blue",Movimientos!$B$1:$B$1368,"&lt;="&amp;$B97)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Group")+SUMIFS(Movimientos!$K$1:$K$1368,Movimientos!$C$1:$C$1368,"CFT Group",Movimientos!$B$1:$B$1368,"&lt;="&amp;$B98)</f>
        <v>2468032.08</v>
      </c>
      <c r="D98" s="24">
        <f>SUMIFS('Saldos Iniciales'!$D:$D,'Saldos Iniciales'!$A:$A,"M1B")+SUMIFS(Movimientos!$K$1:$K$1368,Movimientos!$C$1:$C$1368,"M1B",Movimientos!$B$1:$B$1368,"&lt;="&amp;$B98)</f>
        <v>83211.250000000175</v>
      </c>
      <c r="E98" s="24">
        <f>SUMIFS('Saldos Iniciales'!$D:$D,'Saldos Iniciales'!$A:$A,"Durand")+SUMIFS(Movimientos!$K$1:$K$1368,Movimientos!$C$1:$C$1368,"Durand",Movimientos!$B$1:$B$1368,"&lt;="&amp;$B98)</f>
        <v>1669.89</v>
      </c>
      <c r="F98" s="24">
        <f>SUMIFS('Saldos Iniciales'!$D:$D,'Saldos Iniciales'!$A:$A,"A&amp;M Imports")+SUMIFS(Movimientos!$K$1:$K$1368,Movimientos!$C$1:$C$1368,"A&amp;M Imports",Movimientos!$B$1:$B$1368,"&lt;="&amp;$B98)</f>
        <v>1452426.0399999998</v>
      </c>
      <c r="G98" s="24">
        <f>SUMIFS('Saldos Iniciales'!$D:$D,'Saldos Iniciales'!$A:$A,"SSP Capital")+SUMIFS(Movimientos!$K$1:$K$1368,Movimientos!$C$1:$C$1368,"SSP Capital",Movimientos!$B$1:$B$1368,"&lt;="&amp;$B98)</f>
        <v>1512187.6399999997</v>
      </c>
      <c r="H98" s="24">
        <f>SUMIFS('Saldos Iniciales'!$D:$D,'Saldos Iniciales'!$A:$A,"Cross Family Trust")+SUMIFS(Movimientos!$K$1:$K$1368,Movimientos!$C$1:$C$1368,"Cross Family Trust",Movimientos!$B$1:$B$1368,"&lt;="&amp;$B98)</f>
        <v>184496.38</v>
      </c>
      <c r="I98" s="24">
        <f>SUMIFS('Saldos Iniciales'!$D:$D,'Saldos Iniciales'!$A:$A,"Cross Security Trust")+SUMIFS(Movimientos!$K$1:$K$1368,Movimientos!$C$1:$C$1368,"Cross Security Trust",Movimientos!$B$1:$B$1368,"&lt;="&amp;$B98)</f>
        <v>207605.45</v>
      </c>
      <c r="J98" s="24">
        <f>SUMIFS('Saldos Iniciales'!$D:$D,'Saldos Iniciales'!$A:$A,"Electrama")+SUMIFS(Movimientos!$K$1:$K$1368,Movimientos!$C$1:$C$1368,"Electrama",Movimientos!$B$1:$B$1368,"&lt;="&amp;$B98)</f>
        <v>14540.45</v>
      </c>
      <c r="K98" s="24">
        <f>SUMIFS('Saldos Iniciales'!$D:$D,'Saldos Iniciales'!$A:$A,"Sacred Valley Capital")+SUMIFS(Movimientos!$K$1:$K$1368,Movimientos!$C$1:$C$1368,"Sacred Valley Capital",Movimientos!$B$1:$B$1368,"&lt;="&amp;$B98)</f>
        <v>24.450000000000003</v>
      </c>
      <c r="L98" s="24">
        <f>SUMIFS('Saldos Iniciales'!$D:$D,'Saldos Iniciales'!$A:$A,"YWC Capital")+SUMIFS(Movimientos!$K$1:$K$1368,Movimientos!$C$1:$C$1368,"YWC Capital",Movimientos!$B$1:$B$1368,"&lt;="&amp;$B98)</f>
        <v>2177.87</v>
      </c>
      <c r="M98" s="24">
        <f>SUMIFS('Saldos Iniciales'!$D:$D,'Saldos Iniciales'!$A:$A,"Soweto")+SUMIFS(Movimientos!$K$1:$K$1368,Movimientos!$C$1:$C$1368,"Soweto",Movimientos!$B$1:$B$1368,"&lt;="&amp;$B98)</f>
        <v>1454589.72</v>
      </c>
      <c r="N98" s="24">
        <f>SUMIFS('Saldos Iniciales'!$D:$D,'Saldos Iniciales'!$A:$A,"Green Stone Trust")+SUMIFS(Movimientos!$K$1:$K$1368,Movimientos!$C$1:$C$1368,"Green Stone Trust",Movimientos!$B$1:$B$1368,"&lt;="&amp;$B98)</f>
        <v>1968.99</v>
      </c>
      <c r="O98" s="24">
        <f>SUMIFS('Saldos Iniciales'!$D:$D,'Saldos Iniciales'!$A:$A,"EC Auto")+SUMIFS(Movimientos!$K$1:$K$1368,Movimientos!$C$1:$C$1368,"EC Auto",Movimientos!$B$1:$B$1368,"&lt;="&amp;$B98)</f>
        <v>901.34</v>
      </c>
      <c r="P98" s="24">
        <f>SUMIFS('Saldos Iniciales'!$D:$D,'Saldos Iniciales'!$A:$A,"Arbor Capital Properties")+SUMIFS(Movimientos!$K$1:$K$1368,Movimientos!$C$1:$C$1368,"Arbor Capital Properties",Movimientos!$B$1:$B$1368,"&lt;="&amp;$B98)</f>
        <v>1396.08</v>
      </c>
      <c r="Q98" s="24">
        <f>SUMIFS('Saldos Iniciales'!$D:$D,'Saldos Iniciales'!$A:$A,"2515 Overbrook")+SUMIFS(Movimientos!$K$1:$K$1368,Movimientos!$C$1:$C$1368,"2515 Overbrook",Movimientos!$B$1:$B$1368,"&lt;="&amp;$B98)</f>
        <v>13804.239999999962</v>
      </c>
      <c r="R98" s="24">
        <f>SUMIFS('Saldos Iniciales'!$D:$D,'Saldos Iniciales'!$A:$A,"112 Florida Ave")+SUMIFS(Movimientos!$K$1:$K$1368,Movimientos!$C$1:$C$1368,"112 Florida Ave",Movimientos!$B$1:$B$1368,"&lt;="&amp;$B98)</f>
        <v>8724.1700000000037</v>
      </c>
      <c r="S98" s="24">
        <f>SUMIFS('Saldos Iniciales'!$D:$D,'Saldos Iniciales'!$A:$A,"3628 Thomas Ave")+SUMIFS(Movimientos!$K$1:$K$1368,Movimientos!$C$1:$C$1368,"3628 Thomas Ave",Movimientos!$B$1:$B$1368,"&lt;="&amp;$B98)</f>
        <v>15106.099999999997</v>
      </c>
      <c r="T98" s="24">
        <f>SUMIFS('Saldos Iniciales'!$D:$D,'Saldos Iniciales'!$A:$A,"Green Harbor Trust")+SUMIFS(Movimientos!$K$1:$K$1368,Movimientos!$C$1:$C$1368,"Green Harbor Trust",Movimientos!$B$1:$B$1368,"&lt;="&amp;$B98)</f>
        <v>345</v>
      </c>
      <c r="U98" s="24">
        <f>SUMIFS('Saldos Iniciales'!$D:$D,'Saldos Iniciales'!$A:$A,"Go Blue")+SUMIFS(Movimientos!$K$1:$K$1368,Movimientos!$C$1:$C$1368,"Go Blue",Movimientos!$B$1:$B$1368,"&lt;="&amp;$B98)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Group")+SUMIFS(Movimientos!$K$1:$K$1368,Movimientos!$C$1:$C$1368,"CFT Group",Movimientos!$B$1:$B$1368,"&lt;="&amp;$B99)</f>
        <v>1153390.4100000001</v>
      </c>
      <c r="D99" s="24">
        <f>SUMIFS('Saldos Iniciales'!$D:$D,'Saldos Iniciales'!$A:$A,"M1B")+SUMIFS(Movimientos!$K$1:$K$1368,Movimientos!$C$1:$C$1368,"M1B",Movimientos!$B$1:$B$1368,"&lt;="&amp;$B99)</f>
        <v>83211.250000000175</v>
      </c>
      <c r="E99" s="24">
        <f>SUMIFS('Saldos Iniciales'!$D:$D,'Saldos Iniciales'!$A:$A,"Durand")+SUMIFS(Movimientos!$K$1:$K$1368,Movimientos!$C$1:$C$1368,"Durand",Movimientos!$B$1:$B$1368,"&lt;="&amp;$B99)</f>
        <v>1669.89</v>
      </c>
      <c r="F99" s="24">
        <f>SUMIFS('Saldos Iniciales'!$D:$D,'Saldos Iniciales'!$A:$A,"A&amp;M Imports")+SUMIFS(Movimientos!$K$1:$K$1368,Movimientos!$C$1:$C$1368,"A&amp;M Imports",Movimientos!$B$1:$B$1368,"&lt;="&amp;$B99)</f>
        <v>1349451.94</v>
      </c>
      <c r="G99" s="24">
        <f>SUMIFS('Saldos Iniciales'!$D:$D,'Saldos Iniciales'!$A:$A,"SSP Capital")+SUMIFS(Movimientos!$K$1:$K$1368,Movimientos!$C$1:$C$1368,"SSP Capital",Movimientos!$B$1:$B$1368,"&lt;="&amp;$B99)</f>
        <v>2102073.7899999996</v>
      </c>
      <c r="H99" s="24">
        <f>SUMIFS('Saldos Iniciales'!$D:$D,'Saldos Iniciales'!$A:$A,"Cross Family Trust")+SUMIFS(Movimientos!$K$1:$K$1368,Movimientos!$C$1:$C$1368,"Cross Family Trust",Movimientos!$B$1:$B$1368,"&lt;="&amp;$B99)</f>
        <v>171496.38</v>
      </c>
      <c r="I99" s="24">
        <f>SUMIFS('Saldos Iniciales'!$D:$D,'Saldos Iniciales'!$A:$A,"Cross Security Trust")+SUMIFS(Movimientos!$K$1:$K$1368,Movimientos!$C$1:$C$1368,"Cross Security Trust",Movimientos!$B$1:$B$1368,"&lt;="&amp;$B99)</f>
        <v>207582.47</v>
      </c>
      <c r="J99" s="24">
        <f>SUMIFS('Saldos Iniciales'!$D:$D,'Saldos Iniciales'!$A:$A,"Electrama")+SUMIFS(Movimientos!$K$1:$K$1368,Movimientos!$C$1:$C$1368,"Electrama",Movimientos!$B$1:$B$1368,"&lt;="&amp;$B99)</f>
        <v>13270.02</v>
      </c>
      <c r="K99" s="24">
        <f>SUMIFS('Saldos Iniciales'!$D:$D,'Saldos Iniciales'!$A:$A,"Sacred Valley Capital")+SUMIFS(Movimientos!$K$1:$K$1368,Movimientos!$C$1:$C$1368,"Sacred Valley Capital",Movimientos!$B$1:$B$1368,"&lt;="&amp;$B99)</f>
        <v>24.450000000000003</v>
      </c>
      <c r="L99" s="24">
        <f>SUMIFS('Saldos Iniciales'!$D:$D,'Saldos Iniciales'!$A:$A,"YWC Capital")+SUMIFS(Movimientos!$K$1:$K$1368,Movimientos!$C$1:$C$1368,"YWC Capital",Movimientos!$B$1:$B$1368,"&lt;="&amp;$B99)</f>
        <v>2177.87</v>
      </c>
      <c r="M99" s="24">
        <f>SUMIFS('Saldos Iniciales'!$D:$D,'Saldos Iniciales'!$A:$A,"Soweto")+SUMIFS(Movimientos!$K$1:$K$1368,Movimientos!$C$1:$C$1368,"Soweto",Movimientos!$B$1:$B$1368,"&lt;="&amp;$B99)</f>
        <v>1454589.72</v>
      </c>
      <c r="N99" s="24">
        <f>SUMIFS('Saldos Iniciales'!$D:$D,'Saldos Iniciales'!$A:$A,"Green Stone Trust")+SUMIFS(Movimientos!$K$1:$K$1368,Movimientos!$C$1:$C$1368,"Green Stone Trust",Movimientos!$B$1:$B$1368,"&lt;="&amp;$B99)</f>
        <v>1968.99</v>
      </c>
      <c r="O99" s="24">
        <f>SUMIFS('Saldos Iniciales'!$D:$D,'Saldos Iniciales'!$A:$A,"EC Auto")+SUMIFS(Movimientos!$K$1:$K$1368,Movimientos!$C$1:$C$1368,"EC Auto",Movimientos!$B$1:$B$1368,"&lt;="&amp;$B99)</f>
        <v>901.34</v>
      </c>
      <c r="P99" s="24">
        <f>SUMIFS('Saldos Iniciales'!$D:$D,'Saldos Iniciales'!$A:$A,"Arbor Capital Properties")+SUMIFS(Movimientos!$K$1:$K$1368,Movimientos!$C$1:$C$1368,"Arbor Capital Properties",Movimientos!$B$1:$B$1368,"&lt;="&amp;$B99)</f>
        <v>1396.08</v>
      </c>
      <c r="Q99" s="24">
        <f>SUMIFS('Saldos Iniciales'!$D:$D,'Saldos Iniciales'!$A:$A,"2515 Overbrook")+SUMIFS(Movimientos!$K$1:$K$1368,Movimientos!$C$1:$C$1368,"2515 Overbrook",Movimientos!$B$1:$B$1368,"&lt;="&amp;$B99)</f>
        <v>13804.239999999962</v>
      </c>
      <c r="R99" s="24">
        <f>SUMIFS('Saldos Iniciales'!$D:$D,'Saldos Iniciales'!$A:$A,"112 Florida Ave")+SUMIFS(Movimientos!$K$1:$K$1368,Movimientos!$C$1:$C$1368,"112 Florida Ave",Movimientos!$B$1:$B$1368,"&lt;="&amp;$B99)</f>
        <v>8724.1700000000037</v>
      </c>
      <c r="S99" s="24">
        <f>SUMIFS('Saldos Iniciales'!$D:$D,'Saldos Iniciales'!$A:$A,"3628 Thomas Ave")+SUMIFS(Movimientos!$K$1:$K$1368,Movimientos!$C$1:$C$1368,"3628 Thomas Ave",Movimientos!$B$1:$B$1368,"&lt;="&amp;$B99)</f>
        <v>15106.099999999997</v>
      </c>
      <c r="T99" s="24">
        <f>SUMIFS('Saldos Iniciales'!$D:$D,'Saldos Iniciales'!$A:$A,"Green Harbor Trust")+SUMIFS(Movimientos!$K$1:$K$1368,Movimientos!$C$1:$C$1368,"Green Harbor Trust",Movimientos!$B$1:$B$1368,"&lt;="&amp;$B99)</f>
        <v>345</v>
      </c>
      <c r="U99" s="24">
        <f>SUMIFS('Saldos Iniciales'!$D:$D,'Saldos Iniciales'!$A:$A,"Go Blue")+SUMIFS(Movimientos!$K$1:$K$1368,Movimientos!$C$1:$C$1368,"Go Blue",Movimientos!$B$1:$B$1368,"&lt;="&amp;$B99)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Group")+SUMIFS(Movimientos!$K$1:$K$1368,Movimientos!$C$1:$C$1368,"CFT Group",Movimientos!$B$1:$B$1368,"&lt;="&amp;$B100)</f>
        <v>1153390.4100000001</v>
      </c>
      <c r="D100" s="24">
        <f>SUMIFS('Saldos Iniciales'!$D:$D,'Saldos Iniciales'!$A:$A,"M1B")+SUMIFS(Movimientos!$K$1:$K$1368,Movimientos!$C$1:$C$1368,"M1B",Movimientos!$B$1:$B$1368,"&lt;="&amp;$B100)</f>
        <v>83211.250000000175</v>
      </c>
      <c r="E100" s="24">
        <f>SUMIFS('Saldos Iniciales'!$D:$D,'Saldos Iniciales'!$A:$A,"Durand")+SUMIFS(Movimientos!$K$1:$K$1368,Movimientos!$C$1:$C$1368,"Durand",Movimientos!$B$1:$B$1368,"&lt;="&amp;$B100)</f>
        <v>1669.89</v>
      </c>
      <c r="F100" s="24">
        <f>SUMIFS('Saldos Iniciales'!$D:$D,'Saldos Iniciales'!$A:$A,"A&amp;M Imports")+SUMIFS(Movimientos!$K$1:$K$1368,Movimientos!$C$1:$C$1368,"A&amp;M Imports",Movimientos!$B$1:$B$1368,"&lt;="&amp;$B100)</f>
        <v>1349451.94</v>
      </c>
      <c r="G100" s="24">
        <f>SUMIFS('Saldos Iniciales'!$D:$D,'Saldos Iniciales'!$A:$A,"SSP Capital")+SUMIFS(Movimientos!$K$1:$K$1368,Movimientos!$C$1:$C$1368,"SSP Capital",Movimientos!$B$1:$B$1368,"&lt;="&amp;$B100)</f>
        <v>2102073.7899999996</v>
      </c>
      <c r="H100" s="24">
        <f>SUMIFS('Saldos Iniciales'!$D:$D,'Saldos Iniciales'!$A:$A,"Cross Family Trust")+SUMIFS(Movimientos!$K$1:$K$1368,Movimientos!$C$1:$C$1368,"Cross Family Trust",Movimientos!$B$1:$B$1368,"&lt;="&amp;$B100)</f>
        <v>171496.38</v>
      </c>
      <c r="I100" s="24">
        <f>SUMIFS('Saldos Iniciales'!$D:$D,'Saldos Iniciales'!$A:$A,"Cross Security Trust")+SUMIFS(Movimientos!$K$1:$K$1368,Movimientos!$C$1:$C$1368,"Cross Security Trust",Movimientos!$B$1:$B$1368,"&lt;="&amp;$B100)</f>
        <v>207582.47</v>
      </c>
      <c r="J100" s="24">
        <f>SUMIFS('Saldos Iniciales'!$D:$D,'Saldos Iniciales'!$A:$A,"Electrama")+SUMIFS(Movimientos!$K$1:$K$1368,Movimientos!$C$1:$C$1368,"Electrama",Movimientos!$B$1:$B$1368,"&lt;="&amp;$B100)</f>
        <v>13270.02</v>
      </c>
      <c r="K100" s="24">
        <f>SUMIFS('Saldos Iniciales'!$D:$D,'Saldos Iniciales'!$A:$A,"Sacred Valley Capital")+SUMIFS(Movimientos!$K$1:$K$1368,Movimientos!$C$1:$C$1368,"Sacred Valley Capital",Movimientos!$B$1:$B$1368,"&lt;="&amp;$B100)</f>
        <v>24.450000000000003</v>
      </c>
      <c r="L100" s="24">
        <f>SUMIFS('Saldos Iniciales'!$D:$D,'Saldos Iniciales'!$A:$A,"YWC Capital")+SUMIFS(Movimientos!$K$1:$K$1368,Movimientos!$C$1:$C$1368,"YWC Capital",Movimientos!$B$1:$B$1368,"&lt;="&amp;$B100)</f>
        <v>2177.87</v>
      </c>
      <c r="M100" s="24">
        <f>SUMIFS('Saldos Iniciales'!$D:$D,'Saldos Iniciales'!$A:$A,"Soweto")+SUMIFS(Movimientos!$K$1:$K$1368,Movimientos!$C$1:$C$1368,"Soweto",Movimientos!$B$1:$B$1368,"&lt;="&amp;$B100)</f>
        <v>1454589.72</v>
      </c>
      <c r="N100" s="24">
        <f>SUMIFS('Saldos Iniciales'!$D:$D,'Saldos Iniciales'!$A:$A,"Green Stone Trust")+SUMIFS(Movimientos!$K$1:$K$1368,Movimientos!$C$1:$C$1368,"Green Stone Trust",Movimientos!$B$1:$B$1368,"&lt;="&amp;$B100)</f>
        <v>1968.99</v>
      </c>
      <c r="O100" s="24">
        <f>SUMIFS('Saldos Iniciales'!$D:$D,'Saldos Iniciales'!$A:$A,"EC Auto")+SUMIFS(Movimientos!$K$1:$K$1368,Movimientos!$C$1:$C$1368,"EC Auto",Movimientos!$B$1:$B$1368,"&lt;="&amp;$B100)</f>
        <v>901.34</v>
      </c>
      <c r="P100" s="24">
        <f>SUMIFS('Saldos Iniciales'!$D:$D,'Saldos Iniciales'!$A:$A,"Arbor Capital Properties")+SUMIFS(Movimientos!$K$1:$K$1368,Movimientos!$C$1:$C$1368,"Arbor Capital Properties",Movimientos!$B$1:$B$1368,"&lt;="&amp;$B100)</f>
        <v>1396.08</v>
      </c>
      <c r="Q100" s="24">
        <f>SUMIFS('Saldos Iniciales'!$D:$D,'Saldos Iniciales'!$A:$A,"2515 Overbrook")+SUMIFS(Movimientos!$K$1:$K$1368,Movimientos!$C$1:$C$1368,"2515 Overbrook",Movimientos!$B$1:$B$1368,"&lt;="&amp;$B100)</f>
        <v>11259.639999999961</v>
      </c>
      <c r="R100" s="24">
        <f>SUMIFS('Saldos Iniciales'!$D:$D,'Saldos Iniciales'!$A:$A,"112 Florida Ave")+SUMIFS(Movimientos!$K$1:$K$1368,Movimientos!$C$1:$C$1368,"112 Florida Ave",Movimientos!$B$1:$B$1368,"&lt;="&amp;$B100)</f>
        <v>8724.1700000000037</v>
      </c>
      <c r="S100" s="24">
        <f>SUMIFS('Saldos Iniciales'!$D:$D,'Saldos Iniciales'!$A:$A,"3628 Thomas Ave")+SUMIFS(Movimientos!$K$1:$K$1368,Movimientos!$C$1:$C$1368,"3628 Thomas Ave",Movimientos!$B$1:$B$1368,"&lt;="&amp;$B100)</f>
        <v>20106.099999999999</v>
      </c>
      <c r="T100" s="24">
        <f>SUMIFS('Saldos Iniciales'!$D:$D,'Saldos Iniciales'!$A:$A,"Green Harbor Trust")+SUMIFS(Movimientos!$K$1:$K$1368,Movimientos!$C$1:$C$1368,"Green Harbor Trust",Movimientos!$B$1:$B$1368,"&lt;="&amp;$B100)</f>
        <v>345</v>
      </c>
      <c r="U100" s="24">
        <f>SUMIFS('Saldos Iniciales'!$D:$D,'Saldos Iniciales'!$A:$A,"Go Blue")+SUMIFS(Movimientos!$K$1:$K$1368,Movimientos!$C$1:$C$1368,"Go Blue",Movimientos!$B$1:$B$1368,"&lt;="&amp;$B100)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Group")+SUMIFS(Movimientos!$K$1:$K$1368,Movimientos!$C$1:$C$1368,"CFT Group",Movimientos!$B$1:$B$1368,"&lt;="&amp;$B101)</f>
        <v>1153390.4100000001</v>
      </c>
      <c r="D101" s="24">
        <f>SUMIFS('Saldos Iniciales'!$D:$D,'Saldos Iniciales'!$A:$A,"M1B")+SUMIFS(Movimientos!$K$1:$K$1368,Movimientos!$C$1:$C$1368,"M1B",Movimientos!$B$1:$B$1368,"&lt;="&amp;$B101)</f>
        <v>83211.250000000175</v>
      </c>
      <c r="E101" s="24">
        <f>SUMIFS('Saldos Iniciales'!$D:$D,'Saldos Iniciales'!$A:$A,"Durand")+SUMIFS(Movimientos!$K$1:$K$1368,Movimientos!$C$1:$C$1368,"Durand",Movimientos!$B$1:$B$1368,"&lt;="&amp;$B101)</f>
        <v>1669.89</v>
      </c>
      <c r="F101" s="24">
        <f>SUMIFS('Saldos Iniciales'!$D:$D,'Saldos Iniciales'!$A:$A,"A&amp;M Imports")+SUMIFS(Movimientos!$K$1:$K$1368,Movimientos!$C$1:$C$1368,"A&amp;M Imports",Movimientos!$B$1:$B$1368,"&lt;="&amp;$B101)</f>
        <v>1349451.94</v>
      </c>
      <c r="G101" s="24">
        <f>SUMIFS('Saldos Iniciales'!$D:$D,'Saldos Iniciales'!$A:$A,"SSP Capital")+SUMIFS(Movimientos!$K$1:$K$1368,Movimientos!$C$1:$C$1368,"SSP Capital",Movimientos!$B$1:$B$1368,"&lt;="&amp;$B101)</f>
        <v>2102073.7899999996</v>
      </c>
      <c r="H101" s="24">
        <f>SUMIFS('Saldos Iniciales'!$D:$D,'Saldos Iniciales'!$A:$A,"Cross Family Trust")+SUMIFS(Movimientos!$K$1:$K$1368,Movimientos!$C$1:$C$1368,"Cross Family Trust",Movimientos!$B$1:$B$1368,"&lt;="&amp;$B101)</f>
        <v>171496.38</v>
      </c>
      <c r="I101" s="24">
        <f>SUMIFS('Saldos Iniciales'!$D:$D,'Saldos Iniciales'!$A:$A,"Cross Security Trust")+SUMIFS(Movimientos!$K$1:$K$1368,Movimientos!$C$1:$C$1368,"Cross Security Trust",Movimientos!$B$1:$B$1368,"&lt;="&amp;$B101)</f>
        <v>207582.47</v>
      </c>
      <c r="J101" s="24">
        <f>SUMIFS('Saldos Iniciales'!$D:$D,'Saldos Iniciales'!$A:$A,"Electrama")+SUMIFS(Movimientos!$K$1:$K$1368,Movimientos!$C$1:$C$1368,"Electrama",Movimientos!$B$1:$B$1368,"&lt;="&amp;$B101)</f>
        <v>13270.02</v>
      </c>
      <c r="K101" s="24">
        <f>SUMIFS('Saldos Iniciales'!$D:$D,'Saldos Iniciales'!$A:$A,"Sacred Valley Capital")+SUMIFS(Movimientos!$K$1:$K$1368,Movimientos!$C$1:$C$1368,"Sacred Valley Capital",Movimientos!$B$1:$B$1368,"&lt;="&amp;$B101)</f>
        <v>24.450000000000003</v>
      </c>
      <c r="L101" s="24">
        <f>SUMIFS('Saldos Iniciales'!$D:$D,'Saldos Iniciales'!$A:$A,"YWC Capital")+SUMIFS(Movimientos!$K$1:$K$1368,Movimientos!$C$1:$C$1368,"YWC Capital",Movimientos!$B$1:$B$1368,"&lt;="&amp;$B101)</f>
        <v>2177.87</v>
      </c>
      <c r="M101" s="24">
        <f>SUMIFS('Saldos Iniciales'!$D:$D,'Saldos Iniciales'!$A:$A,"Soweto")+SUMIFS(Movimientos!$K$1:$K$1368,Movimientos!$C$1:$C$1368,"Soweto",Movimientos!$B$1:$B$1368,"&lt;="&amp;$B101)</f>
        <v>1454589.72</v>
      </c>
      <c r="N101" s="24">
        <f>SUMIFS('Saldos Iniciales'!$D:$D,'Saldos Iniciales'!$A:$A,"Green Stone Trust")+SUMIFS(Movimientos!$K$1:$K$1368,Movimientos!$C$1:$C$1368,"Green Stone Trust",Movimientos!$B$1:$B$1368,"&lt;="&amp;$B101)</f>
        <v>1968.99</v>
      </c>
      <c r="O101" s="24">
        <f>SUMIFS('Saldos Iniciales'!$D:$D,'Saldos Iniciales'!$A:$A,"EC Auto")+SUMIFS(Movimientos!$K$1:$K$1368,Movimientos!$C$1:$C$1368,"EC Auto",Movimientos!$B$1:$B$1368,"&lt;="&amp;$B101)</f>
        <v>901.34</v>
      </c>
      <c r="P101" s="24">
        <f>SUMIFS('Saldos Iniciales'!$D:$D,'Saldos Iniciales'!$A:$A,"Arbor Capital Properties")+SUMIFS(Movimientos!$K$1:$K$1368,Movimientos!$C$1:$C$1368,"Arbor Capital Properties",Movimientos!$B$1:$B$1368,"&lt;="&amp;$B101)</f>
        <v>1396.08</v>
      </c>
      <c r="Q101" s="24">
        <f>SUMIFS('Saldos Iniciales'!$D:$D,'Saldos Iniciales'!$A:$A,"2515 Overbrook")+SUMIFS(Movimientos!$K$1:$K$1368,Movimientos!$C$1:$C$1368,"2515 Overbrook",Movimientos!$B$1:$B$1368,"&lt;="&amp;$B101)</f>
        <v>11259.639999999961</v>
      </c>
      <c r="R101" s="24">
        <f>SUMIFS('Saldos Iniciales'!$D:$D,'Saldos Iniciales'!$A:$A,"112 Florida Ave")+SUMIFS(Movimientos!$K$1:$K$1368,Movimientos!$C$1:$C$1368,"112 Florida Ave",Movimientos!$B$1:$B$1368,"&lt;="&amp;$B101)</f>
        <v>8724.1700000000037</v>
      </c>
      <c r="S101" s="24">
        <f>SUMIFS('Saldos Iniciales'!$D:$D,'Saldos Iniciales'!$A:$A,"3628 Thomas Ave")+SUMIFS(Movimientos!$K$1:$K$1368,Movimientos!$C$1:$C$1368,"3628 Thomas Ave",Movimientos!$B$1:$B$1368,"&lt;="&amp;$B101)</f>
        <v>20106.099999999999</v>
      </c>
      <c r="T101" s="24">
        <f>SUMIFS('Saldos Iniciales'!$D:$D,'Saldos Iniciales'!$A:$A,"Green Harbor Trust")+SUMIFS(Movimientos!$K$1:$K$1368,Movimientos!$C$1:$C$1368,"Green Harbor Trust",Movimientos!$B$1:$B$1368,"&lt;="&amp;$B101)</f>
        <v>345</v>
      </c>
      <c r="U101" s="24">
        <f>SUMIFS('Saldos Iniciales'!$D:$D,'Saldos Iniciales'!$A:$A,"Go Blue")+SUMIFS(Movimientos!$K$1:$K$1368,Movimientos!$C$1:$C$1368,"Go Blue",Movimientos!$B$1:$B$1368,"&lt;="&amp;$B101)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Group")+SUMIFS(Movimientos!$K$1:$K$1368,Movimientos!$C$1:$C$1368,"CFT Group",Movimientos!$B$1:$B$1368,"&lt;="&amp;$B102)</f>
        <v>1153390.4100000001</v>
      </c>
      <c r="D102" s="24">
        <f>SUMIFS('Saldos Iniciales'!$D:$D,'Saldos Iniciales'!$A:$A,"M1B")+SUMIFS(Movimientos!$K$1:$K$1368,Movimientos!$C$1:$C$1368,"M1B",Movimientos!$B$1:$B$1368,"&lt;="&amp;$B102)</f>
        <v>83211.250000000175</v>
      </c>
      <c r="E102" s="24">
        <f>SUMIFS('Saldos Iniciales'!$D:$D,'Saldos Iniciales'!$A:$A,"Durand")+SUMIFS(Movimientos!$K$1:$K$1368,Movimientos!$C$1:$C$1368,"Durand",Movimientos!$B$1:$B$1368,"&lt;="&amp;$B102)</f>
        <v>1669.89</v>
      </c>
      <c r="F102" s="24">
        <f>SUMIFS('Saldos Iniciales'!$D:$D,'Saldos Iniciales'!$A:$A,"A&amp;M Imports")+SUMIFS(Movimientos!$K$1:$K$1368,Movimientos!$C$1:$C$1368,"A&amp;M Imports",Movimientos!$B$1:$B$1368,"&lt;="&amp;$B102)</f>
        <v>1349451.94</v>
      </c>
      <c r="G102" s="24">
        <f>SUMIFS('Saldos Iniciales'!$D:$D,'Saldos Iniciales'!$A:$A,"SSP Capital")+SUMIFS(Movimientos!$K$1:$K$1368,Movimientos!$C$1:$C$1368,"SSP Capital",Movimientos!$B$1:$B$1368,"&lt;="&amp;$B102)</f>
        <v>2102073.7899999996</v>
      </c>
      <c r="H102" s="24">
        <f>SUMIFS('Saldos Iniciales'!$D:$D,'Saldos Iniciales'!$A:$A,"Cross Family Trust")+SUMIFS(Movimientos!$K$1:$K$1368,Movimientos!$C$1:$C$1368,"Cross Family Trust",Movimientos!$B$1:$B$1368,"&lt;="&amp;$B102)</f>
        <v>171496.38</v>
      </c>
      <c r="I102" s="24">
        <f>SUMIFS('Saldos Iniciales'!$D:$D,'Saldos Iniciales'!$A:$A,"Cross Security Trust")+SUMIFS(Movimientos!$K$1:$K$1368,Movimientos!$C$1:$C$1368,"Cross Security Trust",Movimientos!$B$1:$B$1368,"&lt;="&amp;$B102)</f>
        <v>207582.47</v>
      </c>
      <c r="J102" s="24">
        <f>SUMIFS('Saldos Iniciales'!$D:$D,'Saldos Iniciales'!$A:$A,"Electrama")+SUMIFS(Movimientos!$K$1:$K$1368,Movimientos!$C$1:$C$1368,"Electrama",Movimientos!$B$1:$B$1368,"&lt;="&amp;$B102)</f>
        <v>13270.02</v>
      </c>
      <c r="K102" s="24">
        <f>SUMIFS('Saldos Iniciales'!$D:$D,'Saldos Iniciales'!$A:$A,"Sacred Valley Capital")+SUMIFS(Movimientos!$K$1:$K$1368,Movimientos!$C$1:$C$1368,"Sacred Valley Capital",Movimientos!$B$1:$B$1368,"&lt;="&amp;$B102)</f>
        <v>24.450000000000003</v>
      </c>
      <c r="L102" s="24">
        <f>SUMIFS('Saldos Iniciales'!$D:$D,'Saldos Iniciales'!$A:$A,"YWC Capital")+SUMIFS(Movimientos!$K$1:$K$1368,Movimientos!$C$1:$C$1368,"YWC Capital",Movimientos!$B$1:$B$1368,"&lt;="&amp;$B102)</f>
        <v>2177.87</v>
      </c>
      <c r="M102" s="24">
        <f>SUMIFS('Saldos Iniciales'!$D:$D,'Saldos Iniciales'!$A:$A,"Soweto")+SUMIFS(Movimientos!$K$1:$K$1368,Movimientos!$C$1:$C$1368,"Soweto",Movimientos!$B$1:$B$1368,"&lt;="&amp;$B102)</f>
        <v>1454589.72</v>
      </c>
      <c r="N102" s="24">
        <f>SUMIFS('Saldos Iniciales'!$D:$D,'Saldos Iniciales'!$A:$A,"Green Stone Trust")+SUMIFS(Movimientos!$K$1:$K$1368,Movimientos!$C$1:$C$1368,"Green Stone Trust",Movimientos!$B$1:$B$1368,"&lt;="&amp;$B102)</f>
        <v>1968.99</v>
      </c>
      <c r="O102" s="24">
        <f>SUMIFS('Saldos Iniciales'!$D:$D,'Saldos Iniciales'!$A:$A,"EC Auto")+SUMIFS(Movimientos!$K$1:$K$1368,Movimientos!$C$1:$C$1368,"EC Auto",Movimientos!$B$1:$B$1368,"&lt;="&amp;$B102)</f>
        <v>901.34</v>
      </c>
      <c r="P102" s="24">
        <f>SUMIFS('Saldos Iniciales'!$D:$D,'Saldos Iniciales'!$A:$A,"Arbor Capital Properties")+SUMIFS(Movimientos!$K$1:$K$1368,Movimientos!$C$1:$C$1368,"Arbor Capital Properties",Movimientos!$B$1:$B$1368,"&lt;="&amp;$B102)</f>
        <v>1396.08</v>
      </c>
      <c r="Q102" s="24">
        <f>SUMIFS('Saldos Iniciales'!$D:$D,'Saldos Iniciales'!$A:$A,"2515 Overbrook")+SUMIFS(Movimientos!$K$1:$K$1368,Movimientos!$C$1:$C$1368,"2515 Overbrook",Movimientos!$B$1:$B$1368,"&lt;="&amp;$B102)</f>
        <v>11259.639999999961</v>
      </c>
      <c r="R102" s="24">
        <f>SUMIFS('Saldos Iniciales'!$D:$D,'Saldos Iniciales'!$A:$A,"112 Florida Ave")+SUMIFS(Movimientos!$K$1:$K$1368,Movimientos!$C$1:$C$1368,"112 Florida Ave",Movimientos!$B$1:$B$1368,"&lt;="&amp;$B102)</f>
        <v>8724.1700000000037</v>
      </c>
      <c r="S102" s="24">
        <f>SUMIFS('Saldos Iniciales'!$D:$D,'Saldos Iniciales'!$A:$A,"3628 Thomas Ave")+SUMIFS(Movimientos!$K$1:$K$1368,Movimientos!$C$1:$C$1368,"3628 Thomas Ave",Movimientos!$B$1:$B$1368,"&lt;="&amp;$B102)</f>
        <v>20106.099999999999</v>
      </c>
      <c r="T102" s="24">
        <f>SUMIFS('Saldos Iniciales'!$D:$D,'Saldos Iniciales'!$A:$A,"Green Harbor Trust")+SUMIFS(Movimientos!$K$1:$K$1368,Movimientos!$C$1:$C$1368,"Green Harbor Trust",Movimientos!$B$1:$B$1368,"&lt;="&amp;$B102)</f>
        <v>345</v>
      </c>
      <c r="U102" s="24">
        <f>SUMIFS('Saldos Iniciales'!$D:$D,'Saldos Iniciales'!$A:$A,"Go Blue")+SUMIFS(Movimientos!$K$1:$K$1368,Movimientos!$C$1:$C$1368,"Go Blue",Movimientos!$B$1:$B$1368,"&lt;="&amp;$B102)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Group")+SUMIFS(Movimientos!$K$1:$K$1368,Movimientos!$C$1:$C$1368,"CFT Group",Movimientos!$B$1:$B$1368,"&lt;="&amp;$B103)</f>
        <v>1260076.9800000002</v>
      </c>
      <c r="D103" s="24">
        <f>SUMIFS('Saldos Iniciales'!$D:$D,'Saldos Iniciales'!$A:$A,"M1B")+SUMIFS(Movimientos!$K$1:$K$1368,Movimientos!$C$1:$C$1368,"M1B",Movimientos!$B$1:$B$1368,"&lt;="&amp;$B103)</f>
        <v>83211.250000000175</v>
      </c>
      <c r="E103" s="24">
        <f>SUMIFS('Saldos Iniciales'!$D:$D,'Saldos Iniciales'!$A:$A,"Durand")+SUMIFS(Movimientos!$K$1:$K$1368,Movimientos!$C$1:$C$1368,"Durand",Movimientos!$B$1:$B$1368,"&lt;="&amp;$B103)</f>
        <v>1669.89</v>
      </c>
      <c r="F103" s="24">
        <f>SUMIFS('Saldos Iniciales'!$D:$D,'Saldos Iniciales'!$A:$A,"A&amp;M Imports")+SUMIFS(Movimientos!$K$1:$K$1368,Movimientos!$C$1:$C$1368,"A&amp;M Imports",Movimientos!$B$1:$B$1368,"&lt;="&amp;$B103)</f>
        <v>1349451.94</v>
      </c>
      <c r="G103" s="24">
        <f>SUMIFS('Saldos Iniciales'!$D:$D,'Saldos Iniciales'!$A:$A,"SSP Capital")+SUMIFS(Movimientos!$K$1:$K$1368,Movimientos!$C$1:$C$1368,"SSP Capital",Movimientos!$B$1:$B$1368,"&lt;="&amp;$B103)</f>
        <v>2098801.8999999994</v>
      </c>
      <c r="H103" s="24">
        <f>SUMIFS('Saldos Iniciales'!$D:$D,'Saldos Iniciales'!$A:$A,"Cross Family Trust")+SUMIFS(Movimientos!$K$1:$K$1368,Movimientos!$C$1:$C$1368,"Cross Family Trust",Movimientos!$B$1:$B$1368,"&lt;="&amp;$B103)</f>
        <v>171496.38</v>
      </c>
      <c r="I103" s="24">
        <f>SUMIFS('Saldos Iniciales'!$D:$D,'Saldos Iniciales'!$A:$A,"Cross Security Trust")+SUMIFS(Movimientos!$K$1:$K$1368,Movimientos!$C$1:$C$1368,"Cross Security Trust",Movimientos!$B$1:$B$1368,"&lt;="&amp;$B103)</f>
        <v>207582.47</v>
      </c>
      <c r="J103" s="24">
        <f>SUMIFS('Saldos Iniciales'!$D:$D,'Saldos Iniciales'!$A:$A,"Electrama")+SUMIFS(Movimientos!$K$1:$K$1368,Movimientos!$C$1:$C$1368,"Electrama",Movimientos!$B$1:$B$1368,"&lt;="&amp;$B103)</f>
        <v>13270.02</v>
      </c>
      <c r="K103" s="24">
        <f>SUMIFS('Saldos Iniciales'!$D:$D,'Saldos Iniciales'!$A:$A,"Sacred Valley Capital")+SUMIFS(Movimientos!$K$1:$K$1368,Movimientos!$C$1:$C$1368,"Sacred Valley Capital",Movimientos!$B$1:$B$1368,"&lt;="&amp;$B103)</f>
        <v>24.450000000000003</v>
      </c>
      <c r="L103" s="24">
        <f>SUMIFS('Saldos Iniciales'!$D:$D,'Saldos Iniciales'!$A:$A,"YWC Capital")+SUMIFS(Movimientos!$K$1:$K$1368,Movimientos!$C$1:$C$1368,"YWC Capital",Movimientos!$B$1:$B$1368,"&lt;="&amp;$B103)</f>
        <v>2177.87</v>
      </c>
      <c r="M103" s="24">
        <f>SUMIFS('Saldos Iniciales'!$D:$D,'Saldos Iniciales'!$A:$A,"Soweto")+SUMIFS(Movimientos!$K$1:$K$1368,Movimientos!$C$1:$C$1368,"Soweto",Movimientos!$B$1:$B$1368,"&lt;="&amp;$B103)</f>
        <v>1454589.72</v>
      </c>
      <c r="N103" s="24">
        <f>SUMIFS('Saldos Iniciales'!$D:$D,'Saldos Iniciales'!$A:$A,"Green Stone Trust")+SUMIFS(Movimientos!$K$1:$K$1368,Movimientos!$C$1:$C$1368,"Green Stone Trust",Movimientos!$B$1:$B$1368,"&lt;="&amp;$B103)</f>
        <v>1968.99</v>
      </c>
      <c r="O103" s="24">
        <f>SUMIFS('Saldos Iniciales'!$D:$D,'Saldos Iniciales'!$A:$A,"EC Auto")+SUMIFS(Movimientos!$K$1:$K$1368,Movimientos!$C$1:$C$1368,"EC Auto",Movimientos!$B$1:$B$1368,"&lt;="&amp;$B103)</f>
        <v>901.34</v>
      </c>
      <c r="P103" s="24">
        <f>SUMIFS('Saldos Iniciales'!$D:$D,'Saldos Iniciales'!$A:$A,"Arbor Capital Properties")+SUMIFS(Movimientos!$K$1:$K$1368,Movimientos!$C$1:$C$1368,"Arbor Capital Properties",Movimientos!$B$1:$B$1368,"&lt;="&amp;$B103)</f>
        <v>1396.08</v>
      </c>
      <c r="Q103" s="24">
        <f>SUMIFS('Saldos Iniciales'!$D:$D,'Saldos Iniciales'!$A:$A,"2515 Overbrook")+SUMIFS(Movimientos!$K$1:$K$1368,Movimientos!$C$1:$C$1368,"2515 Overbrook",Movimientos!$B$1:$B$1368,"&lt;="&amp;$B103)</f>
        <v>3700.7099999999591</v>
      </c>
      <c r="R103" s="24">
        <f>SUMIFS('Saldos Iniciales'!$D:$D,'Saldos Iniciales'!$A:$A,"112 Florida Ave")+SUMIFS(Movimientos!$K$1:$K$1368,Movimientos!$C$1:$C$1368,"112 Florida Ave",Movimientos!$B$1:$B$1368,"&lt;="&amp;$B103)</f>
        <v>8724.1700000000037</v>
      </c>
      <c r="S103" s="24">
        <f>SUMIFS('Saldos Iniciales'!$D:$D,'Saldos Iniciales'!$A:$A,"3628 Thomas Ave")+SUMIFS(Movimientos!$K$1:$K$1368,Movimientos!$C$1:$C$1368,"3628 Thomas Ave",Movimientos!$B$1:$B$1368,"&lt;="&amp;$B103)</f>
        <v>20106.099999999999</v>
      </c>
      <c r="T103" s="24">
        <f>SUMIFS('Saldos Iniciales'!$D:$D,'Saldos Iniciales'!$A:$A,"Green Harbor Trust")+SUMIFS(Movimientos!$K$1:$K$1368,Movimientos!$C$1:$C$1368,"Green Harbor Trust",Movimientos!$B$1:$B$1368,"&lt;="&amp;$B103)</f>
        <v>345</v>
      </c>
      <c r="U103" s="24">
        <f>SUMIFS('Saldos Iniciales'!$D:$D,'Saldos Iniciales'!$A:$A,"Go Blue")+SUMIFS(Movimientos!$K$1:$K$1368,Movimientos!$C$1:$C$1368,"Go Blue",Movimientos!$B$1:$B$1368,"&lt;="&amp;$B103)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Group")+SUMIFS(Movimientos!$K$1:$K$1368,Movimientos!$C$1:$C$1368,"CFT Group",Movimientos!$B$1:$B$1368,"&lt;="&amp;$B104)</f>
        <v>1260076.9800000002</v>
      </c>
      <c r="D104" s="24">
        <f>SUMIFS('Saldos Iniciales'!$D:$D,'Saldos Iniciales'!$A:$A,"M1B")+SUMIFS(Movimientos!$K$1:$K$1368,Movimientos!$C$1:$C$1368,"M1B",Movimientos!$B$1:$B$1368,"&lt;="&amp;$B104)</f>
        <v>83211.250000000175</v>
      </c>
      <c r="E104" s="24">
        <f>SUMIFS('Saldos Iniciales'!$D:$D,'Saldos Iniciales'!$A:$A,"Durand")+SUMIFS(Movimientos!$K$1:$K$1368,Movimientos!$C$1:$C$1368,"Durand",Movimientos!$B$1:$B$1368,"&lt;="&amp;$B104)</f>
        <v>1669.89</v>
      </c>
      <c r="F104" s="24">
        <f>SUMIFS('Saldos Iniciales'!$D:$D,'Saldos Iniciales'!$A:$A,"A&amp;M Imports")+SUMIFS(Movimientos!$K$1:$K$1368,Movimientos!$C$1:$C$1368,"A&amp;M Imports",Movimientos!$B$1:$B$1368,"&lt;="&amp;$B104)</f>
        <v>1349451.94</v>
      </c>
      <c r="G104" s="24">
        <f>SUMIFS('Saldos Iniciales'!$D:$D,'Saldos Iniciales'!$A:$A,"SSP Capital")+SUMIFS(Movimientos!$K$1:$K$1368,Movimientos!$C$1:$C$1368,"SSP Capital",Movimientos!$B$1:$B$1368,"&lt;="&amp;$B104)</f>
        <v>1622920.8199999996</v>
      </c>
      <c r="H104" s="24">
        <f>SUMIFS('Saldos Iniciales'!$D:$D,'Saldos Iniciales'!$A:$A,"Cross Family Trust")+SUMIFS(Movimientos!$K$1:$K$1368,Movimientos!$C$1:$C$1368,"Cross Family Trust",Movimientos!$B$1:$B$1368,"&lt;="&amp;$B104)</f>
        <v>171496.38</v>
      </c>
      <c r="I104" s="24">
        <f>SUMIFS('Saldos Iniciales'!$D:$D,'Saldos Iniciales'!$A:$A,"Cross Security Trust")+SUMIFS(Movimientos!$K$1:$K$1368,Movimientos!$C$1:$C$1368,"Cross Security Trust",Movimientos!$B$1:$B$1368,"&lt;="&amp;$B104)</f>
        <v>207582.47</v>
      </c>
      <c r="J104" s="24">
        <f>SUMIFS('Saldos Iniciales'!$D:$D,'Saldos Iniciales'!$A:$A,"Electrama")+SUMIFS(Movimientos!$K$1:$K$1368,Movimientos!$C$1:$C$1368,"Electrama",Movimientos!$B$1:$B$1368,"&lt;="&amp;$B104)</f>
        <v>13270.02</v>
      </c>
      <c r="K104" s="24">
        <f>SUMIFS('Saldos Iniciales'!$D:$D,'Saldos Iniciales'!$A:$A,"Sacred Valley Capital")+SUMIFS(Movimientos!$K$1:$K$1368,Movimientos!$C$1:$C$1368,"Sacred Valley Capital",Movimientos!$B$1:$B$1368,"&lt;="&amp;$B104)</f>
        <v>24.450000000000003</v>
      </c>
      <c r="L104" s="24">
        <f>SUMIFS('Saldos Iniciales'!$D:$D,'Saldos Iniciales'!$A:$A,"YWC Capital")+SUMIFS(Movimientos!$K$1:$K$1368,Movimientos!$C$1:$C$1368,"YWC Capital",Movimientos!$B$1:$B$1368,"&lt;="&amp;$B104)</f>
        <v>2177.87</v>
      </c>
      <c r="M104" s="24">
        <f>SUMIFS('Saldos Iniciales'!$D:$D,'Saldos Iniciales'!$A:$A,"Soweto")+SUMIFS(Movimientos!$K$1:$K$1368,Movimientos!$C$1:$C$1368,"Soweto",Movimientos!$B$1:$B$1368,"&lt;="&amp;$B104)</f>
        <v>1454589.72</v>
      </c>
      <c r="N104" s="24">
        <f>SUMIFS('Saldos Iniciales'!$D:$D,'Saldos Iniciales'!$A:$A,"Green Stone Trust")+SUMIFS(Movimientos!$K$1:$K$1368,Movimientos!$C$1:$C$1368,"Green Stone Trust",Movimientos!$B$1:$B$1368,"&lt;="&amp;$B104)</f>
        <v>1968.99</v>
      </c>
      <c r="O104" s="24">
        <f>SUMIFS('Saldos Iniciales'!$D:$D,'Saldos Iniciales'!$A:$A,"EC Auto")+SUMIFS(Movimientos!$K$1:$K$1368,Movimientos!$C$1:$C$1368,"EC Auto",Movimientos!$B$1:$B$1368,"&lt;="&amp;$B104)</f>
        <v>901.34</v>
      </c>
      <c r="P104" s="24">
        <f>SUMIFS('Saldos Iniciales'!$D:$D,'Saldos Iniciales'!$A:$A,"Arbor Capital Properties")+SUMIFS(Movimientos!$K$1:$K$1368,Movimientos!$C$1:$C$1368,"Arbor Capital Properties",Movimientos!$B$1:$B$1368,"&lt;="&amp;$B104)</f>
        <v>1396.08</v>
      </c>
      <c r="Q104" s="24">
        <f>SUMIFS('Saldos Iniciales'!$D:$D,'Saldos Iniciales'!$A:$A,"2515 Overbrook")+SUMIFS(Movimientos!$K$1:$K$1368,Movimientos!$C$1:$C$1368,"2515 Overbrook",Movimientos!$B$1:$B$1368,"&lt;="&amp;$B104)</f>
        <v>3700.7099999999591</v>
      </c>
      <c r="R104" s="24">
        <f>SUMIFS('Saldos Iniciales'!$D:$D,'Saldos Iniciales'!$A:$A,"112 Florida Ave")+SUMIFS(Movimientos!$K$1:$K$1368,Movimientos!$C$1:$C$1368,"112 Florida Ave",Movimientos!$B$1:$B$1368,"&lt;="&amp;$B104)</f>
        <v>8724.1700000000037</v>
      </c>
      <c r="S104" s="24">
        <f>SUMIFS('Saldos Iniciales'!$D:$D,'Saldos Iniciales'!$A:$A,"3628 Thomas Ave")+SUMIFS(Movimientos!$K$1:$K$1368,Movimientos!$C$1:$C$1368,"3628 Thomas Ave",Movimientos!$B$1:$B$1368,"&lt;="&amp;$B104)</f>
        <v>19442.439999999995</v>
      </c>
      <c r="T104" s="24">
        <f>SUMIFS('Saldos Iniciales'!$D:$D,'Saldos Iniciales'!$A:$A,"Green Harbor Trust")+SUMIFS(Movimientos!$K$1:$K$1368,Movimientos!$C$1:$C$1368,"Green Harbor Trust",Movimientos!$B$1:$B$1368,"&lt;="&amp;$B104)</f>
        <v>345</v>
      </c>
      <c r="U104" s="24">
        <f>SUMIFS('Saldos Iniciales'!$D:$D,'Saldos Iniciales'!$A:$A,"Go Blue")+SUMIFS(Movimientos!$K$1:$K$1368,Movimientos!$C$1:$C$1368,"Go Blue",Movimientos!$B$1:$B$1368,"&lt;="&amp;$B104)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Group")+SUMIFS(Movimientos!$K$1:$K$1368,Movimientos!$C$1:$C$1368,"CFT Group",Movimientos!$B$1:$B$1368,"&lt;="&amp;$B105)</f>
        <v>1260076.9800000002</v>
      </c>
      <c r="D105" s="24">
        <f>SUMIFS('Saldos Iniciales'!$D:$D,'Saldos Iniciales'!$A:$A,"M1B")+SUMIFS(Movimientos!$K$1:$K$1368,Movimientos!$C$1:$C$1368,"M1B",Movimientos!$B$1:$B$1368,"&lt;="&amp;$B105)</f>
        <v>83211.250000000175</v>
      </c>
      <c r="E105" s="24">
        <f>SUMIFS('Saldos Iniciales'!$D:$D,'Saldos Iniciales'!$A:$A,"Durand")+SUMIFS(Movimientos!$K$1:$K$1368,Movimientos!$C$1:$C$1368,"Durand",Movimientos!$B$1:$B$1368,"&lt;="&amp;$B105)</f>
        <v>1669.89</v>
      </c>
      <c r="F105" s="24">
        <f>SUMIFS('Saldos Iniciales'!$D:$D,'Saldos Iniciales'!$A:$A,"A&amp;M Imports")+SUMIFS(Movimientos!$K$1:$K$1368,Movimientos!$C$1:$C$1368,"A&amp;M Imports",Movimientos!$B$1:$B$1368,"&lt;="&amp;$B105)</f>
        <v>1349451.94</v>
      </c>
      <c r="G105" s="24">
        <f>SUMIFS('Saldos Iniciales'!$D:$D,'Saldos Iniciales'!$A:$A,"SSP Capital")+SUMIFS(Movimientos!$K$1:$K$1368,Movimientos!$C$1:$C$1368,"SSP Capital",Movimientos!$B$1:$B$1368,"&lt;="&amp;$B105)</f>
        <v>1622914.8199999996</v>
      </c>
      <c r="H105" s="24">
        <f>SUMIFS('Saldos Iniciales'!$D:$D,'Saldos Iniciales'!$A:$A,"Cross Family Trust")+SUMIFS(Movimientos!$K$1:$K$1368,Movimientos!$C$1:$C$1368,"Cross Family Trust",Movimientos!$B$1:$B$1368,"&lt;="&amp;$B105)</f>
        <v>731496.38</v>
      </c>
      <c r="I105" s="24">
        <f>SUMIFS('Saldos Iniciales'!$D:$D,'Saldos Iniciales'!$A:$A,"Cross Security Trust")+SUMIFS(Movimientos!$K$1:$K$1368,Movimientos!$C$1:$C$1368,"Cross Security Trust",Movimientos!$B$1:$B$1368,"&lt;="&amp;$B105)</f>
        <v>277582.47000000003</v>
      </c>
      <c r="J105" s="24">
        <f>SUMIFS('Saldos Iniciales'!$D:$D,'Saldos Iniciales'!$A:$A,"Electrama")+SUMIFS(Movimientos!$K$1:$K$1368,Movimientos!$C$1:$C$1368,"Electrama",Movimientos!$B$1:$B$1368,"&lt;="&amp;$B105)</f>
        <v>13270.02</v>
      </c>
      <c r="K105" s="24">
        <f>SUMIFS('Saldos Iniciales'!$D:$D,'Saldos Iniciales'!$A:$A,"Sacred Valley Capital")+SUMIFS(Movimientos!$K$1:$K$1368,Movimientos!$C$1:$C$1368,"Sacred Valley Capital",Movimientos!$B$1:$B$1368,"&lt;="&amp;$B105)</f>
        <v>24.450000000000003</v>
      </c>
      <c r="L105" s="24">
        <f>SUMIFS('Saldos Iniciales'!$D:$D,'Saldos Iniciales'!$A:$A,"YWC Capital")+SUMIFS(Movimientos!$K$1:$K$1368,Movimientos!$C$1:$C$1368,"YWC Capital",Movimientos!$B$1:$B$1368,"&lt;="&amp;$B105)</f>
        <v>2177.87</v>
      </c>
      <c r="M105" s="24">
        <f>SUMIFS('Saldos Iniciales'!$D:$D,'Saldos Iniciales'!$A:$A,"Soweto")+SUMIFS(Movimientos!$K$1:$K$1368,Movimientos!$C$1:$C$1368,"Soweto",Movimientos!$B$1:$B$1368,"&lt;="&amp;$B105)</f>
        <v>754424.72</v>
      </c>
      <c r="N105" s="24">
        <f>SUMIFS('Saldos Iniciales'!$D:$D,'Saldos Iniciales'!$A:$A,"Green Stone Trust")+SUMIFS(Movimientos!$K$1:$K$1368,Movimientos!$C$1:$C$1368,"Green Stone Trust",Movimientos!$B$1:$B$1368,"&lt;="&amp;$B105)</f>
        <v>1968.99</v>
      </c>
      <c r="O105" s="24">
        <f>SUMIFS('Saldos Iniciales'!$D:$D,'Saldos Iniciales'!$A:$A,"EC Auto")+SUMIFS(Movimientos!$K$1:$K$1368,Movimientos!$C$1:$C$1368,"EC Auto",Movimientos!$B$1:$B$1368,"&lt;="&amp;$B105)</f>
        <v>901.34</v>
      </c>
      <c r="P105" s="24">
        <f>SUMIFS('Saldos Iniciales'!$D:$D,'Saldos Iniciales'!$A:$A,"Arbor Capital Properties")+SUMIFS(Movimientos!$K$1:$K$1368,Movimientos!$C$1:$C$1368,"Arbor Capital Properties",Movimientos!$B$1:$B$1368,"&lt;="&amp;$B105)</f>
        <v>1396.08</v>
      </c>
      <c r="Q105" s="24">
        <f>SUMIFS('Saldos Iniciales'!$D:$D,'Saldos Iniciales'!$A:$A,"2515 Overbrook")+SUMIFS(Movimientos!$K$1:$K$1368,Movimientos!$C$1:$C$1368,"2515 Overbrook",Movimientos!$B$1:$B$1368,"&lt;="&amp;$B105)</f>
        <v>3700.7099999999591</v>
      </c>
      <c r="R105" s="24">
        <f>SUMIFS('Saldos Iniciales'!$D:$D,'Saldos Iniciales'!$A:$A,"112 Florida Ave")+SUMIFS(Movimientos!$K$1:$K$1368,Movimientos!$C$1:$C$1368,"112 Florida Ave",Movimientos!$B$1:$B$1368,"&lt;="&amp;$B105)</f>
        <v>8724.1700000000037</v>
      </c>
      <c r="S105" s="24">
        <f>SUMIFS('Saldos Iniciales'!$D:$D,'Saldos Iniciales'!$A:$A,"3628 Thomas Ave")+SUMIFS(Movimientos!$K$1:$K$1368,Movimientos!$C$1:$C$1368,"3628 Thomas Ave",Movimientos!$B$1:$B$1368,"&lt;="&amp;$B105)</f>
        <v>19336.039999999997</v>
      </c>
      <c r="T105" s="24">
        <f>SUMIFS('Saldos Iniciales'!$D:$D,'Saldos Iniciales'!$A:$A,"Green Harbor Trust")+SUMIFS(Movimientos!$K$1:$K$1368,Movimientos!$C$1:$C$1368,"Green Harbor Trust",Movimientos!$B$1:$B$1368,"&lt;="&amp;$B105)</f>
        <v>345</v>
      </c>
      <c r="U105" s="24">
        <f>SUMIFS('Saldos Iniciales'!$D:$D,'Saldos Iniciales'!$A:$A,"Go Blue")+SUMIFS(Movimientos!$K$1:$K$1368,Movimientos!$C$1:$C$1368,"Go Blue",Movimientos!$B$1:$B$1368,"&lt;="&amp;$B105)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Group")+SUMIFS(Movimientos!$K$1:$K$1368,Movimientos!$C$1:$C$1368,"CFT Group",Movimientos!$B$1:$B$1368,"&lt;="&amp;$B106)</f>
        <v>1041223.5800000004</v>
      </c>
      <c r="D106" s="24">
        <f>SUMIFS('Saldos Iniciales'!$D:$D,'Saldos Iniciales'!$A:$A,"M1B")+SUMIFS(Movimientos!$K$1:$K$1368,Movimientos!$C$1:$C$1368,"M1B",Movimientos!$B$1:$B$1368,"&lt;="&amp;$B106)</f>
        <v>83211.250000000175</v>
      </c>
      <c r="E106" s="24">
        <f>SUMIFS('Saldos Iniciales'!$D:$D,'Saldos Iniciales'!$A:$A,"Durand")+SUMIFS(Movimientos!$K$1:$K$1368,Movimientos!$C$1:$C$1368,"Durand",Movimientos!$B$1:$B$1368,"&lt;="&amp;$B106)</f>
        <v>1669.89</v>
      </c>
      <c r="F106" s="24">
        <f>SUMIFS('Saldos Iniciales'!$D:$D,'Saldos Iniciales'!$A:$A,"A&amp;M Imports")+SUMIFS(Movimientos!$K$1:$K$1368,Movimientos!$C$1:$C$1368,"A&amp;M Imports",Movimientos!$B$1:$B$1368,"&lt;="&amp;$B106)</f>
        <v>1289451.94</v>
      </c>
      <c r="G106" s="24">
        <f>SUMIFS('Saldos Iniciales'!$D:$D,'Saldos Iniciales'!$A:$A,"SSP Capital")+SUMIFS(Movimientos!$K$1:$K$1368,Movimientos!$C$1:$C$1368,"SSP Capital",Movimientos!$B$1:$B$1368,"&lt;="&amp;$B106)</f>
        <v>1418808.6399999997</v>
      </c>
      <c r="H106" s="24">
        <f>SUMIFS('Saldos Iniciales'!$D:$D,'Saldos Iniciales'!$A:$A,"Cross Family Trust")+SUMIFS(Movimientos!$K$1:$K$1368,Movimientos!$C$1:$C$1368,"Cross Family Trust",Movimientos!$B$1:$B$1368,"&lt;="&amp;$B106)</f>
        <v>221496.38</v>
      </c>
      <c r="I106" s="24">
        <f>SUMIFS('Saldos Iniciales'!$D:$D,'Saldos Iniciales'!$A:$A,"Cross Security Trust")+SUMIFS(Movimientos!$K$1:$K$1368,Movimientos!$C$1:$C$1368,"Cross Security Trust",Movimientos!$B$1:$B$1368,"&lt;="&amp;$B106)</f>
        <v>277582.47000000003</v>
      </c>
      <c r="J106" s="24">
        <f>SUMIFS('Saldos Iniciales'!$D:$D,'Saldos Iniciales'!$A:$A,"Electrama")+SUMIFS(Movimientos!$K$1:$K$1368,Movimientos!$C$1:$C$1368,"Electrama",Movimientos!$B$1:$B$1368,"&lt;="&amp;$B106)</f>
        <v>13270.02</v>
      </c>
      <c r="K106" s="24">
        <f>SUMIFS('Saldos Iniciales'!$D:$D,'Saldos Iniciales'!$A:$A,"Sacred Valley Capital")+SUMIFS(Movimientos!$K$1:$K$1368,Movimientos!$C$1:$C$1368,"Sacred Valley Capital",Movimientos!$B$1:$B$1368,"&lt;="&amp;$B106)</f>
        <v>24.450000000000003</v>
      </c>
      <c r="L106" s="24">
        <f>SUMIFS('Saldos Iniciales'!$D:$D,'Saldos Iniciales'!$A:$A,"YWC Capital")+SUMIFS(Movimientos!$K$1:$K$1368,Movimientos!$C$1:$C$1368,"YWC Capital",Movimientos!$B$1:$B$1368,"&lt;="&amp;$B106)</f>
        <v>2177.87</v>
      </c>
      <c r="M106" s="24">
        <f>SUMIFS('Saldos Iniciales'!$D:$D,'Saldos Iniciales'!$A:$A,"Soweto")+SUMIFS(Movimientos!$K$1:$K$1368,Movimientos!$C$1:$C$1368,"Soweto",Movimientos!$B$1:$B$1368,"&lt;="&amp;$B106)</f>
        <v>754424.72</v>
      </c>
      <c r="N106" s="24">
        <f>SUMIFS('Saldos Iniciales'!$D:$D,'Saldos Iniciales'!$A:$A,"Green Stone Trust")+SUMIFS(Movimientos!$K$1:$K$1368,Movimientos!$C$1:$C$1368,"Green Stone Trust",Movimientos!$B$1:$B$1368,"&lt;="&amp;$B106)</f>
        <v>1968.99</v>
      </c>
      <c r="O106" s="24">
        <f>SUMIFS('Saldos Iniciales'!$D:$D,'Saldos Iniciales'!$A:$A,"EC Auto")+SUMIFS(Movimientos!$K$1:$K$1368,Movimientos!$C$1:$C$1368,"EC Auto",Movimientos!$B$1:$B$1368,"&lt;="&amp;$B106)</f>
        <v>901.34</v>
      </c>
      <c r="P106" s="24">
        <f>SUMIFS('Saldos Iniciales'!$D:$D,'Saldos Iniciales'!$A:$A,"Arbor Capital Properties")+SUMIFS(Movimientos!$K$1:$K$1368,Movimientos!$C$1:$C$1368,"Arbor Capital Properties",Movimientos!$B$1:$B$1368,"&lt;="&amp;$B106)</f>
        <v>1396.08</v>
      </c>
      <c r="Q106" s="24">
        <f>SUMIFS('Saldos Iniciales'!$D:$D,'Saldos Iniciales'!$A:$A,"2515 Overbrook")+SUMIFS(Movimientos!$K$1:$K$1368,Movimientos!$C$1:$C$1368,"2515 Overbrook",Movimientos!$B$1:$B$1368,"&lt;="&amp;$B106)</f>
        <v>13700.709999999959</v>
      </c>
      <c r="R106" s="24">
        <f>SUMIFS('Saldos Iniciales'!$D:$D,'Saldos Iniciales'!$A:$A,"112 Florida Ave")+SUMIFS(Movimientos!$K$1:$K$1368,Movimientos!$C$1:$C$1368,"112 Florida Ave",Movimientos!$B$1:$B$1368,"&lt;="&amp;$B106)</f>
        <v>8724.1700000000037</v>
      </c>
      <c r="S106" s="24">
        <f>SUMIFS('Saldos Iniciales'!$D:$D,'Saldos Iniciales'!$A:$A,"3628 Thomas Ave")+SUMIFS(Movimientos!$K$1:$K$1368,Movimientos!$C$1:$C$1368,"3628 Thomas Ave",Movimientos!$B$1:$B$1368,"&lt;="&amp;$B106)</f>
        <v>19336.039999999997</v>
      </c>
      <c r="T106" s="24">
        <f>SUMIFS('Saldos Iniciales'!$D:$D,'Saldos Iniciales'!$A:$A,"Green Harbor Trust")+SUMIFS(Movimientos!$K$1:$K$1368,Movimientos!$C$1:$C$1368,"Green Harbor Trust",Movimientos!$B$1:$B$1368,"&lt;="&amp;$B106)</f>
        <v>345</v>
      </c>
      <c r="U106" s="24">
        <f>SUMIFS('Saldos Iniciales'!$D:$D,'Saldos Iniciales'!$A:$A,"Go Blue")+SUMIFS(Movimientos!$K$1:$K$1368,Movimientos!$C$1:$C$1368,"Go Blue",Movimientos!$B$1:$B$1368,"&lt;="&amp;$B106)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Group")+SUMIFS(Movimientos!$K$1:$K$1368,Movimientos!$C$1:$C$1368,"CFT Group",Movimientos!$B$1:$B$1368,"&lt;="&amp;$B107)</f>
        <v>941223.58000000042</v>
      </c>
      <c r="D107" s="24">
        <f>SUMIFS('Saldos Iniciales'!$D:$D,'Saldos Iniciales'!$A:$A,"M1B")+SUMIFS(Movimientos!$K$1:$K$1368,Movimientos!$C$1:$C$1368,"M1B",Movimientos!$B$1:$B$1368,"&lt;="&amp;$B107)</f>
        <v>83211.250000000175</v>
      </c>
      <c r="E107" s="24">
        <f>SUMIFS('Saldos Iniciales'!$D:$D,'Saldos Iniciales'!$A:$A,"Durand")+SUMIFS(Movimientos!$K$1:$K$1368,Movimientos!$C$1:$C$1368,"Durand",Movimientos!$B$1:$B$1368,"&lt;="&amp;$B107)</f>
        <v>1669.89</v>
      </c>
      <c r="F107" s="24">
        <f>SUMIFS('Saldos Iniciales'!$D:$D,'Saldos Iniciales'!$A:$A,"A&amp;M Imports")+SUMIFS(Movimientos!$K$1:$K$1368,Movimientos!$C$1:$C$1368,"A&amp;M Imports",Movimientos!$B$1:$B$1368,"&lt;="&amp;$B107)</f>
        <v>1289451.94</v>
      </c>
      <c r="G107" s="24">
        <f>SUMIFS('Saldos Iniciales'!$D:$D,'Saldos Iniciales'!$A:$A,"SSP Capital")+SUMIFS(Movimientos!$K$1:$K$1368,Movimientos!$C$1:$C$1368,"SSP Capital",Movimientos!$B$1:$B$1368,"&lt;="&amp;$B107)</f>
        <v>1418808.6399999997</v>
      </c>
      <c r="H107" s="24">
        <f>SUMIFS('Saldos Iniciales'!$D:$D,'Saldos Iniciales'!$A:$A,"Cross Family Trust")+SUMIFS(Movimientos!$K$1:$K$1368,Movimientos!$C$1:$C$1368,"Cross Family Trust",Movimientos!$B$1:$B$1368,"&lt;="&amp;$B107)</f>
        <v>221496.38</v>
      </c>
      <c r="I107" s="24">
        <f>SUMIFS('Saldos Iniciales'!$D:$D,'Saldos Iniciales'!$A:$A,"Cross Security Trust")+SUMIFS(Movimientos!$K$1:$K$1368,Movimientos!$C$1:$C$1368,"Cross Security Trust",Movimientos!$B$1:$B$1368,"&lt;="&amp;$B107)</f>
        <v>277586.34000000003</v>
      </c>
      <c r="J107" s="24">
        <f>SUMIFS('Saldos Iniciales'!$D:$D,'Saldos Iniciales'!$A:$A,"Electrama")+SUMIFS(Movimientos!$K$1:$K$1368,Movimientos!$C$1:$C$1368,"Electrama",Movimientos!$B$1:$B$1368,"&lt;="&amp;$B107)</f>
        <v>13270.02</v>
      </c>
      <c r="K107" s="24">
        <f>SUMIFS('Saldos Iniciales'!$D:$D,'Saldos Iniciales'!$A:$A,"Sacred Valley Capital")+SUMIFS(Movimientos!$K$1:$K$1368,Movimientos!$C$1:$C$1368,"Sacred Valley Capital",Movimientos!$B$1:$B$1368,"&lt;="&amp;$B107)</f>
        <v>24.450000000000003</v>
      </c>
      <c r="L107" s="24">
        <f>SUMIFS('Saldos Iniciales'!$D:$D,'Saldos Iniciales'!$A:$A,"YWC Capital")+SUMIFS(Movimientos!$K$1:$K$1368,Movimientos!$C$1:$C$1368,"YWC Capital",Movimientos!$B$1:$B$1368,"&lt;="&amp;$B107)</f>
        <v>2177.87</v>
      </c>
      <c r="M107" s="24">
        <f>SUMIFS('Saldos Iniciales'!$D:$D,'Saldos Iniciales'!$A:$A,"Soweto")+SUMIFS(Movimientos!$K$1:$K$1368,Movimientos!$C$1:$C$1368,"Soweto",Movimientos!$B$1:$B$1368,"&lt;="&amp;$B107)</f>
        <v>754424.72</v>
      </c>
      <c r="N107" s="24">
        <f>SUMIFS('Saldos Iniciales'!$D:$D,'Saldos Iniciales'!$A:$A,"Green Stone Trust")+SUMIFS(Movimientos!$K$1:$K$1368,Movimientos!$C$1:$C$1368,"Green Stone Trust",Movimientos!$B$1:$B$1368,"&lt;="&amp;$B107)</f>
        <v>1968.99</v>
      </c>
      <c r="O107" s="24">
        <f>SUMIFS('Saldos Iniciales'!$D:$D,'Saldos Iniciales'!$A:$A,"EC Auto")+SUMIFS(Movimientos!$K$1:$K$1368,Movimientos!$C$1:$C$1368,"EC Auto",Movimientos!$B$1:$B$1368,"&lt;="&amp;$B107)</f>
        <v>901.34</v>
      </c>
      <c r="P107" s="24">
        <f>SUMIFS('Saldos Iniciales'!$D:$D,'Saldos Iniciales'!$A:$A,"Arbor Capital Properties")+SUMIFS(Movimientos!$K$1:$K$1368,Movimientos!$C$1:$C$1368,"Arbor Capital Properties",Movimientos!$B$1:$B$1368,"&lt;="&amp;$B107)</f>
        <v>1396.08</v>
      </c>
      <c r="Q107" s="24">
        <f>SUMIFS('Saldos Iniciales'!$D:$D,'Saldos Iniciales'!$A:$A,"2515 Overbrook")+SUMIFS(Movimientos!$K$1:$K$1368,Movimientos!$C$1:$C$1368,"2515 Overbrook",Movimientos!$B$1:$B$1368,"&lt;="&amp;$B107)</f>
        <v>13685.709999999959</v>
      </c>
      <c r="R107" s="24">
        <f>SUMIFS('Saldos Iniciales'!$D:$D,'Saldos Iniciales'!$A:$A,"112 Florida Ave")+SUMIFS(Movimientos!$K$1:$K$1368,Movimientos!$C$1:$C$1368,"112 Florida Ave",Movimientos!$B$1:$B$1368,"&lt;="&amp;$B107)</f>
        <v>8724.1700000000037</v>
      </c>
      <c r="S107" s="24">
        <f>SUMIFS('Saldos Iniciales'!$D:$D,'Saldos Iniciales'!$A:$A,"3628 Thomas Ave")+SUMIFS(Movimientos!$K$1:$K$1368,Movimientos!$C$1:$C$1368,"3628 Thomas Ave",Movimientos!$B$1:$B$1368,"&lt;="&amp;$B107)</f>
        <v>19336.039999999997</v>
      </c>
      <c r="T107" s="24">
        <f>SUMIFS('Saldos Iniciales'!$D:$D,'Saldos Iniciales'!$A:$A,"Green Harbor Trust")+SUMIFS(Movimientos!$K$1:$K$1368,Movimientos!$C$1:$C$1368,"Green Harbor Trust",Movimientos!$B$1:$B$1368,"&lt;="&amp;$B107)</f>
        <v>345</v>
      </c>
      <c r="U107" s="24">
        <f>SUMIFS('Saldos Iniciales'!$D:$D,'Saldos Iniciales'!$A:$A,"Go Blue")+SUMIFS(Movimientos!$K$1:$K$1368,Movimientos!$C$1:$C$1368,"Go Blue",Movimientos!$B$1:$B$1368,"&lt;="&amp;$B107)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Group")+SUMIFS(Movimientos!$K$1:$K$1368,Movimientos!$C$1:$C$1368,"CFT Group",Movimientos!$B$1:$B$1368,"&lt;="&amp;$B108)</f>
        <v>941223.58000000042</v>
      </c>
      <c r="D108" s="24">
        <f>SUMIFS('Saldos Iniciales'!$D:$D,'Saldos Iniciales'!$A:$A,"M1B")+SUMIFS(Movimientos!$K$1:$K$1368,Movimientos!$C$1:$C$1368,"M1B",Movimientos!$B$1:$B$1368,"&lt;="&amp;$B108)</f>
        <v>83211.250000000175</v>
      </c>
      <c r="E108" s="24">
        <f>SUMIFS('Saldos Iniciales'!$D:$D,'Saldos Iniciales'!$A:$A,"Durand")+SUMIFS(Movimientos!$K$1:$K$1368,Movimientos!$C$1:$C$1368,"Durand",Movimientos!$B$1:$B$1368,"&lt;="&amp;$B108)</f>
        <v>1669.89</v>
      </c>
      <c r="F108" s="24">
        <f>SUMIFS('Saldos Iniciales'!$D:$D,'Saldos Iniciales'!$A:$A,"A&amp;M Imports")+SUMIFS(Movimientos!$K$1:$K$1368,Movimientos!$C$1:$C$1368,"A&amp;M Imports",Movimientos!$B$1:$B$1368,"&lt;="&amp;$B108)</f>
        <v>1289451.94</v>
      </c>
      <c r="G108" s="24">
        <f>SUMIFS('Saldos Iniciales'!$D:$D,'Saldos Iniciales'!$A:$A,"SSP Capital")+SUMIFS(Movimientos!$K$1:$K$1368,Movimientos!$C$1:$C$1368,"SSP Capital",Movimientos!$B$1:$B$1368,"&lt;="&amp;$B108)</f>
        <v>1418808.6399999997</v>
      </c>
      <c r="H108" s="24">
        <f>SUMIFS('Saldos Iniciales'!$D:$D,'Saldos Iniciales'!$A:$A,"Cross Family Trust")+SUMIFS(Movimientos!$K$1:$K$1368,Movimientos!$C$1:$C$1368,"Cross Family Trust",Movimientos!$B$1:$B$1368,"&lt;="&amp;$B108)</f>
        <v>221496.38</v>
      </c>
      <c r="I108" s="24">
        <f>SUMIFS('Saldos Iniciales'!$D:$D,'Saldos Iniciales'!$A:$A,"Cross Security Trust")+SUMIFS(Movimientos!$K$1:$K$1368,Movimientos!$C$1:$C$1368,"Cross Security Trust",Movimientos!$B$1:$B$1368,"&lt;="&amp;$B108)</f>
        <v>277586.34000000003</v>
      </c>
      <c r="J108" s="24">
        <f>SUMIFS('Saldos Iniciales'!$D:$D,'Saldos Iniciales'!$A:$A,"Electrama")+SUMIFS(Movimientos!$K$1:$K$1368,Movimientos!$C$1:$C$1368,"Electrama",Movimientos!$B$1:$B$1368,"&lt;="&amp;$B108)</f>
        <v>13270.02</v>
      </c>
      <c r="K108" s="24">
        <f>SUMIFS('Saldos Iniciales'!$D:$D,'Saldos Iniciales'!$A:$A,"Sacred Valley Capital")+SUMIFS(Movimientos!$K$1:$K$1368,Movimientos!$C$1:$C$1368,"Sacred Valley Capital",Movimientos!$B$1:$B$1368,"&lt;="&amp;$B108)</f>
        <v>24.450000000000003</v>
      </c>
      <c r="L108" s="24">
        <f>SUMIFS('Saldos Iniciales'!$D:$D,'Saldos Iniciales'!$A:$A,"YWC Capital")+SUMIFS(Movimientos!$K$1:$K$1368,Movimientos!$C$1:$C$1368,"YWC Capital",Movimientos!$B$1:$B$1368,"&lt;="&amp;$B108)</f>
        <v>2177.87</v>
      </c>
      <c r="M108" s="24">
        <f>SUMIFS('Saldos Iniciales'!$D:$D,'Saldos Iniciales'!$A:$A,"Soweto")+SUMIFS(Movimientos!$K$1:$K$1368,Movimientos!$C$1:$C$1368,"Soweto",Movimientos!$B$1:$B$1368,"&lt;="&amp;$B108)</f>
        <v>754424.72</v>
      </c>
      <c r="N108" s="24">
        <f>SUMIFS('Saldos Iniciales'!$D:$D,'Saldos Iniciales'!$A:$A,"Green Stone Trust")+SUMIFS(Movimientos!$K$1:$K$1368,Movimientos!$C$1:$C$1368,"Green Stone Trust",Movimientos!$B$1:$B$1368,"&lt;="&amp;$B108)</f>
        <v>1968.99</v>
      </c>
      <c r="O108" s="24">
        <f>SUMIFS('Saldos Iniciales'!$D:$D,'Saldos Iniciales'!$A:$A,"EC Auto")+SUMIFS(Movimientos!$K$1:$K$1368,Movimientos!$C$1:$C$1368,"EC Auto",Movimientos!$B$1:$B$1368,"&lt;="&amp;$B108)</f>
        <v>901.34</v>
      </c>
      <c r="P108" s="24">
        <f>SUMIFS('Saldos Iniciales'!$D:$D,'Saldos Iniciales'!$A:$A,"Arbor Capital Properties")+SUMIFS(Movimientos!$K$1:$K$1368,Movimientos!$C$1:$C$1368,"Arbor Capital Properties",Movimientos!$B$1:$B$1368,"&lt;="&amp;$B108)</f>
        <v>1396.08</v>
      </c>
      <c r="Q108" s="24">
        <f>SUMIFS('Saldos Iniciales'!$D:$D,'Saldos Iniciales'!$A:$A,"2515 Overbrook")+SUMIFS(Movimientos!$K$1:$K$1368,Movimientos!$C$1:$C$1368,"2515 Overbrook",Movimientos!$B$1:$B$1368,"&lt;="&amp;$B108)</f>
        <v>13685.709999999959</v>
      </c>
      <c r="R108" s="24">
        <f>SUMIFS('Saldos Iniciales'!$D:$D,'Saldos Iniciales'!$A:$A,"112 Florida Ave")+SUMIFS(Movimientos!$K$1:$K$1368,Movimientos!$C$1:$C$1368,"112 Florida Ave",Movimientos!$B$1:$B$1368,"&lt;="&amp;$B108)</f>
        <v>8724.1700000000037</v>
      </c>
      <c r="S108" s="24">
        <f>SUMIFS('Saldos Iniciales'!$D:$D,'Saldos Iniciales'!$A:$A,"3628 Thomas Ave")+SUMIFS(Movimientos!$K$1:$K$1368,Movimientos!$C$1:$C$1368,"3628 Thomas Ave",Movimientos!$B$1:$B$1368,"&lt;="&amp;$B108)</f>
        <v>19336.039999999997</v>
      </c>
      <c r="T108" s="24">
        <f>SUMIFS('Saldos Iniciales'!$D:$D,'Saldos Iniciales'!$A:$A,"Green Harbor Trust")+SUMIFS(Movimientos!$K$1:$K$1368,Movimientos!$C$1:$C$1368,"Green Harbor Trust",Movimientos!$B$1:$B$1368,"&lt;="&amp;$B108)</f>
        <v>345</v>
      </c>
      <c r="U108" s="24">
        <f>SUMIFS('Saldos Iniciales'!$D:$D,'Saldos Iniciales'!$A:$A,"Go Blue")+SUMIFS(Movimientos!$K$1:$K$1368,Movimientos!$C$1:$C$1368,"Go Blue",Movimientos!$B$1:$B$1368,"&lt;="&amp;$B108)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Group")+SUMIFS(Movimientos!$K$1:$K$1368,Movimientos!$C$1:$C$1368,"CFT Group",Movimientos!$B$1:$B$1368,"&lt;="&amp;$B109)</f>
        <v>941223.58000000042</v>
      </c>
      <c r="D109" s="24">
        <f>SUMIFS('Saldos Iniciales'!$D:$D,'Saldos Iniciales'!$A:$A,"M1B")+SUMIFS(Movimientos!$K$1:$K$1368,Movimientos!$C$1:$C$1368,"M1B",Movimientos!$B$1:$B$1368,"&lt;="&amp;$B109)</f>
        <v>83211.250000000175</v>
      </c>
      <c r="E109" s="24">
        <f>SUMIFS('Saldos Iniciales'!$D:$D,'Saldos Iniciales'!$A:$A,"Durand")+SUMIFS(Movimientos!$K$1:$K$1368,Movimientos!$C$1:$C$1368,"Durand",Movimientos!$B$1:$B$1368,"&lt;="&amp;$B109)</f>
        <v>1669.89</v>
      </c>
      <c r="F109" s="24">
        <f>SUMIFS('Saldos Iniciales'!$D:$D,'Saldos Iniciales'!$A:$A,"A&amp;M Imports")+SUMIFS(Movimientos!$K$1:$K$1368,Movimientos!$C$1:$C$1368,"A&amp;M Imports",Movimientos!$B$1:$B$1368,"&lt;="&amp;$B109)</f>
        <v>1289451.94</v>
      </c>
      <c r="G109" s="24">
        <f>SUMIFS('Saldos Iniciales'!$D:$D,'Saldos Iniciales'!$A:$A,"SSP Capital")+SUMIFS(Movimientos!$K$1:$K$1368,Movimientos!$C$1:$C$1368,"SSP Capital",Movimientos!$B$1:$B$1368,"&lt;="&amp;$B109)</f>
        <v>1418808.6399999997</v>
      </c>
      <c r="H109" s="24">
        <f>SUMIFS('Saldos Iniciales'!$D:$D,'Saldos Iniciales'!$A:$A,"Cross Family Trust")+SUMIFS(Movimientos!$K$1:$K$1368,Movimientos!$C$1:$C$1368,"Cross Family Trust",Movimientos!$B$1:$B$1368,"&lt;="&amp;$B109)</f>
        <v>221496.38</v>
      </c>
      <c r="I109" s="24">
        <f>SUMIFS('Saldos Iniciales'!$D:$D,'Saldos Iniciales'!$A:$A,"Cross Security Trust")+SUMIFS(Movimientos!$K$1:$K$1368,Movimientos!$C$1:$C$1368,"Cross Security Trust",Movimientos!$B$1:$B$1368,"&lt;="&amp;$B109)</f>
        <v>277586.34000000003</v>
      </c>
      <c r="J109" s="24">
        <f>SUMIFS('Saldos Iniciales'!$D:$D,'Saldos Iniciales'!$A:$A,"Electrama")+SUMIFS(Movimientos!$K$1:$K$1368,Movimientos!$C$1:$C$1368,"Electrama",Movimientos!$B$1:$B$1368,"&lt;="&amp;$B109)</f>
        <v>13270.02</v>
      </c>
      <c r="K109" s="24">
        <f>SUMIFS('Saldos Iniciales'!$D:$D,'Saldos Iniciales'!$A:$A,"Sacred Valley Capital")+SUMIFS(Movimientos!$K$1:$K$1368,Movimientos!$C$1:$C$1368,"Sacred Valley Capital",Movimientos!$B$1:$B$1368,"&lt;="&amp;$B109)</f>
        <v>24.450000000000003</v>
      </c>
      <c r="L109" s="24">
        <f>SUMIFS('Saldos Iniciales'!$D:$D,'Saldos Iniciales'!$A:$A,"YWC Capital")+SUMIFS(Movimientos!$K$1:$K$1368,Movimientos!$C$1:$C$1368,"YWC Capital",Movimientos!$B$1:$B$1368,"&lt;="&amp;$B109)</f>
        <v>2177.87</v>
      </c>
      <c r="M109" s="24">
        <f>SUMIFS('Saldos Iniciales'!$D:$D,'Saldos Iniciales'!$A:$A,"Soweto")+SUMIFS(Movimientos!$K$1:$K$1368,Movimientos!$C$1:$C$1368,"Soweto",Movimientos!$B$1:$B$1368,"&lt;="&amp;$B109)</f>
        <v>754424.72</v>
      </c>
      <c r="N109" s="24">
        <f>SUMIFS('Saldos Iniciales'!$D:$D,'Saldos Iniciales'!$A:$A,"Green Stone Trust")+SUMIFS(Movimientos!$K$1:$K$1368,Movimientos!$C$1:$C$1368,"Green Stone Trust",Movimientos!$B$1:$B$1368,"&lt;="&amp;$B109)</f>
        <v>1968.99</v>
      </c>
      <c r="O109" s="24">
        <f>SUMIFS('Saldos Iniciales'!$D:$D,'Saldos Iniciales'!$A:$A,"EC Auto")+SUMIFS(Movimientos!$K$1:$K$1368,Movimientos!$C$1:$C$1368,"EC Auto",Movimientos!$B$1:$B$1368,"&lt;="&amp;$B109)</f>
        <v>901.34</v>
      </c>
      <c r="P109" s="24">
        <f>SUMIFS('Saldos Iniciales'!$D:$D,'Saldos Iniciales'!$A:$A,"Arbor Capital Properties")+SUMIFS(Movimientos!$K$1:$K$1368,Movimientos!$C$1:$C$1368,"Arbor Capital Properties",Movimientos!$B$1:$B$1368,"&lt;="&amp;$B109)</f>
        <v>1396.08</v>
      </c>
      <c r="Q109" s="24">
        <f>SUMIFS('Saldos Iniciales'!$D:$D,'Saldos Iniciales'!$A:$A,"2515 Overbrook")+SUMIFS(Movimientos!$K$1:$K$1368,Movimientos!$C$1:$C$1368,"2515 Overbrook",Movimientos!$B$1:$B$1368,"&lt;="&amp;$B109)</f>
        <v>13685.709999999959</v>
      </c>
      <c r="R109" s="24">
        <f>SUMIFS('Saldos Iniciales'!$D:$D,'Saldos Iniciales'!$A:$A,"112 Florida Ave")+SUMIFS(Movimientos!$K$1:$K$1368,Movimientos!$C$1:$C$1368,"112 Florida Ave",Movimientos!$B$1:$B$1368,"&lt;="&amp;$B109)</f>
        <v>8724.1700000000037</v>
      </c>
      <c r="S109" s="24">
        <f>SUMIFS('Saldos Iniciales'!$D:$D,'Saldos Iniciales'!$A:$A,"3628 Thomas Ave")+SUMIFS(Movimientos!$K$1:$K$1368,Movimientos!$C$1:$C$1368,"3628 Thomas Ave",Movimientos!$B$1:$B$1368,"&lt;="&amp;$B109)</f>
        <v>19336.039999999997</v>
      </c>
      <c r="T109" s="24">
        <f>SUMIFS('Saldos Iniciales'!$D:$D,'Saldos Iniciales'!$A:$A,"Green Harbor Trust")+SUMIFS(Movimientos!$K$1:$K$1368,Movimientos!$C$1:$C$1368,"Green Harbor Trust",Movimientos!$B$1:$B$1368,"&lt;="&amp;$B109)</f>
        <v>345</v>
      </c>
      <c r="U109" s="24">
        <f>SUMIFS('Saldos Iniciales'!$D:$D,'Saldos Iniciales'!$A:$A,"Go Blue")+SUMIFS(Movimientos!$K$1:$K$1368,Movimientos!$C$1:$C$1368,"Go Blue",Movimientos!$B$1:$B$1368,"&lt;="&amp;$B109)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Group")+SUMIFS(Movimientos!$K$1:$K$1368,Movimientos!$C$1:$C$1368,"CFT Group",Movimientos!$B$1:$B$1368,"&lt;="&amp;$B110)</f>
        <v>941223.58000000042</v>
      </c>
      <c r="D110" s="24">
        <f>SUMIFS('Saldos Iniciales'!$D:$D,'Saldos Iniciales'!$A:$A,"M1B")+SUMIFS(Movimientos!$K$1:$K$1368,Movimientos!$C$1:$C$1368,"M1B",Movimientos!$B$1:$B$1368,"&lt;="&amp;$B110)</f>
        <v>83211.250000000175</v>
      </c>
      <c r="E110" s="24">
        <f>SUMIFS('Saldos Iniciales'!$D:$D,'Saldos Iniciales'!$A:$A,"Durand")+SUMIFS(Movimientos!$K$1:$K$1368,Movimientos!$C$1:$C$1368,"Durand",Movimientos!$B$1:$B$1368,"&lt;="&amp;$B110)</f>
        <v>1669.89</v>
      </c>
      <c r="F110" s="24">
        <f>SUMIFS('Saldos Iniciales'!$D:$D,'Saldos Iniciales'!$A:$A,"A&amp;M Imports")+SUMIFS(Movimientos!$K$1:$K$1368,Movimientos!$C$1:$C$1368,"A&amp;M Imports",Movimientos!$B$1:$B$1368,"&lt;="&amp;$B110)</f>
        <v>1289031.3399999999</v>
      </c>
      <c r="G110" s="24">
        <f>SUMIFS('Saldos Iniciales'!$D:$D,'Saldos Iniciales'!$A:$A,"SSP Capital")+SUMIFS(Movimientos!$K$1:$K$1368,Movimientos!$C$1:$C$1368,"SSP Capital",Movimientos!$B$1:$B$1368,"&lt;="&amp;$B110)</f>
        <v>1383977.5499999996</v>
      </c>
      <c r="H110" s="24">
        <f>SUMIFS('Saldos Iniciales'!$D:$D,'Saldos Iniciales'!$A:$A,"Cross Family Trust")+SUMIFS(Movimientos!$K$1:$K$1368,Movimientos!$C$1:$C$1368,"Cross Family Trust",Movimientos!$B$1:$B$1368,"&lt;="&amp;$B110)</f>
        <v>221496.38</v>
      </c>
      <c r="I110" s="24">
        <f>SUMIFS('Saldos Iniciales'!$D:$D,'Saldos Iniciales'!$A:$A,"Cross Security Trust")+SUMIFS(Movimientos!$K$1:$K$1368,Movimientos!$C$1:$C$1368,"Cross Security Trust",Movimientos!$B$1:$B$1368,"&lt;="&amp;$B110)</f>
        <v>277586.34000000003</v>
      </c>
      <c r="J110" s="24">
        <f>SUMIFS('Saldos Iniciales'!$D:$D,'Saldos Iniciales'!$A:$A,"Electrama")+SUMIFS(Movimientos!$K$1:$K$1368,Movimientos!$C$1:$C$1368,"Electrama",Movimientos!$B$1:$B$1368,"&lt;="&amp;$B110)</f>
        <v>13270.02</v>
      </c>
      <c r="K110" s="24">
        <f>SUMIFS('Saldos Iniciales'!$D:$D,'Saldos Iniciales'!$A:$A,"Sacred Valley Capital")+SUMIFS(Movimientos!$K$1:$K$1368,Movimientos!$C$1:$C$1368,"Sacred Valley Capital",Movimientos!$B$1:$B$1368,"&lt;="&amp;$B110)</f>
        <v>24.450000000000003</v>
      </c>
      <c r="L110" s="24">
        <f>SUMIFS('Saldos Iniciales'!$D:$D,'Saldos Iniciales'!$A:$A,"YWC Capital")+SUMIFS(Movimientos!$K$1:$K$1368,Movimientos!$C$1:$C$1368,"YWC Capital",Movimientos!$B$1:$B$1368,"&lt;="&amp;$B110)</f>
        <v>2177.87</v>
      </c>
      <c r="M110" s="24">
        <f>SUMIFS('Saldos Iniciales'!$D:$D,'Saldos Iniciales'!$A:$A,"Soweto")+SUMIFS(Movimientos!$K$1:$K$1368,Movimientos!$C$1:$C$1368,"Soweto",Movimientos!$B$1:$B$1368,"&lt;="&amp;$B110)</f>
        <v>754424.72</v>
      </c>
      <c r="N110" s="24">
        <f>SUMIFS('Saldos Iniciales'!$D:$D,'Saldos Iniciales'!$A:$A,"Green Stone Trust")+SUMIFS(Movimientos!$K$1:$K$1368,Movimientos!$C$1:$C$1368,"Green Stone Trust",Movimientos!$B$1:$B$1368,"&lt;="&amp;$B110)</f>
        <v>1968.99</v>
      </c>
      <c r="O110" s="24">
        <f>SUMIFS('Saldos Iniciales'!$D:$D,'Saldos Iniciales'!$A:$A,"EC Auto")+SUMIFS(Movimientos!$K$1:$K$1368,Movimientos!$C$1:$C$1368,"EC Auto",Movimientos!$B$1:$B$1368,"&lt;="&amp;$B110)</f>
        <v>901.34</v>
      </c>
      <c r="P110" s="24">
        <f>SUMIFS('Saldos Iniciales'!$D:$D,'Saldos Iniciales'!$A:$A,"Arbor Capital Properties")+SUMIFS(Movimientos!$K$1:$K$1368,Movimientos!$C$1:$C$1368,"Arbor Capital Properties",Movimientos!$B$1:$B$1368,"&lt;="&amp;$B110)</f>
        <v>1396.08</v>
      </c>
      <c r="Q110" s="24">
        <f>SUMIFS('Saldos Iniciales'!$D:$D,'Saldos Iniciales'!$A:$A,"2515 Overbrook")+SUMIFS(Movimientos!$K$1:$K$1368,Movimientos!$C$1:$C$1368,"2515 Overbrook",Movimientos!$B$1:$B$1368,"&lt;="&amp;$B110)</f>
        <v>13685.709999999959</v>
      </c>
      <c r="R110" s="24">
        <f>SUMIFS('Saldos Iniciales'!$D:$D,'Saldos Iniciales'!$A:$A,"112 Florida Ave")+SUMIFS(Movimientos!$K$1:$K$1368,Movimientos!$C$1:$C$1368,"112 Florida Ave",Movimientos!$B$1:$B$1368,"&lt;="&amp;$B110)</f>
        <v>8724.1700000000037</v>
      </c>
      <c r="S110" s="24">
        <f>SUMIFS('Saldos Iniciales'!$D:$D,'Saldos Iniciales'!$A:$A,"3628 Thomas Ave")+SUMIFS(Movimientos!$K$1:$K$1368,Movimientos!$C$1:$C$1368,"3628 Thomas Ave",Movimientos!$B$1:$B$1368,"&lt;="&amp;$B110)</f>
        <v>19336.039999999997</v>
      </c>
      <c r="T110" s="24">
        <f>SUMIFS('Saldos Iniciales'!$D:$D,'Saldos Iniciales'!$A:$A,"Green Harbor Trust")+SUMIFS(Movimientos!$K$1:$K$1368,Movimientos!$C$1:$C$1368,"Green Harbor Trust",Movimientos!$B$1:$B$1368,"&lt;="&amp;$B110)</f>
        <v>345</v>
      </c>
      <c r="U110" s="24">
        <f>SUMIFS('Saldos Iniciales'!$D:$D,'Saldos Iniciales'!$A:$A,"Go Blue")+SUMIFS(Movimientos!$K$1:$K$1368,Movimientos!$C$1:$C$1368,"Go Blue",Movimientos!$B$1:$B$1368,"&lt;="&amp;$B110)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Group")+SUMIFS(Movimientos!$K$1:$K$1368,Movimientos!$C$1:$C$1368,"CFT Group",Movimientos!$B$1:$B$1368,"&lt;="&amp;$B111)</f>
        <v>1047085.3600000005</v>
      </c>
      <c r="D111" s="24">
        <f>SUMIFS('Saldos Iniciales'!$D:$D,'Saldos Iniciales'!$A:$A,"M1B")+SUMIFS(Movimientos!$K$1:$K$1368,Movimientos!$C$1:$C$1368,"M1B",Movimientos!$B$1:$B$1368,"&lt;="&amp;$B111)</f>
        <v>83211.250000000175</v>
      </c>
      <c r="E111" s="24">
        <f>SUMIFS('Saldos Iniciales'!$D:$D,'Saldos Iniciales'!$A:$A,"Durand")+SUMIFS(Movimientos!$K$1:$K$1368,Movimientos!$C$1:$C$1368,"Durand",Movimientos!$B$1:$B$1368,"&lt;="&amp;$B111)</f>
        <v>1669.89</v>
      </c>
      <c r="F111" s="24">
        <f>SUMIFS('Saldos Iniciales'!$D:$D,'Saldos Iniciales'!$A:$A,"A&amp;M Imports")+SUMIFS(Movimientos!$K$1:$K$1368,Movimientos!$C$1:$C$1368,"A&amp;M Imports",Movimientos!$B$1:$B$1368,"&lt;="&amp;$B111)</f>
        <v>1289031.3399999999</v>
      </c>
      <c r="G111" s="24">
        <f>SUMIFS('Saldos Iniciales'!$D:$D,'Saldos Iniciales'!$A:$A,"SSP Capital")+SUMIFS(Movimientos!$K$1:$K$1368,Movimientos!$C$1:$C$1368,"SSP Capital",Movimientos!$B$1:$B$1368,"&lt;="&amp;$B111)</f>
        <v>1381487.1899999995</v>
      </c>
      <c r="H111" s="24">
        <f>SUMIFS('Saldos Iniciales'!$D:$D,'Saldos Iniciales'!$A:$A,"Cross Family Trust")+SUMIFS(Movimientos!$K$1:$K$1368,Movimientos!$C$1:$C$1368,"Cross Family Trust",Movimientos!$B$1:$B$1368,"&lt;="&amp;$B111)</f>
        <v>221496.38</v>
      </c>
      <c r="I111" s="24">
        <f>SUMIFS('Saldos Iniciales'!$D:$D,'Saldos Iniciales'!$A:$A,"Cross Security Trust")+SUMIFS(Movimientos!$K$1:$K$1368,Movimientos!$C$1:$C$1368,"Cross Security Trust",Movimientos!$B$1:$B$1368,"&lt;="&amp;$B111)</f>
        <v>277586.34000000003</v>
      </c>
      <c r="J111" s="24">
        <f>SUMIFS('Saldos Iniciales'!$D:$D,'Saldos Iniciales'!$A:$A,"Electrama")+SUMIFS(Movimientos!$K$1:$K$1368,Movimientos!$C$1:$C$1368,"Electrama",Movimientos!$B$1:$B$1368,"&lt;="&amp;$B111)</f>
        <v>13270.02</v>
      </c>
      <c r="K111" s="24">
        <f>SUMIFS('Saldos Iniciales'!$D:$D,'Saldos Iniciales'!$A:$A,"Sacred Valley Capital")+SUMIFS(Movimientos!$K$1:$K$1368,Movimientos!$C$1:$C$1368,"Sacred Valley Capital",Movimientos!$B$1:$B$1368,"&lt;="&amp;$B111)</f>
        <v>24.450000000000003</v>
      </c>
      <c r="L111" s="24">
        <f>SUMIFS('Saldos Iniciales'!$D:$D,'Saldos Iniciales'!$A:$A,"YWC Capital")+SUMIFS(Movimientos!$K$1:$K$1368,Movimientos!$C$1:$C$1368,"YWC Capital",Movimientos!$B$1:$B$1368,"&lt;="&amp;$B111)</f>
        <v>2177.87</v>
      </c>
      <c r="M111" s="24">
        <f>SUMIFS('Saldos Iniciales'!$D:$D,'Saldos Iniciales'!$A:$A,"Soweto")+SUMIFS(Movimientos!$K$1:$K$1368,Movimientos!$C$1:$C$1368,"Soweto",Movimientos!$B$1:$B$1368,"&lt;="&amp;$B111)</f>
        <v>754424.72</v>
      </c>
      <c r="N111" s="24">
        <f>SUMIFS('Saldos Iniciales'!$D:$D,'Saldos Iniciales'!$A:$A,"Green Stone Trust")+SUMIFS(Movimientos!$K$1:$K$1368,Movimientos!$C$1:$C$1368,"Green Stone Trust",Movimientos!$B$1:$B$1368,"&lt;="&amp;$B111)</f>
        <v>1968.99</v>
      </c>
      <c r="O111" s="24">
        <f>SUMIFS('Saldos Iniciales'!$D:$D,'Saldos Iniciales'!$A:$A,"EC Auto")+SUMIFS(Movimientos!$K$1:$K$1368,Movimientos!$C$1:$C$1368,"EC Auto",Movimientos!$B$1:$B$1368,"&lt;="&amp;$B111)</f>
        <v>901.34</v>
      </c>
      <c r="P111" s="24">
        <f>SUMIFS('Saldos Iniciales'!$D:$D,'Saldos Iniciales'!$A:$A,"Arbor Capital Properties")+SUMIFS(Movimientos!$K$1:$K$1368,Movimientos!$C$1:$C$1368,"Arbor Capital Properties",Movimientos!$B$1:$B$1368,"&lt;="&amp;$B111)</f>
        <v>1396.08</v>
      </c>
      <c r="Q111" s="24">
        <f>SUMIFS('Saldos Iniciales'!$D:$D,'Saldos Iniciales'!$A:$A,"2515 Overbrook")+SUMIFS(Movimientos!$K$1:$K$1368,Movimientos!$C$1:$C$1368,"2515 Overbrook",Movimientos!$B$1:$B$1368,"&lt;="&amp;$B111)</f>
        <v>13685.709999999959</v>
      </c>
      <c r="R111" s="24">
        <f>SUMIFS('Saldos Iniciales'!$D:$D,'Saldos Iniciales'!$A:$A,"112 Florida Ave")+SUMIFS(Movimientos!$K$1:$K$1368,Movimientos!$C$1:$C$1368,"112 Florida Ave",Movimientos!$B$1:$B$1368,"&lt;="&amp;$B111)</f>
        <v>8724.1700000000037</v>
      </c>
      <c r="S111" s="24">
        <f>SUMIFS('Saldos Iniciales'!$D:$D,'Saldos Iniciales'!$A:$A,"3628 Thomas Ave")+SUMIFS(Movimientos!$K$1:$K$1368,Movimientos!$C$1:$C$1368,"3628 Thomas Ave",Movimientos!$B$1:$B$1368,"&lt;="&amp;$B111)</f>
        <v>19336.039999999997</v>
      </c>
      <c r="T111" s="24">
        <f>SUMIFS('Saldos Iniciales'!$D:$D,'Saldos Iniciales'!$A:$A,"Green Harbor Trust")+SUMIFS(Movimientos!$K$1:$K$1368,Movimientos!$C$1:$C$1368,"Green Harbor Trust",Movimientos!$B$1:$B$1368,"&lt;="&amp;$B111)</f>
        <v>345</v>
      </c>
      <c r="U111" s="24">
        <f>SUMIFS('Saldos Iniciales'!$D:$D,'Saldos Iniciales'!$A:$A,"Go Blue")+SUMIFS(Movimientos!$K$1:$K$1368,Movimientos!$C$1:$C$1368,"Go Blue",Movimientos!$B$1:$B$1368,"&lt;="&amp;$B111)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Group")+SUMIFS(Movimientos!$K$1:$K$1368,Movimientos!$C$1:$C$1368,"CFT Group",Movimientos!$B$1:$B$1368,"&lt;="&amp;$B112)</f>
        <v>1047085.3600000005</v>
      </c>
      <c r="D112" s="24">
        <f>SUMIFS('Saldos Iniciales'!$D:$D,'Saldos Iniciales'!$A:$A,"M1B")+SUMIFS(Movimientos!$K$1:$K$1368,Movimientos!$C$1:$C$1368,"M1B",Movimientos!$B$1:$B$1368,"&lt;="&amp;$B112)</f>
        <v>83211.250000000175</v>
      </c>
      <c r="E112" s="24">
        <f>SUMIFS('Saldos Iniciales'!$D:$D,'Saldos Iniciales'!$A:$A,"Durand")+SUMIFS(Movimientos!$K$1:$K$1368,Movimientos!$C$1:$C$1368,"Durand",Movimientos!$B$1:$B$1368,"&lt;="&amp;$B112)</f>
        <v>1669.89</v>
      </c>
      <c r="F112" s="24">
        <f>SUMIFS('Saldos Iniciales'!$D:$D,'Saldos Iniciales'!$A:$A,"A&amp;M Imports")+SUMIFS(Movimientos!$K$1:$K$1368,Movimientos!$C$1:$C$1368,"A&amp;M Imports",Movimientos!$B$1:$B$1368,"&lt;="&amp;$B112)</f>
        <v>1289031.3399999999</v>
      </c>
      <c r="G112" s="24">
        <f>SUMIFS('Saldos Iniciales'!$D:$D,'Saldos Iniciales'!$A:$A,"SSP Capital")+SUMIFS(Movimientos!$K$1:$K$1368,Movimientos!$C$1:$C$1368,"SSP Capital",Movimientos!$B$1:$B$1368,"&lt;="&amp;$B112)</f>
        <v>1880583.4899999998</v>
      </c>
      <c r="H112" s="24">
        <f>SUMIFS('Saldos Iniciales'!$D:$D,'Saldos Iniciales'!$A:$A,"Cross Family Trust")+SUMIFS(Movimientos!$K$1:$K$1368,Movimientos!$C$1:$C$1368,"Cross Family Trust",Movimientos!$B$1:$B$1368,"&lt;="&amp;$B112)</f>
        <v>221496.38</v>
      </c>
      <c r="I112" s="24">
        <f>SUMIFS('Saldos Iniciales'!$D:$D,'Saldos Iniciales'!$A:$A,"Cross Security Trust")+SUMIFS(Movimientos!$K$1:$K$1368,Movimientos!$C$1:$C$1368,"Cross Security Trust",Movimientos!$B$1:$B$1368,"&lt;="&amp;$B112)</f>
        <v>277586.34000000003</v>
      </c>
      <c r="J112" s="24">
        <f>SUMIFS('Saldos Iniciales'!$D:$D,'Saldos Iniciales'!$A:$A,"Electrama")+SUMIFS(Movimientos!$K$1:$K$1368,Movimientos!$C$1:$C$1368,"Electrama",Movimientos!$B$1:$B$1368,"&lt;="&amp;$B112)</f>
        <v>13270.02</v>
      </c>
      <c r="K112" s="24">
        <f>SUMIFS('Saldos Iniciales'!$D:$D,'Saldos Iniciales'!$A:$A,"Sacred Valley Capital")+SUMIFS(Movimientos!$K$1:$K$1368,Movimientos!$C$1:$C$1368,"Sacred Valley Capital",Movimientos!$B$1:$B$1368,"&lt;="&amp;$B112)</f>
        <v>24.450000000000003</v>
      </c>
      <c r="L112" s="24">
        <f>SUMIFS('Saldos Iniciales'!$D:$D,'Saldos Iniciales'!$A:$A,"YWC Capital")+SUMIFS(Movimientos!$K$1:$K$1368,Movimientos!$C$1:$C$1368,"YWC Capital",Movimientos!$B$1:$B$1368,"&lt;="&amp;$B112)</f>
        <v>2177.87</v>
      </c>
      <c r="M112" s="24">
        <f>SUMIFS('Saldos Iniciales'!$D:$D,'Saldos Iniciales'!$A:$A,"Soweto")+SUMIFS(Movimientos!$K$1:$K$1368,Movimientos!$C$1:$C$1368,"Soweto",Movimientos!$B$1:$B$1368,"&lt;="&amp;$B112)</f>
        <v>754424.72</v>
      </c>
      <c r="N112" s="24">
        <f>SUMIFS('Saldos Iniciales'!$D:$D,'Saldos Iniciales'!$A:$A,"Green Stone Trust")+SUMIFS(Movimientos!$K$1:$K$1368,Movimientos!$C$1:$C$1368,"Green Stone Trust",Movimientos!$B$1:$B$1368,"&lt;="&amp;$B112)</f>
        <v>1968.99</v>
      </c>
      <c r="O112" s="24">
        <f>SUMIFS('Saldos Iniciales'!$D:$D,'Saldos Iniciales'!$A:$A,"EC Auto")+SUMIFS(Movimientos!$K$1:$K$1368,Movimientos!$C$1:$C$1368,"EC Auto",Movimientos!$B$1:$B$1368,"&lt;="&amp;$B112)</f>
        <v>901.34</v>
      </c>
      <c r="P112" s="24">
        <f>SUMIFS('Saldos Iniciales'!$D:$D,'Saldos Iniciales'!$A:$A,"Arbor Capital Properties")+SUMIFS(Movimientos!$K$1:$K$1368,Movimientos!$C$1:$C$1368,"Arbor Capital Properties",Movimientos!$B$1:$B$1368,"&lt;="&amp;$B112)</f>
        <v>1396.08</v>
      </c>
      <c r="Q112" s="24">
        <f>SUMIFS('Saldos Iniciales'!$D:$D,'Saldos Iniciales'!$A:$A,"2515 Overbrook")+SUMIFS(Movimientos!$K$1:$K$1368,Movimientos!$C$1:$C$1368,"2515 Overbrook",Movimientos!$B$1:$B$1368,"&lt;="&amp;$B112)</f>
        <v>13685.709999999959</v>
      </c>
      <c r="R112" s="24">
        <f>SUMIFS('Saldos Iniciales'!$D:$D,'Saldos Iniciales'!$A:$A,"112 Florida Ave")+SUMIFS(Movimientos!$K$1:$K$1368,Movimientos!$C$1:$C$1368,"112 Florida Ave",Movimientos!$B$1:$B$1368,"&lt;="&amp;$B112)</f>
        <v>8724.1700000000037</v>
      </c>
      <c r="S112" s="24">
        <f>SUMIFS('Saldos Iniciales'!$D:$D,'Saldos Iniciales'!$A:$A,"3628 Thomas Ave")+SUMIFS(Movimientos!$K$1:$K$1368,Movimientos!$C$1:$C$1368,"3628 Thomas Ave",Movimientos!$B$1:$B$1368,"&lt;="&amp;$B112)</f>
        <v>19336.039999999997</v>
      </c>
      <c r="T112" s="24">
        <f>SUMIFS('Saldos Iniciales'!$D:$D,'Saldos Iniciales'!$A:$A,"Green Harbor Trust")+SUMIFS(Movimientos!$K$1:$K$1368,Movimientos!$C$1:$C$1368,"Green Harbor Trust",Movimientos!$B$1:$B$1368,"&lt;="&amp;$B112)</f>
        <v>345</v>
      </c>
      <c r="U112" s="24">
        <f>SUMIFS('Saldos Iniciales'!$D:$D,'Saldos Iniciales'!$A:$A,"Go Blue")+SUMIFS(Movimientos!$K$1:$K$1368,Movimientos!$C$1:$C$1368,"Go Blue",Movimientos!$B$1:$B$1368,"&lt;="&amp;$B112)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Group")+SUMIFS(Movimientos!$K$1:$K$1368,Movimientos!$C$1:$C$1368,"CFT Group",Movimientos!$B$1:$B$1368,"&lt;="&amp;$B113)</f>
        <v>702210.36000000045</v>
      </c>
      <c r="D113" s="24">
        <f>SUMIFS('Saldos Iniciales'!$D:$D,'Saldos Iniciales'!$A:$A,"M1B")+SUMIFS(Movimientos!$K$1:$K$1368,Movimientos!$C$1:$C$1368,"M1B",Movimientos!$B$1:$B$1368,"&lt;="&amp;$B113)</f>
        <v>83211.250000000175</v>
      </c>
      <c r="E113" s="24">
        <f>SUMIFS('Saldos Iniciales'!$D:$D,'Saldos Iniciales'!$A:$A,"Durand")+SUMIFS(Movimientos!$K$1:$K$1368,Movimientos!$C$1:$C$1368,"Durand",Movimientos!$B$1:$B$1368,"&lt;="&amp;$B113)</f>
        <v>1669.89</v>
      </c>
      <c r="F113" s="24">
        <f>SUMIFS('Saldos Iniciales'!$D:$D,'Saldos Iniciales'!$A:$A,"A&amp;M Imports")+SUMIFS(Movimientos!$K$1:$K$1368,Movimientos!$C$1:$C$1368,"A&amp;M Imports",Movimientos!$B$1:$B$1368,"&lt;="&amp;$B113)</f>
        <v>1229031.3399999999</v>
      </c>
      <c r="G113" s="24">
        <f>SUMIFS('Saldos Iniciales'!$D:$D,'Saldos Iniciales'!$A:$A,"SSP Capital")+SUMIFS(Movimientos!$K$1:$K$1368,Movimientos!$C$1:$C$1368,"SSP Capital",Movimientos!$B$1:$B$1368,"&lt;="&amp;$B113)</f>
        <v>1744052.5799999996</v>
      </c>
      <c r="H113" s="24">
        <f>SUMIFS('Saldos Iniciales'!$D:$D,'Saldos Iniciales'!$A:$A,"Cross Family Trust")+SUMIFS(Movimientos!$K$1:$K$1368,Movimientos!$C$1:$C$1368,"Cross Family Trust",Movimientos!$B$1:$B$1368,"&lt;="&amp;$B113)</f>
        <v>221496.38</v>
      </c>
      <c r="I113" s="24">
        <f>SUMIFS('Saldos Iniciales'!$D:$D,'Saldos Iniciales'!$A:$A,"Cross Security Trust")+SUMIFS(Movimientos!$K$1:$K$1368,Movimientos!$C$1:$C$1368,"Cross Security Trust",Movimientos!$B$1:$B$1368,"&lt;="&amp;$B113)</f>
        <v>277586.34000000003</v>
      </c>
      <c r="J113" s="24">
        <f>SUMIFS('Saldos Iniciales'!$D:$D,'Saldos Iniciales'!$A:$A,"Electrama")+SUMIFS(Movimientos!$K$1:$K$1368,Movimientos!$C$1:$C$1368,"Electrama",Movimientos!$B$1:$B$1368,"&lt;="&amp;$B113)</f>
        <v>13270.02</v>
      </c>
      <c r="K113" s="24">
        <f>SUMIFS('Saldos Iniciales'!$D:$D,'Saldos Iniciales'!$A:$A,"Sacred Valley Capital")+SUMIFS(Movimientos!$K$1:$K$1368,Movimientos!$C$1:$C$1368,"Sacred Valley Capital",Movimientos!$B$1:$B$1368,"&lt;="&amp;$B113)</f>
        <v>24.450000000000003</v>
      </c>
      <c r="L113" s="24">
        <f>SUMIFS('Saldos Iniciales'!$D:$D,'Saldos Iniciales'!$A:$A,"YWC Capital")+SUMIFS(Movimientos!$K$1:$K$1368,Movimientos!$C$1:$C$1368,"YWC Capital",Movimientos!$B$1:$B$1368,"&lt;="&amp;$B113)</f>
        <v>2177.87</v>
      </c>
      <c r="M113" s="24">
        <f>SUMIFS('Saldos Iniciales'!$D:$D,'Saldos Iniciales'!$A:$A,"Soweto")+SUMIFS(Movimientos!$K$1:$K$1368,Movimientos!$C$1:$C$1368,"Soweto",Movimientos!$B$1:$B$1368,"&lt;="&amp;$B113)</f>
        <v>754424.72</v>
      </c>
      <c r="N113" s="24">
        <f>SUMIFS('Saldos Iniciales'!$D:$D,'Saldos Iniciales'!$A:$A,"Green Stone Trust")+SUMIFS(Movimientos!$K$1:$K$1368,Movimientos!$C$1:$C$1368,"Green Stone Trust",Movimientos!$B$1:$B$1368,"&lt;="&amp;$B113)</f>
        <v>1968.99</v>
      </c>
      <c r="O113" s="24">
        <f>SUMIFS('Saldos Iniciales'!$D:$D,'Saldos Iniciales'!$A:$A,"EC Auto")+SUMIFS(Movimientos!$K$1:$K$1368,Movimientos!$C$1:$C$1368,"EC Auto",Movimientos!$B$1:$B$1368,"&lt;="&amp;$B113)</f>
        <v>901.34</v>
      </c>
      <c r="P113" s="24">
        <f>SUMIFS('Saldos Iniciales'!$D:$D,'Saldos Iniciales'!$A:$A,"Arbor Capital Properties")+SUMIFS(Movimientos!$K$1:$K$1368,Movimientos!$C$1:$C$1368,"Arbor Capital Properties",Movimientos!$B$1:$B$1368,"&lt;="&amp;$B113)</f>
        <v>1396.08</v>
      </c>
      <c r="Q113" s="24">
        <f>SUMIFS('Saldos Iniciales'!$D:$D,'Saldos Iniciales'!$A:$A,"2515 Overbrook")+SUMIFS(Movimientos!$K$1:$K$1368,Movimientos!$C$1:$C$1368,"2515 Overbrook",Movimientos!$B$1:$B$1368,"&lt;="&amp;$B113)</f>
        <v>13685.709999999959</v>
      </c>
      <c r="R113" s="24">
        <f>SUMIFS('Saldos Iniciales'!$D:$D,'Saldos Iniciales'!$A:$A,"112 Florida Ave")+SUMIFS(Movimientos!$K$1:$K$1368,Movimientos!$C$1:$C$1368,"112 Florida Ave",Movimientos!$B$1:$B$1368,"&lt;="&amp;$B113)</f>
        <v>8724.1700000000037</v>
      </c>
      <c r="S113" s="24">
        <f>SUMIFS('Saldos Iniciales'!$D:$D,'Saldos Iniciales'!$A:$A,"3628 Thomas Ave")+SUMIFS(Movimientos!$K$1:$K$1368,Movimientos!$C$1:$C$1368,"3628 Thomas Ave",Movimientos!$B$1:$B$1368,"&lt;="&amp;$B113)</f>
        <v>19336.039999999997</v>
      </c>
      <c r="T113" s="24">
        <f>SUMIFS('Saldos Iniciales'!$D:$D,'Saldos Iniciales'!$A:$A,"Green Harbor Trust")+SUMIFS(Movimientos!$K$1:$K$1368,Movimientos!$C$1:$C$1368,"Green Harbor Trust",Movimientos!$B$1:$B$1368,"&lt;="&amp;$B113)</f>
        <v>345</v>
      </c>
      <c r="U113" s="24">
        <f>SUMIFS('Saldos Iniciales'!$D:$D,'Saldos Iniciales'!$A:$A,"Go Blue")+SUMIFS(Movimientos!$K$1:$K$1368,Movimientos!$C$1:$C$1368,"Go Blue",Movimientos!$B$1:$B$1368,"&lt;="&amp;$B113)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Group")+SUMIFS(Movimientos!$K$1:$K$1368,Movimientos!$C$1:$C$1368,"CFT Group",Movimientos!$B$1:$B$1368,"&lt;="&amp;$B114)</f>
        <v>702210.36000000045</v>
      </c>
      <c r="D114" s="24">
        <f>SUMIFS('Saldos Iniciales'!$D:$D,'Saldos Iniciales'!$A:$A,"M1B")+SUMIFS(Movimientos!$K$1:$K$1368,Movimientos!$C$1:$C$1368,"M1B",Movimientos!$B$1:$B$1368,"&lt;="&amp;$B114)</f>
        <v>83211.250000000175</v>
      </c>
      <c r="E114" s="24">
        <f>SUMIFS('Saldos Iniciales'!$D:$D,'Saldos Iniciales'!$A:$A,"Durand")+SUMIFS(Movimientos!$K$1:$K$1368,Movimientos!$C$1:$C$1368,"Durand",Movimientos!$B$1:$B$1368,"&lt;="&amp;$B114)</f>
        <v>1669.89</v>
      </c>
      <c r="F114" s="24">
        <f>SUMIFS('Saldos Iniciales'!$D:$D,'Saldos Iniciales'!$A:$A,"A&amp;M Imports")+SUMIFS(Movimientos!$K$1:$K$1368,Movimientos!$C$1:$C$1368,"A&amp;M Imports",Movimientos!$B$1:$B$1368,"&lt;="&amp;$B114)</f>
        <v>1229031.3399999999</v>
      </c>
      <c r="G114" s="24">
        <f>SUMIFS('Saldos Iniciales'!$D:$D,'Saldos Iniciales'!$A:$A,"SSP Capital")+SUMIFS(Movimientos!$K$1:$K$1368,Movimientos!$C$1:$C$1368,"SSP Capital",Movimientos!$B$1:$B$1368,"&lt;="&amp;$B114)</f>
        <v>1744052.5799999996</v>
      </c>
      <c r="H114" s="24">
        <f>SUMIFS('Saldos Iniciales'!$D:$D,'Saldos Iniciales'!$A:$A,"Cross Family Trust")+SUMIFS(Movimientos!$K$1:$K$1368,Movimientos!$C$1:$C$1368,"Cross Family Trust",Movimientos!$B$1:$B$1368,"&lt;="&amp;$B114)</f>
        <v>221496.38</v>
      </c>
      <c r="I114" s="24">
        <f>SUMIFS('Saldos Iniciales'!$D:$D,'Saldos Iniciales'!$A:$A,"Cross Security Trust")+SUMIFS(Movimientos!$K$1:$K$1368,Movimientos!$C$1:$C$1368,"Cross Security Trust",Movimientos!$B$1:$B$1368,"&lt;="&amp;$B114)</f>
        <v>277586.34000000003</v>
      </c>
      <c r="J114" s="24">
        <f>SUMIFS('Saldos Iniciales'!$D:$D,'Saldos Iniciales'!$A:$A,"Electrama")+SUMIFS(Movimientos!$K$1:$K$1368,Movimientos!$C$1:$C$1368,"Electrama",Movimientos!$B$1:$B$1368,"&lt;="&amp;$B114)</f>
        <v>13270.02</v>
      </c>
      <c r="K114" s="24">
        <f>SUMIFS('Saldos Iniciales'!$D:$D,'Saldos Iniciales'!$A:$A,"Sacred Valley Capital")+SUMIFS(Movimientos!$K$1:$K$1368,Movimientos!$C$1:$C$1368,"Sacred Valley Capital",Movimientos!$B$1:$B$1368,"&lt;="&amp;$B114)</f>
        <v>24.450000000000003</v>
      </c>
      <c r="L114" s="24">
        <f>SUMIFS('Saldos Iniciales'!$D:$D,'Saldos Iniciales'!$A:$A,"YWC Capital")+SUMIFS(Movimientos!$K$1:$K$1368,Movimientos!$C$1:$C$1368,"YWC Capital",Movimientos!$B$1:$B$1368,"&lt;="&amp;$B114)</f>
        <v>2177.87</v>
      </c>
      <c r="M114" s="24">
        <f>SUMIFS('Saldos Iniciales'!$D:$D,'Saldos Iniciales'!$A:$A,"Soweto")+SUMIFS(Movimientos!$K$1:$K$1368,Movimientos!$C$1:$C$1368,"Soweto",Movimientos!$B$1:$B$1368,"&lt;="&amp;$B114)</f>
        <v>754424.72</v>
      </c>
      <c r="N114" s="24">
        <f>SUMIFS('Saldos Iniciales'!$D:$D,'Saldos Iniciales'!$A:$A,"Green Stone Trust")+SUMIFS(Movimientos!$K$1:$K$1368,Movimientos!$C$1:$C$1368,"Green Stone Trust",Movimientos!$B$1:$B$1368,"&lt;="&amp;$B114)</f>
        <v>1968.99</v>
      </c>
      <c r="O114" s="24">
        <f>SUMIFS('Saldos Iniciales'!$D:$D,'Saldos Iniciales'!$A:$A,"EC Auto")+SUMIFS(Movimientos!$K$1:$K$1368,Movimientos!$C$1:$C$1368,"EC Auto",Movimientos!$B$1:$B$1368,"&lt;="&amp;$B114)</f>
        <v>901.34</v>
      </c>
      <c r="P114" s="24">
        <f>SUMIFS('Saldos Iniciales'!$D:$D,'Saldos Iniciales'!$A:$A,"Arbor Capital Properties")+SUMIFS(Movimientos!$K$1:$K$1368,Movimientos!$C$1:$C$1368,"Arbor Capital Properties",Movimientos!$B$1:$B$1368,"&lt;="&amp;$B114)</f>
        <v>1396.08</v>
      </c>
      <c r="Q114" s="24">
        <f>SUMIFS('Saldos Iniciales'!$D:$D,'Saldos Iniciales'!$A:$A,"2515 Overbrook")+SUMIFS(Movimientos!$K$1:$K$1368,Movimientos!$C$1:$C$1368,"2515 Overbrook",Movimientos!$B$1:$B$1368,"&lt;="&amp;$B114)</f>
        <v>13685.709999999959</v>
      </c>
      <c r="R114" s="24">
        <f>SUMIFS('Saldos Iniciales'!$D:$D,'Saldos Iniciales'!$A:$A,"112 Florida Ave")+SUMIFS(Movimientos!$K$1:$K$1368,Movimientos!$C$1:$C$1368,"112 Florida Ave",Movimientos!$B$1:$B$1368,"&lt;="&amp;$B114)</f>
        <v>8724.1700000000037</v>
      </c>
      <c r="S114" s="24">
        <f>SUMIFS('Saldos Iniciales'!$D:$D,'Saldos Iniciales'!$A:$A,"3628 Thomas Ave")+SUMIFS(Movimientos!$K$1:$K$1368,Movimientos!$C$1:$C$1368,"3628 Thomas Ave",Movimientos!$B$1:$B$1368,"&lt;="&amp;$B114)</f>
        <v>19336.039999999997</v>
      </c>
      <c r="T114" s="24">
        <f>SUMIFS('Saldos Iniciales'!$D:$D,'Saldos Iniciales'!$A:$A,"Green Harbor Trust")+SUMIFS(Movimientos!$K$1:$K$1368,Movimientos!$C$1:$C$1368,"Green Harbor Trust",Movimientos!$B$1:$B$1368,"&lt;="&amp;$B114)</f>
        <v>345</v>
      </c>
      <c r="U114" s="24">
        <f>SUMIFS('Saldos Iniciales'!$D:$D,'Saldos Iniciales'!$A:$A,"Go Blue")+SUMIFS(Movimientos!$K$1:$K$1368,Movimientos!$C$1:$C$1368,"Go Blue",Movimientos!$B$1:$B$1368,"&lt;="&amp;$B114)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Group")+SUMIFS(Movimientos!$K$1:$K$1368,Movimientos!$C$1:$C$1368,"CFT Group",Movimientos!$B$1:$B$1368,"&lt;="&amp;$B115)</f>
        <v>702210.36000000045</v>
      </c>
      <c r="D115" s="24">
        <f>SUMIFS('Saldos Iniciales'!$D:$D,'Saldos Iniciales'!$A:$A,"M1B")+SUMIFS(Movimientos!$K$1:$K$1368,Movimientos!$C$1:$C$1368,"M1B",Movimientos!$B$1:$B$1368,"&lt;="&amp;$B115)</f>
        <v>83211.250000000175</v>
      </c>
      <c r="E115" s="24">
        <f>SUMIFS('Saldos Iniciales'!$D:$D,'Saldos Iniciales'!$A:$A,"Durand")+SUMIFS(Movimientos!$K$1:$K$1368,Movimientos!$C$1:$C$1368,"Durand",Movimientos!$B$1:$B$1368,"&lt;="&amp;$B115)</f>
        <v>1669.89</v>
      </c>
      <c r="F115" s="24">
        <f>SUMIFS('Saldos Iniciales'!$D:$D,'Saldos Iniciales'!$A:$A,"A&amp;M Imports")+SUMIFS(Movimientos!$K$1:$K$1368,Movimientos!$C$1:$C$1368,"A&amp;M Imports",Movimientos!$B$1:$B$1368,"&lt;="&amp;$B115)</f>
        <v>1229031.3399999999</v>
      </c>
      <c r="G115" s="24">
        <f>SUMIFS('Saldos Iniciales'!$D:$D,'Saldos Iniciales'!$A:$A,"SSP Capital")+SUMIFS(Movimientos!$K$1:$K$1368,Movimientos!$C$1:$C$1368,"SSP Capital",Movimientos!$B$1:$B$1368,"&lt;="&amp;$B115)</f>
        <v>1744052.5799999996</v>
      </c>
      <c r="H115" s="24">
        <f>SUMIFS('Saldos Iniciales'!$D:$D,'Saldos Iniciales'!$A:$A,"Cross Family Trust")+SUMIFS(Movimientos!$K$1:$K$1368,Movimientos!$C$1:$C$1368,"Cross Family Trust",Movimientos!$B$1:$B$1368,"&lt;="&amp;$B115)</f>
        <v>221496.38</v>
      </c>
      <c r="I115" s="24">
        <f>SUMIFS('Saldos Iniciales'!$D:$D,'Saldos Iniciales'!$A:$A,"Cross Security Trust")+SUMIFS(Movimientos!$K$1:$K$1368,Movimientos!$C$1:$C$1368,"Cross Security Trust",Movimientos!$B$1:$B$1368,"&lt;="&amp;$B115)</f>
        <v>277586.34000000003</v>
      </c>
      <c r="J115" s="24">
        <f>SUMIFS('Saldos Iniciales'!$D:$D,'Saldos Iniciales'!$A:$A,"Electrama")+SUMIFS(Movimientos!$K$1:$K$1368,Movimientos!$C$1:$C$1368,"Electrama",Movimientos!$B$1:$B$1368,"&lt;="&amp;$B115)</f>
        <v>13270.02</v>
      </c>
      <c r="K115" s="24">
        <f>SUMIFS('Saldos Iniciales'!$D:$D,'Saldos Iniciales'!$A:$A,"Sacred Valley Capital")+SUMIFS(Movimientos!$K$1:$K$1368,Movimientos!$C$1:$C$1368,"Sacred Valley Capital",Movimientos!$B$1:$B$1368,"&lt;="&amp;$B115)</f>
        <v>24.450000000000003</v>
      </c>
      <c r="L115" s="24">
        <f>SUMIFS('Saldos Iniciales'!$D:$D,'Saldos Iniciales'!$A:$A,"YWC Capital")+SUMIFS(Movimientos!$K$1:$K$1368,Movimientos!$C$1:$C$1368,"YWC Capital",Movimientos!$B$1:$B$1368,"&lt;="&amp;$B115)</f>
        <v>2177.87</v>
      </c>
      <c r="M115" s="24">
        <f>SUMIFS('Saldos Iniciales'!$D:$D,'Saldos Iniciales'!$A:$A,"Soweto")+SUMIFS(Movimientos!$K$1:$K$1368,Movimientos!$C$1:$C$1368,"Soweto",Movimientos!$B$1:$B$1368,"&lt;="&amp;$B115)</f>
        <v>754424.72</v>
      </c>
      <c r="N115" s="24">
        <f>SUMIFS('Saldos Iniciales'!$D:$D,'Saldos Iniciales'!$A:$A,"Green Stone Trust")+SUMIFS(Movimientos!$K$1:$K$1368,Movimientos!$C$1:$C$1368,"Green Stone Trust",Movimientos!$B$1:$B$1368,"&lt;="&amp;$B115)</f>
        <v>1968.99</v>
      </c>
      <c r="O115" s="24">
        <f>SUMIFS('Saldos Iniciales'!$D:$D,'Saldos Iniciales'!$A:$A,"EC Auto")+SUMIFS(Movimientos!$K$1:$K$1368,Movimientos!$C$1:$C$1368,"EC Auto",Movimientos!$B$1:$B$1368,"&lt;="&amp;$B115)</f>
        <v>901.34</v>
      </c>
      <c r="P115" s="24">
        <f>SUMIFS('Saldos Iniciales'!$D:$D,'Saldos Iniciales'!$A:$A,"Arbor Capital Properties")+SUMIFS(Movimientos!$K$1:$K$1368,Movimientos!$C$1:$C$1368,"Arbor Capital Properties",Movimientos!$B$1:$B$1368,"&lt;="&amp;$B115)</f>
        <v>1396.08</v>
      </c>
      <c r="Q115" s="24">
        <f>SUMIFS('Saldos Iniciales'!$D:$D,'Saldos Iniciales'!$A:$A,"2515 Overbrook")+SUMIFS(Movimientos!$K$1:$K$1368,Movimientos!$C$1:$C$1368,"2515 Overbrook",Movimientos!$B$1:$B$1368,"&lt;="&amp;$B115)</f>
        <v>13685.709999999959</v>
      </c>
      <c r="R115" s="24">
        <f>SUMIFS('Saldos Iniciales'!$D:$D,'Saldos Iniciales'!$A:$A,"112 Florida Ave")+SUMIFS(Movimientos!$K$1:$K$1368,Movimientos!$C$1:$C$1368,"112 Florida Ave",Movimientos!$B$1:$B$1368,"&lt;="&amp;$B115)</f>
        <v>8724.1700000000037</v>
      </c>
      <c r="S115" s="24">
        <f>SUMIFS('Saldos Iniciales'!$D:$D,'Saldos Iniciales'!$A:$A,"3628 Thomas Ave")+SUMIFS(Movimientos!$K$1:$K$1368,Movimientos!$C$1:$C$1368,"3628 Thomas Ave",Movimientos!$B$1:$B$1368,"&lt;="&amp;$B115)</f>
        <v>19336.039999999997</v>
      </c>
      <c r="T115" s="24">
        <f>SUMIFS('Saldos Iniciales'!$D:$D,'Saldos Iniciales'!$A:$A,"Green Harbor Trust")+SUMIFS(Movimientos!$K$1:$K$1368,Movimientos!$C$1:$C$1368,"Green Harbor Trust",Movimientos!$B$1:$B$1368,"&lt;="&amp;$B115)</f>
        <v>345</v>
      </c>
      <c r="U115" s="24">
        <f>SUMIFS('Saldos Iniciales'!$D:$D,'Saldos Iniciales'!$A:$A,"Go Blue")+SUMIFS(Movimientos!$K$1:$K$1368,Movimientos!$C$1:$C$1368,"Go Blue",Movimientos!$B$1:$B$1368,"&lt;="&amp;$B115)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Group")+SUMIFS(Movimientos!$K$1:$K$1368,Movimientos!$C$1:$C$1368,"CFT Group",Movimientos!$B$1:$B$1368,"&lt;="&amp;$B116)</f>
        <v>702210.36000000045</v>
      </c>
      <c r="D116" s="24">
        <f>SUMIFS('Saldos Iniciales'!$D:$D,'Saldos Iniciales'!$A:$A,"M1B")+SUMIFS(Movimientos!$K$1:$K$1368,Movimientos!$C$1:$C$1368,"M1B",Movimientos!$B$1:$B$1368,"&lt;="&amp;$B116)</f>
        <v>83211.250000000175</v>
      </c>
      <c r="E116" s="24">
        <f>SUMIFS('Saldos Iniciales'!$D:$D,'Saldos Iniciales'!$A:$A,"Durand")+SUMIFS(Movimientos!$K$1:$K$1368,Movimientos!$C$1:$C$1368,"Durand",Movimientos!$B$1:$B$1368,"&lt;="&amp;$B116)</f>
        <v>1669.89</v>
      </c>
      <c r="F116" s="24">
        <f>SUMIFS('Saldos Iniciales'!$D:$D,'Saldos Iniciales'!$A:$A,"A&amp;M Imports")+SUMIFS(Movimientos!$K$1:$K$1368,Movimientos!$C$1:$C$1368,"A&amp;M Imports",Movimientos!$B$1:$B$1368,"&lt;="&amp;$B116)</f>
        <v>1229031.3399999999</v>
      </c>
      <c r="G116" s="24">
        <f>SUMIFS('Saldos Iniciales'!$D:$D,'Saldos Iniciales'!$A:$A,"SSP Capital")+SUMIFS(Movimientos!$K$1:$K$1368,Movimientos!$C$1:$C$1368,"SSP Capital",Movimientos!$B$1:$B$1368,"&lt;="&amp;$B116)</f>
        <v>1744052.5799999996</v>
      </c>
      <c r="H116" s="24">
        <f>SUMIFS('Saldos Iniciales'!$D:$D,'Saldos Iniciales'!$A:$A,"Cross Family Trust")+SUMIFS(Movimientos!$K$1:$K$1368,Movimientos!$C$1:$C$1368,"Cross Family Trust",Movimientos!$B$1:$B$1368,"&lt;="&amp;$B116)</f>
        <v>221496.38</v>
      </c>
      <c r="I116" s="24">
        <f>SUMIFS('Saldos Iniciales'!$D:$D,'Saldos Iniciales'!$A:$A,"Cross Security Trust")+SUMIFS(Movimientos!$K$1:$K$1368,Movimientos!$C$1:$C$1368,"Cross Security Trust",Movimientos!$B$1:$B$1368,"&lt;="&amp;$B116)</f>
        <v>277586.34000000003</v>
      </c>
      <c r="J116" s="24">
        <f>SUMIFS('Saldos Iniciales'!$D:$D,'Saldos Iniciales'!$A:$A,"Electrama")+SUMIFS(Movimientos!$K$1:$K$1368,Movimientos!$C$1:$C$1368,"Electrama",Movimientos!$B$1:$B$1368,"&lt;="&amp;$B116)</f>
        <v>13270.02</v>
      </c>
      <c r="K116" s="24">
        <f>SUMIFS('Saldos Iniciales'!$D:$D,'Saldos Iniciales'!$A:$A,"Sacred Valley Capital")+SUMIFS(Movimientos!$K$1:$K$1368,Movimientos!$C$1:$C$1368,"Sacred Valley Capital",Movimientos!$B$1:$B$1368,"&lt;="&amp;$B116)</f>
        <v>24.450000000000003</v>
      </c>
      <c r="L116" s="24">
        <f>SUMIFS('Saldos Iniciales'!$D:$D,'Saldos Iniciales'!$A:$A,"YWC Capital")+SUMIFS(Movimientos!$K$1:$K$1368,Movimientos!$C$1:$C$1368,"YWC Capital",Movimientos!$B$1:$B$1368,"&lt;="&amp;$B116)</f>
        <v>2177.87</v>
      </c>
      <c r="M116" s="24">
        <f>SUMIFS('Saldos Iniciales'!$D:$D,'Saldos Iniciales'!$A:$A,"Soweto")+SUMIFS(Movimientos!$K$1:$K$1368,Movimientos!$C$1:$C$1368,"Soweto",Movimientos!$B$1:$B$1368,"&lt;="&amp;$B116)</f>
        <v>754424.72</v>
      </c>
      <c r="N116" s="24">
        <f>SUMIFS('Saldos Iniciales'!$D:$D,'Saldos Iniciales'!$A:$A,"Green Stone Trust")+SUMIFS(Movimientos!$K$1:$K$1368,Movimientos!$C$1:$C$1368,"Green Stone Trust",Movimientos!$B$1:$B$1368,"&lt;="&amp;$B116)</f>
        <v>1968.99</v>
      </c>
      <c r="O116" s="24">
        <f>SUMIFS('Saldos Iniciales'!$D:$D,'Saldos Iniciales'!$A:$A,"EC Auto")+SUMIFS(Movimientos!$K$1:$K$1368,Movimientos!$C$1:$C$1368,"EC Auto",Movimientos!$B$1:$B$1368,"&lt;="&amp;$B116)</f>
        <v>901.34</v>
      </c>
      <c r="P116" s="24">
        <f>SUMIFS('Saldos Iniciales'!$D:$D,'Saldos Iniciales'!$A:$A,"Arbor Capital Properties")+SUMIFS(Movimientos!$K$1:$K$1368,Movimientos!$C$1:$C$1368,"Arbor Capital Properties",Movimientos!$B$1:$B$1368,"&lt;="&amp;$B116)</f>
        <v>1396.08</v>
      </c>
      <c r="Q116" s="24">
        <f>SUMIFS('Saldos Iniciales'!$D:$D,'Saldos Iniciales'!$A:$A,"2515 Overbrook")+SUMIFS(Movimientos!$K$1:$K$1368,Movimientos!$C$1:$C$1368,"2515 Overbrook",Movimientos!$B$1:$B$1368,"&lt;="&amp;$B116)</f>
        <v>13685.709999999959</v>
      </c>
      <c r="R116" s="24">
        <f>SUMIFS('Saldos Iniciales'!$D:$D,'Saldos Iniciales'!$A:$A,"112 Florida Ave")+SUMIFS(Movimientos!$K$1:$K$1368,Movimientos!$C$1:$C$1368,"112 Florida Ave",Movimientos!$B$1:$B$1368,"&lt;="&amp;$B116)</f>
        <v>8724.1700000000037</v>
      </c>
      <c r="S116" s="24">
        <f>SUMIFS('Saldos Iniciales'!$D:$D,'Saldos Iniciales'!$A:$A,"3628 Thomas Ave")+SUMIFS(Movimientos!$K$1:$K$1368,Movimientos!$C$1:$C$1368,"3628 Thomas Ave",Movimientos!$B$1:$B$1368,"&lt;="&amp;$B116)</f>
        <v>19336.039999999997</v>
      </c>
      <c r="T116" s="24">
        <f>SUMIFS('Saldos Iniciales'!$D:$D,'Saldos Iniciales'!$A:$A,"Green Harbor Trust")+SUMIFS(Movimientos!$K$1:$K$1368,Movimientos!$C$1:$C$1368,"Green Harbor Trust",Movimientos!$B$1:$B$1368,"&lt;="&amp;$B116)</f>
        <v>345</v>
      </c>
      <c r="U116" s="24">
        <f>SUMIFS('Saldos Iniciales'!$D:$D,'Saldos Iniciales'!$A:$A,"Go Blue")+SUMIFS(Movimientos!$K$1:$K$1368,Movimientos!$C$1:$C$1368,"Go Blue",Movimientos!$B$1:$B$1368,"&lt;="&amp;$B116)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Group")+SUMIFS(Movimientos!$K$1:$K$1368,Movimientos!$C$1:$C$1368,"CFT Group",Movimientos!$B$1:$B$1368,"&lt;="&amp;$B117)</f>
        <v>372210.36000000045</v>
      </c>
      <c r="D117" s="24">
        <f>SUMIFS('Saldos Iniciales'!$D:$D,'Saldos Iniciales'!$A:$A,"M1B")+SUMIFS(Movimientos!$K$1:$K$1368,Movimientos!$C$1:$C$1368,"M1B",Movimientos!$B$1:$B$1368,"&lt;="&amp;$B117)</f>
        <v>83668.990000000165</v>
      </c>
      <c r="E117" s="24">
        <f>SUMIFS('Saldos Iniciales'!$D:$D,'Saldos Iniciales'!$A:$A,"Durand")+SUMIFS(Movimientos!$K$1:$K$1368,Movimientos!$C$1:$C$1368,"Durand",Movimientos!$B$1:$B$1368,"&lt;="&amp;$B117)</f>
        <v>1669.89</v>
      </c>
      <c r="F117" s="24">
        <f>SUMIFS('Saldos Iniciales'!$D:$D,'Saldos Iniciales'!$A:$A,"A&amp;M Imports")+SUMIFS(Movimientos!$K$1:$K$1368,Movimientos!$C$1:$C$1368,"A&amp;M Imports",Movimientos!$B$1:$B$1368,"&lt;="&amp;$B117)</f>
        <v>1234763.3299999998</v>
      </c>
      <c r="G117" s="24">
        <f>SUMIFS('Saldos Iniciales'!$D:$D,'Saldos Iniciales'!$A:$A,"SSP Capital")+SUMIFS(Movimientos!$K$1:$K$1368,Movimientos!$C$1:$C$1368,"SSP Capital",Movimientos!$B$1:$B$1368,"&lt;="&amp;$B117)</f>
        <v>1743289.5899999996</v>
      </c>
      <c r="H117" s="24">
        <f>SUMIFS('Saldos Iniciales'!$D:$D,'Saldos Iniciales'!$A:$A,"Cross Family Trust")+SUMIFS(Movimientos!$K$1:$K$1368,Movimientos!$C$1:$C$1368,"Cross Family Trust",Movimientos!$B$1:$B$1368,"&lt;="&amp;$B117)</f>
        <v>221496.38</v>
      </c>
      <c r="I117" s="24">
        <f>SUMIFS('Saldos Iniciales'!$D:$D,'Saldos Iniciales'!$A:$A,"Cross Security Trust")+SUMIFS(Movimientos!$K$1:$K$1368,Movimientos!$C$1:$C$1368,"Cross Security Trust",Movimientos!$B$1:$B$1368,"&lt;="&amp;$B117)</f>
        <v>277586.34000000003</v>
      </c>
      <c r="J117" s="24">
        <f>SUMIFS('Saldos Iniciales'!$D:$D,'Saldos Iniciales'!$A:$A,"Electrama")+SUMIFS(Movimientos!$K$1:$K$1368,Movimientos!$C$1:$C$1368,"Electrama",Movimientos!$B$1:$B$1368,"&lt;="&amp;$B117)</f>
        <v>13270.02</v>
      </c>
      <c r="K117" s="24">
        <f>SUMIFS('Saldos Iniciales'!$D:$D,'Saldos Iniciales'!$A:$A,"Sacred Valley Capital")+SUMIFS(Movimientos!$K$1:$K$1368,Movimientos!$C$1:$C$1368,"Sacred Valley Capital",Movimientos!$B$1:$B$1368,"&lt;="&amp;$B117)</f>
        <v>24.450000000000003</v>
      </c>
      <c r="L117" s="24">
        <f>SUMIFS('Saldos Iniciales'!$D:$D,'Saldos Iniciales'!$A:$A,"YWC Capital")+SUMIFS(Movimientos!$K$1:$K$1368,Movimientos!$C$1:$C$1368,"YWC Capital",Movimientos!$B$1:$B$1368,"&lt;="&amp;$B117)</f>
        <v>2177.87</v>
      </c>
      <c r="M117" s="24">
        <f>SUMIFS('Saldos Iniciales'!$D:$D,'Saldos Iniciales'!$A:$A,"Soweto")+SUMIFS(Movimientos!$K$1:$K$1368,Movimientos!$C$1:$C$1368,"Soweto",Movimientos!$B$1:$B$1368,"&lt;="&amp;$B117)</f>
        <v>754424.72</v>
      </c>
      <c r="N117" s="24">
        <f>SUMIFS('Saldos Iniciales'!$D:$D,'Saldos Iniciales'!$A:$A,"Green Stone Trust")+SUMIFS(Movimientos!$K$1:$K$1368,Movimientos!$C$1:$C$1368,"Green Stone Trust",Movimientos!$B$1:$B$1368,"&lt;="&amp;$B117)</f>
        <v>1968.99</v>
      </c>
      <c r="O117" s="24">
        <f>SUMIFS('Saldos Iniciales'!$D:$D,'Saldos Iniciales'!$A:$A,"EC Auto")+SUMIFS(Movimientos!$K$1:$K$1368,Movimientos!$C$1:$C$1368,"EC Auto",Movimientos!$B$1:$B$1368,"&lt;="&amp;$B117)</f>
        <v>901.34</v>
      </c>
      <c r="P117" s="24">
        <f>SUMIFS('Saldos Iniciales'!$D:$D,'Saldos Iniciales'!$A:$A,"Arbor Capital Properties")+SUMIFS(Movimientos!$K$1:$K$1368,Movimientos!$C$1:$C$1368,"Arbor Capital Properties",Movimientos!$B$1:$B$1368,"&lt;="&amp;$B117)</f>
        <v>1396.08</v>
      </c>
      <c r="Q117" s="24">
        <f>SUMIFS('Saldos Iniciales'!$D:$D,'Saldos Iniciales'!$A:$A,"2515 Overbrook")+SUMIFS(Movimientos!$K$1:$K$1368,Movimientos!$C$1:$C$1368,"2515 Overbrook",Movimientos!$B$1:$B$1368,"&lt;="&amp;$B117)</f>
        <v>13685.709999999959</v>
      </c>
      <c r="R117" s="24">
        <f>SUMIFS('Saldos Iniciales'!$D:$D,'Saldos Iniciales'!$A:$A,"112 Florida Ave")+SUMIFS(Movimientos!$K$1:$K$1368,Movimientos!$C$1:$C$1368,"112 Florida Ave",Movimientos!$B$1:$B$1368,"&lt;="&amp;$B117)</f>
        <v>8724.1700000000037</v>
      </c>
      <c r="S117" s="24">
        <f>SUMIFS('Saldos Iniciales'!$D:$D,'Saldos Iniciales'!$A:$A,"3628 Thomas Ave")+SUMIFS(Movimientos!$K$1:$K$1368,Movimientos!$C$1:$C$1368,"3628 Thomas Ave",Movimientos!$B$1:$B$1368,"&lt;="&amp;$B117)</f>
        <v>19336.039999999997</v>
      </c>
      <c r="T117" s="24">
        <f>SUMIFS('Saldos Iniciales'!$D:$D,'Saldos Iniciales'!$A:$A,"Green Harbor Trust")+SUMIFS(Movimientos!$K$1:$K$1368,Movimientos!$C$1:$C$1368,"Green Harbor Trust",Movimientos!$B$1:$B$1368,"&lt;="&amp;$B117)</f>
        <v>345</v>
      </c>
      <c r="U117" s="24">
        <f>SUMIFS('Saldos Iniciales'!$D:$D,'Saldos Iniciales'!$A:$A,"Go Blue")+SUMIFS(Movimientos!$K$1:$K$1368,Movimientos!$C$1:$C$1368,"Go Blue",Movimientos!$B$1:$B$1368,"&lt;="&amp;$B117)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Group")+SUMIFS(Movimientos!$K$1:$K$1368,Movimientos!$C$1:$C$1368,"CFT Group",Movimientos!$B$1:$B$1368,"&lt;="&amp;$B118)</f>
        <v>526096.53000000049</v>
      </c>
      <c r="D118" s="24">
        <f>SUMIFS('Saldos Iniciales'!$D:$D,'Saldos Iniciales'!$A:$A,"M1B")+SUMIFS(Movimientos!$K$1:$K$1368,Movimientos!$C$1:$C$1368,"M1B",Movimientos!$B$1:$B$1368,"&lt;="&amp;$B118)</f>
        <v>90643.10000000018</v>
      </c>
      <c r="E118" s="24">
        <f>SUMIFS('Saldos Iniciales'!$D:$D,'Saldos Iniciales'!$A:$A,"Durand")+SUMIFS(Movimientos!$K$1:$K$1368,Movimientos!$C$1:$C$1368,"Durand",Movimientos!$B$1:$B$1368,"&lt;="&amp;$B118)</f>
        <v>1669.89</v>
      </c>
      <c r="F118" s="24">
        <f>SUMIFS('Saldos Iniciales'!$D:$D,'Saldos Iniciales'!$A:$A,"A&amp;M Imports")+SUMIFS(Movimientos!$K$1:$K$1368,Movimientos!$C$1:$C$1368,"A&amp;M Imports",Movimientos!$B$1:$B$1368,"&lt;="&amp;$B118)</f>
        <v>1252108.94</v>
      </c>
      <c r="G118" s="24">
        <f>SUMIFS('Saldos Iniciales'!$D:$D,'Saldos Iniciales'!$A:$A,"SSP Capital")+SUMIFS(Movimientos!$K$1:$K$1368,Movimientos!$C$1:$C$1368,"SSP Capital",Movimientos!$B$1:$B$1368,"&lt;="&amp;$B118)</f>
        <v>1743289.5899999996</v>
      </c>
      <c r="H118" s="24">
        <f>SUMIFS('Saldos Iniciales'!$D:$D,'Saldos Iniciales'!$A:$A,"Cross Family Trust")+SUMIFS(Movimientos!$K$1:$K$1368,Movimientos!$C$1:$C$1368,"Cross Family Trust",Movimientos!$B$1:$B$1368,"&lt;="&amp;$B118)</f>
        <v>221496.38</v>
      </c>
      <c r="I118" s="24">
        <f>SUMIFS('Saldos Iniciales'!$D:$D,'Saldos Iniciales'!$A:$A,"Cross Security Trust")+SUMIFS(Movimientos!$K$1:$K$1368,Movimientos!$C$1:$C$1368,"Cross Security Trust",Movimientos!$B$1:$B$1368,"&lt;="&amp;$B118)</f>
        <v>277586.34000000003</v>
      </c>
      <c r="J118" s="24">
        <f>SUMIFS('Saldos Iniciales'!$D:$D,'Saldos Iniciales'!$A:$A,"Electrama")+SUMIFS(Movimientos!$K$1:$K$1368,Movimientos!$C$1:$C$1368,"Electrama",Movimientos!$B$1:$B$1368,"&lt;="&amp;$B118)</f>
        <v>13270.02</v>
      </c>
      <c r="K118" s="24">
        <f>SUMIFS('Saldos Iniciales'!$D:$D,'Saldos Iniciales'!$A:$A,"Sacred Valley Capital")+SUMIFS(Movimientos!$K$1:$K$1368,Movimientos!$C$1:$C$1368,"Sacred Valley Capital",Movimientos!$B$1:$B$1368,"&lt;="&amp;$B118)</f>
        <v>24.450000000000003</v>
      </c>
      <c r="L118" s="24">
        <f>SUMIFS('Saldos Iniciales'!$D:$D,'Saldos Iniciales'!$A:$A,"YWC Capital")+SUMIFS(Movimientos!$K$1:$K$1368,Movimientos!$C$1:$C$1368,"YWC Capital",Movimientos!$B$1:$B$1368,"&lt;="&amp;$B118)</f>
        <v>2177.87</v>
      </c>
      <c r="M118" s="24">
        <f>SUMIFS('Saldos Iniciales'!$D:$D,'Saldos Iniciales'!$A:$A,"Soweto")+SUMIFS(Movimientos!$K$1:$K$1368,Movimientos!$C$1:$C$1368,"Soweto",Movimientos!$B$1:$B$1368,"&lt;="&amp;$B118)</f>
        <v>754424.72</v>
      </c>
      <c r="N118" s="24">
        <f>SUMIFS('Saldos Iniciales'!$D:$D,'Saldos Iniciales'!$A:$A,"Green Stone Trust")+SUMIFS(Movimientos!$K$1:$K$1368,Movimientos!$C$1:$C$1368,"Green Stone Trust",Movimientos!$B$1:$B$1368,"&lt;="&amp;$B118)</f>
        <v>1968.99</v>
      </c>
      <c r="O118" s="24">
        <f>SUMIFS('Saldos Iniciales'!$D:$D,'Saldos Iniciales'!$A:$A,"EC Auto")+SUMIFS(Movimientos!$K$1:$K$1368,Movimientos!$C$1:$C$1368,"EC Auto",Movimientos!$B$1:$B$1368,"&lt;="&amp;$B118)</f>
        <v>901.34</v>
      </c>
      <c r="P118" s="24">
        <f>SUMIFS('Saldos Iniciales'!$D:$D,'Saldos Iniciales'!$A:$A,"Arbor Capital Properties")+SUMIFS(Movimientos!$K$1:$K$1368,Movimientos!$C$1:$C$1368,"Arbor Capital Properties",Movimientos!$B$1:$B$1368,"&lt;="&amp;$B118)</f>
        <v>1396.08</v>
      </c>
      <c r="Q118" s="24">
        <f>SUMIFS('Saldos Iniciales'!$D:$D,'Saldos Iniciales'!$A:$A,"2515 Overbrook")+SUMIFS(Movimientos!$K$1:$K$1368,Movimientos!$C$1:$C$1368,"2515 Overbrook",Movimientos!$B$1:$B$1368,"&lt;="&amp;$B118)</f>
        <v>13685.709999999959</v>
      </c>
      <c r="R118" s="24">
        <f>SUMIFS('Saldos Iniciales'!$D:$D,'Saldos Iniciales'!$A:$A,"112 Florida Ave")+SUMIFS(Movimientos!$K$1:$K$1368,Movimientos!$C$1:$C$1368,"112 Florida Ave",Movimientos!$B$1:$B$1368,"&lt;="&amp;$B118)</f>
        <v>8724.1700000000037</v>
      </c>
      <c r="S118" s="24">
        <f>SUMIFS('Saldos Iniciales'!$D:$D,'Saldos Iniciales'!$A:$A,"3628 Thomas Ave")+SUMIFS(Movimientos!$K$1:$K$1368,Movimientos!$C$1:$C$1368,"3628 Thomas Ave",Movimientos!$B$1:$B$1368,"&lt;="&amp;$B118)</f>
        <v>19336.039999999997</v>
      </c>
      <c r="T118" s="24">
        <f>SUMIFS('Saldos Iniciales'!$D:$D,'Saldos Iniciales'!$A:$A,"Green Harbor Trust")+SUMIFS(Movimientos!$K$1:$K$1368,Movimientos!$C$1:$C$1368,"Green Harbor Trust",Movimientos!$B$1:$B$1368,"&lt;="&amp;$B118)</f>
        <v>345</v>
      </c>
      <c r="U118" s="24">
        <f>SUMIFS('Saldos Iniciales'!$D:$D,'Saldos Iniciales'!$A:$A,"Go Blue")+SUMIFS(Movimientos!$K$1:$K$1368,Movimientos!$C$1:$C$1368,"Go Blue",Movimientos!$B$1:$B$1368,"&lt;="&amp;$B118)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Group")+SUMIFS(Movimientos!$K$1:$K$1368,Movimientos!$C$1:$C$1368,"CFT Group",Movimientos!$B$1:$B$1368,"&lt;="&amp;$B119)</f>
        <v>526096.53000000049</v>
      </c>
      <c r="D119" s="24">
        <f>SUMIFS('Saldos Iniciales'!$D:$D,'Saldos Iniciales'!$A:$A,"M1B")+SUMIFS(Movimientos!$K$1:$K$1368,Movimientos!$C$1:$C$1368,"M1B",Movimientos!$B$1:$B$1368,"&lt;="&amp;$B119)</f>
        <v>90643.10000000018</v>
      </c>
      <c r="E119" s="24">
        <f>SUMIFS('Saldos Iniciales'!$D:$D,'Saldos Iniciales'!$A:$A,"Durand")+SUMIFS(Movimientos!$K$1:$K$1368,Movimientos!$C$1:$C$1368,"Durand",Movimientos!$B$1:$B$1368,"&lt;="&amp;$B119)</f>
        <v>1669.89</v>
      </c>
      <c r="F119" s="24">
        <f>SUMIFS('Saldos Iniciales'!$D:$D,'Saldos Iniciales'!$A:$A,"A&amp;M Imports")+SUMIFS(Movimientos!$K$1:$K$1368,Movimientos!$C$1:$C$1368,"A&amp;M Imports",Movimientos!$B$1:$B$1368,"&lt;="&amp;$B119)</f>
        <v>1269654.47</v>
      </c>
      <c r="G119" s="24">
        <f>SUMIFS('Saldos Iniciales'!$D:$D,'Saldos Iniciales'!$A:$A,"SSP Capital")+SUMIFS(Movimientos!$K$1:$K$1368,Movimientos!$C$1:$C$1368,"SSP Capital",Movimientos!$B$1:$B$1368,"&lt;="&amp;$B119)</f>
        <v>1743289.5899999996</v>
      </c>
      <c r="H119" s="24">
        <f>SUMIFS('Saldos Iniciales'!$D:$D,'Saldos Iniciales'!$A:$A,"Cross Family Trust")+SUMIFS(Movimientos!$K$1:$K$1368,Movimientos!$C$1:$C$1368,"Cross Family Trust",Movimientos!$B$1:$B$1368,"&lt;="&amp;$B119)</f>
        <v>221496.38</v>
      </c>
      <c r="I119" s="24">
        <f>SUMIFS('Saldos Iniciales'!$D:$D,'Saldos Iniciales'!$A:$A,"Cross Security Trust")+SUMIFS(Movimientos!$K$1:$K$1368,Movimientos!$C$1:$C$1368,"Cross Security Trust",Movimientos!$B$1:$B$1368,"&lt;="&amp;$B119)</f>
        <v>277586.34000000003</v>
      </c>
      <c r="J119" s="24">
        <f>SUMIFS('Saldos Iniciales'!$D:$D,'Saldos Iniciales'!$A:$A,"Electrama")+SUMIFS(Movimientos!$K$1:$K$1368,Movimientos!$C$1:$C$1368,"Electrama",Movimientos!$B$1:$B$1368,"&lt;="&amp;$B119)</f>
        <v>13270.02</v>
      </c>
      <c r="K119" s="24">
        <f>SUMIFS('Saldos Iniciales'!$D:$D,'Saldos Iniciales'!$A:$A,"Sacred Valley Capital")+SUMIFS(Movimientos!$K$1:$K$1368,Movimientos!$C$1:$C$1368,"Sacred Valley Capital",Movimientos!$B$1:$B$1368,"&lt;="&amp;$B119)</f>
        <v>24.450000000000003</v>
      </c>
      <c r="L119" s="24">
        <f>SUMIFS('Saldos Iniciales'!$D:$D,'Saldos Iniciales'!$A:$A,"YWC Capital")+SUMIFS(Movimientos!$K$1:$K$1368,Movimientos!$C$1:$C$1368,"YWC Capital",Movimientos!$B$1:$B$1368,"&lt;="&amp;$B119)</f>
        <v>2177.87</v>
      </c>
      <c r="M119" s="24">
        <f>SUMIFS('Saldos Iniciales'!$D:$D,'Saldos Iniciales'!$A:$A,"Soweto")+SUMIFS(Movimientos!$K$1:$K$1368,Movimientos!$C$1:$C$1368,"Soweto",Movimientos!$B$1:$B$1368,"&lt;="&amp;$B119)</f>
        <v>754424.72</v>
      </c>
      <c r="N119" s="24">
        <f>SUMIFS('Saldos Iniciales'!$D:$D,'Saldos Iniciales'!$A:$A,"Green Stone Trust")+SUMIFS(Movimientos!$K$1:$K$1368,Movimientos!$C$1:$C$1368,"Green Stone Trust",Movimientos!$B$1:$B$1368,"&lt;="&amp;$B119)</f>
        <v>1968.99</v>
      </c>
      <c r="O119" s="24">
        <f>SUMIFS('Saldos Iniciales'!$D:$D,'Saldos Iniciales'!$A:$A,"EC Auto")+SUMIFS(Movimientos!$K$1:$K$1368,Movimientos!$C$1:$C$1368,"EC Auto",Movimientos!$B$1:$B$1368,"&lt;="&amp;$B119)</f>
        <v>901.34</v>
      </c>
      <c r="P119" s="24">
        <f>SUMIFS('Saldos Iniciales'!$D:$D,'Saldos Iniciales'!$A:$A,"Arbor Capital Properties")+SUMIFS(Movimientos!$K$1:$K$1368,Movimientos!$C$1:$C$1368,"Arbor Capital Properties",Movimientos!$B$1:$B$1368,"&lt;="&amp;$B119)</f>
        <v>1396.08</v>
      </c>
      <c r="Q119" s="24">
        <f>SUMIFS('Saldos Iniciales'!$D:$D,'Saldos Iniciales'!$A:$A,"2515 Overbrook")+SUMIFS(Movimientos!$K$1:$K$1368,Movimientos!$C$1:$C$1368,"2515 Overbrook",Movimientos!$B$1:$B$1368,"&lt;="&amp;$B119)</f>
        <v>13685.709999999959</v>
      </c>
      <c r="R119" s="24">
        <f>SUMIFS('Saldos Iniciales'!$D:$D,'Saldos Iniciales'!$A:$A,"112 Florida Ave")+SUMIFS(Movimientos!$K$1:$K$1368,Movimientos!$C$1:$C$1368,"112 Florida Ave",Movimientos!$B$1:$B$1368,"&lt;="&amp;$B119)</f>
        <v>8724.1700000000037</v>
      </c>
      <c r="S119" s="24">
        <f>SUMIFS('Saldos Iniciales'!$D:$D,'Saldos Iniciales'!$A:$A,"3628 Thomas Ave")+SUMIFS(Movimientos!$K$1:$K$1368,Movimientos!$C$1:$C$1368,"3628 Thomas Ave",Movimientos!$B$1:$B$1368,"&lt;="&amp;$B119)</f>
        <v>19336.039999999997</v>
      </c>
      <c r="T119" s="24">
        <f>SUMIFS('Saldos Iniciales'!$D:$D,'Saldos Iniciales'!$A:$A,"Green Harbor Trust")+SUMIFS(Movimientos!$K$1:$K$1368,Movimientos!$C$1:$C$1368,"Green Harbor Trust",Movimientos!$B$1:$B$1368,"&lt;="&amp;$B119)</f>
        <v>345</v>
      </c>
      <c r="U119" s="24">
        <f>SUMIFS('Saldos Iniciales'!$D:$D,'Saldos Iniciales'!$A:$A,"Go Blue")+SUMIFS(Movimientos!$K$1:$K$1368,Movimientos!$C$1:$C$1368,"Go Blue",Movimientos!$B$1:$B$1368,"&lt;="&amp;$B119)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Group")+SUMIFS(Movimientos!$K$1:$K$1368,Movimientos!$C$1:$C$1368,"CFT Group",Movimientos!$B$1:$B$1368,"&lt;="&amp;$B120)</f>
        <v>578093.59000000043</v>
      </c>
      <c r="D120" s="24">
        <f>SUMIFS('Saldos Iniciales'!$D:$D,'Saldos Iniciales'!$A:$A,"M1B")+SUMIFS(Movimientos!$K$1:$K$1368,Movimientos!$C$1:$C$1368,"M1B",Movimientos!$B$1:$B$1368,"&lt;="&amp;$B120)</f>
        <v>90643.10000000018</v>
      </c>
      <c r="E120" s="24">
        <f>SUMIFS('Saldos Iniciales'!$D:$D,'Saldos Iniciales'!$A:$A,"Durand")+SUMIFS(Movimientos!$K$1:$K$1368,Movimientos!$C$1:$C$1368,"Durand",Movimientos!$B$1:$B$1368,"&lt;="&amp;$B120)</f>
        <v>1669.89</v>
      </c>
      <c r="F120" s="24">
        <f>SUMIFS('Saldos Iniciales'!$D:$D,'Saldos Iniciales'!$A:$A,"A&amp;M Imports")+SUMIFS(Movimientos!$K$1:$K$1368,Movimientos!$C$1:$C$1368,"A&amp;M Imports",Movimientos!$B$1:$B$1368,"&lt;="&amp;$B120)</f>
        <v>1394654.47</v>
      </c>
      <c r="G120" s="24">
        <f>SUMIFS('Saldos Iniciales'!$D:$D,'Saldos Iniciales'!$A:$A,"SSP Capital")+SUMIFS(Movimientos!$K$1:$K$1368,Movimientos!$C$1:$C$1368,"SSP Capital",Movimientos!$B$1:$B$1368,"&lt;="&amp;$B120)</f>
        <v>1719364.7199999997</v>
      </c>
      <c r="H120" s="24">
        <f>SUMIFS('Saldos Iniciales'!$D:$D,'Saldos Iniciales'!$A:$A,"Cross Family Trust")+SUMIFS(Movimientos!$K$1:$K$1368,Movimientos!$C$1:$C$1368,"Cross Family Trust",Movimientos!$B$1:$B$1368,"&lt;="&amp;$B120)</f>
        <v>221496.38</v>
      </c>
      <c r="I120" s="24">
        <f>SUMIFS('Saldos Iniciales'!$D:$D,'Saldos Iniciales'!$A:$A,"Cross Security Trust")+SUMIFS(Movimientos!$K$1:$K$1368,Movimientos!$C$1:$C$1368,"Cross Security Trust",Movimientos!$B$1:$B$1368,"&lt;="&amp;$B120)</f>
        <v>277586.34000000003</v>
      </c>
      <c r="J120" s="24">
        <f>SUMIFS('Saldos Iniciales'!$D:$D,'Saldos Iniciales'!$A:$A,"Electrama")+SUMIFS(Movimientos!$K$1:$K$1368,Movimientos!$C$1:$C$1368,"Electrama",Movimientos!$B$1:$B$1368,"&lt;="&amp;$B120)</f>
        <v>13270.02</v>
      </c>
      <c r="K120" s="24">
        <f>SUMIFS('Saldos Iniciales'!$D:$D,'Saldos Iniciales'!$A:$A,"Sacred Valley Capital")+SUMIFS(Movimientos!$K$1:$K$1368,Movimientos!$C$1:$C$1368,"Sacred Valley Capital",Movimientos!$B$1:$B$1368,"&lt;="&amp;$B120)</f>
        <v>124.45</v>
      </c>
      <c r="L120" s="24">
        <f>SUMIFS('Saldos Iniciales'!$D:$D,'Saldos Iniciales'!$A:$A,"YWC Capital")+SUMIFS(Movimientos!$K$1:$K$1368,Movimientos!$C$1:$C$1368,"YWC Capital",Movimientos!$B$1:$B$1368,"&lt;="&amp;$B120)</f>
        <v>2177.87</v>
      </c>
      <c r="M120" s="24">
        <f>SUMIFS('Saldos Iniciales'!$D:$D,'Saldos Iniciales'!$A:$A,"Soweto")+SUMIFS(Movimientos!$K$1:$K$1368,Movimientos!$C$1:$C$1368,"Soweto",Movimientos!$B$1:$B$1368,"&lt;="&amp;$B120)</f>
        <v>754424.72</v>
      </c>
      <c r="N120" s="24">
        <f>SUMIFS('Saldos Iniciales'!$D:$D,'Saldos Iniciales'!$A:$A,"Green Stone Trust")+SUMIFS(Movimientos!$K$1:$K$1368,Movimientos!$C$1:$C$1368,"Green Stone Trust",Movimientos!$B$1:$B$1368,"&lt;="&amp;$B120)</f>
        <v>1968.99</v>
      </c>
      <c r="O120" s="24">
        <f>SUMIFS('Saldos Iniciales'!$D:$D,'Saldos Iniciales'!$A:$A,"EC Auto")+SUMIFS(Movimientos!$K$1:$K$1368,Movimientos!$C$1:$C$1368,"EC Auto",Movimientos!$B$1:$B$1368,"&lt;="&amp;$B120)</f>
        <v>901.34</v>
      </c>
      <c r="P120" s="24">
        <f>SUMIFS('Saldos Iniciales'!$D:$D,'Saldos Iniciales'!$A:$A,"Arbor Capital Properties")+SUMIFS(Movimientos!$K$1:$K$1368,Movimientos!$C$1:$C$1368,"Arbor Capital Properties",Movimientos!$B$1:$B$1368,"&lt;="&amp;$B120)</f>
        <v>1396.08</v>
      </c>
      <c r="Q120" s="24">
        <f>SUMIFS('Saldos Iniciales'!$D:$D,'Saldos Iniciales'!$A:$A,"2515 Overbrook")+SUMIFS(Movimientos!$K$1:$K$1368,Movimientos!$C$1:$C$1368,"2515 Overbrook",Movimientos!$B$1:$B$1368,"&lt;="&amp;$B120)</f>
        <v>33685.709999999963</v>
      </c>
      <c r="R120" s="24">
        <f>SUMIFS('Saldos Iniciales'!$D:$D,'Saldos Iniciales'!$A:$A,"112 Florida Ave")+SUMIFS(Movimientos!$K$1:$K$1368,Movimientos!$C$1:$C$1368,"112 Florida Ave",Movimientos!$B$1:$B$1368,"&lt;="&amp;$B120)</f>
        <v>29724.170000000006</v>
      </c>
      <c r="S120" s="24">
        <f>SUMIFS('Saldos Iniciales'!$D:$D,'Saldos Iniciales'!$A:$A,"3628 Thomas Ave")+SUMIFS(Movimientos!$K$1:$K$1368,Movimientos!$C$1:$C$1368,"3628 Thomas Ave",Movimientos!$B$1:$B$1368,"&lt;="&amp;$B120)</f>
        <v>19336.039999999997</v>
      </c>
      <c r="T120" s="24">
        <f>SUMIFS('Saldos Iniciales'!$D:$D,'Saldos Iniciales'!$A:$A,"Green Harbor Trust")+SUMIFS(Movimientos!$K$1:$K$1368,Movimientos!$C$1:$C$1368,"Green Harbor Trust",Movimientos!$B$1:$B$1368,"&lt;="&amp;$B120)</f>
        <v>345</v>
      </c>
      <c r="U120" s="24">
        <f>SUMIFS('Saldos Iniciales'!$D:$D,'Saldos Iniciales'!$A:$A,"Go Blue")+SUMIFS(Movimientos!$K$1:$K$1368,Movimientos!$C$1:$C$1368,"Go Blue",Movimientos!$B$1:$B$1368,"&lt;="&amp;$B120)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Group")+SUMIFS(Movimientos!$K$1:$K$1368,Movimientos!$C$1:$C$1368,"CFT Group",Movimientos!$B$1:$B$1368,"&lt;="&amp;$B121)</f>
        <v>743430.83000000054</v>
      </c>
      <c r="D121" s="24">
        <f>SUMIFS('Saldos Iniciales'!$D:$D,'Saldos Iniciales'!$A:$A,"M1B")+SUMIFS(Movimientos!$K$1:$K$1368,Movimientos!$C$1:$C$1368,"M1B",Movimientos!$B$1:$B$1368,"&lt;="&amp;$B121)</f>
        <v>93280.230000000171</v>
      </c>
      <c r="E121" s="24">
        <f>SUMIFS('Saldos Iniciales'!$D:$D,'Saldos Iniciales'!$A:$A,"Durand")+SUMIFS(Movimientos!$K$1:$K$1368,Movimientos!$C$1:$C$1368,"Durand",Movimientos!$B$1:$B$1368,"&lt;="&amp;$B121)</f>
        <v>1669.89</v>
      </c>
      <c r="F121" s="24">
        <f>SUMIFS('Saldos Iniciales'!$D:$D,'Saldos Iniciales'!$A:$A,"A&amp;M Imports")+SUMIFS(Movimientos!$K$1:$K$1368,Movimientos!$C$1:$C$1368,"A&amp;M Imports",Movimientos!$B$1:$B$1368,"&lt;="&amp;$B121)</f>
        <v>1418445.91</v>
      </c>
      <c r="G121" s="24">
        <f>SUMIFS('Saldos Iniciales'!$D:$D,'Saldos Iniciales'!$A:$A,"SSP Capital")+SUMIFS(Movimientos!$K$1:$K$1368,Movimientos!$C$1:$C$1368,"SSP Capital",Movimientos!$B$1:$B$1368,"&lt;="&amp;$B121)</f>
        <v>1553167.1899999995</v>
      </c>
      <c r="H121" s="24">
        <f>SUMIFS('Saldos Iniciales'!$D:$D,'Saldos Iniciales'!$A:$A,"Cross Family Trust")+SUMIFS(Movimientos!$K$1:$K$1368,Movimientos!$C$1:$C$1368,"Cross Family Trust",Movimientos!$B$1:$B$1368,"&lt;="&amp;$B121)</f>
        <v>221496.38</v>
      </c>
      <c r="I121" s="24">
        <f>SUMIFS('Saldos Iniciales'!$D:$D,'Saldos Iniciales'!$A:$A,"Cross Security Trust")+SUMIFS(Movimientos!$K$1:$K$1368,Movimientos!$C$1:$C$1368,"Cross Security Trust",Movimientos!$B$1:$B$1368,"&lt;="&amp;$B121)</f>
        <v>217684.34</v>
      </c>
      <c r="J121" s="24">
        <f>SUMIFS('Saldos Iniciales'!$D:$D,'Saldos Iniciales'!$A:$A,"Electrama")+SUMIFS(Movimientos!$K$1:$K$1368,Movimientos!$C$1:$C$1368,"Electrama",Movimientos!$B$1:$B$1368,"&lt;="&amp;$B121)</f>
        <v>13270.02</v>
      </c>
      <c r="K121" s="24">
        <f>SUMIFS('Saldos Iniciales'!$D:$D,'Saldos Iniciales'!$A:$A,"Sacred Valley Capital")+SUMIFS(Movimientos!$K$1:$K$1368,Movimientos!$C$1:$C$1368,"Sacred Valley Capital",Movimientos!$B$1:$B$1368,"&lt;="&amp;$B121)</f>
        <v>124.45</v>
      </c>
      <c r="L121" s="24">
        <f>SUMIFS('Saldos Iniciales'!$D:$D,'Saldos Iniciales'!$A:$A,"YWC Capital")+SUMIFS(Movimientos!$K$1:$K$1368,Movimientos!$C$1:$C$1368,"YWC Capital",Movimientos!$B$1:$B$1368,"&lt;="&amp;$B121)</f>
        <v>2177.87</v>
      </c>
      <c r="M121" s="24">
        <f>SUMIFS('Saldos Iniciales'!$D:$D,'Saldos Iniciales'!$A:$A,"Soweto")+SUMIFS(Movimientos!$K$1:$K$1368,Movimientos!$C$1:$C$1368,"Soweto",Movimientos!$B$1:$B$1368,"&lt;="&amp;$B121)</f>
        <v>754424.72</v>
      </c>
      <c r="N121" s="24">
        <f>SUMIFS('Saldos Iniciales'!$D:$D,'Saldos Iniciales'!$A:$A,"Green Stone Trust")+SUMIFS(Movimientos!$K$1:$K$1368,Movimientos!$C$1:$C$1368,"Green Stone Trust",Movimientos!$B$1:$B$1368,"&lt;="&amp;$B121)</f>
        <v>1968.99</v>
      </c>
      <c r="O121" s="24">
        <f>SUMIFS('Saldos Iniciales'!$D:$D,'Saldos Iniciales'!$A:$A,"EC Auto")+SUMIFS(Movimientos!$K$1:$K$1368,Movimientos!$C$1:$C$1368,"EC Auto",Movimientos!$B$1:$B$1368,"&lt;="&amp;$B121)</f>
        <v>901.34</v>
      </c>
      <c r="P121" s="24">
        <f>SUMIFS('Saldos Iniciales'!$D:$D,'Saldos Iniciales'!$A:$A,"Arbor Capital Properties")+SUMIFS(Movimientos!$K$1:$K$1368,Movimientos!$C$1:$C$1368,"Arbor Capital Properties",Movimientos!$B$1:$B$1368,"&lt;="&amp;$B121)</f>
        <v>1396.08</v>
      </c>
      <c r="Q121" s="24">
        <f>SUMIFS('Saldos Iniciales'!$D:$D,'Saldos Iniciales'!$A:$A,"2515 Overbrook")+SUMIFS(Movimientos!$K$1:$K$1368,Movimientos!$C$1:$C$1368,"2515 Overbrook",Movimientos!$B$1:$B$1368,"&lt;="&amp;$B121)</f>
        <v>33670.709999999963</v>
      </c>
      <c r="R121" s="24">
        <f>SUMIFS('Saldos Iniciales'!$D:$D,'Saldos Iniciales'!$A:$A,"112 Florida Ave")+SUMIFS(Movimientos!$K$1:$K$1368,Movimientos!$C$1:$C$1368,"112 Florida Ave",Movimientos!$B$1:$B$1368,"&lt;="&amp;$B121)</f>
        <v>29709.170000000006</v>
      </c>
      <c r="S121" s="24">
        <f>SUMIFS('Saldos Iniciales'!$D:$D,'Saldos Iniciales'!$A:$A,"3628 Thomas Ave")+SUMIFS(Movimientos!$K$1:$K$1368,Movimientos!$C$1:$C$1368,"3628 Thomas Ave",Movimientos!$B$1:$B$1368,"&lt;="&amp;$B121)</f>
        <v>19336.039999999997</v>
      </c>
      <c r="T121" s="24">
        <f>SUMIFS('Saldos Iniciales'!$D:$D,'Saldos Iniciales'!$A:$A,"Green Harbor Trust")+SUMIFS(Movimientos!$K$1:$K$1368,Movimientos!$C$1:$C$1368,"Green Harbor Trust",Movimientos!$B$1:$B$1368,"&lt;="&amp;$B121)</f>
        <v>345</v>
      </c>
      <c r="U121" s="24">
        <f>SUMIFS('Saldos Iniciales'!$D:$D,'Saldos Iniciales'!$A:$A,"Go Blue")+SUMIFS(Movimientos!$K$1:$K$1368,Movimientos!$C$1:$C$1368,"Go Blue",Movimientos!$B$1:$B$1368,"&lt;="&amp;$B121)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Group")+SUMIFS(Movimientos!$K$1:$K$1368,Movimientos!$C$1:$C$1368,"CFT Group",Movimientos!$B$1:$B$1368,"&lt;="&amp;$B122)</f>
        <v>743430.83000000054</v>
      </c>
      <c r="D122" s="24">
        <f>SUMIFS('Saldos Iniciales'!$D:$D,'Saldos Iniciales'!$A:$A,"M1B")+SUMIFS(Movimientos!$K$1:$K$1368,Movimientos!$C$1:$C$1368,"M1B",Movimientos!$B$1:$B$1368,"&lt;="&amp;$B122)</f>
        <v>93280.230000000171</v>
      </c>
      <c r="E122" s="24">
        <f>SUMIFS('Saldos Iniciales'!$D:$D,'Saldos Iniciales'!$A:$A,"Durand")+SUMIFS(Movimientos!$K$1:$K$1368,Movimientos!$C$1:$C$1368,"Durand",Movimientos!$B$1:$B$1368,"&lt;="&amp;$B122)</f>
        <v>1669.89</v>
      </c>
      <c r="F122" s="24">
        <f>SUMIFS('Saldos Iniciales'!$D:$D,'Saldos Iniciales'!$A:$A,"A&amp;M Imports")+SUMIFS(Movimientos!$K$1:$K$1368,Movimientos!$C$1:$C$1368,"A&amp;M Imports",Movimientos!$B$1:$B$1368,"&lt;="&amp;$B122)</f>
        <v>1418445.91</v>
      </c>
      <c r="G122" s="24">
        <f>SUMIFS('Saldos Iniciales'!$D:$D,'Saldos Iniciales'!$A:$A,"SSP Capital")+SUMIFS(Movimientos!$K$1:$K$1368,Movimientos!$C$1:$C$1368,"SSP Capital",Movimientos!$B$1:$B$1368,"&lt;="&amp;$B122)</f>
        <v>1553167.1899999995</v>
      </c>
      <c r="H122" s="24">
        <f>SUMIFS('Saldos Iniciales'!$D:$D,'Saldos Iniciales'!$A:$A,"Cross Family Trust")+SUMIFS(Movimientos!$K$1:$K$1368,Movimientos!$C$1:$C$1368,"Cross Family Trust",Movimientos!$B$1:$B$1368,"&lt;="&amp;$B122)</f>
        <v>221496.38</v>
      </c>
      <c r="I122" s="24">
        <f>SUMIFS('Saldos Iniciales'!$D:$D,'Saldos Iniciales'!$A:$A,"Cross Security Trust")+SUMIFS(Movimientos!$K$1:$K$1368,Movimientos!$C$1:$C$1368,"Cross Security Trust",Movimientos!$B$1:$B$1368,"&lt;="&amp;$B122)</f>
        <v>217684.34</v>
      </c>
      <c r="J122" s="24">
        <f>SUMIFS('Saldos Iniciales'!$D:$D,'Saldos Iniciales'!$A:$A,"Electrama")+SUMIFS(Movimientos!$K$1:$K$1368,Movimientos!$C$1:$C$1368,"Electrama",Movimientos!$B$1:$B$1368,"&lt;="&amp;$B122)</f>
        <v>13270.02</v>
      </c>
      <c r="K122" s="24">
        <f>SUMIFS('Saldos Iniciales'!$D:$D,'Saldos Iniciales'!$A:$A,"Sacred Valley Capital")+SUMIFS(Movimientos!$K$1:$K$1368,Movimientos!$C$1:$C$1368,"Sacred Valley Capital",Movimientos!$B$1:$B$1368,"&lt;="&amp;$B122)</f>
        <v>124.45</v>
      </c>
      <c r="L122" s="24">
        <f>SUMIFS('Saldos Iniciales'!$D:$D,'Saldos Iniciales'!$A:$A,"YWC Capital")+SUMIFS(Movimientos!$K$1:$K$1368,Movimientos!$C$1:$C$1368,"YWC Capital",Movimientos!$B$1:$B$1368,"&lt;="&amp;$B122)</f>
        <v>2177.87</v>
      </c>
      <c r="M122" s="24">
        <f>SUMIFS('Saldos Iniciales'!$D:$D,'Saldos Iniciales'!$A:$A,"Soweto")+SUMIFS(Movimientos!$K$1:$K$1368,Movimientos!$C$1:$C$1368,"Soweto",Movimientos!$B$1:$B$1368,"&lt;="&amp;$B122)</f>
        <v>754424.72</v>
      </c>
      <c r="N122" s="24">
        <f>SUMIFS('Saldos Iniciales'!$D:$D,'Saldos Iniciales'!$A:$A,"Green Stone Trust")+SUMIFS(Movimientos!$K$1:$K$1368,Movimientos!$C$1:$C$1368,"Green Stone Trust",Movimientos!$B$1:$B$1368,"&lt;="&amp;$B122)</f>
        <v>1968.99</v>
      </c>
      <c r="O122" s="24">
        <f>SUMIFS('Saldos Iniciales'!$D:$D,'Saldos Iniciales'!$A:$A,"EC Auto")+SUMIFS(Movimientos!$K$1:$K$1368,Movimientos!$C$1:$C$1368,"EC Auto",Movimientos!$B$1:$B$1368,"&lt;="&amp;$B122)</f>
        <v>901.34</v>
      </c>
      <c r="P122" s="24">
        <f>SUMIFS('Saldos Iniciales'!$D:$D,'Saldos Iniciales'!$A:$A,"Arbor Capital Properties")+SUMIFS(Movimientos!$K$1:$K$1368,Movimientos!$C$1:$C$1368,"Arbor Capital Properties",Movimientos!$B$1:$B$1368,"&lt;="&amp;$B122)</f>
        <v>1396.08</v>
      </c>
      <c r="Q122" s="24">
        <f>SUMIFS('Saldos Iniciales'!$D:$D,'Saldos Iniciales'!$A:$A,"2515 Overbrook")+SUMIFS(Movimientos!$K$1:$K$1368,Movimientos!$C$1:$C$1368,"2515 Overbrook",Movimientos!$B$1:$B$1368,"&lt;="&amp;$B122)</f>
        <v>33670.709999999963</v>
      </c>
      <c r="R122" s="24">
        <f>SUMIFS('Saldos Iniciales'!$D:$D,'Saldos Iniciales'!$A:$A,"112 Florida Ave")+SUMIFS(Movimientos!$K$1:$K$1368,Movimientos!$C$1:$C$1368,"112 Florida Ave",Movimientos!$B$1:$B$1368,"&lt;="&amp;$B122)</f>
        <v>29709.170000000006</v>
      </c>
      <c r="S122" s="24">
        <f>SUMIFS('Saldos Iniciales'!$D:$D,'Saldos Iniciales'!$A:$A,"3628 Thomas Ave")+SUMIFS(Movimientos!$K$1:$K$1368,Movimientos!$C$1:$C$1368,"3628 Thomas Ave",Movimientos!$B$1:$B$1368,"&lt;="&amp;$B122)</f>
        <v>19336.039999999997</v>
      </c>
      <c r="T122" s="24">
        <f>SUMIFS('Saldos Iniciales'!$D:$D,'Saldos Iniciales'!$A:$A,"Green Harbor Trust")+SUMIFS(Movimientos!$K$1:$K$1368,Movimientos!$C$1:$C$1368,"Green Harbor Trust",Movimientos!$B$1:$B$1368,"&lt;="&amp;$B122)</f>
        <v>345</v>
      </c>
      <c r="U122" s="24">
        <f>SUMIFS('Saldos Iniciales'!$D:$D,'Saldos Iniciales'!$A:$A,"Go Blue")+SUMIFS(Movimientos!$K$1:$K$1368,Movimientos!$C$1:$C$1368,"Go Blue",Movimientos!$B$1:$B$1368,"&lt;="&amp;$B122)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Group")+SUMIFS(Movimientos!$K$1:$K$1368,Movimientos!$C$1:$C$1368,"CFT Group",Movimientos!$B$1:$B$1368,"&lt;="&amp;$B123)</f>
        <v>743430.83000000054</v>
      </c>
      <c r="D123" s="24">
        <f>SUMIFS('Saldos Iniciales'!$D:$D,'Saldos Iniciales'!$A:$A,"M1B")+SUMIFS(Movimientos!$K$1:$K$1368,Movimientos!$C$1:$C$1368,"M1B",Movimientos!$B$1:$B$1368,"&lt;="&amp;$B123)</f>
        <v>93280.230000000171</v>
      </c>
      <c r="E123" s="24">
        <f>SUMIFS('Saldos Iniciales'!$D:$D,'Saldos Iniciales'!$A:$A,"Durand")+SUMIFS(Movimientos!$K$1:$K$1368,Movimientos!$C$1:$C$1368,"Durand",Movimientos!$B$1:$B$1368,"&lt;="&amp;$B123)</f>
        <v>1669.89</v>
      </c>
      <c r="F123" s="24">
        <f>SUMIFS('Saldos Iniciales'!$D:$D,'Saldos Iniciales'!$A:$A,"A&amp;M Imports")+SUMIFS(Movimientos!$K$1:$K$1368,Movimientos!$C$1:$C$1368,"A&amp;M Imports",Movimientos!$B$1:$B$1368,"&lt;="&amp;$B123)</f>
        <v>1418445.91</v>
      </c>
      <c r="G123" s="24">
        <f>SUMIFS('Saldos Iniciales'!$D:$D,'Saldos Iniciales'!$A:$A,"SSP Capital")+SUMIFS(Movimientos!$K$1:$K$1368,Movimientos!$C$1:$C$1368,"SSP Capital",Movimientos!$B$1:$B$1368,"&lt;="&amp;$B123)</f>
        <v>1553167.1899999995</v>
      </c>
      <c r="H123" s="24">
        <f>SUMIFS('Saldos Iniciales'!$D:$D,'Saldos Iniciales'!$A:$A,"Cross Family Trust")+SUMIFS(Movimientos!$K$1:$K$1368,Movimientos!$C$1:$C$1368,"Cross Family Trust",Movimientos!$B$1:$B$1368,"&lt;="&amp;$B123)</f>
        <v>221496.38</v>
      </c>
      <c r="I123" s="24">
        <f>SUMIFS('Saldos Iniciales'!$D:$D,'Saldos Iniciales'!$A:$A,"Cross Security Trust")+SUMIFS(Movimientos!$K$1:$K$1368,Movimientos!$C$1:$C$1368,"Cross Security Trust",Movimientos!$B$1:$B$1368,"&lt;="&amp;$B123)</f>
        <v>217684.34</v>
      </c>
      <c r="J123" s="24">
        <f>SUMIFS('Saldos Iniciales'!$D:$D,'Saldos Iniciales'!$A:$A,"Electrama")+SUMIFS(Movimientos!$K$1:$K$1368,Movimientos!$C$1:$C$1368,"Electrama",Movimientos!$B$1:$B$1368,"&lt;="&amp;$B123)</f>
        <v>13270.02</v>
      </c>
      <c r="K123" s="24">
        <f>SUMIFS('Saldos Iniciales'!$D:$D,'Saldos Iniciales'!$A:$A,"Sacred Valley Capital")+SUMIFS(Movimientos!$K$1:$K$1368,Movimientos!$C$1:$C$1368,"Sacred Valley Capital",Movimientos!$B$1:$B$1368,"&lt;="&amp;$B123)</f>
        <v>124.45</v>
      </c>
      <c r="L123" s="24">
        <f>SUMIFS('Saldos Iniciales'!$D:$D,'Saldos Iniciales'!$A:$A,"YWC Capital")+SUMIFS(Movimientos!$K$1:$K$1368,Movimientos!$C$1:$C$1368,"YWC Capital",Movimientos!$B$1:$B$1368,"&lt;="&amp;$B123)</f>
        <v>2177.87</v>
      </c>
      <c r="M123" s="24">
        <f>SUMIFS('Saldos Iniciales'!$D:$D,'Saldos Iniciales'!$A:$A,"Soweto")+SUMIFS(Movimientos!$K$1:$K$1368,Movimientos!$C$1:$C$1368,"Soweto",Movimientos!$B$1:$B$1368,"&lt;="&amp;$B123)</f>
        <v>754424.72</v>
      </c>
      <c r="N123" s="24">
        <f>SUMIFS('Saldos Iniciales'!$D:$D,'Saldos Iniciales'!$A:$A,"Green Stone Trust")+SUMIFS(Movimientos!$K$1:$K$1368,Movimientos!$C$1:$C$1368,"Green Stone Trust",Movimientos!$B$1:$B$1368,"&lt;="&amp;$B123)</f>
        <v>1968.99</v>
      </c>
      <c r="O123" s="24">
        <f>SUMIFS('Saldos Iniciales'!$D:$D,'Saldos Iniciales'!$A:$A,"EC Auto")+SUMIFS(Movimientos!$K$1:$K$1368,Movimientos!$C$1:$C$1368,"EC Auto",Movimientos!$B$1:$B$1368,"&lt;="&amp;$B123)</f>
        <v>901.34</v>
      </c>
      <c r="P123" s="24">
        <f>SUMIFS('Saldos Iniciales'!$D:$D,'Saldos Iniciales'!$A:$A,"Arbor Capital Properties")+SUMIFS(Movimientos!$K$1:$K$1368,Movimientos!$C$1:$C$1368,"Arbor Capital Properties",Movimientos!$B$1:$B$1368,"&lt;="&amp;$B123)</f>
        <v>1396.08</v>
      </c>
      <c r="Q123" s="24">
        <f>SUMIFS('Saldos Iniciales'!$D:$D,'Saldos Iniciales'!$A:$A,"2515 Overbrook")+SUMIFS(Movimientos!$K$1:$K$1368,Movimientos!$C$1:$C$1368,"2515 Overbrook",Movimientos!$B$1:$B$1368,"&lt;="&amp;$B123)</f>
        <v>33670.709999999963</v>
      </c>
      <c r="R123" s="24">
        <f>SUMIFS('Saldos Iniciales'!$D:$D,'Saldos Iniciales'!$A:$A,"112 Florida Ave")+SUMIFS(Movimientos!$K$1:$K$1368,Movimientos!$C$1:$C$1368,"112 Florida Ave",Movimientos!$B$1:$B$1368,"&lt;="&amp;$B123)</f>
        <v>29709.170000000006</v>
      </c>
      <c r="S123" s="24">
        <f>SUMIFS('Saldos Iniciales'!$D:$D,'Saldos Iniciales'!$A:$A,"3628 Thomas Ave")+SUMIFS(Movimientos!$K$1:$K$1368,Movimientos!$C$1:$C$1368,"3628 Thomas Ave",Movimientos!$B$1:$B$1368,"&lt;="&amp;$B123)</f>
        <v>19336.039999999997</v>
      </c>
      <c r="T123" s="24">
        <f>SUMIFS('Saldos Iniciales'!$D:$D,'Saldos Iniciales'!$A:$A,"Green Harbor Trust")+SUMIFS(Movimientos!$K$1:$K$1368,Movimientos!$C$1:$C$1368,"Green Harbor Trust",Movimientos!$B$1:$B$1368,"&lt;="&amp;$B123)</f>
        <v>345</v>
      </c>
      <c r="U123" s="24">
        <f>SUMIFS('Saldos Iniciales'!$D:$D,'Saldos Iniciales'!$A:$A,"Go Blue")+SUMIFS(Movimientos!$K$1:$K$1368,Movimientos!$C$1:$C$1368,"Go Blue",Movimientos!$B$1:$B$1368,"&lt;="&amp;$B123)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Group")+SUMIFS(Movimientos!$K$1:$K$1368,Movimientos!$C$1:$C$1368,"CFT Group",Movimientos!$B$1:$B$1368,"&lt;="&amp;$B124)</f>
        <v>740452.88000000059</v>
      </c>
      <c r="D124" s="24">
        <f>SUMIFS('Saldos Iniciales'!$D:$D,'Saldos Iniciales'!$A:$A,"M1B")+SUMIFS(Movimientos!$K$1:$K$1368,Movimientos!$C$1:$C$1368,"M1B",Movimientos!$B$1:$B$1368,"&lt;="&amp;$B124)</f>
        <v>93280.230000000171</v>
      </c>
      <c r="E124" s="24">
        <f>SUMIFS('Saldos Iniciales'!$D:$D,'Saldos Iniciales'!$A:$A,"Durand")+SUMIFS(Movimientos!$K$1:$K$1368,Movimientos!$C$1:$C$1368,"Durand",Movimientos!$B$1:$B$1368,"&lt;="&amp;$B124)</f>
        <v>1669.89</v>
      </c>
      <c r="F124" s="24">
        <f>SUMIFS('Saldos Iniciales'!$D:$D,'Saldos Iniciales'!$A:$A,"A&amp;M Imports")+SUMIFS(Movimientos!$K$1:$K$1368,Movimientos!$C$1:$C$1368,"A&amp;M Imports",Movimientos!$B$1:$B$1368,"&lt;="&amp;$B124)</f>
        <v>1419898.24</v>
      </c>
      <c r="G124" s="24">
        <f>SUMIFS('Saldos Iniciales'!$D:$D,'Saldos Iniciales'!$A:$A,"SSP Capital")+SUMIFS(Movimientos!$K$1:$K$1368,Movimientos!$C$1:$C$1368,"SSP Capital",Movimientos!$B$1:$B$1368,"&lt;="&amp;$B124)</f>
        <v>1555601.2099999995</v>
      </c>
      <c r="H124" s="24">
        <f>SUMIFS('Saldos Iniciales'!$D:$D,'Saldos Iniciales'!$A:$A,"Cross Family Trust")+SUMIFS(Movimientos!$K$1:$K$1368,Movimientos!$C$1:$C$1368,"Cross Family Trust",Movimientos!$B$1:$B$1368,"&lt;="&amp;$B124)</f>
        <v>221496.38</v>
      </c>
      <c r="I124" s="24">
        <f>SUMIFS('Saldos Iniciales'!$D:$D,'Saldos Iniciales'!$A:$A,"Cross Security Trust")+SUMIFS(Movimientos!$K$1:$K$1368,Movimientos!$C$1:$C$1368,"Cross Security Trust",Movimientos!$B$1:$B$1368,"&lt;="&amp;$B124)</f>
        <v>217684.34</v>
      </c>
      <c r="J124" s="24">
        <f>SUMIFS('Saldos Iniciales'!$D:$D,'Saldos Iniciales'!$A:$A,"Electrama")+SUMIFS(Movimientos!$K$1:$K$1368,Movimientos!$C$1:$C$1368,"Electrama",Movimientos!$B$1:$B$1368,"&lt;="&amp;$B124)</f>
        <v>13270.02</v>
      </c>
      <c r="K124" s="24">
        <f>SUMIFS('Saldos Iniciales'!$D:$D,'Saldos Iniciales'!$A:$A,"Sacred Valley Capital")+SUMIFS(Movimientos!$K$1:$K$1368,Movimientos!$C$1:$C$1368,"Sacred Valley Capital",Movimientos!$B$1:$B$1368,"&lt;="&amp;$B124)</f>
        <v>124.45</v>
      </c>
      <c r="L124" s="24">
        <f>SUMIFS('Saldos Iniciales'!$D:$D,'Saldos Iniciales'!$A:$A,"YWC Capital")+SUMIFS(Movimientos!$K$1:$K$1368,Movimientos!$C$1:$C$1368,"YWC Capital",Movimientos!$B$1:$B$1368,"&lt;="&amp;$B124)</f>
        <v>2177.87</v>
      </c>
      <c r="M124" s="24">
        <f>SUMIFS('Saldos Iniciales'!$D:$D,'Saldos Iniciales'!$A:$A,"Soweto")+SUMIFS(Movimientos!$K$1:$K$1368,Movimientos!$C$1:$C$1368,"Soweto",Movimientos!$B$1:$B$1368,"&lt;="&amp;$B124)</f>
        <v>754424.72</v>
      </c>
      <c r="N124" s="24">
        <f>SUMIFS('Saldos Iniciales'!$D:$D,'Saldos Iniciales'!$A:$A,"Green Stone Trust")+SUMIFS(Movimientos!$K$1:$K$1368,Movimientos!$C$1:$C$1368,"Green Stone Trust",Movimientos!$B$1:$B$1368,"&lt;="&amp;$B124)</f>
        <v>1968.99</v>
      </c>
      <c r="O124" s="24">
        <f>SUMIFS('Saldos Iniciales'!$D:$D,'Saldos Iniciales'!$A:$A,"EC Auto")+SUMIFS(Movimientos!$K$1:$K$1368,Movimientos!$C$1:$C$1368,"EC Auto",Movimientos!$B$1:$B$1368,"&lt;="&amp;$B124)</f>
        <v>901.34</v>
      </c>
      <c r="P124" s="24">
        <f>SUMIFS('Saldos Iniciales'!$D:$D,'Saldos Iniciales'!$A:$A,"Arbor Capital Properties")+SUMIFS(Movimientos!$K$1:$K$1368,Movimientos!$C$1:$C$1368,"Arbor Capital Properties",Movimientos!$B$1:$B$1368,"&lt;="&amp;$B124)</f>
        <v>1396.08</v>
      </c>
      <c r="Q124" s="24">
        <f>SUMIFS('Saldos Iniciales'!$D:$D,'Saldos Iniciales'!$A:$A,"2515 Overbrook")+SUMIFS(Movimientos!$K$1:$K$1368,Movimientos!$C$1:$C$1368,"2515 Overbrook",Movimientos!$B$1:$B$1368,"&lt;="&amp;$B124)</f>
        <v>33570.709999999963</v>
      </c>
      <c r="R124" s="24">
        <f>SUMIFS('Saldos Iniciales'!$D:$D,'Saldos Iniciales'!$A:$A,"112 Florida Ave")+SUMIFS(Movimientos!$K$1:$K$1368,Movimientos!$C$1:$C$1368,"112 Florida Ave",Movimientos!$B$1:$B$1368,"&lt;="&amp;$B124)</f>
        <v>26559.170000000006</v>
      </c>
      <c r="S124" s="24">
        <f>SUMIFS('Saldos Iniciales'!$D:$D,'Saldos Iniciales'!$A:$A,"3628 Thomas Ave")+SUMIFS(Movimientos!$K$1:$K$1368,Movimientos!$C$1:$C$1368,"3628 Thomas Ave",Movimientos!$B$1:$B$1368,"&lt;="&amp;$B124)</f>
        <v>23736.039999999997</v>
      </c>
      <c r="T124" s="24">
        <f>SUMIFS('Saldos Iniciales'!$D:$D,'Saldos Iniciales'!$A:$A,"Green Harbor Trust")+SUMIFS(Movimientos!$K$1:$K$1368,Movimientos!$C$1:$C$1368,"Green Harbor Trust",Movimientos!$B$1:$B$1368,"&lt;="&amp;$B124)</f>
        <v>345</v>
      </c>
      <c r="U124" s="24">
        <f>SUMIFS('Saldos Iniciales'!$D:$D,'Saldos Iniciales'!$A:$A,"Go Blue")+SUMIFS(Movimientos!$K$1:$K$1368,Movimientos!$C$1:$C$1368,"Go Blue",Movimientos!$B$1:$B$1368,"&lt;="&amp;$B124)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Group")+SUMIFS(Movimientos!$K$1:$K$1368,Movimientos!$C$1:$C$1368,"CFT Group",Movimientos!$B$1:$B$1368,"&lt;="&amp;$B125)</f>
        <v>757677.3900000006</v>
      </c>
      <c r="D125" s="24">
        <f>SUMIFS('Saldos Iniciales'!$D:$D,'Saldos Iniciales'!$A:$A,"M1B")+SUMIFS(Movimientos!$K$1:$K$1368,Movimientos!$C$1:$C$1368,"M1B",Movimientos!$B$1:$B$1368,"&lt;="&amp;$B125)</f>
        <v>93280.230000000171</v>
      </c>
      <c r="E125" s="24">
        <f>SUMIFS('Saldos Iniciales'!$D:$D,'Saldos Iniciales'!$A:$A,"Durand")+SUMIFS(Movimientos!$K$1:$K$1368,Movimientos!$C$1:$C$1368,"Durand",Movimientos!$B$1:$B$1368,"&lt;="&amp;$B125)</f>
        <v>1669.89</v>
      </c>
      <c r="F125" s="24">
        <f>SUMIFS('Saldos Iniciales'!$D:$D,'Saldos Iniciales'!$A:$A,"A&amp;M Imports")+SUMIFS(Movimientos!$K$1:$K$1368,Movimientos!$C$1:$C$1368,"A&amp;M Imports",Movimientos!$B$1:$B$1368,"&lt;="&amp;$B125)</f>
        <v>1419898.24</v>
      </c>
      <c r="G125" s="24">
        <f>SUMIFS('Saldos Iniciales'!$D:$D,'Saldos Iniciales'!$A:$A,"SSP Capital")+SUMIFS(Movimientos!$K$1:$K$1368,Movimientos!$C$1:$C$1368,"SSP Capital",Movimientos!$B$1:$B$1368,"&lt;="&amp;$B125)</f>
        <v>1484962.6199999996</v>
      </c>
      <c r="H125" s="24">
        <f>SUMIFS('Saldos Iniciales'!$D:$D,'Saldos Iniciales'!$A:$A,"Cross Family Trust")+SUMIFS(Movimientos!$K$1:$K$1368,Movimientos!$C$1:$C$1368,"Cross Family Trust",Movimientos!$B$1:$B$1368,"&lt;="&amp;$B125)</f>
        <v>215496.38</v>
      </c>
      <c r="I125" s="24">
        <f>SUMIFS('Saldos Iniciales'!$D:$D,'Saldos Iniciales'!$A:$A,"Cross Security Trust")+SUMIFS(Movimientos!$K$1:$K$1368,Movimientos!$C$1:$C$1368,"Cross Security Trust",Movimientos!$B$1:$B$1368,"&lt;="&amp;$B125)</f>
        <v>217684.34</v>
      </c>
      <c r="J125" s="24">
        <f>SUMIFS('Saldos Iniciales'!$D:$D,'Saldos Iniciales'!$A:$A,"Electrama")+SUMIFS(Movimientos!$K$1:$K$1368,Movimientos!$C$1:$C$1368,"Electrama",Movimientos!$B$1:$B$1368,"&lt;="&amp;$B125)</f>
        <v>13054.880000000001</v>
      </c>
      <c r="K125" s="24">
        <f>SUMIFS('Saldos Iniciales'!$D:$D,'Saldos Iniciales'!$A:$A,"Sacred Valley Capital")+SUMIFS(Movimientos!$K$1:$K$1368,Movimientos!$C$1:$C$1368,"Sacred Valley Capital",Movimientos!$B$1:$B$1368,"&lt;="&amp;$B125)</f>
        <v>94.5</v>
      </c>
      <c r="L125" s="24">
        <f>SUMIFS('Saldos Iniciales'!$D:$D,'Saldos Iniciales'!$A:$A,"YWC Capital")+SUMIFS(Movimientos!$K$1:$K$1368,Movimientos!$C$1:$C$1368,"YWC Capital",Movimientos!$B$1:$B$1368,"&lt;="&amp;$B125)</f>
        <v>2147.92</v>
      </c>
      <c r="M125" s="24">
        <f>SUMIFS('Saldos Iniciales'!$D:$D,'Saldos Iniciales'!$A:$A,"Soweto")+SUMIFS(Movimientos!$K$1:$K$1368,Movimientos!$C$1:$C$1368,"Soweto",Movimientos!$B$1:$B$1368,"&lt;="&amp;$B125)</f>
        <v>754424.72</v>
      </c>
      <c r="N125" s="24">
        <f>SUMIFS('Saldos Iniciales'!$D:$D,'Saldos Iniciales'!$A:$A,"Green Stone Trust")+SUMIFS(Movimientos!$K$1:$K$1368,Movimientos!$C$1:$C$1368,"Green Stone Trust",Movimientos!$B$1:$B$1368,"&lt;="&amp;$B125)</f>
        <v>1968.99</v>
      </c>
      <c r="O125" s="24">
        <f>SUMIFS('Saldos Iniciales'!$D:$D,'Saldos Iniciales'!$A:$A,"EC Auto")+SUMIFS(Movimientos!$K$1:$K$1368,Movimientos!$C$1:$C$1368,"EC Auto",Movimientos!$B$1:$B$1368,"&lt;="&amp;$B125)</f>
        <v>901.34</v>
      </c>
      <c r="P125" s="24">
        <f>SUMIFS('Saldos Iniciales'!$D:$D,'Saldos Iniciales'!$A:$A,"Arbor Capital Properties")+SUMIFS(Movimientos!$K$1:$K$1368,Movimientos!$C$1:$C$1368,"Arbor Capital Properties",Movimientos!$B$1:$B$1368,"&lt;="&amp;$B125)</f>
        <v>1380.08</v>
      </c>
      <c r="Q125" s="24">
        <f>SUMIFS('Saldos Iniciales'!$D:$D,'Saldos Iniciales'!$A:$A,"2515 Overbrook")+SUMIFS(Movimientos!$K$1:$K$1368,Movimientos!$C$1:$C$1368,"2515 Overbrook",Movimientos!$B$1:$B$1368,"&lt;="&amp;$B125)</f>
        <v>25027.379999999961</v>
      </c>
      <c r="R125" s="24">
        <f>SUMIFS('Saldos Iniciales'!$D:$D,'Saldos Iniciales'!$A:$A,"112 Florida Ave")+SUMIFS(Movimientos!$K$1:$K$1368,Movimientos!$C$1:$C$1368,"112 Florida Ave",Movimientos!$B$1:$B$1368,"&lt;="&amp;$B125)</f>
        <v>16760.540000000008</v>
      </c>
      <c r="S125" s="24">
        <f>SUMIFS('Saldos Iniciales'!$D:$D,'Saldos Iniciales'!$A:$A,"3628 Thomas Ave")+SUMIFS(Movimientos!$K$1:$K$1368,Movimientos!$C$1:$C$1368,"3628 Thomas Ave",Movimientos!$B$1:$B$1368,"&lt;="&amp;$B125)</f>
        <v>14962.999999999996</v>
      </c>
      <c r="T125" s="24">
        <f>SUMIFS('Saldos Iniciales'!$D:$D,'Saldos Iniciales'!$A:$A,"Green Harbor Trust")+SUMIFS(Movimientos!$K$1:$K$1368,Movimientos!$C$1:$C$1368,"Green Harbor Trust",Movimientos!$B$1:$B$1368,"&lt;="&amp;$B125)</f>
        <v>345</v>
      </c>
      <c r="U125" s="24">
        <f>SUMIFS('Saldos Iniciales'!$D:$D,'Saldos Iniciales'!$A:$A,"Go Blue")+SUMIFS(Movimientos!$K$1:$K$1368,Movimientos!$C$1:$C$1368,"Go Blue",Movimientos!$B$1:$B$1368,"&lt;="&amp;$B125)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83" si="5">+A125+1</f>
        <v>125</v>
      </c>
      <c r="B126" s="23">
        <v>46267</v>
      </c>
      <c r="C126" s="24">
        <f>SUMIFS('Saldos Iniciales'!$D:$D,'Saldos Iniciales'!$A:$A,"CFT Group")+SUMIFS(Movimientos!$K$1:$K$1368,Movimientos!$C$1:$C$1368,"CFT Group",Movimientos!$B$1:$B$1368,"&lt;="&amp;$B126)</f>
        <v>1468396.1200000006</v>
      </c>
      <c r="D126" s="24">
        <f>SUMIFS('Saldos Iniciales'!$D:$D,'Saldos Iniciales'!$A:$A,"M1B")+SUMIFS(Movimientos!$K$1:$K$1368,Movimientos!$C$1:$C$1368,"M1B",Movimientos!$B$1:$B$1368,"&lt;="&amp;$B126)</f>
        <v>93280.230000000171</v>
      </c>
      <c r="E126" s="24">
        <f>SUMIFS('Saldos Iniciales'!$D:$D,'Saldos Iniciales'!$A:$A,"Durand")+SUMIFS(Movimientos!$K$1:$K$1368,Movimientos!$C$1:$C$1368,"Durand",Movimientos!$B$1:$B$1368,"&lt;="&amp;$B126)</f>
        <v>1669.89</v>
      </c>
      <c r="F126" s="24">
        <f>SUMIFS('Saldos Iniciales'!$D:$D,'Saldos Iniciales'!$A:$A,"A&amp;M Imports")+SUMIFS(Movimientos!$K$1:$K$1368,Movimientos!$C$1:$C$1368,"A&amp;M Imports",Movimientos!$B$1:$B$1368,"&lt;="&amp;$B126)</f>
        <v>1419898.24</v>
      </c>
      <c r="G126" s="24">
        <f>SUMIFS('Saldos Iniciales'!$D:$D,'Saldos Iniciales'!$A:$A,"SSP Capital")+SUMIFS(Movimientos!$K$1:$K$1368,Movimientos!$C$1:$C$1368,"SSP Capital",Movimientos!$B$1:$B$1368,"&lt;="&amp;$B126)</f>
        <v>1484962.6199999996</v>
      </c>
      <c r="H126" s="24">
        <f>SUMIFS('Saldos Iniciales'!$D:$D,'Saldos Iniciales'!$A:$A,"Cross Family Trust")+SUMIFS(Movimientos!$K$1:$K$1368,Movimientos!$C$1:$C$1368,"Cross Family Trust",Movimientos!$B$1:$B$1368,"&lt;="&amp;$B126)</f>
        <v>249778.14</v>
      </c>
      <c r="I126" s="24">
        <f>SUMIFS('Saldos Iniciales'!$D:$D,'Saldos Iniciales'!$A:$A,"Cross Security Trust")+SUMIFS(Movimientos!$K$1:$K$1368,Movimientos!$C$1:$C$1368,"Cross Security Trust",Movimientos!$B$1:$B$1368,"&lt;="&amp;$B126)</f>
        <v>217684.34</v>
      </c>
      <c r="J126" s="24">
        <f>SUMIFS('Saldos Iniciales'!$D:$D,'Saldos Iniciales'!$A:$A,"Electrama")+SUMIFS(Movimientos!$K$1:$K$1368,Movimientos!$C$1:$C$1368,"Electrama",Movimientos!$B$1:$B$1368,"&lt;="&amp;$B126)</f>
        <v>13054.880000000001</v>
      </c>
      <c r="K126" s="24">
        <f>SUMIFS('Saldos Iniciales'!$D:$D,'Saldos Iniciales'!$A:$A,"Sacred Valley Capital")+SUMIFS(Movimientos!$K$1:$K$1368,Movimientos!$C$1:$C$1368,"Sacred Valley Capital",Movimientos!$B$1:$B$1368,"&lt;="&amp;$B126)</f>
        <v>94.5</v>
      </c>
      <c r="L126" s="24">
        <f>SUMIFS('Saldos Iniciales'!$D:$D,'Saldos Iniciales'!$A:$A,"YWC Capital")+SUMIFS(Movimientos!$K$1:$K$1368,Movimientos!$C$1:$C$1368,"YWC Capital",Movimientos!$B$1:$B$1368,"&lt;="&amp;$B126)</f>
        <v>2147.92</v>
      </c>
      <c r="M126" s="24">
        <f>SUMIFS('Saldos Iniciales'!$D:$D,'Saldos Iniciales'!$A:$A,"Soweto")+SUMIFS(Movimientos!$K$1:$K$1368,Movimientos!$C$1:$C$1368,"Soweto",Movimientos!$B$1:$B$1368,"&lt;="&amp;$B126)</f>
        <v>17895.290000000015</v>
      </c>
      <c r="N126" s="24">
        <f>SUMIFS('Saldos Iniciales'!$D:$D,'Saldos Iniciales'!$A:$A,"Green Stone Trust")+SUMIFS(Movimientos!$K$1:$K$1368,Movimientos!$C$1:$C$1368,"Green Stone Trust",Movimientos!$B$1:$B$1368,"&lt;="&amp;$B126)</f>
        <v>1968.99</v>
      </c>
      <c r="O126" s="24">
        <f>SUMIFS('Saldos Iniciales'!$D:$D,'Saldos Iniciales'!$A:$A,"EC Auto")+SUMIFS(Movimientos!$K$1:$K$1368,Movimientos!$C$1:$C$1368,"EC Auto",Movimientos!$B$1:$B$1368,"&lt;="&amp;$B126)</f>
        <v>901.34</v>
      </c>
      <c r="P126" s="24">
        <f>SUMIFS('Saldos Iniciales'!$D:$D,'Saldos Iniciales'!$A:$A,"Arbor Capital Properties")+SUMIFS(Movimientos!$K$1:$K$1368,Movimientos!$C$1:$C$1368,"Arbor Capital Properties",Movimientos!$B$1:$B$1368,"&lt;="&amp;$B126)</f>
        <v>1380.08</v>
      </c>
      <c r="Q126" s="24">
        <f>SUMIFS('Saldos Iniciales'!$D:$D,'Saldos Iniciales'!$A:$A,"2515 Overbrook")+SUMIFS(Movimientos!$K$1:$K$1368,Movimientos!$C$1:$C$1368,"2515 Overbrook",Movimientos!$B$1:$B$1368,"&lt;="&amp;$B126)</f>
        <v>25027.379999999961</v>
      </c>
      <c r="R126" s="24">
        <f>SUMIFS('Saldos Iniciales'!$D:$D,'Saldos Iniciales'!$A:$A,"112 Florida Ave")+SUMIFS(Movimientos!$K$1:$K$1368,Movimientos!$C$1:$C$1368,"112 Florida Ave",Movimientos!$B$1:$B$1368,"&lt;="&amp;$B126)</f>
        <v>16760.540000000008</v>
      </c>
      <c r="S126" s="24">
        <f>SUMIFS('Saldos Iniciales'!$D:$D,'Saldos Iniciales'!$A:$A,"3628 Thomas Ave")+SUMIFS(Movimientos!$K$1:$K$1368,Movimientos!$C$1:$C$1368,"3628 Thomas Ave",Movimientos!$B$1:$B$1368,"&lt;="&amp;$B126)</f>
        <v>14162.999999999996</v>
      </c>
      <c r="T126" s="24">
        <f>SUMIFS('Saldos Iniciales'!$D:$D,'Saldos Iniciales'!$A:$A,"Green Harbor Trust")+SUMIFS(Movimientos!$K$1:$K$1368,Movimientos!$C$1:$C$1368,"Green Harbor Trust",Movimientos!$B$1:$B$1368,"&lt;="&amp;$B126)</f>
        <v>345</v>
      </c>
      <c r="U126" s="24">
        <f>SUMIFS('Saldos Iniciales'!$D:$D,'Saldos Iniciales'!$A:$A,"Go Blue")+SUMIFS(Movimientos!$K$1:$K$1368,Movimientos!$C$1:$C$1368,"Go Blue",Movimientos!$B$1:$B$1368,"&lt;="&amp;$B126)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Group")+SUMIFS(Movimientos!$K$1:$K$1368,Movimientos!$C$1:$C$1368,"CFT Group",Movimientos!$B$1:$B$1368,"&lt;="&amp;$B127)</f>
        <v>1053254.4500000007</v>
      </c>
      <c r="D127" s="24">
        <f>SUMIFS('Saldos Iniciales'!$D:$D,'Saldos Iniciales'!$A:$A,"M1B")+SUMIFS(Movimientos!$K$1:$K$1368,Movimientos!$C$1:$C$1368,"M1B",Movimientos!$B$1:$B$1368,"&lt;="&amp;$B127)</f>
        <v>93280.230000000171</v>
      </c>
      <c r="E127" s="24">
        <f>SUMIFS('Saldos Iniciales'!$D:$D,'Saldos Iniciales'!$A:$A,"Durand")+SUMIFS(Movimientos!$K$1:$K$1368,Movimientos!$C$1:$C$1368,"Durand",Movimientos!$B$1:$B$1368,"&lt;="&amp;$B127)</f>
        <v>1669.89</v>
      </c>
      <c r="F127" s="24">
        <f>SUMIFS('Saldos Iniciales'!$D:$D,'Saldos Iniciales'!$A:$A,"A&amp;M Imports")+SUMIFS(Movimientos!$K$1:$K$1368,Movimientos!$C$1:$C$1368,"A&amp;M Imports",Movimientos!$B$1:$B$1368,"&lt;="&amp;$B127)</f>
        <v>1250938</v>
      </c>
      <c r="G127" s="24">
        <f>SUMIFS('Saldos Iniciales'!$D:$D,'Saldos Iniciales'!$A:$A,"SSP Capital")+SUMIFS(Movimientos!$K$1:$K$1368,Movimientos!$C$1:$C$1368,"SSP Capital",Movimientos!$B$1:$B$1368,"&lt;="&amp;$B127)</f>
        <v>1500228.9099999997</v>
      </c>
      <c r="H127" s="24">
        <f>SUMIFS('Saldos Iniciales'!$D:$D,'Saldos Iniciales'!$A:$A,"Cross Family Trust")+SUMIFS(Movimientos!$K$1:$K$1368,Movimientos!$C$1:$C$1368,"Cross Family Trust",Movimientos!$B$1:$B$1368,"&lt;="&amp;$B127)</f>
        <v>249778.14</v>
      </c>
      <c r="I127" s="24">
        <f>SUMIFS('Saldos Iniciales'!$D:$D,'Saldos Iniciales'!$A:$A,"Cross Security Trust")+SUMIFS(Movimientos!$K$1:$K$1368,Movimientos!$C$1:$C$1368,"Cross Security Trust",Movimientos!$B$1:$B$1368,"&lt;="&amp;$B127)</f>
        <v>217684.34</v>
      </c>
      <c r="J127" s="24">
        <f>SUMIFS('Saldos Iniciales'!$D:$D,'Saldos Iniciales'!$A:$A,"Electrama")+SUMIFS(Movimientos!$K$1:$K$1368,Movimientos!$C$1:$C$1368,"Electrama",Movimientos!$B$1:$B$1368,"&lt;="&amp;$B127)</f>
        <v>13014.880000000001</v>
      </c>
      <c r="K127" s="24">
        <f>SUMIFS('Saldos Iniciales'!$D:$D,'Saldos Iniciales'!$A:$A,"Sacred Valley Capital")+SUMIFS(Movimientos!$K$1:$K$1368,Movimientos!$C$1:$C$1368,"Sacred Valley Capital",Movimientos!$B$1:$B$1368,"&lt;="&amp;$B127)</f>
        <v>94.5</v>
      </c>
      <c r="L127" s="24">
        <f>SUMIFS('Saldos Iniciales'!$D:$D,'Saldos Iniciales'!$A:$A,"YWC Capital")+SUMIFS(Movimientos!$K$1:$K$1368,Movimientos!$C$1:$C$1368,"YWC Capital",Movimientos!$B$1:$B$1368,"&lt;="&amp;$B127)</f>
        <v>2147.92</v>
      </c>
      <c r="M127" s="24">
        <f>SUMIFS('Saldos Iniciales'!$D:$D,'Saldos Iniciales'!$A:$A,"Soweto")+SUMIFS(Movimientos!$K$1:$K$1368,Movimientos!$C$1:$C$1368,"Soweto",Movimientos!$B$1:$B$1368,"&lt;="&amp;$B127)</f>
        <v>17895.290000000015</v>
      </c>
      <c r="N127" s="24">
        <f>SUMIFS('Saldos Iniciales'!$D:$D,'Saldos Iniciales'!$A:$A,"Green Stone Trust")+SUMIFS(Movimientos!$K$1:$K$1368,Movimientos!$C$1:$C$1368,"Green Stone Trust",Movimientos!$B$1:$B$1368,"&lt;="&amp;$B127)</f>
        <v>1968.99</v>
      </c>
      <c r="O127" s="24">
        <f>SUMIFS('Saldos Iniciales'!$D:$D,'Saldos Iniciales'!$A:$A,"EC Auto")+SUMIFS(Movimientos!$K$1:$K$1368,Movimientos!$C$1:$C$1368,"EC Auto",Movimientos!$B$1:$B$1368,"&lt;="&amp;$B127)</f>
        <v>901.34</v>
      </c>
      <c r="P127" s="24">
        <f>SUMIFS('Saldos Iniciales'!$D:$D,'Saldos Iniciales'!$A:$A,"Arbor Capital Properties")+SUMIFS(Movimientos!$K$1:$K$1368,Movimientos!$C$1:$C$1368,"Arbor Capital Properties",Movimientos!$B$1:$B$1368,"&lt;="&amp;$B127)</f>
        <v>1380.08</v>
      </c>
      <c r="Q127" s="24">
        <f>SUMIFS('Saldos Iniciales'!$D:$D,'Saldos Iniciales'!$A:$A,"2515 Overbrook")+SUMIFS(Movimientos!$K$1:$K$1368,Movimientos!$C$1:$C$1368,"2515 Overbrook",Movimientos!$B$1:$B$1368,"&lt;="&amp;$B127)</f>
        <v>25027.379999999961</v>
      </c>
      <c r="R127" s="24">
        <f>SUMIFS('Saldos Iniciales'!$D:$D,'Saldos Iniciales'!$A:$A,"112 Florida Ave")+SUMIFS(Movimientos!$K$1:$K$1368,Movimientos!$C$1:$C$1368,"112 Florida Ave",Movimientos!$B$1:$B$1368,"&lt;="&amp;$B127)</f>
        <v>16760.540000000008</v>
      </c>
      <c r="S127" s="24">
        <f>SUMIFS('Saldos Iniciales'!$D:$D,'Saldos Iniciales'!$A:$A,"3628 Thomas Ave")+SUMIFS(Movimientos!$K$1:$K$1368,Movimientos!$C$1:$C$1368,"3628 Thomas Ave",Movimientos!$B$1:$B$1368,"&lt;="&amp;$B127)</f>
        <v>14162.999999999996</v>
      </c>
      <c r="T127" s="24">
        <f>SUMIFS('Saldos Iniciales'!$D:$D,'Saldos Iniciales'!$A:$A,"Green Harbor Trust")+SUMIFS(Movimientos!$K$1:$K$1368,Movimientos!$C$1:$C$1368,"Green Harbor Trust",Movimientos!$B$1:$B$1368,"&lt;="&amp;$B127)</f>
        <v>345</v>
      </c>
      <c r="U127" s="24">
        <f>SUMIFS('Saldos Iniciales'!$D:$D,'Saldos Iniciales'!$A:$A,"Go Blue")+SUMIFS(Movimientos!$K$1:$K$1368,Movimientos!$C$1:$C$1368,"Go Blue",Movimientos!$B$1:$B$1368,"&lt;="&amp;$B127)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Group")+SUMIFS(Movimientos!$K$1:$K$1368,Movimientos!$C$1:$C$1368,"CFT Group",Movimientos!$B$1:$B$1368,"&lt;="&amp;$B128)</f>
        <v>1549729.4500000007</v>
      </c>
      <c r="D128" s="24">
        <f>SUMIFS('Saldos Iniciales'!$D:$D,'Saldos Iniciales'!$A:$A,"M1B")+SUMIFS(Movimientos!$K$1:$K$1368,Movimientos!$C$1:$C$1368,"M1B",Movimientos!$B$1:$B$1368,"&lt;="&amp;$B128)</f>
        <v>93280.230000000171</v>
      </c>
      <c r="E128" s="24">
        <f>SUMIFS('Saldos Iniciales'!$D:$D,'Saldos Iniciales'!$A:$A,"Durand")+SUMIFS(Movimientos!$K$1:$K$1368,Movimientos!$C$1:$C$1368,"Durand",Movimientos!$B$1:$B$1368,"&lt;="&amp;$B128)</f>
        <v>1669.89</v>
      </c>
      <c r="F128" s="24">
        <f>SUMIFS('Saldos Iniciales'!$D:$D,'Saldos Iniciales'!$A:$A,"A&amp;M Imports")+SUMIFS(Movimientos!$K$1:$K$1368,Movimientos!$C$1:$C$1368,"A&amp;M Imports",Movimientos!$B$1:$B$1368,"&lt;="&amp;$B128)</f>
        <v>1250938</v>
      </c>
      <c r="G128" s="24">
        <f>SUMIFS('Saldos Iniciales'!$D:$D,'Saldos Iniciales'!$A:$A,"SSP Capital")+SUMIFS(Movimientos!$K$1:$K$1368,Movimientos!$C$1:$C$1368,"SSP Capital",Movimientos!$B$1:$B$1368,"&lt;="&amp;$B128)</f>
        <v>1499204.7399999998</v>
      </c>
      <c r="H128" s="24">
        <f>SUMIFS('Saldos Iniciales'!$D:$D,'Saldos Iniciales'!$A:$A,"Cross Family Trust")+SUMIFS(Movimientos!$K$1:$K$1368,Movimientos!$C$1:$C$1368,"Cross Family Trust",Movimientos!$B$1:$B$1368,"&lt;="&amp;$B128)</f>
        <v>249778.14</v>
      </c>
      <c r="I128" s="24">
        <f>SUMIFS('Saldos Iniciales'!$D:$D,'Saldos Iniciales'!$A:$A,"Cross Security Trust")+SUMIFS(Movimientos!$K$1:$K$1368,Movimientos!$C$1:$C$1368,"Cross Security Trust",Movimientos!$B$1:$B$1368,"&lt;="&amp;$B128)</f>
        <v>217684.34</v>
      </c>
      <c r="J128" s="24">
        <f>SUMIFS('Saldos Iniciales'!$D:$D,'Saldos Iniciales'!$A:$A,"Electrama")+SUMIFS(Movimientos!$K$1:$K$1368,Movimientos!$C$1:$C$1368,"Electrama",Movimientos!$B$1:$B$1368,"&lt;="&amp;$B128)</f>
        <v>13014.880000000001</v>
      </c>
      <c r="K128" s="24">
        <f>SUMIFS('Saldos Iniciales'!$D:$D,'Saldos Iniciales'!$A:$A,"Sacred Valley Capital")+SUMIFS(Movimientos!$K$1:$K$1368,Movimientos!$C$1:$C$1368,"Sacred Valley Capital",Movimientos!$B$1:$B$1368,"&lt;="&amp;$B128)</f>
        <v>94.5</v>
      </c>
      <c r="L128" s="24">
        <f>SUMIFS('Saldos Iniciales'!$D:$D,'Saldos Iniciales'!$A:$A,"YWC Capital")+SUMIFS(Movimientos!$K$1:$K$1368,Movimientos!$C$1:$C$1368,"YWC Capital",Movimientos!$B$1:$B$1368,"&lt;="&amp;$B128)</f>
        <v>2147.92</v>
      </c>
      <c r="M128" s="24">
        <f>SUMIFS('Saldos Iniciales'!$D:$D,'Saldos Iniciales'!$A:$A,"Soweto")+SUMIFS(Movimientos!$K$1:$K$1368,Movimientos!$C$1:$C$1368,"Soweto",Movimientos!$B$1:$B$1368,"&lt;="&amp;$B128)</f>
        <v>17895.290000000015</v>
      </c>
      <c r="N128" s="24">
        <f>SUMIFS('Saldos Iniciales'!$D:$D,'Saldos Iniciales'!$A:$A,"Green Stone Trust")+SUMIFS(Movimientos!$K$1:$K$1368,Movimientos!$C$1:$C$1368,"Green Stone Trust",Movimientos!$B$1:$B$1368,"&lt;="&amp;$B128)</f>
        <v>1968.99</v>
      </c>
      <c r="O128" s="24">
        <f>SUMIFS('Saldos Iniciales'!$D:$D,'Saldos Iniciales'!$A:$A,"EC Auto")+SUMIFS(Movimientos!$K$1:$K$1368,Movimientos!$C$1:$C$1368,"EC Auto",Movimientos!$B$1:$B$1368,"&lt;="&amp;$B128)</f>
        <v>901.34</v>
      </c>
      <c r="P128" s="24">
        <f>SUMIFS('Saldos Iniciales'!$D:$D,'Saldos Iniciales'!$A:$A,"Arbor Capital Properties")+SUMIFS(Movimientos!$K$1:$K$1368,Movimientos!$C$1:$C$1368,"Arbor Capital Properties",Movimientos!$B$1:$B$1368,"&lt;="&amp;$B128)</f>
        <v>1380.08</v>
      </c>
      <c r="Q128" s="24">
        <f>SUMIFS('Saldos Iniciales'!$D:$D,'Saldos Iniciales'!$A:$A,"2515 Overbrook")+SUMIFS(Movimientos!$K$1:$K$1368,Movimientos!$C$1:$C$1368,"2515 Overbrook",Movimientos!$B$1:$B$1368,"&lt;="&amp;$B128)</f>
        <v>25027.379999999961</v>
      </c>
      <c r="R128" s="24">
        <f>SUMIFS('Saldos Iniciales'!$D:$D,'Saldos Iniciales'!$A:$A,"112 Florida Ave")+SUMIFS(Movimientos!$K$1:$K$1368,Movimientos!$C$1:$C$1368,"112 Florida Ave",Movimientos!$B$1:$B$1368,"&lt;="&amp;$B128)</f>
        <v>16760.540000000008</v>
      </c>
      <c r="S128" s="24">
        <f>SUMIFS('Saldos Iniciales'!$D:$D,'Saldos Iniciales'!$A:$A,"3628 Thomas Ave")+SUMIFS(Movimientos!$K$1:$K$1368,Movimientos!$C$1:$C$1368,"3628 Thomas Ave",Movimientos!$B$1:$B$1368,"&lt;="&amp;$B128)</f>
        <v>14162.999999999996</v>
      </c>
      <c r="T128" s="24">
        <f>SUMIFS('Saldos Iniciales'!$D:$D,'Saldos Iniciales'!$A:$A,"Green Harbor Trust")+SUMIFS(Movimientos!$K$1:$K$1368,Movimientos!$C$1:$C$1368,"Green Harbor Trust",Movimientos!$B$1:$B$1368,"&lt;="&amp;$B128)</f>
        <v>345</v>
      </c>
      <c r="U128" s="24">
        <f>SUMIFS('Saldos Iniciales'!$D:$D,'Saldos Iniciales'!$A:$A,"Go Blue")+SUMIFS(Movimientos!$K$1:$K$1368,Movimientos!$C$1:$C$1368,"Go Blue",Movimientos!$B$1:$B$1368,"&lt;="&amp;$B128)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Group")+SUMIFS(Movimientos!$K$1:$K$1368,Movimientos!$C$1:$C$1368,"CFT Group",Movimientos!$B$1:$B$1368,"&lt;="&amp;$B129)</f>
        <v>1549729.4500000007</v>
      </c>
      <c r="D129" s="24">
        <f>SUMIFS('Saldos Iniciales'!$D:$D,'Saldos Iniciales'!$A:$A,"M1B")+SUMIFS(Movimientos!$K$1:$K$1368,Movimientos!$C$1:$C$1368,"M1B",Movimientos!$B$1:$B$1368,"&lt;="&amp;$B129)</f>
        <v>93280.230000000171</v>
      </c>
      <c r="E129" s="24">
        <f>SUMIFS('Saldos Iniciales'!$D:$D,'Saldos Iniciales'!$A:$A,"Durand")+SUMIFS(Movimientos!$K$1:$K$1368,Movimientos!$C$1:$C$1368,"Durand",Movimientos!$B$1:$B$1368,"&lt;="&amp;$B129)</f>
        <v>1669.89</v>
      </c>
      <c r="F129" s="24">
        <f>SUMIFS('Saldos Iniciales'!$D:$D,'Saldos Iniciales'!$A:$A,"A&amp;M Imports")+SUMIFS(Movimientos!$K$1:$K$1368,Movimientos!$C$1:$C$1368,"A&amp;M Imports",Movimientos!$B$1:$B$1368,"&lt;="&amp;$B129)</f>
        <v>1250938</v>
      </c>
      <c r="G129" s="24">
        <f>SUMIFS('Saldos Iniciales'!$D:$D,'Saldos Iniciales'!$A:$A,"SSP Capital")+SUMIFS(Movimientos!$K$1:$K$1368,Movimientos!$C$1:$C$1368,"SSP Capital",Movimientos!$B$1:$B$1368,"&lt;="&amp;$B129)</f>
        <v>1499204.7399999998</v>
      </c>
      <c r="H129" s="24">
        <f>SUMIFS('Saldos Iniciales'!$D:$D,'Saldos Iniciales'!$A:$A,"Cross Family Trust")+SUMIFS(Movimientos!$K$1:$K$1368,Movimientos!$C$1:$C$1368,"Cross Family Trust",Movimientos!$B$1:$B$1368,"&lt;="&amp;$B129)</f>
        <v>249778.14</v>
      </c>
      <c r="I129" s="24">
        <f>SUMIFS('Saldos Iniciales'!$D:$D,'Saldos Iniciales'!$A:$A,"Cross Security Trust")+SUMIFS(Movimientos!$K$1:$K$1368,Movimientos!$C$1:$C$1368,"Cross Security Trust",Movimientos!$B$1:$B$1368,"&lt;="&amp;$B129)</f>
        <v>217684.34</v>
      </c>
      <c r="J129" s="24">
        <f>SUMIFS('Saldos Iniciales'!$D:$D,'Saldos Iniciales'!$A:$A,"Electrama")+SUMIFS(Movimientos!$K$1:$K$1368,Movimientos!$C$1:$C$1368,"Electrama",Movimientos!$B$1:$B$1368,"&lt;="&amp;$B129)</f>
        <v>13014.880000000001</v>
      </c>
      <c r="K129" s="24">
        <f>SUMIFS('Saldos Iniciales'!$D:$D,'Saldos Iniciales'!$A:$A,"Sacred Valley Capital")+SUMIFS(Movimientos!$K$1:$K$1368,Movimientos!$C$1:$C$1368,"Sacred Valley Capital",Movimientos!$B$1:$B$1368,"&lt;="&amp;$B129)</f>
        <v>94.5</v>
      </c>
      <c r="L129" s="24">
        <f>SUMIFS('Saldos Iniciales'!$D:$D,'Saldos Iniciales'!$A:$A,"YWC Capital")+SUMIFS(Movimientos!$K$1:$K$1368,Movimientos!$C$1:$C$1368,"YWC Capital",Movimientos!$B$1:$B$1368,"&lt;="&amp;$B129)</f>
        <v>2147.92</v>
      </c>
      <c r="M129" s="24">
        <f>SUMIFS('Saldos Iniciales'!$D:$D,'Saldos Iniciales'!$A:$A,"Soweto")+SUMIFS(Movimientos!$K$1:$K$1368,Movimientos!$C$1:$C$1368,"Soweto",Movimientos!$B$1:$B$1368,"&lt;="&amp;$B129)</f>
        <v>17895.290000000015</v>
      </c>
      <c r="N129" s="24">
        <f>SUMIFS('Saldos Iniciales'!$D:$D,'Saldos Iniciales'!$A:$A,"Green Stone Trust")+SUMIFS(Movimientos!$K$1:$K$1368,Movimientos!$C$1:$C$1368,"Green Stone Trust",Movimientos!$B$1:$B$1368,"&lt;="&amp;$B129)</f>
        <v>1968.99</v>
      </c>
      <c r="O129" s="24">
        <f>SUMIFS('Saldos Iniciales'!$D:$D,'Saldos Iniciales'!$A:$A,"EC Auto")+SUMIFS(Movimientos!$K$1:$K$1368,Movimientos!$C$1:$C$1368,"EC Auto",Movimientos!$B$1:$B$1368,"&lt;="&amp;$B129)</f>
        <v>901.34</v>
      </c>
      <c r="P129" s="24">
        <f>SUMIFS('Saldos Iniciales'!$D:$D,'Saldos Iniciales'!$A:$A,"Arbor Capital Properties")+SUMIFS(Movimientos!$K$1:$K$1368,Movimientos!$C$1:$C$1368,"Arbor Capital Properties",Movimientos!$B$1:$B$1368,"&lt;="&amp;$B129)</f>
        <v>1380.08</v>
      </c>
      <c r="Q129" s="24">
        <f>SUMIFS('Saldos Iniciales'!$D:$D,'Saldos Iniciales'!$A:$A,"2515 Overbrook")+SUMIFS(Movimientos!$K$1:$K$1368,Movimientos!$C$1:$C$1368,"2515 Overbrook",Movimientos!$B$1:$B$1368,"&lt;="&amp;$B129)</f>
        <v>25027.379999999961</v>
      </c>
      <c r="R129" s="24">
        <f>SUMIFS('Saldos Iniciales'!$D:$D,'Saldos Iniciales'!$A:$A,"112 Florida Ave")+SUMIFS(Movimientos!$K$1:$K$1368,Movimientos!$C$1:$C$1368,"112 Florida Ave",Movimientos!$B$1:$B$1368,"&lt;="&amp;$B129)</f>
        <v>16760.540000000008</v>
      </c>
      <c r="S129" s="24">
        <f>SUMIFS('Saldos Iniciales'!$D:$D,'Saldos Iniciales'!$A:$A,"3628 Thomas Ave")+SUMIFS(Movimientos!$K$1:$K$1368,Movimientos!$C$1:$C$1368,"3628 Thomas Ave",Movimientos!$B$1:$B$1368,"&lt;="&amp;$B129)</f>
        <v>14162.999999999996</v>
      </c>
      <c r="T129" s="24">
        <f>SUMIFS('Saldos Iniciales'!$D:$D,'Saldos Iniciales'!$A:$A,"Green Harbor Trust")+SUMIFS(Movimientos!$K$1:$K$1368,Movimientos!$C$1:$C$1368,"Green Harbor Trust",Movimientos!$B$1:$B$1368,"&lt;="&amp;$B129)</f>
        <v>345</v>
      </c>
      <c r="U129" s="24">
        <f>SUMIFS('Saldos Iniciales'!$D:$D,'Saldos Iniciales'!$A:$A,"Go Blue")+SUMIFS(Movimientos!$K$1:$K$1368,Movimientos!$C$1:$C$1368,"Go Blue",Movimientos!$B$1:$B$1368,"&lt;="&amp;$B129)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Group")+SUMIFS(Movimientos!$K$1:$K$1368,Movimientos!$C$1:$C$1368,"CFT Group",Movimientos!$B$1:$B$1368,"&lt;="&amp;$B130)</f>
        <v>1549729.4500000007</v>
      </c>
      <c r="D130" s="24">
        <f>SUMIFS('Saldos Iniciales'!$D:$D,'Saldos Iniciales'!$A:$A,"M1B")+SUMIFS(Movimientos!$K$1:$K$1368,Movimientos!$C$1:$C$1368,"M1B",Movimientos!$B$1:$B$1368,"&lt;="&amp;$B130)</f>
        <v>93280.230000000171</v>
      </c>
      <c r="E130" s="24">
        <f>SUMIFS('Saldos Iniciales'!$D:$D,'Saldos Iniciales'!$A:$A,"Durand")+SUMIFS(Movimientos!$K$1:$K$1368,Movimientos!$C$1:$C$1368,"Durand",Movimientos!$B$1:$B$1368,"&lt;="&amp;$B130)</f>
        <v>1669.89</v>
      </c>
      <c r="F130" s="24">
        <f>SUMIFS('Saldos Iniciales'!$D:$D,'Saldos Iniciales'!$A:$A,"A&amp;M Imports")+SUMIFS(Movimientos!$K$1:$K$1368,Movimientos!$C$1:$C$1368,"A&amp;M Imports",Movimientos!$B$1:$B$1368,"&lt;="&amp;$B130)</f>
        <v>1250938</v>
      </c>
      <c r="G130" s="24">
        <f>SUMIFS('Saldos Iniciales'!$D:$D,'Saldos Iniciales'!$A:$A,"SSP Capital")+SUMIFS(Movimientos!$K$1:$K$1368,Movimientos!$C$1:$C$1368,"SSP Capital",Movimientos!$B$1:$B$1368,"&lt;="&amp;$B130)</f>
        <v>1499204.7399999998</v>
      </c>
      <c r="H130" s="24">
        <f>SUMIFS('Saldos Iniciales'!$D:$D,'Saldos Iniciales'!$A:$A,"Cross Family Trust")+SUMIFS(Movimientos!$K$1:$K$1368,Movimientos!$C$1:$C$1368,"Cross Family Trust",Movimientos!$B$1:$B$1368,"&lt;="&amp;$B130)</f>
        <v>249778.14</v>
      </c>
      <c r="I130" s="24">
        <f>SUMIFS('Saldos Iniciales'!$D:$D,'Saldos Iniciales'!$A:$A,"Cross Security Trust")+SUMIFS(Movimientos!$K$1:$K$1368,Movimientos!$C$1:$C$1368,"Cross Security Trust",Movimientos!$B$1:$B$1368,"&lt;="&amp;$B130)</f>
        <v>217684.34</v>
      </c>
      <c r="J130" s="24">
        <f>SUMIFS('Saldos Iniciales'!$D:$D,'Saldos Iniciales'!$A:$A,"Electrama")+SUMIFS(Movimientos!$K$1:$K$1368,Movimientos!$C$1:$C$1368,"Electrama",Movimientos!$B$1:$B$1368,"&lt;="&amp;$B130)</f>
        <v>13014.880000000001</v>
      </c>
      <c r="K130" s="24">
        <f>SUMIFS('Saldos Iniciales'!$D:$D,'Saldos Iniciales'!$A:$A,"Sacred Valley Capital")+SUMIFS(Movimientos!$K$1:$K$1368,Movimientos!$C$1:$C$1368,"Sacred Valley Capital",Movimientos!$B$1:$B$1368,"&lt;="&amp;$B130)</f>
        <v>94.5</v>
      </c>
      <c r="L130" s="24">
        <f>SUMIFS('Saldos Iniciales'!$D:$D,'Saldos Iniciales'!$A:$A,"YWC Capital")+SUMIFS(Movimientos!$K$1:$K$1368,Movimientos!$C$1:$C$1368,"YWC Capital",Movimientos!$B$1:$B$1368,"&lt;="&amp;$B130)</f>
        <v>2147.92</v>
      </c>
      <c r="M130" s="24">
        <f>SUMIFS('Saldos Iniciales'!$D:$D,'Saldos Iniciales'!$A:$A,"Soweto")+SUMIFS(Movimientos!$K$1:$K$1368,Movimientos!$C$1:$C$1368,"Soweto",Movimientos!$B$1:$B$1368,"&lt;="&amp;$B130)</f>
        <v>17895.290000000015</v>
      </c>
      <c r="N130" s="24">
        <f>SUMIFS('Saldos Iniciales'!$D:$D,'Saldos Iniciales'!$A:$A,"Green Stone Trust")+SUMIFS(Movimientos!$K$1:$K$1368,Movimientos!$C$1:$C$1368,"Green Stone Trust",Movimientos!$B$1:$B$1368,"&lt;="&amp;$B130)</f>
        <v>1968.99</v>
      </c>
      <c r="O130" s="24">
        <f>SUMIFS('Saldos Iniciales'!$D:$D,'Saldos Iniciales'!$A:$A,"EC Auto")+SUMIFS(Movimientos!$K$1:$K$1368,Movimientos!$C$1:$C$1368,"EC Auto",Movimientos!$B$1:$B$1368,"&lt;="&amp;$B130)</f>
        <v>901.34</v>
      </c>
      <c r="P130" s="24">
        <f>SUMIFS('Saldos Iniciales'!$D:$D,'Saldos Iniciales'!$A:$A,"Arbor Capital Properties")+SUMIFS(Movimientos!$K$1:$K$1368,Movimientos!$C$1:$C$1368,"Arbor Capital Properties",Movimientos!$B$1:$B$1368,"&lt;="&amp;$B130)</f>
        <v>1380.08</v>
      </c>
      <c r="Q130" s="24">
        <f>SUMIFS('Saldos Iniciales'!$D:$D,'Saldos Iniciales'!$A:$A,"2515 Overbrook")+SUMIFS(Movimientos!$K$1:$K$1368,Movimientos!$C$1:$C$1368,"2515 Overbrook",Movimientos!$B$1:$B$1368,"&lt;="&amp;$B130)</f>
        <v>25027.379999999961</v>
      </c>
      <c r="R130" s="24">
        <f>SUMIFS('Saldos Iniciales'!$D:$D,'Saldos Iniciales'!$A:$A,"112 Florida Ave")+SUMIFS(Movimientos!$K$1:$K$1368,Movimientos!$C$1:$C$1368,"112 Florida Ave",Movimientos!$B$1:$B$1368,"&lt;="&amp;$B130)</f>
        <v>16760.540000000008</v>
      </c>
      <c r="S130" s="24">
        <f>SUMIFS('Saldos Iniciales'!$D:$D,'Saldos Iniciales'!$A:$A,"3628 Thomas Ave")+SUMIFS(Movimientos!$K$1:$K$1368,Movimientos!$C$1:$C$1368,"3628 Thomas Ave",Movimientos!$B$1:$B$1368,"&lt;="&amp;$B130)</f>
        <v>14162.999999999996</v>
      </c>
      <c r="T130" s="24">
        <f>SUMIFS('Saldos Iniciales'!$D:$D,'Saldos Iniciales'!$A:$A,"Green Harbor Trust")+SUMIFS(Movimientos!$K$1:$K$1368,Movimientos!$C$1:$C$1368,"Green Harbor Trust",Movimientos!$B$1:$B$1368,"&lt;="&amp;$B130)</f>
        <v>345</v>
      </c>
      <c r="U130" s="24">
        <f>SUMIFS('Saldos Iniciales'!$D:$D,'Saldos Iniciales'!$A:$A,"Go Blue")+SUMIFS(Movimientos!$K$1:$K$1368,Movimientos!$C$1:$C$1368,"Go Blue",Movimientos!$B$1:$B$1368,"&lt;="&amp;$B130)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Group")+SUMIFS(Movimientos!$K$1:$K$1368,Movimientos!$C$1:$C$1368,"CFT Group",Movimientos!$B$1:$B$1368,"&lt;="&amp;$B131)</f>
        <v>1549729.4500000007</v>
      </c>
      <c r="D131" s="24">
        <f>SUMIFS('Saldos Iniciales'!$D:$D,'Saldos Iniciales'!$A:$A,"M1B")+SUMIFS(Movimientos!$K$1:$K$1368,Movimientos!$C$1:$C$1368,"M1B",Movimientos!$B$1:$B$1368,"&lt;="&amp;$B131)</f>
        <v>93280.230000000171</v>
      </c>
      <c r="E131" s="24">
        <f>SUMIFS('Saldos Iniciales'!$D:$D,'Saldos Iniciales'!$A:$A,"Durand")+SUMIFS(Movimientos!$K$1:$K$1368,Movimientos!$C$1:$C$1368,"Durand",Movimientos!$B$1:$B$1368,"&lt;="&amp;$B131)</f>
        <v>1669.89</v>
      </c>
      <c r="F131" s="24">
        <f>SUMIFS('Saldos Iniciales'!$D:$D,'Saldos Iniciales'!$A:$A,"A&amp;M Imports")+SUMIFS(Movimientos!$K$1:$K$1368,Movimientos!$C$1:$C$1368,"A&amp;M Imports",Movimientos!$B$1:$B$1368,"&lt;="&amp;$B131)</f>
        <v>1250938</v>
      </c>
      <c r="G131" s="24">
        <f>SUMIFS('Saldos Iniciales'!$D:$D,'Saldos Iniciales'!$A:$A,"SSP Capital")+SUMIFS(Movimientos!$K$1:$K$1368,Movimientos!$C$1:$C$1368,"SSP Capital",Movimientos!$B$1:$B$1368,"&lt;="&amp;$B131)</f>
        <v>1499204.7399999998</v>
      </c>
      <c r="H131" s="24">
        <f>SUMIFS('Saldos Iniciales'!$D:$D,'Saldos Iniciales'!$A:$A,"Cross Family Trust")+SUMIFS(Movimientos!$K$1:$K$1368,Movimientos!$C$1:$C$1368,"Cross Family Trust",Movimientos!$B$1:$B$1368,"&lt;="&amp;$B131)</f>
        <v>249778.14</v>
      </c>
      <c r="I131" s="24">
        <f>SUMIFS('Saldos Iniciales'!$D:$D,'Saldos Iniciales'!$A:$A,"Cross Security Trust")+SUMIFS(Movimientos!$K$1:$K$1368,Movimientos!$C$1:$C$1368,"Cross Security Trust",Movimientos!$B$1:$B$1368,"&lt;="&amp;$B131)</f>
        <v>217684.34</v>
      </c>
      <c r="J131" s="24">
        <f>SUMIFS('Saldos Iniciales'!$D:$D,'Saldos Iniciales'!$A:$A,"Electrama")+SUMIFS(Movimientos!$K$1:$K$1368,Movimientos!$C$1:$C$1368,"Electrama",Movimientos!$B$1:$B$1368,"&lt;="&amp;$B131)</f>
        <v>13014.880000000001</v>
      </c>
      <c r="K131" s="24">
        <f>SUMIFS('Saldos Iniciales'!$D:$D,'Saldos Iniciales'!$A:$A,"Sacred Valley Capital")+SUMIFS(Movimientos!$K$1:$K$1368,Movimientos!$C$1:$C$1368,"Sacred Valley Capital",Movimientos!$B$1:$B$1368,"&lt;="&amp;$B131)</f>
        <v>94.5</v>
      </c>
      <c r="L131" s="24">
        <f>SUMIFS('Saldos Iniciales'!$D:$D,'Saldos Iniciales'!$A:$A,"YWC Capital")+SUMIFS(Movimientos!$K$1:$K$1368,Movimientos!$C$1:$C$1368,"YWC Capital",Movimientos!$B$1:$B$1368,"&lt;="&amp;$B131)</f>
        <v>2147.92</v>
      </c>
      <c r="M131" s="24">
        <f>SUMIFS('Saldos Iniciales'!$D:$D,'Saldos Iniciales'!$A:$A,"Soweto")+SUMIFS(Movimientos!$K$1:$K$1368,Movimientos!$C$1:$C$1368,"Soweto",Movimientos!$B$1:$B$1368,"&lt;="&amp;$B131)</f>
        <v>17895.290000000015</v>
      </c>
      <c r="N131" s="24">
        <f>SUMIFS('Saldos Iniciales'!$D:$D,'Saldos Iniciales'!$A:$A,"Green Stone Trust")+SUMIFS(Movimientos!$K$1:$K$1368,Movimientos!$C$1:$C$1368,"Green Stone Trust",Movimientos!$B$1:$B$1368,"&lt;="&amp;$B131)</f>
        <v>1968.99</v>
      </c>
      <c r="O131" s="24">
        <f>SUMIFS('Saldos Iniciales'!$D:$D,'Saldos Iniciales'!$A:$A,"EC Auto")+SUMIFS(Movimientos!$K$1:$K$1368,Movimientos!$C$1:$C$1368,"EC Auto",Movimientos!$B$1:$B$1368,"&lt;="&amp;$B131)</f>
        <v>901.34</v>
      </c>
      <c r="P131" s="24">
        <f>SUMIFS('Saldos Iniciales'!$D:$D,'Saldos Iniciales'!$A:$A,"Arbor Capital Properties")+SUMIFS(Movimientos!$K$1:$K$1368,Movimientos!$C$1:$C$1368,"Arbor Capital Properties",Movimientos!$B$1:$B$1368,"&lt;="&amp;$B131)</f>
        <v>1380.08</v>
      </c>
      <c r="Q131" s="24">
        <f>SUMIFS('Saldos Iniciales'!$D:$D,'Saldos Iniciales'!$A:$A,"2515 Overbrook")+SUMIFS(Movimientos!$K$1:$K$1368,Movimientos!$C$1:$C$1368,"2515 Overbrook",Movimientos!$B$1:$B$1368,"&lt;="&amp;$B131)</f>
        <v>25027.379999999961</v>
      </c>
      <c r="R131" s="24">
        <f>SUMIFS('Saldos Iniciales'!$D:$D,'Saldos Iniciales'!$A:$A,"112 Florida Ave")+SUMIFS(Movimientos!$K$1:$K$1368,Movimientos!$C$1:$C$1368,"112 Florida Ave",Movimientos!$B$1:$B$1368,"&lt;="&amp;$B131)</f>
        <v>16760.540000000008</v>
      </c>
      <c r="S131" s="24">
        <f>SUMIFS('Saldos Iniciales'!$D:$D,'Saldos Iniciales'!$A:$A,"3628 Thomas Ave")+SUMIFS(Movimientos!$K$1:$K$1368,Movimientos!$C$1:$C$1368,"3628 Thomas Ave",Movimientos!$B$1:$B$1368,"&lt;="&amp;$B131)</f>
        <v>14162.999999999996</v>
      </c>
      <c r="T131" s="24">
        <f>SUMIFS('Saldos Iniciales'!$D:$D,'Saldos Iniciales'!$A:$A,"Green Harbor Trust")+SUMIFS(Movimientos!$K$1:$K$1368,Movimientos!$C$1:$C$1368,"Green Harbor Trust",Movimientos!$B$1:$B$1368,"&lt;="&amp;$B131)</f>
        <v>345</v>
      </c>
      <c r="U131" s="24">
        <f>SUMIFS('Saldos Iniciales'!$D:$D,'Saldos Iniciales'!$A:$A,"Go Blue")+SUMIFS(Movimientos!$K$1:$K$1368,Movimientos!$C$1:$C$1368,"Go Blue",Movimientos!$B$1:$B$1368,"&lt;="&amp;$B131)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Group")+SUMIFS(Movimientos!$K$1:$K$1368,Movimientos!$C$1:$C$1368,"CFT Group",Movimientos!$B$1:$B$1368,"&lt;="&amp;$B132)</f>
        <v>1805955.2800000007</v>
      </c>
      <c r="D132" s="24">
        <f>SUMIFS('Saldos Iniciales'!$D:$D,'Saldos Iniciales'!$A:$A,"M1B")+SUMIFS(Movimientos!$K$1:$K$1368,Movimientos!$C$1:$C$1368,"M1B",Movimientos!$B$1:$B$1368,"&lt;="&amp;$B132)</f>
        <v>93737.970000000176</v>
      </c>
      <c r="E132" s="24">
        <f>SUMIFS('Saldos Iniciales'!$D:$D,'Saldos Iniciales'!$A:$A,"Durand")+SUMIFS(Movimientos!$K$1:$K$1368,Movimientos!$C$1:$C$1368,"Durand",Movimientos!$B$1:$B$1368,"&lt;="&amp;$B132)</f>
        <v>1669.89</v>
      </c>
      <c r="F132" s="24">
        <f>SUMIFS('Saldos Iniciales'!$D:$D,'Saldos Iniciales'!$A:$A,"A&amp;M Imports")+SUMIFS(Movimientos!$K$1:$K$1368,Movimientos!$C$1:$C$1368,"A&amp;M Imports",Movimientos!$B$1:$B$1368,"&lt;="&amp;$B132)</f>
        <v>1256669.99</v>
      </c>
      <c r="G132" s="24">
        <f>SUMIFS('Saldos Iniciales'!$D:$D,'Saldos Iniciales'!$A:$A,"SSP Capital")+SUMIFS(Movimientos!$K$1:$K$1368,Movimientos!$C$1:$C$1368,"SSP Capital",Movimientos!$B$1:$B$1368,"&lt;="&amp;$B132)</f>
        <v>1490233.3099999996</v>
      </c>
      <c r="H132" s="24">
        <f>SUMIFS('Saldos Iniciales'!$D:$D,'Saldos Iniciales'!$A:$A,"Cross Family Trust")+SUMIFS(Movimientos!$K$1:$K$1368,Movimientos!$C$1:$C$1368,"Cross Family Trust",Movimientos!$B$1:$B$1368,"&lt;="&amp;$B132)</f>
        <v>249778.14</v>
      </c>
      <c r="I132" s="24">
        <f>SUMIFS('Saldos Iniciales'!$D:$D,'Saldos Iniciales'!$A:$A,"Cross Security Trust")+SUMIFS(Movimientos!$K$1:$K$1368,Movimientos!$C$1:$C$1368,"Cross Security Trust",Movimientos!$B$1:$B$1368,"&lt;="&amp;$B132)</f>
        <v>217684.34</v>
      </c>
      <c r="J132" s="24">
        <f>SUMIFS('Saldos Iniciales'!$D:$D,'Saldos Iniciales'!$A:$A,"Electrama")+SUMIFS(Movimientos!$K$1:$K$1368,Movimientos!$C$1:$C$1368,"Electrama",Movimientos!$B$1:$B$1368,"&lt;="&amp;$B132)</f>
        <v>11744.75</v>
      </c>
      <c r="K132" s="24">
        <f>SUMIFS('Saldos Iniciales'!$D:$D,'Saldos Iniciales'!$A:$A,"Sacred Valley Capital")+SUMIFS(Movimientos!$K$1:$K$1368,Movimientos!$C$1:$C$1368,"Sacred Valley Capital",Movimientos!$B$1:$B$1368,"&lt;="&amp;$B132)</f>
        <v>94.5</v>
      </c>
      <c r="L132" s="24">
        <f>SUMIFS('Saldos Iniciales'!$D:$D,'Saldos Iniciales'!$A:$A,"YWC Capital")+SUMIFS(Movimientos!$K$1:$K$1368,Movimientos!$C$1:$C$1368,"YWC Capital",Movimientos!$B$1:$B$1368,"&lt;="&amp;$B132)</f>
        <v>2147.92</v>
      </c>
      <c r="M132" s="24">
        <f>SUMIFS('Saldos Iniciales'!$D:$D,'Saldos Iniciales'!$A:$A,"Soweto")+SUMIFS(Movimientos!$K$1:$K$1368,Movimientos!$C$1:$C$1368,"Soweto",Movimientos!$B$1:$B$1368,"&lt;="&amp;$B132)</f>
        <v>17895.290000000015</v>
      </c>
      <c r="N132" s="24">
        <f>SUMIFS('Saldos Iniciales'!$D:$D,'Saldos Iniciales'!$A:$A,"Green Stone Trust")+SUMIFS(Movimientos!$K$1:$K$1368,Movimientos!$C$1:$C$1368,"Green Stone Trust",Movimientos!$B$1:$B$1368,"&lt;="&amp;$B132)</f>
        <v>1968.99</v>
      </c>
      <c r="O132" s="24">
        <f>SUMIFS('Saldos Iniciales'!$D:$D,'Saldos Iniciales'!$A:$A,"EC Auto")+SUMIFS(Movimientos!$K$1:$K$1368,Movimientos!$C$1:$C$1368,"EC Auto",Movimientos!$B$1:$B$1368,"&lt;="&amp;$B132)</f>
        <v>901.34</v>
      </c>
      <c r="P132" s="24">
        <f>SUMIFS('Saldos Iniciales'!$D:$D,'Saldos Iniciales'!$A:$A,"Arbor Capital Properties")+SUMIFS(Movimientos!$K$1:$K$1368,Movimientos!$C$1:$C$1368,"Arbor Capital Properties",Movimientos!$B$1:$B$1368,"&lt;="&amp;$B132)</f>
        <v>1380.08</v>
      </c>
      <c r="Q132" s="24">
        <f>SUMIFS('Saldos Iniciales'!$D:$D,'Saldos Iniciales'!$A:$A,"2515 Overbrook")+SUMIFS(Movimientos!$K$1:$K$1368,Movimientos!$C$1:$C$1368,"2515 Overbrook",Movimientos!$B$1:$B$1368,"&lt;="&amp;$B132)</f>
        <v>25027.379999999961</v>
      </c>
      <c r="R132" s="24">
        <f>SUMIFS('Saldos Iniciales'!$D:$D,'Saldos Iniciales'!$A:$A,"112 Florida Ave")+SUMIFS(Movimientos!$K$1:$K$1368,Movimientos!$C$1:$C$1368,"112 Florida Ave",Movimientos!$B$1:$B$1368,"&lt;="&amp;$B132)</f>
        <v>16760.540000000008</v>
      </c>
      <c r="S132" s="24">
        <f>SUMIFS('Saldos Iniciales'!$D:$D,'Saldos Iniciales'!$A:$A,"3628 Thomas Ave")+SUMIFS(Movimientos!$K$1:$K$1368,Movimientos!$C$1:$C$1368,"3628 Thomas Ave",Movimientos!$B$1:$B$1368,"&lt;="&amp;$B132)</f>
        <v>14162.999999999996</v>
      </c>
      <c r="T132" s="24">
        <f>SUMIFS('Saldos Iniciales'!$D:$D,'Saldos Iniciales'!$A:$A,"Green Harbor Trust")+SUMIFS(Movimientos!$K$1:$K$1368,Movimientos!$C$1:$C$1368,"Green Harbor Trust",Movimientos!$B$1:$B$1368,"&lt;="&amp;$B132)</f>
        <v>345</v>
      </c>
      <c r="U132" s="24">
        <f>SUMIFS('Saldos Iniciales'!$D:$D,'Saldos Iniciales'!$A:$A,"Go Blue")+SUMIFS(Movimientos!$K$1:$K$1368,Movimientos!$C$1:$C$1368,"Go Blue",Movimientos!$B$1:$B$1368,"&lt;="&amp;$B132)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Group")+SUMIFS(Movimientos!$K$1:$K$1368,Movimientos!$C$1:$C$1368,"CFT Group",Movimientos!$B$1:$B$1368,"&lt;="&amp;$B133)</f>
        <v>1805355.2800000007</v>
      </c>
      <c r="D133" s="24">
        <f>SUMIFS('Saldos Iniciales'!$D:$D,'Saldos Iniciales'!$A:$A,"M1B")+SUMIFS(Movimientos!$K$1:$K$1368,Movimientos!$C$1:$C$1368,"M1B",Movimientos!$B$1:$B$1368,"&lt;="&amp;$B133)</f>
        <v>93737.970000000176</v>
      </c>
      <c r="E133" s="24">
        <f>SUMIFS('Saldos Iniciales'!$D:$D,'Saldos Iniciales'!$A:$A,"Durand")+SUMIFS(Movimientos!$K$1:$K$1368,Movimientos!$C$1:$C$1368,"Durand",Movimientos!$B$1:$B$1368,"&lt;="&amp;$B133)</f>
        <v>1669.89</v>
      </c>
      <c r="F133" s="24">
        <f>SUMIFS('Saldos Iniciales'!$D:$D,'Saldos Iniciales'!$A:$A,"A&amp;M Imports")+SUMIFS(Movimientos!$K$1:$K$1368,Movimientos!$C$1:$C$1368,"A&amp;M Imports",Movimientos!$B$1:$B$1368,"&lt;="&amp;$B133)</f>
        <v>1256669.99</v>
      </c>
      <c r="G133" s="24">
        <f>SUMIFS('Saldos Iniciales'!$D:$D,'Saldos Iniciales'!$A:$A,"SSP Capital")+SUMIFS(Movimientos!$K$1:$K$1368,Movimientos!$C$1:$C$1368,"SSP Capital",Movimientos!$B$1:$B$1368,"&lt;="&amp;$B133)</f>
        <v>1487787.1299999997</v>
      </c>
      <c r="H133" s="24">
        <f>SUMIFS('Saldos Iniciales'!$D:$D,'Saldos Iniciales'!$A:$A,"Cross Family Trust")+SUMIFS(Movimientos!$K$1:$K$1368,Movimientos!$C$1:$C$1368,"Cross Family Trust",Movimientos!$B$1:$B$1368,"&lt;="&amp;$B133)</f>
        <v>229778.14</v>
      </c>
      <c r="I133" s="24">
        <f>SUMIFS('Saldos Iniciales'!$D:$D,'Saldos Iniciales'!$A:$A,"Cross Security Trust")+SUMIFS(Movimientos!$K$1:$K$1368,Movimientos!$C$1:$C$1368,"Cross Security Trust",Movimientos!$B$1:$B$1368,"&lt;="&amp;$B133)</f>
        <v>217684.34</v>
      </c>
      <c r="J133" s="24">
        <f>SUMIFS('Saldos Iniciales'!$D:$D,'Saldos Iniciales'!$A:$A,"Electrama")+SUMIFS(Movimientos!$K$1:$K$1368,Movimientos!$C$1:$C$1368,"Electrama",Movimientos!$B$1:$B$1368,"&lt;="&amp;$B133)</f>
        <v>11744.75</v>
      </c>
      <c r="K133" s="24">
        <f>SUMIFS('Saldos Iniciales'!$D:$D,'Saldos Iniciales'!$A:$A,"Sacred Valley Capital")+SUMIFS(Movimientos!$K$1:$K$1368,Movimientos!$C$1:$C$1368,"Sacred Valley Capital",Movimientos!$B$1:$B$1368,"&lt;="&amp;$B133)</f>
        <v>94.5</v>
      </c>
      <c r="L133" s="24">
        <f>SUMIFS('Saldos Iniciales'!$D:$D,'Saldos Iniciales'!$A:$A,"YWC Capital")+SUMIFS(Movimientos!$K$1:$K$1368,Movimientos!$C$1:$C$1368,"YWC Capital",Movimientos!$B$1:$B$1368,"&lt;="&amp;$B133)</f>
        <v>2147.92</v>
      </c>
      <c r="M133" s="24">
        <f>SUMIFS('Saldos Iniciales'!$D:$D,'Saldos Iniciales'!$A:$A,"Soweto")+SUMIFS(Movimientos!$K$1:$K$1368,Movimientos!$C$1:$C$1368,"Soweto",Movimientos!$B$1:$B$1368,"&lt;="&amp;$B133)</f>
        <v>17895.290000000015</v>
      </c>
      <c r="N133" s="24">
        <f>SUMIFS('Saldos Iniciales'!$D:$D,'Saldos Iniciales'!$A:$A,"Green Stone Trust")+SUMIFS(Movimientos!$K$1:$K$1368,Movimientos!$C$1:$C$1368,"Green Stone Trust",Movimientos!$B$1:$B$1368,"&lt;="&amp;$B133)</f>
        <v>1968.99</v>
      </c>
      <c r="O133" s="24">
        <f>SUMIFS('Saldos Iniciales'!$D:$D,'Saldos Iniciales'!$A:$A,"EC Auto")+SUMIFS(Movimientos!$K$1:$K$1368,Movimientos!$C$1:$C$1368,"EC Auto",Movimientos!$B$1:$B$1368,"&lt;="&amp;$B133)</f>
        <v>901.34</v>
      </c>
      <c r="P133" s="24">
        <f>SUMIFS('Saldos Iniciales'!$D:$D,'Saldos Iniciales'!$A:$A,"Arbor Capital Properties")+SUMIFS(Movimientos!$K$1:$K$1368,Movimientos!$C$1:$C$1368,"Arbor Capital Properties",Movimientos!$B$1:$B$1368,"&lt;="&amp;$B133)</f>
        <v>1380.08</v>
      </c>
      <c r="Q133" s="24">
        <f>SUMIFS('Saldos Iniciales'!$D:$D,'Saldos Iniciales'!$A:$A,"2515 Overbrook")+SUMIFS(Movimientos!$K$1:$K$1368,Movimientos!$C$1:$C$1368,"2515 Overbrook",Movimientos!$B$1:$B$1368,"&lt;="&amp;$B133)</f>
        <v>25027.379999999961</v>
      </c>
      <c r="R133" s="24">
        <f>SUMIFS('Saldos Iniciales'!$D:$D,'Saldos Iniciales'!$A:$A,"112 Florida Ave")+SUMIFS(Movimientos!$K$1:$K$1368,Movimientos!$C$1:$C$1368,"112 Florida Ave",Movimientos!$B$1:$B$1368,"&lt;="&amp;$B133)</f>
        <v>16760.540000000008</v>
      </c>
      <c r="S133" s="24">
        <f>SUMIFS('Saldos Iniciales'!$D:$D,'Saldos Iniciales'!$A:$A,"3628 Thomas Ave")+SUMIFS(Movimientos!$K$1:$K$1368,Movimientos!$C$1:$C$1368,"3628 Thomas Ave",Movimientos!$B$1:$B$1368,"&lt;="&amp;$B133)</f>
        <v>14162.999999999996</v>
      </c>
      <c r="T133" s="24">
        <f>SUMIFS('Saldos Iniciales'!$D:$D,'Saldos Iniciales'!$A:$A,"Green Harbor Trust")+SUMIFS(Movimientos!$K$1:$K$1368,Movimientos!$C$1:$C$1368,"Green Harbor Trust",Movimientos!$B$1:$B$1368,"&lt;="&amp;$B133)</f>
        <v>345</v>
      </c>
      <c r="U133" s="24">
        <f>SUMIFS('Saldos Iniciales'!$D:$D,'Saldos Iniciales'!$A:$A,"Go Blue")+SUMIFS(Movimientos!$K$1:$K$1368,Movimientos!$C$1:$C$1368,"Go Blue",Movimientos!$B$1:$B$1368,"&lt;="&amp;$B133)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Group")+SUMIFS(Movimientos!$K$1:$K$1368,Movimientos!$C$1:$C$1368,"CFT Group",Movimientos!$B$1:$B$1368,"&lt;="&amp;$B134)</f>
        <v>1338116.3900000008</v>
      </c>
      <c r="D134" s="24">
        <f>SUMIFS('Saldos Iniciales'!$D:$D,'Saldos Iniciales'!$A:$A,"M1B")+SUMIFS(Movimientos!$K$1:$K$1368,Movimientos!$C$1:$C$1368,"M1B",Movimientos!$B$1:$B$1368,"&lt;="&amp;$B134)</f>
        <v>93737.970000000176</v>
      </c>
      <c r="E134" s="24">
        <f>SUMIFS('Saldos Iniciales'!$D:$D,'Saldos Iniciales'!$A:$A,"Durand")+SUMIFS(Movimientos!$K$1:$K$1368,Movimientos!$C$1:$C$1368,"Durand",Movimientos!$B$1:$B$1368,"&lt;="&amp;$B134)</f>
        <v>1669.89</v>
      </c>
      <c r="F134" s="24">
        <f>SUMIFS('Saldos Iniciales'!$D:$D,'Saldos Iniciales'!$A:$A,"A&amp;M Imports")+SUMIFS(Movimientos!$K$1:$K$1368,Movimientos!$C$1:$C$1368,"A&amp;M Imports",Movimientos!$B$1:$B$1368,"&lt;="&amp;$B134)</f>
        <v>1089169.99</v>
      </c>
      <c r="G134" s="24">
        <f>SUMIFS('Saldos Iniciales'!$D:$D,'Saldos Iniciales'!$A:$A,"SSP Capital")+SUMIFS(Movimientos!$K$1:$K$1368,Movimientos!$C$1:$C$1368,"SSP Capital",Movimientos!$B$1:$B$1368,"&lt;="&amp;$B134)</f>
        <v>1233789.9099999997</v>
      </c>
      <c r="H134" s="24">
        <f>SUMIFS('Saldos Iniciales'!$D:$D,'Saldos Iniciales'!$A:$A,"Cross Family Trust")+SUMIFS(Movimientos!$K$1:$K$1368,Movimientos!$C$1:$C$1368,"Cross Family Trust",Movimientos!$B$1:$B$1368,"&lt;="&amp;$B134)</f>
        <v>229778.14</v>
      </c>
      <c r="I134" s="24">
        <f>SUMIFS('Saldos Iniciales'!$D:$D,'Saldos Iniciales'!$A:$A,"Cross Security Trust")+SUMIFS(Movimientos!$K$1:$K$1368,Movimientos!$C$1:$C$1368,"Cross Security Trust",Movimientos!$B$1:$B$1368,"&lt;="&amp;$B134)</f>
        <v>217684.34</v>
      </c>
      <c r="J134" s="24">
        <f>SUMIFS('Saldos Iniciales'!$D:$D,'Saldos Iniciales'!$A:$A,"Electrama")+SUMIFS(Movimientos!$K$1:$K$1368,Movimientos!$C$1:$C$1368,"Electrama",Movimientos!$B$1:$B$1368,"&lt;="&amp;$B134)</f>
        <v>11744.75</v>
      </c>
      <c r="K134" s="24">
        <f>SUMIFS('Saldos Iniciales'!$D:$D,'Saldos Iniciales'!$A:$A,"Sacred Valley Capital")+SUMIFS(Movimientos!$K$1:$K$1368,Movimientos!$C$1:$C$1368,"Sacred Valley Capital",Movimientos!$B$1:$B$1368,"&lt;="&amp;$B134)</f>
        <v>94.5</v>
      </c>
      <c r="L134" s="24">
        <f>SUMIFS('Saldos Iniciales'!$D:$D,'Saldos Iniciales'!$A:$A,"YWC Capital")+SUMIFS(Movimientos!$K$1:$K$1368,Movimientos!$C$1:$C$1368,"YWC Capital",Movimientos!$B$1:$B$1368,"&lt;="&amp;$B134)</f>
        <v>2147.92</v>
      </c>
      <c r="M134" s="24">
        <f>SUMIFS('Saldos Iniciales'!$D:$D,'Saldos Iniciales'!$A:$A,"Soweto")+SUMIFS(Movimientos!$K$1:$K$1368,Movimientos!$C$1:$C$1368,"Soweto",Movimientos!$B$1:$B$1368,"&lt;="&amp;$B134)</f>
        <v>17895.290000000015</v>
      </c>
      <c r="N134" s="24">
        <f>SUMIFS('Saldos Iniciales'!$D:$D,'Saldos Iniciales'!$A:$A,"Green Stone Trust")+SUMIFS(Movimientos!$K$1:$K$1368,Movimientos!$C$1:$C$1368,"Green Stone Trust",Movimientos!$B$1:$B$1368,"&lt;="&amp;$B134)</f>
        <v>1968.99</v>
      </c>
      <c r="O134" s="24">
        <f>SUMIFS('Saldos Iniciales'!$D:$D,'Saldos Iniciales'!$A:$A,"EC Auto")+SUMIFS(Movimientos!$K$1:$K$1368,Movimientos!$C$1:$C$1368,"EC Auto",Movimientos!$B$1:$B$1368,"&lt;="&amp;$B134)</f>
        <v>901.34</v>
      </c>
      <c r="P134" s="24">
        <f>SUMIFS('Saldos Iniciales'!$D:$D,'Saldos Iniciales'!$A:$A,"Arbor Capital Properties")+SUMIFS(Movimientos!$K$1:$K$1368,Movimientos!$C$1:$C$1368,"Arbor Capital Properties",Movimientos!$B$1:$B$1368,"&lt;="&amp;$B134)</f>
        <v>1380.08</v>
      </c>
      <c r="Q134" s="24">
        <f>SUMIFS('Saldos Iniciales'!$D:$D,'Saldos Iniciales'!$A:$A,"2515 Overbrook")+SUMIFS(Movimientos!$K$1:$K$1368,Movimientos!$C$1:$C$1368,"2515 Overbrook",Movimientos!$B$1:$B$1368,"&lt;="&amp;$B134)</f>
        <v>25027.379999999961</v>
      </c>
      <c r="R134" s="24">
        <f>SUMIFS('Saldos Iniciales'!$D:$D,'Saldos Iniciales'!$A:$A,"112 Florida Ave")+SUMIFS(Movimientos!$K$1:$K$1368,Movimientos!$C$1:$C$1368,"112 Florida Ave",Movimientos!$B$1:$B$1368,"&lt;="&amp;$B134)</f>
        <v>16760.540000000008</v>
      </c>
      <c r="S134" s="24">
        <f>SUMIFS('Saldos Iniciales'!$D:$D,'Saldos Iniciales'!$A:$A,"3628 Thomas Ave")+SUMIFS(Movimientos!$K$1:$K$1368,Movimientos!$C$1:$C$1368,"3628 Thomas Ave",Movimientos!$B$1:$B$1368,"&lt;="&amp;$B134)</f>
        <v>14162.999999999996</v>
      </c>
      <c r="T134" s="24">
        <f>SUMIFS('Saldos Iniciales'!$D:$D,'Saldos Iniciales'!$A:$A,"Green Harbor Trust")+SUMIFS(Movimientos!$K$1:$K$1368,Movimientos!$C$1:$C$1368,"Green Harbor Trust",Movimientos!$B$1:$B$1368,"&lt;="&amp;$B134)</f>
        <v>345</v>
      </c>
      <c r="U134" s="24">
        <f>SUMIFS('Saldos Iniciales'!$D:$D,'Saldos Iniciales'!$A:$A,"Go Blue")+SUMIFS(Movimientos!$K$1:$K$1368,Movimientos!$C$1:$C$1368,"Go Blue",Movimientos!$B$1:$B$1368,"&lt;="&amp;$B134)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Group")+SUMIFS(Movimientos!$K$1:$K$1368,Movimientos!$C$1:$C$1368,"CFT Group",Movimientos!$B$1:$B$1368,"&lt;="&amp;$B135)</f>
        <v>1892948.5900000008</v>
      </c>
      <c r="D135" s="24">
        <f>SUMIFS('Saldos Iniciales'!$D:$D,'Saldos Iniciales'!$A:$A,"M1B")+SUMIFS(Movimientos!$K$1:$K$1368,Movimientos!$C$1:$C$1368,"M1B",Movimientos!$B$1:$B$1368,"&lt;="&amp;$B135)</f>
        <v>93737.970000000176</v>
      </c>
      <c r="E135" s="24">
        <f>SUMIFS('Saldos Iniciales'!$D:$D,'Saldos Iniciales'!$A:$A,"Durand")+SUMIFS(Movimientos!$K$1:$K$1368,Movimientos!$C$1:$C$1368,"Durand",Movimientos!$B$1:$B$1368,"&lt;="&amp;$B135)</f>
        <v>1669.89</v>
      </c>
      <c r="F135" s="24">
        <f>SUMIFS('Saldos Iniciales'!$D:$D,'Saldos Iniciales'!$A:$A,"A&amp;M Imports")+SUMIFS(Movimientos!$K$1:$K$1368,Movimientos!$C$1:$C$1368,"A&amp;M Imports",Movimientos!$B$1:$B$1368,"&lt;="&amp;$B135)</f>
        <v>1089124.99</v>
      </c>
      <c r="G135" s="24">
        <f>SUMIFS('Saldos Iniciales'!$D:$D,'Saldos Iniciales'!$A:$A,"SSP Capital")+SUMIFS(Movimientos!$K$1:$K$1368,Movimientos!$C$1:$C$1368,"SSP Capital",Movimientos!$B$1:$B$1368,"&lt;="&amp;$B135)</f>
        <v>1233680.9399999995</v>
      </c>
      <c r="H135" s="24">
        <f>SUMIFS('Saldos Iniciales'!$D:$D,'Saldos Iniciales'!$A:$A,"Cross Family Trust")+SUMIFS(Movimientos!$K$1:$K$1368,Movimientos!$C$1:$C$1368,"Cross Family Trust",Movimientos!$B$1:$B$1368,"&lt;="&amp;$B135)</f>
        <v>229778.14</v>
      </c>
      <c r="I135" s="24">
        <f>SUMIFS('Saldos Iniciales'!$D:$D,'Saldos Iniciales'!$A:$A,"Cross Security Trust")+SUMIFS(Movimientos!$K$1:$K$1368,Movimientos!$C$1:$C$1368,"Cross Security Trust",Movimientos!$B$1:$B$1368,"&lt;="&amp;$B135)</f>
        <v>217684.34</v>
      </c>
      <c r="J135" s="24">
        <f>SUMIFS('Saldos Iniciales'!$D:$D,'Saldos Iniciales'!$A:$A,"Electrama")+SUMIFS(Movimientos!$K$1:$K$1368,Movimientos!$C$1:$C$1368,"Electrama",Movimientos!$B$1:$B$1368,"&lt;="&amp;$B135)</f>
        <v>11744.75</v>
      </c>
      <c r="K135" s="24">
        <f>SUMIFS('Saldos Iniciales'!$D:$D,'Saldos Iniciales'!$A:$A,"Sacred Valley Capital")+SUMIFS(Movimientos!$K$1:$K$1368,Movimientos!$C$1:$C$1368,"Sacred Valley Capital",Movimientos!$B$1:$B$1368,"&lt;="&amp;$B135)</f>
        <v>94.5</v>
      </c>
      <c r="L135" s="24">
        <f>SUMIFS('Saldos Iniciales'!$D:$D,'Saldos Iniciales'!$A:$A,"YWC Capital")+SUMIFS(Movimientos!$K$1:$K$1368,Movimientos!$C$1:$C$1368,"YWC Capital",Movimientos!$B$1:$B$1368,"&lt;="&amp;$B135)</f>
        <v>2147.92</v>
      </c>
      <c r="M135" s="24">
        <f>SUMIFS('Saldos Iniciales'!$D:$D,'Saldos Iniciales'!$A:$A,"Soweto")+SUMIFS(Movimientos!$K$1:$K$1368,Movimientos!$C$1:$C$1368,"Soweto",Movimientos!$B$1:$B$1368,"&lt;="&amp;$B135)</f>
        <v>17895.290000000015</v>
      </c>
      <c r="N135" s="24">
        <f>SUMIFS('Saldos Iniciales'!$D:$D,'Saldos Iniciales'!$A:$A,"Green Stone Trust")+SUMIFS(Movimientos!$K$1:$K$1368,Movimientos!$C$1:$C$1368,"Green Stone Trust",Movimientos!$B$1:$B$1368,"&lt;="&amp;$B135)</f>
        <v>1968.99</v>
      </c>
      <c r="O135" s="24">
        <f>SUMIFS('Saldos Iniciales'!$D:$D,'Saldos Iniciales'!$A:$A,"EC Auto")+SUMIFS(Movimientos!$K$1:$K$1368,Movimientos!$C$1:$C$1368,"EC Auto",Movimientos!$B$1:$B$1368,"&lt;="&amp;$B135)</f>
        <v>901.34</v>
      </c>
      <c r="P135" s="24">
        <f>SUMIFS('Saldos Iniciales'!$D:$D,'Saldos Iniciales'!$A:$A,"Arbor Capital Properties")+SUMIFS(Movimientos!$K$1:$K$1368,Movimientos!$C$1:$C$1368,"Arbor Capital Properties",Movimientos!$B$1:$B$1368,"&lt;="&amp;$B135)</f>
        <v>1380.08</v>
      </c>
      <c r="Q135" s="24">
        <f>SUMIFS('Saldos Iniciales'!$D:$D,'Saldos Iniciales'!$A:$A,"2515 Overbrook")+SUMIFS(Movimientos!$K$1:$K$1368,Movimientos!$C$1:$C$1368,"2515 Overbrook",Movimientos!$B$1:$B$1368,"&lt;="&amp;$B135)</f>
        <v>25027.379999999961</v>
      </c>
      <c r="R135" s="24">
        <f>SUMIFS('Saldos Iniciales'!$D:$D,'Saldos Iniciales'!$A:$A,"112 Florida Ave")+SUMIFS(Movimientos!$K$1:$K$1368,Movimientos!$C$1:$C$1368,"112 Florida Ave",Movimientos!$B$1:$B$1368,"&lt;="&amp;$B135)</f>
        <v>16282.630000000006</v>
      </c>
      <c r="S135" s="24">
        <f>SUMIFS('Saldos Iniciales'!$D:$D,'Saldos Iniciales'!$A:$A,"3628 Thomas Ave")+SUMIFS(Movimientos!$K$1:$K$1368,Movimientos!$C$1:$C$1368,"3628 Thomas Ave",Movimientos!$B$1:$B$1368,"&lt;="&amp;$B135)</f>
        <v>13339.389999999996</v>
      </c>
      <c r="T135" s="24">
        <f>SUMIFS('Saldos Iniciales'!$D:$D,'Saldos Iniciales'!$A:$A,"Green Harbor Trust")+SUMIFS(Movimientos!$K$1:$K$1368,Movimientos!$C$1:$C$1368,"Green Harbor Trust",Movimientos!$B$1:$B$1368,"&lt;="&amp;$B135)</f>
        <v>345</v>
      </c>
      <c r="U135" s="24">
        <f>SUMIFS('Saldos Iniciales'!$D:$D,'Saldos Iniciales'!$A:$A,"Go Blue")+SUMIFS(Movimientos!$K$1:$K$1368,Movimientos!$C$1:$C$1368,"Go Blue",Movimientos!$B$1:$B$1368,"&lt;="&amp;$B135)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Group")+SUMIFS(Movimientos!$K$1:$K$1368,Movimientos!$C$1:$C$1368,"CFT Group",Movimientos!$B$1:$B$1368,"&lt;="&amp;$B136)</f>
        <v>1892948.5900000008</v>
      </c>
      <c r="D136" s="24">
        <f>SUMIFS('Saldos Iniciales'!$D:$D,'Saldos Iniciales'!$A:$A,"M1B")+SUMIFS(Movimientos!$K$1:$K$1368,Movimientos!$C$1:$C$1368,"M1B",Movimientos!$B$1:$B$1368,"&lt;="&amp;$B136)</f>
        <v>93737.970000000176</v>
      </c>
      <c r="E136" s="24">
        <f>SUMIFS('Saldos Iniciales'!$D:$D,'Saldos Iniciales'!$A:$A,"Durand")+SUMIFS(Movimientos!$K$1:$K$1368,Movimientos!$C$1:$C$1368,"Durand",Movimientos!$B$1:$B$1368,"&lt;="&amp;$B136)</f>
        <v>1669.89</v>
      </c>
      <c r="F136" s="24">
        <f>SUMIFS('Saldos Iniciales'!$D:$D,'Saldos Iniciales'!$A:$A,"A&amp;M Imports")+SUMIFS(Movimientos!$K$1:$K$1368,Movimientos!$C$1:$C$1368,"A&amp;M Imports",Movimientos!$B$1:$B$1368,"&lt;="&amp;$B136)</f>
        <v>1089124.99</v>
      </c>
      <c r="G136" s="24">
        <f>SUMIFS('Saldos Iniciales'!$D:$D,'Saldos Iniciales'!$A:$A,"SSP Capital")+SUMIFS(Movimientos!$K$1:$K$1368,Movimientos!$C$1:$C$1368,"SSP Capital",Movimientos!$B$1:$B$1368,"&lt;="&amp;$B136)</f>
        <v>1233680.9399999995</v>
      </c>
      <c r="H136" s="24">
        <f>SUMIFS('Saldos Iniciales'!$D:$D,'Saldos Iniciales'!$A:$A,"Cross Family Trust")+SUMIFS(Movimientos!$K$1:$K$1368,Movimientos!$C$1:$C$1368,"Cross Family Trust",Movimientos!$B$1:$B$1368,"&lt;="&amp;$B136)</f>
        <v>229778.14</v>
      </c>
      <c r="I136" s="24">
        <f>SUMIFS('Saldos Iniciales'!$D:$D,'Saldos Iniciales'!$A:$A,"Cross Security Trust")+SUMIFS(Movimientos!$K$1:$K$1368,Movimientos!$C$1:$C$1368,"Cross Security Trust",Movimientos!$B$1:$B$1368,"&lt;="&amp;$B136)</f>
        <v>217684.34</v>
      </c>
      <c r="J136" s="24">
        <f>SUMIFS('Saldos Iniciales'!$D:$D,'Saldos Iniciales'!$A:$A,"Electrama")+SUMIFS(Movimientos!$K$1:$K$1368,Movimientos!$C$1:$C$1368,"Electrama",Movimientos!$B$1:$B$1368,"&lt;="&amp;$B136)</f>
        <v>11744.75</v>
      </c>
      <c r="K136" s="24">
        <f>SUMIFS('Saldos Iniciales'!$D:$D,'Saldos Iniciales'!$A:$A,"Sacred Valley Capital")+SUMIFS(Movimientos!$K$1:$K$1368,Movimientos!$C$1:$C$1368,"Sacred Valley Capital",Movimientos!$B$1:$B$1368,"&lt;="&amp;$B136)</f>
        <v>94.5</v>
      </c>
      <c r="L136" s="24">
        <f>SUMIFS('Saldos Iniciales'!$D:$D,'Saldos Iniciales'!$A:$A,"YWC Capital")+SUMIFS(Movimientos!$K$1:$K$1368,Movimientos!$C$1:$C$1368,"YWC Capital",Movimientos!$B$1:$B$1368,"&lt;="&amp;$B136)</f>
        <v>2147.92</v>
      </c>
      <c r="M136" s="24">
        <f>SUMIFS('Saldos Iniciales'!$D:$D,'Saldos Iniciales'!$A:$A,"Soweto")+SUMIFS(Movimientos!$K$1:$K$1368,Movimientos!$C$1:$C$1368,"Soweto",Movimientos!$B$1:$B$1368,"&lt;="&amp;$B136)</f>
        <v>17895.290000000015</v>
      </c>
      <c r="N136" s="24">
        <f>SUMIFS('Saldos Iniciales'!$D:$D,'Saldos Iniciales'!$A:$A,"Green Stone Trust")+SUMIFS(Movimientos!$K$1:$K$1368,Movimientos!$C$1:$C$1368,"Green Stone Trust",Movimientos!$B$1:$B$1368,"&lt;="&amp;$B136)</f>
        <v>1968.99</v>
      </c>
      <c r="O136" s="24">
        <f>SUMIFS('Saldos Iniciales'!$D:$D,'Saldos Iniciales'!$A:$A,"EC Auto")+SUMIFS(Movimientos!$K$1:$K$1368,Movimientos!$C$1:$C$1368,"EC Auto",Movimientos!$B$1:$B$1368,"&lt;="&amp;$B136)</f>
        <v>901.34</v>
      </c>
      <c r="P136" s="24">
        <f>SUMIFS('Saldos Iniciales'!$D:$D,'Saldos Iniciales'!$A:$A,"Arbor Capital Properties")+SUMIFS(Movimientos!$K$1:$K$1368,Movimientos!$C$1:$C$1368,"Arbor Capital Properties",Movimientos!$B$1:$B$1368,"&lt;="&amp;$B136)</f>
        <v>1380.08</v>
      </c>
      <c r="Q136" s="24">
        <f>SUMIFS('Saldos Iniciales'!$D:$D,'Saldos Iniciales'!$A:$A,"2515 Overbrook")+SUMIFS(Movimientos!$K$1:$K$1368,Movimientos!$C$1:$C$1368,"2515 Overbrook",Movimientos!$B$1:$B$1368,"&lt;="&amp;$B136)</f>
        <v>25027.379999999961</v>
      </c>
      <c r="R136" s="24">
        <f>SUMIFS('Saldos Iniciales'!$D:$D,'Saldos Iniciales'!$A:$A,"112 Florida Ave")+SUMIFS(Movimientos!$K$1:$K$1368,Movimientos!$C$1:$C$1368,"112 Florida Ave",Movimientos!$B$1:$B$1368,"&lt;="&amp;$B136)</f>
        <v>16282.630000000006</v>
      </c>
      <c r="S136" s="24">
        <f>SUMIFS('Saldos Iniciales'!$D:$D,'Saldos Iniciales'!$A:$A,"3628 Thomas Ave")+SUMIFS(Movimientos!$K$1:$K$1368,Movimientos!$C$1:$C$1368,"3628 Thomas Ave",Movimientos!$B$1:$B$1368,"&lt;="&amp;$B136)</f>
        <v>13339.389999999996</v>
      </c>
      <c r="T136" s="24">
        <f>SUMIFS('Saldos Iniciales'!$D:$D,'Saldos Iniciales'!$A:$A,"Green Harbor Trust")+SUMIFS(Movimientos!$K$1:$K$1368,Movimientos!$C$1:$C$1368,"Green Harbor Trust",Movimientos!$B$1:$B$1368,"&lt;="&amp;$B136)</f>
        <v>345</v>
      </c>
      <c r="U136" s="24">
        <f>SUMIFS('Saldos Iniciales'!$D:$D,'Saldos Iniciales'!$A:$A,"Go Blue")+SUMIFS(Movimientos!$K$1:$K$1368,Movimientos!$C$1:$C$1368,"Go Blue",Movimientos!$B$1:$B$1368,"&lt;="&amp;$B136)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Group")+SUMIFS(Movimientos!$K$1:$K$1368,Movimientos!$C$1:$C$1368,"CFT Group",Movimientos!$B$1:$B$1368,"&lt;="&amp;$B137)</f>
        <v>1892948.5900000008</v>
      </c>
      <c r="D137" s="24">
        <f>SUMIFS('Saldos Iniciales'!$D:$D,'Saldos Iniciales'!$A:$A,"M1B")+SUMIFS(Movimientos!$K$1:$K$1368,Movimientos!$C$1:$C$1368,"M1B",Movimientos!$B$1:$B$1368,"&lt;="&amp;$B137)</f>
        <v>93737.970000000176</v>
      </c>
      <c r="E137" s="24">
        <f>SUMIFS('Saldos Iniciales'!$D:$D,'Saldos Iniciales'!$A:$A,"Durand")+SUMIFS(Movimientos!$K$1:$K$1368,Movimientos!$C$1:$C$1368,"Durand",Movimientos!$B$1:$B$1368,"&lt;="&amp;$B137)</f>
        <v>1669.89</v>
      </c>
      <c r="F137" s="24">
        <f>SUMIFS('Saldos Iniciales'!$D:$D,'Saldos Iniciales'!$A:$A,"A&amp;M Imports")+SUMIFS(Movimientos!$K$1:$K$1368,Movimientos!$C$1:$C$1368,"A&amp;M Imports",Movimientos!$B$1:$B$1368,"&lt;="&amp;$B137)</f>
        <v>1089124.99</v>
      </c>
      <c r="G137" s="24">
        <f>SUMIFS('Saldos Iniciales'!$D:$D,'Saldos Iniciales'!$A:$A,"SSP Capital")+SUMIFS(Movimientos!$K$1:$K$1368,Movimientos!$C$1:$C$1368,"SSP Capital",Movimientos!$B$1:$B$1368,"&lt;="&amp;$B137)</f>
        <v>1233680.9399999995</v>
      </c>
      <c r="H137" s="24">
        <f>SUMIFS('Saldos Iniciales'!$D:$D,'Saldos Iniciales'!$A:$A,"Cross Family Trust")+SUMIFS(Movimientos!$K$1:$K$1368,Movimientos!$C$1:$C$1368,"Cross Family Trust",Movimientos!$B$1:$B$1368,"&lt;="&amp;$B137)</f>
        <v>229778.14</v>
      </c>
      <c r="I137" s="24">
        <f>SUMIFS('Saldos Iniciales'!$D:$D,'Saldos Iniciales'!$A:$A,"Cross Security Trust")+SUMIFS(Movimientos!$K$1:$K$1368,Movimientos!$C$1:$C$1368,"Cross Security Trust",Movimientos!$B$1:$B$1368,"&lt;="&amp;$B137)</f>
        <v>217684.34</v>
      </c>
      <c r="J137" s="24">
        <f>SUMIFS('Saldos Iniciales'!$D:$D,'Saldos Iniciales'!$A:$A,"Electrama")+SUMIFS(Movimientos!$K$1:$K$1368,Movimientos!$C$1:$C$1368,"Electrama",Movimientos!$B$1:$B$1368,"&lt;="&amp;$B137)</f>
        <v>11744.75</v>
      </c>
      <c r="K137" s="24">
        <f>SUMIFS('Saldos Iniciales'!$D:$D,'Saldos Iniciales'!$A:$A,"Sacred Valley Capital")+SUMIFS(Movimientos!$K$1:$K$1368,Movimientos!$C$1:$C$1368,"Sacred Valley Capital",Movimientos!$B$1:$B$1368,"&lt;="&amp;$B137)</f>
        <v>94.5</v>
      </c>
      <c r="L137" s="24">
        <f>SUMIFS('Saldos Iniciales'!$D:$D,'Saldos Iniciales'!$A:$A,"YWC Capital")+SUMIFS(Movimientos!$K$1:$K$1368,Movimientos!$C$1:$C$1368,"YWC Capital",Movimientos!$B$1:$B$1368,"&lt;="&amp;$B137)</f>
        <v>2147.92</v>
      </c>
      <c r="M137" s="24">
        <f>SUMIFS('Saldos Iniciales'!$D:$D,'Saldos Iniciales'!$A:$A,"Soweto")+SUMIFS(Movimientos!$K$1:$K$1368,Movimientos!$C$1:$C$1368,"Soweto",Movimientos!$B$1:$B$1368,"&lt;="&amp;$B137)</f>
        <v>17895.290000000015</v>
      </c>
      <c r="N137" s="24">
        <f>SUMIFS('Saldos Iniciales'!$D:$D,'Saldos Iniciales'!$A:$A,"Green Stone Trust")+SUMIFS(Movimientos!$K$1:$K$1368,Movimientos!$C$1:$C$1368,"Green Stone Trust",Movimientos!$B$1:$B$1368,"&lt;="&amp;$B137)</f>
        <v>1968.99</v>
      </c>
      <c r="O137" s="24">
        <f>SUMIFS('Saldos Iniciales'!$D:$D,'Saldos Iniciales'!$A:$A,"EC Auto")+SUMIFS(Movimientos!$K$1:$K$1368,Movimientos!$C$1:$C$1368,"EC Auto",Movimientos!$B$1:$B$1368,"&lt;="&amp;$B137)</f>
        <v>901.34</v>
      </c>
      <c r="P137" s="24">
        <f>SUMIFS('Saldos Iniciales'!$D:$D,'Saldos Iniciales'!$A:$A,"Arbor Capital Properties")+SUMIFS(Movimientos!$K$1:$K$1368,Movimientos!$C$1:$C$1368,"Arbor Capital Properties",Movimientos!$B$1:$B$1368,"&lt;="&amp;$B137)</f>
        <v>1380.08</v>
      </c>
      <c r="Q137" s="24">
        <f>SUMIFS('Saldos Iniciales'!$D:$D,'Saldos Iniciales'!$A:$A,"2515 Overbrook")+SUMIFS(Movimientos!$K$1:$K$1368,Movimientos!$C$1:$C$1368,"2515 Overbrook",Movimientos!$B$1:$B$1368,"&lt;="&amp;$B137)</f>
        <v>25027.379999999961</v>
      </c>
      <c r="R137" s="24">
        <f>SUMIFS('Saldos Iniciales'!$D:$D,'Saldos Iniciales'!$A:$A,"112 Florida Ave")+SUMIFS(Movimientos!$K$1:$K$1368,Movimientos!$C$1:$C$1368,"112 Florida Ave",Movimientos!$B$1:$B$1368,"&lt;="&amp;$B137)</f>
        <v>16282.630000000006</v>
      </c>
      <c r="S137" s="24">
        <f>SUMIFS('Saldos Iniciales'!$D:$D,'Saldos Iniciales'!$A:$A,"3628 Thomas Ave")+SUMIFS(Movimientos!$K$1:$K$1368,Movimientos!$C$1:$C$1368,"3628 Thomas Ave",Movimientos!$B$1:$B$1368,"&lt;="&amp;$B137)</f>
        <v>13339.389999999996</v>
      </c>
      <c r="T137" s="24">
        <f>SUMIFS('Saldos Iniciales'!$D:$D,'Saldos Iniciales'!$A:$A,"Green Harbor Trust")+SUMIFS(Movimientos!$K$1:$K$1368,Movimientos!$C$1:$C$1368,"Green Harbor Trust",Movimientos!$B$1:$B$1368,"&lt;="&amp;$B137)</f>
        <v>345</v>
      </c>
      <c r="U137" s="24">
        <f>SUMIFS('Saldos Iniciales'!$D:$D,'Saldos Iniciales'!$A:$A,"Go Blue")+SUMIFS(Movimientos!$K$1:$K$1368,Movimientos!$C$1:$C$1368,"Go Blue",Movimientos!$B$1:$B$1368,"&lt;="&amp;$B137)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Group")+SUMIFS(Movimientos!$K$1:$K$1368,Movimientos!$C$1:$C$1368,"CFT Group",Movimientos!$B$1:$B$1368,"&lt;="&amp;$B138)</f>
        <v>2042948.5900000008</v>
      </c>
      <c r="D138" s="24">
        <f>SUMIFS('Saldos Iniciales'!$D:$D,'Saldos Iniciales'!$A:$A,"M1B")+SUMIFS(Movimientos!$K$1:$K$1368,Movimientos!$C$1:$C$1368,"M1B",Movimientos!$B$1:$B$1368,"&lt;="&amp;$B138)</f>
        <v>93737.970000000176</v>
      </c>
      <c r="E138" s="24">
        <f>SUMIFS('Saldos Iniciales'!$D:$D,'Saldos Iniciales'!$A:$A,"Durand")+SUMIFS(Movimientos!$K$1:$K$1368,Movimientos!$C$1:$C$1368,"Durand",Movimientos!$B$1:$B$1368,"&lt;="&amp;$B138)</f>
        <v>1669.89</v>
      </c>
      <c r="F138" s="24">
        <f>SUMIFS('Saldos Iniciales'!$D:$D,'Saldos Iniciales'!$A:$A,"A&amp;M Imports")+SUMIFS(Movimientos!$K$1:$K$1368,Movimientos!$C$1:$C$1368,"A&amp;M Imports",Movimientos!$B$1:$B$1368,"&lt;="&amp;$B138)</f>
        <v>1105910.26</v>
      </c>
      <c r="G138" s="24">
        <f>SUMIFS('Saldos Iniciales'!$D:$D,'Saldos Iniciales'!$A:$A,"SSP Capital")+SUMIFS(Movimientos!$K$1:$K$1368,Movimientos!$C$1:$C$1368,"SSP Capital",Movimientos!$B$1:$B$1368,"&lt;="&amp;$B138)</f>
        <v>1191956.6299999997</v>
      </c>
      <c r="H138" s="24">
        <f>SUMIFS('Saldos Iniciales'!$D:$D,'Saldos Iniciales'!$A:$A,"Cross Family Trust")+SUMIFS(Movimientos!$K$1:$K$1368,Movimientos!$C$1:$C$1368,"Cross Family Trust",Movimientos!$B$1:$B$1368,"&lt;="&amp;$B138)</f>
        <v>229778.14</v>
      </c>
      <c r="I138" s="24">
        <f>SUMIFS('Saldos Iniciales'!$D:$D,'Saldos Iniciales'!$A:$A,"Cross Security Trust")+SUMIFS(Movimientos!$K$1:$K$1368,Movimientos!$C$1:$C$1368,"Cross Security Trust",Movimientos!$B$1:$B$1368,"&lt;="&amp;$B138)</f>
        <v>217684.34</v>
      </c>
      <c r="J138" s="24">
        <f>SUMIFS('Saldos Iniciales'!$D:$D,'Saldos Iniciales'!$A:$A,"Electrama")+SUMIFS(Movimientos!$K$1:$K$1368,Movimientos!$C$1:$C$1368,"Electrama",Movimientos!$B$1:$B$1368,"&lt;="&amp;$B138)</f>
        <v>11744.75</v>
      </c>
      <c r="K138" s="24">
        <f>SUMIFS('Saldos Iniciales'!$D:$D,'Saldos Iniciales'!$A:$A,"Sacred Valley Capital")+SUMIFS(Movimientos!$K$1:$K$1368,Movimientos!$C$1:$C$1368,"Sacred Valley Capital",Movimientos!$B$1:$B$1368,"&lt;="&amp;$B138)</f>
        <v>94.5</v>
      </c>
      <c r="L138" s="24">
        <f>SUMIFS('Saldos Iniciales'!$D:$D,'Saldos Iniciales'!$A:$A,"YWC Capital")+SUMIFS(Movimientos!$K$1:$K$1368,Movimientos!$C$1:$C$1368,"YWC Capital",Movimientos!$B$1:$B$1368,"&lt;="&amp;$B138)</f>
        <v>2147.92</v>
      </c>
      <c r="M138" s="24">
        <f>SUMIFS('Saldos Iniciales'!$D:$D,'Saldos Iniciales'!$A:$A,"Soweto")+SUMIFS(Movimientos!$K$1:$K$1368,Movimientos!$C$1:$C$1368,"Soweto",Movimientos!$B$1:$B$1368,"&lt;="&amp;$B138)</f>
        <v>17895.290000000015</v>
      </c>
      <c r="N138" s="24">
        <f>SUMIFS('Saldos Iniciales'!$D:$D,'Saldos Iniciales'!$A:$A,"Green Stone Trust")+SUMIFS(Movimientos!$K$1:$K$1368,Movimientos!$C$1:$C$1368,"Green Stone Trust",Movimientos!$B$1:$B$1368,"&lt;="&amp;$B138)</f>
        <v>1968.99</v>
      </c>
      <c r="O138" s="24">
        <f>SUMIFS('Saldos Iniciales'!$D:$D,'Saldos Iniciales'!$A:$A,"EC Auto")+SUMIFS(Movimientos!$K$1:$K$1368,Movimientos!$C$1:$C$1368,"EC Auto",Movimientos!$B$1:$B$1368,"&lt;="&amp;$B138)</f>
        <v>901.34</v>
      </c>
      <c r="P138" s="24">
        <f>SUMIFS('Saldos Iniciales'!$D:$D,'Saldos Iniciales'!$A:$A,"Arbor Capital Properties")+SUMIFS(Movimientos!$K$1:$K$1368,Movimientos!$C$1:$C$1368,"Arbor Capital Properties",Movimientos!$B$1:$B$1368,"&lt;="&amp;$B138)</f>
        <v>1380.08</v>
      </c>
      <c r="Q138" s="24">
        <f>SUMIFS('Saldos Iniciales'!$D:$D,'Saldos Iniciales'!$A:$A,"2515 Overbrook")+SUMIFS(Movimientos!$K$1:$K$1368,Movimientos!$C$1:$C$1368,"2515 Overbrook",Movimientos!$B$1:$B$1368,"&lt;="&amp;$B138)</f>
        <v>25027.379999999961</v>
      </c>
      <c r="R138" s="24">
        <f>SUMIFS('Saldos Iniciales'!$D:$D,'Saldos Iniciales'!$A:$A,"112 Florida Ave")+SUMIFS(Movimientos!$K$1:$K$1368,Movimientos!$C$1:$C$1368,"112 Florida Ave",Movimientos!$B$1:$B$1368,"&lt;="&amp;$B138)</f>
        <v>16282.630000000006</v>
      </c>
      <c r="S138" s="24">
        <f>SUMIFS('Saldos Iniciales'!$D:$D,'Saldos Iniciales'!$A:$A,"3628 Thomas Ave")+SUMIFS(Movimientos!$K$1:$K$1368,Movimientos!$C$1:$C$1368,"3628 Thomas Ave",Movimientos!$B$1:$B$1368,"&lt;="&amp;$B138)</f>
        <v>13685.999999999996</v>
      </c>
      <c r="T138" s="24">
        <f>SUMIFS('Saldos Iniciales'!$D:$D,'Saldos Iniciales'!$A:$A,"Green Harbor Trust")+SUMIFS(Movimientos!$K$1:$K$1368,Movimientos!$C$1:$C$1368,"Green Harbor Trust",Movimientos!$B$1:$B$1368,"&lt;="&amp;$B138)</f>
        <v>345</v>
      </c>
      <c r="U138" s="24">
        <f>SUMIFS('Saldos Iniciales'!$D:$D,'Saldos Iniciales'!$A:$A,"Go Blue")+SUMIFS(Movimientos!$K$1:$K$1368,Movimientos!$C$1:$C$1368,"Go Blue",Movimientos!$B$1:$B$1368,"&lt;="&amp;$B138)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Group")+SUMIFS(Movimientos!$K$1:$K$1368,Movimientos!$C$1:$C$1368,"CFT Group",Movimientos!$B$1:$B$1368,"&lt;="&amp;$B139)</f>
        <v>2042948.5900000008</v>
      </c>
      <c r="D139" s="24">
        <f>SUMIFS('Saldos Iniciales'!$D:$D,'Saldos Iniciales'!$A:$A,"M1B")+SUMIFS(Movimientos!$K$1:$K$1368,Movimientos!$C$1:$C$1368,"M1B",Movimientos!$B$1:$B$1368,"&lt;="&amp;$B139)</f>
        <v>100486.46000000017</v>
      </c>
      <c r="E139" s="24">
        <f>SUMIFS('Saldos Iniciales'!$D:$D,'Saldos Iniciales'!$A:$A,"Durand")+SUMIFS(Movimientos!$K$1:$K$1368,Movimientos!$C$1:$C$1368,"Durand",Movimientos!$B$1:$B$1368,"&lt;="&amp;$B139)</f>
        <v>1669.89</v>
      </c>
      <c r="F139" s="24">
        <f>SUMIFS('Saldos Iniciales'!$D:$D,'Saldos Iniciales'!$A:$A,"A&amp;M Imports")+SUMIFS(Movimientos!$K$1:$K$1368,Movimientos!$C$1:$C$1368,"A&amp;M Imports",Movimientos!$B$1:$B$1368,"&lt;="&amp;$B139)</f>
        <v>1105534.6399999999</v>
      </c>
      <c r="G139" s="24">
        <f>SUMIFS('Saldos Iniciales'!$D:$D,'Saldos Iniciales'!$A:$A,"SSP Capital")+SUMIFS(Movimientos!$K$1:$K$1368,Movimientos!$C$1:$C$1368,"SSP Capital",Movimientos!$B$1:$B$1368,"&lt;="&amp;$B139)</f>
        <v>1191927.2199999995</v>
      </c>
      <c r="H139" s="24">
        <f>SUMIFS('Saldos Iniciales'!$D:$D,'Saldos Iniciales'!$A:$A,"Cross Family Trust")+SUMIFS(Movimientos!$K$1:$K$1368,Movimientos!$C$1:$C$1368,"Cross Family Trust",Movimientos!$B$1:$B$1368,"&lt;="&amp;$B139)</f>
        <v>229778.14</v>
      </c>
      <c r="I139" s="24">
        <f>SUMIFS('Saldos Iniciales'!$D:$D,'Saldos Iniciales'!$A:$A,"Cross Security Trust")+SUMIFS(Movimientos!$K$1:$K$1368,Movimientos!$C$1:$C$1368,"Cross Security Trust",Movimientos!$B$1:$B$1368,"&lt;="&amp;$B139)</f>
        <v>217688.58</v>
      </c>
      <c r="J139" s="24">
        <f>SUMIFS('Saldos Iniciales'!$D:$D,'Saldos Iniciales'!$A:$A,"Electrama")+SUMIFS(Movimientos!$K$1:$K$1368,Movimientos!$C$1:$C$1368,"Electrama",Movimientos!$B$1:$B$1368,"&lt;="&amp;$B139)</f>
        <v>11744.75</v>
      </c>
      <c r="K139" s="24">
        <f>SUMIFS('Saldos Iniciales'!$D:$D,'Saldos Iniciales'!$A:$A,"Sacred Valley Capital")+SUMIFS(Movimientos!$K$1:$K$1368,Movimientos!$C$1:$C$1368,"Sacred Valley Capital",Movimientos!$B$1:$B$1368,"&lt;="&amp;$B139)</f>
        <v>94.5</v>
      </c>
      <c r="L139" s="24">
        <f>SUMIFS('Saldos Iniciales'!$D:$D,'Saldos Iniciales'!$A:$A,"YWC Capital")+SUMIFS(Movimientos!$K$1:$K$1368,Movimientos!$C$1:$C$1368,"YWC Capital",Movimientos!$B$1:$B$1368,"&lt;="&amp;$B139)</f>
        <v>2147.92</v>
      </c>
      <c r="M139" s="24">
        <f>SUMIFS('Saldos Iniciales'!$D:$D,'Saldos Iniciales'!$A:$A,"Soweto")+SUMIFS(Movimientos!$K$1:$K$1368,Movimientos!$C$1:$C$1368,"Soweto",Movimientos!$B$1:$B$1368,"&lt;="&amp;$B139)</f>
        <v>17895.290000000015</v>
      </c>
      <c r="N139" s="24">
        <f>SUMIFS('Saldos Iniciales'!$D:$D,'Saldos Iniciales'!$A:$A,"Green Stone Trust")+SUMIFS(Movimientos!$K$1:$K$1368,Movimientos!$C$1:$C$1368,"Green Stone Trust",Movimientos!$B$1:$B$1368,"&lt;="&amp;$B139)</f>
        <v>1968.99</v>
      </c>
      <c r="O139" s="24">
        <f>SUMIFS('Saldos Iniciales'!$D:$D,'Saldos Iniciales'!$A:$A,"EC Auto")+SUMIFS(Movimientos!$K$1:$K$1368,Movimientos!$C$1:$C$1368,"EC Auto",Movimientos!$B$1:$B$1368,"&lt;="&amp;$B139)</f>
        <v>901.34</v>
      </c>
      <c r="P139" s="24">
        <f>SUMIFS('Saldos Iniciales'!$D:$D,'Saldos Iniciales'!$A:$A,"Arbor Capital Properties")+SUMIFS(Movimientos!$K$1:$K$1368,Movimientos!$C$1:$C$1368,"Arbor Capital Properties",Movimientos!$B$1:$B$1368,"&lt;="&amp;$B139)</f>
        <v>1380.08</v>
      </c>
      <c r="Q139" s="24">
        <f>SUMIFS('Saldos Iniciales'!$D:$D,'Saldos Iniciales'!$A:$A,"2515 Overbrook")+SUMIFS(Movimientos!$K$1:$K$1368,Movimientos!$C$1:$C$1368,"2515 Overbrook",Movimientos!$B$1:$B$1368,"&lt;="&amp;$B139)</f>
        <v>25027.379999999961</v>
      </c>
      <c r="R139" s="24">
        <f>SUMIFS('Saldos Iniciales'!$D:$D,'Saldos Iniciales'!$A:$A,"112 Florida Ave")+SUMIFS(Movimientos!$K$1:$K$1368,Movimientos!$C$1:$C$1368,"112 Florida Ave",Movimientos!$B$1:$B$1368,"&lt;="&amp;$B139)</f>
        <v>16282.630000000006</v>
      </c>
      <c r="S139" s="24">
        <f>SUMIFS('Saldos Iniciales'!$D:$D,'Saldos Iniciales'!$A:$A,"3628 Thomas Ave")+SUMIFS(Movimientos!$K$1:$K$1368,Movimientos!$C$1:$C$1368,"3628 Thomas Ave",Movimientos!$B$1:$B$1368,"&lt;="&amp;$B139)</f>
        <v>13685.999999999996</v>
      </c>
      <c r="T139" s="24">
        <f>SUMIFS('Saldos Iniciales'!$D:$D,'Saldos Iniciales'!$A:$A,"Green Harbor Trust")+SUMIFS(Movimientos!$K$1:$K$1368,Movimientos!$C$1:$C$1368,"Green Harbor Trust",Movimientos!$B$1:$B$1368,"&lt;="&amp;$B139)</f>
        <v>345</v>
      </c>
      <c r="U139" s="24">
        <f>SUMIFS('Saldos Iniciales'!$D:$D,'Saldos Iniciales'!$A:$A,"Go Blue")+SUMIFS(Movimientos!$K$1:$K$1368,Movimientos!$C$1:$C$1368,"Go Blue",Movimientos!$B$1:$B$1368,"&lt;="&amp;$B139)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Group")+SUMIFS(Movimientos!$K$1:$K$1368,Movimientos!$C$1:$C$1368,"CFT Group",Movimientos!$B$1:$B$1368,"&lt;="&amp;$B140)</f>
        <v>2042948.5900000008</v>
      </c>
      <c r="D140" s="24">
        <f>SUMIFS('Saldos Iniciales'!$D:$D,'Saldos Iniciales'!$A:$A,"M1B")+SUMIFS(Movimientos!$K$1:$K$1368,Movimientos!$C$1:$C$1368,"M1B",Movimientos!$B$1:$B$1368,"&lt;="&amp;$B140)</f>
        <v>100486.46000000017</v>
      </c>
      <c r="E140" s="24">
        <f>SUMIFS('Saldos Iniciales'!$D:$D,'Saldos Iniciales'!$A:$A,"Durand")+SUMIFS(Movimientos!$K$1:$K$1368,Movimientos!$C$1:$C$1368,"Durand",Movimientos!$B$1:$B$1368,"&lt;="&amp;$B140)</f>
        <v>1669.89</v>
      </c>
      <c r="F140" s="24">
        <f>SUMIFS('Saldos Iniciales'!$D:$D,'Saldos Iniciales'!$A:$A,"A&amp;M Imports")+SUMIFS(Movimientos!$K$1:$K$1368,Movimientos!$C$1:$C$1368,"A&amp;M Imports",Movimientos!$B$1:$B$1368,"&lt;="&amp;$B140)</f>
        <v>1105534.6399999999</v>
      </c>
      <c r="G140" s="24">
        <f>SUMIFS('Saldos Iniciales'!$D:$D,'Saldos Iniciales'!$A:$A,"SSP Capital")+SUMIFS(Movimientos!$K$1:$K$1368,Movimientos!$C$1:$C$1368,"SSP Capital",Movimientos!$B$1:$B$1368,"&lt;="&amp;$B140)</f>
        <v>1189436.8599999996</v>
      </c>
      <c r="H140" s="24">
        <f>SUMIFS('Saldos Iniciales'!$D:$D,'Saldos Iniciales'!$A:$A,"Cross Family Trust")+SUMIFS(Movimientos!$K$1:$K$1368,Movimientos!$C$1:$C$1368,"Cross Family Trust",Movimientos!$B$1:$B$1368,"&lt;="&amp;$B140)</f>
        <v>229778.14</v>
      </c>
      <c r="I140" s="24">
        <f>SUMIFS('Saldos Iniciales'!$D:$D,'Saldos Iniciales'!$A:$A,"Cross Security Trust")+SUMIFS(Movimientos!$K$1:$K$1368,Movimientos!$C$1:$C$1368,"Cross Security Trust",Movimientos!$B$1:$B$1368,"&lt;="&amp;$B140)</f>
        <v>217688.58</v>
      </c>
      <c r="J140" s="24">
        <f>SUMIFS('Saldos Iniciales'!$D:$D,'Saldos Iniciales'!$A:$A,"Electrama")+SUMIFS(Movimientos!$K$1:$K$1368,Movimientos!$C$1:$C$1368,"Electrama",Movimientos!$B$1:$B$1368,"&lt;="&amp;$B140)</f>
        <v>11744.75</v>
      </c>
      <c r="K140" s="24">
        <f>SUMIFS('Saldos Iniciales'!$D:$D,'Saldos Iniciales'!$A:$A,"Sacred Valley Capital")+SUMIFS(Movimientos!$K$1:$K$1368,Movimientos!$C$1:$C$1368,"Sacred Valley Capital",Movimientos!$B$1:$B$1368,"&lt;="&amp;$B140)</f>
        <v>94.5</v>
      </c>
      <c r="L140" s="24">
        <f>SUMIFS('Saldos Iniciales'!$D:$D,'Saldos Iniciales'!$A:$A,"YWC Capital")+SUMIFS(Movimientos!$K$1:$K$1368,Movimientos!$C$1:$C$1368,"YWC Capital",Movimientos!$B$1:$B$1368,"&lt;="&amp;$B140)</f>
        <v>2147.92</v>
      </c>
      <c r="M140" s="24">
        <f>SUMIFS('Saldos Iniciales'!$D:$D,'Saldos Iniciales'!$A:$A,"Soweto")+SUMIFS(Movimientos!$K$1:$K$1368,Movimientos!$C$1:$C$1368,"Soweto",Movimientos!$B$1:$B$1368,"&lt;="&amp;$B140)</f>
        <v>17895.290000000015</v>
      </c>
      <c r="N140" s="24">
        <f>SUMIFS('Saldos Iniciales'!$D:$D,'Saldos Iniciales'!$A:$A,"Green Stone Trust")+SUMIFS(Movimientos!$K$1:$K$1368,Movimientos!$C$1:$C$1368,"Green Stone Trust",Movimientos!$B$1:$B$1368,"&lt;="&amp;$B140)</f>
        <v>1968.99</v>
      </c>
      <c r="O140" s="24">
        <f>SUMIFS('Saldos Iniciales'!$D:$D,'Saldos Iniciales'!$A:$A,"EC Auto")+SUMIFS(Movimientos!$K$1:$K$1368,Movimientos!$C$1:$C$1368,"EC Auto",Movimientos!$B$1:$B$1368,"&lt;="&amp;$B140)</f>
        <v>901.34</v>
      </c>
      <c r="P140" s="24">
        <f>SUMIFS('Saldos Iniciales'!$D:$D,'Saldos Iniciales'!$A:$A,"Arbor Capital Properties")+SUMIFS(Movimientos!$K$1:$K$1368,Movimientos!$C$1:$C$1368,"Arbor Capital Properties",Movimientos!$B$1:$B$1368,"&lt;="&amp;$B140)</f>
        <v>1380.08</v>
      </c>
      <c r="Q140" s="24">
        <f>SUMIFS('Saldos Iniciales'!$D:$D,'Saldos Iniciales'!$A:$A,"2515 Overbrook")+SUMIFS(Movimientos!$K$1:$K$1368,Movimientos!$C$1:$C$1368,"2515 Overbrook",Movimientos!$B$1:$B$1368,"&lt;="&amp;$B140)</f>
        <v>25027.379999999961</v>
      </c>
      <c r="R140" s="24">
        <f>SUMIFS('Saldos Iniciales'!$D:$D,'Saldos Iniciales'!$A:$A,"112 Florida Ave")+SUMIFS(Movimientos!$K$1:$K$1368,Movimientos!$C$1:$C$1368,"112 Florida Ave",Movimientos!$B$1:$B$1368,"&lt;="&amp;$B140)</f>
        <v>16282.630000000006</v>
      </c>
      <c r="S140" s="24">
        <f>SUMIFS('Saldos Iniciales'!$D:$D,'Saldos Iniciales'!$A:$A,"3628 Thomas Ave")+SUMIFS(Movimientos!$K$1:$K$1368,Movimientos!$C$1:$C$1368,"3628 Thomas Ave",Movimientos!$B$1:$B$1368,"&lt;="&amp;$B140)</f>
        <v>13685.999999999996</v>
      </c>
      <c r="T140" s="24">
        <f>SUMIFS('Saldos Iniciales'!$D:$D,'Saldos Iniciales'!$A:$A,"Green Harbor Trust")+SUMIFS(Movimientos!$K$1:$K$1368,Movimientos!$C$1:$C$1368,"Green Harbor Trust",Movimientos!$B$1:$B$1368,"&lt;="&amp;$B140)</f>
        <v>345</v>
      </c>
      <c r="U140" s="24">
        <f>SUMIFS('Saldos Iniciales'!$D:$D,'Saldos Iniciales'!$A:$A,"Go Blue")+SUMIFS(Movimientos!$K$1:$K$1368,Movimientos!$C$1:$C$1368,"Go Blue",Movimientos!$B$1:$B$1368,"&lt;="&amp;$B140)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Group")+SUMIFS(Movimientos!$K$1:$K$1368,Movimientos!$C$1:$C$1368,"CFT Group",Movimientos!$B$1:$B$1368,"&lt;="&amp;$B141)</f>
        <v>1912320.2500000007</v>
      </c>
      <c r="D141" s="24">
        <f>SUMIFS('Saldos Iniciales'!$D:$D,'Saldos Iniciales'!$A:$A,"M1B")+SUMIFS(Movimientos!$K$1:$K$1368,Movimientos!$C$1:$C$1368,"M1B",Movimientos!$B$1:$B$1368,"&lt;="&amp;$B141)</f>
        <v>100486.46000000017</v>
      </c>
      <c r="E141" s="24">
        <f>SUMIFS('Saldos Iniciales'!$D:$D,'Saldos Iniciales'!$A:$A,"Durand")+SUMIFS(Movimientos!$K$1:$K$1368,Movimientos!$C$1:$C$1368,"Durand",Movimientos!$B$1:$B$1368,"&lt;="&amp;$B141)</f>
        <v>1669.89</v>
      </c>
      <c r="F141" s="24">
        <f>SUMIFS('Saldos Iniciales'!$D:$D,'Saldos Iniciales'!$A:$A,"A&amp;M Imports")+SUMIFS(Movimientos!$K$1:$K$1368,Movimientos!$C$1:$C$1368,"A&amp;M Imports",Movimientos!$B$1:$B$1368,"&lt;="&amp;$B141)</f>
        <v>975534.6399999999</v>
      </c>
      <c r="G141" s="24">
        <f>SUMIFS('Saldos Iniciales'!$D:$D,'Saldos Iniciales'!$A:$A,"SSP Capital")+SUMIFS(Movimientos!$K$1:$K$1368,Movimientos!$C$1:$C$1368,"SSP Capital",Movimientos!$B$1:$B$1368,"&lt;="&amp;$B141)</f>
        <v>1070645.1899999995</v>
      </c>
      <c r="H141" s="24">
        <f>SUMIFS('Saldos Iniciales'!$D:$D,'Saldos Iniciales'!$A:$A,"Cross Family Trust")+SUMIFS(Movimientos!$K$1:$K$1368,Movimientos!$C$1:$C$1368,"Cross Family Trust",Movimientos!$B$1:$B$1368,"&lt;="&amp;$B141)</f>
        <v>229778.14</v>
      </c>
      <c r="I141" s="24">
        <f>SUMIFS('Saldos Iniciales'!$D:$D,'Saldos Iniciales'!$A:$A,"Cross Security Trust")+SUMIFS(Movimientos!$K$1:$K$1368,Movimientos!$C$1:$C$1368,"Cross Security Trust",Movimientos!$B$1:$B$1368,"&lt;="&amp;$B141)</f>
        <v>217688.58</v>
      </c>
      <c r="J141" s="24">
        <f>SUMIFS('Saldos Iniciales'!$D:$D,'Saldos Iniciales'!$A:$A,"Electrama")+SUMIFS(Movimientos!$K$1:$K$1368,Movimientos!$C$1:$C$1368,"Electrama",Movimientos!$B$1:$B$1368,"&lt;="&amp;$B141)</f>
        <v>11744.75</v>
      </c>
      <c r="K141" s="24">
        <f>SUMIFS('Saldos Iniciales'!$D:$D,'Saldos Iniciales'!$A:$A,"Sacred Valley Capital")+SUMIFS(Movimientos!$K$1:$K$1368,Movimientos!$C$1:$C$1368,"Sacred Valley Capital",Movimientos!$B$1:$B$1368,"&lt;="&amp;$B141)</f>
        <v>94.5</v>
      </c>
      <c r="L141" s="24">
        <f>SUMIFS('Saldos Iniciales'!$D:$D,'Saldos Iniciales'!$A:$A,"YWC Capital")+SUMIFS(Movimientos!$K$1:$K$1368,Movimientos!$C$1:$C$1368,"YWC Capital",Movimientos!$B$1:$B$1368,"&lt;="&amp;$B141)</f>
        <v>2147.92</v>
      </c>
      <c r="M141" s="24">
        <f>SUMIFS('Saldos Iniciales'!$D:$D,'Saldos Iniciales'!$A:$A,"Soweto")+SUMIFS(Movimientos!$K$1:$K$1368,Movimientos!$C$1:$C$1368,"Soweto",Movimientos!$B$1:$B$1368,"&lt;="&amp;$B141)</f>
        <v>17895.290000000015</v>
      </c>
      <c r="N141" s="24">
        <f>SUMIFS('Saldos Iniciales'!$D:$D,'Saldos Iniciales'!$A:$A,"Green Stone Trust")+SUMIFS(Movimientos!$K$1:$K$1368,Movimientos!$C$1:$C$1368,"Green Stone Trust",Movimientos!$B$1:$B$1368,"&lt;="&amp;$B141)</f>
        <v>1968.99</v>
      </c>
      <c r="O141" s="24">
        <f>SUMIFS('Saldos Iniciales'!$D:$D,'Saldos Iniciales'!$A:$A,"EC Auto")+SUMIFS(Movimientos!$K$1:$K$1368,Movimientos!$C$1:$C$1368,"EC Auto",Movimientos!$B$1:$B$1368,"&lt;="&amp;$B141)</f>
        <v>901.34</v>
      </c>
      <c r="P141" s="24">
        <f>SUMIFS('Saldos Iniciales'!$D:$D,'Saldos Iniciales'!$A:$A,"Arbor Capital Properties")+SUMIFS(Movimientos!$K$1:$K$1368,Movimientos!$C$1:$C$1368,"Arbor Capital Properties",Movimientos!$B$1:$B$1368,"&lt;="&amp;$B141)</f>
        <v>1380.08</v>
      </c>
      <c r="Q141" s="24">
        <f>SUMIFS('Saldos Iniciales'!$D:$D,'Saldos Iniciales'!$A:$A,"2515 Overbrook")+SUMIFS(Movimientos!$K$1:$K$1368,Movimientos!$C$1:$C$1368,"2515 Overbrook",Movimientos!$B$1:$B$1368,"&lt;="&amp;$B141)</f>
        <v>25027.379999999961</v>
      </c>
      <c r="R141" s="24">
        <f>SUMIFS('Saldos Iniciales'!$D:$D,'Saldos Iniciales'!$A:$A,"112 Florida Ave")+SUMIFS(Movimientos!$K$1:$K$1368,Movimientos!$C$1:$C$1368,"112 Florida Ave",Movimientos!$B$1:$B$1368,"&lt;="&amp;$B141)</f>
        <v>16282.630000000006</v>
      </c>
      <c r="S141" s="24">
        <f>SUMIFS('Saldos Iniciales'!$D:$D,'Saldos Iniciales'!$A:$A,"3628 Thomas Ave")+SUMIFS(Movimientos!$K$1:$K$1368,Movimientos!$C$1:$C$1368,"3628 Thomas Ave",Movimientos!$B$1:$B$1368,"&lt;="&amp;$B141)</f>
        <v>13685.999999999996</v>
      </c>
      <c r="T141" s="24">
        <f>SUMIFS('Saldos Iniciales'!$D:$D,'Saldos Iniciales'!$A:$A,"Green Harbor Trust")+SUMIFS(Movimientos!$K$1:$K$1368,Movimientos!$C$1:$C$1368,"Green Harbor Trust",Movimientos!$B$1:$B$1368,"&lt;="&amp;$B141)</f>
        <v>345</v>
      </c>
      <c r="U141" s="24">
        <f>SUMIFS('Saldos Iniciales'!$D:$D,'Saldos Iniciales'!$A:$A,"Go Blue")+SUMIFS(Movimientos!$K$1:$K$1368,Movimientos!$C$1:$C$1368,"Go Blue",Movimientos!$B$1:$B$1368,"&lt;="&amp;$B141)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Group")+SUMIFS(Movimientos!$K$1:$K$1368,Movimientos!$C$1:$C$1368,"CFT Group",Movimientos!$B$1:$B$1368,"&lt;="&amp;$B142)</f>
        <v>2322320.2500000005</v>
      </c>
      <c r="D142" s="24">
        <f>SUMIFS('Saldos Iniciales'!$D:$D,'Saldos Iniciales'!$A:$A,"M1B")+SUMIFS(Movimientos!$K$1:$K$1368,Movimientos!$C$1:$C$1368,"M1B",Movimientos!$B$1:$B$1368,"&lt;="&amp;$B142)</f>
        <v>100486.46000000017</v>
      </c>
      <c r="E142" s="24">
        <f>SUMIFS('Saldos Iniciales'!$D:$D,'Saldos Iniciales'!$A:$A,"Durand")+SUMIFS(Movimientos!$K$1:$K$1368,Movimientos!$C$1:$C$1368,"Durand",Movimientos!$B$1:$B$1368,"&lt;="&amp;$B142)</f>
        <v>1669.89</v>
      </c>
      <c r="F142" s="24">
        <f>SUMIFS('Saldos Iniciales'!$D:$D,'Saldos Iniciales'!$A:$A,"A&amp;M Imports")+SUMIFS(Movimientos!$K$1:$K$1368,Movimientos!$C$1:$C$1368,"A&amp;M Imports",Movimientos!$B$1:$B$1368,"&lt;="&amp;$B142)</f>
        <v>1425534.64</v>
      </c>
      <c r="G142" s="24">
        <f>SUMIFS('Saldos Iniciales'!$D:$D,'Saldos Iniciales'!$A:$A,"SSP Capital")+SUMIFS(Movimientos!$K$1:$K$1368,Movimientos!$C$1:$C$1368,"SSP Capital",Movimientos!$B$1:$B$1368,"&lt;="&amp;$B142)</f>
        <v>1070478.5299999996</v>
      </c>
      <c r="H142" s="24">
        <f>SUMIFS('Saldos Iniciales'!$D:$D,'Saldos Iniciales'!$A:$A,"Cross Family Trust")+SUMIFS(Movimientos!$K$1:$K$1368,Movimientos!$C$1:$C$1368,"Cross Family Trust",Movimientos!$B$1:$B$1368,"&lt;="&amp;$B142)</f>
        <v>229778.14</v>
      </c>
      <c r="I142" s="24">
        <f>SUMIFS('Saldos Iniciales'!$D:$D,'Saldos Iniciales'!$A:$A,"Cross Security Trust")+SUMIFS(Movimientos!$K$1:$K$1368,Movimientos!$C$1:$C$1368,"Cross Security Trust",Movimientos!$B$1:$B$1368,"&lt;="&amp;$B142)</f>
        <v>217688.58</v>
      </c>
      <c r="J142" s="24">
        <f>SUMIFS('Saldos Iniciales'!$D:$D,'Saldos Iniciales'!$A:$A,"Electrama")+SUMIFS(Movimientos!$K$1:$K$1368,Movimientos!$C$1:$C$1368,"Electrama",Movimientos!$B$1:$B$1368,"&lt;="&amp;$B142)</f>
        <v>11744.75</v>
      </c>
      <c r="K142" s="24">
        <f>SUMIFS('Saldos Iniciales'!$D:$D,'Saldos Iniciales'!$A:$A,"Sacred Valley Capital")+SUMIFS(Movimientos!$K$1:$K$1368,Movimientos!$C$1:$C$1368,"Sacred Valley Capital",Movimientos!$B$1:$B$1368,"&lt;="&amp;$B142)</f>
        <v>94.5</v>
      </c>
      <c r="L142" s="24">
        <f>SUMIFS('Saldos Iniciales'!$D:$D,'Saldos Iniciales'!$A:$A,"YWC Capital")+SUMIFS(Movimientos!$K$1:$K$1368,Movimientos!$C$1:$C$1368,"YWC Capital",Movimientos!$B$1:$B$1368,"&lt;="&amp;$B142)</f>
        <v>2147.92</v>
      </c>
      <c r="M142" s="24">
        <f>SUMIFS('Saldos Iniciales'!$D:$D,'Saldos Iniciales'!$A:$A,"Soweto")+SUMIFS(Movimientos!$K$1:$K$1368,Movimientos!$C$1:$C$1368,"Soweto",Movimientos!$B$1:$B$1368,"&lt;="&amp;$B142)</f>
        <v>17895.290000000015</v>
      </c>
      <c r="N142" s="24">
        <f>SUMIFS('Saldos Iniciales'!$D:$D,'Saldos Iniciales'!$A:$A,"Green Stone Trust")+SUMIFS(Movimientos!$K$1:$K$1368,Movimientos!$C$1:$C$1368,"Green Stone Trust",Movimientos!$B$1:$B$1368,"&lt;="&amp;$B142)</f>
        <v>1968.99</v>
      </c>
      <c r="O142" s="24">
        <f>SUMIFS('Saldos Iniciales'!$D:$D,'Saldos Iniciales'!$A:$A,"EC Auto")+SUMIFS(Movimientos!$K$1:$K$1368,Movimientos!$C$1:$C$1368,"EC Auto",Movimientos!$B$1:$B$1368,"&lt;="&amp;$B142)</f>
        <v>901.34</v>
      </c>
      <c r="P142" s="24">
        <f>SUMIFS('Saldos Iniciales'!$D:$D,'Saldos Iniciales'!$A:$A,"Arbor Capital Properties")+SUMIFS(Movimientos!$K$1:$K$1368,Movimientos!$C$1:$C$1368,"Arbor Capital Properties",Movimientos!$B$1:$B$1368,"&lt;="&amp;$B142)</f>
        <v>1380.08</v>
      </c>
      <c r="Q142" s="24">
        <f>SUMIFS('Saldos Iniciales'!$D:$D,'Saldos Iniciales'!$A:$A,"2515 Overbrook")+SUMIFS(Movimientos!$K$1:$K$1368,Movimientos!$C$1:$C$1368,"2515 Overbrook",Movimientos!$B$1:$B$1368,"&lt;="&amp;$B142)</f>
        <v>30277.379999999961</v>
      </c>
      <c r="R142" s="24">
        <f>SUMIFS('Saldos Iniciales'!$D:$D,'Saldos Iniciales'!$A:$A,"112 Florida Ave")+SUMIFS(Movimientos!$K$1:$K$1368,Movimientos!$C$1:$C$1368,"112 Florida Ave",Movimientos!$B$1:$B$1368,"&lt;="&amp;$B142)</f>
        <v>16282.630000000006</v>
      </c>
      <c r="S142" s="24">
        <f>SUMIFS('Saldos Iniciales'!$D:$D,'Saldos Iniciales'!$A:$A,"3628 Thomas Ave")+SUMIFS(Movimientos!$K$1:$K$1368,Movimientos!$C$1:$C$1368,"3628 Thomas Ave",Movimientos!$B$1:$B$1368,"&lt;="&amp;$B142)</f>
        <v>13685.999999999996</v>
      </c>
      <c r="T142" s="24">
        <f>SUMIFS('Saldos Iniciales'!$D:$D,'Saldos Iniciales'!$A:$A,"Green Harbor Trust")+SUMIFS(Movimientos!$K$1:$K$1368,Movimientos!$C$1:$C$1368,"Green Harbor Trust",Movimientos!$B$1:$B$1368,"&lt;="&amp;$B142)</f>
        <v>345</v>
      </c>
      <c r="U142" s="24">
        <f>SUMIFS('Saldos Iniciales'!$D:$D,'Saldos Iniciales'!$A:$A,"Go Blue")+SUMIFS(Movimientos!$K$1:$K$1368,Movimientos!$C$1:$C$1368,"Go Blue",Movimientos!$B$1:$B$1368,"&lt;="&amp;$B142)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Group")+SUMIFS(Movimientos!$K$1:$K$1368,Movimientos!$C$1:$C$1368,"CFT Group",Movimientos!$B$1:$B$1368,"&lt;="&amp;$B143)</f>
        <v>2322320.2500000005</v>
      </c>
      <c r="D143" s="24">
        <f>SUMIFS('Saldos Iniciales'!$D:$D,'Saldos Iniciales'!$A:$A,"M1B")+SUMIFS(Movimientos!$K$1:$K$1368,Movimientos!$C$1:$C$1368,"M1B",Movimientos!$B$1:$B$1368,"&lt;="&amp;$B143)</f>
        <v>100486.46000000017</v>
      </c>
      <c r="E143" s="24">
        <f>SUMIFS('Saldos Iniciales'!$D:$D,'Saldos Iniciales'!$A:$A,"Durand")+SUMIFS(Movimientos!$K$1:$K$1368,Movimientos!$C$1:$C$1368,"Durand",Movimientos!$B$1:$B$1368,"&lt;="&amp;$B143)</f>
        <v>1669.89</v>
      </c>
      <c r="F143" s="24">
        <f>SUMIFS('Saldos Iniciales'!$D:$D,'Saldos Iniciales'!$A:$A,"A&amp;M Imports")+SUMIFS(Movimientos!$K$1:$K$1368,Movimientos!$C$1:$C$1368,"A&amp;M Imports",Movimientos!$B$1:$B$1368,"&lt;="&amp;$B143)</f>
        <v>1425534.64</v>
      </c>
      <c r="G143" s="24">
        <f>SUMIFS('Saldos Iniciales'!$D:$D,'Saldos Iniciales'!$A:$A,"SSP Capital")+SUMIFS(Movimientos!$K$1:$K$1368,Movimientos!$C$1:$C$1368,"SSP Capital",Movimientos!$B$1:$B$1368,"&lt;="&amp;$B143)</f>
        <v>1070478.5299999996</v>
      </c>
      <c r="H143" s="24">
        <f>SUMIFS('Saldos Iniciales'!$D:$D,'Saldos Iniciales'!$A:$A,"Cross Family Trust")+SUMIFS(Movimientos!$K$1:$K$1368,Movimientos!$C$1:$C$1368,"Cross Family Trust",Movimientos!$B$1:$B$1368,"&lt;="&amp;$B143)</f>
        <v>229778.14</v>
      </c>
      <c r="I143" s="24">
        <f>SUMIFS('Saldos Iniciales'!$D:$D,'Saldos Iniciales'!$A:$A,"Cross Security Trust")+SUMIFS(Movimientos!$K$1:$K$1368,Movimientos!$C$1:$C$1368,"Cross Security Trust",Movimientos!$B$1:$B$1368,"&lt;="&amp;$B143)</f>
        <v>217688.58</v>
      </c>
      <c r="J143" s="24">
        <f>SUMIFS('Saldos Iniciales'!$D:$D,'Saldos Iniciales'!$A:$A,"Electrama")+SUMIFS(Movimientos!$K$1:$K$1368,Movimientos!$C$1:$C$1368,"Electrama",Movimientos!$B$1:$B$1368,"&lt;="&amp;$B143)</f>
        <v>11744.75</v>
      </c>
      <c r="K143" s="24">
        <f>SUMIFS('Saldos Iniciales'!$D:$D,'Saldos Iniciales'!$A:$A,"Sacred Valley Capital")+SUMIFS(Movimientos!$K$1:$K$1368,Movimientos!$C$1:$C$1368,"Sacred Valley Capital",Movimientos!$B$1:$B$1368,"&lt;="&amp;$B143)</f>
        <v>94.5</v>
      </c>
      <c r="L143" s="24">
        <f>SUMIFS('Saldos Iniciales'!$D:$D,'Saldos Iniciales'!$A:$A,"YWC Capital")+SUMIFS(Movimientos!$K$1:$K$1368,Movimientos!$C$1:$C$1368,"YWC Capital",Movimientos!$B$1:$B$1368,"&lt;="&amp;$B143)</f>
        <v>2147.92</v>
      </c>
      <c r="M143" s="24">
        <f>SUMIFS('Saldos Iniciales'!$D:$D,'Saldos Iniciales'!$A:$A,"Soweto")+SUMIFS(Movimientos!$K$1:$K$1368,Movimientos!$C$1:$C$1368,"Soweto",Movimientos!$B$1:$B$1368,"&lt;="&amp;$B143)</f>
        <v>17895.290000000015</v>
      </c>
      <c r="N143" s="24">
        <f>SUMIFS('Saldos Iniciales'!$D:$D,'Saldos Iniciales'!$A:$A,"Green Stone Trust")+SUMIFS(Movimientos!$K$1:$K$1368,Movimientos!$C$1:$C$1368,"Green Stone Trust",Movimientos!$B$1:$B$1368,"&lt;="&amp;$B143)</f>
        <v>1968.99</v>
      </c>
      <c r="O143" s="24">
        <f>SUMIFS('Saldos Iniciales'!$D:$D,'Saldos Iniciales'!$A:$A,"EC Auto")+SUMIFS(Movimientos!$K$1:$K$1368,Movimientos!$C$1:$C$1368,"EC Auto",Movimientos!$B$1:$B$1368,"&lt;="&amp;$B143)</f>
        <v>901.34</v>
      </c>
      <c r="P143" s="24">
        <f>SUMIFS('Saldos Iniciales'!$D:$D,'Saldos Iniciales'!$A:$A,"Arbor Capital Properties")+SUMIFS(Movimientos!$K$1:$K$1368,Movimientos!$C$1:$C$1368,"Arbor Capital Properties",Movimientos!$B$1:$B$1368,"&lt;="&amp;$B143)</f>
        <v>1380.08</v>
      </c>
      <c r="Q143" s="24">
        <f>SUMIFS('Saldos Iniciales'!$D:$D,'Saldos Iniciales'!$A:$A,"2515 Overbrook")+SUMIFS(Movimientos!$K$1:$K$1368,Movimientos!$C$1:$C$1368,"2515 Overbrook",Movimientos!$B$1:$B$1368,"&lt;="&amp;$B143)</f>
        <v>30277.379999999961</v>
      </c>
      <c r="R143" s="24">
        <f>SUMIFS('Saldos Iniciales'!$D:$D,'Saldos Iniciales'!$A:$A,"112 Florida Ave")+SUMIFS(Movimientos!$K$1:$K$1368,Movimientos!$C$1:$C$1368,"112 Florida Ave",Movimientos!$B$1:$B$1368,"&lt;="&amp;$B143)</f>
        <v>16282.630000000006</v>
      </c>
      <c r="S143" s="24">
        <f>SUMIFS('Saldos Iniciales'!$D:$D,'Saldos Iniciales'!$A:$A,"3628 Thomas Ave")+SUMIFS(Movimientos!$K$1:$K$1368,Movimientos!$C$1:$C$1368,"3628 Thomas Ave",Movimientos!$B$1:$B$1368,"&lt;="&amp;$B143)</f>
        <v>13685.999999999996</v>
      </c>
      <c r="T143" s="24">
        <f>SUMIFS('Saldos Iniciales'!$D:$D,'Saldos Iniciales'!$A:$A,"Green Harbor Trust")+SUMIFS(Movimientos!$K$1:$K$1368,Movimientos!$C$1:$C$1368,"Green Harbor Trust",Movimientos!$B$1:$B$1368,"&lt;="&amp;$B143)</f>
        <v>345</v>
      </c>
      <c r="U143" s="24">
        <f>SUMIFS('Saldos Iniciales'!$D:$D,'Saldos Iniciales'!$A:$A,"Go Blue")+SUMIFS(Movimientos!$K$1:$K$1368,Movimientos!$C$1:$C$1368,"Go Blue",Movimientos!$B$1:$B$1368,"&lt;="&amp;$B143)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Group")+SUMIFS(Movimientos!$K$1:$K$1368,Movimientos!$C$1:$C$1368,"CFT Group",Movimientos!$B$1:$B$1368,"&lt;="&amp;$B144)</f>
        <v>2322320.2500000005</v>
      </c>
      <c r="D144" s="24">
        <f>SUMIFS('Saldos Iniciales'!$D:$D,'Saldos Iniciales'!$A:$A,"M1B")+SUMIFS(Movimientos!$K$1:$K$1368,Movimientos!$C$1:$C$1368,"M1B",Movimientos!$B$1:$B$1368,"&lt;="&amp;$B144)</f>
        <v>100486.46000000017</v>
      </c>
      <c r="E144" s="24">
        <f>SUMIFS('Saldos Iniciales'!$D:$D,'Saldos Iniciales'!$A:$A,"Durand")+SUMIFS(Movimientos!$K$1:$K$1368,Movimientos!$C$1:$C$1368,"Durand",Movimientos!$B$1:$B$1368,"&lt;="&amp;$B144)</f>
        <v>1669.89</v>
      </c>
      <c r="F144" s="24">
        <f>SUMIFS('Saldos Iniciales'!$D:$D,'Saldos Iniciales'!$A:$A,"A&amp;M Imports")+SUMIFS(Movimientos!$K$1:$K$1368,Movimientos!$C$1:$C$1368,"A&amp;M Imports",Movimientos!$B$1:$B$1368,"&lt;="&amp;$B144)</f>
        <v>1425534.64</v>
      </c>
      <c r="G144" s="24">
        <f>SUMIFS('Saldos Iniciales'!$D:$D,'Saldos Iniciales'!$A:$A,"SSP Capital")+SUMIFS(Movimientos!$K$1:$K$1368,Movimientos!$C$1:$C$1368,"SSP Capital",Movimientos!$B$1:$B$1368,"&lt;="&amp;$B144)</f>
        <v>1070478.5299999996</v>
      </c>
      <c r="H144" s="24">
        <f>SUMIFS('Saldos Iniciales'!$D:$D,'Saldos Iniciales'!$A:$A,"Cross Family Trust")+SUMIFS(Movimientos!$K$1:$K$1368,Movimientos!$C$1:$C$1368,"Cross Family Trust",Movimientos!$B$1:$B$1368,"&lt;="&amp;$B144)</f>
        <v>229778.14</v>
      </c>
      <c r="I144" s="24">
        <f>SUMIFS('Saldos Iniciales'!$D:$D,'Saldos Iniciales'!$A:$A,"Cross Security Trust")+SUMIFS(Movimientos!$K$1:$K$1368,Movimientos!$C$1:$C$1368,"Cross Security Trust",Movimientos!$B$1:$B$1368,"&lt;="&amp;$B144)</f>
        <v>217688.58</v>
      </c>
      <c r="J144" s="24">
        <f>SUMIFS('Saldos Iniciales'!$D:$D,'Saldos Iniciales'!$A:$A,"Electrama")+SUMIFS(Movimientos!$K$1:$K$1368,Movimientos!$C$1:$C$1368,"Electrama",Movimientos!$B$1:$B$1368,"&lt;="&amp;$B144)</f>
        <v>11744.75</v>
      </c>
      <c r="K144" s="24">
        <f>SUMIFS('Saldos Iniciales'!$D:$D,'Saldos Iniciales'!$A:$A,"Sacred Valley Capital")+SUMIFS(Movimientos!$K$1:$K$1368,Movimientos!$C$1:$C$1368,"Sacred Valley Capital",Movimientos!$B$1:$B$1368,"&lt;="&amp;$B144)</f>
        <v>94.5</v>
      </c>
      <c r="L144" s="24">
        <f>SUMIFS('Saldos Iniciales'!$D:$D,'Saldos Iniciales'!$A:$A,"YWC Capital")+SUMIFS(Movimientos!$K$1:$K$1368,Movimientos!$C$1:$C$1368,"YWC Capital",Movimientos!$B$1:$B$1368,"&lt;="&amp;$B144)</f>
        <v>2147.92</v>
      </c>
      <c r="M144" s="24">
        <f>SUMIFS('Saldos Iniciales'!$D:$D,'Saldos Iniciales'!$A:$A,"Soweto")+SUMIFS(Movimientos!$K$1:$K$1368,Movimientos!$C$1:$C$1368,"Soweto",Movimientos!$B$1:$B$1368,"&lt;="&amp;$B144)</f>
        <v>17895.290000000015</v>
      </c>
      <c r="N144" s="24">
        <f>SUMIFS('Saldos Iniciales'!$D:$D,'Saldos Iniciales'!$A:$A,"Green Stone Trust")+SUMIFS(Movimientos!$K$1:$K$1368,Movimientos!$C$1:$C$1368,"Green Stone Trust",Movimientos!$B$1:$B$1368,"&lt;="&amp;$B144)</f>
        <v>1968.99</v>
      </c>
      <c r="O144" s="24">
        <f>SUMIFS('Saldos Iniciales'!$D:$D,'Saldos Iniciales'!$A:$A,"EC Auto")+SUMIFS(Movimientos!$K$1:$K$1368,Movimientos!$C$1:$C$1368,"EC Auto",Movimientos!$B$1:$B$1368,"&lt;="&amp;$B144)</f>
        <v>901.34</v>
      </c>
      <c r="P144" s="24">
        <f>SUMIFS('Saldos Iniciales'!$D:$D,'Saldos Iniciales'!$A:$A,"Arbor Capital Properties")+SUMIFS(Movimientos!$K$1:$K$1368,Movimientos!$C$1:$C$1368,"Arbor Capital Properties",Movimientos!$B$1:$B$1368,"&lt;="&amp;$B144)</f>
        <v>1380.08</v>
      </c>
      <c r="Q144" s="24">
        <f>SUMIFS('Saldos Iniciales'!$D:$D,'Saldos Iniciales'!$A:$A,"2515 Overbrook")+SUMIFS(Movimientos!$K$1:$K$1368,Movimientos!$C$1:$C$1368,"2515 Overbrook",Movimientos!$B$1:$B$1368,"&lt;="&amp;$B144)</f>
        <v>30277.379999999961</v>
      </c>
      <c r="R144" s="24">
        <f>SUMIFS('Saldos Iniciales'!$D:$D,'Saldos Iniciales'!$A:$A,"112 Florida Ave")+SUMIFS(Movimientos!$K$1:$K$1368,Movimientos!$C$1:$C$1368,"112 Florida Ave",Movimientos!$B$1:$B$1368,"&lt;="&amp;$B144)</f>
        <v>16282.630000000006</v>
      </c>
      <c r="S144" s="24">
        <f>SUMIFS('Saldos Iniciales'!$D:$D,'Saldos Iniciales'!$A:$A,"3628 Thomas Ave")+SUMIFS(Movimientos!$K$1:$K$1368,Movimientos!$C$1:$C$1368,"3628 Thomas Ave",Movimientos!$B$1:$B$1368,"&lt;="&amp;$B144)</f>
        <v>13685.999999999996</v>
      </c>
      <c r="T144" s="24">
        <f>SUMIFS('Saldos Iniciales'!$D:$D,'Saldos Iniciales'!$A:$A,"Green Harbor Trust")+SUMIFS(Movimientos!$K$1:$K$1368,Movimientos!$C$1:$C$1368,"Green Harbor Trust",Movimientos!$B$1:$B$1368,"&lt;="&amp;$B144)</f>
        <v>345</v>
      </c>
      <c r="U144" s="24">
        <f>SUMIFS('Saldos Iniciales'!$D:$D,'Saldos Iniciales'!$A:$A,"Go Blue")+SUMIFS(Movimientos!$K$1:$K$1368,Movimientos!$C$1:$C$1368,"Go Blue",Movimientos!$B$1:$B$1368,"&lt;="&amp;$B144)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Group")+SUMIFS(Movimientos!$K$1:$K$1368,Movimientos!$C$1:$C$1368,"CFT Group",Movimientos!$B$1:$B$1368,"&lt;="&amp;$B145)</f>
        <v>2322320.2500000005</v>
      </c>
      <c r="D145" s="24">
        <f>SUMIFS('Saldos Iniciales'!$D:$D,'Saldos Iniciales'!$A:$A,"M1B")+SUMIFS(Movimientos!$K$1:$K$1368,Movimientos!$C$1:$C$1368,"M1B",Movimientos!$B$1:$B$1368,"&lt;="&amp;$B145)</f>
        <v>100486.46000000017</v>
      </c>
      <c r="E145" s="24">
        <f>SUMIFS('Saldos Iniciales'!$D:$D,'Saldos Iniciales'!$A:$A,"Durand")+SUMIFS(Movimientos!$K$1:$K$1368,Movimientos!$C$1:$C$1368,"Durand",Movimientos!$B$1:$B$1368,"&lt;="&amp;$B145)</f>
        <v>1669.89</v>
      </c>
      <c r="F145" s="24">
        <f>SUMIFS('Saldos Iniciales'!$D:$D,'Saldos Iniciales'!$A:$A,"A&amp;M Imports")+SUMIFS(Movimientos!$K$1:$K$1368,Movimientos!$C$1:$C$1368,"A&amp;M Imports",Movimientos!$B$1:$B$1368,"&lt;="&amp;$B145)</f>
        <v>1453603.3599999999</v>
      </c>
      <c r="G145" s="24">
        <f>SUMIFS('Saldos Iniciales'!$D:$D,'Saldos Iniciales'!$A:$A,"SSP Capital")+SUMIFS(Movimientos!$K$1:$K$1368,Movimientos!$C$1:$C$1368,"SSP Capital",Movimientos!$B$1:$B$1368,"&lt;="&amp;$B145)</f>
        <v>1066496.7899999996</v>
      </c>
      <c r="H145" s="24">
        <f>SUMIFS('Saldos Iniciales'!$D:$D,'Saldos Iniciales'!$A:$A,"Cross Family Trust")+SUMIFS(Movimientos!$K$1:$K$1368,Movimientos!$C$1:$C$1368,"Cross Family Trust",Movimientos!$B$1:$B$1368,"&lt;="&amp;$B145)</f>
        <v>229778.14</v>
      </c>
      <c r="I145" s="24">
        <f>SUMIFS('Saldos Iniciales'!$D:$D,'Saldos Iniciales'!$A:$A,"Cross Security Trust")+SUMIFS(Movimientos!$K$1:$K$1368,Movimientos!$C$1:$C$1368,"Cross Security Trust",Movimientos!$B$1:$B$1368,"&lt;="&amp;$B145)</f>
        <v>217688.58</v>
      </c>
      <c r="J145" s="24">
        <f>SUMIFS('Saldos Iniciales'!$D:$D,'Saldos Iniciales'!$A:$A,"Electrama")+SUMIFS(Movimientos!$K$1:$K$1368,Movimientos!$C$1:$C$1368,"Electrama",Movimientos!$B$1:$B$1368,"&lt;="&amp;$B145)</f>
        <v>11744.75</v>
      </c>
      <c r="K145" s="24">
        <f>SUMIFS('Saldos Iniciales'!$D:$D,'Saldos Iniciales'!$A:$A,"Sacred Valley Capital")+SUMIFS(Movimientos!$K$1:$K$1368,Movimientos!$C$1:$C$1368,"Sacred Valley Capital",Movimientos!$B$1:$B$1368,"&lt;="&amp;$B145)</f>
        <v>94.5</v>
      </c>
      <c r="L145" s="24">
        <f>SUMIFS('Saldos Iniciales'!$D:$D,'Saldos Iniciales'!$A:$A,"YWC Capital")+SUMIFS(Movimientos!$K$1:$K$1368,Movimientos!$C$1:$C$1368,"YWC Capital",Movimientos!$B$1:$B$1368,"&lt;="&amp;$B145)</f>
        <v>2147.92</v>
      </c>
      <c r="M145" s="24">
        <f>SUMIFS('Saldos Iniciales'!$D:$D,'Saldos Iniciales'!$A:$A,"Soweto")+SUMIFS(Movimientos!$K$1:$K$1368,Movimientos!$C$1:$C$1368,"Soweto",Movimientos!$B$1:$B$1368,"&lt;="&amp;$B145)</f>
        <v>17895.290000000015</v>
      </c>
      <c r="N145" s="24">
        <f>SUMIFS('Saldos Iniciales'!$D:$D,'Saldos Iniciales'!$A:$A,"Green Stone Trust")+SUMIFS(Movimientos!$K$1:$K$1368,Movimientos!$C$1:$C$1368,"Green Stone Trust",Movimientos!$B$1:$B$1368,"&lt;="&amp;$B145)</f>
        <v>1968.99</v>
      </c>
      <c r="O145" s="24">
        <f>SUMIFS('Saldos Iniciales'!$D:$D,'Saldos Iniciales'!$A:$A,"EC Auto")+SUMIFS(Movimientos!$K$1:$K$1368,Movimientos!$C$1:$C$1368,"EC Auto",Movimientos!$B$1:$B$1368,"&lt;="&amp;$B145)</f>
        <v>901.34</v>
      </c>
      <c r="P145" s="24">
        <f>SUMIFS('Saldos Iniciales'!$D:$D,'Saldos Iniciales'!$A:$A,"Arbor Capital Properties")+SUMIFS(Movimientos!$K$1:$K$1368,Movimientos!$C$1:$C$1368,"Arbor Capital Properties",Movimientos!$B$1:$B$1368,"&lt;="&amp;$B145)</f>
        <v>1380.08</v>
      </c>
      <c r="Q145" s="24">
        <f>SUMIFS('Saldos Iniciales'!$D:$D,'Saldos Iniciales'!$A:$A,"2515 Overbrook")+SUMIFS(Movimientos!$K$1:$K$1368,Movimientos!$C$1:$C$1368,"2515 Overbrook",Movimientos!$B$1:$B$1368,"&lt;="&amp;$B145)</f>
        <v>30277.379999999961</v>
      </c>
      <c r="R145" s="24">
        <f>SUMIFS('Saldos Iniciales'!$D:$D,'Saldos Iniciales'!$A:$A,"112 Florida Ave")+SUMIFS(Movimientos!$K$1:$K$1368,Movimientos!$C$1:$C$1368,"112 Florida Ave",Movimientos!$B$1:$B$1368,"&lt;="&amp;$B145)</f>
        <v>16282.630000000006</v>
      </c>
      <c r="S145" s="24">
        <f>SUMIFS('Saldos Iniciales'!$D:$D,'Saldos Iniciales'!$A:$A,"3628 Thomas Ave")+SUMIFS(Movimientos!$K$1:$K$1368,Movimientos!$C$1:$C$1368,"3628 Thomas Ave",Movimientos!$B$1:$B$1368,"&lt;="&amp;$B145)</f>
        <v>13685.999999999996</v>
      </c>
      <c r="T145" s="24">
        <f>SUMIFS('Saldos Iniciales'!$D:$D,'Saldos Iniciales'!$A:$A,"Green Harbor Trust")+SUMIFS(Movimientos!$K$1:$K$1368,Movimientos!$C$1:$C$1368,"Green Harbor Trust",Movimientos!$B$1:$B$1368,"&lt;="&amp;$B145)</f>
        <v>345</v>
      </c>
      <c r="U145" s="24">
        <f>SUMIFS('Saldos Iniciales'!$D:$D,'Saldos Iniciales'!$A:$A,"Go Blue")+SUMIFS(Movimientos!$K$1:$K$1368,Movimientos!$C$1:$C$1368,"Go Blue",Movimientos!$B$1:$B$1368,"&lt;="&amp;$B145)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Group")+SUMIFS(Movimientos!$K$1:$K$1368,Movimientos!$C$1:$C$1368,"CFT Group",Movimientos!$B$1:$B$1368,"&lt;="&amp;$B146)</f>
        <v>2322320.2500000005</v>
      </c>
      <c r="D146" s="24">
        <f>SUMIFS('Saldos Iniciales'!$D:$D,'Saldos Iniciales'!$A:$A,"M1B")+SUMIFS(Movimientos!$K$1:$K$1368,Movimientos!$C$1:$C$1368,"M1B",Movimientos!$B$1:$B$1368,"&lt;="&amp;$B146)</f>
        <v>100486.46000000017</v>
      </c>
      <c r="E146" s="24">
        <f>SUMIFS('Saldos Iniciales'!$D:$D,'Saldos Iniciales'!$A:$A,"Durand")+SUMIFS(Movimientos!$K$1:$K$1368,Movimientos!$C$1:$C$1368,"Durand",Movimientos!$B$1:$B$1368,"&lt;="&amp;$B146)</f>
        <v>1669.89</v>
      </c>
      <c r="F146" s="24">
        <f>SUMIFS('Saldos Iniciales'!$D:$D,'Saldos Iniciales'!$A:$A,"A&amp;M Imports")+SUMIFS(Movimientos!$K$1:$K$1368,Movimientos!$C$1:$C$1368,"A&amp;M Imports",Movimientos!$B$1:$B$1368,"&lt;="&amp;$B146)</f>
        <v>1453603.3599999999</v>
      </c>
      <c r="G146" s="24">
        <f>SUMIFS('Saldos Iniciales'!$D:$D,'Saldos Iniciales'!$A:$A,"SSP Capital")+SUMIFS(Movimientos!$K$1:$K$1368,Movimientos!$C$1:$C$1368,"SSP Capital",Movimientos!$B$1:$B$1368,"&lt;="&amp;$B146)</f>
        <v>1065733.7999999996</v>
      </c>
      <c r="H146" s="24">
        <f>SUMIFS('Saldos Iniciales'!$D:$D,'Saldos Iniciales'!$A:$A,"Cross Family Trust")+SUMIFS(Movimientos!$K$1:$K$1368,Movimientos!$C$1:$C$1368,"Cross Family Trust",Movimientos!$B$1:$B$1368,"&lt;="&amp;$B146)</f>
        <v>229778.14</v>
      </c>
      <c r="I146" s="24">
        <f>SUMIFS('Saldos Iniciales'!$D:$D,'Saldos Iniciales'!$A:$A,"Cross Security Trust")+SUMIFS(Movimientos!$K$1:$K$1368,Movimientos!$C$1:$C$1368,"Cross Security Trust",Movimientos!$B$1:$B$1368,"&lt;="&amp;$B146)</f>
        <v>217688.58</v>
      </c>
      <c r="J146" s="24">
        <f>SUMIFS('Saldos Iniciales'!$D:$D,'Saldos Iniciales'!$A:$A,"Electrama")+SUMIFS(Movimientos!$K$1:$K$1368,Movimientos!$C$1:$C$1368,"Electrama",Movimientos!$B$1:$B$1368,"&lt;="&amp;$B146)</f>
        <v>11744.75</v>
      </c>
      <c r="K146" s="24">
        <f>SUMIFS('Saldos Iniciales'!$D:$D,'Saldos Iniciales'!$A:$A,"Sacred Valley Capital")+SUMIFS(Movimientos!$K$1:$K$1368,Movimientos!$C$1:$C$1368,"Sacred Valley Capital",Movimientos!$B$1:$B$1368,"&lt;="&amp;$B146)</f>
        <v>94.5</v>
      </c>
      <c r="L146" s="24">
        <f>SUMIFS('Saldos Iniciales'!$D:$D,'Saldos Iniciales'!$A:$A,"YWC Capital")+SUMIFS(Movimientos!$K$1:$K$1368,Movimientos!$C$1:$C$1368,"YWC Capital",Movimientos!$B$1:$B$1368,"&lt;="&amp;$B146)</f>
        <v>2147.92</v>
      </c>
      <c r="M146" s="24">
        <f>SUMIFS('Saldos Iniciales'!$D:$D,'Saldos Iniciales'!$A:$A,"Soweto")+SUMIFS(Movimientos!$K$1:$K$1368,Movimientos!$C$1:$C$1368,"Soweto",Movimientos!$B$1:$B$1368,"&lt;="&amp;$B146)</f>
        <v>17895.290000000015</v>
      </c>
      <c r="N146" s="24">
        <f>SUMIFS('Saldos Iniciales'!$D:$D,'Saldos Iniciales'!$A:$A,"Green Stone Trust")+SUMIFS(Movimientos!$K$1:$K$1368,Movimientos!$C$1:$C$1368,"Green Stone Trust",Movimientos!$B$1:$B$1368,"&lt;="&amp;$B146)</f>
        <v>1968.99</v>
      </c>
      <c r="O146" s="24">
        <f>SUMIFS('Saldos Iniciales'!$D:$D,'Saldos Iniciales'!$A:$A,"EC Auto")+SUMIFS(Movimientos!$K$1:$K$1368,Movimientos!$C$1:$C$1368,"EC Auto",Movimientos!$B$1:$B$1368,"&lt;="&amp;$B146)</f>
        <v>901.34</v>
      </c>
      <c r="P146" s="24">
        <f>SUMIFS('Saldos Iniciales'!$D:$D,'Saldos Iniciales'!$A:$A,"Arbor Capital Properties")+SUMIFS(Movimientos!$K$1:$K$1368,Movimientos!$C$1:$C$1368,"Arbor Capital Properties",Movimientos!$B$1:$B$1368,"&lt;="&amp;$B146)</f>
        <v>1380.08</v>
      </c>
      <c r="Q146" s="24">
        <f>SUMIFS('Saldos Iniciales'!$D:$D,'Saldos Iniciales'!$A:$A,"2515 Overbrook")+SUMIFS(Movimientos!$K$1:$K$1368,Movimientos!$C$1:$C$1368,"2515 Overbrook",Movimientos!$B$1:$B$1368,"&lt;="&amp;$B146)</f>
        <v>28714.879999999961</v>
      </c>
      <c r="R146" s="24">
        <f>SUMIFS('Saldos Iniciales'!$D:$D,'Saldos Iniciales'!$A:$A,"112 Florida Ave")+SUMIFS(Movimientos!$K$1:$K$1368,Movimientos!$C$1:$C$1368,"112 Florida Ave",Movimientos!$B$1:$B$1368,"&lt;="&amp;$B146)</f>
        <v>15162.600000000006</v>
      </c>
      <c r="S146" s="24">
        <f>SUMIFS('Saldos Iniciales'!$D:$D,'Saldos Iniciales'!$A:$A,"3628 Thomas Ave")+SUMIFS(Movimientos!$K$1:$K$1368,Movimientos!$C$1:$C$1368,"3628 Thomas Ave",Movimientos!$B$1:$B$1368,"&lt;="&amp;$B146)</f>
        <v>12937.859999999997</v>
      </c>
      <c r="T146" s="24">
        <f>SUMIFS('Saldos Iniciales'!$D:$D,'Saldos Iniciales'!$A:$A,"Green Harbor Trust")+SUMIFS(Movimientos!$K$1:$K$1368,Movimientos!$C$1:$C$1368,"Green Harbor Trust",Movimientos!$B$1:$B$1368,"&lt;="&amp;$B146)</f>
        <v>345</v>
      </c>
      <c r="U146" s="24">
        <f>SUMIFS('Saldos Iniciales'!$D:$D,'Saldos Iniciales'!$A:$A,"Go Blue")+SUMIFS(Movimientos!$K$1:$K$1368,Movimientos!$C$1:$C$1368,"Go Blue",Movimientos!$B$1:$B$1368,"&lt;="&amp;$B146)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Group")+SUMIFS(Movimientos!$K$1:$K$1368,Movimientos!$C$1:$C$1368,"CFT Group",Movimientos!$B$1:$B$1368,"&lt;="&amp;$B147)</f>
        <v>2322320.2500000005</v>
      </c>
      <c r="D147" s="24">
        <f>SUMIFS('Saldos Iniciales'!$D:$D,'Saldos Iniciales'!$A:$A,"M1B")+SUMIFS(Movimientos!$K$1:$K$1368,Movimientos!$C$1:$C$1368,"M1B",Movimientos!$B$1:$B$1368,"&lt;="&amp;$B147)</f>
        <v>100486.46000000017</v>
      </c>
      <c r="E147" s="24">
        <f>SUMIFS('Saldos Iniciales'!$D:$D,'Saldos Iniciales'!$A:$A,"Durand")+SUMIFS(Movimientos!$K$1:$K$1368,Movimientos!$C$1:$C$1368,"Durand",Movimientos!$B$1:$B$1368,"&lt;="&amp;$B147)</f>
        <v>1669.89</v>
      </c>
      <c r="F147" s="24">
        <f>SUMIFS('Saldos Iniciales'!$D:$D,'Saldos Iniciales'!$A:$A,"A&amp;M Imports")+SUMIFS(Movimientos!$K$1:$K$1368,Movimientos!$C$1:$C$1368,"A&amp;M Imports",Movimientos!$B$1:$B$1368,"&lt;="&amp;$B147)</f>
        <v>1453603.3599999999</v>
      </c>
      <c r="G147" s="24">
        <f>SUMIFS('Saldos Iniciales'!$D:$D,'Saldos Iniciales'!$A:$A,"SSP Capital")+SUMIFS(Movimientos!$K$1:$K$1368,Movimientos!$C$1:$C$1368,"SSP Capital",Movimientos!$B$1:$B$1368,"&lt;="&amp;$B147)</f>
        <v>1065733.7999999996</v>
      </c>
      <c r="H147" s="24">
        <f>SUMIFS('Saldos Iniciales'!$D:$D,'Saldos Iniciales'!$A:$A,"Cross Family Trust")+SUMIFS(Movimientos!$K$1:$K$1368,Movimientos!$C$1:$C$1368,"Cross Family Trust",Movimientos!$B$1:$B$1368,"&lt;="&amp;$B147)</f>
        <v>229778.14</v>
      </c>
      <c r="I147" s="24">
        <f>SUMIFS('Saldos Iniciales'!$D:$D,'Saldos Iniciales'!$A:$A,"Cross Security Trust")+SUMIFS(Movimientos!$K$1:$K$1368,Movimientos!$C$1:$C$1368,"Cross Security Trust",Movimientos!$B$1:$B$1368,"&lt;="&amp;$B147)</f>
        <v>217688.58</v>
      </c>
      <c r="J147" s="24">
        <f>SUMIFS('Saldos Iniciales'!$D:$D,'Saldos Iniciales'!$A:$A,"Electrama")+SUMIFS(Movimientos!$K$1:$K$1368,Movimientos!$C$1:$C$1368,"Electrama",Movimientos!$B$1:$B$1368,"&lt;="&amp;$B147)</f>
        <v>11744.75</v>
      </c>
      <c r="K147" s="24">
        <f>SUMIFS('Saldos Iniciales'!$D:$D,'Saldos Iniciales'!$A:$A,"Sacred Valley Capital")+SUMIFS(Movimientos!$K$1:$K$1368,Movimientos!$C$1:$C$1368,"Sacred Valley Capital",Movimientos!$B$1:$B$1368,"&lt;="&amp;$B147)</f>
        <v>94.5</v>
      </c>
      <c r="L147" s="24">
        <f>SUMIFS('Saldos Iniciales'!$D:$D,'Saldos Iniciales'!$A:$A,"YWC Capital")+SUMIFS(Movimientos!$K$1:$K$1368,Movimientos!$C$1:$C$1368,"YWC Capital",Movimientos!$B$1:$B$1368,"&lt;="&amp;$B147)</f>
        <v>2147.92</v>
      </c>
      <c r="M147" s="24">
        <f>SUMIFS('Saldos Iniciales'!$D:$D,'Saldos Iniciales'!$A:$A,"Soweto")+SUMIFS(Movimientos!$K$1:$K$1368,Movimientos!$C$1:$C$1368,"Soweto",Movimientos!$B$1:$B$1368,"&lt;="&amp;$B147)</f>
        <v>17895.290000000015</v>
      </c>
      <c r="N147" s="24">
        <f>SUMIFS('Saldos Iniciales'!$D:$D,'Saldos Iniciales'!$A:$A,"Green Stone Trust")+SUMIFS(Movimientos!$K$1:$K$1368,Movimientos!$C$1:$C$1368,"Green Stone Trust",Movimientos!$B$1:$B$1368,"&lt;="&amp;$B147)</f>
        <v>1968.99</v>
      </c>
      <c r="O147" s="24">
        <f>SUMIFS('Saldos Iniciales'!$D:$D,'Saldos Iniciales'!$A:$A,"EC Auto")+SUMIFS(Movimientos!$K$1:$K$1368,Movimientos!$C$1:$C$1368,"EC Auto",Movimientos!$B$1:$B$1368,"&lt;="&amp;$B147)</f>
        <v>901.34</v>
      </c>
      <c r="P147" s="24">
        <f>SUMIFS('Saldos Iniciales'!$D:$D,'Saldos Iniciales'!$A:$A,"Arbor Capital Properties")+SUMIFS(Movimientos!$K$1:$K$1368,Movimientos!$C$1:$C$1368,"Arbor Capital Properties",Movimientos!$B$1:$B$1368,"&lt;="&amp;$B147)</f>
        <v>1380.08</v>
      </c>
      <c r="Q147" s="24">
        <f>SUMIFS('Saldos Iniciales'!$D:$D,'Saldos Iniciales'!$A:$A,"2515 Overbrook")+SUMIFS(Movimientos!$K$1:$K$1368,Movimientos!$C$1:$C$1368,"2515 Overbrook",Movimientos!$B$1:$B$1368,"&lt;="&amp;$B147)</f>
        <v>28714.879999999961</v>
      </c>
      <c r="R147" s="24">
        <f>SUMIFS('Saldos Iniciales'!$D:$D,'Saldos Iniciales'!$A:$A,"112 Florida Ave")+SUMIFS(Movimientos!$K$1:$K$1368,Movimientos!$C$1:$C$1368,"112 Florida Ave",Movimientos!$B$1:$B$1368,"&lt;="&amp;$B147)</f>
        <v>15162.600000000006</v>
      </c>
      <c r="S147" s="24">
        <f>SUMIFS('Saldos Iniciales'!$D:$D,'Saldos Iniciales'!$A:$A,"3628 Thomas Ave")+SUMIFS(Movimientos!$K$1:$K$1368,Movimientos!$C$1:$C$1368,"3628 Thomas Ave",Movimientos!$B$1:$B$1368,"&lt;="&amp;$B147)</f>
        <v>12937.859999999997</v>
      </c>
      <c r="T147" s="24">
        <f>SUMIFS('Saldos Iniciales'!$D:$D,'Saldos Iniciales'!$A:$A,"Green Harbor Trust")+SUMIFS(Movimientos!$K$1:$K$1368,Movimientos!$C$1:$C$1368,"Green Harbor Trust",Movimientos!$B$1:$B$1368,"&lt;="&amp;$B147)</f>
        <v>345</v>
      </c>
      <c r="U147" s="24">
        <f>SUMIFS('Saldos Iniciales'!$D:$D,'Saldos Iniciales'!$A:$A,"Go Blue")+SUMIFS(Movimientos!$K$1:$K$1368,Movimientos!$C$1:$C$1368,"Go Blue",Movimientos!$B$1:$B$1368,"&lt;="&amp;$B147)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Group")+SUMIFS(Movimientos!$K$1:$K$1368,Movimientos!$C$1:$C$1368,"CFT Group",Movimientos!$B$1:$B$1368,"&lt;="&amp;$B148)</f>
        <v>2322320.2500000005</v>
      </c>
      <c r="D148" s="24">
        <f>SUMIFS('Saldos Iniciales'!$D:$D,'Saldos Iniciales'!$A:$A,"M1B")+SUMIFS(Movimientos!$K$1:$K$1368,Movimientos!$C$1:$C$1368,"M1B",Movimientos!$B$1:$B$1368,"&lt;="&amp;$B148)</f>
        <v>100486.46000000017</v>
      </c>
      <c r="E148" s="24">
        <f>SUMIFS('Saldos Iniciales'!$D:$D,'Saldos Iniciales'!$A:$A,"Durand")+SUMIFS(Movimientos!$K$1:$K$1368,Movimientos!$C$1:$C$1368,"Durand",Movimientos!$B$1:$B$1368,"&lt;="&amp;$B148)</f>
        <v>1669.89</v>
      </c>
      <c r="F148" s="24">
        <f>SUMIFS('Saldos Iniciales'!$D:$D,'Saldos Iniciales'!$A:$A,"A&amp;M Imports")+SUMIFS(Movimientos!$K$1:$K$1368,Movimientos!$C$1:$C$1368,"A&amp;M Imports",Movimientos!$B$1:$B$1368,"&lt;="&amp;$B148)</f>
        <v>1453603.3599999999</v>
      </c>
      <c r="G148" s="24">
        <f>SUMIFS('Saldos Iniciales'!$D:$D,'Saldos Iniciales'!$A:$A,"SSP Capital")+SUMIFS(Movimientos!$K$1:$K$1368,Movimientos!$C$1:$C$1368,"SSP Capital",Movimientos!$B$1:$B$1368,"&lt;="&amp;$B148)</f>
        <v>1065733.7999999996</v>
      </c>
      <c r="H148" s="24">
        <f>SUMIFS('Saldos Iniciales'!$D:$D,'Saldos Iniciales'!$A:$A,"Cross Family Trust")+SUMIFS(Movimientos!$K$1:$K$1368,Movimientos!$C$1:$C$1368,"Cross Family Trust",Movimientos!$B$1:$B$1368,"&lt;="&amp;$B148)</f>
        <v>229778.14</v>
      </c>
      <c r="I148" s="24">
        <f>SUMIFS('Saldos Iniciales'!$D:$D,'Saldos Iniciales'!$A:$A,"Cross Security Trust")+SUMIFS(Movimientos!$K$1:$K$1368,Movimientos!$C$1:$C$1368,"Cross Security Trust",Movimientos!$B$1:$B$1368,"&lt;="&amp;$B148)</f>
        <v>217688.58</v>
      </c>
      <c r="J148" s="24">
        <f>SUMIFS('Saldos Iniciales'!$D:$D,'Saldos Iniciales'!$A:$A,"Electrama")+SUMIFS(Movimientos!$K$1:$K$1368,Movimientos!$C$1:$C$1368,"Electrama",Movimientos!$B$1:$B$1368,"&lt;="&amp;$B148)</f>
        <v>11744.75</v>
      </c>
      <c r="K148" s="24">
        <f>SUMIFS('Saldos Iniciales'!$D:$D,'Saldos Iniciales'!$A:$A,"Sacred Valley Capital")+SUMIFS(Movimientos!$K$1:$K$1368,Movimientos!$C$1:$C$1368,"Sacred Valley Capital",Movimientos!$B$1:$B$1368,"&lt;="&amp;$B148)</f>
        <v>94.5</v>
      </c>
      <c r="L148" s="24">
        <f>SUMIFS('Saldos Iniciales'!$D:$D,'Saldos Iniciales'!$A:$A,"YWC Capital")+SUMIFS(Movimientos!$K$1:$K$1368,Movimientos!$C$1:$C$1368,"YWC Capital",Movimientos!$B$1:$B$1368,"&lt;="&amp;$B148)</f>
        <v>2147.92</v>
      </c>
      <c r="M148" s="24">
        <f>SUMIFS('Saldos Iniciales'!$D:$D,'Saldos Iniciales'!$A:$A,"Soweto")+SUMIFS(Movimientos!$K$1:$K$1368,Movimientos!$C$1:$C$1368,"Soweto",Movimientos!$B$1:$B$1368,"&lt;="&amp;$B148)</f>
        <v>17895.290000000015</v>
      </c>
      <c r="N148" s="24">
        <f>SUMIFS('Saldos Iniciales'!$D:$D,'Saldos Iniciales'!$A:$A,"Green Stone Trust")+SUMIFS(Movimientos!$K$1:$K$1368,Movimientos!$C$1:$C$1368,"Green Stone Trust",Movimientos!$B$1:$B$1368,"&lt;="&amp;$B148)</f>
        <v>1968.99</v>
      </c>
      <c r="O148" s="24">
        <f>SUMIFS('Saldos Iniciales'!$D:$D,'Saldos Iniciales'!$A:$A,"EC Auto")+SUMIFS(Movimientos!$K$1:$K$1368,Movimientos!$C$1:$C$1368,"EC Auto",Movimientos!$B$1:$B$1368,"&lt;="&amp;$B148)</f>
        <v>901.34</v>
      </c>
      <c r="P148" s="24">
        <f>SUMIFS('Saldos Iniciales'!$D:$D,'Saldos Iniciales'!$A:$A,"Arbor Capital Properties")+SUMIFS(Movimientos!$K$1:$K$1368,Movimientos!$C$1:$C$1368,"Arbor Capital Properties",Movimientos!$B$1:$B$1368,"&lt;="&amp;$B148)</f>
        <v>1380.08</v>
      </c>
      <c r="Q148" s="24">
        <f>SUMIFS('Saldos Iniciales'!$D:$D,'Saldos Iniciales'!$A:$A,"2515 Overbrook")+SUMIFS(Movimientos!$K$1:$K$1368,Movimientos!$C$1:$C$1368,"2515 Overbrook",Movimientos!$B$1:$B$1368,"&lt;="&amp;$B148)</f>
        <v>28714.879999999961</v>
      </c>
      <c r="R148" s="24">
        <f>SUMIFS('Saldos Iniciales'!$D:$D,'Saldos Iniciales'!$A:$A,"112 Florida Ave")+SUMIFS(Movimientos!$K$1:$K$1368,Movimientos!$C$1:$C$1368,"112 Florida Ave",Movimientos!$B$1:$B$1368,"&lt;="&amp;$B148)</f>
        <v>15162.600000000006</v>
      </c>
      <c r="S148" s="24">
        <f>SUMIFS('Saldos Iniciales'!$D:$D,'Saldos Iniciales'!$A:$A,"3628 Thomas Ave")+SUMIFS(Movimientos!$K$1:$K$1368,Movimientos!$C$1:$C$1368,"3628 Thomas Ave",Movimientos!$B$1:$B$1368,"&lt;="&amp;$B148)</f>
        <v>12937.859999999997</v>
      </c>
      <c r="T148" s="24">
        <f>SUMIFS('Saldos Iniciales'!$D:$D,'Saldos Iniciales'!$A:$A,"Green Harbor Trust")+SUMIFS(Movimientos!$K$1:$K$1368,Movimientos!$C$1:$C$1368,"Green Harbor Trust",Movimientos!$B$1:$B$1368,"&lt;="&amp;$B148)</f>
        <v>345</v>
      </c>
      <c r="U148" s="24">
        <f>SUMIFS('Saldos Iniciales'!$D:$D,'Saldos Iniciales'!$A:$A,"Go Blue")+SUMIFS(Movimientos!$K$1:$K$1368,Movimientos!$C$1:$C$1368,"Go Blue",Movimientos!$B$1:$B$1368,"&lt;="&amp;$B148)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Group")+SUMIFS(Movimientos!$K$1:$K$1368,Movimientos!$C$1:$C$1368,"CFT Group",Movimientos!$B$1:$B$1368,"&lt;="&amp;$B149)</f>
        <v>1835826.1700000004</v>
      </c>
      <c r="D149" s="24">
        <f>SUMIFS('Saldos Iniciales'!$D:$D,'Saldos Iniciales'!$A:$A,"M1B")+SUMIFS(Movimientos!$K$1:$K$1368,Movimientos!$C$1:$C$1368,"M1B",Movimientos!$B$1:$B$1368,"&lt;="&amp;$B149)</f>
        <v>100486.46000000017</v>
      </c>
      <c r="E149" s="24">
        <f>SUMIFS('Saldos Iniciales'!$D:$D,'Saldos Iniciales'!$A:$A,"Durand")+SUMIFS(Movimientos!$K$1:$K$1368,Movimientos!$C$1:$C$1368,"Durand",Movimientos!$B$1:$B$1368,"&lt;="&amp;$B149)</f>
        <v>1669.89</v>
      </c>
      <c r="F149" s="24">
        <f>SUMIFS('Saldos Iniciales'!$D:$D,'Saldos Iniciales'!$A:$A,"A&amp;M Imports")+SUMIFS(Movimientos!$K$1:$K$1368,Movimientos!$C$1:$C$1368,"A&amp;M Imports",Movimientos!$B$1:$B$1368,"&lt;="&amp;$B149)</f>
        <v>1313603.3599999999</v>
      </c>
      <c r="G149" s="24">
        <f>SUMIFS('Saldos Iniciales'!$D:$D,'Saldos Iniciales'!$A:$A,"SSP Capital")+SUMIFS(Movimientos!$K$1:$K$1368,Movimientos!$C$1:$C$1368,"SSP Capital",Movimientos!$B$1:$B$1368,"&lt;="&amp;$B149)</f>
        <v>1350091.6599999997</v>
      </c>
      <c r="H149" s="24">
        <f>SUMIFS('Saldos Iniciales'!$D:$D,'Saldos Iniciales'!$A:$A,"Cross Family Trust")+SUMIFS(Movimientos!$K$1:$K$1368,Movimientos!$C$1:$C$1368,"Cross Family Trust",Movimientos!$B$1:$B$1368,"&lt;="&amp;$B149)</f>
        <v>229778.14</v>
      </c>
      <c r="I149" s="24">
        <f>SUMIFS('Saldos Iniciales'!$D:$D,'Saldos Iniciales'!$A:$A,"Cross Security Trust")+SUMIFS(Movimientos!$K$1:$K$1368,Movimientos!$C$1:$C$1368,"Cross Security Trust",Movimientos!$B$1:$B$1368,"&lt;="&amp;$B149)</f>
        <v>217688.58</v>
      </c>
      <c r="J149" s="24">
        <f>SUMIFS('Saldos Iniciales'!$D:$D,'Saldos Iniciales'!$A:$A,"Electrama")+SUMIFS(Movimientos!$K$1:$K$1368,Movimientos!$C$1:$C$1368,"Electrama",Movimientos!$B$1:$B$1368,"&lt;="&amp;$B149)</f>
        <v>11744.75</v>
      </c>
      <c r="K149" s="24">
        <f>SUMIFS('Saldos Iniciales'!$D:$D,'Saldos Iniciales'!$A:$A,"Sacred Valley Capital")+SUMIFS(Movimientos!$K$1:$K$1368,Movimientos!$C$1:$C$1368,"Sacred Valley Capital",Movimientos!$B$1:$B$1368,"&lt;="&amp;$B149)</f>
        <v>94.5</v>
      </c>
      <c r="L149" s="24">
        <f>SUMIFS('Saldos Iniciales'!$D:$D,'Saldos Iniciales'!$A:$A,"YWC Capital")+SUMIFS(Movimientos!$K$1:$K$1368,Movimientos!$C$1:$C$1368,"YWC Capital",Movimientos!$B$1:$B$1368,"&lt;="&amp;$B149)</f>
        <v>2147.92</v>
      </c>
      <c r="M149" s="24">
        <f>SUMIFS('Saldos Iniciales'!$D:$D,'Saldos Iniciales'!$A:$A,"Soweto")+SUMIFS(Movimientos!$K$1:$K$1368,Movimientos!$C$1:$C$1368,"Soweto",Movimientos!$B$1:$B$1368,"&lt;="&amp;$B149)</f>
        <v>17895.290000000015</v>
      </c>
      <c r="N149" s="24">
        <f>SUMIFS('Saldos Iniciales'!$D:$D,'Saldos Iniciales'!$A:$A,"Green Stone Trust")+SUMIFS(Movimientos!$K$1:$K$1368,Movimientos!$C$1:$C$1368,"Green Stone Trust",Movimientos!$B$1:$B$1368,"&lt;="&amp;$B149)</f>
        <v>1968.99</v>
      </c>
      <c r="O149" s="24">
        <f>SUMIFS('Saldos Iniciales'!$D:$D,'Saldos Iniciales'!$A:$A,"EC Auto")+SUMIFS(Movimientos!$K$1:$K$1368,Movimientos!$C$1:$C$1368,"EC Auto",Movimientos!$B$1:$B$1368,"&lt;="&amp;$B149)</f>
        <v>901.34</v>
      </c>
      <c r="P149" s="24">
        <f>SUMIFS('Saldos Iniciales'!$D:$D,'Saldos Iniciales'!$A:$A,"Arbor Capital Properties")+SUMIFS(Movimientos!$K$1:$K$1368,Movimientos!$C$1:$C$1368,"Arbor Capital Properties",Movimientos!$B$1:$B$1368,"&lt;="&amp;$B149)</f>
        <v>1380.08</v>
      </c>
      <c r="Q149" s="24">
        <f>SUMIFS('Saldos Iniciales'!$D:$D,'Saldos Iniciales'!$A:$A,"2515 Overbrook")+SUMIFS(Movimientos!$K$1:$K$1368,Movimientos!$C$1:$C$1368,"2515 Overbrook",Movimientos!$B$1:$B$1368,"&lt;="&amp;$B149)</f>
        <v>28714.879999999961</v>
      </c>
      <c r="R149" s="24">
        <f>SUMIFS('Saldos Iniciales'!$D:$D,'Saldos Iniciales'!$A:$A,"112 Florida Ave")+SUMIFS(Movimientos!$K$1:$K$1368,Movimientos!$C$1:$C$1368,"112 Florida Ave",Movimientos!$B$1:$B$1368,"&lt;="&amp;$B149)</f>
        <v>23389.690000000006</v>
      </c>
      <c r="S149" s="24">
        <f>SUMIFS('Saldos Iniciales'!$D:$D,'Saldos Iniciales'!$A:$A,"3628 Thomas Ave")+SUMIFS(Movimientos!$K$1:$K$1368,Movimientos!$C$1:$C$1368,"3628 Thomas Ave",Movimientos!$B$1:$B$1368,"&lt;="&amp;$B149)</f>
        <v>16896.059999999998</v>
      </c>
      <c r="T149" s="24">
        <f>SUMIFS('Saldos Iniciales'!$D:$D,'Saldos Iniciales'!$A:$A,"Green Harbor Trust")+SUMIFS(Movimientos!$K$1:$K$1368,Movimientos!$C$1:$C$1368,"Green Harbor Trust",Movimientos!$B$1:$B$1368,"&lt;="&amp;$B149)</f>
        <v>345</v>
      </c>
      <c r="U149" s="24">
        <f>SUMIFS('Saldos Iniciales'!$D:$D,'Saldos Iniciales'!$A:$A,"Go Blue")+SUMIFS(Movimientos!$K$1:$K$1368,Movimientos!$C$1:$C$1368,"Go Blue",Movimientos!$B$1:$B$1368,"&lt;="&amp;$B149)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Group")+SUMIFS(Movimientos!$K$1:$K$1368,Movimientos!$C$1:$C$1368,"CFT Group",Movimientos!$B$1:$B$1368,"&lt;="&amp;$B150)</f>
        <v>1835826.1700000004</v>
      </c>
      <c r="D150" s="24">
        <f>SUMIFS('Saldos Iniciales'!$D:$D,'Saldos Iniciales'!$A:$A,"M1B")+SUMIFS(Movimientos!$K$1:$K$1368,Movimientos!$C$1:$C$1368,"M1B",Movimientos!$B$1:$B$1368,"&lt;="&amp;$B150)</f>
        <v>100486.46000000017</v>
      </c>
      <c r="E150" s="24">
        <f>SUMIFS('Saldos Iniciales'!$D:$D,'Saldos Iniciales'!$A:$A,"Durand")+SUMIFS(Movimientos!$K$1:$K$1368,Movimientos!$C$1:$C$1368,"Durand",Movimientos!$B$1:$B$1368,"&lt;="&amp;$B150)</f>
        <v>1669.89</v>
      </c>
      <c r="F150" s="24">
        <f>SUMIFS('Saldos Iniciales'!$D:$D,'Saldos Iniciales'!$A:$A,"A&amp;M Imports")+SUMIFS(Movimientos!$K$1:$K$1368,Movimientos!$C$1:$C$1368,"A&amp;M Imports",Movimientos!$B$1:$B$1368,"&lt;="&amp;$B150)</f>
        <v>1313603.3599999999</v>
      </c>
      <c r="G150" s="24">
        <f>SUMIFS('Saldos Iniciales'!$D:$D,'Saldos Iniciales'!$A:$A,"SSP Capital")+SUMIFS(Movimientos!$K$1:$K$1368,Movimientos!$C$1:$C$1368,"SSP Capital",Movimientos!$B$1:$B$1368,"&lt;="&amp;$B150)</f>
        <v>1350091.6599999997</v>
      </c>
      <c r="H150" s="24">
        <f>SUMIFS('Saldos Iniciales'!$D:$D,'Saldos Iniciales'!$A:$A,"Cross Family Trust")+SUMIFS(Movimientos!$K$1:$K$1368,Movimientos!$C$1:$C$1368,"Cross Family Trust",Movimientos!$B$1:$B$1368,"&lt;="&amp;$B150)</f>
        <v>229778.14</v>
      </c>
      <c r="I150" s="24">
        <f>SUMIFS('Saldos Iniciales'!$D:$D,'Saldos Iniciales'!$A:$A,"Cross Security Trust")+SUMIFS(Movimientos!$K$1:$K$1368,Movimientos!$C$1:$C$1368,"Cross Security Trust",Movimientos!$B$1:$B$1368,"&lt;="&amp;$B150)</f>
        <v>217688.58</v>
      </c>
      <c r="J150" s="24">
        <f>SUMIFS('Saldos Iniciales'!$D:$D,'Saldos Iniciales'!$A:$A,"Electrama")+SUMIFS(Movimientos!$K$1:$K$1368,Movimientos!$C$1:$C$1368,"Electrama",Movimientos!$B$1:$B$1368,"&lt;="&amp;$B150)</f>
        <v>11744.75</v>
      </c>
      <c r="K150" s="24">
        <f>SUMIFS('Saldos Iniciales'!$D:$D,'Saldos Iniciales'!$A:$A,"Sacred Valley Capital")+SUMIFS(Movimientos!$K$1:$K$1368,Movimientos!$C$1:$C$1368,"Sacred Valley Capital",Movimientos!$B$1:$B$1368,"&lt;="&amp;$B150)</f>
        <v>94.5</v>
      </c>
      <c r="L150" s="24">
        <f>SUMIFS('Saldos Iniciales'!$D:$D,'Saldos Iniciales'!$A:$A,"YWC Capital")+SUMIFS(Movimientos!$K$1:$K$1368,Movimientos!$C$1:$C$1368,"YWC Capital",Movimientos!$B$1:$B$1368,"&lt;="&amp;$B150)</f>
        <v>2147.92</v>
      </c>
      <c r="M150" s="24">
        <f>SUMIFS('Saldos Iniciales'!$D:$D,'Saldos Iniciales'!$A:$A,"Soweto")+SUMIFS(Movimientos!$K$1:$K$1368,Movimientos!$C$1:$C$1368,"Soweto",Movimientos!$B$1:$B$1368,"&lt;="&amp;$B150)</f>
        <v>17895.290000000015</v>
      </c>
      <c r="N150" s="24">
        <f>SUMIFS('Saldos Iniciales'!$D:$D,'Saldos Iniciales'!$A:$A,"Green Stone Trust")+SUMIFS(Movimientos!$K$1:$K$1368,Movimientos!$C$1:$C$1368,"Green Stone Trust",Movimientos!$B$1:$B$1368,"&lt;="&amp;$B150)</f>
        <v>1968.99</v>
      </c>
      <c r="O150" s="24">
        <f>SUMIFS('Saldos Iniciales'!$D:$D,'Saldos Iniciales'!$A:$A,"EC Auto")+SUMIFS(Movimientos!$K$1:$K$1368,Movimientos!$C$1:$C$1368,"EC Auto",Movimientos!$B$1:$B$1368,"&lt;="&amp;$B150)</f>
        <v>901.34</v>
      </c>
      <c r="P150" s="24">
        <f>SUMIFS('Saldos Iniciales'!$D:$D,'Saldos Iniciales'!$A:$A,"Arbor Capital Properties")+SUMIFS(Movimientos!$K$1:$K$1368,Movimientos!$C$1:$C$1368,"Arbor Capital Properties",Movimientos!$B$1:$B$1368,"&lt;="&amp;$B150)</f>
        <v>1380.08</v>
      </c>
      <c r="Q150" s="24">
        <f>SUMIFS('Saldos Iniciales'!$D:$D,'Saldos Iniciales'!$A:$A,"2515 Overbrook")+SUMIFS(Movimientos!$K$1:$K$1368,Movimientos!$C$1:$C$1368,"2515 Overbrook",Movimientos!$B$1:$B$1368,"&lt;="&amp;$B150)</f>
        <v>28714.879999999961</v>
      </c>
      <c r="R150" s="24">
        <f>SUMIFS('Saldos Iniciales'!$D:$D,'Saldos Iniciales'!$A:$A,"112 Florida Ave")+SUMIFS(Movimientos!$K$1:$K$1368,Movimientos!$C$1:$C$1368,"112 Florida Ave",Movimientos!$B$1:$B$1368,"&lt;="&amp;$B150)</f>
        <v>23389.690000000006</v>
      </c>
      <c r="S150" s="24">
        <f>SUMIFS('Saldos Iniciales'!$D:$D,'Saldos Iniciales'!$A:$A,"3628 Thomas Ave")+SUMIFS(Movimientos!$K$1:$K$1368,Movimientos!$C$1:$C$1368,"3628 Thomas Ave",Movimientos!$B$1:$B$1368,"&lt;="&amp;$B150)</f>
        <v>16896.059999999998</v>
      </c>
      <c r="T150" s="24">
        <f>SUMIFS('Saldos Iniciales'!$D:$D,'Saldos Iniciales'!$A:$A,"Green Harbor Trust")+SUMIFS(Movimientos!$K$1:$K$1368,Movimientos!$C$1:$C$1368,"Green Harbor Trust",Movimientos!$B$1:$B$1368,"&lt;="&amp;$B150)</f>
        <v>345</v>
      </c>
      <c r="U150" s="24">
        <f>SUMIFS('Saldos Iniciales'!$D:$D,'Saldos Iniciales'!$A:$A,"Go Blue")+SUMIFS(Movimientos!$K$1:$K$1368,Movimientos!$C$1:$C$1368,"Go Blue",Movimientos!$B$1:$B$1368,"&lt;="&amp;$B150)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Group")+SUMIFS(Movimientos!$K$1:$K$1368,Movimientos!$C$1:$C$1368,"CFT Group",Movimientos!$B$1:$B$1368,"&lt;="&amp;$B151)</f>
        <v>1835826.1700000004</v>
      </c>
      <c r="D151" s="24">
        <f>SUMIFS('Saldos Iniciales'!$D:$D,'Saldos Iniciales'!$A:$A,"M1B")+SUMIFS(Movimientos!$K$1:$K$1368,Movimientos!$C$1:$C$1368,"M1B",Movimientos!$B$1:$B$1368,"&lt;="&amp;$B151)</f>
        <v>100486.46000000017</v>
      </c>
      <c r="E151" s="24">
        <f>SUMIFS('Saldos Iniciales'!$D:$D,'Saldos Iniciales'!$A:$A,"Durand")+SUMIFS(Movimientos!$K$1:$K$1368,Movimientos!$C$1:$C$1368,"Durand",Movimientos!$B$1:$B$1368,"&lt;="&amp;$B151)</f>
        <v>1669.89</v>
      </c>
      <c r="F151" s="24">
        <f>SUMIFS('Saldos Iniciales'!$D:$D,'Saldos Iniciales'!$A:$A,"A&amp;M Imports")+SUMIFS(Movimientos!$K$1:$K$1368,Movimientos!$C$1:$C$1368,"A&amp;M Imports",Movimientos!$B$1:$B$1368,"&lt;="&amp;$B151)</f>
        <v>1313603.3599999999</v>
      </c>
      <c r="G151" s="24">
        <f>SUMIFS('Saldos Iniciales'!$D:$D,'Saldos Iniciales'!$A:$A,"SSP Capital")+SUMIFS(Movimientos!$K$1:$K$1368,Movimientos!$C$1:$C$1368,"SSP Capital",Movimientos!$B$1:$B$1368,"&lt;="&amp;$B151)</f>
        <v>1350091.6599999997</v>
      </c>
      <c r="H151" s="24">
        <f>SUMIFS('Saldos Iniciales'!$D:$D,'Saldos Iniciales'!$A:$A,"Cross Family Trust")+SUMIFS(Movimientos!$K$1:$K$1368,Movimientos!$C$1:$C$1368,"Cross Family Trust",Movimientos!$B$1:$B$1368,"&lt;="&amp;$B151)</f>
        <v>229778.14</v>
      </c>
      <c r="I151" s="24">
        <f>SUMIFS('Saldos Iniciales'!$D:$D,'Saldos Iniciales'!$A:$A,"Cross Security Trust")+SUMIFS(Movimientos!$K$1:$K$1368,Movimientos!$C$1:$C$1368,"Cross Security Trust",Movimientos!$B$1:$B$1368,"&lt;="&amp;$B151)</f>
        <v>217688.58</v>
      </c>
      <c r="J151" s="24">
        <f>SUMIFS('Saldos Iniciales'!$D:$D,'Saldos Iniciales'!$A:$A,"Electrama")+SUMIFS(Movimientos!$K$1:$K$1368,Movimientos!$C$1:$C$1368,"Electrama",Movimientos!$B$1:$B$1368,"&lt;="&amp;$B151)</f>
        <v>11744.75</v>
      </c>
      <c r="K151" s="24">
        <f>SUMIFS('Saldos Iniciales'!$D:$D,'Saldos Iniciales'!$A:$A,"Sacred Valley Capital")+SUMIFS(Movimientos!$K$1:$K$1368,Movimientos!$C$1:$C$1368,"Sacred Valley Capital",Movimientos!$B$1:$B$1368,"&lt;="&amp;$B151)</f>
        <v>94.5</v>
      </c>
      <c r="L151" s="24">
        <f>SUMIFS('Saldos Iniciales'!$D:$D,'Saldos Iniciales'!$A:$A,"YWC Capital")+SUMIFS(Movimientos!$K$1:$K$1368,Movimientos!$C$1:$C$1368,"YWC Capital",Movimientos!$B$1:$B$1368,"&lt;="&amp;$B151)</f>
        <v>2147.92</v>
      </c>
      <c r="M151" s="24">
        <f>SUMIFS('Saldos Iniciales'!$D:$D,'Saldos Iniciales'!$A:$A,"Soweto")+SUMIFS(Movimientos!$K$1:$K$1368,Movimientos!$C$1:$C$1368,"Soweto",Movimientos!$B$1:$B$1368,"&lt;="&amp;$B151)</f>
        <v>17895.290000000015</v>
      </c>
      <c r="N151" s="24">
        <f>SUMIFS('Saldos Iniciales'!$D:$D,'Saldos Iniciales'!$A:$A,"Green Stone Trust")+SUMIFS(Movimientos!$K$1:$K$1368,Movimientos!$C$1:$C$1368,"Green Stone Trust",Movimientos!$B$1:$B$1368,"&lt;="&amp;$B151)</f>
        <v>1968.99</v>
      </c>
      <c r="O151" s="24">
        <f>SUMIFS('Saldos Iniciales'!$D:$D,'Saldos Iniciales'!$A:$A,"EC Auto")+SUMIFS(Movimientos!$K$1:$K$1368,Movimientos!$C$1:$C$1368,"EC Auto",Movimientos!$B$1:$B$1368,"&lt;="&amp;$B151)</f>
        <v>901.34</v>
      </c>
      <c r="P151" s="24">
        <f>SUMIFS('Saldos Iniciales'!$D:$D,'Saldos Iniciales'!$A:$A,"Arbor Capital Properties")+SUMIFS(Movimientos!$K$1:$K$1368,Movimientos!$C$1:$C$1368,"Arbor Capital Properties",Movimientos!$B$1:$B$1368,"&lt;="&amp;$B151)</f>
        <v>1380.08</v>
      </c>
      <c r="Q151" s="24">
        <f>SUMIFS('Saldos Iniciales'!$D:$D,'Saldos Iniciales'!$A:$A,"2515 Overbrook")+SUMIFS(Movimientos!$K$1:$K$1368,Movimientos!$C$1:$C$1368,"2515 Overbrook",Movimientos!$B$1:$B$1368,"&lt;="&amp;$B151)</f>
        <v>28714.879999999961</v>
      </c>
      <c r="R151" s="24">
        <f>SUMIFS('Saldos Iniciales'!$D:$D,'Saldos Iniciales'!$A:$A,"112 Florida Ave")+SUMIFS(Movimientos!$K$1:$K$1368,Movimientos!$C$1:$C$1368,"112 Florida Ave",Movimientos!$B$1:$B$1368,"&lt;="&amp;$B151)</f>
        <v>23389.690000000006</v>
      </c>
      <c r="S151" s="24">
        <f>SUMIFS('Saldos Iniciales'!$D:$D,'Saldos Iniciales'!$A:$A,"3628 Thomas Ave")+SUMIFS(Movimientos!$K$1:$K$1368,Movimientos!$C$1:$C$1368,"3628 Thomas Ave",Movimientos!$B$1:$B$1368,"&lt;="&amp;$B151)</f>
        <v>16896.059999999998</v>
      </c>
      <c r="T151" s="24">
        <f>SUMIFS('Saldos Iniciales'!$D:$D,'Saldos Iniciales'!$A:$A,"Green Harbor Trust")+SUMIFS(Movimientos!$K$1:$K$1368,Movimientos!$C$1:$C$1368,"Green Harbor Trust",Movimientos!$B$1:$B$1368,"&lt;="&amp;$B151)</f>
        <v>345</v>
      </c>
      <c r="U151" s="24">
        <f>SUMIFS('Saldos Iniciales'!$D:$D,'Saldos Iniciales'!$A:$A,"Go Blue")+SUMIFS(Movimientos!$K$1:$K$1368,Movimientos!$C$1:$C$1368,"Go Blue",Movimientos!$B$1:$B$1368,"&lt;="&amp;$B151)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Group")+SUMIFS(Movimientos!$K$1:$K$1368,Movimientos!$C$1:$C$1368,"CFT Group",Movimientos!$B$1:$B$1368,"&lt;="&amp;$B152)</f>
        <v>1843622.6700000004</v>
      </c>
      <c r="D152" s="24">
        <f>SUMIFS('Saldos Iniciales'!$D:$D,'Saldos Iniciales'!$A:$A,"M1B")+SUMIFS(Movimientos!$K$1:$K$1368,Movimientos!$C$1:$C$1368,"M1B",Movimientos!$B$1:$B$1368,"&lt;="&amp;$B152)</f>
        <v>100486.46000000017</v>
      </c>
      <c r="E152" s="24">
        <f>SUMIFS('Saldos Iniciales'!$D:$D,'Saldos Iniciales'!$A:$A,"Durand")+SUMIFS(Movimientos!$K$1:$K$1368,Movimientos!$C$1:$C$1368,"Durand",Movimientos!$B$1:$B$1368,"&lt;="&amp;$B152)</f>
        <v>1669.89</v>
      </c>
      <c r="F152" s="24">
        <f>SUMIFS('Saldos Iniciales'!$D:$D,'Saldos Iniciales'!$A:$A,"A&amp;M Imports")+SUMIFS(Movimientos!$K$1:$K$1368,Movimientos!$C$1:$C$1368,"A&amp;M Imports",Movimientos!$B$1:$B$1368,"&lt;="&amp;$B152)</f>
        <v>1330582.2599999998</v>
      </c>
      <c r="G152" s="24">
        <f>SUMIFS('Saldos Iniciales'!$D:$D,'Saldos Iniciales'!$A:$A,"SSP Capital")+SUMIFS(Movimientos!$K$1:$K$1368,Movimientos!$C$1:$C$1368,"SSP Capital",Movimientos!$B$1:$B$1368,"&lt;="&amp;$B152)</f>
        <v>1350091.6599999997</v>
      </c>
      <c r="H152" s="24">
        <f>SUMIFS('Saldos Iniciales'!$D:$D,'Saldos Iniciales'!$A:$A,"Cross Family Trust")+SUMIFS(Movimientos!$K$1:$K$1368,Movimientos!$C$1:$C$1368,"Cross Family Trust",Movimientos!$B$1:$B$1368,"&lt;="&amp;$B152)</f>
        <v>229778.14</v>
      </c>
      <c r="I152" s="24">
        <f>SUMIFS('Saldos Iniciales'!$D:$D,'Saldos Iniciales'!$A:$A,"Cross Security Trust")+SUMIFS(Movimientos!$K$1:$K$1368,Movimientos!$C$1:$C$1368,"Cross Security Trust",Movimientos!$B$1:$B$1368,"&lt;="&amp;$B152)</f>
        <v>217688.58</v>
      </c>
      <c r="J152" s="24">
        <f>SUMIFS('Saldos Iniciales'!$D:$D,'Saldos Iniciales'!$A:$A,"Electrama")+SUMIFS(Movimientos!$K$1:$K$1368,Movimientos!$C$1:$C$1368,"Electrama",Movimientos!$B$1:$B$1368,"&lt;="&amp;$B152)</f>
        <v>11744.75</v>
      </c>
      <c r="K152" s="24">
        <f>SUMIFS('Saldos Iniciales'!$D:$D,'Saldos Iniciales'!$A:$A,"Sacred Valley Capital")+SUMIFS(Movimientos!$K$1:$K$1368,Movimientos!$C$1:$C$1368,"Sacred Valley Capital",Movimientos!$B$1:$B$1368,"&lt;="&amp;$B152)</f>
        <v>94.5</v>
      </c>
      <c r="L152" s="24">
        <f>SUMIFS('Saldos Iniciales'!$D:$D,'Saldos Iniciales'!$A:$A,"YWC Capital")+SUMIFS(Movimientos!$K$1:$K$1368,Movimientos!$C$1:$C$1368,"YWC Capital",Movimientos!$B$1:$B$1368,"&lt;="&amp;$B152)</f>
        <v>2147.92</v>
      </c>
      <c r="M152" s="24">
        <f>SUMIFS('Saldos Iniciales'!$D:$D,'Saldos Iniciales'!$A:$A,"Soweto")+SUMIFS(Movimientos!$K$1:$K$1368,Movimientos!$C$1:$C$1368,"Soweto",Movimientos!$B$1:$B$1368,"&lt;="&amp;$B152)</f>
        <v>17895.290000000015</v>
      </c>
      <c r="N152" s="24">
        <f>SUMIFS('Saldos Iniciales'!$D:$D,'Saldos Iniciales'!$A:$A,"Green Stone Trust")+SUMIFS(Movimientos!$K$1:$K$1368,Movimientos!$C$1:$C$1368,"Green Stone Trust",Movimientos!$B$1:$B$1368,"&lt;="&amp;$B152)</f>
        <v>1968.99</v>
      </c>
      <c r="O152" s="24">
        <f>SUMIFS('Saldos Iniciales'!$D:$D,'Saldos Iniciales'!$A:$A,"EC Auto")+SUMIFS(Movimientos!$K$1:$K$1368,Movimientos!$C$1:$C$1368,"EC Auto",Movimientos!$B$1:$B$1368,"&lt;="&amp;$B152)</f>
        <v>901.34</v>
      </c>
      <c r="P152" s="24">
        <f>SUMIFS('Saldos Iniciales'!$D:$D,'Saldos Iniciales'!$A:$A,"Arbor Capital Properties")+SUMIFS(Movimientos!$K$1:$K$1368,Movimientos!$C$1:$C$1368,"Arbor Capital Properties",Movimientos!$B$1:$B$1368,"&lt;="&amp;$B152)</f>
        <v>1380.08</v>
      </c>
      <c r="Q152" s="24">
        <f>SUMIFS('Saldos Iniciales'!$D:$D,'Saldos Iniciales'!$A:$A,"2515 Overbrook")+SUMIFS(Movimientos!$K$1:$K$1368,Movimientos!$C$1:$C$1368,"2515 Overbrook",Movimientos!$B$1:$B$1368,"&lt;="&amp;$B152)</f>
        <v>28714.879999999961</v>
      </c>
      <c r="R152" s="24">
        <f>SUMIFS('Saldos Iniciales'!$D:$D,'Saldos Iniciales'!$A:$A,"112 Florida Ave")+SUMIFS(Movimientos!$K$1:$K$1368,Movimientos!$C$1:$C$1368,"112 Florida Ave",Movimientos!$B$1:$B$1368,"&lt;="&amp;$B152)</f>
        <v>23374.690000000006</v>
      </c>
      <c r="S152" s="24">
        <f>SUMIFS('Saldos Iniciales'!$D:$D,'Saldos Iniciales'!$A:$A,"3628 Thomas Ave")+SUMIFS(Movimientos!$K$1:$K$1368,Movimientos!$C$1:$C$1368,"3628 Thomas Ave",Movimientos!$B$1:$B$1368,"&lt;="&amp;$B152)</f>
        <v>16266.809999999998</v>
      </c>
      <c r="T152" s="24">
        <f>SUMIFS('Saldos Iniciales'!$D:$D,'Saldos Iniciales'!$A:$A,"Green Harbor Trust")+SUMIFS(Movimientos!$K$1:$K$1368,Movimientos!$C$1:$C$1368,"Green Harbor Trust",Movimientos!$B$1:$B$1368,"&lt;="&amp;$B152)</f>
        <v>345</v>
      </c>
      <c r="U152" s="24">
        <f>SUMIFS('Saldos Iniciales'!$D:$D,'Saldos Iniciales'!$A:$A,"Go Blue")+SUMIFS(Movimientos!$K$1:$K$1368,Movimientos!$C$1:$C$1368,"Go Blue",Movimientos!$B$1:$B$1368,"&lt;="&amp;$B152)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Group")+SUMIFS(Movimientos!$K$1:$K$1368,Movimientos!$C$1:$C$1368,"CFT Group",Movimientos!$B$1:$B$1368,"&lt;="&amp;$B153)</f>
        <v>1840829.6400000004</v>
      </c>
      <c r="D153" s="24">
        <f>SUMIFS('Saldos Iniciales'!$D:$D,'Saldos Iniciales'!$A:$A,"M1B")+SUMIFS(Movimientos!$K$1:$K$1368,Movimientos!$C$1:$C$1368,"M1B",Movimientos!$B$1:$B$1368,"&lt;="&amp;$B153)</f>
        <v>100486.46000000017</v>
      </c>
      <c r="E153" s="24">
        <f>SUMIFS('Saldos Iniciales'!$D:$D,'Saldos Iniciales'!$A:$A,"Durand")+SUMIFS(Movimientos!$K$1:$K$1368,Movimientos!$C$1:$C$1368,"Durand",Movimientos!$B$1:$B$1368,"&lt;="&amp;$B153)</f>
        <v>1669.89</v>
      </c>
      <c r="F153" s="24">
        <f>SUMIFS('Saldos Iniciales'!$D:$D,'Saldos Iniciales'!$A:$A,"A&amp;M Imports")+SUMIFS(Movimientos!$K$1:$K$1368,Movimientos!$C$1:$C$1368,"A&amp;M Imports",Movimientos!$B$1:$B$1368,"&lt;="&amp;$B153)</f>
        <v>1330582.2599999998</v>
      </c>
      <c r="G153" s="24">
        <f>SUMIFS('Saldos Iniciales'!$D:$D,'Saldos Iniciales'!$A:$A,"SSP Capital")+SUMIFS(Movimientos!$K$1:$K$1368,Movimientos!$C$1:$C$1368,"SSP Capital",Movimientos!$B$1:$B$1368,"&lt;="&amp;$B153)</f>
        <v>1180932.1499999997</v>
      </c>
      <c r="H153" s="24">
        <f>SUMIFS('Saldos Iniciales'!$D:$D,'Saldos Iniciales'!$A:$A,"Cross Family Trust")+SUMIFS(Movimientos!$K$1:$K$1368,Movimientos!$C$1:$C$1368,"Cross Family Trust",Movimientos!$B$1:$B$1368,"&lt;="&amp;$B153)</f>
        <v>229778.14</v>
      </c>
      <c r="I153" s="24">
        <f>SUMIFS('Saldos Iniciales'!$D:$D,'Saldos Iniciales'!$A:$A,"Cross Security Trust")+SUMIFS(Movimientos!$K$1:$K$1368,Movimientos!$C$1:$C$1368,"Cross Security Trust",Movimientos!$B$1:$B$1368,"&lt;="&amp;$B153)</f>
        <v>217688.58</v>
      </c>
      <c r="J153" s="24">
        <f>SUMIFS('Saldos Iniciales'!$D:$D,'Saldos Iniciales'!$A:$A,"Electrama")+SUMIFS(Movimientos!$K$1:$K$1368,Movimientos!$C$1:$C$1368,"Electrama",Movimientos!$B$1:$B$1368,"&lt;="&amp;$B153)</f>
        <v>10474.32</v>
      </c>
      <c r="K153" s="24">
        <f>SUMIFS('Saldos Iniciales'!$D:$D,'Saldos Iniciales'!$A:$A,"Sacred Valley Capital")+SUMIFS(Movimientos!$K$1:$K$1368,Movimientos!$C$1:$C$1368,"Sacred Valley Capital",Movimientos!$B$1:$B$1368,"&lt;="&amp;$B153)</f>
        <v>94.5</v>
      </c>
      <c r="L153" s="24">
        <f>SUMIFS('Saldos Iniciales'!$D:$D,'Saldos Iniciales'!$A:$A,"YWC Capital")+SUMIFS(Movimientos!$K$1:$K$1368,Movimientos!$C$1:$C$1368,"YWC Capital",Movimientos!$B$1:$B$1368,"&lt;="&amp;$B153)</f>
        <v>2147.92</v>
      </c>
      <c r="M153" s="24">
        <f>SUMIFS('Saldos Iniciales'!$D:$D,'Saldos Iniciales'!$A:$A,"Soweto")+SUMIFS(Movimientos!$K$1:$K$1368,Movimientos!$C$1:$C$1368,"Soweto",Movimientos!$B$1:$B$1368,"&lt;="&amp;$B153)</f>
        <v>17895.290000000015</v>
      </c>
      <c r="N153" s="24">
        <f>SUMIFS('Saldos Iniciales'!$D:$D,'Saldos Iniciales'!$A:$A,"Green Stone Trust")+SUMIFS(Movimientos!$K$1:$K$1368,Movimientos!$C$1:$C$1368,"Green Stone Trust",Movimientos!$B$1:$B$1368,"&lt;="&amp;$B153)</f>
        <v>1968.99</v>
      </c>
      <c r="O153" s="24">
        <f>SUMIFS('Saldos Iniciales'!$D:$D,'Saldos Iniciales'!$A:$A,"EC Auto")+SUMIFS(Movimientos!$K$1:$K$1368,Movimientos!$C$1:$C$1368,"EC Auto",Movimientos!$B$1:$B$1368,"&lt;="&amp;$B153)</f>
        <v>901.34</v>
      </c>
      <c r="P153" s="24">
        <f>SUMIFS('Saldos Iniciales'!$D:$D,'Saldos Iniciales'!$A:$A,"Arbor Capital Properties")+SUMIFS(Movimientos!$K$1:$K$1368,Movimientos!$C$1:$C$1368,"Arbor Capital Properties",Movimientos!$B$1:$B$1368,"&lt;="&amp;$B153)</f>
        <v>1380.08</v>
      </c>
      <c r="Q153" s="24">
        <f>SUMIFS('Saldos Iniciales'!$D:$D,'Saldos Iniciales'!$A:$A,"2515 Overbrook")+SUMIFS(Movimientos!$K$1:$K$1368,Movimientos!$C$1:$C$1368,"2515 Overbrook",Movimientos!$B$1:$B$1368,"&lt;="&amp;$B153)</f>
        <v>28714.879999999961</v>
      </c>
      <c r="R153" s="24">
        <f>SUMIFS('Saldos Iniciales'!$D:$D,'Saldos Iniciales'!$A:$A,"112 Florida Ave")+SUMIFS(Movimientos!$K$1:$K$1368,Movimientos!$C$1:$C$1368,"112 Florida Ave",Movimientos!$B$1:$B$1368,"&lt;="&amp;$B153)</f>
        <v>23374.690000000006</v>
      </c>
      <c r="S153" s="24">
        <f>SUMIFS('Saldos Iniciales'!$D:$D,'Saldos Iniciales'!$A:$A,"3628 Thomas Ave")+SUMIFS(Movimientos!$K$1:$K$1368,Movimientos!$C$1:$C$1368,"3628 Thomas Ave",Movimientos!$B$1:$B$1368,"&lt;="&amp;$B153)</f>
        <v>19266.809999999998</v>
      </c>
      <c r="T153" s="24">
        <f>SUMIFS('Saldos Iniciales'!$D:$D,'Saldos Iniciales'!$A:$A,"Green Harbor Trust")+SUMIFS(Movimientos!$K$1:$K$1368,Movimientos!$C$1:$C$1368,"Green Harbor Trust",Movimientos!$B$1:$B$1368,"&lt;="&amp;$B153)</f>
        <v>345</v>
      </c>
      <c r="U153" s="24">
        <f>SUMIFS('Saldos Iniciales'!$D:$D,'Saldos Iniciales'!$A:$A,"Go Blue")+SUMIFS(Movimientos!$K$1:$K$1368,Movimientos!$C$1:$C$1368,"Go Blue",Movimientos!$B$1:$B$1368,"&lt;="&amp;$B153)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Group")+SUMIFS(Movimientos!$K$1:$K$1368,Movimientos!$C$1:$C$1368,"CFT Group",Movimientos!$B$1:$B$1368,"&lt;="&amp;$B154)</f>
        <v>1926823.6500000004</v>
      </c>
      <c r="D154" s="24">
        <f>SUMIFS('Saldos Iniciales'!$D:$D,'Saldos Iniciales'!$A:$A,"M1B")+SUMIFS(Movimientos!$K$1:$K$1368,Movimientos!$C$1:$C$1368,"M1B",Movimientos!$B$1:$B$1368,"&lt;="&amp;$B154)</f>
        <v>103123.59000000017</v>
      </c>
      <c r="E154" s="24">
        <f>SUMIFS('Saldos Iniciales'!$D:$D,'Saldos Iniciales'!$A:$A,"Durand")+SUMIFS(Movimientos!$K$1:$K$1368,Movimientos!$C$1:$C$1368,"Durand",Movimientos!$B$1:$B$1368,"&lt;="&amp;$B154)</f>
        <v>1669.89</v>
      </c>
      <c r="F154" s="24">
        <f>SUMIFS('Saldos Iniciales'!$D:$D,'Saldos Iniciales'!$A:$A,"A&amp;M Imports")+SUMIFS(Movimientos!$K$1:$K$1368,Movimientos!$C$1:$C$1368,"A&amp;M Imports",Movimientos!$B$1:$B$1368,"&lt;="&amp;$B154)</f>
        <v>1355779.1799999997</v>
      </c>
      <c r="G154" s="24">
        <f>SUMIFS('Saldos Iniciales'!$D:$D,'Saldos Iniciales'!$A:$A,"SSP Capital")+SUMIFS(Movimientos!$K$1:$K$1368,Movimientos!$C$1:$C$1368,"SSP Capital",Movimientos!$B$1:$B$1368,"&lt;="&amp;$B154)</f>
        <v>1111163.6899999995</v>
      </c>
      <c r="H154" s="24">
        <f>SUMIFS('Saldos Iniciales'!$D:$D,'Saldos Iniciales'!$A:$A,"Cross Family Trust")+SUMIFS(Movimientos!$K$1:$K$1368,Movimientos!$C$1:$C$1368,"Cross Family Trust",Movimientos!$B$1:$B$1368,"&lt;="&amp;$B154)</f>
        <v>229778.14</v>
      </c>
      <c r="I154" s="24">
        <f>SUMIFS('Saldos Iniciales'!$D:$D,'Saldos Iniciales'!$A:$A,"Cross Security Trust")+SUMIFS(Movimientos!$K$1:$K$1368,Movimientos!$C$1:$C$1368,"Cross Security Trust",Movimientos!$B$1:$B$1368,"&lt;="&amp;$B154)</f>
        <v>80533.579999999987</v>
      </c>
      <c r="J154" s="24">
        <f>SUMIFS('Saldos Iniciales'!$D:$D,'Saldos Iniciales'!$A:$A,"Electrama")+SUMIFS(Movimientos!$K$1:$K$1368,Movimientos!$C$1:$C$1368,"Electrama",Movimientos!$B$1:$B$1368,"&lt;="&amp;$B154)</f>
        <v>10259.18</v>
      </c>
      <c r="K154" s="24">
        <f>SUMIFS('Saldos Iniciales'!$D:$D,'Saldos Iniciales'!$A:$A,"Sacred Valley Capital")+SUMIFS(Movimientos!$K$1:$K$1368,Movimientos!$C$1:$C$1368,"Sacred Valley Capital",Movimientos!$B$1:$B$1368,"&lt;="&amp;$B154)</f>
        <v>94.5</v>
      </c>
      <c r="L154" s="24">
        <f>SUMIFS('Saldos Iniciales'!$D:$D,'Saldos Iniciales'!$A:$A,"YWC Capital")+SUMIFS(Movimientos!$K$1:$K$1368,Movimientos!$C$1:$C$1368,"YWC Capital",Movimientos!$B$1:$B$1368,"&lt;="&amp;$B154)</f>
        <v>2147.92</v>
      </c>
      <c r="M154" s="24">
        <f>SUMIFS('Saldos Iniciales'!$D:$D,'Saldos Iniciales'!$A:$A,"Soweto")+SUMIFS(Movimientos!$K$1:$K$1368,Movimientos!$C$1:$C$1368,"Soweto",Movimientos!$B$1:$B$1368,"&lt;="&amp;$B154)</f>
        <v>17895.290000000015</v>
      </c>
      <c r="N154" s="24">
        <f>SUMIFS('Saldos Iniciales'!$D:$D,'Saldos Iniciales'!$A:$A,"Green Stone Trust")+SUMIFS(Movimientos!$K$1:$K$1368,Movimientos!$C$1:$C$1368,"Green Stone Trust",Movimientos!$B$1:$B$1368,"&lt;="&amp;$B154)</f>
        <v>1968.99</v>
      </c>
      <c r="O154" s="24">
        <f>SUMIFS('Saldos Iniciales'!$D:$D,'Saldos Iniciales'!$A:$A,"EC Auto")+SUMIFS(Movimientos!$K$1:$K$1368,Movimientos!$C$1:$C$1368,"EC Auto",Movimientos!$B$1:$B$1368,"&lt;="&amp;$B154)</f>
        <v>901.34</v>
      </c>
      <c r="P154" s="24">
        <f>SUMIFS('Saldos Iniciales'!$D:$D,'Saldos Iniciales'!$A:$A,"Arbor Capital Properties")+SUMIFS(Movimientos!$K$1:$K$1368,Movimientos!$C$1:$C$1368,"Arbor Capital Properties",Movimientos!$B$1:$B$1368,"&lt;="&amp;$B154)</f>
        <v>1380.08</v>
      </c>
      <c r="Q154" s="24">
        <f>SUMIFS('Saldos Iniciales'!$D:$D,'Saldos Iniciales'!$A:$A,"2515 Overbrook")+SUMIFS(Movimientos!$K$1:$K$1368,Movimientos!$C$1:$C$1368,"2515 Overbrook",Movimientos!$B$1:$B$1368,"&lt;="&amp;$B154)</f>
        <v>28714.879999999961</v>
      </c>
      <c r="R154" s="24">
        <f>SUMIFS('Saldos Iniciales'!$D:$D,'Saldos Iniciales'!$A:$A,"112 Florida Ave")+SUMIFS(Movimientos!$K$1:$K$1368,Movimientos!$C$1:$C$1368,"112 Florida Ave",Movimientos!$B$1:$B$1368,"&lt;="&amp;$B154)</f>
        <v>23374.690000000006</v>
      </c>
      <c r="S154" s="24">
        <f>SUMIFS('Saldos Iniciales'!$D:$D,'Saldos Iniciales'!$A:$A,"3628 Thomas Ave")+SUMIFS(Movimientos!$K$1:$K$1368,Movimientos!$C$1:$C$1368,"3628 Thomas Ave",Movimientos!$B$1:$B$1368,"&lt;="&amp;$B154)</f>
        <v>19266.809999999998</v>
      </c>
      <c r="T154" s="24">
        <f>SUMIFS('Saldos Iniciales'!$D:$D,'Saldos Iniciales'!$A:$A,"Green Harbor Trust")+SUMIFS(Movimientos!$K$1:$K$1368,Movimientos!$C$1:$C$1368,"Green Harbor Trust",Movimientos!$B$1:$B$1368,"&lt;="&amp;$B154)</f>
        <v>345</v>
      </c>
      <c r="U154" s="24">
        <f>SUMIFS('Saldos Iniciales'!$D:$D,'Saldos Iniciales'!$A:$A,"Go Blue")+SUMIFS(Movimientos!$K$1:$K$1368,Movimientos!$C$1:$C$1368,"Go Blue",Movimientos!$B$1:$B$1368,"&lt;="&amp;$B154)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Group")+SUMIFS(Movimientos!$K$1:$K$1368,Movimientos!$C$1:$C$1368,"CFT Group",Movimientos!$B$1:$B$1368,"&lt;="&amp;$B155)</f>
        <v>3099831.9800000004</v>
      </c>
      <c r="D155" s="24">
        <f>SUMIFS('Saldos Iniciales'!$D:$D,'Saldos Iniciales'!$A:$A,"M1B")+SUMIFS(Movimientos!$K$1:$K$1368,Movimientos!$C$1:$C$1368,"M1B",Movimientos!$B$1:$B$1368,"&lt;="&amp;$B155)</f>
        <v>103123.59000000017</v>
      </c>
      <c r="E155" s="24">
        <f>SUMIFS('Saldos Iniciales'!$D:$D,'Saldos Iniciales'!$A:$A,"Durand")+SUMIFS(Movimientos!$K$1:$K$1368,Movimientos!$C$1:$C$1368,"Durand",Movimientos!$B$1:$B$1368,"&lt;="&amp;$B155)</f>
        <v>1669.89</v>
      </c>
      <c r="F155" s="24">
        <f>SUMIFS('Saldos Iniciales'!$D:$D,'Saldos Iniciales'!$A:$A,"A&amp;M Imports")+SUMIFS(Movimientos!$K$1:$K$1368,Movimientos!$C$1:$C$1368,"A&amp;M Imports",Movimientos!$B$1:$B$1368,"&lt;="&amp;$B155)</f>
        <v>1200526.7499999995</v>
      </c>
      <c r="G155" s="24">
        <f>SUMIFS('Saldos Iniciales'!$D:$D,'Saldos Iniciales'!$A:$A,"SSP Capital")+SUMIFS(Movimientos!$K$1:$K$1368,Movimientos!$C$1:$C$1368,"SSP Capital",Movimientos!$B$1:$B$1368,"&lt;="&amp;$B155)</f>
        <v>1586416.1199999996</v>
      </c>
      <c r="H155" s="24">
        <f>SUMIFS('Saldos Iniciales'!$D:$D,'Saldos Iniciales'!$A:$A,"Cross Family Trust")+SUMIFS(Movimientos!$K$1:$K$1368,Movimientos!$C$1:$C$1368,"Cross Family Trust",Movimientos!$B$1:$B$1368,"&lt;="&amp;$B155)</f>
        <v>208778.14</v>
      </c>
      <c r="I155" s="24">
        <f>SUMIFS('Saldos Iniciales'!$D:$D,'Saldos Iniciales'!$A:$A,"Cross Security Trust")+SUMIFS(Movimientos!$K$1:$K$1368,Movimientos!$C$1:$C$1368,"Cross Security Trust",Movimientos!$B$1:$B$1368,"&lt;="&amp;$B155)</f>
        <v>80533.579999999987</v>
      </c>
      <c r="J155" s="24">
        <f>SUMIFS('Saldos Iniciales'!$D:$D,'Saldos Iniciales'!$A:$A,"Electrama")+SUMIFS(Movimientos!$K$1:$K$1368,Movimientos!$C$1:$C$1368,"Electrama",Movimientos!$B$1:$B$1368,"&lt;="&amp;$B155)</f>
        <v>10259.18</v>
      </c>
      <c r="K155" s="24">
        <f>SUMIFS('Saldos Iniciales'!$D:$D,'Saldos Iniciales'!$A:$A,"Sacred Valley Capital")+SUMIFS(Movimientos!$K$1:$K$1368,Movimientos!$C$1:$C$1368,"Sacred Valley Capital",Movimientos!$B$1:$B$1368,"&lt;="&amp;$B155)</f>
        <v>64.55</v>
      </c>
      <c r="L155" s="24">
        <f>SUMIFS('Saldos Iniciales'!$D:$D,'Saldos Iniciales'!$A:$A,"YWC Capital")+SUMIFS(Movimientos!$K$1:$K$1368,Movimientos!$C$1:$C$1368,"YWC Capital",Movimientos!$B$1:$B$1368,"&lt;="&amp;$B155)</f>
        <v>2117.9700000000003</v>
      </c>
      <c r="M155" s="24">
        <f>SUMIFS('Saldos Iniciales'!$D:$D,'Saldos Iniciales'!$A:$A,"Soweto")+SUMIFS(Movimientos!$K$1:$K$1368,Movimientos!$C$1:$C$1368,"Soweto",Movimientos!$B$1:$B$1368,"&lt;="&amp;$B155)</f>
        <v>17895.290000000015</v>
      </c>
      <c r="N155" s="24">
        <f>SUMIFS('Saldos Iniciales'!$D:$D,'Saldos Iniciales'!$A:$A,"Green Stone Trust")+SUMIFS(Movimientos!$K$1:$K$1368,Movimientos!$C$1:$C$1368,"Green Stone Trust",Movimientos!$B$1:$B$1368,"&lt;="&amp;$B155)</f>
        <v>1968.99</v>
      </c>
      <c r="O155" s="24">
        <f>SUMIFS('Saldos Iniciales'!$D:$D,'Saldos Iniciales'!$A:$A,"EC Auto")+SUMIFS(Movimientos!$K$1:$K$1368,Movimientos!$C$1:$C$1368,"EC Auto",Movimientos!$B$1:$B$1368,"&lt;="&amp;$B155)</f>
        <v>901.34</v>
      </c>
      <c r="P155" s="24">
        <f>SUMIFS('Saldos Iniciales'!$D:$D,'Saldos Iniciales'!$A:$A,"Arbor Capital Properties")+SUMIFS(Movimientos!$K$1:$K$1368,Movimientos!$C$1:$C$1368,"Arbor Capital Properties",Movimientos!$B$1:$B$1368,"&lt;="&amp;$B155)</f>
        <v>1364.08</v>
      </c>
      <c r="Q155" s="24">
        <f>SUMIFS('Saldos Iniciales'!$D:$D,'Saldos Iniciales'!$A:$A,"2515 Overbrook")+SUMIFS(Movimientos!$K$1:$K$1368,Movimientos!$C$1:$C$1368,"2515 Overbrook",Movimientos!$B$1:$B$1368,"&lt;="&amp;$B155)</f>
        <v>20171.549999999959</v>
      </c>
      <c r="R155" s="24">
        <f>SUMIFS('Saldos Iniciales'!$D:$D,'Saldos Iniciales'!$A:$A,"112 Florida Ave")+SUMIFS(Movimientos!$K$1:$K$1368,Movimientos!$C$1:$C$1368,"112 Florida Ave",Movimientos!$B$1:$B$1368,"&lt;="&amp;$B155)</f>
        <v>13576.060000000007</v>
      </c>
      <c r="S155" s="24">
        <f>SUMIFS('Saldos Iniciales'!$D:$D,'Saldos Iniciales'!$A:$A,"3628 Thomas Ave")+SUMIFS(Movimientos!$K$1:$K$1368,Movimientos!$C$1:$C$1368,"3628 Thomas Ave",Movimientos!$B$1:$B$1368,"&lt;="&amp;$B155)</f>
        <v>16893.769999999997</v>
      </c>
      <c r="T155" s="24">
        <f>SUMIFS('Saldos Iniciales'!$D:$D,'Saldos Iniciales'!$A:$A,"Green Harbor Trust")+SUMIFS(Movimientos!$K$1:$K$1368,Movimientos!$C$1:$C$1368,"Green Harbor Trust",Movimientos!$B$1:$B$1368,"&lt;="&amp;$B155)</f>
        <v>345</v>
      </c>
      <c r="U155" s="24">
        <f>SUMIFS('Saldos Iniciales'!$D:$D,'Saldos Iniciales'!$A:$A,"Go Blue")+SUMIFS(Movimientos!$K$1:$K$1368,Movimientos!$C$1:$C$1368,"Go Blue",Movimientos!$B$1:$B$1368,"&lt;="&amp;$B155)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Group")+SUMIFS(Movimientos!$K$1:$K$1368,Movimientos!$C$1:$C$1368,"CFT Group",Movimientos!$B$1:$B$1368,"&lt;="&amp;$B156)</f>
        <v>3099831.9800000004</v>
      </c>
      <c r="D156" s="24">
        <f>SUMIFS('Saldos Iniciales'!$D:$D,'Saldos Iniciales'!$A:$A,"M1B")+SUMIFS(Movimientos!$K$1:$K$1368,Movimientos!$C$1:$C$1368,"M1B",Movimientos!$B$1:$B$1368,"&lt;="&amp;$B156)</f>
        <v>103123.59000000017</v>
      </c>
      <c r="E156" s="24">
        <f>SUMIFS('Saldos Iniciales'!$D:$D,'Saldos Iniciales'!$A:$A,"Durand")+SUMIFS(Movimientos!$K$1:$K$1368,Movimientos!$C$1:$C$1368,"Durand",Movimientos!$B$1:$B$1368,"&lt;="&amp;$B156)</f>
        <v>1669.89</v>
      </c>
      <c r="F156" s="24">
        <f>SUMIFS('Saldos Iniciales'!$D:$D,'Saldos Iniciales'!$A:$A,"A&amp;M Imports")+SUMIFS(Movimientos!$K$1:$K$1368,Movimientos!$C$1:$C$1368,"A&amp;M Imports",Movimientos!$B$1:$B$1368,"&lt;="&amp;$B156)</f>
        <v>1200526.7499999995</v>
      </c>
      <c r="G156" s="24">
        <f>SUMIFS('Saldos Iniciales'!$D:$D,'Saldos Iniciales'!$A:$A,"SSP Capital")+SUMIFS(Movimientos!$K$1:$K$1368,Movimientos!$C$1:$C$1368,"SSP Capital",Movimientos!$B$1:$B$1368,"&lt;="&amp;$B156)</f>
        <v>1586416.1199999996</v>
      </c>
      <c r="H156" s="24">
        <f>SUMIFS('Saldos Iniciales'!$D:$D,'Saldos Iniciales'!$A:$A,"Cross Family Trust")+SUMIFS(Movimientos!$K$1:$K$1368,Movimientos!$C$1:$C$1368,"Cross Family Trust",Movimientos!$B$1:$B$1368,"&lt;="&amp;$B156)</f>
        <v>208778.14</v>
      </c>
      <c r="I156" s="24">
        <f>SUMIFS('Saldos Iniciales'!$D:$D,'Saldos Iniciales'!$A:$A,"Cross Security Trust")+SUMIFS(Movimientos!$K$1:$K$1368,Movimientos!$C$1:$C$1368,"Cross Security Trust",Movimientos!$B$1:$B$1368,"&lt;="&amp;$B156)</f>
        <v>80533.579999999987</v>
      </c>
      <c r="J156" s="24">
        <f>SUMIFS('Saldos Iniciales'!$D:$D,'Saldos Iniciales'!$A:$A,"Electrama")+SUMIFS(Movimientos!$K$1:$K$1368,Movimientos!$C$1:$C$1368,"Electrama",Movimientos!$B$1:$B$1368,"&lt;="&amp;$B156)</f>
        <v>10259.18</v>
      </c>
      <c r="K156" s="24">
        <f>SUMIFS('Saldos Iniciales'!$D:$D,'Saldos Iniciales'!$A:$A,"Sacred Valley Capital")+SUMIFS(Movimientos!$K$1:$K$1368,Movimientos!$C$1:$C$1368,"Sacred Valley Capital",Movimientos!$B$1:$B$1368,"&lt;="&amp;$B156)</f>
        <v>64.55</v>
      </c>
      <c r="L156" s="24">
        <f>SUMIFS('Saldos Iniciales'!$D:$D,'Saldos Iniciales'!$A:$A,"YWC Capital")+SUMIFS(Movimientos!$K$1:$K$1368,Movimientos!$C$1:$C$1368,"YWC Capital",Movimientos!$B$1:$B$1368,"&lt;="&amp;$B156)</f>
        <v>2117.9700000000003</v>
      </c>
      <c r="M156" s="24">
        <f>SUMIFS('Saldos Iniciales'!$D:$D,'Saldos Iniciales'!$A:$A,"Soweto")+SUMIFS(Movimientos!$K$1:$K$1368,Movimientos!$C$1:$C$1368,"Soweto",Movimientos!$B$1:$B$1368,"&lt;="&amp;$B156)</f>
        <v>17895.290000000015</v>
      </c>
      <c r="N156" s="24">
        <f>SUMIFS('Saldos Iniciales'!$D:$D,'Saldos Iniciales'!$A:$A,"Green Stone Trust")+SUMIFS(Movimientos!$K$1:$K$1368,Movimientos!$C$1:$C$1368,"Green Stone Trust",Movimientos!$B$1:$B$1368,"&lt;="&amp;$B156)</f>
        <v>1968.99</v>
      </c>
      <c r="O156" s="24">
        <f>SUMIFS('Saldos Iniciales'!$D:$D,'Saldos Iniciales'!$A:$A,"EC Auto")+SUMIFS(Movimientos!$K$1:$K$1368,Movimientos!$C$1:$C$1368,"EC Auto",Movimientos!$B$1:$B$1368,"&lt;="&amp;$B156)</f>
        <v>901.34</v>
      </c>
      <c r="P156" s="24">
        <f>SUMIFS('Saldos Iniciales'!$D:$D,'Saldos Iniciales'!$A:$A,"Arbor Capital Properties")+SUMIFS(Movimientos!$K$1:$K$1368,Movimientos!$C$1:$C$1368,"Arbor Capital Properties",Movimientos!$B$1:$B$1368,"&lt;="&amp;$B156)</f>
        <v>1364.08</v>
      </c>
      <c r="Q156" s="24">
        <f>SUMIFS('Saldos Iniciales'!$D:$D,'Saldos Iniciales'!$A:$A,"2515 Overbrook")+SUMIFS(Movimientos!$K$1:$K$1368,Movimientos!$C$1:$C$1368,"2515 Overbrook",Movimientos!$B$1:$B$1368,"&lt;="&amp;$B156)</f>
        <v>20171.549999999959</v>
      </c>
      <c r="R156" s="24">
        <f>SUMIFS('Saldos Iniciales'!$D:$D,'Saldos Iniciales'!$A:$A,"112 Florida Ave")+SUMIFS(Movimientos!$K$1:$K$1368,Movimientos!$C$1:$C$1368,"112 Florida Ave",Movimientos!$B$1:$B$1368,"&lt;="&amp;$B156)</f>
        <v>13576.060000000007</v>
      </c>
      <c r="S156" s="24">
        <f>SUMIFS('Saldos Iniciales'!$D:$D,'Saldos Iniciales'!$A:$A,"3628 Thomas Ave")+SUMIFS(Movimientos!$K$1:$K$1368,Movimientos!$C$1:$C$1368,"3628 Thomas Ave",Movimientos!$B$1:$B$1368,"&lt;="&amp;$B156)</f>
        <v>16893.769999999997</v>
      </c>
      <c r="T156" s="24">
        <f>SUMIFS('Saldos Iniciales'!$D:$D,'Saldos Iniciales'!$A:$A,"Green Harbor Trust")+SUMIFS(Movimientos!$K$1:$K$1368,Movimientos!$C$1:$C$1368,"Green Harbor Trust",Movimientos!$B$1:$B$1368,"&lt;="&amp;$B156)</f>
        <v>345</v>
      </c>
      <c r="U156" s="24">
        <f>SUMIFS('Saldos Iniciales'!$D:$D,'Saldos Iniciales'!$A:$A,"Go Blue")+SUMIFS(Movimientos!$K$1:$K$1368,Movimientos!$C$1:$C$1368,"Go Blue",Movimientos!$B$1:$B$1368,"&lt;="&amp;$B156)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Group")+SUMIFS(Movimientos!$K$1:$K$1368,Movimientos!$C$1:$C$1368,"CFT Group",Movimientos!$B$1:$B$1368,"&lt;="&amp;$B157)</f>
        <v>3099831.9800000004</v>
      </c>
      <c r="D157" s="24">
        <f>SUMIFS('Saldos Iniciales'!$D:$D,'Saldos Iniciales'!$A:$A,"M1B")+SUMIFS(Movimientos!$K$1:$K$1368,Movimientos!$C$1:$C$1368,"M1B",Movimientos!$B$1:$B$1368,"&lt;="&amp;$B157)</f>
        <v>103123.59000000017</v>
      </c>
      <c r="E157" s="24">
        <f>SUMIFS('Saldos Iniciales'!$D:$D,'Saldos Iniciales'!$A:$A,"Durand")+SUMIFS(Movimientos!$K$1:$K$1368,Movimientos!$C$1:$C$1368,"Durand",Movimientos!$B$1:$B$1368,"&lt;="&amp;$B157)</f>
        <v>1669.89</v>
      </c>
      <c r="F157" s="24">
        <f>SUMIFS('Saldos Iniciales'!$D:$D,'Saldos Iniciales'!$A:$A,"A&amp;M Imports")+SUMIFS(Movimientos!$K$1:$K$1368,Movimientos!$C$1:$C$1368,"A&amp;M Imports",Movimientos!$B$1:$B$1368,"&lt;="&amp;$B157)</f>
        <v>1200526.7499999995</v>
      </c>
      <c r="G157" s="24">
        <f>SUMIFS('Saldos Iniciales'!$D:$D,'Saldos Iniciales'!$A:$A,"SSP Capital")+SUMIFS(Movimientos!$K$1:$K$1368,Movimientos!$C$1:$C$1368,"SSP Capital",Movimientos!$B$1:$B$1368,"&lt;="&amp;$B157)</f>
        <v>1586416.1199999996</v>
      </c>
      <c r="H157" s="24">
        <f>SUMIFS('Saldos Iniciales'!$D:$D,'Saldos Iniciales'!$A:$A,"Cross Family Trust")+SUMIFS(Movimientos!$K$1:$K$1368,Movimientos!$C$1:$C$1368,"Cross Family Trust",Movimientos!$B$1:$B$1368,"&lt;="&amp;$B157)</f>
        <v>208778.14</v>
      </c>
      <c r="I157" s="24">
        <f>SUMIFS('Saldos Iniciales'!$D:$D,'Saldos Iniciales'!$A:$A,"Cross Security Trust")+SUMIFS(Movimientos!$K$1:$K$1368,Movimientos!$C$1:$C$1368,"Cross Security Trust",Movimientos!$B$1:$B$1368,"&lt;="&amp;$B157)</f>
        <v>80533.579999999987</v>
      </c>
      <c r="J157" s="24">
        <f>SUMIFS('Saldos Iniciales'!$D:$D,'Saldos Iniciales'!$A:$A,"Electrama")+SUMIFS(Movimientos!$K$1:$K$1368,Movimientos!$C$1:$C$1368,"Electrama",Movimientos!$B$1:$B$1368,"&lt;="&amp;$B157)</f>
        <v>10259.18</v>
      </c>
      <c r="K157" s="24">
        <f>SUMIFS('Saldos Iniciales'!$D:$D,'Saldos Iniciales'!$A:$A,"Sacred Valley Capital")+SUMIFS(Movimientos!$K$1:$K$1368,Movimientos!$C$1:$C$1368,"Sacred Valley Capital",Movimientos!$B$1:$B$1368,"&lt;="&amp;$B157)</f>
        <v>64.55</v>
      </c>
      <c r="L157" s="24">
        <f>SUMIFS('Saldos Iniciales'!$D:$D,'Saldos Iniciales'!$A:$A,"YWC Capital")+SUMIFS(Movimientos!$K$1:$K$1368,Movimientos!$C$1:$C$1368,"YWC Capital",Movimientos!$B$1:$B$1368,"&lt;="&amp;$B157)</f>
        <v>2117.9700000000003</v>
      </c>
      <c r="M157" s="24">
        <f>SUMIFS('Saldos Iniciales'!$D:$D,'Saldos Iniciales'!$A:$A,"Soweto")+SUMIFS(Movimientos!$K$1:$K$1368,Movimientos!$C$1:$C$1368,"Soweto",Movimientos!$B$1:$B$1368,"&lt;="&amp;$B157)</f>
        <v>17895.290000000015</v>
      </c>
      <c r="N157" s="24">
        <f>SUMIFS('Saldos Iniciales'!$D:$D,'Saldos Iniciales'!$A:$A,"Green Stone Trust")+SUMIFS(Movimientos!$K$1:$K$1368,Movimientos!$C$1:$C$1368,"Green Stone Trust",Movimientos!$B$1:$B$1368,"&lt;="&amp;$B157)</f>
        <v>1968.99</v>
      </c>
      <c r="O157" s="24">
        <f>SUMIFS('Saldos Iniciales'!$D:$D,'Saldos Iniciales'!$A:$A,"EC Auto")+SUMIFS(Movimientos!$K$1:$K$1368,Movimientos!$C$1:$C$1368,"EC Auto",Movimientos!$B$1:$B$1368,"&lt;="&amp;$B157)</f>
        <v>901.34</v>
      </c>
      <c r="P157" s="24">
        <f>SUMIFS('Saldos Iniciales'!$D:$D,'Saldos Iniciales'!$A:$A,"Arbor Capital Properties")+SUMIFS(Movimientos!$K$1:$K$1368,Movimientos!$C$1:$C$1368,"Arbor Capital Properties",Movimientos!$B$1:$B$1368,"&lt;="&amp;$B157)</f>
        <v>1364.08</v>
      </c>
      <c r="Q157" s="24">
        <f>SUMIFS('Saldos Iniciales'!$D:$D,'Saldos Iniciales'!$A:$A,"2515 Overbrook")+SUMIFS(Movimientos!$K$1:$K$1368,Movimientos!$C$1:$C$1368,"2515 Overbrook",Movimientos!$B$1:$B$1368,"&lt;="&amp;$B157)</f>
        <v>20171.549999999959</v>
      </c>
      <c r="R157" s="24">
        <f>SUMIFS('Saldos Iniciales'!$D:$D,'Saldos Iniciales'!$A:$A,"112 Florida Ave")+SUMIFS(Movimientos!$K$1:$K$1368,Movimientos!$C$1:$C$1368,"112 Florida Ave",Movimientos!$B$1:$B$1368,"&lt;="&amp;$B157)</f>
        <v>13576.060000000007</v>
      </c>
      <c r="S157" s="24">
        <f>SUMIFS('Saldos Iniciales'!$D:$D,'Saldos Iniciales'!$A:$A,"3628 Thomas Ave")+SUMIFS(Movimientos!$K$1:$K$1368,Movimientos!$C$1:$C$1368,"3628 Thomas Ave",Movimientos!$B$1:$B$1368,"&lt;="&amp;$B157)</f>
        <v>16893.769999999997</v>
      </c>
      <c r="T157" s="24">
        <f>SUMIFS('Saldos Iniciales'!$D:$D,'Saldos Iniciales'!$A:$A,"Green Harbor Trust")+SUMIFS(Movimientos!$K$1:$K$1368,Movimientos!$C$1:$C$1368,"Green Harbor Trust",Movimientos!$B$1:$B$1368,"&lt;="&amp;$B157)</f>
        <v>345</v>
      </c>
      <c r="U157" s="24">
        <f>SUMIFS('Saldos Iniciales'!$D:$D,'Saldos Iniciales'!$A:$A,"Go Blue")+SUMIFS(Movimientos!$K$1:$K$1368,Movimientos!$C$1:$C$1368,"Go Blue",Movimientos!$B$1:$B$1368,"&lt;="&amp;$B157)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Group")+SUMIFS(Movimientos!$K$1:$K$1368,Movimientos!$C$1:$C$1368,"CFT Group",Movimientos!$B$1:$B$1368,"&lt;="&amp;$B158)</f>
        <v>3099831.9800000004</v>
      </c>
      <c r="D158" s="24">
        <f>SUMIFS('Saldos Iniciales'!$D:$D,'Saldos Iniciales'!$A:$A,"M1B")+SUMIFS(Movimientos!$K$1:$K$1368,Movimientos!$C$1:$C$1368,"M1B",Movimientos!$B$1:$B$1368,"&lt;="&amp;$B158)</f>
        <v>103123.59000000017</v>
      </c>
      <c r="E158" s="24">
        <f>SUMIFS('Saldos Iniciales'!$D:$D,'Saldos Iniciales'!$A:$A,"Durand")+SUMIFS(Movimientos!$K$1:$K$1368,Movimientos!$C$1:$C$1368,"Durand",Movimientos!$B$1:$B$1368,"&lt;="&amp;$B158)</f>
        <v>1669.89</v>
      </c>
      <c r="F158" s="24">
        <f>SUMIFS('Saldos Iniciales'!$D:$D,'Saldos Iniciales'!$A:$A,"A&amp;M Imports")+SUMIFS(Movimientos!$K$1:$K$1368,Movimientos!$C$1:$C$1368,"A&amp;M Imports",Movimientos!$B$1:$B$1368,"&lt;="&amp;$B158)</f>
        <v>1200526.7499999995</v>
      </c>
      <c r="G158" s="24">
        <f>SUMIFS('Saldos Iniciales'!$D:$D,'Saldos Iniciales'!$A:$A,"SSP Capital")+SUMIFS(Movimientos!$K$1:$K$1368,Movimientos!$C$1:$C$1368,"SSP Capital",Movimientos!$B$1:$B$1368,"&lt;="&amp;$B158)</f>
        <v>1586416.1199999996</v>
      </c>
      <c r="H158" s="24">
        <f>SUMIFS('Saldos Iniciales'!$D:$D,'Saldos Iniciales'!$A:$A,"Cross Family Trust")+SUMIFS(Movimientos!$K$1:$K$1368,Movimientos!$C$1:$C$1368,"Cross Family Trust",Movimientos!$B$1:$B$1368,"&lt;="&amp;$B158)</f>
        <v>208778.14</v>
      </c>
      <c r="I158" s="24">
        <f>SUMIFS('Saldos Iniciales'!$D:$D,'Saldos Iniciales'!$A:$A,"Cross Security Trust")+SUMIFS(Movimientos!$K$1:$K$1368,Movimientos!$C$1:$C$1368,"Cross Security Trust",Movimientos!$B$1:$B$1368,"&lt;="&amp;$B158)</f>
        <v>80533.579999999987</v>
      </c>
      <c r="J158" s="24">
        <f>SUMIFS('Saldos Iniciales'!$D:$D,'Saldos Iniciales'!$A:$A,"Electrama")+SUMIFS(Movimientos!$K$1:$K$1368,Movimientos!$C$1:$C$1368,"Electrama",Movimientos!$B$1:$B$1368,"&lt;="&amp;$B158)</f>
        <v>10259.18</v>
      </c>
      <c r="K158" s="24">
        <f>SUMIFS('Saldos Iniciales'!$D:$D,'Saldos Iniciales'!$A:$A,"Sacred Valley Capital")+SUMIFS(Movimientos!$K$1:$K$1368,Movimientos!$C$1:$C$1368,"Sacred Valley Capital",Movimientos!$B$1:$B$1368,"&lt;="&amp;$B158)</f>
        <v>64.55</v>
      </c>
      <c r="L158" s="24">
        <f>SUMIFS('Saldos Iniciales'!$D:$D,'Saldos Iniciales'!$A:$A,"YWC Capital")+SUMIFS(Movimientos!$K$1:$K$1368,Movimientos!$C$1:$C$1368,"YWC Capital",Movimientos!$B$1:$B$1368,"&lt;="&amp;$B158)</f>
        <v>2117.9700000000003</v>
      </c>
      <c r="M158" s="24">
        <f>SUMIFS('Saldos Iniciales'!$D:$D,'Saldos Iniciales'!$A:$A,"Soweto")+SUMIFS(Movimientos!$K$1:$K$1368,Movimientos!$C$1:$C$1368,"Soweto",Movimientos!$B$1:$B$1368,"&lt;="&amp;$B158)</f>
        <v>17895.290000000015</v>
      </c>
      <c r="N158" s="24">
        <f>SUMIFS('Saldos Iniciales'!$D:$D,'Saldos Iniciales'!$A:$A,"Green Stone Trust")+SUMIFS(Movimientos!$K$1:$K$1368,Movimientos!$C$1:$C$1368,"Green Stone Trust",Movimientos!$B$1:$B$1368,"&lt;="&amp;$B158)</f>
        <v>1968.99</v>
      </c>
      <c r="O158" s="24">
        <f>SUMIFS('Saldos Iniciales'!$D:$D,'Saldos Iniciales'!$A:$A,"EC Auto")+SUMIFS(Movimientos!$K$1:$K$1368,Movimientos!$C$1:$C$1368,"EC Auto",Movimientos!$B$1:$B$1368,"&lt;="&amp;$B158)</f>
        <v>901.34</v>
      </c>
      <c r="P158" s="24">
        <f>SUMIFS('Saldos Iniciales'!$D:$D,'Saldos Iniciales'!$A:$A,"Arbor Capital Properties")+SUMIFS(Movimientos!$K$1:$K$1368,Movimientos!$C$1:$C$1368,"Arbor Capital Properties",Movimientos!$B$1:$B$1368,"&lt;="&amp;$B158)</f>
        <v>1364.08</v>
      </c>
      <c r="Q158" s="24">
        <f>SUMIFS('Saldos Iniciales'!$D:$D,'Saldos Iniciales'!$A:$A,"2515 Overbrook")+SUMIFS(Movimientos!$K$1:$K$1368,Movimientos!$C$1:$C$1368,"2515 Overbrook",Movimientos!$B$1:$B$1368,"&lt;="&amp;$B158)</f>
        <v>20171.549999999959</v>
      </c>
      <c r="R158" s="24">
        <f>SUMIFS('Saldos Iniciales'!$D:$D,'Saldos Iniciales'!$A:$A,"112 Florida Ave")+SUMIFS(Movimientos!$K$1:$K$1368,Movimientos!$C$1:$C$1368,"112 Florida Ave",Movimientos!$B$1:$B$1368,"&lt;="&amp;$B158)</f>
        <v>13576.060000000007</v>
      </c>
      <c r="S158" s="24">
        <f>SUMIFS('Saldos Iniciales'!$D:$D,'Saldos Iniciales'!$A:$A,"3628 Thomas Ave")+SUMIFS(Movimientos!$K$1:$K$1368,Movimientos!$C$1:$C$1368,"3628 Thomas Ave",Movimientos!$B$1:$B$1368,"&lt;="&amp;$B158)</f>
        <v>16893.769999999997</v>
      </c>
      <c r="T158" s="24">
        <f>SUMIFS('Saldos Iniciales'!$D:$D,'Saldos Iniciales'!$A:$A,"Green Harbor Trust")+SUMIFS(Movimientos!$K$1:$K$1368,Movimientos!$C$1:$C$1368,"Green Harbor Trust",Movimientos!$B$1:$B$1368,"&lt;="&amp;$B158)</f>
        <v>345</v>
      </c>
      <c r="U158" s="24">
        <f>SUMIFS('Saldos Iniciales'!$D:$D,'Saldos Iniciales'!$A:$A,"Go Blue")+SUMIFS(Movimientos!$K$1:$K$1368,Movimientos!$C$1:$C$1368,"Go Blue",Movimientos!$B$1:$B$1368,"&lt;="&amp;$B158)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Group")+SUMIFS(Movimientos!$K$1:$K$1368,Movimientos!$C$1:$C$1368,"CFT Group",Movimientos!$B$1:$B$1368,"&lt;="&amp;$B159)</f>
        <v>3099831.9800000004</v>
      </c>
      <c r="D159" s="24">
        <f>SUMIFS('Saldos Iniciales'!$D:$D,'Saldos Iniciales'!$A:$A,"M1B")+SUMIFS(Movimientos!$K$1:$K$1368,Movimientos!$C$1:$C$1368,"M1B",Movimientos!$B$1:$B$1368,"&lt;="&amp;$B159)</f>
        <v>103123.59000000017</v>
      </c>
      <c r="E159" s="24">
        <f>SUMIFS('Saldos Iniciales'!$D:$D,'Saldos Iniciales'!$A:$A,"Durand")+SUMIFS(Movimientos!$K$1:$K$1368,Movimientos!$C$1:$C$1368,"Durand",Movimientos!$B$1:$B$1368,"&lt;="&amp;$B159)</f>
        <v>1669.89</v>
      </c>
      <c r="F159" s="24">
        <f>SUMIFS('Saldos Iniciales'!$D:$D,'Saldos Iniciales'!$A:$A,"A&amp;M Imports")+SUMIFS(Movimientos!$K$1:$K$1368,Movimientos!$C$1:$C$1368,"A&amp;M Imports",Movimientos!$B$1:$B$1368,"&lt;="&amp;$B159)</f>
        <v>1200526.7499999995</v>
      </c>
      <c r="G159" s="24">
        <f>SUMIFS('Saldos Iniciales'!$D:$D,'Saldos Iniciales'!$A:$A,"SSP Capital")+SUMIFS(Movimientos!$K$1:$K$1368,Movimientos!$C$1:$C$1368,"SSP Capital",Movimientos!$B$1:$B$1368,"&lt;="&amp;$B159)</f>
        <v>1585767.3599999994</v>
      </c>
      <c r="H159" s="24">
        <f>SUMIFS('Saldos Iniciales'!$D:$D,'Saldos Iniciales'!$A:$A,"Cross Family Trust")+SUMIFS(Movimientos!$K$1:$K$1368,Movimientos!$C$1:$C$1368,"Cross Family Trust",Movimientos!$B$1:$B$1368,"&lt;="&amp;$B159)</f>
        <v>181778.14</v>
      </c>
      <c r="I159" s="24">
        <f>SUMIFS('Saldos Iniciales'!$D:$D,'Saldos Iniciales'!$A:$A,"Cross Security Trust")+SUMIFS(Movimientos!$K$1:$K$1368,Movimientos!$C$1:$C$1368,"Cross Security Trust",Movimientos!$B$1:$B$1368,"&lt;="&amp;$B159)</f>
        <v>80533.579999999987</v>
      </c>
      <c r="J159" s="24">
        <f>SUMIFS('Saldos Iniciales'!$D:$D,'Saldos Iniciales'!$A:$A,"Electrama")+SUMIFS(Movimientos!$K$1:$K$1368,Movimientos!$C$1:$C$1368,"Electrama",Movimientos!$B$1:$B$1368,"&lt;="&amp;$B159)</f>
        <v>10259.18</v>
      </c>
      <c r="K159" s="24">
        <f>SUMIFS('Saldos Iniciales'!$D:$D,'Saldos Iniciales'!$A:$A,"Sacred Valley Capital")+SUMIFS(Movimientos!$K$1:$K$1368,Movimientos!$C$1:$C$1368,"Sacred Valley Capital",Movimientos!$B$1:$B$1368,"&lt;="&amp;$B159)</f>
        <v>64.55</v>
      </c>
      <c r="L159" s="24">
        <f>SUMIFS('Saldos Iniciales'!$D:$D,'Saldos Iniciales'!$A:$A,"YWC Capital")+SUMIFS(Movimientos!$K$1:$K$1368,Movimientos!$C$1:$C$1368,"YWC Capital",Movimientos!$B$1:$B$1368,"&lt;="&amp;$B159)</f>
        <v>2117.9700000000003</v>
      </c>
      <c r="M159" s="24">
        <f>SUMIFS('Saldos Iniciales'!$D:$D,'Saldos Iniciales'!$A:$A,"Soweto")+SUMIFS(Movimientos!$K$1:$K$1368,Movimientos!$C$1:$C$1368,"Soweto",Movimientos!$B$1:$B$1368,"&lt;="&amp;$B159)</f>
        <v>17895.290000000015</v>
      </c>
      <c r="N159" s="24">
        <f>SUMIFS('Saldos Iniciales'!$D:$D,'Saldos Iniciales'!$A:$A,"Green Stone Trust")+SUMIFS(Movimientos!$K$1:$K$1368,Movimientos!$C$1:$C$1368,"Green Stone Trust",Movimientos!$B$1:$B$1368,"&lt;="&amp;$B159)</f>
        <v>1968.99</v>
      </c>
      <c r="O159" s="24">
        <f>SUMIFS('Saldos Iniciales'!$D:$D,'Saldos Iniciales'!$A:$A,"EC Auto")+SUMIFS(Movimientos!$K$1:$K$1368,Movimientos!$C$1:$C$1368,"EC Auto",Movimientos!$B$1:$B$1368,"&lt;="&amp;$B159)</f>
        <v>901.34</v>
      </c>
      <c r="P159" s="24">
        <f>SUMIFS('Saldos Iniciales'!$D:$D,'Saldos Iniciales'!$A:$A,"Arbor Capital Properties")+SUMIFS(Movimientos!$K$1:$K$1368,Movimientos!$C$1:$C$1368,"Arbor Capital Properties",Movimientos!$B$1:$B$1368,"&lt;="&amp;$B159)</f>
        <v>1364.08</v>
      </c>
      <c r="Q159" s="24">
        <f>SUMIFS('Saldos Iniciales'!$D:$D,'Saldos Iniciales'!$A:$A,"2515 Overbrook")+SUMIFS(Movimientos!$K$1:$K$1368,Movimientos!$C$1:$C$1368,"2515 Overbrook",Movimientos!$B$1:$B$1368,"&lt;="&amp;$B159)</f>
        <v>20171.549999999959</v>
      </c>
      <c r="R159" s="24">
        <f>SUMIFS('Saldos Iniciales'!$D:$D,'Saldos Iniciales'!$A:$A,"112 Florida Ave")+SUMIFS(Movimientos!$K$1:$K$1368,Movimientos!$C$1:$C$1368,"112 Florida Ave",Movimientos!$B$1:$B$1368,"&lt;="&amp;$B159)</f>
        <v>13576.060000000007</v>
      </c>
      <c r="S159" s="24">
        <f>SUMIFS('Saldos Iniciales'!$D:$D,'Saldos Iniciales'!$A:$A,"3628 Thomas Ave")+SUMIFS(Movimientos!$K$1:$K$1368,Movimientos!$C$1:$C$1368,"3628 Thomas Ave",Movimientos!$B$1:$B$1368,"&lt;="&amp;$B159)</f>
        <v>16893.769999999997</v>
      </c>
      <c r="T159" s="24">
        <f>SUMIFS('Saldos Iniciales'!$D:$D,'Saldos Iniciales'!$A:$A,"Green Harbor Trust")+SUMIFS(Movimientos!$K$1:$K$1368,Movimientos!$C$1:$C$1368,"Green Harbor Trust",Movimientos!$B$1:$B$1368,"&lt;="&amp;$B159)</f>
        <v>345</v>
      </c>
      <c r="U159" s="24">
        <f>SUMIFS('Saldos Iniciales'!$D:$D,'Saldos Iniciales'!$A:$A,"Go Blue")+SUMIFS(Movimientos!$K$1:$K$1368,Movimientos!$C$1:$C$1368,"Go Blue",Movimientos!$B$1:$B$1368,"&lt;="&amp;$B159)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Group")+SUMIFS(Movimientos!$K$1:$K$1368,Movimientos!$C$1:$C$1368,"CFT Group",Movimientos!$B$1:$B$1368,"&lt;="&amp;$B160)</f>
        <v>3099831.9800000004</v>
      </c>
      <c r="D160" s="24">
        <f>SUMIFS('Saldos Iniciales'!$D:$D,'Saldos Iniciales'!$A:$A,"M1B")+SUMIFS(Movimientos!$K$1:$K$1368,Movimientos!$C$1:$C$1368,"M1B",Movimientos!$B$1:$B$1368,"&lt;="&amp;$B160)</f>
        <v>103123.59000000017</v>
      </c>
      <c r="E160" s="24">
        <f>SUMIFS('Saldos Iniciales'!$D:$D,'Saldos Iniciales'!$A:$A,"Durand")+SUMIFS(Movimientos!$K$1:$K$1368,Movimientos!$C$1:$C$1368,"Durand",Movimientos!$B$1:$B$1368,"&lt;="&amp;$B160)</f>
        <v>1669.89</v>
      </c>
      <c r="F160" s="24">
        <f>SUMIFS('Saldos Iniciales'!$D:$D,'Saldos Iniciales'!$A:$A,"A&amp;M Imports")+SUMIFS(Movimientos!$K$1:$K$1368,Movimientos!$C$1:$C$1368,"A&amp;M Imports",Movimientos!$B$1:$B$1368,"&lt;="&amp;$B160)</f>
        <v>1200526.7499999995</v>
      </c>
      <c r="G160" s="24">
        <f>SUMIFS('Saldos Iniciales'!$D:$D,'Saldos Iniciales'!$A:$A,"SSP Capital")+SUMIFS(Movimientos!$K$1:$K$1368,Movimientos!$C$1:$C$1368,"SSP Capital",Movimientos!$B$1:$B$1368,"&lt;="&amp;$B160)</f>
        <v>1585767.3599999994</v>
      </c>
      <c r="H160" s="24">
        <f>SUMIFS('Saldos Iniciales'!$D:$D,'Saldos Iniciales'!$A:$A,"Cross Family Trust")+SUMIFS(Movimientos!$K$1:$K$1368,Movimientos!$C$1:$C$1368,"Cross Family Trust",Movimientos!$B$1:$B$1368,"&lt;="&amp;$B160)</f>
        <v>181778.14</v>
      </c>
      <c r="I160" s="24">
        <f>SUMIFS('Saldos Iniciales'!$D:$D,'Saldos Iniciales'!$A:$A,"Cross Security Trust")+SUMIFS(Movimientos!$K$1:$K$1368,Movimientos!$C$1:$C$1368,"Cross Security Trust",Movimientos!$B$1:$B$1368,"&lt;="&amp;$B160)</f>
        <v>80533.579999999987</v>
      </c>
      <c r="J160" s="24">
        <f>SUMIFS('Saldos Iniciales'!$D:$D,'Saldos Iniciales'!$A:$A,"Electrama")+SUMIFS(Movimientos!$K$1:$K$1368,Movimientos!$C$1:$C$1368,"Electrama",Movimientos!$B$1:$B$1368,"&lt;="&amp;$B160)</f>
        <v>10259.18</v>
      </c>
      <c r="K160" s="24">
        <f>SUMIFS('Saldos Iniciales'!$D:$D,'Saldos Iniciales'!$A:$A,"Sacred Valley Capital")+SUMIFS(Movimientos!$K$1:$K$1368,Movimientos!$C$1:$C$1368,"Sacred Valley Capital",Movimientos!$B$1:$B$1368,"&lt;="&amp;$B160)</f>
        <v>64.55</v>
      </c>
      <c r="L160" s="24">
        <f>SUMIFS('Saldos Iniciales'!$D:$D,'Saldos Iniciales'!$A:$A,"YWC Capital")+SUMIFS(Movimientos!$K$1:$K$1368,Movimientos!$C$1:$C$1368,"YWC Capital",Movimientos!$B$1:$B$1368,"&lt;="&amp;$B160)</f>
        <v>2117.9700000000003</v>
      </c>
      <c r="M160" s="24">
        <f>SUMIFS('Saldos Iniciales'!$D:$D,'Saldos Iniciales'!$A:$A,"Soweto")+SUMIFS(Movimientos!$K$1:$K$1368,Movimientos!$C$1:$C$1368,"Soweto",Movimientos!$B$1:$B$1368,"&lt;="&amp;$B160)</f>
        <v>17895.290000000015</v>
      </c>
      <c r="N160" s="24">
        <f>SUMIFS('Saldos Iniciales'!$D:$D,'Saldos Iniciales'!$A:$A,"Green Stone Trust")+SUMIFS(Movimientos!$K$1:$K$1368,Movimientos!$C$1:$C$1368,"Green Stone Trust",Movimientos!$B$1:$B$1368,"&lt;="&amp;$B160)</f>
        <v>1968.99</v>
      </c>
      <c r="O160" s="24">
        <f>SUMIFS('Saldos Iniciales'!$D:$D,'Saldos Iniciales'!$A:$A,"EC Auto")+SUMIFS(Movimientos!$K$1:$K$1368,Movimientos!$C$1:$C$1368,"EC Auto",Movimientos!$B$1:$B$1368,"&lt;="&amp;$B160)</f>
        <v>901.34</v>
      </c>
      <c r="P160" s="24">
        <f>SUMIFS('Saldos Iniciales'!$D:$D,'Saldos Iniciales'!$A:$A,"Arbor Capital Properties")+SUMIFS(Movimientos!$K$1:$K$1368,Movimientos!$C$1:$C$1368,"Arbor Capital Properties",Movimientos!$B$1:$B$1368,"&lt;="&amp;$B160)</f>
        <v>1364.08</v>
      </c>
      <c r="Q160" s="24">
        <f>SUMIFS('Saldos Iniciales'!$D:$D,'Saldos Iniciales'!$A:$A,"2515 Overbrook")+SUMIFS(Movimientos!$K$1:$K$1368,Movimientos!$C$1:$C$1368,"2515 Overbrook",Movimientos!$B$1:$B$1368,"&lt;="&amp;$B160)</f>
        <v>20171.549999999959</v>
      </c>
      <c r="R160" s="24">
        <f>SUMIFS('Saldos Iniciales'!$D:$D,'Saldos Iniciales'!$A:$A,"112 Florida Ave")+SUMIFS(Movimientos!$K$1:$K$1368,Movimientos!$C$1:$C$1368,"112 Florida Ave",Movimientos!$B$1:$B$1368,"&lt;="&amp;$B160)</f>
        <v>13576.060000000007</v>
      </c>
      <c r="S160" s="24">
        <f>SUMIFS('Saldos Iniciales'!$D:$D,'Saldos Iniciales'!$A:$A,"3628 Thomas Ave")+SUMIFS(Movimientos!$K$1:$K$1368,Movimientos!$C$1:$C$1368,"3628 Thomas Ave",Movimientos!$B$1:$B$1368,"&lt;="&amp;$B160)</f>
        <v>16893.769999999997</v>
      </c>
      <c r="T160" s="24">
        <f>SUMIFS('Saldos Iniciales'!$D:$D,'Saldos Iniciales'!$A:$A,"Green Harbor Trust")+SUMIFS(Movimientos!$K$1:$K$1368,Movimientos!$C$1:$C$1368,"Green Harbor Trust",Movimientos!$B$1:$B$1368,"&lt;="&amp;$B160)</f>
        <v>345</v>
      </c>
      <c r="U160" s="24">
        <f>SUMIFS('Saldos Iniciales'!$D:$D,'Saldos Iniciales'!$A:$A,"Go Blue")+SUMIFS(Movimientos!$K$1:$K$1368,Movimientos!$C$1:$C$1368,"Go Blue",Movimientos!$B$1:$B$1368,"&lt;="&amp;$B160)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Group")+SUMIFS(Movimientos!$K$1:$K$1368,Movimientos!$C$1:$C$1368,"CFT Group",Movimientos!$B$1:$B$1368,"&lt;="&amp;$B161)</f>
        <v>2834671.5400000005</v>
      </c>
      <c r="D161" s="24">
        <f>SUMIFS('Saldos Iniciales'!$D:$D,'Saldos Iniciales'!$A:$A,"M1B")+SUMIFS(Movimientos!$K$1:$K$1368,Movimientos!$C$1:$C$1368,"M1B",Movimientos!$B$1:$B$1368,"&lt;="&amp;$B161)</f>
        <v>103123.59000000017</v>
      </c>
      <c r="E161" s="24">
        <f>SUMIFS('Saldos Iniciales'!$D:$D,'Saldos Iniciales'!$A:$A,"Durand")+SUMIFS(Movimientos!$K$1:$K$1368,Movimientos!$C$1:$C$1368,"Durand",Movimientos!$B$1:$B$1368,"&lt;="&amp;$B161)</f>
        <v>1669.89</v>
      </c>
      <c r="F161" s="24">
        <f>SUMIFS('Saldos Iniciales'!$D:$D,'Saldos Iniciales'!$A:$A,"A&amp;M Imports")+SUMIFS(Movimientos!$K$1:$K$1368,Movimientos!$C$1:$C$1368,"A&amp;M Imports",Movimientos!$B$1:$B$1368,"&lt;="&amp;$B161)</f>
        <v>1026832.7999999996</v>
      </c>
      <c r="G161" s="24">
        <f>SUMIFS('Saldos Iniciales'!$D:$D,'Saldos Iniciales'!$A:$A,"SSP Capital")+SUMIFS(Movimientos!$K$1:$K$1368,Movimientos!$C$1:$C$1368,"SSP Capital",Movimientos!$B$1:$B$1368,"&lt;="&amp;$B161)</f>
        <v>1380670.9099999995</v>
      </c>
      <c r="H161" s="24">
        <f>SUMIFS('Saldos Iniciales'!$D:$D,'Saldos Iniciales'!$A:$A,"Cross Family Trust")+SUMIFS(Movimientos!$K$1:$K$1368,Movimientos!$C$1:$C$1368,"Cross Family Trust",Movimientos!$B$1:$B$1368,"&lt;="&amp;$B161)</f>
        <v>181778.14</v>
      </c>
      <c r="I161" s="24">
        <f>SUMIFS('Saldos Iniciales'!$D:$D,'Saldos Iniciales'!$A:$A,"Cross Security Trust")+SUMIFS(Movimientos!$K$1:$K$1368,Movimientos!$C$1:$C$1368,"Cross Security Trust",Movimientos!$B$1:$B$1368,"&lt;="&amp;$B161)</f>
        <v>80533.579999999987</v>
      </c>
      <c r="J161" s="24">
        <f>SUMIFS('Saldos Iniciales'!$D:$D,'Saldos Iniciales'!$A:$A,"Electrama")+SUMIFS(Movimientos!$K$1:$K$1368,Movimientos!$C$1:$C$1368,"Electrama",Movimientos!$B$1:$B$1368,"&lt;="&amp;$B161)</f>
        <v>10259.18</v>
      </c>
      <c r="K161" s="24">
        <f>SUMIFS('Saldos Iniciales'!$D:$D,'Saldos Iniciales'!$A:$A,"Sacred Valley Capital")+SUMIFS(Movimientos!$K$1:$K$1368,Movimientos!$C$1:$C$1368,"Sacred Valley Capital",Movimientos!$B$1:$B$1368,"&lt;="&amp;$B161)</f>
        <v>64.55</v>
      </c>
      <c r="L161" s="24">
        <f>SUMIFS('Saldos Iniciales'!$D:$D,'Saldos Iniciales'!$A:$A,"YWC Capital")+SUMIFS(Movimientos!$K$1:$K$1368,Movimientos!$C$1:$C$1368,"YWC Capital",Movimientos!$B$1:$B$1368,"&lt;="&amp;$B161)</f>
        <v>2117.9700000000003</v>
      </c>
      <c r="M161" s="24">
        <f>SUMIFS('Saldos Iniciales'!$D:$D,'Saldos Iniciales'!$A:$A,"Soweto")+SUMIFS(Movimientos!$K$1:$K$1368,Movimientos!$C$1:$C$1368,"Soweto",Movimientos!$B$1:$B$1368,"&lt;="&amp;$B161)</f>
        <v>17895.290000000015</v>
      </c>
      <c r="N161" s="24">
        <f>SUMIFS('Saldos Iniciales'!$D:$D,'Saldos Iniciales'!$A:$A,"Green Stone Trust")+SUMIFS(Movimientos!$K$1:$K$1368,Movimientos!$C$1:$C$1368,"Green Stone Trust",Movimientos!$B$1:$B$1368,"&lt;="&amp;$B161)</f>
        <v>1968.99</v>
      </c>
      <c r="O161" s="24">
        <f>SUMIFS('Saldos Iniciales'!$D:$D,'Saldos Iniciales'!$A:$A,"EC Auto")+SUMIFS(Movimientos!$K$1:$K$1368,Movimientos!$C$1:$C$1368,"EC Auto",Movimientos!$B$1:$B$1368,"&lt;="&amp;$B161)</f>
        <v>901.34</v>
      </c>
      <c r="P161" s="24">
        <f>SUMIFS('Saldos Iniciales'!$D:$D,'Saldos Iniciales'!$A:$A,"Arbor Capital Properties")+SUMIFS(Movimientos!$K$1:$K$1368,Movimientos!$C$1:$C$1368,"Arbor Capital Properties",Movimientos!$B$1:$B$1368,"&lt;="&amp;$B161)</f>
        <v>1364.08</v>
      </c>
      <c r="Q161" s="24">
        <f>SUMIFS('Saldos Iniciales'!$D:$D,'Saldos Iniciales'!$A:$A,"2515 Overbrook")+SUMIFS(Movimientos!$K$1:$K$1368,Movimientos!$C$1:$C$1368,"2515 Overbrook",Movimientos!$B$1:$B$1368,"&lt;="&amp;$B161)</f>
        <v>20171.549999999959</v>
      </c>
      <c r="R161" s="24">
        <f>SUMIFS('Saldos Iniciales'!$D:$D,'Saldos Iniciales'!$A:$A,"112 Florida Ave")+SUMIFS(Movimientos!$K$1:$K$1368,Movimientos!$C$1:$C$1368,"112 Florida Ave",Movimientos!$B$1:$B$1368,"&lt;="&amp;$B161)</f>
        <v>13576.060000000007</v>
      </c>
      <c r="S161" s="24">
        <f>SUMIFS('Saldos Iniciales'!$D:$D,'Saldos Iniciales'!$A:$A,"3628 Thomas Ave")+SUMIFS(Movimientos!$K$1:$K$1368,Movimientos!$C$1:$C$1368,"3628 Thomas Ave",Movimientos!$B$1:$B$1368,"&lt;="&amp;$B161)</f>
        <v>16893.769999999997</v>
      </c>
      <c r="T161" s="24">
        <f>SUMIFS('Saldos Iniciales'!$D:$D,'Saldos Iniciales'!$A:$A,"Green Harbor Trust")+SUMIFS(Movimientos!$K$1:$K$1368,Movimientos!$C$1:$C$1368,"Green Harbor Trust",Movimientos!$B$1:$B$1368,"&lt;="&amp;$B161)</f>
        <v>345</v>
      </c>
      <c r="U161" s="24">
        <f>SUMIFS('Saldos Iniciales'!$D:$D,'Saldos Iniciales'!$A:$A,"Go Blue")+SUMIFS(Movimientos!$K$1:$K$1368,Movimientos!$C$1:$C$1368,"Go Blue",Movimientos!$B$1:$B$1368,"&lt;="&amp;$B161)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Group")+SUMIFS(Movimientos!$K$1:$K$1368,Movimientos!$C$1:$C$1368,"CFT Group",Movimientos!$B$1:$B$1368,"&lt;="&amp;$B162)</f>
        <v>2834671.5400000005</v>
      </c>
      <c r="D162" s="24">
        <f>SUMIFS('Saldos Iniciales'!$D:$D,'Saldos Iniciales'!$A:$A,"M1B")+SUMIFS(Movimientos!$K$1:$K$1368,Movimientos!$C$1:$C$1368,"M1B",Movimientos!$B$1:$B$1368,"&lt;="&amp;$B162)</f>
        <v>103123.59000000017</v>
      </c>
      <c r="E162" s="24">
        <f>SUMIFS('Saldos Iniciales'!$D:$D,'Saldos Iniciales'!$A:$A,"Durand")+SUMIFS(Movimientos!$K$1:$K$1368,Movimientos!$C$1:$C$1368,"Durand",Movimientos!$B$1:$B$1368,"&lt;="&amp;$B162)</f>
        <v>1669.89</v>
      </c>
      <c r="F162" s="24">
        <f>SUMIFS('Saldos Iniciales'!$D:$D,'Saldos Iniciales'!$A:$A,"A&amp;M Imports")+SUMIFS(Movimientos!$K$1:$K$1368,Movimientos!$C$1:$C$1368,"A&amp;M Imports",Movimientos!$B$1:$B$1368,"&lt;="&amp;$B162)</f>
        <v>1026832.7999999996</v>
      </c>
      <c r="G162" s="24">
        <f>SUMIFS('Saldos Iniciales'!$D:$D,'Saldos Iniciales'!$A:$A,"SSP Capital")+SUMIFS(Movimientos!$K$1:$K$1368,Movimientos!$C$1:$C$1368,"SSP Capital",Movimientos!$B$1:$B$1368,"&lt;="&amp;$B162)</f>
        <v>1378430.5699999994</v>
      </c>
      <c r="H162" s="24">
        <f>SUMIFS('Saldos Iniciales'!$D:$D,'Saldos Iniciales'!$A:$A,"Cross Family Trust")+SUMIFS(Movimientos!$K$1:$K$1368,Movimientos!$C$1:$C$1368,"Cross Family Trust",Movimientos!$B$1:$B$1368,"&lt;="&amp;$B162)</f>
        <v>181778.14</v>
      </c>
      <c r="I162" s="24">
        <f>SUMIFS('Saldos Iniciales'!$D:$D,'Saldos Iniciales'!$A:$A,"Cross Security Trust")+SUMIFS(Movimientos!$K$1:$K$1368,Movimientos!$C$1:$C$1368,"Cross Security Trust",Movimientos!$B$1:$B$1368,"&lt;="&amp;$B162)</f>
        <v>80533.579999999987</v>
      </c>
      <c r="J162" s="24">
        <f>SUMIFS('Saldos Iniciales'!$D:$D,'Saldos Iniciales'!$A:$A,"Electrama")+SUMIFS(Movimientos!$K$1:$K$1368,Movimientos!$C$1:$C$1368,"Electrama",Movimientos!$B$1:$B$1368,"&lt;="&amp;$B162)</f>
        <v>10259.18</v>
      </c>
      <c r="K162" s="24">
        <f>SUMIFS('Saldos Iniciales'!$D:$D,'Saldos Iniciales'!$A:$A,"Sacred Valley Capital")+SUMIFS(Movimientos!$K$1:$K$1368,Movimientos!$C$1:$C$1368,"Sacred Valley Capital",Movimientos!$B$1:$B$1368,"&lt;="&amp;$B162)</f>
        <v>64.55</v>
      </c>
      <c r="L162" s="24">
        <f>SUMIFS('Saldos Iniciales'!$D:$D,'Saldos Iniciales'!$A:$A,"YWC Capital")+SUMIFS(Movimientos!$K$1:$K$1368,Movimientos!$C$1:$C$1368,"YWC Capital",Movimientos!$B$1:$B$1368,"&lt;="&amp;$B162)</f>
        <v>2117.9700000000003</v>
      </c>
      <c r="M162" s="24">
        <f>SUMIFS('Saldos Iniciales'!$D:$D,'Saldos Iniciales'!$A:$A,"Soweto")+SUMIFS(Movimientos!$K$1:$K$1368,Movimientos!$C$1:$C$1368,"Soweto",Movimientos!$B$1:$B$1368,"&lt;="&amp;$B162)</f>
        <v>17895.290000000015</v>
      </c>
      <c r="N162" s="24">
        <f>SUMIFS('Saldos Iniciales'!$D:$D,'Saldos Iniciales'!$A:$A,"Green Stone Trust")+SUMIFS(Movimientos!$K$1:$K$1368,Movimientos!$C$1:$C$1368,"Green Stone Trust",Movimientos!$B$1:$B$1368,"&lt;="&amp;$B162)</f>
        <v>1968.99</v>
      </c>
      <c r="O162" s="24">
        <f>SUMIFS('Saldos Iniciales'!$D:$D,'Saldos Iniciales'!$A:$A,"EC Auto")+SUMIFS(Movimientos!$K$1:$K$1368,Movimientos!$C$1:$C$1368,"EC Auto",Movimientos!$B$1:$B$1368,"&lt;="&amp;$B162)</f>
        <v>901.34</v>
      </c>
      <c r="P162" s="24">
        <f>SUMIFS('Saldos Iniciales'!$D:$D,'Saldos Iniciales'!$A:$A,"Arbor Capital Properties")+SUMIFS(Movimientos!$K$1:$K$1368,Movimientos!$C$1:$C$1368,"Arbor Capital Properties",Movimientos!$B$1:$B$1368,"&lt;="&amp;$B162)</f>
        <v>1364.08</v>
      </c>
      <c r="Q162" s="24">
        <f>SUMIFS('Saldos Iniciales'!$D:$D,'Saldos Iniciales'!$A:$A,"2515 Overbrook")+SUMIFS(Movimientos!$K$1:$K$1368,Movimientos!$C$1:$C$1368,"2515 Overbrook",Movimientos!$B$1:$B$1368,"&lt;="&amp;$B162)</f>
        <v>20171.549999999959</v>
      </c>
      <c r="R162" s="24">
        <f>SUMIFS('Saldos Iniciales'!$D:$D,'Saldos Iniciales'!$A:$A,"112 Florida Ave")+SUMIFS(Movimientos!$K$1:$K$1368,Movimientos!$C$1:$C$1368,"112 Florida Ave",Movimientos!$B$1:$B$1368,"&lt;="&amp;$B162)</f>
        <v>13576.060000000007</v>
      </c>
      <c r="S162" s="24">
        <f>SUMIFS('Saldos Iniciales'!$D:$D,'Saldos Iniciales'!$A:$A,"3628 Thomas Ave")+SUMIFS(Movimientos!$K$1:$K$1368,Movimientos!$C$1:$C$1368,"3628 Thomas Ave",Movimientos!$B$1:$B$1368,"&lt;="&amp;$B162)</f>
        <v>16893.769999999997</v>
      </c>
      <c r="T162" s="24">
        <f>SUMIFS('Saldos Iniciales'!$D:$D,'Saldos Iniciales'!$A:$A,"Green Harbor Trust")+SUMIFS(Movimientos!$K$1:$K$1368,Movimientos!$C$1:$C$1368,"Green Harbor Trust",Movimientos!$B$1:$B$1368,"&lt;="&amp;$B162)</f>
        <v>345</v>
      </c>
      <c r="U162" s="24">
        <f>SUMIFS('Saldos Iniciales'!$D:$D,'Saldos Iniciales'!$A:$A,"Go Blue")+SUMIFS(Movimientos!$K$1:$K$1368,Movimientos!$C$1:$C$1368,"Go Blue",Movimientos!$B$1:$B$1368,"&lt;="&amp;$B162)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Group")+SUMIFS(Movimientos!$K$1:$K$1368,Movimientos!$C$1:$C$1368,"CFT Group",Movimientos!$B$1:$B$1368,"&lt;="&amp;$B163)</f>
        <v>2834671.5400000005</v>
      </c>
      <c r="D163" s="24">
        <f>SUMIFS('Saldos Iniciales'!$D:$D,'Saldos Iniciales'!$A:$A,"M1B")+SUMIFS(Movimientos!$K$1:$K$1368,Movimientos!$C$1:$C$1368,"M1B",Movimientos!$B$1:$B$1368,"&lt;="&amp;$B163)</f>
        <v>103123.59000000017</v>
      </c>
      <c r="E163" s="24">
        <f>SUMIFS('Saldos Iniciales'!$D:$D,'Saldos Iniciales'!$A:$A,"Durand")+SUMIFS(Movimientos!$K$1:$K$1368,Movimientos!$C$1:$C$1368,"Durand",Movimientos!$B$1:$B$1368,"&lt;="&amp;$B163)</f>
        <v>1669.89</v>
      </c>
      <c r="F163" s="24">
        <f>SUMIFS('Saldos Iniciales'!$D:$D,'Saldos Iniciales'!$A:$A,"A&amp;M Imports")+SUMIFS(Movimientos!$K$1:$K$1368,Movimientos!$C$1:$C$1368,"A&amp;M Imports",Movimientos!$B$1:$B$1368,"&lt;="&amp;$B163)</f>
        <v>1026832.7999999996</v>
      </c>
      <c r="G163" s="24">
        <f>SUMIFS('Saldos Iniciales'!$D:$D,'Saldos Iniciales'!$A:$A,"SSP Capital")+SUMIFS(Movimientos!$K$1:$K$1368,Movimientos!$C$1:$C$1368,"SSP Capital",Movimientos!$B$1:$B$1368,"&lt;="&amp;$B163)</f>
        <v>1377138.9199999995</v>
      </c>
      <c r="H163" s="24">
        <f>SUMIFS('Saldos Iniciales'!$D:$D,'Saldos Iniciales'!$A:$A,"Cross Family Trust")+SUMIFS(Movimientos!$K$1:$K$1368,Movimientos!$C$1:$C$1368,"Cross Family Trust",Movimientos!$B$1:$B$1368,"&lt;="&amp;$B163)</f>
        <v>181778.14</v>
      </c>
      <c r="I163" s="24">
        <f>SUMIFS('Saldos Iniciales'!$D:$D,'Saldos Iniciales'!$A:$A,"Cross Security Trust")+SUMIFS(Movimientos!$K$1:$K$1368,Movimientos!$C$1:$C$1368,"Cross Security Trust",Movimientos!$B$1:$B$1368,"&lt;="&amp;$B163)</f>
        <v>80533.579999999987</v>
      </c>
      <c r="J163" s="24">
        <f>SUMIFS('Saldos Iniciales'!$D:$D,'Saldos Iniciales'!$A:$A,"Electrama")+SUMIFS(Movimientos!$K$1:$K$1368,Movimientos!$C$1:$C$1368,"Electrama",Movimientos!$B$1:$B$1368,"&lt;="&amp;$B163)</f>
        <v>10259.18</v>
      </c>
      <c r="K163" s="24">
        <f>SUMIFS('Saldos Iniciales'!$D:$D,'Saldos Iniciales'!$A:$A,"Sacred Valley Capital")+SUMIFS(Movimientos!$K$1:$K$1368,Movimientos!$C$1:$C$1368,"Sacred Valley Capital",Movimientos!$B$1:$B$1368,"&lt;="&amp;$B163)</f>
        <v>64.55</v>
      </c>
      <c r="L163" s="24">
        <f>SUMIFS('Saldos Iniciales'!$D:$D,'Saldos Iniciales'!$A:$A,"YWC Capital")+SUMIFS(Movimientos!$K$1:$K$1368,Movimientos!$C$1:$C$1368,"YWC Capital",Movimientos!$B$1:$B$1368,"&lt;="&amp;$B163)</f>
        <v>2117.9700000000003</v>
      </c>
      <c r="M163" s="24">
        <f>SUMIFS('Saldos Iniciales'!$D:$D,'Saldos Iniciales'!$A:$A,"Soweto")+SUMIFS(Movimientos!$K$1:$K$1368,Movimientos!$C$1:$C$1368,"Soweto",Movimientos!$B$1:$B$1368,"&lt;="&amp;$B163)</f>
        <v>17895.290000000015</v>
      </c>
      <c r="N163" s="24">
        <f>SUMIFS('Saldos Iniciales'!$D:$D,'Saldos Iniciales'!$A:$A,"Green Stone Trust")+SUMIFS(Movimientos!$K$1:$K$1368,Movimientos!$C$1:$C$1368,"Green Stone Trust",Movimientos!$B$1:$B$1368,"&lt;="&amp;$B163)</f>
        <v>1968.99</v>
      </c>
      <c r="O163" s="24">
        <f>SUMIFS('Saldos Iniciales'!$D:$D,'Saldos Iniciales'!$A:$A,"EC Auto")+SUMIFS(Movimientos!$K$1:$K$1368,Movimientos!$C$1:$C$1368,"EC Auto",Movimientos!$B$1:$B$1368,"&lt;="&amp;$B163)</f>
        <v>901.34</v>
      </c>
      <c r="P163" s="24">
        <f>SUMIFS('Saldos Iniciales'!$D:$D,'Saldos Iniciales'!$A:$A,"Arbor Capital Properties")+SUMIFS(Movimientos!$K$1:$K$1368,Movimientos!$C$1:$C$1368,"Arbor Capital Properties",Movimientos!$B$1:$B$1368,"&lt;="&amp;$B163)</f>
        <v>1364.08</v>
      </c>
      <c r="Q163" s="24">
        <f>SUMIFS('Saldos Iniciales'!$D:$D,'Saldos Iniciales'!$A:$A,"2515 Overbrook")+SUMIFS(Movimientos!$K$1:$K$1368,Movimientos!$C$1:$C$1368,"2515 Overbrook",Movimientos!$B$1:$B$1368,"&lt;="&amp;$B163)</f>
        <v>20171.549999999959</v>
      </c>
      <c r="R163" s="24">
        <f>SUMIFS('Saldos Iniciales'!$D:$D,'Saldos Iniciales'!$A:$A,"112 Florida Ave")+SUMIFS(Movimientos!$K$1:$K$1368,Movimientos!$C$1:$C$1368,"112 Florida Ave",Movimientos!$B$1:$B$1368,"&lt;="&amp;$B163)</f>
        <v>13576.060000000007</v>
      </c>
      <c r="S163" s="24">
        <f>SUMIFS('Saldos Iniciales'!$D:$D,'Saldos Iniciales'!$A:$A,"3628 Thomas Ave")+SUMIFS(Movimientos!$K$1:$K$1368,Movimientos!$C$1:$C$1368,"3628 Thomas Ave",Movimientos!$B$1:$B$1368,"&lt;="&amp;$B163)</f>
        <v>16893.769999999997</v>
      </c>
      <c r="T163" s="24">
        <f>SUMIFS('Saldos Iniciales'!$D:$D,'Saldos Iniciales'!$A:$A,"Green Harbor Trust")+SUMIFS(Movimientos!$K$1:$K$1368,Movimientos!$C$1:$C$1368,"Green Harbor Trust",Movimientos!$B$1:$B$1368,"&lt;="&amp;$B163)</f>
        <v>345</v>
      </c>
      <c r="U163" s="24">
        <f>SUMIFS('Saldos Iniciales'!$D:$D,'Saldos Iniciales'!$A:$A,"Go Blue")+SUMIFS(Movimientos!$K$1:$K$1368,Movimientos!$C$1:$C$1368,"Go Blue",Movimientos!$B$1:$B$1368,"&lt;="&amp;$B163)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Group")+SUMIFS(Movimientos!$K$1:$K$1368,Movimientos!$C$1:$C$1368,"CFT Group",Movimientos!$B$1:$B$1368,"&lt;="&amp;$B164)</f>
        <v>2834671.5400000005</v>
      </c>
      <c r="D164" s="24">
        <f>SUMIFS('Saldos Iniciales'!$D:$D,'Saldos Iniciales'!$A:$A,"M1B")+SUMIFS(Movimientos!$K$1:$K$1368,Movimientos!$C$1:$C$1368,"M1B",Movimientos!$B$1:$B$1368,"&lt;="&amp;$B164)</f>
        <v>103123.59000000017</v>
      </c>
      <c r="E164" s="24">
        <f>SUMIFS('Saldos Iniciales'!$D:$D,'Saldos Iniciales'!$A:$A,"Durand")+SUMIFS(Movimientos!$K$1:$K$1368,Movimientos!$C$1:$C$1368,"Durand",Movimientos!$B$1:$B$1368,"&lt;="&amp;$B164)</f>
        <v>1669.89</v>
      </c>
      <c r="F164" s="24">
        <f>SUMIFS('Saldos Iniciales'!$D:$D,'Saldos Iniciales'!$A:$A,"A&amp;M Imports")+SUMIFS(Movimientos!$K$1:$K$1368,Movimientos!$C$1:$C$1368,"A&amp;M Imports",Movimientos!$B$1:$B$1368,"&lt;="&amp;$B164)</f>
        <v>1026832.7999999996</v>
      </c>
      <c r="G164" s="24">
        <f>SUMIFS('Saldos Iniciales'!$D:$D,'Saldos Iniciales'!$A:$A,"SSP Capital")+SUMIFS(Movimientos!$K$1:$K$1368,Movimientos!$C$1:$C$1368,"SSP Capital",Movimientos!$B$1:$B$1368,"&lt;="&amp;$B164)</f>
        <v>1340096.4199999995</v>
      </c>
      <c r="H164" s="24">
        <f>SUMIFS('Saldos Iniciales'!$D:$D,'Saldos Iniciales'!$A:$A,"Cross Family Trust")+SUMIFS(Movimientos!$K$1:$K$1368,Movimientos!$C$1:$C$1368,"Cross Family Trust",Movimientos!$B$1:$B$1368,"&lt;="&amp;$B164)</f>
        <v>181778.14</v>
      </c>
      <c r="I164" s="24">
        <f>SUMIFS('Saldos Iniciales'!$D:$D,'Saldos Iniciales'!$A:$A,"Cross Security Trust")+SUMIFS(Movimientos!$K$1:$K$1368,Movimientos!$C$1:$C$1368,"Cross Security Trust",Movimientos!$B$1:$B$1368,"&lt;="&amp;$B164)</f>
        <v>80533.579999999987</v>
      </c>
      <c r="J164" s="24">
        <f>SUMIFS('Saldos Iniciales'!$D:$D,'Saldos Iniciales'!$A:$A,"Electrama")+SUMIFS(Movimientos!$K$1:$K$1368,Movimientos!$C$1:$C$1368,"Electrama",Movimientos!$B$1:$B$1368,"&lt;="&amp;$B164)</f>
        <v>10259.18</v>
      </c>
      <c r="K164" s="24">
        <f>SUMIFS('Saldos Iniciales'!$D:$D,'Saldos Iniciales'!$A:$A,"Sacred Valley Capital")+SUMIFS(Movimientos!$K$1:$K$1368,Movimientos!$C$1:$C$1368,"Sacred Valley Capital",Movimientos!$B$1:$B$1368,"&lt;="&amp;$B164)</f>
        <v>64.55</v>
      </c>
      <c r="L164" s="24">
        <f>SUMIFS('Saldos Iniciales'!$D:$D,'Saldos Iniciales'!$A:$A,"YWC Capital")+SUMIFS(Movimientos!$K$1:$K$1368,Movimientos!$C$1:$C$1368,"YWC Capital",Movimientos!$B$1:$B$1368,"&lt;="&amp;$B164)</f>
        <v>2117.9700000000003</v>
      </c>
      <c r="M164" s="24">
        <f>SUMIFS('Saldos Iniciales'!$D:$D,'Saldos Iniciales'!$A:$A,"Soweto")+SUMIFS(Movimientos!$K$1:$K$1368,Movimientos!$C$1:$C$1368,"Soweto",Movimientos!$B$1:$B$1368,"&lt;="&amp;$B164)</f>
        <v>17895.290000000015</v>
      </c>
      <c r="N164" s="24">
        <f>SUMIFS('Saldos Iniciales'!$D:$D,'Saldos Iniciales'!$A:$A,"Green Stone Trust")+SUMIFS(Movimientos!$K$1:$K$1368,Movimientos!$C$1:$C$1368,"Green Stone Trust",Movimientos!$B$1:$B$1368,"&lt;="&amp;$B164)</f>
        <v>1968.99</v>
      </c>
      <c r="O164" s="24">
        <f>SUMIFS('Saldos Iniciales'!$D:$D,'Saldos Iniciales'!$A:$A,"EC Auto")+SUMIFS(Movimientos!$K$1:$K$1368,Movimientos!$C$1:$C$1368,"EC Auto",Movimientos!$B$1:$B$1368,"&lt;="&amp;$B164)</f>
        <v>901.34</v>
      </c>
      <c r="P164" s="24">
        <f>SUMIFS('Saldos Iniciales'!$D:$D,'Saldos Iniciales'!$A:$A,"Arbor Capital Properties")+SUMIFS(Movimientos!$K$1:$K$1368,Movimientos!$C$1:$C$1368,"Arbor Capital Properties",Movimientos!$B$1:$B$1368,"&lt;="&amp;$B164)</f>
        <v>1364.08</v>
      </c>
      <c r="Q164" s="24">
        <f>SUMIFS('Saldos Iniciales'!$D:$D,'Saldos Iniciales'!$A:$A,"2515 Overbrook")+SUMIFS(Movimientos!$K$1:$K$1368,Movimientos!$C$1:$C$1368,"2515 Overbrook",Movimientos!$B$1:$B$1368,"&lt;="&amp;$B164)</f>
        <v>20171.549999999959</v>
      </c>
      <c r="R164" s="24">
        <f>SUMIFS('Saldos Iniciales'!$D:$D,'Saldos Iniciales'!$A:$A,"112 Florida Ave")+SUMIFS(Movimientos!$K$1:$K$1368,Movimientos!$C$1:$C$1368,"112 Florida Ave",Movimientos!$B$1:$B$1368,"&lt;="&amp;$B164)</f>
        <v>13576.060000000007</v>
      </c>
      <c r="S164" s="24">
        <f>SUMIFS('Saldos Iniciales'!$D:$D,'Saldos Iniciales'!$A:$A,"3628 Thomas Ave")+SUMIFS(Movimientos!$K$1:$K$1368,Movimientos!$C$1:$C$1368,"3628 Thomas Ave",Movimientos!$B$1:$B$1368,"&lt;="&amp;$B164)</f>
        <v>16893.769999999997</v>
      </c>
      <c r="T164" s="24">
        <f>SUMIFS('Saldos Iniciales'!$D:$D,'Saldos Iniciales'!$A:$A,"Green Harbor Trust")+SUMIFS(Movimientos!$K$1:$K$1368,Movimientos!$C$1:$C$1368,"Green Harbor Trust",Movimientos!$B$1:$B$1368,"&lt;="&amp;$B164)</f>
        <v>345</v>
      </c>
      <c r="U164" s="24">
        <f>SUMIFS('Saldos Iniciales'!$D:$D,'Saldos Iniciales'!$A:$A,"Go Blue")+SUMIFS(Movimientos!$K$1:$K$1368,Movimientos!$C$1:$C$1368,"Go Blue",Movimientos!$B$1:$B$1368,"&lt;="&amp;$B164)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Group")+SUMIFS(Movimientos!$K$1:$K$1368,Movimientos!$C$1:$C$1368,"CFT Group",Movimientos!$B$1:$B$1368,"&lt;="&amp;$B165)</f>
        <v>2834671.5400000005</v>
      </c>
      <c r="D165" s="24">
        <f>SUMIFS('Saldos Iniciales'!$D:$D,'Saldos Iniciales'!$A:$A,"M1B")+SUMIFS(Movimientos!$K$1:$K$1368,Movimientos!$C$1:$C$1368,"M1B",Movimientos!$B$1:$B$1368,"&lt;="&amp;$B165)</f>
        <v>103123.59000000017</v>
      </c>
      <c r="E165" s="24">
        <f>SUMIFS('Saldos Iniciales'!$D:$D,'Saldos Iniciales'!$A:$A,"Durand")+SUMIFS(Movimientos!$K$1:$K$1368,Movimientos!$C$1:$C$1368,"Durand",Movimientos!$B$1:$B$1368,"&lt;="&amp;$B165)</f>
        <v>1669.89</v>
      </c>
      <c r="F165" s="24">
        <f>SUMIFS('Saldos Iniciales'!$D:$D,'Saldos Iniciales'!$A:$A,"A&amp;M Imports")+SUMIFS(Movimientos!$K$1:$K$1368,Movimientos!$C$1:$C$1368,"A&amp;M Imports",Movimientos!$B$1:$B$1368,"&lt;="&amp;$B165)</f>
        <v>1026832.7999999996</v>
      </c>
      <c r="G165" s="24">
        <f>SUMIFS('Saldos Iniciales'!$D:$D,'Saldos Iniciales'!$A:$A,"SSP Capital")+SUMIFS(Movimientos!$K$1:$K$1368,Movimientos!$C$1:$C$1368,"SSP Capital",Movimientos!$B$1:$B$1368,"&lt;="&amp;$B165)</f>
        <v>1340096.4199999995</v>
      </c>
      <c r="H165" s="24">
        <f>SUMIFS('Saldos Iniciales'!$D:$D,'Saldos Iniciales'!$A:$A,"Cross Family Trust")+SUMIFS(Movimientos!$K$1:$K$1368,Movimientos!$C$1:$C$1368,"Cross Family Trust",Movimientos!$B$1:$B$1368,"&lt;="&amp;$B165)</f>
        <v>181778.14</v>
      </c>
      <c r="I165" s="24">
        <f>SUMIFS('Saldos Iniciales'!$D:$D,'Saldos Iniciales'!$A:$A,"Cross Security Trust")+SUMIFS(Movimientos!$K$1:$K$1368,Movimientos!$C$1:$C$1368,"Cross Security Trust",Movimientos!$B$1:$B$1368,"&lt;="&amp;$B165)</f>
        <v>80533.579999999987</v>
      </c>
      <c r="J165" s="24">
        <f>SUMIFS('Saldos Iniciales'!$D:$D,'Saldos Iniciales'!$A:$A,"Electrama")+SUMIFS(Movimientos!$K$1:$K$1368,Movimientos!$C$1:$C$1368,"Electrama",Movimientos!$B$1:$B$1368,"&lt;="&amp;$B165)</f>
        <v>10259.18</v>
      </c>
      <c r="K165" s="24">
        <f>SUMIFS('Saldos Iniciales'!$D:$D,'Saldos Iniciales'!$A:$A,"Sacred Valley Capital")+SUMIFS(Movimientos!$K$1:$K$1368,Movimientos!$C$1:$C$1368,"Sacred Valley Capital",Movimientos!$B$1:$B$1368,"&lt;="&amp;$B165)</f>
        <v>64.55</v>
      </c>
      <c r="L165" s="24">
        <f>SUMIFS('Saldos Iniciales'!$D:$D,'Saldos Iniciales'!$A:$A,"YWC Capital")+SUMIFS(Movimientos!$K$1:$K$1368,Movimientos!$C$1:$C$1368,"YWC Capital",Movimientos!$B$1:$B$1368,"&lt;="&amp;$B165)</f>
        <v>2117.9700000000003</v>
      </c>
      <c r="M165" s="24">
        <f>SUMIFS('Saldos Iniciales'!$D:$D,'Saldos Iniciales'!$A:$A,"Soweto")+SUMIFS(Movimientos!$K$1:$K$1368,Movimientos!$C$1:$C$1368,"Soweto",Movimientos!$B$1:$B$1368,"&lt;="&amp;$B165)</f>
        <v>17895.290000000015</v>
      </c>
      <c r="N165" s="24">
        <f>SUMIFS('Saldos Iniciales'!$D:$D,'Saldos Iniciales'!$A:$A,"Green Stone Trust")+SUMIFS(Movimientos!$K$1:$K$1368,Movimientos!$C$1:$C$1368,"Green Stone Trust",Movimientos!$B$1:$B$1368,"&lt;="&amp;$B165)</f>
        <v>1968.99</v>
      </c>
      <c r="O165" s="24">
        <f>SUMIFS('Saldos Iniciales'!$D:$D,'Saldos Iniciales'!$A:$A,"EC Auto")+SUMIFS(Movimientos!$K$1:$K$1368,Movimientos!$C$1:$C$1368,"EC Auto",Movimientos!$B$1:$B$1368,"&lt;="&amp;$B165)</f>
        <v>901.34</v>
      </c>
      <c r="P165" s="24">
        <f>SUMIFS('Saldos Iniciales'!$D:$D,'Saldos Iniciales'!$A:$A,"Arbor Capital Properties")+SUMIFS(Movimientos!$K$1:$K$1368,Movimientos!$C$1:$C$1368,"Arbor Capital Properties",Movimientos!$B$1:$B$1368,"&lt;="&amp;$B165)</f>
        <v>1364.08</v>
      </c>
      <c r="Q165" s="24">
        <f>SUMIFS('Saldos Iniciales'!$D:$D,'Saldos Iniciales'!$A:$A,"2515 Overbrook")+SUMIFS(Movimientos!$K$1:$K$1368,Movimientos!$C$1:$C$1368,"2515 Overbrook",Movimientos!$B$1:$B$1368,"&lt;="&amp;$B165)</f>
        <v>20171.549999999959</v>
      </c>
      <c r="R165" s="24">
        <f>SUMIFS('Saldos Iniciales'!$D:$D,'Saldos Iniciales'!$A:$A,"112 Florida Ave")+SUMIFS(Movimientos!$K$1:$K$1368,Movimientos!$C$1:$C$1368,"112 Florida Ave",Movimientos!$B$1:$B$1368,"&lt;="&amp;$B165)</f>
        <v>13576.060000000007</v>
      </c>
      <c r="S165" s="24">
        <f>SUMIFS('Saldos Iniciales'!$D:$D,'Saldos Iniciales'!$A:$A,"3628 Thomas Ave")+SUMIFS(Movimientos!$K$1:$K$1368,Movimientos!$C$1:$C$1368,"3628 Thomas Ave",Movimientos!$B$1:$B$1368,"&lt;="&amp;$B165)</f>
        <v>16893.769999999997</v>
      </c>
      <c r="T165" s="24">
        <f>SUMIFS('Saldos Iniciales'!$D:$D,'Saldos Iniciales'!$A:$A,"Green Harbor Trust")+SUMIFS(Movimientos!$K$1:$K$1368,Movimientos!$C$1:$C$1368,"Green Harbor Trust",Movimientos!$B$1:$B$1368,"&lt;="&amp;$B165)</f>
        <v>345</v>
      </c>
      <c r="U165" s="24">
        <f>SUMIFS('Saldos Iniciales'!$D:$D,'Saldos Iniciales'!$A:$A,"Go Blue")+SUMIFS(Movimientos!$K$1:$K$1368,Movimientos!$C$1:$C$1368,"Go Blue",Movimientos!$B$1:$B$1368,"&lt;="&amp;$B165)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Group")+SUMIFS(Movimientos!$K$1:$K$1368,Movimientos!$C$1:$C$1368,"CFT Group",Movimientos!$B$1:$B$1368,"&lt;="&amp;$B166)</f>
        <v>2834671.5400000005</v>
      </c>
      <c r="D166" s="24">
        <f>SUMIFS('Saldos Iniciales'!$D:$D,'Saldos Iniciales'!$A:$A,"M1B")+SUMIFS(Movimientos!$K$1:$K$1368,Movimientos!$C$1:$C$1368,"M1B",Movimientos!$B$1:$B$1368,"&lt;="&amp;$B166)</f>
        <v>103123.59000000017</v>
      </c>
      <c r="E166" s="24">
        <f>SUMIFS('Saldos Iniciales'!$D:$D,'Saldos Iniciales'!$A:$A,"Durand")+SUMIFS(Movimientos!$K$1:$K$1368,Movimientos!$C$1:$C$1368,"Durand",Movimientos!$B$1:$B$1368,"&lt;="&amp;$B166)</f>
        <v>1669.89</v>
      </c>
      <c r="F166" s="24">
        <f>SUMIFS('Saldos Iniciales'!$D:$D,'Saldos Iniciales'!$A:$A,"A&amp;M Imports")+SUMIFS(Movimientos!$K$1:$K$1368,Movimientos!$C$1:$C$1368,"A&amp;M Imports",Movimientos!$B$1:$B$1368,"&lt;="&amp;$B166)</f>
        <v>1026832.7999999996</v>
      </c>
      <c r="G166" s="24">
        <f>SUMIFS('Saldos Iniciales'!$D:$D,'Saldos Iniciales'!$A:$A,"SSP Capital")+SUMIFS(Movimientos!$K$1:$K$1368,Movimientos!$C$1:$C$1368,"SSP Capital",Movimientos!$B$1:$B$1368,"&lt;="&amp;$B166)</f>
        <v>1340096.4199999995</v>
      </c>
      <c r="H166" s="24">
        <f>SUMIFS('Saldos Iniciales'!$D:$D,'Saldos Iniciales'!$A:$A,"Cross Family Trust")+SUMIFS(Movimientos!$K$1:$K$1368,Movimientos!$C$1:$C$1368,"Cross Family Trust",Movimientos!$B$1:$B$1368,"&lt;="&amp;$B166)</f>
        <v>181778.14</v>
      </c>
      <c r="I166" s="24">
        <f>SUMIFS('Saldos Iniciales'!$D:$D,'Saldos Iniciales'!$A:$A,"Cross Security Trust")+SUMIFS(Movimientos!$K$1:$K$1368,Movimientos!$C$1:$C$1368,"Cross Security Trust",Movimientos!$B$1:$B$1368,"&lt;="&amp;$B166)</f>
        <v>80533.579999999987</v>
      </c>
      <c r="J166" s="24">
        <f>SUMIFS('Saldos Iniciales'!$D:$D,'Saldos Iniciales'!$A:$A,"Electrama")+SUMIFS(Movimientos!$K$1:$K$1368,Movimientos!$C$1:$C$1368,"Electrama",Movimientos!$B$1:$B$1368,"&lt;="&amp;$B166)</f>
        <v>10259.18</v>
      </c>
      <c r="K166" s="24">
        <f>SUMIFS('Saldos Iniciales'!$D:$D,'Saldos Iniciales'!$A:$A,"Sacred Valley Capital")+SUMIFS(Movimientos!$K$1:$K$1368,Movimientos!$C$1:$C$1368,"Sacred Valley Capital",Movimientos!$B$1:$B$1368,"&lt;="&amp;$B166)</f>
        <v>64.55</v>
      </c>
      <c r="L166" s="24">
        <f>SUMIFS('Saldos Iniciales'!$D:$D,'Saldos Iniciales'!$A:$A,"YWC Capital")+SUMIFS(Movimientos!$K$1:$K$1368,Movimientos!$C$1:$C$1368,"YWC Capital",Movimientos!$B$1:$B$1368,"&lt;="&amp;$B166)</f>
        <v>2117.9700000000003</v>
      </c>
      <c r="M166" s="24">
        <f>SUMIFS('Saldos Iniciales'!$D:$D,'Saldos Iniciales'!$A:$A,"Soweto")+SUMIFS(Movimientos!$K$1:$K$1368,Movimientos!$C$1:$C$1368,"Soweto",Movimientos!$B$1:$B$1368,"&lt;="&amp;$B166)</f>
        <v>17895.290000000015</v>
      </c>
      <c r="N166" s="24">
        <f>SUMIFS('Saldos Iniciales'!$D:$D,'Saldos Iniciales'!$A:$A,"Green Stone Trust")+SUMIFS(Movimientos!$K$1:$K$1368,Movimientos!$C$1:$C$1368,"Green Stone Trust",Movimientos!$B$1:$B$1368,"&lt;="&amp;$B166)</f>
        <v>1968.99</v>
      </c>
      <c r="O166" s="24">
        <f>SUMIFS('Saldos Iniciales'!$D:$D,'Saldos Iniciales'!$A:$A,"EC Auto")+SUMIFS(Movimientos!$K$1:$K$1368,Movimientos!$C$1:$C$1368,"EC Auto",Movimientos!$B$1:$B$1368,"&lt;="&amp;$B166)</f>
        <v>901.34</v>
      </c>
      <c r="P166" s="24">
        <f>SUMIFS('Saldos Iniciales'!$D:$D,'Saldos Iniciales'!$A:$A,"Arbor Capital Properties")+SUMIFS(Movimientos!$K$1:$K$1368,Movimientos!$C$1:$C$1368,"Arbor Capital Properties",Movimientos!$B$1:$B$1368,"&lt;="&amp;$B166)</f>
        <v>1364.08</v>
      </c>
      <c r="Q166" s="24">
        <f>SUMIFS('Saldos Iniciales'!$D:$D,'Saldos Iniciales'!$A:$A,"2515 Overbrook")+SUMIFS(Movimientos!$K$1:$K$1368,Movimientos!$C$1:$C$1368,"2515 Overbrook",Movimientos!$B$1:$B$1368,"&lt;="&amp;$B166)</f>
        <v>20171.549999999959</v>
      </c>
      <c r="R166" s="24">
        <f>SUMIFS('Saldos Iniciales'!$D:$D,'Saldos Iniciales'!$A:$A,"112 Florida Ave")+SUMIFS(Movimientos!$K$1:$K$1368,Movimientos!$C$1:$C$1368,"112 Florida Ave",Movimientos!$B$1:$B$1368,"&lt;="&amp;$B166)</f>
        <v>13576.060000000007</v>
      </c>
      <c r="S166" s="24">
        <f>SUMIFS('Saldos Iniciales'!$D:$D,'Saldos Iniciales'!$A:$A,"3628 Thomas Ave")+SUMIFS(Movimientos!$K$1:$K$1368,Movimientos!$C$1:$C$1368,"3628 Thomas Ave",Movimientos!$B$1:$B$1368,"&lt;="&amp;$B166)</f>
        <v>16893.769999999997</v>
      </c>
      <c r="T166" s="24">
        <f>SUMIFS('Saldos Iniciales'!$D:$D,'Saldos Iniciales'!$A:$A,"Green Harbor Trust")+SUMIFS(Movimientos!$K$1:$K$1368,Movimientos!$C$1:$C$1368,"Green Harbor Trust",Movimientos!$B$1:$B$1368,"&lt;="&amp;$B166)</f>
        <v>345</v>
      </c>
      <c r="U166" s="24">
        <f>SUMIFS('Saldos Iniciales'!$D:$D,'Saldos Iniciales'!$A:$A,"Go Blue")+SUMIFS(Movimientos!$K$1:$K$1368,Movimientos!$C$1:$C$1368,"Go Blue",Movimientos!$B$1:$B$1368,"&lt;="&amp;$B166)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Group")+SUMIFS(Movimientos!$K$1:$K$1368,Movimientos!$C$1:$C$1368,"CFT Group",Movimientos!$B$1:$B$1368,"&lt;="&amp;$B167)</f>
        <v>2834671.5400000005</v>
      </c>
      <c r="D167" s="24">
        <f>SUMIFS('Saldos Iniciales'!$D:$D,'Saldos Iniciales'!$A:$A,"M1B")+SUMIFS(Movimientos!$K$1:$K$1368,Movimientos!$C$1:$C$1368,"M1B",Movimientos!$B$1:$B$1368,"&lt;="&amp;$B167)</f>
        <v>103123.59000000017</v>
      </c>
      <c r="E167" s="24">
        <f>SUMIFS('Saldos Iniciales'!$D:$D,'Saldos Iniciales'!$A:$A,"Durand")+SUMIFS(Movimientos!$K$1:$K$1368,Movimientos!$C$1:$C$1368,"Durand",Movimientos!$B$1:$B$1368,"&lt;="&amp;$B167)</f>
        <v>1669.89</v>
      </c>
      <c r="F167" s="24">
        <f>SUMIFS('Saldos Iniciales'!$D:$D,'Saldos Iniciales'!$A:$A,"A&amp;M Imports")+SUMIFS(Movimientos!$K$1:$K$1368,Movimientos!$C$1:$C$1368,"A&amp;M Imports",Movimientos!$B$1:$B$1368,"&lt;="&amp;$B167)</f>
        <v>1026832.7999999996</v>
      </c>
      <c r="G167" s="24">
        <f>SUMIFS('Saldos Iniciales'!$D:$D,'Saldos Iniciales'!$A:$A,"SSP Capital")+SUMIFS(Movimientos!$K$1:$K$1368,Movimientos!$C$1:$C$1368,"SSP Capital",Movimientos!$B$1:$B$1368,"&lt;="&amp;$B167)</f>
        <v>1340096.4199999995</v>
      </c>
      <c r="H167" s="24">
        <f>SUMIFS('Saldos Iniciales'!$D:$D,'Saldos Iniciales'!$A:$A,"Cross Family Trust")+SUMIFS(Movimientos!$K$1:$K$1368,Movimientos!$C$1:$C$1368,"Cross Family Trust",Movimientos!$B$1:$B$1368,"&lt;="&amp;$B167)</f>
        <v>181778.14</v>
      </c>
      <c r="I167" s="24">
        <f>SUMIFS('Saldos Iniciales'!$D:$D,'Saldos Iniciales'!$A:$A,"Cross Security Trust")+SUMIFS(Movimientos!$K$1:$K$1368,Movimientos!$C$1:$C$1368,"Cross Security Trust",Movimientos!$B$1:$B$1368,"&lt;="&amp;$B167)</f>
        <v>80533.579999999987</v>
      </c>
      <c r="J167" s="24">
        <f>SUMIFS('Saldos Iniciales'!$D:$D,'Saldos Iniciales'!$A:$A,"Electrama")+SUMIFS(Movimientos!$K$1:$K$1368,Movimientos!$C$1:$C$1368,"Electrama",Movimientos!$B$1:$B$1368,"&lt;="&amp;$B167)</f>
        <v>10259.18</v>
      </c>
      <c r="K167" s="24">
        <f>SUMIFS('Saldos Iniciales'!$D:$D,'Saldos Iniciales'!$A:$A,"Sacred Valley Capital")+SUMIFS(Movimientos!$K$1:$K$1368,Movimientos!$C$1:$C$1368,"Sacred Valley Capital",Movimientos!$B$1:$B$1368,"&lt;="&amp;$B167)</f>
        <v>64.55</v>
      </c>
      <c r="L167" s="24">
        <f>SUMIFS('Saldos Iniciales'!$D:$D,'Saldos Iniciales'!$A:$A,"YWC Capital")+SUMIFS(Movimientos!$K$1:$K$1368,Movimientos!$C$1:$C$1368,"YWC Capital",Movimientos!$B$1:$B$1368,"&lt;="&amp;$B167)</f>
        <v>2117.9700000000003</v>
      </c>
      <c r="M167" s="24">
        <f>SUMIFS('Saldos Iniciales'!$D:$D,'Saldos Iniciales'!$A:$A,"Soweto")+SUMIFS(Movimientos!$K$1:$K$1368,Movimientos!$C$1:$C$1368,"Soweto",Movimientos!$B$1:$B$1368,"&lt;="&amp;$B167)</f>
        <v>17895.290000000015</v>
      </c>
      <c r="N167" s="24">
        <f>SUMIFS('Saldos Iniciales'!$D:$D,'Saldos Iniciales'!$A:$A,"Green Stone Trust")+SUMIFS(Movimientos!$K$1:$K$1368,Movimientos!$C$1:$C$1368,"Green Stone Trust",Movimientos!$B$1:$B$1368,"&lt;="&amp;$B167)</f>
        <v>1968.99</v>
      </c>
      <c r="O167" s="24">
        <f>SUMIFS('Saldos Iniciales'!$D:$D,'Saldos Iniciales'!$A:$A,"EC Auto")+SUMIFS(Movimientos!$K$1:$K$1368,Movimientos!$C$1:$C$1368,"EC Auto",Movimientos!$B$1:$B$1368,"&lt;="&amp;$B167)</f>
        <v>901.34</v>
      </c>
      <c r="P167" s="24">
        <f>SUMIFS('Saldos Iniciales'!$D:$D,'Saldos Iniciales'!$A:$A,"Arbor Capital Properties")+SUMIFS(Movimientos!$K$1:$K$1368,Movimientos!$C$1:$C$1368,"Arbor Capital Properties",Movimientos!$B$1:$B$1368,"&lt;="&amp;$B167)</f>
        <v>1364.08</v>
      </c>
      <c r="Q167" s="24">
        <f>SUMIFS('Saldos Iniciales'!$D:$D,'Saldos Iniciales'!$A:$A,"2515 Overbrook")+SUMIFS(Movimientos!$K$1:$K$1368,Movimientos!$C$1:$C$1368,"2515 Overbrook",Movimientos!$B$1:$B$1368,"&lt;="&amp;$B167)</f>
        <v>20171.549999999959</v>
      </c>
      <c r="R167" s="24">
        <f>SUMIFS('Saldos Iniciales'!$D:$D,'Saldos Iniciales'!$A:$A,"112 Florida Ave")+SUMIFS(Movimientos!$K$1:$K$1368,Movimientos!$C$1:$C$1368,"112 Florida Ave",Movimientos!$B$1:$B$1368,"&lt;="&amp;$B167)</f>
        <v>13576.060000000007</v>
      </c>
      <c r="S167" s="24">
        <f>SUMIFS('Saldos Iniciales'!$D:$D,'Saldos Iniciales'!$A:$A,"3628 Thomas Ave")+SUMIFS(Movimientos!$K$1:$K$1368,Movimientos!$C$1:$C$1368,"3628 Thomas Ave",Movimientos!$B$1:$B$1368,"&lt;="&amp;$B167)</f>
        <v>16893.769999999997</v>
      </c>
      <c r="T167" s="24">
        <f>SUMIFS('Saldos Iniciales'!$D:$D,'Saldos Iniciales'!$A:$A,"Green Harbor Trust")+SUMIFS(Movimientos!$K$1:$K$1368,Movimientos!$C$1:$C$1368,"Green Harbor Trust",Movimientos!$B$1:$B$1368,"&lt;="&amp;$B167)</f>
        <v>345</v>
      </c>
      <c r="U167" s="24">
        <f>SUMIFS('Saldos Iniciales'!$D:$D,'Saldos Iniciales'!$A:$A,"Go Blue")+SUMIFS(Movimientos!$K$1:$K$1368,Movimientos!$C$1:$C$1368,"Go Blue",Movimientos!$B$1:$B$1368,"&lt;="&amp;$B167)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Group")+SUMIFS(Movimientos!$K$1:$K$1368,Movimientos!$C$1:$C$1368,"CFT Group",Movimientos!$B$1:$B$1368,"&lt;="&amp;$B168)</f>
        <v>2393911.5800000005</v>
      </c>
      <c r="D168" s="24">
        <f>SUMIFS('Saldos Iniciales'!$D:$D,'Saldos Iniciales'!$A:$A,"M1B")+SUMIFS(Movimientos!$K$1:$K$1368,Movimientos!$C$1:$C$1368,"M1B",Movimientos!$B$1:$B$1368,"&lt;="&amp;$B168)</f>
        <v>103123.59000000017</v>
      </c>
      <c r="E168" s="24">
        <f>SUMIFS('Saldos Iniciales'!$D:$D,'Saldos Iniciales'!$A:$A,"Durand")+SUMIFS(Movimientos!$K$1:$K$1368,Movimientos!$C$1:$C$1368,"Durand",Movimientos!$B$1:$B$1368,"&lt;="&amp;$B168)</f>
        <v>1669.89</v>
      </c>
      <c r="F168" s="24">
        <f>SUMIFS('Saldos Iniciales'!$D:$D,'Saldos Iniciales'!$A:$A,"A&amp;M Imports")+SUMIFS(Movimientos!$K$1:$K$1368,Movimientos!$C$1:$C$1368,"A&amp;M Imports",Movimientos!$B$1:$B$1368,"&lt;="&amp;$B168)</f>
        <v>892379.23999999953</v>
      </c>
      <c r="G168" s="24">
        <f>SUMIFS('Saldos Iniciales'!$D:$D,'Saldos Iniciales'!$A:$A,"SSP Capital")+SUMIFS(Movimientos!$K$1:$K$1368,Movimientos!$C$1:$C$1368,"SSP Capital",Movimientos!$B$1:$B$1368,"&lt;="&amp;$B168)</f>
        <v>1574252.7299999993</v>
      </c>
      <c r="H168" s="24">
        <f>SUMIFS('Saldos Iniciales'!$D:$D,'Saldos Iniciales'!$A:$A,"Cross Family Trust")+SUMIFS(Movimientos!$K$1:$K$1368,Movimientos!$C$1:$C$1368,"Cross Family Trust",Movimientos!$B$1:$B$1368,"&lt;="&amp;$B168)</f>
        <v>181763.14</v>
      </c>
      <c r="I168" s="24">
        <f>SUMIFS('Saldos Iniciales'!$D:$D,'Saldos Iniciales'!$A:$A,"Cross Security Trust")+SUMIFS(Movimientos!$K$1:$K$1368,Movimientos!$C$1:$C$1368,"Cross Security Trust",Movimientos!$B$1:$B$1368,"&lt;="&amp;$B168)</f>
        <v>80533.579999999987</v>
      </c>
      <c r="J168" s="24">
        <f>SUMIFS('Saldos Iniciales'!$D:$D,'Saldos Iniciales'!$A:$A,"Electrama")+SUMIFS(Movimientos!$K$1:$K$1368,Movimientos!$C$1:$C$1368,"Electrama",Movimientos!$B$1:$B$1368,"&lt;="&amp;$B168)</f>
        <v>10259.18</v>
      </c>
      <c r="K168" s="24">
        <f>SUMIFS('Saldos Iniciales'!$D:$D,'Saldos Iniciales'!$A:$A,"Sacred Valley Capital")+SUMIFS(Movimientos!$K$1:$K$1368,Movimientos!$C$1:$C$1368,"Sacred Valley Capital",Movimientos!$B$1:$B$1368,"&lt;="&amp;$B168)</f>
        <v>64.55</v>
      </c>
      <c r="L168" s="24">
        <f>SUMIFS('Saldos Iniciales'!$D:$D,'Saldos Iniciales'!$A:$A,"YWC Capital")+SUMIFS(Movimientos!$K$1:$K$1368,Movimientos!$C$1:$C$1368,"YWC Capital",Movimientos!$B$1:$B$1368,"&lt;="&amp;$B168)</f>
        <v>2117.9700000000003</v>
      </c>
      <c r="M168" s="24">
        <f>SUMIFS('Saldos Iniciales'!$D:$D,'Saldos Iniciales'!$A:$A,"Soweto")+SUMIFS(Movimientos!$K$1:$K$1368,Movimientos!$C$1:$C$1368,"Soweto",Movimientos!$B$1:$B$1368,"&lt;="&amp;$B168)</f>
        <v>17895.290000000015</v>
      </c>
      <c r="N168" s="24">
        <f>SUMIFS('Saldos Iniciales'!$D:$D,'Saldos Iniciales'!$A:$A,"Green Stone Trust")+SUMIFS(Movimientos!$K$1:$K$1368,Movimientos!$C$1:$C$1368,"Green Stone Trust",Movimientos!$B$1:$B$1368,"&lt;="&amp;$B168)</f>
        <v>1968.99</v>
      </c>
      <c r="O168" s="24">
        <f>SUMIFS('Saldos Iniciales'!$D:$D,'Saldos Iniciales'!$A:$A,"EC Auto")+SUMIFS(Movimientos!$K$1:$K$1368,Movimientos!$C$1:$C$1368,"EC Auto",Movimientos!$B$1:$B$1368,"&lt;="&amp;$B168)</f>
        <v>901.34</v>
      </c>
      <c r="P168" s="24">
        <f>SUMIFS('Saldos Iniciales'!$D:$D,'Saldos Iniciales'!$A:$A,"Arbor Capital Properties")+SUMIFS(Movimientos!$K$1:$K$1368,Movimientos!$C$1:$C$1368,"Arbor Capital Properties",Movimientos!$B$1:$B$1368,"&lt;="&amp;$B168)</f>
        <v>1364.08</v>
      </c>
      <c r="Q168" s="24">
        <f>SUMIFS('Saldos Iniciales'!$D:$D,'Saldos Iniciales'!$A:$A,"2515 Overbrook")+SUMIFS(Movimientos!$K$1:$K$1368,Movimientos!$C$1:$C$1368,"2515 Overbrook",Movimientos!$B$1:$B$1368,"&lt;="&amp;$B168)</f>
        <v>20171.549999999959</v>
      </c>
      <c r="R168" s="24">
        <f>SUMIFS('Saldos Iniciales'!$D:$D,'Saldos Iniciales'!$A:$A,"112 Florida Ave")+SUMIFS(Movimientos!$K$1:$K$1368,Movimientos!$C$1:$C$1368,"112 Florida Ave",Movimientos!$B$1:$B$1368,"&lt;="&amp;$B168)</f>
        <v>13576.060000000007</v>
      </c>
      <c r="S168" s="24">
        <f>SUMIFS('Saldos Iniciales'!$D:$D,'Saldos Iniciales'!$A:$A,"3628 Thomas Ave")+SUMIFS(Movimientos!$K$1:$K$1368,Movimientos!$C$1:$C$1368,"3628 Thomas Ave",Movimientos!$B$1:$B$1368,"&lt;="&amp;$B168)</f>
        <v>16893.769999999997</v>
      </c>
      <c r="T168" s="24">
        <f>SUMIFS('Saldos Iniciales'!$D:$D,'Saldos Iniciales'!$A:$A,"Green Harbor Trust")+SUMIFS(Movimientos!$K$1:$K$1368,Movimientos!$C$1:$C$1368,"Green Harbor Trust",Movimientos!$B$1:$B$1368,"&lt;="&amp;$B168)</f>
        <v>345</v>
      </c>
      <c r="U168" s="24">
        <f>SUMIFS('Saldos Iniciales'!$D:$D,'Saldos Iniciales'!$A:$A,"Go Blue")+SUMIFS(Movimientos!$K$1:$K$1368,Movimientos!$C$1:$C$1368,"Go Blue",Movimientos!$B$1:$B$1368,"&lt;="&amp;$B168)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Group")+SUMIFS(Movimientos!$K$1:$K$1368,Movimientos!$C$1:$C$1368,"CFT Group",Movimientos!$B$1:$B$1368,"&lt;="&amp;$B169)</f>
        <v>2414911.5800000005</v>
      </c>
      <c r="D169" s="24">
        <f>SUMIFS('Saldos Iniciales'!$D:$D,'Saldos Iniciales'!$A:$A,"M1B")+SUMIFS(Movimientos!$K$1:$K$1368,Movimientos!$C$1:$C$1368,"M1B",Movimientos!$B$1:$B$1368,"&lt;="&amp;$B169)</f>
        <v>103123.59000000017</v>
      </c>
      <c r="E169" s="24">
        <f>SUMIFS('Saldos Iniciales'!$D:$D,'Saldos Iniciales'!$A:$A,"Durand")+SUMIFS(Movimientos!$K$1:$K$1368,Movimientos!$C$1:$C$1368,"Durand",Movimientos!$B$1:$B$1368,"&lt;="&amp;$B169)</f>
        <v>1669.89</v>
      </c>
      <c r="F169" s="24">
        <f>SUMIFS('Saldos Iniciales'!$D:$D,'Saldos Iniciales'!$A:$A,"A&amp;M Imports")+SUMIFS(Movimientos!$K$1:$K$1368,Movimientos!$C$1:$C$1368,"A&amp;M Imports",Movimientos!$B$1:$B$1368,"&lt;="&amp;$B169)</f>
        <v>891793.39999999956</v>
      </c>
      <c r="G169" s="24">
        <f>SUMIFS('Saldos Iniciales'!$D:$D,'Saldos Iniciales'!$A:$A,"SSP Capital")+SUMIFS(Movimientos!$K$1:$K$1368,Movimientos!$C$1:$C$1368,"SSP Capital",Movimientos!$B$1:$B$1368,"&lt;="&amp;$B169)</f>
        <v>1574223.3099999991</v>
      </c>
      <c r="H169" s="24">
        <f>SUMIFS('Saldos Iniciales'!$D:$D,'Saldos Iniciales'!$A:$A,"Cross Family Trust")+SUMIFS(Movimientos!$K$1:$K$1368,Movimientos!$C$1:$C$1368,"Cross Family Trust",Movimientos!$B$1:$B$1368,"&lt;="&amp;$B169)</f>
        <v>181763.14</v>
      </c>
      <c r="I169" s="24">
        <f>SUMIFS('Saldos Iniciales'!$D:$D,'Saldos Iniciales'!$A:$A,"Cross Security Trust")+SUMIFS(Movimientos!$K$1:$K$1368,Movimientos!$C$1:$C$1368,"Cross Security Trust",Movimientos!$B$1:$B$1368,"&lt;="&amp;$B169)</f>
        <v>80533.579999999987</v>
      </c>
      <c r="J169" s="24">
        <f>SUMIFS('Saldos Iniciales'!$D:$D,'Saldos Iniciales'!$A:$A,"Electrama")+SUMIFS(Movimientos!$K$1:$K$1368,Movimientos!$C$1:$C$1368,"Electrama",Movimientos!$B$1:$B$1368,"&lt;="&amp;$B169)</f>
        <v>10259.18</v>
      </c>
      <c r="K169" s="24">
        <f>SUMIFS('Saldos Iniciales'!$D:$D,'Saldos Iniciales'!$A:$A,"Sacred Valley Capital")+SUMIFS(Movimientos!$K$1:$K$1368,Movimientos!$C$1:$C$1368,"Sacred Valley Capital",Movimientos!$B$1:$B$1368,"&lt;="&amp;$B169)</f>
        <v>64.55</v>
      </c>
      <c r="L169" s="24">
        <f>SUMIFS('Saldos Iniciales'!$D:$D,'Saldos Iniciales'!$A:$A,"YWC Capital")+SUMIFS(Movimientos!$K$1:$K$1368,Movimientos!$C$1:$C$1368,"YWC Capital",Movimientos!$B$1:$B$1368,"&lt;="&amp;$B169)</f>
        <v>2117.9700000000003</v>
      </c>
      <c r="M169" s="24">
        <f>SUMIFS('Saldos Iniciales'!$D:$D,'Saldos Iniciales'!$A:$A,"Soweto")+SUMIFS(Movimientos!$K$1:$K$1368,Movimientos!$C$1:$C$1368,"Soweto",Movimientos!$B$1:$B$1368,"&lt;="&amp;$B169)</f>
        <v>17895.290000000015</v>
      </c>
      <c r="N169" s="24">
        <f>SUMIFS('Saldos Iniciales'!$D:$D,'Saldos Iniciales'!$A:$A,"Green Stone Trust")+SUMIFS(Movimientos!$K$1:$K$1368,Movimientos!$C$1:$C$1368,"Green Stone Trust",Movimientos!$B$1:$B$1368,"&lt;="&amp;$B169)</f>
        <v>1968.99</v>
      </c>
      <c r="O169" s="24">
        <f>SUMIFS('Saldos Iniciales'!$D:$D,'Saldos Iniciales'!$A:$A,"EC Auto")+SUMIFS(Movimientos!$K$1:$K$1368,Movimientos!$C$1:$C$1368,"EC Auto",Movimientos!$B$1:$B$1368,"&lt;="&amp;$B169)</f>
        <v>901.34</v>
      </c>
      <c r="P169" s="24">
        <f>SUMIFS('Saldos Iniciales'!$D:$D,'Saldos Iniciales'!$A:$A,"Arbor Capital Properties")+SUMIFS(Movimientos!$K$1:$K$1368,Movimientos!$C$1:$C$1368,"Arbor Capital Properties",Movimientos!$B$1:$B$1368,"&lt;="&amp;$B169)</f>
        <v>1364.08</v>
      </c>
      <c r="Q169" s="24">
        <f>SUMIFS('Saldos Iniciales'!$D:$D,'Saldos Iniciales'!$A:$A,"2515 Overbrook")+SUMIFS(Movimientos!$K$1:$K$1368,Movimientos!$C$1:$C$1368,"2515 Overbrook",Movimientos!$B$1:$B$1368,"&lt;="&amp;$B169)</f>
        <v>20171.549999999959</v>
      </c>
      <c r="R169" s="24">
        <f>SUMIFS('Saldos Iniciales'!$D:$D,'Saldos Iniciales'!$A:$A,"112 Florida Ave")+SUMIFS(Movimientos!$K$1:$K$1368,Movimientos!$C$1:$C$1368,"112 Florida Ave",Movimientos!$B$1:$B$1368,"&lt;="&amp;$B169)</f>
        <v>13576.060000000007</v>
      </c>
      <c r="S169" s="24">
        <f>SUMIFS('Saldos Iniciales'!$D:$D,'Saldos Iniciales'!$A:$A,"3628 Thomas Ave")+SUMIFS(Movimientos!$K$1:$K$1368,Movimientos!$C$1:$C$1368,"3628 Thomas Ave",Movimientos!$B$1:$B$1368,"&lt;="&amp;$B169)</f>
        <v>16893.769999999997</v>
      </c>
      <c r="T169" s="24">
        <f>SUMIFS('Saldos Iniciales'!$D:$D,'Saldos Iniciales'!$A:$A,"Green Harbor Trust")+SUMIFS(Movimientos!$K$1:$K$1368,Movimientos!$C$1:$C$1368,"Green Harbor Trust",Movimientos!$B$1:$B$1368,"&lt;="&amp;$B169)</f>
        <v>345</v>
      </c>
      <c r="U169" s="24">
        <f>SUMIFS('Saldos Iniciales'!$D:$D,'Saldos Iniciales'!$A:$A,"Go Blue")+SUMIFS(Movimientos!$K$1:$K$1368,Movimientos!$C$1:$C$1368,"Go Blue",Movimientos!$B$1:$B$1368,"&lt;="&amp;$B169)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Group")+SUMIFS(Movimientos!$K$1:$K$1368,Movimientos!$C$1:$C$1368,"CFT Group",Movimientos!$B$1:$B$1368,"&lt;="&amp;$B170)</f>
        <v>1414911.5800000005</v>
      </c>
      <c r="D170" s="24">
        <f>SUMIFS('Saldos Iniciales'!$D:$D,'Saldos Iniciales'!$A:$A,"M1B")+SUMIFS(Movimientos!$K$1:$K$1368,Movimientos!$C$1:$C$1368,"M1B",Movimientos!$B$1:$B$1368,"&lt;="&amp;$B170)</f>
        <v>103123.59000000017</v>
      </c>
      <c r="E170" s="24">
        <f>SUMIFS('Saldos Iniciales'!$D:$D,'Saldos Iniciales'!$A:$A,"Durand")+SUMIFS(Movimientos!$K$1:$K$1368,Movimientos!$C$1:$C$1368,"Durand",Movimientos!$B$1:$B$1368,"&lt;="&amp;$B170)</f>
        <v>1669.89</v>
      </c>
      <c r="F170" s="24">
        <f>SUMIFS('Saldos Iniciales'!$D:$D,'Saldos Iniciales'!$A:$A,"A&amp;M Imports")+SUMIFS(Movimientos!$K$1:$K$1368,Movimientos!$C$1:$C$1368,"A&amp;M Imports",Movimientos!$B$1:$B$1368,"&lt;="&amp;$B170)</f>
        <v>891793.39999999956</v>
      </c>
      <c r="G170" s="24">
        <f>SUMIFS('Saldos Iniciales'!$D:$D,'Saldos Iniciales'!$A:$A,"SSP Capital")+SUMIFS(Movimientos!$K$1:$K$1368,Movimientos!$C$1:$C$1368,"SSP Capital",Movimientos!$B$1:$B$1368,"&lt;="&amp;$B170)</f>
        <v>1571732.9499999993</v>
      </c>
      <c r="H170" s="24">
        <f>SUMIFS('Saldos Iniciales'!$D:$D,'Saldos Iniciales'!$A:$A,"Cross Family Trust")+SUMIFS(Movimientos!$K$1:$K$1368,Movimientos!$C$1:$C$1368,"Cross Family Trust",Movimientos!$B$1:$B$1368,"&lt;="&amp;$B170)</f>
        <v>181763.14</v>
      </c>
      <c r="I170" s="24">
        <f>SUMIFS('Saldos Iniciales'!$D:$D,'Saldos Iniciales'!$A:$A,"Cross Security Trust")+SUMIFS(Movimientos!$K$1:$K$1368,Movimientos!$C$1:$C$1368,"Cross Security Trust",Movimientos!$B$1:$B$1368,"&lt;="&amp;$B170)</f>
        <v>80533.579999999987</v>
      </c>
      <c r="J170" s="24">
        <f>SUMIFS('Saldos Iniciales'!$D:$D,'Saldos Iniciales'!$A:$A,"Electrama")+SUMIFS(Movimientos!$K$1:$K$1368,Movimientos!$C$1:$C$1368,"Electrama",Movimientos!$B$1:$B$1368,"&lt;="&amp;$B170)</f>
        <v>10259.18</v>
      </c>
      <c r="K170" s="24">
        <f>SUMIFS('Saldos Iniciales'!$D:$D,'Saldos Iniciales'!$A:$A,"Sacred Valley Capital")+SUMIFS(Movimientos!$K$1:$K$1368,Movimientos!$C$1:$C$1368,"Sacred Valley Capital",Movimientos!$B$1:$B$1368,"&lt;="&amp;$B170)</f>
        <v>64.55</v>
      </c>
      <c r="L170" s="24">
        <f>SUMIFS('Saldos Iniciales'!$D:$D,'Saldos Iniciales'!$A:$A,"YWC Capital")+SUMIFS(Movimientos!$K$1:$K$1368,Movimientos!$C$1:$C$1368,"YWC Capital",Movimientos!$B$1:$B$1368,"&lt;="&amp;$B170)</f>
        <v>2117.9700000000003</v>
      </c>
      <c r="M170" s="24">
        <f>SUMIFS('Saldos Iniciales'!$D:$D,'Saldos Iniciales'!$A:$A,"Soweto")+SUMIFS(Movimientos!$K$1:$K$1368,Movimientos!$C$1:$C$1368,"Soweto",Movimientos!$B$1:$B$1368,"&lt;="&amp;$B170)</f>
        <v>17895.290000000015</v>
      </c>
      <c r="N170" s="24">
        <f>SUMIFS('Saldos Iniciales'!$D:$D,'Saldos Iniciales'!$A:$A,"Green Stone Trust")+SUMIFS(Movimientos!$K$1:$K$1368,Movimientos!$C$1:$C$1368,"Green Stone Trust",Movimientos!$B$1:$B$1368,"&lt;="&amp;$B170)</f>
        <v>1968.99</v>
      </c>
      <c r="O170" s="24">
        <f>SUMIFS('Saldos Iniciales'!$D:$D,'Saldos Iniciales'!$A:$A,"EC Auto")+SUMIFS(Movimientos!$K$1:$K$1368,Movimientos!$C$1:$C$1368,"EC Auto",Movimientos!$B$1:$B$1368,"&lt;="&amp;$B170)</f>
        <v>901.34</v>
      </c>
      <c r="P170" s="24">
        <f>SUMIFS('Saldos Iniciales'!$D:$D,'Saldos Iniciales'!$A:$A,"Arbor Capital Properties")+SUMIFS(Movimientos!$K$1:$K$1368,Movimientos!$C$1:$C$1368,"Arbor Capital Properties",Movimientos!$B$1:$B$1368,"&lt;="&amp;$B170)</f>
        <v>1364.08</v>
      </c>
      <c r="Q170" s="24">
        <f>SUMIFS('Saldos Iniciales'!$D:$D,'Saldos Iniciales'!$A:$A,"2515 Overbrook")+SUMIFS(Movimientos!$K$1:$K$1368,Movimientos!$C$1:$C$1368,"2515 Overbrook",Movimientos!$B$1:$B$1368,"&lt;="&amp;$B170)</f>
        <v>19909.049999999959</v>
      </c>
      <c r="R170" s="24">
        <f>SUMIFS('Saldos Iniciales'!$D:$D,'Saldos Iniciales'!$A:$A,"112 Florida Ave")+SUMIFS(Movimientos!$K$1:$K$1368,Movimientos!$C$1:$C$1368,"112 Florida Ave",Movimientos!$B$1:$B$1368,"&lt;="&amp;$B170)</f>
        <v>13576.060000000007</v>
      </c>
      <c r="S170" s="24">
        <f>SUMIFS('Saldos Iniciales'!$D:$D,'Saldos Iniciales'!$A:$A,"3628 Thomas Ave")+SUMIFS(Movimientos!$K$1:$K$1368,Movimientos!$C$1:$C$1368,"3628 Thomas Ave",Movimientos!$B$1:$B$1368,"&lt;="&amp;$B170)</f>
        <v>16303.769999999997</v>
      </c>
      <c r="T170" s="24">
        <f>SUMIFS('Saldos Iniciales'!$D:$D,'Saldos Iniciales'!$A:$A,"Green Harbor Trust")+SUMIFS(Movimientos!$K$1:$K$1368,Movimientos!$C$1:$C$1368,"Green Harbor Trust",Movimientos!$B$1:$B$1368,"&lt;="&amp;$B170)</f>
        <v>345</v>
      </c>
      <c r="U170" s="24">
        <f>SUMIFS('Saldos Iniciales'!$D:$D,'Saldos Iniciales'!$A:$A,"Go Blue")+SUMIFS(Movimientos!$K$1:$K$1368,Movimientos!$C$1:$C$1368,"Go Blue",Movimientos!$B$1:$B$1368,"&lt;="&amp;$B170)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Group")+SUMIFS(Movimientos!$K$1:$K$1368,Movimientos!$C$1:$C$1368,"CFT Group",Movimientos!$B$1:$B$1368,"&lt;="&amp;$B171)</f>
        <v>1414911.5800000005</v>
      </c>
      <c r="D171" s="24">
        <f>SUMIFS('Saldos Iniciales'!$D:$D,'Saldos Iniciales'!$A:$A,"M1B")+SUMIFS(Movimientos!$K$1:$K$1368,Movimientos!$C$1:$C$1368,"M1B",Movimientos!$B$1:$B$1368,"&lt;="&amp;$B171)</f>
        <v>103123.59000000017</v>
      </c>
      <c r="E171" s="24">
        <f>SUMIFS('Saldos Iniciales'!$D:$D,'Saldos Iniciales'!$A:$A,"Durand")+SUMIFS(Movimientos!$K$1:$K$1368,Movimientos!$C$1:$C$1368,"Durand",Movimientos!$B$1:$B$1368,"&lt;="&amp;$B171)</f>
        <v>1669.89</v>
      </c>
      <c r="F171" s="24">
        <f>SUMIFS('Saldos Iniciales'!$D:$D,'Saldos Iniciales'!$A:$A,"A&amp;M Imports")+SUMIFS(Movimientos!$K$1:$K$1368,Movimientos!$C$1:$C$1368,"A&amp;M Imports",Movimientos!$B$1:$B$1368,"&lt;="&amp;$B171)</f>
        <v>891793.39999999956</v>
      </c>
      <c r="G171" s="24">
        <f>SUMIFS('Saldos Iniciales'!$D:$D,'Saldos Iniciales'!$A:$A,"SSP Capital")+SUMIFS(Movimientos!$K$1:$K$1368,Movimientos!$C$1:$C$1368,"SSP Capital",Movimientos!$B$1:$B$1368,"&lt;="&amp;$B171)</f>
        <v>1571732.9499999993</v>
      </c>
      <c r="H171" s="24">
        <f>SUMIFS('Saldos Iniciales'!$D:$D,'Saldos Iniciales'!$A:$A,"Cross Family Trust")+SUMIFS(Movimientos!$K$1:$K$1368,Movimientos!$C$1:$C$1368,"Cross Family Trust",Movimientos!$B$1:$B$1368,"&lt;="&amp;$B171)</f>
        <v>181763.14</v>
      </c>
      <c r="I171" s="24">
        <f>SUMIFS('Saldos Iniciales'!$D:$D,'Saldos Iniciales'!$A:$A,"Cross Security Trust")+SUMIFS(Movimientos!$K$1:$K$1368,Movimientos!$C$1:$C$1368,"Cross Security Trust",Movimientos!$B$1:$B$1368,"&lt;="&amp;$B171)</f>
        <v>80533.579999999987</v>
      </c>
      <c r="J171" s="24">
        <f>SUMIFS('Saldos Iniciales'!$D:$D,'Saldos Iniciales'!$A:$A,"Electrama")+SUMIFS(Movimientos!$K$1:$K$1368,Movimientos!$C$1:$C$1368,"Electrama",Movimientos!$B$1:$B$1368,"&lt;="&amp;$B171)</f>
        <v>10259.18</v>
      </c>
      <c r="K171" s="24">
        <f>SUMIFS('Saldos Iniciales'!$D:$D,'Saldos Iniciales'!$A:$A,"Sacred Valley Capital")+SUMIFS(Movimientos!$K$1:$K$1368,Movimientos!$C$1:$C$1368,"Sacred Valley Capital",Movimientos!$B$1:$B$1368,"&lt;="&amp;$B171)</f>
        <v>64.55</v>
      </c>
      <c r="L171" s="24">
        <f>SUMIFS('Saldos Iniciales'!$D:$D,'Saldos Iniciales'!$A:$A,"YWC Capital")+SUMIFS(Movimientos!$K$1:$K$1368,Movimientos!$C$1:$C$1368,"YWC Capital",Movimientos!$B$1:$B$1368,"&lt;="&amp;$B171)</f>
        <v>2117.9700000000003</v>
      </c>
      <c r="M171" s="24">
        <f>SUMIFS('Saldos Iniciales'!$D:$D,'Saldos Iniciales'!$A:$A,"Soweto")+SUMIFS(Movimientos!$K$1:$K$1368,Movimientos!$C$1:$C$1368,"Soweto",Movimientos!$B$1:$B$1368,"&lt;="&amp;$B171)</f>
        <v>17895.290000000015</v>
      </c>
      <c r="N171" s="24">
        <f>SUMIFS('Saldos Iniciales'!$D:$D,'Saldos Iniciales'!$A:$A,"Green Stone Trust")+SUMIFS(Movimientos!$K$1:$K$1368,Movimientos!$C$1:$C$1368,"Green Stone Trust",Movimientos!$B$1:$B$1368,"&lt;="&amp;$B171)</f>
        <v>1968.99</v>
      </c>
      <c r="O171" s="24">
        <f>SUMIFS('Saldos Iniciales'!$D:$D,'Saldos Iniciales'!$A:$A,"EC Auto")+SUMIFS(Movimientos!$K$1:$K$1368,Movimientos!$C$1:$C$1368,"EC Auto",Movimientos!$B$1:$B$1368,"&lt;="&amp;$B171)</f>
        <v>901.34</v>
      </c>
      <c r="P171" s="24">
        <f>SUMIFS('Saldos Iniciales'!$D:$D,'Saldos Iniciales'!$A:$A,"Arbor Capital Properties")+SUMIFS(Movimientos!$K$1:$K$1368,Movimientos!$C$1:$C$1368,"Arbor Capital Properties",Movimientos!$B$1:$B$1368,"&lt;="&amp;$B171)</f>
        <v>1364.08</v>
      </c>
      <c r="Q171" s="24">
        <f>SUMIFS('Saldos Iniciales'!$D:$D,'Saldos Iniciales'!$A:$A,"2515 Overbrook")+SUMIFS(Movimientos!$K$1:$K$1368,Movimientos!$C$1:$C$1368,"2515 Overbrook",Movimientos!$B$1:$B$1368,"&lt;="&amp;$B171)</f>
        <v>19909.049999999959</v>
      </c>
      <c r="R171" s="24">
        <f>SUMIFS('Saldos Iniciales'!$D:$D,'Saldos Iniciales'!$A:$A,"112 Florida Ave")+SUMIFS(Movimientos!$K$1:$K$1368,Movimientos!$C$1:$C$1368,"112 Florida Ave",Movimientos!$B$1:$B$1368,"&lt;="&amp;$B171)</f>
        <v>13576.060000000007</v>
      </c>
      <c r="S171" s="24">
        <f>SUMIFS('Saldos Iniciales'!$D:$D,'Saldos Iniciales'!$A:$A,"3628 Thomas Ave")+SUMIFS(Movimientos!$K$1:$K$1368,Movimientos!$C$1:$C$1368,"3628 Thomas Ave",Movimientos!$B$1:$B$1368,"&lt;="&amp;$B171)</f>
        <v>16303.769999999997</v>
      </c>
      <c r="T171" s="24">
        <f>SUMIFS('Saldos Iniciales'!$D:$D,'Saldos Iniciales'!$A:$A,"Green Harbor Trust")+SUMIFS(Movimientos!$K$1:$K$1368,Movimientos!$C$1:$C$1368,"Green Harbor Trust",Movimientos!$B$1:$B$1368,"&lt;="&amp;$B171)</f>
        <v>345</v>
      </c>
      <c r="U171" s="24">
        <f>SUMIFS('Saldos Iniciales'!$D:$D,'Saldos Iniciales'!$A:$A,"Go Blue")+SUMIFS(Movimientos!$K$1:$K$1368,Movimientos!$C$1:$C$1368,"Go Blue",Movimientos!$B$1:$B$1368,"&lt;="&amp;$B171)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Group")+SUMIFS(Movimientos!$K$1:$K$1368,Movimientos!$C$1:$C$1368,"CFT Group",Movimientos!$B$1:$B$1368,"&lt;="&amp;$B172)</f>
        <v>1414911.5800000005</v>
      </c>
      <c r="D172" s="24">
        <f>SUMIFS('Saldos Iniciales'!$D:$D,'Saldos Iniciales'!$A:$A,"M1B")+SUMIFS(Movimientos!$K$1:$K$1368,Movimientos!$C$1:$C$1368,"M1B",Movimientos!$B$1:$B$1368,"&lt;="&amp;$B172)</f>
        <v>103123.59000000017</v>
      </c>
      <c r="E172" s="24">
        <f>SUMIFS('Saldos Iniciales'!$D:$D,'Saldos Iniciales'!$A:$A,"Durand")+SUMIFS(Movimientos!$K$1:$K$1368,Movimientos!$C$1:$C$1368,"Durand",Movimientos!$B$1:$B$1368,"&lt;="&amp;$B172)</f>
        <v>1669.89</v>
      </c>
      <c r="F172" s="24">
        <f>SUMIFS('Saldos Iniciales'!$D:$D,'Saldos Iniciales'!$A:$A,"A&amp;M Imports")+SUMIFS(Movimientos!$K$1:$K$1368,Movimientos!$C$1:$C$1368,"A&amp;M Imports",Movimientos!$B$1:$B$1368,"&lt;="&amp;$B172)</f>
        <v>891793.39999999956</v>
      </c>
      <c r="G172" s="24">
        <f>SUMIFS('Saldos Iniciales'!$D:$D,'Saldos Iniciales'!$A:$A,"SSP Capital")+SUMIFS(Movimientos!$K$1:$K$1368,Movimientos!$C$1:$C$1368,"SSP Capital",Movimientos!$B$1:$B$1368,"&lt;="&amp;$B172)</f>
        <v>1571732.9499999993</v>
      </c>
      <c r="H172" s="24">
        <f>SUMIFS('Saldos Iniciales'!$D:$D,'Saldos Iniciales'!$A:$A,"Cross Family Trust")+SUMIFS(Movimientos!$K$1:$K$1368,Movimientos!$C$1:$C$1368,"Cross Family Trust",Movimientos!$B$1:$B$1368,"&lt;="&amp;$B172)</f>
        <v>181763.14</v>
      </c>
      <c r="I172" s="24">
        <f>SUMIFS('Saldos Iniciales'!$D:$D,'Saldos Iniciales'!$A:$A,"Cross Security Trust")+SUMIFS(Movimientos!$K$1:$K$1368,Movimientos!$C$1:$C$1368,"Cross Security Trust",Movimientos!$B$1:$B$1368,"&lt;="&amp;$B172)</f>
        <v>80533.579999999987</v>
      </c>
      <c r="J172" s="24">
        <f>SUMIFS('Saldos Iniciales'!$D:$D,'Saldos Iniciales'!$A:$A,"Electrama")+SUMIFS(Movimientos!$K$1:$K$1368,Movimientos!$C$1:$C$1368,"Electrama",Movimientos!$B$1:$B$1368,"&lt;="&amp;$B172)</f>
        <v>10259.18</v>
      </c>
      <c r="K172" s="24">
        <f>SUMIFS('Saldos Iniciales'!$D:$D,'Saldos Iniciales'!$A:$A,"Sacred Valley Capital")+SUMIFS(Movimientos!$K$1:$K$1368,Movimientos!$C$1:$C$1368,"Sacred Valley Capital",Movimientos!$B$1:$B$1368,"&lt;="&amp;$B172)</f>
        <v>64.55</v>
      </c>
      <c r="L172" s="24">
        <f>SUMIFS('Saldos Iniciales'!$D:$D,'Saldos Iniciales'!$A:$A,"YWC Capital")+SUMIFS(Movimientos!$K$1:$K$1368,Movimientos!$C$1:$C$1368,"YWC Capital",Movimientos!$B$1:$B$1368,"&lt;="&amp;$B172)</f>
        <v>2117.9700000000003</v>
      </c>
      <c r="M172" s="24">
        <f>SUMIFS('Saldos Iniciales'!$D:$D,'Saldos Iniciales'!$A:$A,"Soweto")+SUMIFS(Movimientos!$K$1:$K$1368,Movimientos!$C$1:$C$1368,"Soweto",Movimientos!$B$1:$B$1368,"&lt;="&amp;$B172)</f>
        <v>17895.290000000015</v>
      </c>
      <c r="N172" s="24">
        <f>SUMIFS('Saldos Iniciales'!$D:$D,'Saldos Iniciales'!$A:$A,"Green Stone Trust")+SUMIFS(Movimientos!$K$1:$K$1368,Movimientos!$C$1:$C$1368,"Green Stone Trust",Movimientos!$B$1:$B$1368,"&lt;="&amp;$B172)</f>
        <v>1968.99</v>
      </c>
      <c r="O172" s="24">
        <f>SUMIFS('Saldos Iniciales'!$D:$D,'Saldos Iniciales'!$A:$A,"EC Auto")+SUMIFS(Movimientos!$K$1:$K$1368,Movimientos!$C$1:$C$1368,"EC Auto",Movimientos!$B$1:$B$1368,"&lt;="&amp;$B172)</f>
        <v>901.34</v>
      </c>
      <c r="P172" s="24">
        <f>SUMIFS('Saldos Iniciales'!$D:$D,'Saldos Iniciales'!$A:$A,"Arbor Capital Properties")+SUMIFS(Movimientos!$K$1:$K$1368,Movimientos!$C$1:$C$1368,"Arbor Capital Properties",Movimientos!$B$1:$B$1368,"&lt;="&amp;$B172)</f>
        <v>1364.08</v>
      </c>
      <c r="Q172" s="24">
        <f>SUMIFS('Saldos Iniciales'!$D:$D,'Saldos Iniciales'!$A:$A,"2515 Overbrook")+SUMIFS(Movimientos!$K$1:$K$1368,Movimientos!$C$1:$C$1368,"2515 Overbrook",Movimientos!$B$1:$B$1368,"&lt;="&amp;$B172)</f>
        <v>19909.049999999959</v>
      </c>
      <c r="R172" s="24">
        <f>SUMIFS('Saldos Iniciales'!$D:$D,'Saldos Iniciales'!$A:$A,"112 Florida Ave")+SUMIFS(Movimientos!$K$1:$K$1368,Movimientos!$C$1:$C$1368,"112 Florida Ave",Movimientos!$B$1:$B$1368,"&lt;="&amp;$B172)</f>
        <v>13576.060000000007</v>
      </c>
      <c r="S172" s="24">
        <f>SUMIFS('Saldos Iniciales'!$D:$D,'Saldos Iniciales'!$A:$A,"3628 Thomas Ave")+SUMIFS(Movimientos!$K$1:$K$1368,Movimientos!$C$1:$C$1368,"3628 Thomas Ave",Movimientos!$B$1:$B$1368,"&lt;="&amp;$B172)</f>
        <v>16303.769999999997</v>
      </c>
      <c r="T172" s="24">
        <f>SUMIFS('Saldos Iniciales'!$D:$D,'Saldos Iniciales'!$A:$A,"Green Harbor Trust")+SUMIFS(Movimientos!$K$1:$K$1368,Movimientos!$C$1:$C$1368,"Green Harbor Trust",Movimientos!$B$1:$B$1368,"&lt;="&amp;$B172)</f>
        <v>345</v>
      </c>
      <c r="U172" s="24">
        <f>SUMIFS('Saldos Iniciales'!$D:$D,'Saldos Iniciales'!$A:$A,"Go Blue")+SUMIFS(Movimientos!$K$1:$K$1368,Movimientos!$C$1:$C$1368,"Go Blue",Movimientos!$B$1:$B$1368,"&lt;="&amp;$B172)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Group")+SUMIFS(Movimientos!$K$1:$K$1368,Movimientos!$C$1:$C$1368,"CFT Group",Movimientos!$B$1:$B$1368,"&lt;="&amp;$B173)</f>
        <v>1414911.5800000005</v>
      </c>
      <c r="D173" s="24">
        <f>SUMIFS('Saldos Iniciales'!$D:$D,'Saldos Iniciales'!$A:$A,"M1B")+SUMIFS(Movimientos!$K$1:$K$1368,Movimientos!$C$1:$C$1368,"M1B",Movimientos!$B$1:$B$1368,"&lt;="&amp;$B173)</f>
        <v>103123.59000000017</v>
      </c>
      <c r="E173" s="24">
        <f>SUMIFS('Saldos Iniciales'!$D:$D,'Saldos Iniciales'!$A:$A,"Durand")+SUMIFS(Movimientos!$K$1:$K$1368,Movimientos!$C$1:$C$1368,"Durand",Movimientos!$B$1:$B$1368,"&lt;="&amp;$B173)</f>
        <v>1669.89</v>
      </c>
      <c r="F173" s="24">
        <f>SUMIFS('Saldos Iniciales'!$D:$D,'Saldos Iniciales'!$A:$A,"A&amp;M Imports")+SUMIFS(Movimientos!$K$1:$K$1368,Movimientos!$C$1:$C$1368,"A&amp;M Imports",Movimientos!$B$1:$B$1368,"&lt;="&amp;$B173)</f>
        <v>891793.39999999956</v>
      </c>
      <c r="G173" s="24">
        <f>SUMIFS('Saldos Iniciales'!$D:$D,'Saldos Iniciales'!$A:$A,"SSP Capital")+SUMIFS(Movimientos!$K$1:$K$1368,Movimientos!$C$1:$C$1368,"SSP Capital",Movimientos!$B$1:$B$1368,"&lt;="&amp;$B173)</f>
        <v>1570995.9099999992</v>
      </c>
      <c r="H173" s="24">
        <f>SUMIFS('Saldos Iniciales'!$D:$D,'Saldos Iniciales'!$A:$A,"Cross Family Trust")+SUMIFS(Movimientos!$K$1:$K$1368,Movimientos!$C$1:$C$1368,"Cross Family Trust",Movimientos!$B$1:$B$1368,"&lt;="&amp;$B173)</f>
        <v>181763.14</v>
      </c>
      <c r="I173" s="24">
        <f>SUMIFS('Saldos Iniciales'!$D:$D,'Saldos Iniciales'!$A:$A,"Cross Security Trust")+SUMIFS(Movimientos!$K$1:$K$1368,Movimientos!$C$1:$C$1368,"Cross Security Trust",Movimientos!$B$1:$B$1368,"&lt;="&amp;$B173)</f>
        <v>80533.579999999987</v>
      </c>
      <c r="J173" s="24">
        <f>SUMIFS('Saldos Iniciales'!$D:$D,'Saldos Iniciales'!$A:$A,"Electrama")+SUMIFS(Movimientos!$K$1:$K$1368,Movimientos!$C$1:$C$1368,"Electrama",Movimientos!$B$1:$B$1368,"&lt;="&amp;$B173)</f>
        <v>10259.18</v>
      </c>
      <c r="K173" s="24">
        <f>SUMIFS('Saldos Iniciales'!$D:$D,'Saldos Iniciales'!$A:$A,"Sacred Valley Capital")+SUMIFS(Movimientos!$K$1:$K$1368,Movimientos!$C$1:$C$1368,"Sacred Valley Capital",Movimientos!$B$1:$B$1368,"&lt;="&amp;$B173)</f>
        <v>64.55</v>
      </c>
      <c r="L173" s="24">
        <f>SUMIFS('Saldos Iniciales'!$D:$D,'Saldos Iniciales'!$A:$A,"YWC Capital")+SUMIFS(Movimientos!$K$1:$K$1368,Movimientos!$C$1:$C$1368,"YWC Capital",Movimientos!$B$1:$B$1368,"&lt;="&amp;$B173)</f>
        <v>2117.9700000000003</v>
      </c>
      <c r="M173" s="24">
        <f>SUMIFS('Saldos Iniciales'!$D:$D,'Saldos Iniciales'!$A:$A,"Soweto")+SUMIFS(Movimientos!$K$1:$K$1368,Movimientos!$C$1:$C$1368,"Soweto",Movimientos!$B$1:$B$1368,"&lt;="&amp;$B173)</f>
        <v>17895.290000000015</v>
      </c>
      <c r="N173" s="24">
        <f>SUMIFS('Saldos Iniciales'!$D:$D,'Saldos Iniciales'!$A:$A,"Green Stone Trust")+SUMIFS(Movimientos!$K$1:$K$1368,Movimientos!$C$1:$C$1368,"Green Stone Trust",Movimientos!$B$1:$B$1368,"&lt;="&amp;$B173)</f>
        <v>1968.99</v>
      </c>
      <c r="O173" s="24">
        <f>SUMIFS('Saldos Iniciales'!$D:$D,'Saldos Iniciales'!$A:$A,"EC Auto")+SUMIFS(Movimientos!$K$1:$K$1368,Movimientos!$C$1:$C$1368,"EC Auto",Movimientos!$B$1:$B$1368,"&lt;="&amp;$B173)</f>
        <v>901.34</v>
      </c>
      <c r="P173" s="24">
        <f>SUMIFS('Saldos Iniciales'!$D:$D,'Saldos Iniciales'!$A:$A,"Arbor Capital Properties")+SUMIFS(Movimientos!$K$1:$K$1368,Movimientos!$C$1:$C$1368,"Arbor Capital Properties",Movimientos!$B$1:$B$1368,"&lt;="&amp;$B173)</f>
        <v>1364.08</v>
      </c>
      <c r="Q173" s="24">
        <f>SUMIFS('Saldos Iniciales'!$D:$D,'Saldos Iniciales'!$A:$A,"2515 Overbrook")+SUMIFS(Movimientos!$K$1:$K$1368,Movimientos!$C$1:$C$1368,"2515 Overbrook",Movimientos!$B$1:$B$1368,"&lt;="&amp;$B173)</f>
        <v>19909.049999999959</v>
      </c>
      <c r="R173" s="24">
        <f>SUMIFS('Saldos Iniciales'!$D:$D,'Saldos Iniciales'!$A:$A,"112 Florida Ave")+SUMIFS(Movimientos!$K$1:$K$1368,Movimientos!$C$1:$C$1368,"112 Florida Ave",Movimientos!$B$1:$B$1368,"&lt;="&amp;$B173)</f>
        <v>13576.060000000007</v>
      </c>
      <c r="S173" s="24">
        <f>SUMIFS('Saldos Iniciales'!$D:$D,'Saldos Iniciales'!$A:$A,"3628 Thomas Ave")+SUMIFS(Movimientos!$K$1:$K$1368,Movimientos!$C$1:$C$1368,"3628 Thomas Ave",Movimientos!$B$1:$B$1368,"&lt;="&amp;$B173)</f>
        <v>16303.769999999997</v>
      </c>
      <c r="T173" s="24">
        <f>SUMIFS('Saldos Iniciales'!$D:$D,'Saldos Iniciales'!$A:$A,"Green Harbor Trust")+SUMIFS(Movimientos!$K$1:$K$1368,Movimientos!$C$1:$C$1368,"Green Harbor Trust",Movimientos!$B$1:$B$1368,"&lt;="&amp;$B173)</f>
        <v>345</v>
      </c>
      <c r="U173" s="24">
        <f>SUMIFS('Saldos Iniciales'!$D:$D,'Saldos Iniciales'!$A:$A,"Go Blue")+SUMIFS(Movimientos!$K$1:$K$1368,Movimientos!$C$1:$C$1368,"Go Blue",Movimientos!$B$1:$B$1368,"&lt;="&amp;$B173)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Group")+SUMIFS(Movimientos!$K$1:$K$1368,Movimientos!$C$1:$C$1368,"CFT Group",Movimientos!$B$1:$B$1368,"&lt;="&amp;$B174)</f>
        <v>1414911.5800000005</v>
      </c>
      <c r="D174" s="24">
        <f>SUMIFS('Saldos Iniciales'!$D:$D,'Saldos Iniciales'!$A:$A,"M1B")+SUMIFS(Movimientos!$K$1:$K$1368,Movimientos!$C$1:$C$1368,"M1B",Movimientos!$B$1:$B$1368,"&lt;="&amp;$B174)</f>
        <v>103123.59000000017</v>
      </c>
      <c r="E174" s="24">
        <f>SUMIFS('Saldos Iniciales'!$D:$D,'Saldos Iniciales'!$A:$A,"Durand")+SUMIFS(Movimientos!$K$1:$K$1368,Movimientos!$C$1:$C$1368,"Durand",Movimientos!$B$1:$B$1368,"&lt;="&amp;$B174)</f>
        <v>1669.89</v>
      </c>
      <c r="F174" s="24">
        <f>SUMIFS('Saldos Iniciales'!$D:$D,'Saldos Iniciales'!$A:$A,"A&amp;M Imports")+SUMIFS(Movimientos!$K$1:$K$1368,Movimientos!$C$1:$C$1368,"A&amp;M Imports",Movimientos!$B$1:$B$1368,"&lt;="&amp;$B174)</f>
        <v>891793.39999999956</v>
      </c>
      <c r="G174" s="24">
        <f>SUMIFS('Saldos Iniciales'!$D:$D,'Saldos Iniciales'!$A:$A,"SSP Capital")+SUMIFS(Movimientos!$K$1:$K$1368,Movimientos!$C$1:$C$1368,"SSP Capital",Movimientos!$B$1:$B$1368,"&lt;="&amp;$B174)</f>
        <v>1570048.3499999992</v>
      </c>
      <c r="H174" s="24">
        <f>SUMIFS('Saldos Iniciales'!$D:$D,'Saldos Iniciales'!$A:$A,"Cross Family Trust")+SUMIFS(Movimientos!$K$1:$K$1368,Movimientos!$C$1:$C$1368,"Cross Family Trust",Movimientos!$B$1:$B$1368,"&lt;="&amp;$B174)</f>
        <v>181763.14</v>
      </c>
      <c r="I174" s="24">
        <f>SUMIFS('Saldos Iniciales'!$D:$D,'Saldos Iniciales'!$A:$A,"Cross Security Trust")+SUMIFS(Movimientos!$K$1:$K$1368,Movimientos!$C$1:$C$1368,"Cross Security Trust",Movimientos!$B$1:$B$1368,"&lt;="&amp;$B174)</f>
        <v>80533.579999999987</v>
      </c>
      <c r="J174" s="24">
        <f>SUMIFS('Saldos Iniciales'!$D:$D,'Saldos Iniciales'!$A:$A,"Electrama")+SUMIFS(Movimientos!$K$1:$K$1368,Movimientos!$C$1:$C$1368,"Electrama",Movimientos!$B$1:$B$1368,"&lt;="&amp;$B174)</f>
        <v>10259.18</v>
      </c>
      <c r="K174" s="24">
        <f>SUMIFS('Saldos Iniciales'!$D:$D,'Saldos Iniciales'!$A:$A,"Sacred Valley Capital")+SUMIFS(Movimientos!$K$1:$K$1368,Movimientos!$C$1:$C$1368,"Sacred Valley Capital",Movimientos!$B$1:$B$1368,"&lt;="&amp;$B174)</f>
        <v>64.55</v>
      </c>
      <c r="L174" s="24">
        <f>SUMIFS('Saldos Iniciales'!$D:$D,'Saldos Iniciales'!$A:$A,"YWC Capital")+SUMIFS(Movimientos!$K$1:$K$1368,Movimientos!$C$1:$C$1368,"YWC Capital",Movimientos!$B$1:$B$1368,"&lt;="&amp;$B174)</f>
        <v>2117.9700000000003</v>
      </c>
      <c r="M174" s="24">
        <f>SUMIFS('Saldos Iniciales'!$D:$D,'Saldos Iniciales'!$A:$A,"Soweto")+SUMIFS(Movimientos!$K$1:$K$1368,Movimientos!$C$1:$C$1368,"Soweto",Movimientos!$B$1:$B$1368,"&lt;="&amp;$B174)</f>
        <v>17895.290000000015</v>
      </c>
      <c r="N174" s="24">
        <f>SUMIFS('Saldos Iniciales'!$D:$D,'Saldos Iniciales'!$A:$A,"Green Stone Trust")+SUMIFS(Movimientos!$K$1:$K$1368,Movimientos!$C$1:$C$1368,"Green Stone Trust",Movimientos!$B$1:$B$1368,"&lt;="&amp;$B174)</f>
        <v>1968.99</v>
      </c>
      <c r="O174" s="24">
        <f>SUMIFS('Saldos Iniciales'!$D:$D,'Saldos Iniciales'!$A:$A,"EC Auto")+SUMIFS(Movimientos!$K$1:$K$1368,Movimientos!$C$1:$C$1368,"EC Auto",Movimientos!$B$1:$B$1368,"&lt;="&amp;$B174)</f>
        <v>901.34</v>
      </c>
      <c r="P174" s="24">
        <f>SUMIFS('Saldos Iniciales'!$D:$D,'Saldos Iniciales'!$A:$A,"Arbor Capital Properties")+SUMIFS(Movimientos!$K$1:$K$1368,Movimientos!$C$1:$C$1368,"Arbor Capital Properties",Movimientos!$B$1:$B$1368,"&lt;="&amp;$B174)</f>
        <v>1364.08</v>
      </c>
      <c r="Q174" s="24">
        <f>SUMIFS('Saldos Iniciales'!$D:$D,'Saldos Iniciales'!$A:$A,"2515 Overbrook")+SUMIFS(Movimientos!$K$1:$K$1368,Movimientos!$C$1:$C$1368,"2515 Overbrook",Movimientos!$B$1:$B$1368,"&lt;="&amp;$B174)</f>
        <v>19909.049999999959</v>
      </c>
      <c r="R174" s="24">
        <f>SUMIFS('Saldos Iniciales'!$D:$D,'Saldos Iniciales'!$A:$A,"112 Florida Ave")+SUMIFS(Movimientos!$K$1:$K$1368,Movimientos!$C$1:$C$1368,"112 Florida Ave",Movimientos!$B$1:$B$1368,"&lt;="&amp;$B174)</f>
        <v>13576.060000000007</v>
      </c>
      <c r="S174" s="24">
        <f>SUMIFS('Saldos Iniciales'!$D:$D,'Saldos Iniciales'!$A:$A,"3628 Thomas Ave")+SUMIFS(Movimientos!$K$1:$K$1368,Movimientos!$C$1:$C$1368,"3628 Thomas Ave",Movimientos!$B$1:$B$1368,"&lt;="&amp;$B174)</f>
        <v>16303.769999999997</v>
      </c>
      <c r="T174" s="24">
        <f>SUMIFS('Saldos Iniciales'!$D:$D,'Saldos Iniciales'!$A:$A,"Green Harbor Trust")+SUMIFS(Movimientos!$K$1:$K$1368,Movimientos!$C$1:$C$1368,"Green Harbor Trust",Movimientos!$B$1:$B$1368,"&lt;="&amp;$B174)</f>
        <v>345</v>
      </c>
      <c r="U174" s="24">
        <f>SUMIFS('Saldos Iniciales'!$D:$D,'Saldos Iniciales'!$A:$A,"Go Blue")+SUMIFS(Movimientos!$K$1:$K$1368,Movimientos!$C$1:$C$1368,"Go Blue",Movimientos!$B$1:$B$1368,"&lt;="&amp;$B174)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Trust",Movimientos!$B$1:$B$1368,"&lt;="&amp;$B174))</f>
        <v>351319.16</v>
      </c>
      <c r="AE174" s="25">
        <f t="shared" si="10"/>
        <v>6643719.0999999978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Group")+SUMIFS(Movimientos!$K$1:$K$1368,Movimientos!$C$1:$C$1368,"CFT Group",Movimientos!$B$1:$B$1368,"&lt;="&amp;$B175)</f>
        <v>1335471.8800000008</v>
      </c>
      <c r="D175" s="24">
        <f>SUMIFS('Saldos Iniciales'!$D:$D,'Saldos Iniciales'!$A:$A,"M1B")+SUMIFS(Movimientos!$K$1:$K$1368,Movimientos!$C$1:$C$1368,"M1B",Movimientos!$B$1:$B$1368,"&lt;="&amp;$B175)</f>
        <v>103123.59000000017</v>
      </c>
      <c r="E175" s="24">
        <f>SUMIFS('Saldos Iniciales'!$D:$D,'Saldos Iniciales'!$A:$A,"Durand")+SUMIFS(Movimientos!$K$1:$K$1368,Movimientos!$C$1:$C$1368,"Durand",Movimientos!$B$1:$B$1368,"&lt;="&amp;$B175)</f>
        <v>1669.89</v>
      </c>
      <c r="F175" s="24">
        <f>SUMIFS('Saldos Iniciales'!$D:$D,'Saldos Iniciales'!$A:$A,"A&amp;M Imports")+SUMIFS(Movimientos!$K$1:$K$1368,Movimientos!$C$1:$C$1368,"A&amp;M Imports",Movimientos!$B$1:$B$1368,"&lt;="&amp;$B175)</f>
        <v>1241793.3999999997</v>
      </c>
      <c r="G175" s="24">
        <f>SUMIFS('Saldos Iniciales'!$D:$D,'Saldos Iniciales'!$A:$A,"SSP Capital")+SUMIFS(Movimientos!$K$1:$K$1368,Movimientos!$C$1:$C$1368,"SSP Capital",Movimientos!$B$1:$B$1368,"&lt;="&amp;$B175)</f>
        <v>1280371.5299999991</v>
      </c>
      <c r="H175" s="24">
        <f>SUMIFS('Saldos Iniciales'!$D:$D,'Saldos Iniciales'!$A:$A,"Cross Family Trust")+SUMIFS(Movimientos!$K$1:$K$1368,Movimientos!$C$1:$C$1368,"Cross Family Trust",Movimientos!$B$1:$B$1368,"&lt;="&amp;$B175)</f>
        <v>161763.14000000001</v>
      </c>
      <c r="I175" s="24">
        <f>SUMIFS('Saldos Iniciales'!$D:$D,'Saldos Iniciales'!$A:$A,"Cross Security Trust")+SUMIFS(Movimientos!$K$1:$K$1368,Movimientos!$C$1:$C$1368,"Cross Security Trust",Movimientos!$B$1:$B$1368,"&lt;="&amp;$B175)</f>
        <v>80533.579999999987</v>
      </c>
      <c r="J175" s="24">
        <f>SUMIFS('Saldos Iniciales'!$D:$D,'Saldos Iniciales'!$A:$A,"Electrama")+SUMIFS(Movimientos!$K$1:$K$1368,Movimientos!$C$1:$C$1368,"Electrama",Movimientos!$B$1:$B$1368,"&lt;="&amp;$B175)</f>
        <v>10259.18</v>
      </c>
      <c r="K175" s="24">
        <f>SUMIFS('Saldos Iniciales'!$D:$D,'Saldos Iniciales'!$A:$A,"Sacred Valley Capital")+SUMIFS(Movimientos!$K$1:$K$1368,Movimientos!$C$1:$C$1368,"Sacred Valley Capital",Movimientos!$B$1:$B$1368,"&lt;="&amp;$B175)</f>
        <v>64.55</v>
      </c>
      <c r="L175" s="24">
        <f>SUMIFS('Saldos Iniciales'!$D:$D,'Saldos Iniciales'!$A:$A,"YWC Capital")+SUMIFS(Movimientos!$K$1:$K$1368,Movimientos!$C$1:$C$1368,"YWC Capital",Movimientos!$B$1:$B$1368,"&lt;="&amp;$B175)</f>
        <v>2117.9700000000003</v>
      </c>
      <c r="M175" s="24">
        <f>SUMIFS('Saldos Iniciales'!$D:$D,'Saldos Iniciales'!$A:$A,"Soweto")+SUMIFS(Movimientos!$K$1:$K$1368,Movimientos!$C$1:$C$1368,"Soweto",Movimientos!$B$1:$B$1368,"&lt;="&amp;$B175)</f>
        <v>17895.290000000015</v>
      </c>
      <c r="N175" s="24">
        <f>SUMIFS('Saldos Iniciales'!$D:$D,'Saldos Iniciales'!$A:$A,"Green Stone Trust")+SUMIFS(Movimientos!$K$1:$K$1368,Movimientos!$C$1:$C$1368,"Green Stone Trust",Movimientos!$B$1:$B$1368,"&lt;="&amp;$B175)</f>
        <v>1968.99</v>
      </c>
      <c r="O175" s="24">
        <f>SUMIFS('Saldos Iniciales'!$D:$D,'Saldos Iniciales'!$A:$A,"EC Auto")+SUMIFS(Movimientos!$K$1:$K$1368,Movimientos!$C$1:$C$1368,"EC Auto",Movimientos!$B$1:$B$1368,"&lt;="&amp;$B175)</f>
        <v>901.34</v>
      </c>
      <c r="P175" s="24">
        <f>SUMIFS('Saldos Iniciales'!$D:$D,'Saldos Iniciales'!$A:$A,"Arbor Capital Properties")+SUMIFS(Movimientos!$K$1:$K$1368,Movimientos!$C$1:$C$1368,"Arbor Capital Properties",Movimientos!$B$1:$B$1368,"&lt;="&amp;$B175)</f>
        <v>1364.08</v>
      </c>
      <c r="Q175" s="24">
        <f>SUMIFS('Saldos Iniciales'!$D:$D,'Saldos Iniciales'!$A:$A,"2515 Overbrook")+SUMIFS(Movimientos!$K$1:$K$1368,Movimientos!$C$1:$C$1368,"2515 Overbrook",Movimientos!$B$1:$B$1368,"&lt;="&amp;$B175)</f>
        <v>39909.049999999959</v>
      </c>
      <c r="R175" s="24">
        <f>SUMIFS('Saldos Iniciales'!$D:$D,'Saldos Iniciales'!$A:$A,"112 Florida Ave")+SUMIFS(Movimientos!$K$1:$K$1368,Movimientos!$C$1:$C$1368,"112 Florida Ave",Movimientos!$B$1:$B$1368,"&lt;="&amp;$B175)</f>
        <v>13576.060000000007</v>
      </c>
      <c r="S175" s="24">
        <f>SUMIFS('Saldos Iniciales'!$D:$D,'Saldos Iniciales'!$A:$A,"3628 Thomas Ave")+SUMIFS(Movimientos!$K$1:$K$1368,Movimientos!$C$1:$C$1368,"3628 Thomas Ave",Movimientos!$B$1:$B$1368,"&lt;="&amp;$B175)</f>
        <v>16303.769999999997</v>
      </c>
      <c r="T175" s="24">
        <f>SUMIFS('Saldos Iniciales'!$D:$D,'Saldos Iniciales'!$A:$A,"Green Harbor Trust")+SUMIFS(Movimientos!$K$1:$K$1368,Movimientos!$C$1:$C$1368,"Green Harbor Trust",Movimientos!$B$1:$B$1368,"&lt;="&amp;$B175)</f>
        <v>345</v>
      </c>
      <c r="U175" s="24">
        <f>SUMIFS('Saldos Iniciales'!$D:$D,'Saldos Iniciales'!$A:$A,"Go Blue")+SUMIFS(Movimientos!$K$1:$K$1368,Movimientos!$C$1:$C$1368,"Go Blue",Movimientos!$B$1:$B$1368,"&lt;="&amp;$B175)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Trust",Movimientos!$B$1:$B$1368,"&lt;="&amp;$B175))</f>
        <v>351319.16</v>
      </c>
      <c r="AE175" s="25">
        <f t="shared" ref="AE175" si="11">SUM(C175:AD175)</f>
        <v>6516331.1499999976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Group")+SUMIFS(Movimientos!$K$1:$K$1368,Movimientos!$C$1:$C$1368,"CFT Group",Movimientos!$B$1:$B$1368,"&lt;="&amp;$B176)</f>
        <v>1335471.8800000008</v>
      </c>
      <c r="D176" s="24">
        <f>SUMIFS('Saldos Iniciales'!$D:$D,'Saldos Iniciales'!$A:$A,"M1B")+SUMIFS(Movimientos!$K$1:$K$1368,Movimientos!$C$1:$C$1368,"M1B",Movimientos!$B$1:$B$1368,"&lt;="&amp;$B176)</f>
        <v>103123.59000000017</v>
      </c>
      <c r="E176" s="24">
        <f>SUMIFS('Saldos Iniciales'!$D:$D,'Saldos Iniciales'!$A:$A,"Durand")+SUMIFS(Movimientos!$K$1:$K$1368,Movimientos!$C$1:$C$1368,"Durand",Movimientos!$B$1:$B$1368,"&lt;="&amp;$B176)</f>
        <v>1669.89</v>
      </c>
      <c r="F176" s="24">
        <f>SUMIFS('Saldos Iniciales'!$D:$D,'Saldos Iniciales'!$A:$A,"A&amp;M Imports")+SUMIFS(Movimientos!$K$1:$K$1368,Movimientos!$C$1:$C$1368,"A&amp;M Imports",Movimientos!$B$1:$B$1368,"&lt;="&amp;$B176)</f>
        <v>1101788.3999999997</v>
      </c>
      <c r="G176" s="24">
        <f>SUMIFS('Saldos Iniciales'!$D:$D,'Saldos Iniciales'!$A:$A,"SSP Capital")+SUMIFS(Movimientos!$K$1:$K$1368,Movimientos!$C$1:$C$1368,"SSP Capital",Movimientos!$B$1:$B$1368,"&lt;="&amp;$B176)</f>
        <v>1280371.5299999991</v>
      </c>
      <c r="H176" s="24">
        <f>SUMIFS('Saldos Iniciales'!$D:$D,'Saldos Iniciales'!$A:$A,"Cross Family Trust")+SUMIFS(Movimientos!$K$1:$K$1368,Movimientos!$C$1:$C$1368,"Cross Family Trust",Movimientos!$B$1:$B$1368,"&lt;="&amp;$B176)</f>
        <v>161763.14000000001</v>
      </c>
      <c r="I176" s="24">
        <f>SUMIFS('Saldos Iniciales'!$D:$D,'Saldos Iniciales'!$A:$A,"Cross Security Trust")+SUMIFS(Movimientos!$K$1:$K$1368,Movimientos!$C$1:$C$1368,"Cross Security Trust",Movimientos!$B$1:$B$1368,"&lt;="&amp;$B176)</f>
        <v>80533.579999999987</v>
      </c>
      <c r="J176" s="24">
        <f>SUMIFS('Saldos Iniciales'!$D:$D,'Saldos Iniciales'!$A:$A,"Electrama")+SUMIFS(Movimientos!$K$1:$K$1368,Movimientos!$C$1:$C$1368,"Electrama",Movimientos!$B$1:$B$1368,"&lt;="&amp;$B176)</f>
        <v>10259.18</v>
      </c>
      <c r="K176" s="24">
        <f>SUMIFS('Saldos Iniciales'!$D:$D,'Saldos Iniciales'!$A:$A,"Sacred Valley Capital")+SUMIFS(Movimientos!$K$1:$K$1368,Movimientos!$C$1:$C$1368,"Sacred Valley Capital",Movimientos!$B$1:$B$1368,"&lt;="&amp;$B176)</f>
        <v>64.55</v>
      </c>
      <c r="L176" s="24">
        <f>SUMIFS('Saldos Iniciales'!$D:$D,'Saldos Iniciales'!$A:$A,"YWC Capital")+SUMIFS(Movimientos!$K$1:$K$1368,Movimientos!$C$1:$C$1368,"YWC Capital",Movimientos!$B$1:$B$1368,"&lt;="&amp;$B176)</f>
        <v>2117.9700000000003</v>
      </c>
      <c r="M176" s="24">
        <f>SUMIFS('Saldos Iniciales'!$D:$D,'Saldos Iniciales'!$A:$A,"Soweto")+SUMIFS(Movimientos!$K$1:$K$1368,Movimientos!$C$1:$C$1368,"Soweto",Movimientos!$B$1:$B$1368,"&lt;="&amp;$B176)</f>
        <v>17895.290000000015</v>
      </c>
      <c r="N176" s="24">
        <f>SUMIFS('Saldos Iniciales'!$D:$D,'Saldos Iniciales'!$A:$A,"Green Stone Trust")+SUMIFS(Movimientos!$K$1:$K$1368,Movimientos!$C$1:$C$1368,"Green Stone Trust",Movimientos!$B$1:$B$1368,"&lt;="&amp;$B176)</f>
        <v>1968.99</v>
      </c>
      <c r="O176" s="24">
        <f>SUMIFS('Saldos Iniciales'!$D:$D,'Saldos Iniciales'!$A:$A,"EC Auto")+SUMIFS(Movimientos!$K$1:$K$1368,Movimientos!$C$1:$C$1368,"EC Auto",Movimientos!$B$1:$B$1368,"&lt;="&amp;$B176)</f>
        <v>901.34</v>
      </c>
      <c r="P176" s="24">
        <f>SUMIFS('Saldos Iniciales'!$D:$D,'Saldos Iniciales'!$A:$A,"Arbor Capital Properties")+SUMIFS(Movimientos!$K$1:$K$1368,Movimientos!$C$1:$C$1368,"Arbor Capital Properties",Movimientos!$B$1:$B$1368,"&lt;="&amp;$B176)</f>
        <v>1364.08</v>
      </c>
      <c r="Q176" s="24">
        <f>SUMIFS('Saldos Iniciales'!$D:$D,'Saldos Iniciales'!$A:$A,"2515 Overbrook")+SUMIFS(Movimientos!$K$1:$K$1368,Movimientos!$C$1:$C$1368,"2515 Overbrook",Movimientos!$B$1:$B$1368,"&lt;="&amp;$B176)</f>
        <v>39894.049999999959</v>
      </c>
      <c r="R176" s="24">
        <f>SUMIFS('Saldos Iniciales'!$D:$D,'Saldos Iniciales'!$A:$A,"112 Florida Ave")+SUMIFS(Movimientos!$K$1:$K$1368,Movimientos!$C$1:$C$1368,"112 Florida Ave",Movimientos!$B$1:$B$1368,"&lt;="&amp;$B176)</f>
        <v>13576.060000000007</v>
      </c>
      <c r="S176" s="24">
        <f>SUMIFS('Saldos Iniciales'!$D:$D,'Saldos Iniciales'!$A:$A,"3628 Thomas Ave")+SUMIFS(Movimientos!$K$1:$K$1368,Movimientos!$C$1:$C$1368,"3628 Thomas Ave",Movimientos!$B$1:$B$1368,"&lt;="&amp;$B176)</f>
        <v>16303.769999999997</v>
      </c>
      <c r="T176" s="24">
        <f>SUMIFS('Saldos Iniciales'!$D:$D,'Saldos Iniciales'!$A:$A,"Green Harbor Trust")+SUMIFS(Movimientos!$K$1:$K$1368,Movimientos!$C$1:$C$1368,"Green Harbor Trust",Movimientos!$B$1:$B$1368,"&lt;="&amp;$B176)</f>
        <v>345</v>
      </c>
      <c r="U176" s="24">
        <f>SUMIFS('Saldos Iniciales'!$D:$D,'Saldos Iniciales'!$A:$A,"Go Blue")+SUMIFS(Movimientos!$K$1:$K$1368,Movimientos!$C$1:$C$1368,"Go Blue",Movimientos!$B$1:$B$1368,"&lt;="&amp;$B176)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Trust",Movimientos!$B$1:$B$1368,"&lt;="&amp;$B176))</f>
        <v>351319.16</v>
      </c>
      <c r="AE176" s="25">
        <f t="shared" ref="AE176:AE179" si="12">SUM(C176:AD176)</f>
        <v>6375783.2400000002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Group")+SUMIFS(Movimientos!$K$1:$K$1368,Movimientos!$C$1:$C$1368,"CFT Group",Movimientos!$B$1:$B$1368,"&lt;="&amp;$B177)</f>
        <v>1335471.8800000008</v>
      </c>
      <c r="D177" s="24">
        <f>SUMIFS('Saldos Iniciales'!$D:$D,'Saldos Iniciales'!$A:$A,"M1B")+SUMIFS(Movimientos!$K$1:$K$1368,Movimientos!$C$1:$C$1368,"M1B",Movimientos!$B$1:$B$1368,"&lt;="&amp;$B177)</f>
        <v>103123.59000000017</v>
      </c>
      <c r="E177" s="24">
        <f>SUMIFS('Saldos Iniciales'!$D:$D,'Saldos Iniciales'!$A:$A,"Durand")+SUMIFS(Movimientos!$K$1:$K$1368,Movimientos!$C$1:$C$1368,"Durand",Movimientos!$B$1:$B$1368,"&lt;="&amp;$B177)</f>
        <v>1669.89</v>
      </c>
      <c r="F177" s="24">
        <f>SUMIFS('Saldos Iniciales'!$D:$D,'Saldos Iniciales'!$A:$A,"A&amp;M Imports")+SUMIFS(Movimientos!$K$1:$K$1368,Movimientos!$C$1:$C$1368,"A&amp;M Imports",Movimientos!$B$1:$B$1368,"&lt;="&amp;$B177)</f>
        <v>1101788.3999999997</v>
      </c>
      <c r="G177" s="24">
        <f>SUMIFS('Saldos Iniciales'!$D:$D,'Saldos Iniciales'!$A:$A,"SSP Capital")+SUMIFS(Movimientos!$K$1:$K$1368,Movimientos!$C$1:$C$1368,"SSP Capital",Movimientos!$B$1:$B$1368,"&lt;="&amp;$B177)</f>
        <v>1280371.5299999991</v>
      </c>
      <c r="H177" s="24">
        <f>SUMIFS('Saldos Iniciales'!$D:$D,'Saldos Iniciales'!$A:$A,"Cross Family Trust")+SUMIFS(Movimientos!$K$1:$K$1368,Movimientos!$C$1:$C$1368,"Cross Family Trust",Movimientos!$B$1:$B$1368,"&lt;="&amp;$B177)</f>
        <v>161763.14000000001</v>
      </c>
      <c r="I177" s="24">
        <f>SUMIFS('Saldos Iniciales'!$D:$D,'Saldos Iniciales'!$A:$A,"Cross Security Trust")+SUMIFS(Movimientos!$K$1:$K$1368,Movimientos!$C$1:$C$1368,"Cross Security Trust",Movimientos!$B$1:$B$1368,"&lt;="&amp;$B177)</f>
        <v>80533.579999999987</v>
      </c>
      <c r="J177" s="24">
        <f>SUMIFS('Saldos Iniciales'!$D:$D,'Saldos Iniciales'!$A:$A,"Electrama")+SUMIFS(Movimientos!$K$1:$K$1368,Movimientos!$C$1:$C$1368,"Electrama",Movimientos!$B$1:$B$1368,"&lt;="&amp;$B177)</f>
        <v>10259.18</v>
      </c>
      <c r="K177" s="24">
        <f>SUMIFS('Saldos Iniciales'!$D:$D,'Saldos Iniciales'!$A:$A,"Sacred Valley Capital")+SUMIFS(Movimientos!$K$1:$K$1368,Movimientos!$C$1:$C$1368,"Sacred Valley Capital",Movimientos!$B$1:$B$1368,"&lt;="&amp;$B177)</f>
        <v>64.55</v>
      </c>
      <c r="L177" s="24">
        <f>SUMIFS('Saldos Iniciales'!$D:$D,'Saldos Iniciales'!$A:$A,"YWC Capital")+SUMIFS(Movimientos!$K$1:$K$1368,Movimientos!$C$1:$C$1368,"YWC Capital",Movimientos!$B$1:$B$1368,"&lt;="&amp;$B177)</f>
        <v>2117.9700000000003</v>
      </c>
      <c r="M177" s="24">
        <f>SUMIFS('Saldos Iniciales'!$D:$D,'Saldos Iniciales'!$A:$A,"Soweto")+SUMIFS(Movimientos!$K$1:$K$1368,Movimientos!$C$1:$C$1368,"Soweto",Movimientos!$B$1:$B$1368,"&lt;="&amp;$B177)</f>
        <v>17895.290000000015</v>
      </c>
      <c r="N177" s="24">
        <f>SUMIFS('Saldos Iniciales'!$D:$D,'Saldos Iniciales'!$A:$A,"Green Stone Trust")+SUMIFS(Movimientos!$K$1:$K$1368,Movimientos!$C$1:$C$1368,"Green Stone Trust",Movimientos!$B$1:$B$1368,"&lt;="&amp;$B177)</f>
        <v>1968.99</v>
      </c>
      <c r="O177" s="24">
        <f>SUMIFS('Saldos Iniciales'!$D:$D,'Saldos Iniciales'!$A:$A,"EC Auto")+SUMIFS(Movimientos!$K$1:$K$1368,Movimientos!$C$1:$C$1368,"EC Auto",Movimientos!$B$1:$B$1368,"&lt;="&amp;$B177)</f>
        <v>901.34</v>
      </c>
      <c r="P177" s="24">
        <f>SUMIFS('Saldos Iniciales'!$D:$D,'Saldos Iniciales'!$A:$A,"Arbor Capital Properties")+SUMIFS(Movimientos!$K$1:$K$1368,Movimientos!$C$1:$C$1368,"Arbor Capital Properties",Movimientos!$B$1:$B$1368,"&lt;="&amp;$B177)</f>
        <v>1364.08</v>
      </c>
      <c r="Q177" s="24">
        <f>SUMIFS('Saldos Iniciales'!$D:$D,'Saldos Iniciales'!$A:$A,"2515 Overbrook")+SUMIFS(Movimientos!$K$1:$K$1368,Movimientos!$C$1:$C$1368,"2515 Overbrook",Movimientos!$B$1:$B$1368,"&lt;="&amp;$B177)</f>
        <v>39894.049999999959</v>
      </c>
      <c r="R177" s="24">
        <f>SUMIFS('Saldos Iniciales'!$D:$D,'Saldos Iniciales'!$A:$A,"112 Florida Ave")+SUMIFS(Movimientos!$K$1:$K$1368,Movimientos!$C$1:$C$1368,"112 Florida Ave",Movimientos!$B$1:$B$1368,"&lt;="&amp;$B177)</f>
        <v>13576.060000000007</v>
      </c>
      <c r="S177" s="24">
        <f>SUMIFS('Saldos Iniciales'!$D:$D,'Saldos Iniciales'!$A:$A,"3628 Thomas Ave")+SUMIFS(Movimientos!$K$1:$K$1368,Movimientos!$C$1:$C$1368,"3628 Thomas Ave",Movimientos!$B$1:$B$1368,"&lt;="&amp;$B177)</f>
        <v>16303.769999999997</v>
      </c>
      <c r="T177" s="24">
        <f>SUMIFS('Saldos Iniciales'!$D:$D,'Saldos Iniciales'!$A:$A,"Green Harbor Trust")+SUMIFS(Movimientos!$K$1:$K$1368,Movimientos!$C$1:$C$1368,"Green Harbor Trust",Movimientos!$B$1:$B$1368,"&lt;="&amp;$B177)</f>
        <v>345</v>
      </c>
      <c r="U177" s="24">
        <f>SUMIFS('Saldos Iniciales'!$D:$D,'Saldos Iniciales'!$A:$A,"Go Blue")+SUMIFS(Movimientos!$K$1:$K$1368,Movimientos!$C$1:$C$1368,"Go Blue",Movimientos!$B$1:$B$1368,"&lt;="&amp;$B177)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Trust",Movimientos!$B$1:$B$1368,"&lt;="&amp;$B177))</f>
        <v>351319.16</v>
      </c>
      <c r="AE177" s="25">
        <f t="shared" si="12"/>
        <v>6375783.2400000002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Group")+SUMIFS(Movimientos!$K$1:$K$1368,Movimientos!$C$1:$C$1368,"CFT Group",Movimientos!$B$1:$B$1368,"&lt;="&amp;$B178)</f>
        <v>1335471.8800000008</v>
      </c>
      <c r="D178" s="24">
        <f>SUMIFS('Saldos Iniciales'!$D:$D,'Saldos Iniciales'!$A:$A,"M1B")+SUMIFS(Movimientos!$K$1:$K$1368,Movimientos!$C$1:$C$1368,"M1B",Movimientos!$B$1:$B$1368,"&lt;="&amp;$B178)</f>
        <v>103123.59000000017</v>
      </c>
      <c r="E178" s="24">
        <f>SUMIFS('Saldos Iniciales'!$D:$D,'Saldos Iniciales'!$A:$A,"Durand")+SUMIFS(Movimientos!$K$1:$K$1368,Movimientos!$C$1:$C$1368,"Durand",Movimientos!$B$1:$B$1368,"&lt;="&amp;$B178)</f>
        <v>1669.89</v>
      </c>
      <c r="F178" s="24">
        <f>SUMIFS('Saldos Iniciales'!$D:$D,'Saldos Iniciales'!$A:$A,"A&amp;M Imports")+SUMIFS(Movimientos!$K$1:$K$1368,Movimientos!$C$1:$C$1368,"A&amp;M Imports",Movimientos!$B$1:$B$1368,"&lt;="&amp;$B178)</f>
        <v>1101788.3999999997</v>
      </c>
      <c r="G178" s="24">
        <f>SUMIFS('Saldos Iniciales'!$D:$D,'Saldos Iniciales'!$A:$A,"SSP Capital")+SUMIFS(Movimientos!$K$1:$K$1368,Movimientos!$C$1:$C$1368,"SSP Capital",Movimientos!$B$1:$B$1368,"&lt;="&amp;$B178)</f>
        <v>1280371.5299999991</v>
      </c>
      <c r="H178" s="24">
        <f>SUMIFS('Saldos Iniciales'!$D:$D,'Saldos Iniciales'!$A:$A,"Cross Family Trust")+SUMIFS(Movimientos!$K$1:$K$1368,Movimientos!$C$1:$C$1368,"Cross Family Trust",Movimientos!$B$1:$B$1368,"&lt;="&amp;$B178)</f>
        <v>161763.14000000001</v>
      </c>
      <c r="I178" s="24">
        <f>SUMIFS('Saldos Iniciales'!$D:$D,'Saldos Iniciales'!$A:$A,"Cross Security Trust")+SUMIFS(Movimientos!$K$1:$K$1368,Movimientos!$C$1:$C$1368,"Cross Security Trust",Movimientos!$B$1:$B$1368,"&lt;="&amp;$B178)</f>
        <v>80533.579999999987</v>
      </c>
      <c r="J178" s="24">
        <f>SUMIFS('Saldos Iniciales'!$D:$D,'Saldos Iniciales'!$A:$A,"Electrama")+SUMIFS(Movimientos!$K$1:$K$1368,Movimientos!$C$1:$C$1368,"Electrama",Movimientos!$B$1:$B$1368,"&lt;="&amp;$B178)</f>
        <v>10259.18</v>
      </c>
      <c r="K178" s="24">
        <f>SUMIFS('Saldos Iniciales'!$D:$D,'Saldos Iniciales'!$A:$A,"Sacred Valley Capital")+SUMIFS(Movimientos!$K$1:$K$1368,Movimientos!$C$1:$C$1368,"Sacred Valley Capital",Movimientos!$B$1:$B$1368,"&lt;="&amp;$B178)</f>
        <v>64.55</v>
      </c>
      <c r="L178" s="24">
        <f>SUMIFS('Saldos Iniciales'!$D:$D,'Saldos Iniciales'!$A:$A,"YWC Capital")+SUMIFS(Movimientos!$K$1:$K$1368,Movimientos!$C$1:$C$1368,"YWC Capital",Movimientos!$B$1:$B$1368,"&lt;="&amp;$B178)</f>
        <v>2117.9700000000003</v>
      </c>
      <c r="M178" s="24">
        <f>SUMIFS('Saldos Iniciales'!$D:$D,'Saldos Iniciales'!$A:$A,"Soweto")+SUMIFS(Movimientos!$K$1:$K$1368,Movimientos!$C$1:$C$1368,"Soweto",Movimientos!$B$1:$B$1368,"&lt;="&amp;$B178)</f>
        <v>17895.290000000015</v>
      </c>
      <c r="N178" s="24">
        <f>SUMIFS('Saldos Iniciales'!$D:$D,'Saldos Iniciales'!$A:$A,"Green Stone Trust")+SUMIFS(Movimientos!$K$1:$K$1368,Movimientos!$C$1:$C$1368,"Green Stone Trust",Movimientos!$B$1:$B$1368,"&lt;="&amp;$B178)</f>
        <v>1968.99</v>
      </c>
      <c r="O178" s="24">
        <f>SUMIFS('Saldos Iniciales'!$D:$D,'Saldos Iniciales'!$A:$A,"EC Auto")+SUMIFS(Movimientos!$K$1:$K$1368,Movimientos!$C$1:$C$1368,"EC Auto",Movimientos!$B$1:$B$1368,"&lt;="&amp;$B178)</f>
        <v>901.34</v>
      </c>
      <c r="P178" s="24">
        <f>SUMIFS('Saldos Iniciales'!$D:$D,'Saldos Iniciales'!$A:$A,"Arbor Capital Properties")+SUMIFS(Movimientos!$K$1:$K$1368,Movimientos!$C$1:$C$1368,"Arbor Capital Properties",Movimientos!$B$1:$B$1368,"&lt;="&amp;$B178)</f>
        <v>1364.08</v>
      </c>
      <c r="Q178" s="24">
        <f>SUMIFS('Saldos Iniciales'!$D:$D,'Saldos Iniciales'!$A:$A,"2515 Overbrook")+SUMIFS(Movimientos!$K$1:$K$1368,Movimientos!$C$1:$C$1368,"2515 Overbrook",Movimientos!$B$1:$B$1368,"&lt;="&amp;$B178)</f>
        <v>39894.049999999959</v>
      </c>
      <c r="R178" s="24">
        <f>SUMIFS('Saldos Iniciales'!$D:$D,'Saldos Iniciales'!$A:$A,"112 Florida Ave")+SUMIFS(Movimientos!$K$1:$K$1368,Movimientos!$C$1:$C$1368,"112 Florida Ave",Movimientos!$B$1:$B$1368,"&lt;="&amp;$B178)</f>
        <v>13576.060000000007</v>
      </c>
      <c r="S178" s="24">
        <f>SUMIFS('Saldos Iniciales'!$D:$D,'Saldos Iniciales'!$A:$A,"3628 Thomas Ave")+SUMIFS(Movimientos!$K$1:$K$1368,Movimientos!$C$1:$C$1368,"3628 Thomas Ave",Movimientos!$B$1:$B$1368,"&lt;="&amp;$B178)</f>
        <v>16303.769999999997</v>
      </c>
      <c r="T178" s="24">
        <f>SUMIFS('Saldos Iniciales'!$D:$D,'Saldos Iniciales'!$A:$A,"Green Harbor Trust")+SUMIFS(Movimientos!$K$1:$K$1368,Movimientos!$C$1:$C$1368,"Green Harbor Trust",Movimientos!$B$1:$B$1368,"&lt;="&amp;$B178)</f>
        <v>345</v>
      </c>
      <c r="U178" s="24">
        <f>SUMIFS('Saldos Iniciales'!$D:$D,'Saldos Iniciales'!$A:$A,"Go Blue")+SUMIFS(Movimientos!$K$1:$K$1368,Movimientos!$C$1:$C$1368,"Go Blue",Movimientos!$B$1:$B$1368,"&lt;="&amp;$B178)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Trust",Movimientos!$B$1:$B$1368,"&lt;="&amp;$B178))</f>
        <v>351319.16</v>
      </c>
      <c r="AE178" s="25">
        <f t="shared" si="12"/>
        <v>6375783.2400000002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Group")+SUMIFS(Movimientos!$K$1:$K$1368,Movimientos!$C$1:$C$1368,"CFT Group",Movimientos!$B$1:$B$1368,"&lt;="&amp;$B179)</f>
        <v>1335471.8800000008</v>
      </c>
      <c r="D179" s="24">
        <f>SUMIFS('Saldos Iniciales'!$D:$D,'Saldos Iniciales'!$A:$A,"M1B")+SUMIFS(Movimientos!$K$1:$K$1368,Movimientos!$C$1:$C$1368,"M1B",Movimientos!$B$1:$B$1368,"&lt;="&amp;$B179)</f>
        <v>103123.59000000017</v>
      </c>
      <c r="E179" s="24">
        <f>SUMIFS('Saldos Iniciales'!$D:$D,'Saldos Iniciales'!$A:$A,"Durand")+SUMIFS(Movimientos!$K$1:$K$1368,Movimientos!$C$1:$C$1368,"Durand",Movimientos!$B$1:$B$1368,"&lt;="&amp;$B179)</f>
        <v>1669.89</v>
      </c>
      <c r="F179" s="24">
        <f>SUMIFS('Saldos Iniciales'!$D:$D,'Saldos Iniciales'!$A:$A,"A&amp;M Imports")+SUMIFS(Movimientos!$K$1:$K$1368,Movimientos!$C$1:$C$1368,"A&amp;M Imports",Movimientos!$B$1:$B$1368,"&lt;="&amp;$B179)</f>
        <v>1101788.3999999997</v>
      </c>
      <c r="G179" s="24">
        <f>SUMIFS('Saldos Iniciales'!$D:$D,'Saldos Iniciales'!$A:$A,"SSP Capital")+SUMIFS(Movimientos!$K$1:$K$1368,Movimientos!$C$1:$C$1368,"SSP Capital",Movimientos!$B$1:$B$1368,"&lt;="&amp;$B179)</f>
        <v>1280371.5299999991</v>
      </c>
      <c r="H179" s="24">
        <f>SUMIFS('Saldos Iniciales'!$D:$D,'Saldos Iniciales'!$A:$A,"Cross Family Trust")+SUMIFS(Movimientos!$K$1:$K$1368,Movimientos!$C$1:$C$1368,"Cross Family Trust",Movimientos!$B$1:$B$1368,"&lt;="&amp;$B179)</f>
        <v>161763.14000000001</v>
      </c>
      <c r="I179" s="24">
        <f>SUMIFS('Saldos Iniciales'!$D:$D,'Saldos Iniciales'!$A:$A,"Cross Security Trust")+SUMIFS(Movimientos!$K$1:$K$1368,Movimientos!$C$1:$C$1368,"Cross Security Trust",Movimientos!$B$1:$B$1368,"&lt;="&amp;$B179)</f>
        <v>80533.579999999987</v>
      </c>
      <c r="J179" s="24">
        <f>SUMIFS('Saldos Iniciales'!$D:$D,'Saldos Iniciales'!$A:$A,"Electrama")+SUMIFS(Movimientos!$K$1:$K$1368,Movimientos!$C$1:$C$1368,"Electrama",Movimientos!$B$1:$B$1368,"&lt;="&amp;$B179)</f>
        <v>10259.18</v>
      </c>
      <c r="K179" s="24">
        <f>SUMIFS('Saldos Iniciales'!$D:$D,'Saldos Iniciales'!$A:$A,"Sacred Valley Capital")+SUMIFS(Movimientos!$K$1:$K$1368,Movimientos!$C$1:$C$1368,"Sacred Valley Capital",Movimientos!$B$1:$B$1368,"&lt;="&amp;$B179)</f>
        <v>64.55</v>
      </c>
      <c r="L179" s="24">
        <f>SUMIFS('Saldos Iniciales'!$D:$D,'Saldos Iniciales'!$A:$A,"YWC Capital")+SUMIFS(Movimientos!$K$1:$K$1368,Movimientos!$C$1:$C$1368,"YWC Capital",Movimientos!$B$1:$B$1368,"&lt;="&amp;$B179)</f>
        <v>2117.9700000000003</v>
      </c>
      <c r="M179" s="24">
        <f>SUMIFS('Saldos Iniciales'!$D:$D,'Saldos Iniciales'!$A:$A,"Soweto")+SUMIFS(Movimientos!$K$1:$K$1368,Movimientos!$C$1:$C$1368,"Soweto",Movimientos!$B$1:$B$1368,"&lt;="&amp;$B179)</f>
        <v>17895.290000000015</v>
      </c>
      <c r="N179" s="24">
        <f>SUMIFS('Saldos Iniciales'!$D:$D,'Saldos Iniciales'!$A:$A,"Green Stone Trust")+SUMIFS(Movimientos!$K$1:$K$1368,Movimientos!$C$1:$C$1368,"Green Stone Trust",Movimientos!$B$1:$B$1368,"&lt;="&amp;$B179)</f>
        <v>1968.99</v>
      </c>
      <c r="O179" s="24">
        <f>SUMIFS('Saldos Iniciales'!$D:$D,'Saldos Iniciales'!$A:$A,"EC Auto")+SUMIFS(Movimientos!$K$1:$K$1368,Movimientos!$C$1:$C$1368,"EC Auto",Movimientos!$B$1:$B$1368,"&lt;="&amp;$B179)</f>
        <v>901.34</v>
      </c>
      <c r="P179" s="24">
        <f>SUMIFS('Saldos Iniciales'!$D:$D,'Saldos Iniciales'!$A:$A,"Arbor Capital Properties")+SUMIFS(Movimientos!$K$1:$K$1368,Movimientos!$C$1:$C$1368,"Arbor Capital Properties",Movimientos!$B$1:$B$1368,"&lt;="&amp;$B179)</f>
        <v>1364.08</v>
      </c>
      <c r="Q179" s="24">
        <f>SUMIFS('Saldos Iniciales'!$D:$D,'Saldos Iniciales'!$A:$A,"2515 Overbrook")+SUMIFS(Movimientos!$K$1:$K$1368,Movimientos!$C$1:$C$1368,"2515 Overbrook",Movimientos!$B$1:$B$1368,"&lt;="&amp;$B179)</f>
        <v>39894.049999999959</v>
      </c>
      <c r="R179" s="24">
        <f>SUMIFS('Saldos Iniciales'!$D:$D,'Saldos Iniciales'!$A:$A,"112 Florida Ave")+SUMIFS(Movimientos!$K$1:$K$1368,Movimientos!$C$1:$C$1368,"112 Florida Ave",Movimientos!$B$1:$B$1368,"&lt;="&amp;$B179)</f>
        <v>13576.060000000007</v>
      </c>
      <c r="S179" s="24">
        <f>SUMIFS('Saldos Iniciales'!$D:$D,'Saldos Iniciales'!$A:$A,"3628 Thomas Ave")+SUMIFS(Movimientos!$K$1:$K$1368,Movimientos!$C$1:$C$1368,"3628 Thomas Ave",Movimientos!$B$1:$B$1368,"&lt;="&amp;$B179)</f>
        <v>16303.769999999997</v>
      </c>
      <c r="T179" s="24">
        <f>SUMIFS('Saldos Iniciales'!$D:$D,'Saldos Iniciales'!$A:$A,"Green Harbor Trust")+SUMIFS(Movimientos!$K$1:$K$1368,Movimientos!$C$1:$C$1368,"Green Harbor Trust",Movimientos!$B$1:$B$1368,"&lt;="&amp;$B179)</f>
        <v>345</v>
      </c>
      <c r="U179" s="24">
        <f>SUMIFS('Saldos Iniciales'!$D:$D,'Saldos Iniciales'!$A:$A,"Go Blue")+SUMIFS(Movimientos!$K$1:$K$1368,Movimientos!$C$1:$C$1368,"Go Blue",Movimientos!$B$1:$B$1368,"&lt;="&amp;$B179)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Trust",Movimientos!$B$1:$B$1368,"&lt;="&amp;$B179))</f>
        <v>351319.16</v>
      </c>
      <c r="AE179" s="25">
        <f t="shared" si="12"/>
        <v>6375783.2400000002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Group")+SUMIFS(Movimientos!$K$1:$K$1368,Movimientos!$C$1:$C$1368,"CFT Group",Movimientos!$B$1:$B$1368,"&lt;="&amp;$B180)</f>
        <v>1476295.6900000006</v>
      </c>
      <c r="D180" s="24">
        <f>SUMIFS('Saldos Iniciales'!$D:$D,'Saldos Iniciales'!$A:$A,"M1B")+SUMIFS(Movimientos!$K$1:$K$1368,Movimientos!$C$1:$C$1368,"M1B",Movimientos!$B$1:$B$1368,"&lt;="&amp;$B180)</f>
        <v>103123.59000000017</v>
      </c>
      <c r="E180" s="24">
        <f>SUMIFS('Saldos Iniciales'!$D:$D,'Saldos Iniciales'!$A:$A,"Durand")+SUMIFS(Movimientos!$K$1:$K$1368,Movimientos!$C$1:$C$1368,"Durand",Movimientos!$B$1:$B$1368,"&lt;="&amp;$B180)</f>
        <v>1669.89</v>
      </c>
      <c r="F180" s="24">
        <f>SUMIFS('Saldos Iniciales'!$D:$D,'Saldos Iniciales'!$A:$A,"A&amp;M Imports")+SUMIFS(Movimientos!$K$1:$K$1368,Movimientos!$C$1:$C$1368,"A&amp;M Imports",Movimientos!$B$1:$B$1368,"&lt;="&amp;$B180)</f>
        <v>1136684.5399999996</v>
      </c>
      <c r="G180" s="24">
        <f>SUMIFS('Saldos Iniciales'!$D:$D,'Saldos Iniciales'!$A:$A,"SSP Capital")+SUMIFS(Movimientos!$K$1:$K$1368,Movimientos!$C$1:$C$1368,"SSP Capital",Movimientos!$B$1:$B$1368,"&lt;="&amp;$B180)</f>
        <v>1280371.5299999991</v>
      </c>
      <c r="H180" s="24">
        <f>SUMIFS('Saldos Iniciales'!$D:$D,'Saldos Iniciales'!$A:$A,"Cross Family Trust")+SUMIFS(Movimientos!$K$1:$K$1368,Movimientos!$C$1:$C$1368,"Cross Family Trust",Movimientos!$B$1:$B$1368,"&lt;="&amp;$B180)</f>
        <v>161763.14000000001</v>
      </c>
      <c r="I180" s="24">
        <f>SUMIFS('Saldos Iniciales'!$D:$D,'Saldos Iniciales'!$A:$A,"Cross Security Trust")+SUMIFS(Movimientos!$K$1:$K$1368,Movimientos!$C$1:$C$1368,"Cross Security Trust",Movimientos!$B$1:$B$1368,"&lt;="&amp;$B180)</f>
        <v>80533.579999999987</v>
      </c>
      <c r="J180" s="24">
        <f>SUMIFS('Saldos Iniciales'!$D:$D,'Saldos Iniciales'!$A:$A,"Electrama")+SUMIFS(Movimientos!$K$1:$K$1368,Movimientos!$C$1:$C$1368,"Electrama",Movimientos!$B$1:$B$1368,"&lt;="&amp;$B180)</f>
        <v>10259.18</v>
      </c>
      <c r="K180" s="24">
        <f>SUMIFS('Saldos Iniciales'!$D:$D,'Saldos Iniciales'!$A:$A,"Sacred Valley Capital")+SUMIFS(Movimientos!$K$1:$K$1368,Movimientos!$C$1:$C$1368,"Sacred Valley Capital",Movimientos!$B$1:$B$1368,"&lt;="&amp;$B180)</f>
        <v>64.55</v>
      </c>
      <c r="L180" s="24">
        <f>SUMIFS('Saldos Iniciales'!$D:$D,'Saldos Iniciales'!$A:$A,"YWC Capital")+SUMIFS(Movimientos!$K$1:$K$1368,Movimientos!$C$1:$C$1368,"YWC Capital",Movimientos!$B$1:$B$1368,"&lt;="&amp;$B180)</f>
        <v>2117.9700000000003</v>
      </c>
      <c r="M180" s="24">
        <f>SUMIFS('Saldos Iniciales'!$D:$D,'Saldos Iniciales'!$A:$A,"Soweto")+SUMIFS(Movimientos!$K$1:$K$1368,Movimientos!$C$1:$C$1368,"Soweto",Movimientos!$B$1:$B$1368,"&lt;="&amp;$B180)</f>
        <v>17895.290000000015</v>
      </c>
      <c r="N180" s="24">
        <f>SUMIFS('Saldos Iniciales'!$D:$D,'Saldos Iniciales'!$A:$A,"Green Stone Trust")+SUMIFS(Movimientos!$K$1:$K$1368,Movimientos!$C$1:$C$1368,"Green Stone Trust",Movimientos!$B$1:$B$1368,"&lt;="&amp;$B180)</f>
        <v>1968.99</v>
      </c>
      <c r="O180" s="24">
        <f>SUMIFS('Saldos Iniciales'!$D:$D,'Saldos Iniciales'!$A:$A,"EC Auto")+SUMIFS(Movimientos!$K$1:$K$1368,Movimientos!$C$1:$C$1368,"EC Auto",Movimientos!$B$1:$B$1368,"&lt;="&amp;$B180)</f>
        <v>901.34</v>
      </c>
      <c r="P180" s="24">
        <f>SUMIFS('Saldos Iniciales'!$D:$D,'Saldos Iniciales'!$A:$A,"Arbor Capital Properties")+SUMIFS(Movimientos!$K$1:$K$1368,Movimientos!$C$1:$C$1368,"Arbor Capital Properties",Movimientos!$B$1:$B$1368,"&lt;="&amp;$B180)</f>
        <v>1364.08</v>
      </c>
      <c r="Q180" s="24">
        <f>SUMIFS('Saldos Iniciales'!$D:$D,'Saldos Iniciales'!$A:$A,"2515 Overbrook")+SUMIFS(Movimientos!$K$1:$K$1368,Movimientos!$C$1:$C$1368,"2515 Overbrook",Movimientos!$B$1:$B$1368,"&lt;="&amp;$B180)</f>
        <v>39894.049999999959</v>
      </c>
      <c r="R180" s="24">
        <f>SUMIFS('Saldos Iniciales'!$D:$D,'Saldos Iniciales'!$A:$A,"112 Florida Ave")+SUMIFS(Movimientos!$K$1:$K$1368,Movimientos!$C$1:$C$1368,"112 Florida Ave",Movimientos!$B$1:$B$1368,"&lt;="&amp;$B180)</f>
        <v>13576.060000000007</v>
      </c>
      <c r="S180" s="24">
        <f>SUMIFS('Saldos Iniciales'!$D:$D,'Saldos Iniciales'!$A:$A,"3628 Thomas Ave")+SUMIFS(Movimientos!$K$1:$K$1368,Movimientos!$C$1:$C$1368,"3628 Thomas Ave",Movimientos!$B$1:$B$1368,"&lt;="&amp;$B180)</f>
        <v>16303.769999999997</v>
      </c>
      <c r="T180" s="24">
        <f>SUMIFS('Saldos Iniciales'!$D:$D,'Saldos Iniciales'!$A:$A,"Green Harbor Trust")+SUMIFS(Movimientos!$K$1:$K$1368,Movimientos!$C$1:$C$1368,"Green Harbor Trust",Movimientos!$B$1:$B$1368,"&lt;="&amp;$B180)</f>
        <v>345</v>
      </c>
      <c r="U180" s="24">
        <f>SUMIFS('Saldos Iniciales'!$D:$D,'Saldos Iniciales'!$A:$A,"Go Blue")+SUMIFS(Movimientos!$K$1:$K$1368,Movimientos!$C$1:$C$1368,"Go Blue",Movimientos!$B$1:$B$1368,"&lt;="&amp;$B180)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Trust",Movimientos!$B$1:$B$1368,"&lt;="&amp;$B180))</f>
        <v>351319.16</v>
      </c>
      <c r="AE180" s="25">
        <f t="shared" ref="AE180" si="13">SUM(C180:AD180)</f>
        <v>6551503.1899999976</v>
      </c>
    </row>
    <row r="181" spans="1:31" x14ac:dyDescent="0.3">
      <c r="A181" s="22">
        <f t="shared" si="5"/>
        <v>180</v>
      </c>
      <c r="B181" s="23">
        <v>46322</v>
      </c>
      <c r="C181" s="24">
        <f>SUMIFS('Saldos Iniciales'!$D:$D,'Saldos Iniciales'!$A:$A,"CFT Group")+SUMIFS(Movimientos!$K$1:$K$1368,Movimientos!$C$1:$C$1368,"CFT Group",Movimientos!$B$1:$B$1368,"&lt;="&amp;$B181)</f>
        <v>1476295.6900000006</v>
      </c>
      <c r="D181" s="24">
        <f>SUMIFS('Saldos Iniciales'!$D:$D,'Saldos Iniciales'!$A:$A,"M1B")+SUMIFS(Movimientos!$K$1:$K$1368,Movimientos!$C$1:$C$1368,"M1B",Movimientos!$B$1:$B$1368,"&lt;="&amp;$B181)</f>
        <v>110102.70000000016</v>
      </c>
      <c r="E181" s="24">
        <f>SUMIFS('Saldos Iniciales'!$D:$D,'Saldos Iniciales'!$A:$A,"Durand")+SUMIFS(Movimientos!$K$1:$K$1368,Movimientos!$C$1:$C$1368,"Durand",Movimientos!$B$1:$B$1368,"&lt;="&amp;$B181)</f>
        <v>1669.89</v>
      </c>
      <c r="F181" s="24">
        <f>SUMIFS('Saldos Iniciales'!$D:$D,'Saldos Iniciales'!$A:$A,"A&amp;M Imports")+SUMIFS(Movimientos!$K$1:$K$1368,Movimientos!$C$1:$C$1368,"A&amp;M Imports",Movimientos!$B$1:$B$1368,"&lt;="&amp;$B181)</f>
        <v>1136684.5399999996</v>
      </c>
      <c r="G181" s="24">
        <f>SUMIFS('Saldos Iniciales'!$D:$D,'Saldos Iniciales'!$A:$A,"SSP Capital")+SUMIFS(Movimientos!$K$1:$K$1368,Movimientos!$C$1:$C$1368,"SSP Capital",Movimientos!$B$1:$B$1368,"&lt;="&amp;$B181)</f>
        <v>1280371.0299999991</v>
      </c>
      <c r="H181" s="24">
        <f>SUMIFS('Saldos Iniciales'!$D:$D,'Saldos Iniciales'!$A:$A,"Cross Family Trust")+SUMIFS(Movimientos!$K$1:$K$1368,Movimientos!$C$1:$C$1368,"Cross Family Trust",Movimientos!$B$1:$B$1368,"&lt;="&amp;$B181)</f>
        <v>161763.14000000001</v>
      </c>
      <c r="I181" s="24">
        <f>SUMIFS('Saldos Iniciales'!$D:$D,'Saldos Iniciales'!$A:$A,"Cross Security Trust")+SUMIFS(Movimientos!$K$1:$K$1368,Movimientos!$C$1:$C$1368,"Cross Security Trust",Movimientos!$B$1:$B$1368,"&lt;="&amp;$B181)</f>
        <v>80533.579999999987</v>
      </c>
      <c r="J181" s="24">
        <f>SUMIFS('Saldos Iniciales'!$D:$D,'Saldos Iniciales'!$A:$A,"Electrama")+SUMIFS(Movimientos!$K$1:$K$1368,Movimientos!$C$1:$C$1368,"Electrama",Movimientos!$B$1:$B$1368,"&lt;="&amp;$B181)</f>
        <v>10259.18</v>
      </c>
      <c r="K181" s="24">
        <f>SUMIFS('Saldos Iniciales'!$D:$D,'Saldos Iniciales'!$A:$A,"Sacred Valley Capital")+SUMIFS(Movimientos!$K$1:$K$1368,Movimientos!$C$1:$C$1368,"Sacred Valley Capital",Movimientos!$B$1:$B$1368,"&lt;="&amp;$B181)</f>
        <v>64.55</v>
      </c>
      <c r="L181" s="24">
        <f>SUMIFS('Saldos Iniciales'!$D:$D,'Saldos Iniciales'!$A:$A,"YWC Capital")+SUMIFS(Movimientos!$K$1:$K$1368,Movimientos!$C$1:$C$1368,"YWC Capital",Movimientos!$B$1:$B$1368,"&lt;="&amp;$B181)</f>
        <v>2117.9700000000003</v>
      </c>
      <c r="M181" s="24">
        <f>SUMIFS('Saldos Iniciales'!$D:$D,'Saldos Iniciales'!$A:$A,"Soweto")+SUMIFS(Movimientos!$K$1:$K$1368,Movimientos!$C$1:$C$1368,"Soweto",Movimientos!$B$1:$B$1368,"&lt;="&amp;$B181)</f>
        <v>17895.290000000015</v>
      </c>
      <c r="N181" s="24">
        <f>SUMIFS('Saldos Iniciales'!$D:$D,'Saldos Iniciales'!$A:$A,"Green Stone Trust")+SUMIFS(Movimientos!$K$1:$K$1368,Movimientos!$C$1:$C$1368,"Green Stone Trust",Movimientos!$B$1:$B$1368,"&lt;="&amp;$B181)</f>
        <v>1968.99</v>
      </c>
      <c r="O181" s="24">
        <f>SUMIFS('Saldos Iniciales'!$D:$D,'Saldos Iniciales'!$A:$A,"EC Auto")+SUMIFS(Movimientos!$K$1:$K$1368,Movimientos!$C$1:$C$1368,"EC Auto",Movimientos!$B$1:$B$1368,"&lt;="&amp;$B181)</f>
        <v>901.34</v>
      </c>
      <c r="P181" s="24">
        <f>SUMIFS('Saldos Iniciales'!$D:$D,'Saldos Iniciales'!$A:$A,"Arbor Capital Properties")+SUMIFS(Movimientos!$K$1:$K$1368,Movimientos!$C$1:$C$1368,"Arbor Capital Properties",Movimientos!$B$1:$B$1368,"&lt;="&amp;$B181)</f>
        <v>1364.08</v>
      </c>
      <c r="Q181" s="24">
        <f>SUMIFS('Saldos Iniciales'!$D:$D,'Saldos Iniciales'!$A:$A,"2515 Overbrook")+SUMIFS(Movimientos!$K$1:$K$1368,Movimientos!$C$1:$C$1368,"2515 Overbrook",Movimientos!$B$1:$B$1368,"&lt;="&amp;$B181)</f>
        <v>39744.97999999996</v>
      </c>
      <c r="R181" s="24">
        <f>SUMIFS('Saldos Iniciales'!$D:$D,'Saldos Iniciales'!$A:$A,"112 Florida Ave")+SUMIFS(Movimientos!$K$1:$K$1368,Movimientos!$C$1:$C$1368,"112 Florida Ave",Movimientos!$B$1:$B$1368,"&lt;="&amp;$B181)</f>
        <v>13576.060000000007</v>
      </c>
      <c r="S181" s="24">
        <f>SUMIFS('Saldos Iniciales'!$D:$D,'Saldos Iniciales'!$A:$A,"3628 Thomas Ave")+SUMIFS(Movimientos!$K$1:$K$1368,Movimientos!$C$1:$C$1368,"3628 Thomas Ave",Movimientos!$B$1:$B$1368,"&lt;="&amp;$B181)</f>
        <v>16303.769999999997</v>
      </c>
      <c r="T181" s="24">
        <f>SUMIFS('Saldos Iniciales'!$D:$D,'Saldos Iniciales'!$A:$A,"Green Harbor Trust")+SUMIFS(Movimientos!$K$1:$K$1368,Movimientos!$C$1:$C$1368,"Green Harbor Trust",Movimientos!$B$1:$B$1368,"&lt;="&amp;$B181)</f>
        <v>345</v>
      </c>
      <c r="U181" s="24">
        <f>SUMIFS('Saldos Iniciales'!$D:$D,'Saldos Iniciales'!$A:$A,"Go Blue")+SUMIFS(Movimientos!$K$1:$K$1368,Movimientos!$C$1:$C$1368,"Go Blue",Movimientos!$B$1:$B$1368,"&lt;="&amp;$B181)</f>
        <v>5610.3000000000011</v>
      </c>
      <c r="V181" s="24">
        <f>IF(YEAR($B181)*100+MONTH($B181)&lt;--SUBSTITUTE(_xlfn.XLOOKUP("Pacha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LLC",Movimientos!$B$1:$B$1368,"&lt;="&amp;$B181))</f>
        <v>1329346.53</v>
      </c>
      <c r="W181" s="24">
        <f>IF(YEAR($B181)*100+MONTH($B181)&lt;--SUBSTITUTE(_xlfn.XLOOKUP("*CFT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Residence",Movimientos!$B$1:$B$1368,"&lt;="&amp;$B181))</f>
        <v>142015.14000000004</v>
      </c>
      <c r="X181" s="24">
        <f>IF(YEAR($B181)*100+MONTH($B181)&lt;--SUBSTITUTE(_xlfn.XLOOKUP("Carmen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Trust",Movimientos!$B$1:$B$1368,"&lt;="&amp;$B181))</f>
        <v>22170.959999999999</v>
      </c>
      <c r="Y181" s="24">
        <f>IF(YEAR($B181)*100+MONTH($B181)&lt;--SUBSTITUTE(_xlfn.XLOOKUP("SIYP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LLC",Movimientos!$B$1:$B$1368,"&lt;="&amp;$B181))</f>
        <v>3906.17</v>
      </c>
      <c r="Z181" s="24">
        <f>IF(YEAR($B181)*100+MONTH($B181)&lt;--SUBSTITUTE(_xlfn.XLOOKUP("Prendamas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SRL",Movimientos!$B$1:$B$1368,"&lt;="&amp;$B181))</f>
        <v>98993.819999999978</v>
      </c>
      <c r="AA181" s="24">
        <f>IF(YEAR($B181)*100+MONTH($B181)&lt;--SUBSTITUTE(_xlfn.XLOOKUP("360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LLC",Movimientos!$B$1:$B$1368,"&lt;="&amp;$B181))</f>
        <v>794.01</v>
      </c>
      <c r="AB181" s="24">
        <f>IF(YEAR($B181)*100+MONTH($B181)&lt;--SUBSTITUTE(_xlfn.XLOOKUP("Five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",Movimientos!$B$1:$B$1368,"&lt;="&amp;$B181))</f>
        <v>5445.57</v>
      </c>
      <c r="AC181" s="24">
        <f>IF(YEAR($B181)*100+MONTH($B181)&lt;--SUBSTITUTE(_xlfn.XLOOKUP("Nobe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Aparments",Movimientos!$B$1:$B$1368,"&lt;="&amp;$B181))</f>
        <v>246769.28999999998</v>
      </c>
      <c r="AD181" s="24">
        <f>IF(YEAR($B181)*100+MONTH($B181)&lt;--SUBSTITUTE(_xlfn.XLOOKUP("Don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Trust",Movimientos!$B$1:$B$1368,"&lt;="&amp;$B181))</f>
        <v>351319.16</v>
      </c>
      <c r="AE181" s="25">
        <f t="shared" ref="AE181" si="14">SUM(C181:AD181)</f>
        <v>6558332.7299999977</v>
      </c>
    </row>
    <row r="182" spans="1:31" x14ac:dyDescent="0.3">
      <c r="A182" s="22">
        <f t="shared" si="5"/>
        <v>181</v>
      </c>
      <c r="B182" s="23">
        <v>46323</v>
      </c>
      <c r="C182" s="24">
        <f>SUMIFS('Saldos Iniciales'!$D:$D,'Saldos Iniciales'!$A:$A,"CFT Group")+SUMIFS(Movimientos!$K$1:$K$1368,Movimientos!$C$1:$C$1368,"CFT Group",Movimientos!$B$1:$B$1368,"&lt;="&amp;$B182)</f>
        <v>3904867.1200000006</v>
      </c>
      <c r="D182" s="24">
        <f>SUMIFS('Saldos Iniciales'!$D:$D,'Saldos Iniciales'!$A:$A,"M1B")+SUMIFS(Movimientos!$K$1:$K$1368,Movimientos!$C$1:$C$1368,"M1B",Movimientos!$B$1:$B$1368,"&lt;="&amp;$B182)</f>
        <v>110102.70000000016</v>
      </c>
      <c r="E182" s="24">
        <f>SUMIFS('Saldos Iniciales'!$D:$D,'Saldos Iniciales'!$A:$A,"Durand")+SUMIFS(Movimientos!$K$1:$K$1368,Movimientos!$C$1:$C$1368,"Durand",Movimientos!$B$1:$B$1368,"&lt;="&amp;$B182)</f>
        <v>1669.89</v>
      </c>
      <c r="F182" s="24">
        <f>SUMIFS('Saldos Iniciales'!$D:$D,'Saldos Iniciales'!$A:$A,"A&amp;M Imports")+SUMIFS(Movimientos!$K$1:$K$1368,Movimientos!$C$1:$C$1368,"A&amp;M Imports",Movimientos!$B$1:$B$1368,"&lt;="&amp;$B182)</f>
        <v>1136684.5399999996</v>
      </c>
      <c r="G182" s="24">
        <f>SUMIFS('Saldos Iniciales'!$D:$D,'Saldos Iniciales'!$A:$A,"SSP Capital")+SUMIFS(Movimientos!$K$1:$K$1368,Movimientos!$C$1:$C$1368,"SSP Capital",Movimientos!$B$1:$B$1368,"&lt;="&amp;$B182)</f>
        <v>1279844.2799999991</v>
      </c>
      <c r="H182" s="24">
        <f>SUMIFS('Saldos Iniciales'!$D:$D,'Saldos Iniciales'!$A:$A,"Cross Family Trust")+SUMIFS(Movimientos!$K$1:$K$1368,Movimientos!$C$1:$C$1368,"Cross Family Trust",Movimientos!$B$1:$B$1368,"&lt;="&amp;$B182)</f>
        <v>161763.14000000001</v>
      </c>
      <c r="I182" s="24">
        <f>SUMIFS('Saldos Iniciales'!$D:$D,'Saldos Iniciales'!$A:$A,"Cross Security Trust")+SUMIFS(Movimientos!$K$1:$K$1368,Movimientos!$C$1:$C$1368,"Cross Security Trust",Movimientos!$B$1:$B$1368,"&lt;="&amp;$B182)</f>
        <v>80533.579999999987</v>
      </c>
      <c r="J182" s="24">
        <f>SUMIFS('Saldos Iniciales'!$D:$D,'Saldos Iniciales'!$A:$A,"Electrama")+SUMIFS(Movimientos!$K$1:$K$1368,Movimientos!$C$1:$C$1368,"Electrama",Movimientos!$B$1:$B$1368,"&lt;="&amp;$B182)</f>
        <v>10259.18</v>
      </c>
      <c r="K182" s="24">
        <f>SUMIFS('Saldos Iniciales'!$D:$D,'Saldos Iniciales'!$A:$A,"Sacred Valley Capital")+SUMIFS(Movimientos!$K$1:$K$1368,Movimientos!$C$1:$C$1368,"Sacred Valley Capital",Movimientos!$B$1:$B$1368,"&lt;="&amp;$B182)</f>
        <v>64.55</v>
      </c>
      <c r="L182" s="24">
        <f>SUMIFS('Saldos Iniciales'!$D:$D,'Saldos Iniciales'!$A:$A,"YWC Capital")+SUMIFS(Movimientos!$K$1:$K$1368,Movimientos!$C$1:$C$1368,"YWC Capital",Movimientos!$B$1:$B$1368,"&lt;="&amp;$B182)</f>
        <v>2117.9700000000003</v>
      </c>
      <c r="M182" s="24">
        <f>SUMIFS('Saldos Iniciales'!$D:$D,'Saldos Iniciales'!$A:$A,"Soweto")+SUMIFS(Movimientos!$K$1:$K$1368,Movimientos!$C$1:$C$1368,"Soweto",Movimientos!$B$1:$B$1368,"&lt;="&amp;$B182)</f>
        <v>17895.290000000015</v>
      </c>
      <c r="N182" s="24">
        <f>SUMIFS('Saldos Iniciales'!$D:$D,'Saldos Iniciales'!$A:$A,"Green Stone Trust")+SUMIFS(Movimientos!$K$1:$K$1368,Movimientos!$C$1:$C$1368,"Green Stone Trust",Movimientos!$B$1:$B$1368,"&lt;="&amp;$B182)</f>
        <v>1968.99</v>
      </c>
      <c r="O182" s="24">
        <f>SUMIFS('Saldos Iniciales'!$D:$D,'Saldos Iniciales'!$A:$A,"EC Auto")+SUMIFS(Movimientos!$K$1:$K$1368,Movimientos!$C$1:$C$1368,"EC Auto",Movimientos!$B$1:$B$1368,"&lt;="&amp;$B182)</f>
        <v>901.34</v>
      </c>
      <c r="P182" s="24">
        <f>SUMIFS('Saldos Iniciales'!$D:$D,'Saldos Iniciales'!$A:$A,"Arbor Capital Properties")+SUMIFS(Movimientos!$K$1:$K$1368,Movimientos!$C$1:$C$1368,"Arbor Capital Properties",Movimientos!$B$1:$B$1368,"&lt;="&amp;$B182)</f>
        <v>1364.08</v>
      </c>
      <c r="Q182" s="24">
        <f>SUMIFS('Saldos Iniciales'!$D:$D,'Saldos Iniciales'!$A:$A,"2515 Overbrook")+SUMIFS(Movimientos!$K$1:$K$1368,Movimientos!$C$1:$C$1368,"2515 Overbrook",Movimientos!$B$1:$B$1368,"&lt;="&amp;$B182)</f>
        <v>39744.97999999996</v>
      </c>
      <c r="R182" s="24">
        <f>SUMIFS('Saldos Iniciales'!$D:$D,'Saldos Iniciales'!$A:$A,"112 Florida Ave")+SUMIFS(Movimientos!$K$1:$K$1368,Movimientos!$C$1:$C$1368,"112 Florida Ave",Movimientos!$B$1:$B$1368,"&lt;="&amp;$B182)</f>
        <v>13499.110000000008</v>
      </c>
      <c r="S182" s="24">
        <f>SUMIFS('Saldos Iniciales'!$D:$D,'Saldos Iniciales'!$A:$A,"3628 Thomas Ave")+SUMIFS(Movimientos!$K$1:$K$1368,Movimientos!$C$1:$C$1368,"3628 Thomas Ave",Movimientos!$B$1:$B$1368,"&lt;="&amp;$B182)</f>
        <v>16303.769999999997</v>
      </c>
      <c r="T182" s="24">
        <f>SUMIFS('Saldos Iniciales'!$D:$D,'Saldos Iniciales'!$A:$A,"Green Harbor Trust")+SUMIFS(Movimientos!$K$1:$K$1368,Movimientos!$C$1:$C$1368,"Green Harbor Trust",Movimientos!$B$1:$B$1368,"&lt;="&amp;$B182)</f>
        <v>345</v>
      </c>
      <c r="U182" s="24">
        <f>SUMIFS('Saldos Iniciales'!$D:$D,'Saldos Iniciales'!$A:$A,"Go Blue")+SUMIFS(Movimientos!$K$1:$K$1368,Movimientos!$C$1:$C$1368,"Go Blue",Movimientos!$B$1:$B$1368,"&lt;="&amp;$B182)</f>
        <v>5293.4800000000014</v>
      </c>
      <c r="V182" s="24">
        <f>IF(YEAR($B182)*100+MONTH($B182)&lt;--SUBSTITUTE(_xlfn.XLOOKUP("Pacha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LLC",Movimientos!$B$1:$B$1368,"&lt;="&amp;$B182))</f>
        <v>1329346.53</v>
      </c>
      <c r="W182" s="24">
        <f>IF(YEAR($B182)*100+MONTH($B182)&lt;--SUBSTITUTE(_xlfn.XLOOKUP("*CFT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Residence",Movimientos!$B$1:$B$1368,"&lt;="&amp;$B182))</f>
        <v>142015.14000000004</v>
      </c>
      <c r="X182" s="24">
        <f>IF(YEAR($B182)*100+MONTH($B182)&lt;--SUBSTITUTE(_xlfn.XLOOKUP("Carmen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Trust",Movimientos!$B$1:$B$1368,"&lt;="&amp;$B182))</f>
        <v>22170.959999999999</v>
      </c>
      <c r="Y182" s="24">
        <f>IF(YEAR($B182)*100+MONTH($B182)&lt;--SUBSTITUTE(_xlfn.XLOOKUP("SIYP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LLC",Movimientos!$B$1:$B$1368,"&lt;="&amp;$B182))</f>
        <v>3906.17</v>
      </c>
      <c r="Z182" s="24">
        <f>IF(YEAR($B182)*100+MONTH($B182)&lt;--SUBSTITUTE(_xlfn.XLOOKUP("Prendamas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SRL",Movimientos!$B$1:$B$1368,"&lt;="&amp;$B182))</f>
        <v>98993.819999999978</v>
      </c>
      <c r="AA182" s="24">
        <f>IF(YEAR($B182)*100+MONTH($B182)&lt;--SUBSTITUTE(_xlfn.XLOOKUP("360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LLC",Movimientos!$B$1:$B$1368,"&lt;="&amp;$B182))</f>
        <v>794.01</v>
      </c>
      <c r="AB182" s="24">
        <f>IF(YEAR($B182)*100+MONTH($B182)&lt;--SUBSTITUTE(_xlfn.XLOOKUP("Five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",Movimientos!$B$1:$B$1368,"&lt;="&amp;$B182))</f>
        <v>5445.57</v>
      </c>
      <c r="AC182" s="24">
        <f>IF(YEAR($B182)*100+MONTH($B182)&lt;--SUBSTITUTE(_xlfn.XLOOKUP("Nobe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Aparments",Movimientos!$B$1:$B$1368,"&lt;="&amp;$B182))</f>
        <v>246769.28999999998</v>
      </c>
      <c r="AD182" s="24">
        <f>IF(YEAR($B182)*100+MONTH($B182)&lt;--SUBSTITUTE(_xlfn.XLOOKUP("Don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Trust",Movimientos!$B$1:$B$1368,"&lt;="&amp;$B182))</f>
        <v>351319.16</v>
      </c>
      <c r="AE182" s="25">
        <f t="shared" ref="AE182:AE183" si="15">SUM(C182:AD182)</f>
        <v>8985983.6399999987</v>
      </c>
    </row>
    <row r="183" spans="1:31" x14ac:dyDescent="0.3">
      <c r="A183" s="22">
        <f t="shared" si="5"/>
        <v>182</v>
      </c>
      <c r="B183" s="23">
        <v>46324</v>
      </c>
      <c r="C183" s="24">
        <f>SUMIFS('Saldos Iniciales'!$D:$D,'Saldos Iniciales'!$A:$A,"CFT Group")+SUMIFS(Movimientos!$K$1:$K$1368,Movimientos!$C$1:$C$1368,"CFT Group",Movimientos!$B$1:$B$1368,"&lt;="&amp;$B183)</f>
        <v>4116853.3700000006</v>
      </c>
      <c r="D183" s="24">
        <f>SUMIFS('Saldos Iniciales'!$D:$D,'Saldos Iniciales'!$A:$A,"M1B")+SUMIFS(Movimientos!$K$1:$K$1368,Movimientos!$C$1:$C$1368,"M1B",Movimientos!$B$1:$B$1368,"&lt;="&amp;$B183)</f>
        <v>112654.76000000015</v>
      </c>
      <c r="E183" s="24">
        <f>SUMIFS('Saldos Iniciales'!$D:$D,'Saldos Iniciales'!$A:$A,"Durand")+SUMIFS(Movimientos!$K$1:$K$1368,Movimientos!$C$1:$C$1368,"Durand",Movimientos!$B$1:$B$1368,"&lt;="&amp;$B183)</f>
        <v>1669.89</v>
      </c>
      <c r="F183" s="24">
        <f>SUMIFS('Saldos Iniciales'!$D:$D,'Saldos Iniciales'!$A:$A,"A&amp;M Imports")+SUMIFS(Movimientos!$K$1:$K$1368,Movimientos!$C$1:$C$1368,"A&amp;M Imports",Movimientos!$B$1:$B$1368,"&lt;="&amp;$B183)</f>
        <v>1161160.8399999996</v>
      </c>
      <c r="G183" s="24">
        <f>SUMIFS('Saldos Iniciales'!$D:$D,'Saldos Iniciales'!$A:$A,"SSP Capital")+SUMIFS(Movimientos!$K$1:$K$1368,Movimientos!$C$1:$C$1368,"SSP Capital",Movimientos!$B$1:$B$1368,"&lt;="&amp;$B183)</f>
        <v>1113154.8099999991</v>
      </c>
      <c r="H183" s="24">
        <f>SUMIFS('Saldos Iniciales'!$D:$D,'Saldos Iniciales'!$A:$A,"Cross Family Trust")+SUMIFS(Movimientos!$K$1:$K$1368,Movimientos!$C$1:$C$1368,"Cross Family Trust",Movimientos!$B$1:$B$1368,"&lt;="&amp;$B183)</f>
        <v>161763.14000000001</v>
      </c>
      <c r="I183" s="24">
        <f>SUMIFS('Saldos Iniciales'!$D:$D,'Saldos Iniciales'!$A:$A,"Cross Security Trust")+SUMIFS(Movimientos!$K$1:$K$1368,Movimientos!$C$1:$C$1368,"Cross Security Trust",Movimientos!$B$1:$B$1368,"&lt;="&amp;$B183)</f>
        <v>80533.579999999987</v>
      </c>
      <c r="J183" s="24">
        <f>SUMIFS('Saldos Iniciales'!$D:$D,'Saldos Iniciales'!$A:$A,"Electrama")+SUMIFS(Movimientos!$K$1:$K$1368,Movimientos!$C$1:$C$1368,"Electrama",Movimientos!$B$1:$B$1368,"&lt;="&amp;$B183)</f>
        <v>10259.18</v>
      </c>
      <c r="K183" s="24">
        <f>SUMIFS('Saldos Iniciales'!$D:$D,'Saldos Iniciales'!$A:$A,"Sacred Valley Capital")+SUMIFS(Movimientos!$K$1:$K$1368,Movimientos!$C$1:$C$1368,"Sacred Valley Capital",Movimientos!$B$1:$B$1368,"&lt;="&amp;$B183)</f>
        <v>64.55</v>
      </c>
      <c r="L183" s="24">
        <f>SUMIFS('Saldos Iniciales'!$D:$D,'Saldos Iniciales'!$A:$A,"YWC Capital")+SUMIFS(Movimientos!$K$1:$K$1368,Movimientos!$C$1:$C$1368,"YWC Capital",Movimientos!$B$1:$B$1368,"&lt;="&amp;$B183)</f>
        <v>2117.9700000000003</v>
      </c>
      <c r="M183" s="24">
        <f>SUMIFS('Saldos Iniciales'!$D:$D,'Saldos Iniciales'!$A:$A,"Soweto")+SUMIFS(Movimientos!$K$1:$K$1368,Movimientos!$C$1:$C$1368,"Soweto",Movimientos!$B$1:$B$1368,"&lt;="&amp;$B183)</f>
        <v>17895.290000000015</v>
      </c>
      <c r="N183" s="24">
        <f>SUMIFS('Saldos Iniciales'!$D:$D,'Saldos Iniciales'!$A:$A,"Green Stone Trust")+SUMIFS(Movimientos!$K$1:$K$1368,Movimientos!$C$1:$C$1368,"Green Stone Trust",Movimientos!$B$1:$B$1368,"&lt;="&amp;$B183)</f>
        <v>1968.99</v>
      </c>
      <c r="O183" s="24">
        <f>SUMIFS('Saldos Iniciales'!$D:$D,'Saldos Iniciales'!$A:$A,"EC Auto")+SUMIFS(Movimientos!$K$1:$K$1368,Movimientos!$C$1:$C$1368,"EC Auto",Movimientos!$B$1:$B$1368,"&lt;="&amp;$B183)</f>
        <v>901.34</v>
      </c>
      <c r="P183" s="24">
        <f>SUMIFS('Saldos Iniciales'!$D:$D,'Saldos Iniciales'!$A:$A,"Arbor Capital Properties")+SUMIFS(Movimientos!$K$1:$K$1368,Movimientos!$C$1:$C$1368,"Arbor Capital Properties",Movimientos!$B$1:$B$1368,"&lt;="&amp;$B183)</f>
        <v>1364.08</v>
      </c>
      <c r="Q183" s="24">
        <f>SUMIFS('Saldos Iniciales'!$D:$D,'Saldos Iniciales'!$A:$A,"2515 Overbrook")+SUMIFS(Movimientos!$K$1:$K$1368,Movimientos!$C$1:$C$1368,"2515 Overbrook",Movimientos!$B$1:$B$1368,"&lt;="&amp;$B183)</f>
        <v>44994.97999999996</v>
      </c>
      <c r="R183" s="24">
        <f>SUMIFS('Saldos Iniciales'!$D:$D,'Saldos Iniciales'!$A:$A,"112 Florida Ave")+SUMIFS(Movimientos!$K$1:$K$1368,Movimientos!$C$1:$C$1368,"112 Florida Ave",Movimientos!$B$1:$B$1368,"&lt;="&amp;$B183)</f>
        <v>13499.110000000008</v>
      </c>
      <c r="S183" s="24">
        <f>SUMIFS('Saldos Iniciales'!$D:$D,'Saldos Iniciales'!$A:$A,"3628 Thomas Ave")+SUMIFS(Movimientos!$K$1:$K$1368,Movimientos!$C$1:$C$1368,"3628 Thomas Ave",Movimientos!$B$1:$B$1368,"&lt;="&amp;$B183)</f>
        <v>19303.769999999997</v>
      </c>
      <c r="T183" s="24">
        <f>SUMIFS('Saldos Iniciales'!$D:$D,'Saldos Iniciales'!$A:$A,"Green Harbor Trust")+SUMIFS(Movimientos!$K$1:$K$1368,Movimientos!$C$1:$C$1368,"Green Harbor Trust",Movimientos!$B$1:$B$1368,"&lt;="&amp;$B183)</f>
        <v>345</v>
      </c>
      <c r="U183" s="24">
        <f>SUMIFS('Saldos Iniciales'!$D:$D,'Saldos Iniciales'!$A:$A,"Go Blue")+SUMIFS(Movimientos!$K$1:$K$1368,Movimientos!$C$1:$C$1368,"Go Blue",Movimientos!$B$1:$B$1368,"&lt;="&amp;$B183)</f>
        <v>5293.4800000000014</v>
      </c>
      <c r="V183" s="24">
        <f>IF(YEAR($B183)*100+MONTH($B183)&lt;--SUBSTITUTE(_xlfn.XLOOKUP("Pacha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LLC",Movimientos!$B$1:$B$1368,"&lt;="&amp;$B183))</f>
        <v>1329346.53</v>
      </c>
      <c r="W183" s="24">
        <f>IF(YEAR($B183)*100+MONTH($B183)&lt;--SUBSTITUTE(_xlfn.XLOOKUP("*CFT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Residence",Movimientos!$B$1:$B$1368,"&lt;="&amp;$B183))</f>
        <v>142015.14000000004</v>
      </c>
      <c r="X183" s="24">
        <f>IF(YEAR($B183)*100+MONTH($B183)&lt;--SUBSTITUTE(_xlfn.XLOOKUP("Carmen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Trust",Movimientos!$B$1:$B$1368,"&lt;="&amp;$B183))</f>
        <v>22170.959999999999</v>
      </c>
      <c r="Y183" s="24">
        <f>IF(YEAR($B183)*100+MONTH($B183)&lt;--SUBSTITUTE(_xlfn.XLOOKUP("SIYP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LLC",Movimientos!$B$1:$B$1368,"&lt;="&amp;$B183))</f>
        <v>3906.17</v>
      </c>
      <c r="Z183" s="24">
        <f>IF(YEAR($B183)*100+MONTH($B183)&lt;--SUBSTITUTE(_xlfn.XLOOKUP("Prendamas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SRL",Movimientos!$B$1:$B$1368,"&lt;="&amp;$B183))</f>
        <v>98478.63999999997</v>
      </c>
      <c r="AA183" s="24">
        <f>IF(YEAR($B183)*100+MONTH($B183)&lt;--SUBSTITUTE(_xlfn.XLOOKUP("360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LLC",Movimientos!$B$1:$B$1368,"&lt;="&amp;$B183))</f>
        <v>794.01</v>
      </c>
      <c r="AB183" s="24">
        <f>IF(YEAR($B183)*100+MONTH($B183)&lt;--SUBSTITUTE(_xlfn.XLOOKUP("Five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",Movimientos!$B$1:$B$1368,"&lt;="&amp;$B183))</f>
        <v>5445.57</v>
      </c>
      <c r="AC183" s="24">
        <f>IF(YEAR($B183)*100+MONTH($B183)&lt;--SUBSTITUTE(_xlfn.XLOOKUP("Nobe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Aparments",Movimientos!$B$1:$B$1368,"&lt;="&amp;$B183))</f>
        <v>246769.28999999998</v>
      </c>
      <c r="AD183" s="24">
        <f>IF(YEAR($B183)*100+MONTH($B183)&lt;--SUBSTITUTE(_xlfn.XLOOKUP("Don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Trust",Movimientos!$B$1:$B$1368,"&lt;="&amp;$B183))</f>
        <v>351319.16</v>
      </c>
      <c r="AE183" s="25">
        <f t="shared" si="15"/>
        <v>9066043.5999999978</v>
      </c>
    </row>
  </sheetData>
  <phoneticPr fontId="5" type="noConversion"/>
  <conditionalFormatting sqref="C2:AE183">
    <cfRule type="cellIs" dxfId="5" priority="1" operator="lessThan">
      <formula>0</formula>
    </cfRule>
  </conditionalFormatting>
  <conditionalFormatting sqref="AE2:AE183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97"/>
  <sheetViews>
    <sheetView tabSelected="1" zoomScale="70" zoomScaleNormal="70" workbookViewId="0">
      <pane ySplit="1" topLeftCell="A5077" activePane="bottomLeft" state="frozen"/>
      <selection pane="bottomLeft" activeCell="F5092" sqref="F5092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</v>
      </c>
      <c r="B1" s="56" t="s">
        <v>130</v>
      </c>
      <c r="C1" s="57" t="s">
        <v>163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s="88" t="s">
        <v>17</v>
      </c>
      <c r="B2" s="88"/>
      <c r="C2" s="16">
        <v>46143</v>
      </c>
      <c r="D2" s="79">
        <v>200763.43000000025</v>
      </c>
    </row>
    <row r="3" spans="1:10" x14ac:dyDescent="0.3">
      <c r="A3" s="88" t="s">
        <v>18</v>
      </c>
      <c r="B3" s="88"/>
      <c r="C3" s="16">
        <v>46143</v>
      </c>
      <c r="D3" s="79">
        <v>51288.029999999948</v>
      </c>
    </row>
    <row r="4" spans="1:10" x14ac:dyDescent="0.3">
      <c r="A4" s="88" t="s">
        <v>19</v>
      </c>
      <c r="B4" s="88"/>
      <c r="C4" s="16">
        <v>46143</v>
      </c>
      <c r="D4" s="79">
        <v>1669.89</v>
      </c>
    </row>
    <row r="5" spans="1:10" x14ac:dyDescent="0.3">
      <c r="A5" s="88" t="s">
        <v>20</v>
      </c>
      <c r="B5" s="88"/>
      <c r="C5" s="16">
        <v>46143</v>
      </c>
      <c r="D5" s="79">
        <v>589990.30000000005</v>
      </c>
    </row>
    <row r="6" spans="1:10" x14ac:dyDescent="0.3">
      <c r="A6" s="88" t="s">
        <v>21</v>
      </c>
      <c r="B6" s="88"/>
      <c r="C6" s="16">
        <v>46143</v>
      </c>
      <c r="D6" s="79">
        <v>990387.37999999931</v>
      </c>
    </row>
    <row r="7" spans="1:10" x14ac:dyDescent="0.3">
      <c r="A7" s="88" t="s">
        <v>22</v>
      </c>
      <c r="B7" s="88"/>
      <c r="C7" s="16">
        <v>46143</v>
      </c>
      <c r="D7" s="79">
        <v>142511.38</v>
      </c>
    </row>
    <row r="8" spans="1:10" x14ac:dyDescent="0.3">
      <c r="A8" s="88" t="s">
        <v>23</v>
      </c>
      <c r="B8" s="88"/>
      <c r="C8" s="16">
        <v>46143</v>
      </c>
      <c r="D8" s="79">
        <v>13088.589999999997</v>
      </c>
    </row>
    <row r="9" spans="1:10" x14ac:dyDescent="0.3">
      <c r="A9" s="88" t="s">
        <v>24</v>
      </c>
      <c r="B9" s="88"/>
      <c r="C9" s="16">
        <v>46143</v>
      </c>
      <c r="D9" s="79">
        <v>808.82999999999993</v>
      </c>
    </row>
    <row r="10" spans="1:10" x14ac:dyDescent="0.3">
      <c r="A10" s="88" t="s">
        <v>25</v>
      </c>
      <c r="B10" s="88"/>
      <c r="C10" s="16">
        <v>46143</v>
      </c>
      <c r="D10" s="79">
        <v>114.3</v>
      </c>
    </row>
    <row r="11" spans="1:10" x14ac:dyDescent="0.3">
      <c r="A11" s="88" t="s">
        <v>26</v>
      </c>
      <c r="B11" s="88"/>
      <c r="C11" s="16">
        <v>46143</v>
      </c>
      <c r="D11" s="79">
        <v>2267.7200000000003</v>
      </c>
    </row>
    <row r="12" spans="1:10" x14ac:dyDescent="0.3">
      <c r="A12" s="88" t="s">
        <v>27</v>
      </c>
      <c r="B12" s="88"/>
      <c r="C12" s="16">
        <v>46143</v>
      </c>
      <c r="D12" s="79">
        <v>3364.94</v>
      </c>
    </row>
    <row r="13" spans="1:10" x14ac:dyDescent="0.3">
      <c r="A13" s="88" t="s">
        <v>28</v>
      </c>
      <c r="B13" s="88"/>
      <c r="C13" s="16">
        <v>46143</v>
      </c>
      <c r="D13" s="79">
        <v>1968.99</v>
      </c>
    </row>
    <row r="14" spans="1:10" x14ac:dyDescent="0.3">
      <c r="A14" s="88" t="s">
        <v>29</v>
      </c>
      <c r="B14" s="88"/>
      <c r="C14" s="16">
        <v>46143</v>
      </c>
      <c r="D14" s="79">
        <v>901.34</v>
      </c>
    </row>
    <row r="15" spans="1:10" x14ac:dyDescent="0.3">
      <c r="A15" s="88" t="s">
        <v>30</v>
      </c>
      <c r="B15" s="88"/>
      <c r="C15" s="16">
        <v>46143</v>
      </c>
      <c r="D15" s="79">
        <v>1444.08</v>
      </c>
    </row>
    <row r="16" spans="1:10" x14ac:dyDescent="0.3">
      <c r="A16" s="88" t="s">
        <v>31</v>
      </c>
      <c r="B16" s="88"/>
      <c r="C16" s="16">
        <v>46143</v>
      </c>
      <c r="D16" s="79">
        <v>23262.599999999962</v>
      </c>
    </row>
    <row r="17" spans="1:4" x14ac:dyDescent="0.3">
      <c r="A17" s="88" t="s">
        <v>32</v>
      </c>
      <c r="B17" s="88"/>
      <c r="C17" s="16">
        <v>46143</v>
      </c>
      <c r="D17" s="79">
        <v>6853.9100000000017</v>
      </c>
    </row>
    <row r="18" spans="1:4" x14ac:dyDescent="0.3">
      <c r="A18" s="88" t="s">
        <v>33</v>
      </c>
      <c r="B18" s="88"/>
      <c r="C18" s="16">
        <v>46143</v>
      </c>
      <c r="D18" s="79">
        <v>21338.39</v>
      </c>
    </row>
    <row r="19" spans="1:4" x14ac:dyDescent="0.3">
      <c r="A19" s="88" t="s">
        <v>34</v>
      </c>
      <c r="B19" s="88"/>
      <c r="C19" s="16">
        <v>46143</v>
      </c>
      <c r="D19" s="79">
        <v>345</v>
      </c>
    </row>
    <row r="20" spans="1:4" x14ac:dyDescent="0.3">
      <c r="A20" s="88" t="s">
        <v>35</v>
      </c>
      <c r="B20" s="88"/>
      <c r="C20" s="16">
        <v>46143</v>
      </c>
      <c r="D20" s="79">
        <v>13491.26</v>
      </c>
    </row>
    <row r="21" spans="1:4" x14ac:dyDescent="0.3">
      <c r="A21" s="88" t="s">
        <v>193</v>
      </c>
      <c r="B21" s="88"/>
      <c r="C21" s="16">
        <v>46143</v>
      </c>
      <c r="D21" s="79">
        <v>0</v>
      </c>
    </row>
    <row r="22" spans="1:4" x14ac:dyDescent="0.3">
      <c r="A22" s="88" t="s">
        <v>214</v>
      </c>
      <c r="B22" s="88"/>
      <c r="C22" s="16">
        <v>46143</v>
      </c>
      <c r="D22" s="79">
        <v>0</v>
      </c>
    </row>
    <row r="23" spans="1:4" x14ac:dyDescent="0.3">
      <c r="A23" s="88" t="s">
        <v>194</v>
      </c>
      <c r="B23" s="88"/>
      <c r="C23" s="16">
        <v>46143</v>
      </c>
      <c r="D23" s="79">
        <v>0</v>
      </c>
    </row>
    <row r="24" spans="1:4" x14ac:dyDescent="0.3">
      <c r="A24" s="88" t="s">
        <v>195</v>
      </c>
      <c r="B24" s="88"/>
      <c r="C24" s="16">
        <v>46143</v>
      </c>
      <c r="D24" s="79">
        <v>0</v>
      </c>
    </row>
    <row r="25" spans="1:4" x14ac:dyDescent="0.3">
      <c r="A25" s="88" t="s">
        <v>196</v>
      </c>
      <c r="B25" s="88"/>
      <c r="C25" s="16">
        <v>46143</v>
      </c>
      <c r="D25" s="79">
        <v>0</v>
      </c>
    </row>
    <row r="26" spans="1:4" x14ac:dyDescent="0.3">
      <c r="A26" s="88" t="s">
        <v>197</v>
      </c>
      <c r="B26" s="88"/>
      <c r="C26" s="16">
        <v>46143</v>
      </c>
      <c r="D26" s="79">
        <v>0</v>
      </c>
    </row>
    <row r="27" spans="1:4" x14ac:dyDescent="0.3">
      <c r="A27" s="88" t="s">
        <v>212</v>
      </c>
      <c r="B27" s="88"/>
      <c r="C27" s="16">
        <v>46143</v>
      </c>
      <c r="D27" s="79">
        <v>0</v>
      </c>
    </row>
    <row r="28" spans="1:4" x14ac:dyDescent="0.3">
      <c r="A28" s="88" t="s">
        <v>199</v>
      </c>
      <c r="B28" s="88"/>
      <c r="C28" s="16">
        <v>46143</v>
      </c>
      <c r="D28" s="79">
        <v>0</v>
      </c>
    </row>
    <row r="29" spans="1:4" x14ac:dyDescent="0.3">
      <c r="A29" s="88" t="s">
        <v>217</v>
      </c>
      <c r="B29" s="88"/>
      <c r="C29" s="16">
        <v>46143</v>
      </c>
      <c r="D29" s="79">
        <v>0</v>
      </c>
    </row>
    <row r="30" spans="1:4" x14ac:dyDescent="0.3">
      <c r="A30" s="88" t="s">
        <v>17</v>
      </c>
      <c r="B30" s="88"/>
      <c r="C30" s="16">
        <v>46144</v>
      </c>
      <c r="D30" s="79">
        <v>200763.43000000025</v>
      </c>
    </row>
    <row r="31" spans="1:4" x14ac:dyDescent="0.3">
      <c r="A31" s="88" t="s">
        <v>18</v>
      </c>
      <c r="B31" s="88"/>
      <c r="C31" s="16">
        <v>46144</v>
      </c>
      <c r="D31" s="79">
        <v>51288.029999999948</v>
      </c>
    </row>
    <row r="32" spans="1:4" x14ac:dyDescent="0.3">
      <c r="A32" s="88" t="s">
        <v>19</v>
      </c>
      <c r="B32" s="88"/>
      <c r="C32" s="16">
        <v>46144</v>
      </c>
      <c r="D32" s="79">
        <v>1669.89</v>
      </c>
    </row>
    <row r="33" spans="1:4" x14ac:dyDescent="0.3">
      <c r="A33" s="88" t="s">
        <v>20</v>
      </c>
      <c r="B33" s="88"/>
      <c r="C33" s="16">
        <v>46144</v>
      </c>
      <c r="D33" s="79">
        <v>589990.30000000005</v>
      </c>
    </row>
    <row r="34" spans="1:4" x14ac:dyDescent="0.3">
      <c r="A34" s="88" t="s">
        <v>21</v>
      </c>
      <c r="B34" s="88"/>
      <c r="C34" s="16">
        <v>46144</v>
      </c>
      <c r="D34" s="79">
        <v>990387.37999999931</v>
      </c>
    </row>
    <row r="35" spans="1:4" x14ac:dyDescent="0.3">
      <c r="A35" s="88" t="s">
        <v>22</v>
      </c>
      <c r="B35" s="88"/>
      <c r="C35" s="16">
        <v>46144</v>
      </c>
      <c r="D35" s="79">
        <v>142511.38</v>
      </c>
    </row>
    <row r="36" spans="1:4" x14ac:dyDescent="0.3">
      <c r="A36" s="88" t="s">
        <v>23</v>
      </c>
      <c r="B36" s="88"/>
      <c r="C36" s="16">
        <v>46144</v>
      </c>
      <c r="D36" s="79">
        <v>13088.589999999997</v>
      </c>
    </row>
    <row r="37" spans="1:4" x14ac:dyDescent="0.3">
      <c r="A37" s="88" t="s">
        <v>24</v>
      </c>
      <c r="B37" s="88"/>
      <c r="C37" s="16">
        <v>46144</v>
      </c>
      <c r="D37" s="79">
        <v>808.82999999999993</v>
      </c>
    </row>
    <row r="38" spans="1:4" x14ac:dyDescent="0.3">
      <c r="A38" s="88" t="s">
        <v>25</v>
      </c>
      <c r="B38" s="88"/>
      <c r="C38" s="16">
        <v>46144</v>
      </c>
      <c r="D38" s="79">
        <v>114.3</v>
      </c>
    </row>
    <row r="39" spans="1:4" x14ac:dyDescent="0.3">
      <c r="A39" s="88" t="s">
        <v>26</v>
      </c>
      <c r="B39" s="88"/>
      <c r="C39" s="16">
        <v>46144</v>
      </c>
      <c r="D39" s="79">
        <v>2267.7200000000003</v>
      </c>
    </row>
    <row r="40" spans="1:4" x14ac:dyDescent="0.3">
      <c r="A40" s="88" t="s">
        <v>27</v>
      </c>
      <c r="B40" s="88"/>
      <c r="C40" s="16">
        <v>46144</v>
      </c>
      <c r="D40" s="79">
        <v>3364.94</v>
      </c>
    </row>
    <row r="41" spans="1:4" x14ac:dyDescent="0.3">
      <c r="A41" s="88" t="s">
        <v>28</v>
      </c>
      <c r="B41" s="88"/>
      <c r="C41" s="16">
        <v>46144</v>
      </c>
      <c r="D41" s="79">
        <v>1968.99</v>
      </c>
    </row>
    <row r="42" spans="1:4" x14ac:dyDescent="0.3">
      <c r="A42" s="88" t="s">
        <v>29</v>
      </c>
      <c r="B42" s="88"/>
      <c r="C42" s="16">
        <v>46144</v>
      </c>
      <c r="D42" s="79">
        <v>901.34</v>
      </c>
    </row>
    <row r="43" spans="1:4" x14ac:dyDescent="0.3">
      <c r="A43" s="88" t="s">
        <v>30</v>
      </c>
      <c r="B43" s="88"/>
      <c r="C43" s="16">
        <v>46144</v>
      </c>
      <c r="D43" s="79">
        <v>1444.08</v>
      </c>
    </row>
    <row r="44" spans="1:4" x14ac:dyDescent="0.3">
      <c r="A44" s="88" t="s">
        <v>31</v>
      </c>
      <c r="B44" s="88"/>
      <c r="C44" s="16">
        <v>46144</v>
      </c>
      <c r="D44" s="79">
        <v>23262.599999999962</v>
      </c>
    </row>
    <row r="45" spans="1:4" x14ac:dyDescent="0.3">
      <c r="A45" s="88" t="s">
        <v>32</v>
      </c>
      <c r="B45" s="88"/>
      <c r="C45" s="16">
        <v>46144</v>
      </c>
      <c r="D45" s="79">
        <v>6853.9100000000017</v>
      </c>
    </row>
    <row r="46" spans="1:4" x14ac:dyDescent="0.3">
      <c r="A46" s="88" t="s">
        <v>33</v>
      </c>
      <c r="B46" s="88"/>
      <c r="C46" s="16">
        <v>46144</v>
      </c>
      <c r="D46" s="79">
        <v>21338.39</v>
      </c>
    </row>
    <row r="47" spans="1:4" x14ac:dyDescent="0.3">
      <c r="A47" s="88" t="s">
        <v>34</v>
      </c>
      <c r="B47" s="88"/>
      <c r="C47" s="16">
        <v>46144</v>
      </c>
      <c r="D47" s="79">
        <v>345</v>
      </c>
    </row>
    <row r="48" spans="1:4" x14ac:dyDescent="0.3">
      <c r="A48" s="88" t="s">
        <v>35</v>
      </c>
      <c r="B48" s="88"/>
      <c r="C48" s="16">
        <v>46144</v>
      </c>
      <c r="D48" s="79">
        <v>13491.26</v>
      </c>
    </row>
    <row r="49" spans="1:4" x14ac:dyDescent="0.3">
      <c r="A49" s="88" t="s">
        <v>193</v>
      </c>
      <c r="B49" s="88"/>
      <c r="C49" s="16">
        <v>46144</v>
      </c>
      <c r="D49" s="79">
        <v>0</v>
      </c>
    </row>
    <row r="50" spans="1:4" x14ac:dyDescent="0.3">
      <c r="A50" s="88" t="s">
        <v>214</v>
      </c>
      <c r="B50" s="88"/>
      <c r="C50" s="16">
        <v>46144</v>
      </c>
      <c r="D50" s="79">
        <v>0</v>
      </c>
    </row>
    <row r="51" spans="1:4" x14ac:dyDescent="0.3">
      <c r="A51" s="88" t="s">
        <v>194</v>
      </c>
      <c r="B51" s="88"/>
      <c r="C51" s="16">
        <v>46144</v>
      </c>
      <c r="D51" s="79">
        <v>0</v>
      </c>
    </row>
    <row r="52" spans="1:4" x14ac:dyDescent="0.3">
      <c r="A52" s="88" t="s">
        <v>195</v>
      </c>
      <c r="B52" s="88"/>
      <c r="C52" s="16">
        <v>46144</v>
      </c>
      <c r="D52" s="79">
        <v>0</v>
      </c>
    </row>
    <row r="53" spans="1:4" x14ac:dyDescent="0.3">
      <c r="A53" s="88" t="s">
        <v>196</v>
      </c>
      <c r="B53" s="88"/>
      <c r="C53" s="16">
        <v>46144</v>
      </c>
      <c r="D53" s="79">
        <v>0</v>
      </c>
    </row>
    <row r="54" spans="1:4" x14ac:dyDescent="0.3">
      <c r="A54" s="88" t="s">
        <v>197</v>
      </c>
      <c r="B54" s="88"/>
      <c r="C54" s="16">
        <v>46144</v>
      </c>
      <c r="D54" s="79">
        <v>0</v>
      </c>
    </row>
    <row r="55" spans="1:4" x14ac:dyDescent="0.3">
      <c r="A55" s="88" t="s">
        <v>212</v>
      </c>
      <c r="B55" s="88"/>
      <c r="C55" s="16">
        <v>46144</v>
      </c>
      <c r="D55" s="79">
        <v>0</v>
      </c>
    </row>
    <row r="56" spans="1:4" x14ac:dyDescent="0.3">
      <c r="A56" s="88" t="s">
        <v>199</v>
      </c>
      <c r="B56" s="88"/>
      <c r="C56" s="16">
        <v>46144</v>
      </c>
      <c r="D56" s="79">
        <v>0</v>
      </c>
    </row>
    <row r="57" spans="1:4" x14ac:dyDescent="0.3">
      <c r="A57" s="88" t="s">
        <v>217</v>
      </c>
      <c r="B57" s="88"/>
      <c r="C57" s="16">
        <v>46144</v>
      </c>
      <c r="D57" s="79">
        <v>0</v>
      </c>
    </row>
    <row r="58" spans="1:4" x14ac:dyDescent="0.3">
      <c r="A58" s="88" t="s">
        <v>17</v>
      </c>
      <c r="B58" s="88"/>
      <c r="C58" s="16">
        <v>46145</v>
      </c>
      <c r="D58" s="79">
        <v>200763.43000000025</v>
      </c>
    </row>
    <row r="59" spans="1:4" x14ac:dyDescent="0.3">
      <c r="A59" s="88" t="s">
        <v>18</v>
      </c>
      <c r="B59" s="88"/>
      <c r="C59" s="16">
        <v>46145</v>
      </c>
      <c r="D59" s="79">
        <v>51288.029999999948</v>
      </c>
    </row>
    <row r="60" spans="1:4" x14ac:dyDescent="0.3">
      <c r="A60" s="88" t="s">
        <v>19</v>
      </c>
      <c r="B60" s="88"/>
      <c r="C60" s="16">
        <v>46145</v>
      </c>
      <c r="D60" s="79">
        <v>1669.89</v>
      </c>
    </row>
    <row r="61" spans="1:4" x14ac:dyDescent="0.3">
      <c r="A61" s="88" t="s">
        <v>20</v>
      </c>
      <c r="B61" s="88"/>
      <c r="C61" s="16">
        <v>46145</v>
      </c>
      <c r="D61" s="79">
        <v>589990.30000000005</v>
      </c>
    </row>
    <row r="62" spans="1:4" x14ac:dyDescent="0.3">
      <c r="A62" s="88" t="s">
        <v>21</v>
      </c>
      <c r="B62" s="88"/>
      <c r="C62" s="16">
        <v>46145</v>
      </c>
      <c r="D62" s="79">
        <v>990387.37999999931</v>
      </c>
    </row>
    <row r="63" spans="1:4" x14ac:dyDescent="0.3">
      <c r="A63" s="88" t="s">
        <v>22</v>
      </c>
      <c r="B63" s="88"/>
      <c r="C63" s="16">
        <v>46145</v>
      </c>
      <c r="D63" s="79">
        <v>142511.38</v>
      </c>
    </row>
    <row r="64" spans="1:4" x14ac:dyDescent="0.3">
      <c r="A64" s="88" t="s">
        <v>23</v>
      </c>
      <c r="B64" s="88"/>
      <c r="C64" s="16">
        <v>46145</v>
      </c>
      <c r="D64" s="79">
        <v>13088.589999999997</v>
      </c>
    </row>
    <row r="65" spans="1:4" x14ac:dyDescent="0.3">
      <c r="A65" s="88" t="s">
        <v>24</v>
      </c>
      <c r="B65" s="88"/>
      <c r="C65" s="16">
        <v>46145</v>
      </c>
      <c r="D65" s="79">
        <v>808.82999999999993</v>
      </c>
    </row>
    <row r="66" spans="1:4" x14ac:dyDescent="0.3">
      <c r="A66" s="88" t="s">
        <v>25</v>
      </c>
      <c r="B66" s="88"/>
      <c r="C66" s="16">
        <v>46145</v>
      </c>
      <c r="D66" s="79">
        <v>114.3</v>
      </c>
    </row>
    <row r="67" spans="1:4" x14ac:dyDescent="0.3">
      <c r="A67" s="88" t="s">
        <v>26</v>
      </c>
      <c r="B67" s="88"/>
      <c r="C67" s="16">
        <v>46145</v>
      </c>
      <c r="D67" s="79">
        <v>2267.7200000000003</v>
      </c>
    </row>
    <row r="68" spans="1:4" x14ac:dyDescent="0.3">
      <c r="A68" s="88" t="s">
        <v>27</v>
      </c>
      <c r="B68" s="88"/>
      <c r="C68" s="16">
        <v>46145</v>
      </c>
      <c r="D68" s="79">
        <v>3364.94</v>
      </c>
    </row>
    <row r="69" spans="1:4" x14ac:dyDescent="0.3">
      <c r="A69" s="88" t="s">
        <v>28</v>
      </c>
      <c r="B69" s="88"/>
      <c r="C69" s="16">
        <v>46145</v>
      </c>
      <c r="D69" s="79">
        <v>1968.99</v>
      </c>
    </row>
    <row r="70" spans="1:4" x14ac:dyDescent="0.3">
      <c r="A70" s="88" t="s">
        <v>29</v>
      </c>
      <c r="B70" s="88"/>
      <c r="C70" s="16">
        <v>46145</v>
      </c>
      <c r="D70" s="79">
        <v>901.34</v>
      </c>
    </row>
    <row r="71" spans="1:4" x14ac:dyDescent="0.3">
      <c r="A71" s="88" t="s">
        <v>30</v>
      </c>
      <c r="B71" s="88"/>
      <c r="C71" s="16">
        <v>46145</v>
      </c>
      <c r="D71" s="79">
        <v>1444.08</v>
      </c>
    </row>
    <row r="72" spans="1:4" x14ac:dyDescent="0.3">
      <c r="A72" s="88" t="s">
        <v>31</v>
      </c>
      <c r="B72" s="88"/>
      <c r="C72" s="16">
        <v>46145</v>
      </c>
      <c r="D72" s="79">
        <v>23262.599999999962</v>
      </c>
    </row>
    <row r="73" spans="1:4" x14ac:dyDescent="0.3">
      <c r="A73" s="88" t="s">
        <v>32</v>
      </c>
      <c r="B73" s="88"/>
      <c r="C73" s="16">
        <v>46145</v>
      </c>
      <c r="D73" s="79">
        <v>6853.9100000000017</v>
      </c>
    </row>
    <row r="74" spans="1:4" x14ac:dyDescent="0.3">
      <c r="A74" s="88" t="s">
        <v>33</v>
      </c>
      <c r="B74" s="88"/>
      <c r="C74" s="16">
        <v>46145</v>
      </c>
      <c r="D74" s="79">
        <v>21338.39</v>
      </c>
    </row>
    <row r="75" spans="1:4" x14ac:dyDescent="0.3">
      <c r="A75" s="88" t="s">
        <v>34</v>
      </c>
      <c r="B75" s="88"/>
      <c r="C75" s="16">
        <v>46145</v>
      </c>
      <c r="D75" s="79">
        <v>345</v>
      </c>
    </row>
    <row r="76" spans="1:4" x14ac:dyDescent="0.3">
      <c r="A76" s="88" t="s">
        <v>35</v>
      </c>
      <c r="B76" s="88"/>
      <c r="C76" s="16">
        <v>46145</v>
      </c>
      <c r="D76" s="79">
        <v>13491.26</v>
      </c>
    </row>
    <row r="77" spans="1:4" x14ac:dyDescent="0.3">
      <c r="A77" s="88" t="s">
        <v>193</v>
      </c>
      <c r="B77" s="88"/>
      <c r="C77" s="16">
        <v>46145</v>
      </c>
      <c r="D77" s="79">
        <v>0</v>
      </c>
    </row>
    <row r="78" spans="1:4" x14ac:dyDescent="0.3">
      <c r="A78" s="88" t="s">
        <v>214</v>
      </c>
      <c r="B78" s="88"/>
      <c r="C78" s="16">
        <v>46145</v>
      </c>
      <c r="D78" s="79">
        <v>0</v>
      </c>
    </row>
    <row r="79" spans="1:4" x14ac:dyDescent="0.3">
      <c r="A79" s="88" t="s">
        <v>194</v>
      </c>
      <c r="B79" s="88"/>
      <c r="C79" s="16">
        <v>46145</v>
      </c>
      <c r="D79" s="79">
        <v>0</v>
      </c>
    </row>
    <row r="80" spans="1:4" x14ac:dyDescent="0.3">
      <c r="A80" s="88" t="s">
        <v>195</v>
      </c>
      <c r="B80" s="88"/>
      <c r="C80" s="16">
        <v>46145</v>
      </c>
      <c r="D80" s="79">
        <v>0</v>
      </c>
    </row>
    <row r="81" spans="1:4" x14ac:dyDescent="0.3">
      <c r="A81" s="88" t="s">
        <v>196</v>
      </c>
      <c r="B81" s="88"/>
      <c r="C81" s="16">
        <v>46145</v>
      </c>
      <c r="D81" s="79">
        <v>0</v>
      </c>
    </row>
    <row r="82" spans="1:4" x14ac:dyDescent="0.3">
      <c r="A82" s="88" t="s">
        <v>197</v>
      </c>
      <c r="B82" s="88"/>
      <c r="C82" s="16">
        <v>46145</v>
      </c>
      <c r="D82" s="79">
        <v>0</v>
      </c>
    </row>
    <row r="83" spans="1:4" x14ac:dyDescent="0.3">
      <c r="A83" s="88" t="s">
        <v>212</v>
      </c>
      <c r="B83" s="88"/>
      <c r="C83" s="16">
        <v>46145</v>
      </c>
      <c r="D83" s="79">
        <v>0</v>
      </c>
    </row>
    <row r="84" spans="1:4" x14ac:dyDescent="0.3">
      <c r="A84" s="88" t="s">
        <v>199</v>
      </c>
      <c r="B84" s="88"/>
      <c r="C84" s="16">
        <v>46145</v>
      </c>
      <c r="D84" s="79">
        <v>0</v>
      </c>
    </row>
    <row r="85" spans="1:4" x14ac:dyDescent="0.3">
      <c r="A85" s="88" t="s">
        <v>217</v>
      </c>
      <c r="B85" s="88"/>
      <c r="C85" s="16">
        <v>46145</v>
      </c>
      <c r="D85" s="79">
        <v>0</v>
      </c>
    </row>
    <row r="86" spans="1:4" x14ac:dyDescent="0.3">
      <c r="A86" s="88" t="s">
        <v>17</v>
      </c>
      <c r="B86" s="88"/>
      <c r="C86" s="16">
        <v>46146</v>
      </c>
      <c r="D86" s="79">
        <v>200763.43000000025</v>
      </c>
    </row>
    <row r="87" spans="1:4" x14ac:dyDescent="0.3">
      <c r="A87" s="88" t="s">
        <v>18</v>
      </c>
      <c r="B87" s="88"/>
      <c r="C87" s="16">
        <v>46146</v>
      </c>
      <c r="D87" s="79">
        <v>51288.029999999948</v>
      </c>
    </row>
    <row r="88" spans="1:4" x14ac:dyDescent="0.3">
      <c r="A88" s="88" t="s">
        <v>19</v>
      </c>
      <c r="B88" s="88"/>
      <c r="C88" s="16">
        <v>46146</v>
      </c>
      <c r="D88" s="79">
        <v>1669.89</v>
      </c>
    </row>
    <row r="89" spans="1:4" x14ac:dyDescent="0.3">
      <c r="A89" s="88" t="s">
        <v>20</v>
      </c>
      <c r="B89" s="88"/>
      <c r="C89" s="16">
        <v>46146</v>
      </c>
      <c r="D89" s="79">
        <v>589990.30000000005</v>
      </c>
    </row>
    <row r="90" spans="1:4" x14ac:dyDescent="0.3">
      <c r="A90" s="88" t="s">
        <v>21</v>
      </c>
      <c r="B90" s="88"/>
      <c r="C90" s="16">
        <v>46146</v>
      </c>
      <c r="D90" s="79">
        <v>1790387.3799999994</v>
      </c>
    </row>
    <row r="91" spans="1:4" x14ac:dyDescent="0.3">
      <c r="A91" s="88" t="s">
        <v>22</v>
      </c>
      <c r="B91" s="88"/>
      <c r="C91" s="16">
        <v>46146</v>
      </c>
      <c r="D91" s="79">
        <v>136511.38</v>
      </c>
    </row>
    <row r="92" spans="1:4" x14ac:dyDescent="0.3">
      <c r="A92" s="88" t="s">
        <v>23</v>
      </c>
      <c r="B92" s="88"/>
      <c r="C92" s="16">
        <v>46146</v>
      </c>
      <c r="D92" s="79">
        <v>13088.589999999997</v>
      </c>
    </row>
    <row r="93" spans="1:4" x14ac:dyDescent="0.3">
      <c r="A93" s="88" t="s">
        <v>24</v>
      </c>
      <c r="B93" s="88"/>
      <c r="C93" s="16">
        <v>46146</v>
      </c>
      <c r="D93" s="79">
        <v>808.82999999999993</v>
      </c>
    </row>
    <row r="94" spans="1:4" x14ac:dyDescent="0.3">
      <c r="A94" s="88" t="s">
        <v>25</v>
      </c>
      <c r="B94" s="88"/>
      <c r="C94" s="16">
        <v>46146</v>
      </c>
      <c r="D94" s="79">
        <v>114.3</v>
      </c>
    </row>
    <row r="95" spans="1:4" x14ac:dyDescent="0.3">
      <c r="A95" s="88" t="s">
        <v>26</v>
      </c>
      <c r="B95" s="88"/>
      <c r="C95" s="16">
        <v>46146</v>
      </c>
      <c r="D95" s="79">
        <v>2267.7200000000003</v>
      </c>
    </row>
    <row r="96" spans="1:4" x14ac:dyDescent="0.3">
      <c r="A96" s="88" t="s">
        <v>27</v>
      </c>
      <c r="B96" s="88"/>
      <c r="C96" s="16">
        <v>46146</v>
      </c>
      <c r="D96" s="79">
        <v>3364.94</v>
      </c>
    </row>
    <row r="97" spans="1:4" x14ac:dyDescent="0.3">
      <c r="A97" s="88" t="s">
        <v>28</v>
      </c>
      <c r="B97" s="88"/>
      <c r="C97" s="16">
        <v>46146</v>
      </c>
      <c r="D97" s="79">
        <v>1968.99</v>
      </c>
    </row>
    <row r="98" spans="1:4" x14ac:dyDescent="0.3">
      <c r="A98" s="88" t="s">
        <v>29</v>
      </c>
      <c r="B98" s="88"/>
      <c r="C98" s="16">
        <v>46146</v>
      </c>
      <c r="D98" s="79">
        <v>901.34</v>
      </c>
    </row>
    <row r="99" spans="1:4" x14ac:dyDescent="0.3">
      <c r="A99" s="88" t="s">
        <v>30</v>
      </c>
      <c r="B99" s="88"/>
      <c r="C99" s="16">
        <v>46146</v>
      </c>
      <c r="D99" s="79">
        <v>1444.08</v>
      </c>
    </row>
    <row r="100" spans="1:4" x14ac:dyDescent="0.3">
      <c r="A100" s="88" t="s">
        <v>31</v>
      </c>
      <c r="B100" s="88"/>
      <c r="C100" s="16">
        <v>46146</v>
      </c>
      <c r="D100" s="79">
        <v>23247.599999999962</v>
      </c>
    </row>
    <row r="101" spans="1:4" x14ac:dyDescent="0.3">
      <c r="A101" s="88" t="s">
        <v>32</v>
      </c>
      <c r="B101" s="88"/>
      <c r="C101" s="16">
        <v>46146</v>
      </c>
      <c r="D101" s="79">
        <v>6853.9100000000017</v>
      </c>
    </row>
    <row r="102" spans="1:4" x14ac:dyDescent="0.3">
      <c r="A102" s="88" t="s">
        <v>33</v>
      </c>
      <c r="B102" s="88"/>
      <c r="C102" s="16">
        <v>46146</v>
      </c>
      <c r="D102" s="79">
        <v>21338.39</v>
      </c>
    </row>
    <row r="103" spans="1:4" x14ac:dyDescent="0.3">
      <c r="A103" s="88" t="s">
        <v>34</v>
      </c>
      <c r="B103" s="88"/>
      <c r="C103" s="16">
        <v>46146</v>
      </c>
      <c r="D103" s="79">
        <v>345</v>
      </c>
    </row>
    <row r="104" spans="1:4" x14ac:dyDescent="0.3">
      <c r="A104" s="88" t="s">
        <v>35</v>
      </c>
      <c r="B104" s="88"/>
      <c r="C104" s="16">
        <v>46146</v>
      </c>
      <c r="D104" s="79">
        <v>8782.25</v>
      </c>
    </row>
    <row r="105" spans="1:4" x14ac:dyDescent="0.3">
      <c r="A105" s="88" t="s">
        <v>193</v>
      </c>
      <c r="B105" s="88"/>
      <c r="C105" s="16">
        <v>46146</v>
      </c>
      <c r="D105" s="79">
        <v>0</v>
      </c>
    </row>
    <row r="106" spans="1:4" x14ac:dyDescent="0.3">
      <c r="A106" s="88" t="s">
        <v>214</v>
      </c>
      <c r="B106" s="88"/>
      <c r="C106" s="16">
        <v>46146</v>
      </c>
      <c r="D106" s="79">
        <v>0</v>
      </c>
    </row>
    <row r="107" spans="1:4" x14ac:dyDescent="0.3">
      <c r="A107" s="88" t="s">
        <v>194</v>
      </c>
      <c r="B107" s="88"/>
      <c r="C107" s="16">
        <v>46146</v>
      </c>
      <c r="D107" s="79">
        <v>0</v>
      </c>
    </row>
    <row r="108" spans="1:4" x14ac:dyDescent="0.3">
      <c r="A108" s="88" t="s">
        <v>195</v>
      </c>
      <c r="B108" s="88"/>
      <c r="C108" s="16">
        <v>46146</v>
      </c>
      <c r="D108" s="79">
        <v>0</v>
      </c>
    </row>
    <row r="109" spans="1:4" x14ac:dyDescent="0.3">
      <c r="A109" s="88" t="s">
        <v>196</v>
      </c>
      <c r="B109" s="88"/>
      <c r="C109" s="16">
        <v>46146</v>
      </c>
      <c r="D109" s="79">
        <v>0</v>
      </c>
    </row>
    <row r="110" spans="1:4" x14ac:dyDescent="0.3">
      <c r="A110" s="88" t="s">
        <v>197</v>
      </c>
      <c r="B110" s="88"/>
      <c r="C110" s="16">
        <v>46146</v>
      </c>
      <c r="D110" s="79">
        <v>0</v>
      </c>
    </row>
    <row r="111" spans="1:4" x14ac:dyDescent="0.3">
      <c r="A111" s="88" t="s">
        <v>212</v>
      </c>
      <c r="B111" s="88"/>
      <c r="C111" s="16">
        <v>46146</v>
      </c>
      <c r="D111" s="79">
        <v>0</v>
      </c>
    </row>
    <row r="112" spans="1:4" x14ac:dyDescent="0.3">
      <c r="A112" s="88" t="s">
        <v>199</v>
      </c>
      <c r="B112" s="88"/>
      <c r="C112" s="16">
        <v>46146</v>
      </c>
      <c r="D112" s="79">
        <v>0</v>
      </c>
    </row>
    <row r="113" spans="1:4" x14ac:dyDescent="0.3">
      <c r="A113" s="88" t="s">
        <v>217</v>
      </c>
      <c r="B113" s="88"/>
      <c r="C113" s="16">
        <v>46146</v>
      </c>
      <c r="D113" s="79">
        <v>0</v>
      </c>
    </row>
    <row r="114" spans="1:4" x14ac:dyDescent="0.3">
      <c r="A114" s="88" t="s">
        <v>17</v>
      </c>
      <c r="B114" s="88"/>
      <c r="C114" s="16">
        <v>46147</v>
      </c>
      <c r="D114" s="79">
        <v>197763.43000000025</v>
      </c>
    </row>
    <row r="115" spans="1:4" x14ac:dyDescent="0.3">
      <c r="A115" s="88" t="s">
        <v>18</v>
      </c>
      <c r="B115" s="88"/>
      <c r="C115" s="16">
        <v>46147</v>
      </c>
      <c r="D115" s="79">
        <v>51288.029999999948</v>
      </c>
    </row>
    <row r="116" spans="1:4" x14ac:dyDescent="0.3">
      <c r="A116" s="88" t="s">
        <v>19</v>
      </c>
      <c r="B116" s="88"/>
      <c r="C116" s="16">
        <v>46147</v>
      </c>
      <c r="D116" s="79">
        <v>1669.89</v>
      </c>
    </row>
    <row r="117" spans="1:4" x14ac:dyDescent="0.3">
      <c r="A117" s="88" t="s">
        <v>20</v>
      </c>
      <c r="B117" s="88"/>
      <c r="C117" s="16">
        <v>46147</v>
      </c>
      <c r="D117" s="79">
        <v>989990.29999999993</v>
      </c>
    </row>
    <row r="118" spans="1:4" x14ac:dyDescent="0.3">
      <c r="A118" s="88" t="s">
        <v>21</v>
      </c>
      <c r="B118" s="88"/>
      <c r="C118" s="16">
        <v>46147</v>
      </c>
      <c r="D118" s="79">
        <v>1088892.0899999994</v>
      </c>
    </row>
    <row r="119" spans="1:4" x14ac:dyDescent="0.3">
      <c r="A119" s="88" t="s">
        <v>22</v>
      </c>
      <c r="B119" s="88"/>
      <c r="C119" s="16">
        <v>46147</v>
      </c>
      <c r="D119" s="79">
        <v>121511.38</v>
      </c>
    </row>
    <row r="120" spans="1:4" x14ac:dyDescent="0.3">
      <c r="A120" s="88" t="s">
        <v>23</v>
      </c>
      <c r="B120" s="88"/>
      <c r="C120" s="16">
        <v>46147</v>
      </c>
      <c r="D120" s="79">
        <v>813088.59</v>
      </c>
    </row>
    <row r="121" spans="1:4" x14ac:dyDescent="0.3">
      <c r="A121" s="88" t="s">
        <v>24</v>
      </c>
      <c r="B121" s="88"/>
      <c r="C121" s="16">
        <v>46147</v>
      </c>
      <c r="D121" s="79">
        <v>3768.83</v>
      </c>
    </row>
    <row r="122" spans="1:4" x14ac:dyDescent="0.3">
      <c r="A122" s="88" t="s">
        <v>25</v>
      </c>
      <c r="B122" s="88"/>
      <c r="C122" s="16">
        <v>46147</v>
      </c>
      <c r="D122" s="79">
        <v>114.3</v>
      </c>
    </row>
    <row r="123" spans="1:4" x14ac:dyDescent="0.3">
      <c r="A123" s="88" t="s">
        <v>26</v>
      </c>
      <c r="B123" s="88"/>
      <c r="C123" s="16">
        <v>46147</v>
      </c>
      <c r="D123" s="79">
        <v>2267.7200000000003</v>
      </c>
    </row>
    <row r="124" spans="1:4" x14ac:dyDescent="0.3">
      <c r="A124" s="88" t="s">
        <v>27</v>
      </c>
      <c r="B124" s="88"/>
      <c r="C124" s="16">
        <v>46147</v>
      </c>
      <c r="D124" s="79">
        <v>3364.94</v>
      </c>
    </row>
    <row r="125" spans="1:4" x14ac:dyDescent="0.3">
      <c r="A125" s="88" t="s">
        <v>28</v>
      </c>
      <c r="B125" s="88"/>
      <c r="C125" s="16">
        <v>46147</v>
      </c>
      <c r="D125" s="79">
        <v>1968.99</v>
      </c>
    </row>
    <row r="126" spans="1:4" x14ac:dyDescent="0.3">
      <c r="A126" s="88" t="s">
        <v>29</v>
      </c>
      <c r="B126" s="88"/>
      <c r="C126" s="16">
        <v>46147</v>
      </c>
      <c r="D126" s="79">
        <v>901.34</v>
      </c>
    </row>
    <row r="127" spans="1:4" x14ac:dyDescent="0.3">
      <c r="A127" s="88" t="s">
        <v>30</v>
      </c>
      <c r="B127" s="88"/>
      <c r="C127" s="16">
        <v>46147</v>
      </c>
      <c r="D127" s="79">
        <v>1444.08</v>
      </c>
    </row>
    <row r="128" spans="1:4" x14ac:dyDescent="0.3">
      <c r="A128" s="88" t="s">
        <v>31</v>
      </c>
      <c r="B128" s="88"/>
      <c r="C128" s="16">
        <v>46147</v>
      </c>
      <c r="D128" s="79">
        <v>23247.599999999962</v>
      </c>
    </row>
    <row r="129" spans="1:4" x14ac:dyDescent="0.3">
      <c r="A129" s="88" t="s">
        <v>32</v>
      </c>
      <c r="B129" s="88"/>
      <c r="C129" s="16">
        <v>46147</v>
      </c>
      <c r="D129" s="79">
        <v>6853.9100000000017</v>
      </c>
    </row>
    <row r="130" spans="1:4" x14ac:dyDescent="0.3">
      <c r="A130" s="88" t="s">
        <v>33</v>
      </c>
      <c r="B130" s="88"/>
      <c r="C130" s="16">
        <v>46147</v>
      </c>
      <c r="D130" s="79">
        <v>21338.39</v>
      </c>
    </row>
    <row r="131" spans="1:4" x14ac:dyDescent="0.3">
      <c r="A131" s="88" t="s">
        <v>34</v>
      </c>
      <c r="B131" s="88"/>
      <c r="C131" s="16">
        <v>46147</v>
      </c>
      <c r="D131" s="79">
        <v>345</v>
      </c>
    </row>
    <row r="132" spans="1:4" x14ac:dyDescent="0.3">
      <c r="A132" s="88" t="s">
        <v>35</v>
      </c>
      <c r="B132" s="88"/>
      <c r="C132" s="16">
        <v>46147</v>
      </c>
      <c r="D132" s="79">
        <v>8782.25</v>
      </c>
    </row>
    <row r="133" spans="1:4" x14ac:dyDescent="0.3">
      <c r="A133" s="88" t="s">
        <v>193</v>
      </c>
      <c r="B133" s="88"/>
      <c r="C133" s="16">
        <v>46147</v>
      </c>
      <c r="D133" s="79">
        <v>0</v>
      </c>
    </row>
    <row r="134" spans="1:4" x14ac:dyDescent="0.3">
      <c r="A134" s="88" t="s">
        <v>214</v>
      </c>
      <c r="B134" s="88"/>
      <c r="C134" s="16">
        <v>46147</v>
      </c>
      <c r="D134" s="79">
        <v>0</v>
      </c>
    </row>
    <row r="135" spans="1:4" x14ac:dyDescent="0.3">
      <c r="A135" s="88" t="s">
        <v>194</v>
      </c>
      <c r="B135" s="88"/>
      <c r="C135" s="16">
        <v>46147</v>
      </c>
      <c r="D135" s="79">
        <v>0</v>
      </c>
    </row>
    <row r="136" spans="1:4" x14ac:dyDescent="0.3">
      <c r="A136" s="88" t="s">
        <v>195</v>
      </c>
      <c r="B136" s="88"/>
      <c r="C136" s="16">
        <v>46147</v>
      </c>
      <c r="D136" s="79">
        <v>0</v>
      </c>
    </row>
    <row r="137" spans="1:4" x14ac:dyDescent="0.3">
      <c r="A137" s="88" t="s">
        <v>196</v>
      </c>
      <c r="B137" s="88"/>
      <c r="C137" s="16">
        <v>46147</v>
      </c>
      <c r="D137" s="79">
        <v>0</v>
      </c>
    </row>
    <row r="138" spans="1:4" x14ac:dyDescent="0.3">
      <c r="A138" s="88" t="s">
        <v>197</v>
      </c>
      <c r="B138" s="88"/>
      <c r="C138" s="16">
        <v>46147</v>
      </c>
      <c r="D138" s="79">
        <v>0</v>
      </c>
    </row>
    <row r="139" spans="1:4" x14ac:dyDescent="0.3">
      <c r="A139" s="88" t="s">
        <v>212</v>
      </c>
      <c r="B139" s="88"/>
      <c r="C139" s="16">
        <v>46147</v>
      </c>
      <c r="D139" s="79">
        <v>0</v>
      </c>
    </row>
    <row r="140" spans="1:4" x14ac:dyDescent="0.3">
      <c r="A140" s="88" t="s">
        <v>199</v>
      </c>
      <c r="B140" s="88"/>
      <c r="C140" s="16">
        <v>46147</v>
      </c>
      <c r="D140" s="79">
        <v>0</v>
      </c>
    </row>
    <row r="141" spans="1:4" x14ac:dyDescent="0.3">
      <c r="A141" s="88" t="s">
        <v>217</v>
      </c>
      <c r="B141" s="88"/>
      <c r="C141" s="16">
        <v>46147</v>
      </c>
      <c r="D141" s="79">
        <v>0</v>
      </c>
    </row>
    <row r="142" spans="1:4" x14ac:dyDescent="0.3">
      <c r="A142" s="88" t="s">
        <v>17</v>
      </c>
      <c r="B142" s="88"/>
      <c r="C142" s="16">
        <v>46148</v>
      </c>
      <c r="D142" s="79">
        <v>197763.43000000025</v>
      </c>
    </row>
    <row r="143" spans="1:4" x14ac:dyDescent="0.3">
      <c r="A143" s="88" t="s">
        <v>18</v>
      </c>
      <c r="B143" s="88"/>
      <c r="C143" s="16">
        <v>46148</v>
      </c>
      <c r="D143" s="79">
        <v>626288.02999999991</v>
      </c>
    </row>
    <row r="144" spans="1:4" x14ac:dyDescent="0.3">
      <c r="A144" s="88" t="s">
        <v>19</v>
      </c>
      <c r="B144" s="88"/>
      <c r="C144" s="16">
        <v>46148</v>
      </c>
      <c r="D144" s="79">
        <v>1669.89</v>
      </c>
    </row>
    <row r="145" spans="1:4" x14ac:dyDescent="0.3">
      <c r="A145" s="88" t="s">
        <v>20</v>
      </c>
      <c r="B145" s="88"/>
      <c r="C145" s="16">
        <v>46148</v>
      </c>
      <c r="D145" s="79">
        <v>989990.29999999993</v>
      </c>
    </row>
    <row r="146" spans="1:4" x14ac:dyDescent="0.3">
      <c r="A146" s="88" t="s">
        <v>21</v>
      </c>
      <c r="B146" s="88"/>
      <c r="C146" s="16">
        <v>46148</v>
      </c>
      <c r="D146" s="79">
        <v>961212.30999999924</v>
      </c>
    </row>
    <row r="147" spans="1:4" x14ac:dyDescent="0.3">
      <c r="A147" s="88" t="s">
        <v>22</v>
      </c>
      <c r="B147" s="88"/>
      <c r="C147" s="16">
        <v>46148</v>
      </c>
      <c r="D147" s="79">
        <v>121511.38</v>
      </c>
    </row>
    <row r="148" spans="1:4" x14ac:dyDescent="0.3">
      <c r="A148" s="88" t="s">
        <v>23</v>
      </c>
      <c r="B148" s="88"/>
      <c r="C148" s="16">
        <v>46148</v>
      </c>
      <c r="D148" s="79">
        <v>813088.59</v>
      </c>
    </row>
    <row r="149" spans="1:4" x14ac:dyDescent="0.3">
      <c r="A149" s="88" t="s">
        <v>24</v>
      </c>
      <c r="B149" s="88"/>
      <c r="C149" s="16">
        <v>46148</v>
      </c>
      <c r="D149" s="79">
        <v>3768.83</v>
      </c>
    </row>
    <row r="150" spans="1:4" x14ac:dyDescent="0.3">
      <c r="A150" s="88" t="s">
        <v>25</v>
      </c>
      <c r="B150" s="88"/>
      <c r="C150" s="16">
        <v>46148</v>
      </c>
      <c r="D150" s="79">
        <v>114.3</v>
      </c>
    </row>
    <row r="151" spans="1:4" x14ac:dyDescent="0.3">
      <c r="A151" s="88" t="s">
        <v>26</v>
      </c>
      <c r="B151" s="88"/>
      <c r="C151" s="16">
        <v>46148</v>
      </c>
      <c r="D151" s="79">
        <v>2267.7200000000003</v>
      </c>
    </row>
    <row r="152" spans="1:4" x14ac:dyDescent="0.3">
      <c r="A152" s="88" t="s">
        <v>27</v>
      </c>
      <c r="B152" s="88"/>
      <c r="C152" s="16">
        <v>46148</v>
      </c>
      <c r="D152" s="79">
        <v>3364.94</v>
      </c>
    </row>
    <row r="153" spans="1:4" x14ac:dyDescent="0.3">
      <c r="A153" s="88" t="s">
        <v>28</v>
      </c>
      <c r="B153" s="88"/>
      <c r="C153" s="16">
        <v>46148</v>
      </c>
      <c r="D153" s="79">
        <v>1968.99</v>
      </c>
    </row>
    <row r="154" spans="1:4" x14ac:dyDescent="0.3">
      <c r="A154" s="88" t="s">
        <v>29</v>
      </c>
      <c r="B154" s="88"/>
      <c r="C154" s="16">
        <v>46148</v>
      </c>
      <c r="D154" s="79">
        <v>901.34</v>
      </c>
    </row>
    <row r="155" spans="1:4" x14ac:dyDescent="0.3">
      <c r="A155" s="88" t="s">
        <v>30</v>
      </c>
      <c r="B155" s="88"/>
      <c r="C155" s="16">
        <v>46148</v>
      </c>
      <c r="D155" s="79">
        <v>1444.08</v>
      </c>
    </row>
    <row r="156" spans="1:4" x14ac:dyDescent="0.3">
      <c r="A156" s="88" t="s">
        <v>31</v>
      </c>
      <c r="B156" s="88"/>
      <c r="C156" s="16">
        <v>46148</v>
      </c>
      <c r="D156" s="79">
        <v>23247.599999999962</v>
      </c>
    </row>
    <row r="157" spans="1:4" x14ac:dyDescent="0.3">
      <c r="A157" s="88" t="s">
        <v>32</v>
      </c>
      <c r="B157" s="88"/>
      <c r="C157" s="16">
        <v>46148</v>
      </c>
      <c r="D157" s="79">
        <v>5135.0600000000013</v>
      </c>
    </row>
    <row r="158" spans="1:4" x14ac:dyDescent="0.3">
      <c r="A158" s="88" t="s">
        <v>33</v>
      </c>
      <c r="B158" s="88"/>
      <c r="C158" s="16">
        <v>46148</v>
      </c>
      <c r="D158" s="79">
        <v>21338.39</v>
      </c>
    </row>
    <row r="159" spans="1:4" x14ac:dyDescent="0.3">
      <c r="A159" s="88" t="s">
        <v>34</v>
      </c>
      <c r="B159" s="88"/>
      <c r="C159" s="16">
        <v>46148</v>
      </c>
      <c r="D159" s="79">
        <v>345</v>
      </c>
    </row>
    <row r="160" spans="1:4" x14ac:dyDescent="0.3">
      <c r="A160" s="88" t="s">
        <v>35</v>
      </c>
      <c r="B160" s="88"/>
      <c r="C160" s="16">
        <v>46148</v>
      </c>
      <c r="D160" s="79">
        <v>8782.25</v>
      </c>
    </row>
    <row r="161" spans="1:4" x14ac:dyDescent="0.3">
      <c r="A161" s="88" t="s">
        <v>193</v>
      </c>
      <c r="B161" s="88"/>
      <c r="C161" s="16">
        <v>46148</v>
      </c>
      <c r="D161" s="79">
        <v>0</v>
      </c>
    </row>
    <row r="162" spans="1:4" x14ac:dyDescent="0.3">
      <c r="A162" s="88" t="s">
        <v>214</v>
      </c>
      <c r="B162" s="88"/>
      <c r="C162" s="16">
        <v>46148</v>
      </c>
      <c r="D162" s="79">
        <v>0</v>
      </c>
    </row>
    <row r="163" spans="1:4" x14ac:dyDescent="0.3">
      <c r="A163" s="88" t="s">
        <v>194</v>
      </c>
      <c r="B163" s="88"/>
      <c r="C163" s="16">
        <v>46148</v>
      </c>
      <c r="D163" s="79">
        <v>0</v>
      </c>
    </row>
    <row r="164" spans="1:4" x14ac:dyDescent="0.3">
      <c r="A164" s="88" t="s">
        <v>195</v>
      </c>
      <c r="B164" s="88"/>
      <c r="C164" s="16">
        <v>46148</v>
      </c>
      <c r="D164" s="79">
        <v>0</v>
      </c>
    </row>
    <row r="165" spans="1:4" x14ac:dyDescent="0.3">
      <c r="A165" s="88" t="s">
        <v>196</v>
      </c>
      <c r="B165" s="88"/>
      <c r="C165" s="16">
        <v>46148</v>
      </c>
      <c r="D165" s="79">
        <v>0</v>
      </c>
    </row>
    <row r="166" spans="1:4" x14ac:dyDescent="0.3">
      <c r="A166" s="88" t="s">
        <v>197</v>
      </c>
      <c r="B166" s="88"/>
      <c r="C166" s="16">
        <v>46148</v>
      </c>
      <c r="D166" s="79">
        <v>0</v>
      </c>
    </row>
    <row r="167" spans="1:4" x14ac:dyDescent="0.3">
      <c r="A167" s="88" t="s">
        <v>212</v>
      </c>
      <c r="B167" s="88"/>
      <c r="C167" s="16">
        <v>46148</v>
      </c>
      <c r="D167" s="79">
        <v>0</v>
      </c>
    </row>
    <row r="168" spans="1:4" x14ac:dyDescent="0.3">
      <c r="A168" s="88" t="s">
        <v>199</v>
      </c>
      <c r="B168" s="88"/>
      <c r="C168" s="16">
        <v>46148</v>
      </c>
      <c r="D168" s="79">
        <v>0</v>
      </c>
    </row>
    <row r="169" spans="1:4" x14ac:dyDescent="0.3">
      <c r="A169" s="88" t="s">
        <v>217</v>
      </c>
      <c r="B169" s="88"/>
      <c r="C169" s="16">
        <v>46148</v>
      </c>
      <c r="D169" s="79">
        <v>0</v>
      </c>
    </row>
    <row r="170" spans="1:4" x14ac:dyDescent="0.3">
      <c r="A170" s="88" t="s">
        <v>17</v>
      </c>
      <c r="B170" s="88"/>
      <c r="C170" s="16">
        <v>46149</v>
      </c>
      <c r="D170" s="79">
        <v>447763.43000000028</v>
      </c>
    </row>
    <row r="171" spans="1:4" x14ac:dyDescent="0.3">
      <c r="A171" s="88" t="s">
        <v>18</v>
      </c>
      <c r="B171" s="88"/>
      <c r="C171" s="16">
        <v>46149</v>
      </c>
      <c r="D171" s="79">
        <v>56288.029999999941</v>
      </c>
    </row>
    <row r="172" spans="1:4" x14ac:dyDescent="0.3">
      <c r="A172" s="88" t="s">
        <v>19</v>
      </c>
      <c r="B172" s="88"/>
      <c r="C172" s="16">
        <v>46149</v>
      </c>
      <c r="D172" s="79">
        <v>1669.89</v>
      </c>
    </row>
    <row r="173" spans="1:4" x14ac:dyDescent="0.3">
      <c r="A173" s="88" t="s">
        <v>20</v>
      </c>
      <c r="B173" s="88"/>
      <c r="C173" s="16">
        <v>46149</v>
      </c>
      <c r="D173" s="79">
        <v>274668.55999999994</v>
      </c>
    </row>
    <row r="174" spans="1:4" x14ac:dyDescent="0.3">
      <c r="A174" s="88" t="s">
        <v>21</v>
      </c>
      <c r="B174" s="88"/>
      <c r="C174" s="16">
        <v>46149</v>
      </c>
      <c r="D174" s="79">
        <v>926213.13999999932</v>
      </c>
    </row>
    <row r="175" spans="1:4" x14ac:dyDescent="0.3">
      <c r="A175" s="88" t="s">
        <v>22</v>
      </c>
      <c r="B175" s="88"/>
      <c r="C175" s="16">
        <v>46149</v>
      </c>
      <c r="D175" s="79">
        <v>121511.38</v>
      </c>
    </row>
    <row r="176" spans="1:4" x14ac:dyDescent="0.3">
      <c r="A176" s="88" t="s">
        <v>23</v>
      </c>
      <c r="B176" s="88"/>
      <c r="C176" s="16">
        <v>46149</v>
      </c>
      <c r="D176" s="79">
        <v>1513088.59</v>
      </c>
    </row>
    <row r="177" spans="1:4" x14ac:dyDescent="0.3">
      <c r="A177" s="88" t="s">
        <v>24</v>
      </c>
      <c r="B177" s="88"/>
      <c r="C177" s="16">
        <v>46149</v>
      </c>
      <c r="D177" s="79">
        <v>3768.83</v>
      </c>
    </row>
    <row r="178" spans="1:4" x14ac:dyDescent="0.3">
      <c r="A178" s="88" t="s">
        <v>25</v>
      </c>
      <c r="B178" s="88"/>
      <c r="C178" s="16">
        <v>46149</v>
      </c>
      <c r="D178" s="79">
        <v>114.3</v>
      </c>
    </row>
    <row r="179" spans="1:4" x14ac:dyDescent="0.3">
      <c r="A179" s="88" t="s">
        <v>26</v>
      </c>
      <c r="B179" s="88"/>
      <c r="C179" s="16">
        <v>46149</v>
      </c>
      <c r="D179" s="79">
        <v>2267.7200000000003</v>
      </c>
    </row>
    <row r="180" spans="1:4" x14ac:dyDescent="0.3">
      <c r="A180" s="88" t="s">
        <v>27</v>
      </c>
      <c r="B180" s="88"/>
      <c r="C180" s="16">
        <v>46149</v>
      </c>
      <c r="D180" s="79">
        <v>3364.94</v>
      </c>
    </row>
    <row r="181" spans="1:4" x14ac:dyDescent="0.3">
      <c r="A181" s="88" t="s">
        <v>28</v>
      </c>
      <c r="B181" s="88"/>
      <c r="C181" s="16">
        <v>46149</v>
      </c>
      <c r="D181" s="79">
        <v>1968.99</v>
      </c>
    </row>
    <row r="182" spans="1:4" x14ac:dyDescent="0.3">
      <c r="A182" s="88" t="s">
        <v>29</v>
      </c>
      <c r="B182" s="88"/>
      <c r="C182" s="16">
        <v>46149</v>
      </c>
      <c r="D182" s="79">
        <v>901.34</v>
      </c>
    </row>
    <row r="183" spans="1:4" x14ac:dyDescent="0.3">
      <c r="A183" s="88" t="s">
        <v>30</v>
      </c>
      <c r="B183" s="88"/>
      <c r="C183" s="16">
        <v>46149</v>
      </c>
      <c r="D183" s="79">
        <v>1444.08</v>
      </c>
    </row>
    <row r="184" spans="1:4" x14ac:dyDescent="0.3">
      <c r="A184" s="88" t="s">
        <v>31</v>
      </c>
      <c r="B184" s="88"/>
      <c r="C184" s="16">
        <v>46149</v>
      </c>
      <c r="D184" s="79">
        <v>23247.599999999962</v>
      </c>
    </row>
    <row r="185" spans="1:4" x14ac:dyDescent="0.3">
      <c r="A185" s="88" t="s">
        <v>32</v>
      </c>
      <c r="B185" s="88"/>
      <c r="C185" s="16">
        <v>46149</v>
      </c>
      <c r="D185" s="79">
        <v>15135.060000000001</v>
      </c>
    </row>
    <row r="186" spans="1:4" x14ac:dyDescent="0.3">
      <c r="A186" s="88" t="s">
        <v>33</v>
      </c>
      <c r="B186" s="88"/>
      <c r="C186" s="16">
        <v>46149</v>
      </c>
      <c r="D186" s="79">
        <v>31338.39</v>
      </c>
    </row>
    <row r="187" spans="1:4" x14ac:dyDescent="0.3">
      <c r="A187" s="88" t="s">
        <v>34</v>
      </c>
      <c r="B187" s="88"/>
      <c r="C187" s="16">
        <v>46149</v>
      </c>
      <c r="D187" s="79">
        <v>345</v>
      </c>
    </row>
    <row r="188" spans="1:4" x14ac:dyDescent="0.3">
      <c r="A188" s="88" t="s">
        <v>35</v>
      </c>
      <c r="B188" s="88"/>
      <c r="C188" s="16">
        <v>46149</v>
      </c>
      <c r="D188" s="79">
        <v>8782.25</v>
      </c>
    </row>
    <row r="189" spans="1:4" x14ac:dyDescent="0.3">
      <c r="A189" s="88" t="s">
        <v>193</v>
      </c>
      <c r="B189" s="88"/>
      <c r="C189" s="16">
        <v>46149</v>
      </c>
      <c r="D189" s="79">
        <v>0</v>
      </c>
    </row>
    <row r="190" spans="1:4" x14ac:dyDescent="0.3">
      <c r="A190" s="88" t="s">
        <v>214</v>
      </c>
      <c r="B190" s="88"/>
      <c r="C190" s="16">
        <v>46149</v>
      </c>
      <c r="D190" s="79">
        <v>0</v>
      </c>
    </row>
    <row r="191" spans="1:4" x14ac:dyDescent="0.3">
      <c r="A191" s="88" t="s">
        <v>194</v>
      </c>
      <c r="B191" s="88"/>
      <c r="C191" s="16">
        <v>46149</v>
      </c>
      <c r="D191" s="79">
        <v>0</v>
      </c>
    </row>
    <row r="192" spans="1:4" x14ac:dyDescent="0.3">
      <c r="A192" s="88" t="s">
        <v>195</v>
      </c>
      <c r="B192" s="88"/>
      <c r="C192" s="16">
        <v>46149</v>
      </c>
      <c r="D192" s="79">
        <v>0</v>
      </c>
    </row>
    <row r="193" spans="1:4" x14ac:dyDescent="0.3">
      <c r="A193" s="88" t="s">
        <v>196</v>
      </c>
      <c r="B193" s="88"/>
      <c r="C193" s="16">
        <v>46149</v>
      </c>
      <c r="D193" s="79">
        <v>0</v>
      </c>
    </row>
    <row r="194" spans="1:4" x14ac:dyDescent="0.3">
      <c r="A194" s="88" t="s">
        <v>197</v>
      </c>
      <c r="B194" s="88"/>
      <c r="C194" s="16">
        <v>46149</v>
      </c>
      <c r="D194" s="79">
        <v>0</v>
      </c>
    </row>
    <row r="195" spans="1:4" x14ac:dyDescent="0.3">
      <c r="A195" s="88" t="s">
        <v>212</v>
      </c>
      <c r="B195" s="88"/>
      <c r="C195" s="16">
        <v>46149</v>
      </c>
      <c r="D195" s="79">
        <v>0</v>
      </c>
    </row>
    <row r="196" spans="1:4" x14ac:dyDescent="0.3">
      <c r="A196" s="88" t="s">
        <v>199</v>
      </c>
      <c r="B196" s="88"/>
      <c r="C196" s="16">
        <v>46149</v>
      </c>
      <c r="D196" s="79">
        <v>0</v>
      </c>
    </row>
    <row r="197" spans="1:4" x14ac:dyDescent="0.3">
      <c r="A197" s="88" t="s">
        <v>217</v>
      </c>
      <c r="B197" s="88"/>
      <c r="C197" s="16">
        <v>46149</v>
      </c>
      <c r="D197" s="79">
        <v>0</v>
      </c>
    </row>
    <row r="198" spans="1:4" x14ac:dyDescent="0.3">
      <c r="A198" s="88" t="s">
        <v>17</v>
      </c>
      <c r="B198" s="88"/>
      <c r="C198" s="16">
        <v>46150</v>
      </c>
      <c r="D198" s="79">
        <v>512927.75000000023</v>
      </c>
    </row>
    <row r="199" spans="1:4" x14ac:dyDescent="0.3">
      <c r="A199" s="88" t="s">
        <v>18</v>
      </c>
      <c r="B199" s="88"/>
      <c r="C199" s="16">
        <v>46150</v>
      </c>
      <c r="D199" s="79">
        <v>58840.089999999938</v>
      </c>
    </row>
    <row r="200" spans="1:4" x14ac:dyDescent="0.3">
      <c r="A200" s="88" t="s">
        <v>19</v>
      </c>
      <c r="B200" s="88"/>
      <c r="C200" s="16">
        <v>46150</v>
      </c>
      <c r="D200" s="79">
        <v>1669.89</v>
      </c>
    </row>
    <row r="201" spans="1:4" x14ac:dyDescent="0.3">
      <c r="A201" s="88" t="s">
        <v>20</v>
      </c>
      <c r="B201" s="88"/>
      <c r="C201" s="16">
        <v>46150</v>
      </c>
      <c r="D201" s="79">
        <v>792366.49999999988</v>
      </c>
    </row>
    <row r="202" spans="1:4" x14ac:dyDescent="0.3">
      <c r="A202" s="88" t="s">
        <v>21</v>
      </c>
      <c r="B202" s="88"/>
      <c r="C202" s="16">
        <v>46150</v>
      </c>
      <c r="D202" s="79">
        <v>923830.41999999923</v>
      </c>
    </row>
    <row r="203" spans="1:4" x14ac:dyDescent="0.3">
      <c r="A203" s="88" t="s">
        <v>22</v>
      </c>
      <c r="B203" s="88"/>
      <c r="C203" s="16">
        <v>46150</v>
      </c>
      <c r="D203" s="79">
        <v>121511.38</v>
      </c>
    </row>
    <row r="204" spans="1:4" x14ac:dyDescent="0.3">
      <c r="A204" s="88" t="s">
        <v>23</v>
      </c>
      <c r="B204" s="88"/>
      <c r="C204" s="16">
        <v>46150</v>
      </c>
      <c r="D204" s="79">
        <v>13088.589999999997</v>
      </c>
    </row>
    <row r="205" spans="1:4" x14ac:dyDescent="0.3">
      <c r="A205" s="88" t="s">
        <v>24</v>
      </c>
      <c r="B205" s="88"/>
      <c r="C205" s="16">
        <v>46150</v>
      </c>
      <c r="D205" s="79">
        <v>3768.83</v>
      </c>
    </row>
    <row r="206" spans="1:4" x14ac:dyDescent="0.3">
      <c r="A206" s="88" t="s">
        <v>25</v>
      </c>
      <c r="B206" s="88"/>
      <c r="C206" s="16">
        <v>46150</v>
      </c>
      <c r="D206" s="79">
        <v>114.3</v>
      </c>
    </row>
    <row r="207" spans="1:4" x14ac:dyDescent="0.3">
      <c r="A207" s="88" t="s">
        <v>26</v>
      </c>
      <c r="B207" s="88"/>
      <c r="C207" s="16">
        <v>46150</v>
      </c>
      <c r="D207" s="79">
        <v>2267.7200000000003</v>
      </c>
    </row>
    <row r="208" spans="1:4" x14ac:dyDescent="0.3">
      <c r="A208" s="88" t="s">
        <v>27</v>
      </c>
      <c r="B208" s="88"/>
      <c r="C208" s="16">
        <v>46150</v>
      </c>
      <c r="D208" s="79">
        <v>3349.94</v>
      </c>
    </row>
    <row r="209" spans="1:4" x14ac:dyDescent="0.3">
      <c r="A209" s="88" t="s">
        <v>28</v>
      </c>
      <c r="B209" s="88"/>
      <c r="C209" s="16">
        <v>46150</v>
      </c>
      <c r="D209" s="79">
        <v>1968.99</v>
      </c>
    </row>
    <row r="210" spans="1:4" x14ac:dyDescent="0.3">
      <c r="A210" s="88" t="s">
        <v>29</v>
      </c>
      <c r="B210" s="88"/>
      <c r="C210" s="16">
        <v>46150</v>
      </c>
      <c r="D210" s="79">
        <v>901.34</v>
      </c>
    </row>
    <row r="211" spans="1:4" x14ac:dyDescent="0.3">
      <c r="A211" s="88" t="s">
        <v>30</v>
      </c>
      <c r="B211" s="88"/>
      <c r="C211" s="16">
        <v>46150</v>
      </c>
      <c r="D211" s="79">
        <v>1444.08</v>
      </c>
    </row>
    <row r="212" spans="1:4" x14ac:dyDescent="0.3">
      <c r="A212" s="88" t="s">
        <v>31</v>
      </c>
      <c r="B212" s="88"/>
      <c r="C212" s="16">
        <v>46150</v>
      </c>
      <c r="D212" s="79">
        <v>20592.599999999962</v>
      </c>
    </row>
    <row r="213" spans="1:4" x14ac:dyDescent="0.3">
      <c r="A213" s="88" t="s">
        <v>32</v>
      </c>
      <c r="B213" s="88"/>
      <c r="C213" s="16">
        <v>46150</v>
      </c>
      <c r="D213" s="79">
        <v>15120.060000000001</v>
      </c>
    </row>
    <row r="214" spans="1:4" x14ac:dyDescent="0.3">
      <c r="A214" s="88" t="s">
        <v>33</v>
      </c>
      <c r="B214" s="88"/>
      <c r="C214" s="16">
        <v>46150</v>
      </c>
      <c r="D214" s="79">
        <v>31323.39</v>
      </c>
    </row>
    <row r="215" spans="1:4" x14ac:dyDescent="0.3">
      <c r="A215" s="88" t="s">
        <v>34</v>
      </c>
      <c r="B215" s="88"/>
      <c r="C215" s="16">
        <v>46150</v>
      </c>
      <c r="D215" s="79">
        <v>345</v>
      </c>
    </row>
    <row r="216" spans="1:4" x14ac:dyDescent="0.3">
      <c r="A216" s="88" t="s">
        <v>35</v>
      </c>
      <c r="B216" s="88"/>
      <c r="C216" s="16">
        <v>46150</v>
      </c>
      <c r="D216" s="79">
        <v>23782.25</v>
      </c>
    </row>
    <row r="217" spans="1:4" x14ac:dyDescent="0.3">
      <c r="A217" s="88" t="s">
        <v>193</v>
      </c>
      <c r="B217" s="88"/>
      <c r="C217" s="16">
        <v>46150</v>
      </c>
      <c r="D217" s="79">
        <v>0</v>
      </c>
    </row>
    <row r="218" spans="1:4" x14ac:dyDescent="0.3">
      <c r="A218" s="88" t="s">
        <v>214</v>
      </c>
      <c r="B218" s="88"/>
      <c r="C218" s="16">
        <v>46150</v>
      </c>
      <c r="D218" s="79">
        <v>0</v>
      </c>
    </row>
    <row r="219" spans="1:4" x14ac:dyDescent="0.3">
      <c r="A219" s="88" t="s">
        <v>194</v>
      </c>
      <c r="B219" s="88"/>
      <c r="C219" s="16">
        <v>46150</v>
      </c>
      <c r="D219" s="79">
        <v>0</v>
      </c>
    </row>
    <row r="220" spans="1:4" x14ac:dyDescent="0.3">
      <c r="A220" s="88" t="s">
        <v>195</v>
      </c>
      <c r="B220" s="88"/>
      <c r="C220" s="16">
        <v>46150</v>
      </c>
      <c r="D220" s="79">
        <v>0</v>
      </c>
    </row>
    <row r="221" spans="1:4" x14ac:dyDescent="0.3">
      <c r="A221" s="88" t="s">
        <v>196</v>
      </c>
      <c r="B221" s="88"/>
      <c r="C221" s="16">
        <v>46150</v>
      </c>
      <c r="D221" s="79">
        <v>0</v>
      </c>
    </row>
    <row r="222" spans="1:4" x14ac:dyDescent="0.3">
      <c r="A222" s="88" t="s">
        <v>197</v>
      </c>
      <c r="B222" s="88"/>
      <c r="C222" s="16">
        <v>46150</v>
      </c>
      <c r="D222" s="79">
        <v>0</v>
      </c>
    </row>
    <row r="223" spans="1:4" x14ac:dyDescent="0.3">
      <c r="A223" s="88" t="s">
        <v>212</v>
      </c>
      <c r="B223" s="88"/>
      <c r="C223" s="16">
        <v>46150</v>
      </c>
      <c r="D223" s="79">
        <v>0</v>
      </c>
    </row>
    <row r="224" spans="1:4" x14ac:dyDescent="0.3">
      <c r="A224" s="88" t="s">
        <v>199</v>
      </c>
      <c r="B224" s="88"/>
      <c r="C224" s="16">
        <v>46150</v>
      </c>
      <c r="D224" s="79">
        <v>0</v>
      </c>
    </row>
    <row r="225" spans="1:4" x14ac:dyDescent="0.3">
      <c r="A225" s="88" t="s">
        <v>217</v>
      </c>
      <c r="B225" s="88"/>
      <c r="C225" s="16">
        <v>46150</v>
      </c>
      <c r="D225" s="79">
        <v>0</v>
      </c>
    </row>
    <row r="226" spans="1:4" x14ac:dyDescent="0.3">
      <c r="A226" s="88" t="s">
        <v>17</v>
      </c>
      <c r="B226" s="88"/>
      <c r="C226" s="16">
        <v>46151</v>
      </c>
      <c r="D226" s="79">
        <v>512927.75000000023</v>
      </c>
    </row>
    <row r="227" spans="1:4" x14ac:dyDescent="0.3">
      <c r="A227" s="88" t="s">
        <v>18</v>
      </c>
      <c r="B227" s="88"/>
      <c r="C227" s="16">
        <v>46151</v>
      </c>
      <c r="D227" s="79">
        <v>58840.089999999938</v>
      </c>
    </row>
    <row r="228" spans="1:4" x14ac:dyDescent="0.3">
      <c r="A228" s="88" t="s">
        <v>19</v>
      </c>
      <c r="B228" s="88"/>
      <c r="C228" s="16">
        <v>46151</v>
      </c>
      <c r="D228" s="79">
        <v>1669.89</v>
      </c>
    </row>
    <row r="229" spans="1:4" x14ac:dyDescent="0.3">
      <c r="A229" s="88" t="s">
        <v>20</v>
      </c>
      <c r="B229" s="88"/>
      <c r="C229" s="16">
        <v>46151</v>
      </c>
      <c r="D229" s="79">
        <v>792366.49999999988</v>
      </c>
    </row>
    <row r="230" spans="1:4" x14ac:dyDescent="0.3">
      <c r="A230" s="88" t="s">
        <v>21</v>
      </c>
      <c r="B230" s="88"/>
      <c r="C230" s="16">
        <v>46151</v>
      </c>
      <c r="D230" s="79">
        <v>923830.41999999923</v>
      </c>
    </row>
    <row r="231" spans="1:4" x14ac:dyDescent="0.3">
      <c r="A231" s="88" t="s">
        <v>22</v>
      </c>
      <c r="B231" s="88"/>
      <c r="C231" s="16">
        <v>46151</v>
      </c>
      <c r="D231" s="79">
        <v>121511.38</v>
      </c>
    </row>
    <row r="232" spans="1:4" x14ac:dyDescent="0.3">
      <c r="A232" s="88" t="s">
        <v>23</v>
      </c>
      <c r="B232" s="88"/>
      <c r="C232" s="16">
        <v>46151</v>
      </c>
      <c r="D232" s="79">
        <v>13088.589999999997</v>
      </c>
    </row>
    <row r="233" spans="1:4" x14ac:dyDescent="0.3">
      <c r="A233" s="88" t="s">
        <v>24</v>
      </c>
      <c r="B233" s="88"/>
      <c r="C233" s="16">
        <v>46151</v>
      </c>
      <c r="D233" s="79">
        <v>3768.83</v>
      </c>
    </row>
    <row r="234" spans="1:4" x14ac:dyDescent="0.3">
      <c r="A234" s="88" t="s">
        <v>25</v>
      </c>
      <c r="B234" s="88"/>
      <c r="C234" s="16">
        <v>46151</v>
      </c>
      <c r="D234" s="79">
        <v>114.3</v>
      </c>
    </row>
    <row r="235" spans="1:4" x14ac:dyDescent="0.3">
      <c r="A235" s="88" t="s">
        <v>26</v>
      </c>
      <c r="B235" s="88"/>
      <c r="C235" s="16">
        <v>46151</v>
      </c>
      <c r="D235" s="79">
        <v>2267.7200000000003</v>
      </c>
    </row>
    <row r="236" spans="1:4" x14ac:dyDescent="0.3">
      <c r="A236" s="88" t="s">
        <v>27</v>
      </c>
      <c r="B236" s="88"/>
      <c r="C236" s="16">
        <v>46151</v>
      </c>
      <c r="D236" s="79">
        <v>3349.94</v>
      </c>
    </row>
    <row r="237" spans="1:4" x14ac:dyDescent="0.3">
      <c r="A237" s="88" t="s">
        <v>28</v>
      </c>
      <c r="B237" s="88"/>
      <c r="C237" s="16">
        <v>46151</v>
      </c>
      <c r="D237" s="79">
        <v>1968.99</v>
      </c>
    </row>
    <row r="238" spans="1:4" x14ac:dyDescent="0.3">
      <c r="A238" s="88" t="s">
        <v>29</v>
      </c>
      <c r="B238" s="88"/>
      <c r="C238" s="16">
        <v>46151</v>
      </c>
      <c r="D238" s="79">
        <v>901.34</v>
      </c>
    </row>
    <row r="239" spans="1:4" x14ac:dyDescent="0.3">
      <c r="A239" s="88" t="s">
        <v>30</v>
      </c>
      <c r="B239" s="88"/>
      <c r="C239" s="16">
        <v>46151</v>
      </c>
      <c r="D239" s="79">
        <v>1444.08</v>
      </c>
    </row>
    <row r="240" spans="1:4" x14ac:dyDescent="0.3">
      <c r="A240" s="88" t="s">
        <v>31</v>
      </c>
      <c r="B240" s="88"/>
      <c r="C240" s="16">
        <v>46151</v>
      </c>
      <c r="D240" s="79">
        <v>20592.599999999962</v>
      </c>
    </row>
    <row r="241" spans="1:4" x14ac:dyDescent="0.3">
      <c r="A241" s="88" t="s">
        <v>32</v>
      </c>
      <c r="B241" s="88"/>
      <c r="C241" s="16">
        <v>46151</v>
      </c>
      <c r="D241" s="79">
        <v>15120.060000000001</v>
      </c>
    </row>
    <row r="242" spans="1:4" x14ac:dyDescent="0.3">
      <c r="A242" s="88" t="s">
        <v>33</v>
      </c>
      <c r="B242" s="88"/>
      <c r="C242" s="16">
        <v>46151</v>
      </c>
      <c r="D242" s="79">
        <v>31323.39</v>
      </c>
    </row>
    <row r="243" spans="1:4" x14ac:dyDescent="0.3">
      <c r="A243" s="88" t="s">
        <v>34</v>
      </c>
      <c r="B243" s="88"/>
      <c r="C243" s="16">
        <v>46151</v>
      </c>
      <c r="D243" s="79">
        <v>345</v>
      </c>
    </row>
    <row r="244" spans="1:4" x14ac:dyDescent="0.3">
      <c r="A244" s="88" t="s">
        <v>35</v>
      </c>
      <c r="B244" s="88"/>
      <c r="C244" s="16">
        <v>46151</v>
      </c>
      <c r="D244" s="79">
        <v>23782.25</v>
      </c>
    </row>
    <row r="245" spans="1:4" x14ac:dyDescent="0.3">
      <c r="A245" s="88" t="s">
        <v>193</v>
      </c>
      <c r="B245" s="88"/>
      <c r="C245" s="16">
        <v>46151</v>
      </c>
      <c r="D245" s="79">
        <v>0</v>
      </c>
    </row>
    <row r="246" spans="1:4" x14ac:dyDescent="0.3">
      <c r="A246" s="88" t="s">
        <v>214</v>
      </c>
      <c r="B246" s="88"/>
      <c r="C246" s="16">
        <v>46151</v>
      </c>
      <c r="D246" s="79">
        <v>0</v>
      </c>
    </row>
    <row r="247" spans="1:4" x14ac:dyDescent="0.3">
      <c r="A247" s="88" t="s">
        <v>194</v>
      </c>
      <c r="B247" s="88"/>
      <c r="C247" s="16">
        <v>46151</v>
      </c>
      <c r="D247" s="79">
        <v>0</v>
      </c>
    </row>
    <row r="248" spans="1:4" x14ac:dyDescent="0.3">
      <c r="A248" s="88" t="s">
        <v>195</v>
      </c>
      <c r="B248" s="88"/>
      <c r="C248" s="16">
        <v>46151</v>
      </c>
      <c r="D248" s="79">
        <v>0</v>
      </c>
    </row>
    <row r="249" spans="1:4" x14ac:dyDescent="0.3">
      <c r="A249" s="88" t="s">
        <v>196</v>
      </c>
      <c r="B249" s="88"/>
      <c r="C249" s="16">
        <v>46151</v>
      </c>
      <c r="D249" s="79">
        <v>0</v>
      </c>
    </row>
    <row r="250" spans="1:4" x14ac:dyDescent="0.3">
      <c r="A250" s="88" t="s">
        <v>197</v>
      </c>
      <c r="B250" s="88"/>
      <c r="C250" s="16">
        <v>46151</v>
      </c>
      <c r="D250" s="79">
        <v>0</v>
      </c>
    </row>
    <row r="251" spans="1:4" x14ac:dyDescent="0.3">
      <c r="A251" s="88" t="s">
        <v>212</v>
      </c>
      <c r="B251" s="88"/>
      <c r="C251" s="16">
        <v>46151</v>
      </c>
      <c r="D251" s="79">
        <v>0</v>
      </c>
    </row>
    <row r="252" spans="1:4" x14ac:dyDescent="0.3">
      <c r="A252" s="88" t="s">
        <v>199</v>
      </c>
      <c r="B252" s="88"/>
      <c r="C252" s="16">
        <v>46151</v>
      </c>
      <c r="D252" s="79">
        <v>0</v>
      </c>
    </row>
    <row r="253" spans="1:4" x14ac:dyDescent="0.3">
      <c r="A253" s="88" t="s">
        <v>217</v>
      </c>
      <c r="B253" s="88"/>
      <c r="C253" s="16">
        <v>46151</v>
      </c>
      <c r="D253" s="79">
        <v>0</v>
      </c>
    </row>
    <row r="254" spans="1:4" x14ac:dyDescent="0.3">
      <c r="A254" s="88" t="s">
        <v>17</v>
      </c>
      <c r="B254" s="88"/>
      <c r="C254" s="16">
        <v>46152</v>
      </c>
      <c r="D254" s="79">
        <v>512927.75000000023</v>
      </c>
    </row>
    <row r="255" spans="1:4" x14ac:dyDescent="0.3">
      <c r="A255" s="88" t="s">
        <v>18</v>
      </c>
      <c r="B255" s="88"/>
      <c r="C255" s="16">
        <v>46152</v>
      </c>
      <c r="D255" s="79">
        <v>58840.089999999938</v>
      </c>
    </row>
    <row r="256" spans="1:4" x14ac:dyDescent="0.3">
      <c r="A256" s="88" t="s">
        <v>19</v>
      </c>
      <c r="B256" s="88"/>
      <c r="C256" s="16">
        <v>46152</v>
      </c>
      <c r="D256" s="79">
        <v>1669.89</v>
      </c>
    </row>
    <row r="257" spans="1:4" x14ac:dyDescent="0.3">
      <c r="A257" s="88" t="s">
        <v>20</v>
      </c>
      <c r="B257" s="88"/>
      <c r="C257" s="16">
        <v>46152</v>
      </c>
      <c r="D257" s="79">
        <v>792366.49999999988</v>
      </c>
    </row>
    <row r="258" spans="1:4" x14ac:dyDescent="0.3">
      <c r="A258" s="88" t="s">
        <v>21</v>
      </c>
      <c r="B258" s="88"/>
      <c r="C258" s="16">
        <v>46152</v>
      </c>
      <c r="D258" s="79">
        <v>923830.41999999923</v>
      </c>
    </row>
    <row r="259" spans="1:4" x14ac:dyDescent="0.3">
      <c r="A259" s="88" t="s">
        <v>22</v>
      </c>
      <c r="B259" s="88"/>
      <c r="C259" s="16">
        <v>46152</v>
      </c>
      <c r="D259" s="79">
        <v>121511.38</v>
      </c>
    </row>
    <row r="260" spans="1:4" x14ac:dyDescent="0.3">
      <c r="A260" s="88" t="s">
        <v>23</v>
      </c>
      <c r="B260" s="88"/>
      <c r="C260" s="16">
        <v>46152</v>
      </c>
      <c r="D260" s="79">
        <v>13088.589999999997</v>
      </c>
    </row>
    <row r="261" spans="1:4" x14ac:dyDescent="0.3">
      <c r="A261" s="88" t="s">
        <v>24</v>
      </c>
      <c r="B261" s="88"/>
      <c r="C261" s="16">
        <v>46152</v>
      </c>
      <c r="D261" s="79">
        <v>3768.83</v>
      </c>
    </row>
    <row r="262" spans="1:4" x14ac:dyDescent="0.3">
      <c r="A262" s="88" t="s">
        <v>25</v>
      </c>
      <c r="B262" s="88"/>
      <c r="C262" s="16">
        <v>46152</v>
      </c>
      <c r="D262" s="79">
        <v>114.3</v>
      </c>
    </row>
    <row r="263" spans="1:4" x14ac:dyDescent="0.3">
      <c r="A263" s="88" t="s">
        <v>26</v>
      </c>
      <c r="B263" s="88"/>
      <c r="C263" s="16">
        <v>46152</v>
      </c>
      <c r="D263" s="79">
        <v>2267.7200000000003</v>
      </c>
    </row>
    <row r="264" spans="1:4" x14ac:dyDescent="0.3">
      <c r="A264" s="88" t="s">
        <v>27</v>
      </c>
      <c r="B264" s="88"/>
      <c r="C264" s="16">
        <v>46152</v>
      </c>
      <c r="D264" s="79">
        <v>3349.94</v>
      </c>
    </row>
    <row r="265" spans="1:4" x14ac:dyDescent="0.3">
      <c r="A265" s="88" t="s">
        <v>28</v>
      </c>
      <c r="B265" s="88"/>
      <c r="C265" s="16">
        <v>46152</v>
      </c>
      <c r="D265" s="79">
        <v>1968.99</v>
      </c>
    </row>
    <row r="266" spans="1:4" x14ac:dyDescent="0.3">
      <c r="A266" s="88" t="s">
        <v>29</v>
      </c>
      <c r="B266" s="88"/>
      <c r="C266" s="16">
        <v>46152</v>
      </c>
      <c r="D266" s="79">
        <v>901.34</v>
      </c>
    </row>
    <row r="267" spans="1:4" x14ac:dyDescent="0.3">
      <c r="A267" s="88" t="s">
        <v>30</v>
      </c>
      <c r="B267" s="88"/>
      <c r="C267" s="16">
        <v>46152</v>
      </c>
      <c r="D267" s="79">
        <v>1444.08</v>
      </c>
    </row>
    <row r="268" spans="1:4" x14ac:dyDescent="0.3">
      <c r="A268" s="88" t="s">
        <v>31</v>
      </c>
      <c r="B268" s="88"/>
      <c r="C268" s="16">
        <v>46152</v>
      </c>
      <c r="D268" s="79">
        <v>20592.599999999962</v>
      </c>
    </row>
    <row r="269" spans="1:4" x14ac:dyDescent="0.3">
      <c r="A269" s="88" t="s">
        <v>32</v>
      </c>
      <c r="B269" s="88"/>
      <c r="C269" s="16">
        <v>46152</v>
      </c>
      <c r="D269" s="79">
        <v>15120.060000000001</v>
      </c>
    </row>
    <row r="270" spans="1:4" x14ac:dyDescent="0.3">
      <c r="A270" s="88" t="s">
        <v>33</v>
      </c>
      <c r="B270" s="88"/>
      <c r="C270" s="16">
        <v>46152</v>
      </c>
      <c r="D270" s="79">
        <v>31323.39</v>
      </c>
    </row>
    <row r="271" spans="1:4" x14ac:dyDescent="0.3">
      <c r="A271" s="88" t="s">
        <v>34</v>
      </c>
      <c r="B271" s="88"/>
      <c r="C271" s="16">
        <v>46152</v>
      </c>
      <c r="D271" s="79">
        <v>345</v>
      </c>
    </row>
    <row r="272" spans="1:4" x14ac:dyDescent="0.3">
      <c r="A272" s="88" t="s">
        <v>35</v>
      </c>
      <c r="B272" s="88"/>
      <c r="C272" s="16">
        <v>46152</v>
      </c>
      <c r="D272" s="79">
        <v>23782.25</v>
      </c>
    </row>
    <row r="273" spans="1:4" x14ac:dyDescent="0.3">
      <c r="A273" s="88" t="s">
        <v>193</v>
      </c>
      <c r="B273" s="88"/>
      <c r="C273" s="16">
        <v>46152</v>
      </c>
      <c r="D273" s="79">
        <v>0</v>
      </c>
    </row>
    <row r="274" spans="1:4" x14ac:dyDescent="0.3">
      <c r="A274" s="88" t="s">
        <v>214</v>
      </c>
      <c r="B274" s="88"/>
      <c r="C274" s="16">
        <v>46152</v>
      </c>
      <c r="D274" s="79">
        <v>0</v>
      </c>
    </row>
    <row r="275" spans="1:4" x14ac:dyDescent="0.3">
      <c r="A275" s="88" t="s">
        <v>194</v>
      </c>
      <c r="B275" s="88"/>
      <c r="C275" s="16">
        <v>46152</v>
      </c>
      <c r="D275" s="79">
        <v>0</v>
      </c>
    </row>
    <row r="276" spans="1:4" x14ac:dyDescent="0.3">
      <c r="A276" s="88" t="s">
        <v>195</v>
      </c>
      <c r="B276" s="88"/>
      <c r="C276" s="16">
        <v>46152</v>
      </c>
      <c r="D276" s="79">
        <v>0</v>
      </c>
    </row>
    <row r="277" spans="1:4" x14ac:dyDescent="0.3">
      <c r="A277" s="88" t="s">
        <v>196</v>
      </c>
      <c r="B277" s="88"/>
      <c r="C277" s="16">
        <v>46152</v>
      </c>
      <c r="D277" s="79">
        <v>0</v>
      </c>
    </row>
    <row r="278" spans="1:4" x14ac:dyDescent="0.3">
      <c r="A278" s="88" t="s">
        <v>197</v>
      </c>
      <c r="B278" s="88"/>
      <c r="C278" s="16">
        <v>46152</v>
      </c>
      <c r="D278" s="79">
        <v>0</v>
      </c>
    </row>
    <row r="279" spans="1:4" x14ac:dyDescent="0.3">
      <c r="A279" s="88" t="s">
        <v>212</v>
      </c>
      <c r="B279" s="88"/>
      <c r="C279" s="16">
        <v>46152</v>
      </c>
      <c r="D279" s="79">
        <v>0</v>
      </c>
    </row>
    <row r="280" spans="1:4" x14ac:dyDescent="0.3">
      <c r="A280" s="88" t="s">
        <v>199</v>
      </c>
      <c r="B280" s="88"/>
      <c r="C280" s="16">
        <v>46152</v>
      </c>
      <c r="D280" s="79">
        <v>0</v>
      </c>
    </row>
    <row r="281" spans="1:4" x14ac:dyDescent="0.3">
      <c r="A281" s="88" t="s">
        <v>217</v>
      </c>
      <c r="B281" s="88"/>
      <c r="C281" s="16">
        <v>46152</v>
      </c>
      <c r="D281" s="79">
        <v>0</v>
      </c>
    </row>
    <row r="282" spans="1:4" x14ac:dyDescent="0.3">
      <c r="A282" s="88" t="s">
        <v>17</v>
      </c>
      <c r="B282" s="88"/>
      <c r="C282" s="16">
        <v>46153</v>
      </c>
      <c r="D282" s="79">
        <v>512927.75000000023</v>
      </c>
    </row>
    <row r="283" spans="1:4" x14ac:dyDescent="0.3">
      <c r="A283" s="88" t="s">
        <v>18</v>
      </c>
      <c r="B283" s="88"/>
      <c r="C283" s="16">
        <v>46153</v>
      </c>
      <c r="D283" s="79">
        <v>58840.089999999938</v>
      </c>
    </row>
    <row r="284" spans="1:4" x14ac:dyDescent="0.3">
      <c r="A284" s="88" t="s">
        <v>19</v>
      </c>
      <c r="B284" s="88"/>
      <c r="C284" s="16">
        <v>46153</v>
      </c>
      <c r="D284" s="79">
        <v>1669.89</v>
      </c>
    </row>
    <row r="285" spans="1:4" x14ac:dyDescent="0.3">
      <c r="A285" s="88" t="s">
        <v>20</v>
      </c>
      <c r="B285" s="88"/>
      <c r="C285" s="16">
        <v>46153</v>
      </c>
      <c r="D285" s="79">
        <v>1368366.5</v>
      </c>
    </row>
    <row r="286" spans="1:4" x14ac:dyDescent="0.3">
      <c r="A286" s="88" t="s">
        <v>21</v>
      </c>
      <c r="B286" s="88"/>
      <c r="C286" s="16">
        <v>46153</v>
      </c>
      <c r="D286" s="79">
        <v>1162513.7699999993</v>
      </c>
    </row>
    <row r="287" spans="1:4" x14ac:dyDescent="0.3">
      <c r="A287" s="88" t="s">
        <v>22</v>
      </c>
      <c r="B287" s="88"/>
      <c r="C287" s="16">
        <v>46153</v>
      </c>
      <c r="D287" s="79">
        <v>121511.38</v>
      </c>
    </row>
    <row r="288" spans="1:4" x14ac:dyDescent="0.3">
      <c r="A288" s="88" t="s">
        <v>23</v>
      </c>
      <c r="B288" s="88"/>
      <c r="C288" s="16">
        <v>46153</v>
      </c>
      <c r="D288" s="79">
        <v>13088.589999999997</v>
      </c>
    </row>
    <row r="289" spans="1:4" x14ac:dyDescent="0.3">
      <c r="A289" s="88" t="s">
        <v>24</v>
      </c>
      <c r="B289" s="88"/>
      <c r="C289" s="16">
        <v>46153</v>
      </c>
      <c r="D289" s="79">
        <v>3768.83</v>
      </c>
    </row>
    <row r="290" spans="1:4" x14ac:dyDescent="0.3">
      <c r="A290" s="88" t="s">
        <v>25</v>
      </c>
      <c r="B290" s="88"/>
      <c r="C290" s="16">
        <v>46153</v>
      </c>
      <c r="D290" s="79">
        <v>114.3</v>
      </c>
    </row>
    <row r="291" spans="1:4" x14ac:dyDescent="0.3">
      <c r="A291" s="88" t="s">
        <v>26</v>
      </c>
      <c r="B291" s="88"/>
      <c r="C291" s="16">
        <v>46153</v>
      </c>
      <c r="D291" s="79">
        <v>2267.7200000000003</v>
      </c>
    </row>
    <row r="292" spans="1:4" x14ac:dyDescent="0.3">
      <c r="A292" s="88" t="s">
        <v>27</v>
      </c>
      <c r="B292" s="88"/>
      <c r="C292" s="16">
        <v>46153</v>
      </c>
      <c r="D292" s="79">
        <v>3349.94</v>
      </c>
    </row>
    <row r="293" spans="1:4" x14ac:dyDescent="0.3">
      <c r="A293" s="88" t="s">
        <v>28</v>
      </c>
      <c r="B293" s="88"/>
      <c r="C293" s="16">
        <v>46153</v>
      </c>
      <c r="D293" s="79">
        <v>1968.99</v>
      </c>
    </row>
    <row r="294" spans="1:4" x14ac:dyDescent="0.3">
      <c r="A294" s="88" t="s">
        <v>29</v>
      </c>
      <c r="B294" s="88"/>
      <c r="C294" s="16">
        <v>46153</v>
      </c>
      <c r="D294" s="79">
        <v>901.34</v>
      </c>
    </row>
    <row r="295" spans="1:4" x14ac:dyDescent="0.3">
      <c r="A295" s="88" t="s">
        <v>30</v>
      </c>
      <c r="B295" s="88"/>
      <c r="C295" s="16">
        <v>46153</v>
      </c>
      <c r="D295" s="79">
        <v>1444.08</v>
      </c>
    </row>
    <row r="296" spans="1:4" x14ac:dyDescent="0.3">
      <c r="A296" s="88" t="s">
        <v>31</v>
      </c>
      <c r="B296" s="88"/>
      <c r="C296" s="16">
        <v>46153</v>
      </c>
      <c r="D296" s="79">
        <v>19092.599999999962</v>
      </c>
    </row>
    <row r="297" spans="1:4" x14ac:dyDescent="0.3">
      <c r="A297" s="88" t="s">
        <v>32</v>
      </c>
      <c r="B297" s="88"/>
      <c r="C297" s="16">
        <v>46153</v>
      </c>
      <c r="D297" s="79">
        <v>15120.060000000001</v>
      </c>
    </row>
    <row r="298" spans="1:4" x14ac:dyDescent="0.3">
      <c r="A298" s="88" t="s">
        <v>33</v>
      </c>
      <c r="B298" s="88"/>
      <c r="C298" s="16">
        <v>46153</v>
      </c>
      <c r="D298" s="79">
        <v>31323.39</v>
      </c>
    </row>
    <row r="299" spans="1:4" x14ac:dyDescent="0.3">
      <c r="A299" s="88" t="s">
        <v>34</v>
      </c>
      <c r="B299" s="88"/>
      <c r="C299" s="16">
        <v>46153</v>
      </c>
      <c r="D299" s="79">
        <v>345</v>
      </c>
    </row>
    <row r="300" spans="1:4" x14ac:dyDescent="0.3">
      <c r="A300" s="88" t="s">
        <v>35</v>
      </c>
      <c r="B300" s="88"/>
      <c r="C300" s="16">
        <v>46153</v>
      </c>
      <c r="D300" s="79">
        <v>16956.59</v>
      </c>
    </row>
    <row r="301" spans="1:4" x14ac:dyDescent="0.3">
      <c r="A301" s="88" t="s">
        <v>193</v>
      </c>
      <c r="B301" s="88"/>
      <c r="C301" s="16">
        <v>46153</v>
      </c>
      <c r="D301" s="79">
        <v>0</v>
      </c>
    </row>
    <row r="302" spans="1:4" x14ac:dyDescent="0.3">
      <c r="A302" s="88" t="s">
        <v>214</v>
      </c>
      <c r="B302" s="88"/>
      <c r="C302" s="16">
        <v>46153</v>
      </c>
      <c r="D302" s="79">
        <v>0</v>
      </c>
    </row>
    <row r="303" spans="1:4" x14ac:dyDescent="0.3">
      <c r="A303" s="88" t="s">
        <v>194</v>
      </c>
      <c r="B303" s="88"/>
      <c r="C303" s="16">
        <v>46153</v>
      </c>
      <c r="D303" s="79">
        <v>0</v>
      </c>
    </row>
    <row r="304" spans="1:4" x14ac:dyDescent="0.3">
      <c r="A304" s="88" t="s">
        <v>195</v>
      </c>
      <c r="B304" s="88"/>
      <c r="C304" s="16">
        <v>46153</v>
      </c>
      <c r="D304" s="79">
        <v>0</v>
      </c>
    </row>
    <row r="305" spans="1:4" x14ac:dyDescent="0.3">
      <c r="A305" s="88" t="s">
        <v>196</v>
      </c>
      <c r="B305" s="88"/>
      <c r="C305" s="16">
        <v>46153</v>
      </c>
      <c r="D305" s="79">
        <v>0</v>
      </c>
    </row>
    <row r="306" spans="1:4" x14ac:dyDescent="0.3">
      <c r="A306" s="88" t="s">
        <v>197</v>
      </c>
      <c r="B306" s="88"/>
      <c r="C306" s="16">
        <v>46153</v>
      </c>
      <c r="D306" s="79">
        <v>0</v>
      </c>
    </row>
    <row r="307" spans="1:4" x14ac:dyDescent="0.3">
      <c r="A307" s="88" t="s">
        <v>212</v>
      </c>
      <c r="B307" s="88"/>
      <c r="C307" s="16">
        <v>46153</v>
      </c>
      <c r="D307" s="79">
        <v>0</v>
      </c>
    </row>
    <row r="308" spans="1:4" x14ac:dyDescent="0.3">
      <c r="A308" s="88" t="s">
        <v>199</v>
      </c>
      <c r="B308" s="88"/>
      <c r="C308" s="16">
        <v>46153</v>
      </c>
      <c r="D308" s="79">
        <v>0</v>
      </c>
    </row>
    <row r="309" spans="1:4" x14ac:dyDescent="0.3">
      <c r="A309" s="88" t="s">
        <v>217</v>
      </c>
      <c r="B309" s="88"/>
      <c r="C309" s="16">
        <v>46153</v>
      </c>
      <c r="D309" s="79">
        <v>0</v>
      </c>
    </row>
    <row r="310" spans="1:4" x14ac:dyDescent="0.3">
      <c r="A310" s="88" t="s">
        <v>17</v>
      </c>
      <c r="B310" s="88"/>
      <c r="C310" s="16">
        <v>46154</v>
      </c>
      <c r="D310" s="79">
        <v>606714.4700000002</v>
      </c>
    </row>
    <row r="311" spans="1:4" x14ac:dyDescent="0.3">
      <c r="A311" s="88" t="s">
        <v>18</v>
      </c>
      <c r="B311" s="88"/>
      <c r="C311" s="16">
        <v>46154</v>
      </c>
      <c r="D311" s="79">
        <v>58840.089999999938</v>
      </c>
    </row>
    <row r="312" spans="1:4" x14ac:dyDescent="0.3">
      <c r="A312" s="88" t="s">
        <v>19</v>
      </c>
      <c r="B312" s="88"/>
      <c r="C312" s="16">
        <v>46154</v>
      </c>
      <c r="D312" s="79">
        <v>1669.89</v>
      </c>
    </row>
    <row r="313" spans="1:4" x14ac:dyDescent="0.3">
      <c r="A313" s="88" t="s">
        <v>20</v>
      </c>
      <c r="B313" s="88"/>
      <c r="C313" s="16">
        <v>46154</v>
      </c>
      <c r="D313" s="79">
        <v>1226185.8999999999</v>
      </c>
    </row>
    <row r="314" spans="1:4" x14ac:dyDescent="0.3">
      <c r="A314" s="88" t="s">
        <v>21</v>
      </c>
      <c r="B314" s="88"/>
      <c r="C314" s="16">
        <v>46154</v>
      </c>
      <c r="D314" s="79">
        <v>1162404.8599999992</v>
      </c>
    </row>
    <row r="315" spans="1:4" x14ac:dyDescent="0.3">
      <c r="A315" s="88" t="s">
        <v>22</v>
      </c>
      <c r="B315" s="88"/>
      <c r="C315" s="16">
        <v>46154</v>
      </c>
      <c r="D315" s="79">
        <v>121511.38</v>
      </c>
    </row>
    <row r="316" spans="1:4" x14ac:dyDescent="0.3">
      <c r="A316" s="88" t="s">
        <v>23</v>
      </c>
      <c r="B316" s="88"/>
      <c r="C316" s="16">
        <v>46154</v>
      </c>
      <c r="D316" s="79">
        <v>13088.589999999997</v>
      </c>
    </row>
    <row r="317" spans="1:4" x14ac:dyDescent="0.3">
      <c r="A317" s="88" t="s">
        <v>24</v>
      </c>
      <c r="B317" s="88"/>
      <c r="C317" s="16">
        <v>46154</v>
      </c>
      <c r="D317" s="79">
        <v>3768.83</v>
      </c>
    </row>
    <row r="318" spans="1:4" x14ac:dyDescent="0.3">
      <c r="A318" s="88" t="s">
        <v>25</v>
      </c>
      <c r="B318" s="88"/>
      <c r="C318" s="16">
        <v>46154</v>
      </c>
      <c r="D318" s="79">
        <v>114.3</v>
      </c>
    </row>
    <row r="319" spans="1:4" x14ac:dyDescent="0.3">
      <c r="A319" s="88" t="s">
        <v>26</v>
      </c>
      <c r="B319" s="88"/>
      <c r="C319" s="16">
        <v>46154</v>
      </c>
      <c r="D319" s="79">
        <v>2267.7200000000003</v>
      </c>
    </row>
    <row r="320" spans="1:4" x14ac:dyDescent="0.3">
      <c r="A320" s="88" t="s">
        <v>27</v>
      </c>
      <c r="B320" s="88"/>
      <c r="C320" s="16">
        <v>46154</v>
      </c>
      <c r="D320" s="79">
        <v>3349.94</v>
      </c>
    </row>
    <row r="321" spans="1:4" x14ac:dyDescent="0.3">
      <c r="A321" s="88" t="s">
        <v>28</v>
      </c>
      <c r="B321" s="88"/>
      <c r="C321" s="16">
        <v>46154</v>
      </c>
      <c r="D321" s="79">
        <v>1968.99</v>
      </c>
    </row>
    <row r="322" spans="1:4" x14ac:dyDescent="0.3">
      <c r="A322" s="88" t="s">
        <v>29</v>
      </c>
      <c r="B322" s="88"/>
      <c r="C322" s="16">
        <v>46154</v>
      </c>
      <c r="D322" s="79">
        <v>901.34</v>
      </c>
    </row>
    <row r="323" spans="1:4" x14ac:dyDescent="0.3">
      <c r="A323" s="88" t="s">
        <v>30</v>
      </c>
      <c r="B323" s="88"/>
      <c r="C323" s="16">
        <v>46154</v>
      </c>
      <c r="D323" s="79">
        <v>1444.08</v>
      </c>
    </row>
    <row r="324" spans="1:4" x14ac:dyDescent="0.3">
      <c r="A324" s="88" t="s">
        <v>31</v>
      </c>
      <c r="B324" s="88"/>
      <c r="C324" s="16">
        <v>46154</v>
      </c>
      <c r="D324" s="79">
        <v>19092.599999999962</v>
      </c>
    </row>
    <row r="325" spans="1:4" x14ac:dyDescent="0.3">
      <c r="A325" s="88" t="s">
        <v>32</v>
      </c>
      <c r="B325" s="88"/>
      <c r="C325" s="16">
        <v>46154</v>
      </c>
      <c r="D325" s="79">
        <v>15120.060000000001</v>
      </c>
    </row>
    <row r="326" spans="1:4" x14ac:dyDescent="0.3">
      <c r="A326" s="88" t="s">
        <v>33</v>
      </c>
      <c r="B326" s="88"/>
      <c r="C326" s="16">
        <v>46154</v>
      </c>
      <c r="D326" s="79">
        <v>31323.39</v>
      </c>
    </row>
    <row r="327" spans="1:4" x14ac:dyDescent="0.3">
      <c r="A327" s="88" t="s">
        <v>34</v>
      </c>
      <c r="B327" s="88"/>
      <c r="C327" s="16">
        <v>46154</v>
      </c>
      <c r="D327" s="79">
        <v>345</v>
      </c>
    </row>
    <row r="328" spans="1:4" x14ac:dyDescent="0.3">
      <c r="A328" s="88" t="s">
        <v>35</v>
      </c>
      <c r="B328" s="88"/>
      <c r="C328" s="16">
        <v>46154</v>
      </c>
      <c r="D328" s="79">
        <v>16741.59</v>
      </c>
    </row>
    <row r="329" spans="1:4" x14ac:dyDescent="0.3">
      <c r="A329" s="88" t="s">
        <v>193</v>
      </c>
      <c r="B329" s="88"/>
      <c r="C329" s="16">
        <v>46154</v>
      </c>
      <c r="D329" s="79">
        <v>0</v>
      </c>
    </row>
    <row r="330" spans="1:4" x14ac:dyDescent="0.3">
      <c r="A330" s="88" t="s">
        <v>214</v>
      </c>
      <c r="B330" s="88"/>
      <c r="C330" s="16">
        <v>46154</v>
      </c>
      <c r="D330" s="79">
        <v>0</v>
      </c>
    </row>
    <row r="331" spans="1:4" x14ac:dyDescent="0.3">
      <c r="A331" s="88" t="s">
        <v>194</v>
      </c>
      <c r="B331" s="88"/>
      <c r="C331" s="16">
        <v>46154</v>
      </c>
      <c r="D331" s="79">
        <v>0</v>
      </c>
    </row>
    <row r="332" spans="1:4" x14ac:dyDescent="0.3">
      <c r="A332" s="88" t="s">
        <v>195</v>
      </c>
      <c r="B332" s="88"/>
      <c r="C332" s="16">
        <v>46154</v>
      </c>
      <c r="D332" s="79">
        <v>0</v>
      </c>
    </row>
    <row r="333" spans="1:4" x14ac:dyDescent="0.3">
      <c r="A333" s="88" t="s">
        <v>196</v>
      </c>
      <c r="B333" s="88"/>
      <c r="C333" s="16">
        <v>46154</v>
      </c>
      <c r="D333" s="79">
        <v>0</v>
      </c>
    </row>
    <row r="334" spans="1:4" x14ac:dyDescent="0.3">
      <c r="A334" s="88" t="s">
        <v>197</v>
      </c>
      <c r="B334" s="88"/>
      <c r="C334" s="16">
        <v>46154</v>
      </c>
      <c r="D334" s="79">
        <v>0</v>
      </c>
    </row>
    <row r="335" spans="1:4" x14ac:dyDescent="0.3">
      <c r="A335" s="88" t="s">
        <v>212</v>
      </c>
      <c r="B335" s="88"/>
      <c r="C335" s="16">
        <v>46154</v>
      </c>
      <c r="D335" s="79">
        <v>0</v>
      </c>
    </row>
    <row r="336" spans="1:4" x14ac:dyDescent="0.3">
      <c r="A336" s="88" t="s">
        <v>199</v>
      </c>
      <c r="B336" s="88"/>
      <c r="C336" s="16">
        <v>46154</v>
      </c>
      <c r="D336" s="79">
        <v>0</v>
      </c>
    </row>
    <row r="337" spans="1:4" x14ac:dyDescent="0.3">
      <c r="A337" s="88" t="s">
        <v>217</v>
      </c>
      <c r="B337" s="88"/>
      <c r="C337" s="16">
        <v>46154</v>
      </c>
      <c r="D337" s="79">
        <v>0</v>
      </c>
    </row>
    <row r="338" spans="1:4" x14ac:dyDescent="0.3">
      <c r="A338" s="88" t="s">
        <v>17</v>
      </c>
      <c r="B338" s="88"/>
      <c r="C338" s="16">
        <v>46155</v>
      </c>
      <c r="D338" s="79">
        <v>606714.4700000002</v>
      </c>
    </row>
    <row r="339" spans="1:4" x14ac:dyDescent="0.3">
      <c r="A339" s="88" t="s">
        <v>18</v>
      </c>
      <c r="B339" s="88"/>
      <c r="C339" s="16">
        <v>46155</v>
      </c>
      <c r="D339" s="79">
        <v>58840.089999999938</v>
      </c>
    </row>
    <row r="340" spans="1:4" x14ac:dyDescent="0.3">
      <c r="A340" s="88" t="s">
        <v>19</v>
      </c>
      <c r="B340" s="88"/>
      <c r="C340" s="16">
        <v>46155</v>
      </c>
      <c r="D340" s="79">
        <v>1669.89</v>
      </c>
    </row>
    <row r="341" spans="1:4" x14ac:dyDescent="0.3">
      <c r="A341" s="88" t="s">
        <v>20</v>
      </c>
      <c r="B341" s="88"/>
      <c r="C341" s="16">
        <v>46155</v>
      </c>
      <c r="D341" s="79">
        <v>1242679.67</v>
      </c>
    </row>
    <row r="342" spans="1:4" x14ac:dyDescent="0.3">
      <c r="A342" s="88" t="s">
        <v>21</v>
      </c>
      <c r="B342" s="88"/>
      <c r="C342" s="16">
        <v>46155</v>
      </c>
      <c r="D342" s="79">
        <v>1162404.8599999992</v>
      </c>
    </row>
    <row r="343" spans="1:4" x14ac:dyDescent="0.3">
      <c r="A343" s="88" t="s">
        <v>22</v>
      </c>
      <c r="B343" s="88"/>
      <c r="C343" s="16">
        <v>46155</v>
      </c>
      <c r="D343" s="79">
        <v>121511.38</v>
      </c>
    </row>
    <row r="344" spans="1:4" x14ac:dyDescent="0.3">
      <c r="A344" s="88" t="s">
        <v>23</v>
      </c>
      <c r="B344" s="88"/>
      <c r="C344" s="16">
        <v>46155</v>
      </c>
      <c r="D344" s="79">
        <v>13090.369999999997</v>
      </c>
    </row>
    <row r="345" spans="1:4" x14ac:dyDescent="0.3">
      <c r="A345" s="88" t="s">
        <v>24</v>
      </c>
      <c r="B345" s="88"/>
      <c r="C345" s="16">
        <v>46155</v>
      </c>
      <c r="D345" s="79">
        <v>2498.3999999999996</v>
      </c>
    </row>
    <row r="346" spans="1:4" x14ac:dyDescent="0.3">
      <c r="A346" s="88" t="s">
        <v>25</v>
      </c>
      <c r="B346" s="88"/>
      <c r="C346" s="16">
        <v>46155</v>
      </c>
      <c r="D346" s="79">
        <v>114.3</v>
      </c>
    </row>
    <row r="347" spans="1:4" x14ac:dyDescent="0.3">
      <c r="A347" s="88" t="s">
        <v>26</v>
      </c>
      <c r="B347" s="88"/>
      <c r="C347" s="16">
        <v>46155</v>
      </c>
      <c r="D347" s="79">
        <v>2267.7200000000003</v>
      </c>
    </row>
    <row r="348" spans="1:4" x14ac:dyDescent="0.3">
      <c r="A348" s="88" t="s">
        <v>27</v>
      </c>
      <c r="B348" s="88"/>
      <c r="C348" s="16">
        <v>46155</v>
      </c>
      <c r="D348" s="79">
        <v>3349.94</v>
      </c>
    </row>
    <row r="349" spans="1:4" x14ac:dyDescent="0.3">
      <c r="A349" s="88" t="s">
        <v>28</v>
      </c>
      <c r="B349" s="88"/>
      <c r="C349" s="16">
        <v>46155</v>
      </c>
      <c r="D349" s="79">
        <v>1968.99</v>
      </c>
    </row>
    <row r="350" spans="1:4" x14ac:dyDescent="0.3">
      <c r="A350" s="88" t="s">
        <v>29</v>
      </c>
      <c r="B350" s="88"/>
      <c r="C350" s="16">
        <v>46155</v>
      </c>
      <c r="D350" s="79">
        <v>901.34</v>
      </c>
    </row>
    <row r="351" spans="1:4" x14ac:dyDescent="0.3">
      <c r="A351" s="88" t="s">
        <v>30</v>
      </c>
      <c r="B351" s="88"/>
      <c r="C351" s="16">
        <v>46155</v>
      </c>
      <c r="D351" s="79">
        <v>1444.08</v>
      </c>
    </row>
    <row r="352" spans="1:4" x14ac:dyDescent="0.3">
      <c r="A352" s="88" t="s">
        <v>31</v>
      </c>
      <c r="B352" s="88"/>
      <c r="C352" s="16">
        <v>46155</v>
      </c>
      <c r="D352" s="79">
        <v>18242.599999999962</v>
      </c>
    </row>
    <row r="353" spans="1:4" x14ac:dyDescent="0.3">
      <c r="A353" s="88" t="s">
        <v>32</v>
      </c>
      <c r="B353" s="88"/>
      <c r="C353" s="16">
        <v>46155</v>
      </c>
      <c r="D353" s="79">
        <v>15120.060000000001</v>
      </c>
    </row>
    <row r="354" spans="1:4" x14ac:dyDescent="0.3">
      <c r="A354" s="88" t="s">
        <v>33</v>
      </c>
      <c r="B354" s="88"/>
      <c r="C354" s="16">
        <v>46155</v>
      </c>
      <c r="D354" s="79">
        <v>31323.39</v>
      </c>
    </row>
    <row r="355" spans="1:4" x14ac:dyDescent="0.3">
      <c r="A355" s="88" t="s">
        <v>34</v>
      </c>
      <c r="B355" s="88"/>
      <c r="C355" s="16">
        <v>46155</v>
      </c>
      <c r="D355" s="79">
        <v>345</v>
      </c>
    </row>
    <row r="356" spans="1:4" x14ac:dyDescent="0.3">
      <c r="A356" s="88" t="s">
        <v>35</v>
      </c>
      <c r="B356" s="88"/>
      <c r="C356" s="16">
        <v>46155</v>
      </c>
      <c r="D356" s="79">
        <v>16741.59</v>
      </c>
    </row>
    <row r="357" spans="1:4" x14ac:dyDescent="0.3">
      <c r="A357" s="88" t="s">
        <v>193</v>
      </c>
      <c r="B357" s="88"/>
      <c r="C357" s="16">
        <v>46155</v>
      </c>
      <c r="D357" s="79">
        <v>0</v>
      </c>
    </row>
    <row r="358" spans="1:4" x14ac:dyDescent="0.3">
      <c r="A358" s="88" t="s">
        <v>214</v>
      </c>
      <c r="B358" s="88"/>
      <c r="C358" s="16">
        <v>46155</v>
      </c>
      <c r="D358" s="79">
        <v>0</v>
      </c>
    </row>
    <row r="359" spans="1:4" x14ac:dyDescent="0.3">
      <c r="A359" s="88" t="s">
        <v>194</v>
      </c>
      <c r="B359" s="88"/>
      <c r="C359" s="16">
        <v>46155</v>
      </c>
      <c r="D359" s="79">
        <v>0</v>
      </c>
    </row>
    <row r="360" spans="1:4" x14ac:dyDescent="0.3">
      <c r="A360" s="88" t="s">
        <v>195</v>
      </c>
      <c r="B360" s="88"/>
      <c r="C360" s="16">
        <v>46155</v>
      </c>
      <c r="D360" s="79">
        <v>0</v>
      </c>
    </row>
    <row r="361" spans="1:4" x14ac:dyDescent="0.3">
      <c r="A361" s="88" t="s">
        <v>196</v>
      </c>
      <c r="B361" s="88"/>
      <c r="C361" s="16">
        <v>46155</v>
      </c>
      <c r="D361" s="79">
        <v>0</v>
      </c>
    </row>
    <row r="362" spans="1:4" x14ac:dyDescent="0.3">
      <c r="A362" s="88" t="s">
        <v>197</v>
      </c>
      <c r="B362" s="88"/>
      <c r="C362" s="16">
        <v>46155</v>
      </c>
      <c r="D362" s="79">
        <v>0</v>
      </c>
    </row>
    <row r="363" spans="1:4" x14ac:dyDescent="0.3">
      <c r="A363" s="88" t="s">
        <v>212</v>
      </c>
      <c r="B363" s="88"/>
      <c r="C363" s="16">
        <v>46155</v>
      </c>
      <c r="D363" s="79">
        <v>0</v>
      </c>
    </row>
    <row r="364" spans="1:4" x14ac:dyDescent="0.3">
      <c r="A364" s="88" t="s">
        <v>199</v>
      </c>
      <c r="B364" s="88"/>
      <c r="C364" s="16">
        <v>46155</v>
      </c>
      <c r="D364" s="79">
        <v>0</v>
      </c>
    </row>
    <row r="365" spans="1:4" x14ac:dyDescent="0.3">
      <c r="A365" s="88" t="s">
        <v>217</v>
      </c>
      <c r="B365" s="88"/>
      <c r="C365" s="16">
        <v>46155</v>
      </c>
      <c r="D365" s="79">
        <v>0</v>
      </c>
    </row>
    <row r="366" spans="1:4" x14ac:dyDescent="0.3">
      <c r="A366" s="88" t="s">
        <v>17</v>
      </c>
      <c r="B366" s="88"/>
      <c r="C366" s="16">
        <v>46156</v>
      </c>
      <c r="D366" s="79">
        <v>165752.81000000023</v>
      </c>
    </row>
    <row r="367" spans="1:4" x14ac:dyDescent="0.3">
      <c r="A367" s="88" t="s">
        <v>18</v>
      </c>
      <c r="B367" s="88"/>
      <c r="C367" s="16">
        <v>46156</v>
      </c>
      <c r="D367" s="79">
        <v>59760.159999999938</v>
      </c>
    </row>
    <row r="368" spans="1:4" x14ac:dyDescent="0.3">
      <c r="A368" s="88" t="s">
        <v>19</v>
      </c>
      <c r="B368" s="88"/>
      <c r="C368" s="16">
        <v>46156</v>
      </c>
      <c r="D368" s="79">
        <v>1669.89</v>
      </c>
    </row>
    <row r="369" spans="1:4" x14ac:dyDescent="0.3">
      <c r="A369" s="88" t="s">
        <v>20</v>
      </c>
      <c r="B369" s="88"/>
      <c r="C369" s="16">
        <v>46156</v>
      </c>
      <c r="D369" s="79">
        <v>832679.66999999981</v>
      </c>
    </row>
    <row r="370" spans="1:4" x14ac:dyDescent="0.3">
      <c r="A370" s="88" t="s">
        <v>21</v>
      </c>
      <c r="B370" s="88"/>
      <c r="C370" s="16">
        <v>46156</v>
      </c>
      <c r="D370" s="79">
        <v>952193.18999999925</v>
      </c>
    </row>
    <row r="371" spans="1:4" x14ac:dyDescent="0.3">
      <c r="A371" s="88" t="s">
        <v>22</v>
      </c>
      <c r="B371" s="88"/>
      <c r="C371" s="16">
        <v>46156</v>
      </c>
      <c r="D371" s="79">
        <v>121511.38</v>
      </c>
    </row>
    <row r="372" spans="1:4" x14ac:dyDescent="0.3">
      <c r="A372" s="88" t="s">
        <v>23</v>
      </c>
      <c r="B372" s="88"/>
      <c r="C372" s="16">
        <v>46156</v>
      </c>
      <c r="D372" s="79">
        <v>13090.369999999997</v>
      </c>
    </row>
    <row r="373" spans="1:4" x14ac:dyDescent="0.3">
      <c r="A373" s="88" t="s">
        <v>24</v>
      </c>
      <c r="B373" s="88"/>
      <c r="C373" s="16">
        <v>46156</v>
      </c>
      <c r="D373" s="79">
        <v>2498.3999999999996</v>
      </c>
    </row>
    <row r="374" spans="1:4" x14ac:dyDescent="0.3">
      <c r="A374" s="88" t="s">
        <v>25</v>
      </c>
      <c r="B374" s="88"/>
      <c r="C374" s="16">
        <v>46156</v>
      </c>
      <c r="D374" s="79">
        <v>114.3</v>
      </c>
    </row>
    <row r="375" spans="1:4" x14ac:dyDescent="0.3">
      <c r="A375" s="88" t="s">
        <v>26</v>
      </c>
      <c r="B375" s="88"/>
      <c r="C375" s="16">
        <v>46156</v>
      </c>
      <c r="D375" s="79">
        <v>2267.7200000000003</v>
      </c>
    </row>
    <row r="376" spans="1:4" x14ac:dyDescent="0.3">
      <c r="A376" s="88" t="s">
        <v>27</v>
      </c>
      <c r="B376" s="88"/>
      <c r="C376" s="16">
        <v>46156</v>
      </c>
      <c r="D376" s="79">
        <v>3349.94</v>
      </c>
    </row>
    <row r="377" spans="1:4" x14ac:dyDescent="0.3">
      <c r="A377" s="88" t="s">
        <v>28</v>
      </c>
      <c r="B377" s="88"/>
      <c r="C377" s="16">
        <v>46156</v>
      </c>
      <c r="D377" s="79">
        <v>1968.99</v>
      </c>
    </row>
    <row r="378" spans="1:4" x14ac:dyDescent="0.3">
      <c r="A378" s="88" t="s">
        <v>29</v>
      </c>
      <c r="B378" s="88"/>
      <c r="C378" s="16">
        <v>46156</v>
      </c>
      <c r="D378" s="79">
        <v>901.34</v>
      </c>
    </row>
    <row r="379" spans="1:4" x14ac:dyDescent="0.3">
      <c r="A379" s="88" t="s">
        <v>30</v>
      </c>
      <c r="B379" s="88"/>
      <c r="C379" s="16">
        <v>46156</v>
      </c>
      <c r="D379" s="79">
        <v>1444.08</v>
      </c>
    </row>
    <row r="380" spans="1:4" x14ac:dyDescent="0.3">
      <c r="A380" s="88" t="s">
        <v>31</v>
      </c>
      <c r="B380" s="88"/>
      <c r="C380" s="16">
        <v>46156</v>
      </c>
      <c r="D380" s="79">
        <v>18242.599999999962</v>
      </c>
    </row>
    <row r="381" spans="1:4" x14ac:dyDescent="0.3">
      <c r="A381" s="88" t="s">
        <v>32</v>
      </c>
      <c r="B381" s="88"/>
      <c r="C381" s="16">
        <v>46156</v>
      </c>
      <c r="D381" s="79">
        <v>15120.060000000001</v>
      </c>
    </row>
    <row r="382" spans="1:4" x14ac:dyDescent="0.3">
      <c r="A382" s="88" t="s">
        <v>33</v>
      </c>
      <c r="B382" s="88"/>
      <c r="C382" s="16">
        <v>46156</v>
      </c>
      <c r="D382" s="79">
        <v>31323.39</v>
      </c>
    </row>
    <row r="383" spans="1:4" x14ac:dyDescent="0.3">
      <c r="A383" s="88" t="s">
        <v>34</v>
      </c>
      <c r="B383" s="88"/>
      <c r="C383" s="16">
        <v>46156</v>
      </c>
      <c r="D383" s="79">
        <v>345</v>
      </c>
    </row>
    <row r="384" spans="1:4" x14ac:dyDescent="0.3">
      <c r="A384" s="88" t="s">
        <v>35</v>
      </c>
      <c r="B384" s="88"/>
      <c r="C384" s="16">
        <v>46156</v>
      </c>
      <c r="D384" s="79">
        <v>14226.59</v>
      </c>
    </row>
    <row r="385" spans="1:4" x14ac:dyDescent="0.3">
      <c r="A385" s="88" t="s">
        <v>193</v>
      </c>
      <c r="B385" s="88"/>
      <c r="C385" s="16">
        <v>46156</v>
      </c>
      <c r="D385" s="79">
        <v>0</v>
      </c>
    </row>
    <row r="386" spans="1:4" x14ac:dyDescent="0.3">
      <c r="A386" s="88" t="s">
        <v>214</v>
      </c>
      <c r="B386" s="88"/>
      <c r="C386" s="16">
        <v>46156</v>
      </c>
      <c r="D386" s="79">
        <v>0</v>
      </c>
    </row>
    <row r="387" spans="1:4" x14ac:dyDescent="0.3">
      <c r="A387" s="88" t="s">
        <v>194</v>
      </c>
      <c r="B387" s="88"/>
      <c r="C387" s="16">
        <v>46156</v>
      </c>
      <c r="D387" s="79">
        <v>0</v>
      </c>
    </row>
    <row r="388" spans="1:4" x14ac:dyDescent="0.3">
      <c r="A388" s="88" t="s">
        <v>195</v>
      </c>
      <c r="B388" s="88"/>
      <c r="C388" s="16">
        <v>46156</v>
      </c>
      <c r="D388" s="79">
        <v>0</v>
      </c>
    </row>
    <row r="389" spans="1:4" x14ac:dyDescent="0.3">
      <c r="A389" s="88" t="s">
        <v>196</v>
      </c>
      <c r="B389" s="88"/>
      <c r="C389" s="16">
        <v>46156</v>
      </c>
      <c r="D389" s="79">
        <v>0</v>
      </c>
    </row>
    <row r="390" spans="1:4" x14ac:dyDescent="0.3">
      <c r="A390" s="88" t="s">
        <v>197</v>
      </c>
      <c r="B390" s="88"/>
      <c r="C390" s="16">
        <v>46156</v>
      </c>
      <c r="D390" s="79">
        <v>0</v>
      </c>
    </row>
    <row r="391" spans="1:4" x14ac:dyDescent="0.3">
      <c r="A391" s="88" t="s">
        <v>212</v>
      </c>
      <c r="B391" s="88"/>
      <c r="C391" s="16">
        <v>46156</v>
      </c>
      <c r="D391" s="79">
        <v>0</v>
      </c>
    </row>
    <row r="392" spans="1:4" x14ac:dyDescent="0.3">
      <c r="A392" s="88" t="s">
        <v>199</v>
      </c>
      <c r="B392" s="88"/>
      <c r="C392" s="16">
        <v>46156</v>
      </c>
      <c r="D392" s="79">
        <v>0</v>
      </c>
    </row>
    <row r="393" spans="1:4" x14ac:dyDescent="0.3">
      <c r="A393" s="88" t="s">
        <v>217</v>
      </c>
      <c r="B393" s="88"/>
      <c r="C393" s="16">
        <v>46156</v>
      </c>
      <c r="D393" s="79">
        <v>0</v>
      </c>
    </row>
    <row r="394" spans="1:4" x14ac:dyDescent="0.3">
      <c r="A394" s="88" t="s">
        <v>17</v>
      </c>
      <c r="B394" s="88"/>
      <c r="C394" s="16">
        <v>46157</v>
      </c>
      <c r="D394" s="79">
        <v>165752.81000000023</v>
      </c>
    </row>
    <row r="395" spans="1:4" x14ac:dyDescent="0.3">
      <c r="A395" s="88" t="s">
        <v>18</v>
      </c>
      <c r="B395" s="88"/>
      <c r="C395" s="16">
        <v>46157</v>
      </c>
      <c r="D395" s="79">
        <v>59760.159999999938</v>
      </c>
    </row>
    <row r="396" spans="1:4" x14ac:dyDescent="0.3">
      <c r="A396" s="88" t="s">
        <v>19</v>
      </c>
      <c r="B396" s="88"/>
      <c r="C396" s="16">
        <v>46157</v>
      </c>
      <c r="D396" s="79">
        <v>1669.89</v>
      </c>
    </row>
    <row r="397" spans="1:4" x14ac:dyDescent="0.3">
      <c r="A397" s="88" t="s">
        <v>20</v>
      </c>
      <c r="B397" s="88"/>
      <c r="C397" s="16">
        <v>46157</v>
      </c>
      <c r="D397" s="79">
        <v>832076.20999999985</v>
      </c>
    </row>
    <row r="398" spans="1:4" x14ac:dyDescent="0.3">
      <c r="A398" s="88" t="s">
        <v>21</v>
      </c>
      <c r="B398" s="88"/>
      <c r="C398" s="16">
        <v>46157</v>
      </c>
      <c r="D398" s="79">
        <v>952163.77999999933</v>
      </c>
    </row>
    <row r="399" spans="1:4" x14ac:dyDescent="0.3">
      <c r="A399" s="88" t="s">
        <v>22</v>
      </c>
      <c r="B399" s="88"/>
      <c r="C399" s="16">
        <v>46157</v>
      </c>
      <c r="D399" s="79">
        <v>121511.38</v>
      </c>
    </row>
    <row r="400" spans="1:4" x14ac:dyDescent="0.3">
      <c r="A400" s="88" t="s">
        <v>23</v>
      </c>
      <c r="B400" s="88"/>
      <c r="C400" s="16">
        <v>46157</v>
      </c>
      <c r="D400" s="79">
        <v>13090.369999999997</v>
      </c>
    </row>
    <row r="401" spans="1:4" x14ac:dyDescent="0.3">
      <c r="A401" s="88" t="s">
        <v>24</v>
      </c>
      <c r="B401" s="88"/>
      <c r="C401" s="16">
        <v>46157</v>
      </c>
      <c r="D401" s="79">
        <v>2498.3999999999996</v>
      </c>
    </row>
    <row r="402" spans="1:4" x14ac:dyDescent="0.3">
      <c r="A402" s="88" t="s">
        <v>25</v>
      </c>
      <c r="B402" s="88"/>
      <c r="C402" s="16">
        <v>46157</v>
      </c>
      <c r="D402" s="79">
        <v>114.3</v>
      </c>
    </row>
    <row r="403" spans="1:4" x14ac:dyDescent="0.3">
      <c r="A403" s="88" t="s">
        <v>26</v>
      </c>
      <c r="B403" s="88"/>
      <c r="C403" s="16">
        <v>46157</v>
      </c>
      <c r="D403" s="79">
        <v>2267.7200000000003</v>
      </c>
    </row>
    <row r="404" spans="1:4" x14ac:dyDescent="0.3">
      <c r="A404" s="88" t="s">
        <v>27</v>
      </c>
      <c r="B404" s="88"/>
      <c r="C404" s="16">
        <v>46157</v>
      </c>
      <c r="D404" s="79">
        <v>3349.94</v>
      </c>
    </row>
    <row r="405" spans="1:4" x14ac:dyDescent="0.3">
      <c r="A405" s="88" t="s">
        <v>28</v>
      </c>
      <c r="B405" s="88"/>
      <c r="C405" s="16">
        <v>46157</v>
      </c>
      <c r="D405" s="79">
        <v>1968.99</v>
      </c>
    </row>
    <row r="406" spans="1:4" x14ac:dyDescent="0.3">
      <c r="A406" s="88" t="s">
        <v>29</v>
      </c>
      <c r="B406" s="88"/>
      <c r="C406" s="16">
        <v>46157</v>
      </c>
      <c r="D406" s="79">
        <v>901.34</v>
      </c>
    </row>
    <row r="407" spans="1:4" x14ac:dyDescent="0.3">
      <c r="A407" s="88" t="s">
        <v>30</v>
      </c>
      <c r="B407" s="88"/>
      <c r="C407" s="16">
        <v>46157</v>
      </c>
      <c r="D407" s="79">
        <v>1444.08</v>
      </c>
    </row>
    <row r="408" spans="1:4" x14ac:dyDescent="0.3">
      <c r="A408" s="88" t="s">
        <v>31</v>
      </c>
      <c r="B408" s="88"/>
      <c r="C408" s="16">
        <v>46157</v>
      </c>
      <c r="D408" s="79">
        <v>18242.599999999962</v>
      </c>
    </row>
    <row r="409" spans="1:4" x14ac:dyDescent="0.3">
      <c r="A409" s="88" t="s">
        <v>32</v>
      </c>
      <c r="B409" s="88"/>
      <c r="C409" s="16">
        <v>46157</v>
      </c>
      <c r="D409" s="79">
        <v>15120.060000000001</v>
      </c>
    </row>
    <row r="410" spans="1:4" x14ac:dyDescent="0.3">
      <c r="A410" s="88" t="s">
        <v>33</v>
      </c>
      <c r="B410" s="88"/>
      <c r="C410" s="16">
        <v>46157</v>
      </c>
      <c r="D410" s="79">
        <v>27011.27</v>
      </c>
    </row>
    <row r="411" spans="1:4" x14ac:dyDescent="0.3">
      <c r="A411" s="88" t="s">
        <v>34</v>
      </c>
      <c r="B411" s="88"/>
      <c r="C411" s="16">
        <v>46157</v>
      </c>
      <c r="D411" s="79">
        <v>345</v>
      </c>
    </row>
    <row r="412" spans="1:4" x14ac:dyDescent="0.3">
      <c r="A412" s="88" t="s">
        <v>35</v>
      </c>
      <c r="B412" s="88"/>
      <c r="C412" s="16">
        <v>46157</v>
      </c>
      <c r="D412" s="79">
        <v>14176.59</v>
      </c>
    </row>
    <row r="413" spans="1:4" x14ac:dyDescent="0.3">
      <c r="A413" s="88" t="s">
        <v>193</v>
      </c>
      <c r="B413" s="88"/>
      <c r="C413" s="16">
        <v>46157</v>
      </c>
      <c r="D413" s="79">
        <v>0</v>
      </c>
    </row>
    <row r="414" spans="1:4" x14ac:dyDescent="0.3">
      <c r="A414" s="88" t="s">
        <v>214</v>
      </c>
      <c r="B414" s="88"/>
      <c r="C414" s="16">
        <v>46157</v>
      </c>
      <c r="D414" s="79">
        <v>0</v>
      </c>
    </row>
    <row r="415" spans="1:4" x14ac:dyDescent="0.3">
      <c r="A415" s="88" t="s">
        <v>194</v>
      </c>
      <c r="B415" s="88"/>
      <c r="C415" s="16">
        <v>46157</v>
      </c>
      <c r="D415" s="79">
        <v>0</v>
      </c>
    </row>
    <row r="416" spans="1:4" x14ac:dyDescent="0.3">
      <c r="A416" s="88" t="s">
        <v>195</v>
      </c>
      <c r="B416" s="88"/>
      <c r="C416" s="16">
        <v>46157</v>
      </c>
      <c r="D416" s="79">
        <v>0</v>
      </c>
    </row>
    <row r="417" spans="1:4" x14ac:dyDescent="0.3">
      <c r="A417" s="88" t="s">
        <v>196</v>
      </c>
      <c r="B417" s="88"/>
      <c r="C417" s="16">
        <v>46157</v>
      </c>
      <c r="D417" s="79">
        <v>0</v>
      </c>
    </row>
    <row r="418" spans="1:4" x14ac:dyDescent="0.3">
      <c r="A418" s="88" t="s">
        <v>197</v>
      </c>
      <c r="B418" s="88"/>
      <c r="C418" s="16">
        <v>46157</v>
      </c>
      <c r="D418" s="79">
        <v>0</v>
      </c>
    </row>
    <row r="419" spans="1:4" x14ac:dyDescent="0.3">
      <c r="A419" s="88" t="s">
        <v>212</v>
      </c>
      <c r="B419" s="88"/>
      <c r="C419" s="16">
        <v>46157</v>
      </c>
      <c r="D419" s="79">
        <v>0</v>
      </c>
    </row>
    <row r="420" spans="1:4" x14ac:dyDescent="0.3">
      <c r="A420" s="88" t="s">
        <v>199</v>
      </c>
      <c r="B420" s="88"/>
      <c r="C420" s="16">
        <v>46157</v>
      </c>
      <c r="D420" s="79">
        <v>0</v>
      </c>
    </row>
    <row r="421" spans="1:4" x14ac:dyDescent="0.3">
      <c r="A421" s="88" t="s">
        <v>217</v>
      </c>
      <c r="B421" s="88"/>
      <c r="C421" s="16">
        <v>46157</v>
      </c>
      <c r="D421" s="79">
        <v>0</v>
      </c>
    </row>
    <row r="422" spans="1:4" x14ac:dyDescent="0.3">
      <c r="A422" s="88" t="s">
        <v>17</v>
      </c>
      <c r="B422" s="88"/>
      <c r="C422" s="16">
        <v>46158</v>
      </c>
      <c r="D422" s="79">
        <v>165752.81000000023</v>
      </c>
    </row>
    <row r="423" spans="1:4" x14ac:dyDescent="0.3">
      <c r="A423" s="88" t="s">
        <v>18</v>
      </c>
      <c r="B423" s="88"/>
      <c r="C423" s="16">
        <v>46158</v>
      </c>
      <c r="D423" s="79">
        <v>59760.159999999938</v>
      </c>
    </row>
    <row r="424" spans="1:4" x14ac:dyDescent="0.3">
      <c r="A424" s="88" t="s">
        <v>19</v>
      </c>
      <c r="B424" s="88"/>
      <c r="C424" s="16">
        <v>46158</v>
      </c>
      <c r="D424" s="79">
        <v>1669.89</v>
      </c>
    </row>
    <row r="425" spans="1:4" x14ac:dyDescent="0.3">
      <c r="A425" s="88" t="s">
        <v>20</v>
      </c>
      <c r="B425" s="88"/>
      <c r="C425" s="16">
        <v>46158</v>
      </c>
      <c r="D425" s="79">
        <v>832076.20999999985</v>
      </c>
    </row>
    <row r="426" spans="1:4" x14ac:dyDescent="0.3">
      <c r="A426" s="88" t="s">
        <v>21</v>
      </c>
      <c r="B426" s="88"/>
      <c r="C426" s="16">
        <v>46158</v>
      </c>
      <c r="D426" s="79">
        <v>952163.77999999933</v>
      </c>
    </row>
    <row r="427" spans="1:4" x14ac:dyDescent="0.3">
      <c r="A427" s="88" t="s">
        <v>22</v>
      </c>
      <c r="B427" s="88"/>
      <c r="C427" s="16">
        <v>46158</v>
      </c>
      <c r="D427" s="79">
        <v>121511.38</v>
      </c>
    </row>
    <row r="428" spans="1:4" x14ac:dyDescent="0.3">
      <c r="A428" s="88" t="s">
        <v>23</v>
      </c>
      <c r="B428" s="88"/>
      <c r="C428" s="16">
        <v>46158</v>
      </c>
      <c r="D428" s="79">
        <v>13090.369999999997</v>
      </c>
    </row>
    <row r="429" spans="1:4" x14ac:dyDescent="0.3">
      <c r="A429" s="88" t="s">
        <v>24</v>
      </c>
      <c r="B429" s="88"/>
      <c r="C429" s="16">
        <v>46158</v>
      </c>
      <c r="D429" s="79">
        <v>2498.3999999999996</v>
      </c>
    </row>
    <row r="430" spans="1:4" x14ac:dyDescent="0.3">
      <c r="A430" s="88" t="s">
        <v>25</v>
      </c>
      <c r="B430" s="88"/>
      <c r="C430" s="16">
        <v>46158</v>
      </c>
      <c r="D430" s="79">
        <v>114.3</v>
      </c>
    </row>
    <row r="431" spans="1:4" x14ac:dyDescent="0.3">
      <c r="A431" s="88" t="s">
        <v>26</v>
      </c>
      <c r="B431" s="88"/>
      <c r="C431" s="16">
        <v>46158</v>
      </c>
      <c r="D431" s="79">
        <v>2267.7200000000003</v>
      </c>
    </row>
    <row r="432" spans="1:4" x14ac:dyDescent="0.3">
      <c r="A432" s="88" t="s">
        <v>27</v>
      </c>
      <c r="B432" s="88"/>
      <c r="C432" s="16">
        <v>46158</v>
      </c>
      <c r="D432" s="79">
        <v>3349.94</v>
      </c>
    </row>
    <row r="433" spans="1:4" x14ac:dyDescent="0.3">
      <c r="A433" s="88" t="s">
        <v>28</v>
      </c>
      <c r="B433" s="88"/>
      <c r="C433" s="16">
        <v>46158</v>
      </c>
      <c r="D433" s="79">
        <v>1968.99</v>
      </c>
    </row>
    <row r="434" spans="1:4" x14ac:dyDescent="0.3">
      <c r="A434" s="88" t="s">
        <v>29</v>
      </c>
      <c r="B434" s="88"/>
      <c r="C434" s="16">
        <v>46158</v>
      </c>
      <c r="D434" s="79">
        <v>901.34</v>
      </c>
    </row>
    <row r="435" spans="1:4" x14ac:dyDescent="0.3">
      <c r="A435" s="88" t="s">
        <v>30</v>
      </c>
      <c r="B435" s="88"/>
      <c r="C435" s="16">
        <v>46158</v>
      </c>
      <c r="D435" s="79">
        <v>1444.08</v>
      </c>
    </row>
    <row r="436" spans="1:4" x14ac:dyDescent="0.3">
      <c r="A436" s="88" t="s">
        <v>31</v>
      </c>
      <c r="B436" s="88"/>
      <c r="C436" s="16">
        <v>46158</v>
      </c>
      <c r="D436" s="79">
        <v>18242.599999999962</v>
      </c>
    </row>
    <row r="437" spans="1:4" x14ac:dyDescent="0.3">
      <c r="A437" s="88" t="s">
        <v>32</v>
      </c>
      <c r="B437" s="88"/>
      <c r="C437" s="16">
        <v>46158</v>
      </c>
      <c r="D437" s="79">
        <v>15120.060000000001</v>
      </c>
    </row>
    <row r="438" spans="1:4" x14ac:dyDescent="0.3">
      <c r="A438" s="88" t="s">
        <v>33</v>
      </c>
      <c r="B438" s="88"/>
      <c r="C438" s="16">
        <v>46158</v>
      </c>
      <c r="D438" s="79">
        <v>27011.27</v>
      </c>
    </row>
    <row r="439" spans="1:4" x14ac:dyDescent="0.3">
      <c r="A439" s="88" t="s">
        <v>34</v>
      </c>
      <c r="B439" s="88"/>
      <c r="C439" s="16">
        <v>46158</v>
      </c>
      <c r="D439" s="79">
        <v>345</v>
      </c>
    </row>
    <row r="440" spans="1:4" x14ac:dyDescent="0.3">
      <c r="A440" s="88" t="s">
        <v>35</v>
      </c>
      <c r="B440" s="88"/>
      <c r="C440" s="16">
        <v>46158</v>
      </c>
      <c r="D440" s="79">
        <v>14176.59</v>
      </c>
    </row>
    <row r="441" spans="1:4" x14ac:dyDescent="0.3">
      <c r="A441" s="88" t="s">
        <v>193</v>
      </c>
      <c r="B441" s="88"/>
      <c r="C441" s="16">
        <v>46158</v>
      </c>
      <c r="D441" s="79">
        <v>0</v>
      </c>
    </row>
    <row r="442" spans="1:4" x14ac:dyDescent="0.3">
      <c r="A442" s="88" t="s">
        <v>214</v>
      </c>
      <c r="B442" s="88"/>
      <c r="C442" s="16">
        <v>46158</v>
      </c>
      <c r="D442" s="79">
        <v>0</v>
      </c>
    </row>
    <row r="443" spans="1:4" x14ac:dyDescent="0.3">
      <c r="A443" s="88" t="s">
        <v>194</v>
      </c>
      <c r="B443" s="88"/>
      <c r="C443" s="16">
        <v>46158</v>
      </c>
      <c r="D443" s="79">
        <v>0</v>
      </c>
    </row>
    <row r="444" spans="1:4" x14ac:dyDescent="0.3">
      <c r="A444" s="88" t="s">
        <v>195</v>
      </c>
      <c r="B444" s="88"/>
      <c r="C444" s="16">
        <v>46158</v>
      </c>
      <c r="D444" s="79">
        <v>0</v>
      </c>
    </row>
    <row r="445" spans="1:4" x14ac:dyDescent="0.3">
      <c r="A445" s="88" t="s">
        <v>196</v>
      </c>
      <c r="B445" s="88"/>
      <c r="C445" s="16">
        <v>46158</v>
      </c>
      <c r="D445" s="79">
        <v>0</v>
      </c>
    </row>
    <row r="446" spans="1:4" x14ac:dyDescent="0.3">
      <c r="A446" s="88" t="s">
        <v>197</v>
      </c>
      <c r="B446" s="88"/>
      <c r="C446" s="16">
        <v>46158</v>
      </c>
      <c r="D446" s="79">
        <v>0</v>
      </c>
    </row>
    <row r="447" spans="1:4" x14ac:dyDescent="0.3">
      <c r="A447" s="88" t="s">
        <v>212</v>
      </c>
      <c r="B447" s="88"/>
      <c r="C447" s="16">
        <v>46158</v>
      </c>
      <c r="D447" s="79">
        <v>0</v>
      </c>
    </row>
    <row r="448" spans="1:4" x14ac:dyDescent="0.3">
      <c r="A448" s="88" t="s">
        <v>199</v>
      </c>
      <c r="B448" s="88"/>
      <c r="C448" s="16">
        <v>46158</v>
      </c>
      <c r="D448" s="79">
        <v>0</v>
      </c>
    </row>
    <row r="449" spans="1:4" x14ac:dyDescent="0.3">
      <c r="A449" s="88" t="s">
        <v>217</v>
      </c>
      <c r="B449" s="88"/>
      <c r="C449" s="16">
        <v>46158</v>
      </c>
      <c r="D449" s="79">
        <v>0</v>
      </c>
    </row>
    <row r="450" spans="1:4" x14ac:dyDescent="0.3">
      <c r="A450" s="88" t="s">
        <v>17</v>
      </c>
      <c r="B450" s="88"/>
      <c r="C450" s="16">
        <v>46159</v>
      </c>
      <c r="D450" s="79">
        <v>165752.81000000023</v>
      </c>
    </row>
    <row r="451" spans="1:4" x14ac:dyDescent="0.3">
      <c r="A451" s="88" t="s">
        <v>18</v>
      </c>
      <c r="B451" s="88"/>
      <c r="C451" s="16">
        <v>46159</v>
      </c>
      <c r="D451" s="79">
        <v>59760.159999999938</v>
      </c>
    </row>
    <row r="452" spans="1:4" x14ac:dyDescent="0.3">
      <c r="A452" s="88" t="s">
        <v>19</v>
      </c>
      <c r="B452" s="88"/>
      <c r="C452" s="16">
        <v>46159</v>
      </c>
      <c r="D452" s="79">
        <v>1669.89</v>
      </c>
    </row>
    <row r="453" spans="1:4" x14ac:dyDescent="0.3">
      <c r="A453" s="88" t="s">
        <v>20</v>
      </c>
      <c r="B453" s="88"/>
      <c r="C453" s="16">
        <v>46159</v>
      </c>
      <c r="D453" s="79">
        <v>832076.20999999985</v>
      </c>
    </row>
    <row r="454" spans="1:4" x14ac:dyDescent="0.3">
      <c r="A454" s="88" t="s">
        <v>21</v>
      </c>
      <c r="B454" s="88"/>
      <c r="C454" s="16">
        <v>46159</v>
      </c>
      <c r="D454" s="79">
        <v>952163.77999999933</v>
      </c>
    </row>
    <row r="455" spans="1:4" x14ac:dyDescent="0.3">
      <c r="A455" s="88" t="s">
        <v>22</v>
      </c>
      <c r="B455" s="88"/>
      <c r="C455" s="16">
        <v>46159</v>
      </c>
      <c r="D455" s="79">
        <v>121511.38</v>
      </c>
    </row>
    <row r="456" spans="1:4" x14ac:dyDescent="0.3">
      <c r="A456" s="88" t="s">
        <v>23</v>
      </c>
      <c r="B456" s="88"/>
      <c r="C456" s="16">
        <v>46159</v>
      </c>
      <c r="D456" s="79">
        <v>13090.369999999997</v>
      </c>
    </row>
    <row r="457" spans="1:4" x14ac:dyDescent="0.3">
      <c r="A457" s="88" t="s">
        <v>24</v>
      </c>
      <c r="B457" s="88"/>
      <c r="C457" s="16">
        <v>46159</v>
      </c>
      <c r="D457" s="79">
        <v>2498.3999999999996</v>
      </c>
    </row>
    <row r="458" spans="1:4" x14ac:dyDescent="0.3">
      <c r="A458" s="88" t="s">
        <v>25</v>
      </c>
      <c r="B458" s="88"/>
      <c r="C458" s="16">
        <v>46159</v>
      </c>
      <c r="D458" s="79">
        <v>114.3</v>
      </c>
    </row>
    <row r="459" spans="1:4" x14ac:dyDescent="0.3">
      <c r="A459" s="88" t="s">
        <v>26</v>
      </c>
      <c r="B459" s="88"/>
      <c r="C459" s="16">
        <v>46159</v>
      </c>
      <c r="D459" s="79">
        <v>2267.7200000000003</v>
      </c>
    </row>
    <row r="460" spans="1:4" x14ac:dyDescent="0.3">
      <c r="A460" s="88" t="s">
        <v>27</v>
      </c>
      <c r="B460" s="88"/>
      <c r="C460" s="16">
        <v>46159</v>
      </c>
      <c r="D460" s="79">
        <v>3349.94</v>
      </c>
    </row>
    <row r="461" spans="1:4" x14ac:dyDescent="0.3">
      <c r="A461" s="88" t="s">
        <v>28</v>
      </c>
      <c r="B461" s="88"/>
      <c r="C461" s="16">
        <v>46159</v>
      </c>
      <c r="D461" s="79">
        <v>1968.99</v>
      </c>
    </row>
    <row r="462" spans="1:4" x14ac:dyDescent="0.3">
      <c r="A462" s="88" t="s">
        <v>29</v>
      </c>
      <c r="B462" s="88"/>
      <c r="C462" s="16">
        <v>46159</v>
      </c>
      <c r="D462" s="79">
        <v>901.34</v>
      </c>
    </row>
    <row r="463" spans="1:4" x14ac:dyDescent="0.3">
      <c r="A463" s="88" t="s">
        <v>30</v>
      </c>
      <c r="B463" s="88"/>
      <c r="C463" s="16">
        <v>46159</v>
      </c>
      <c r="D463" s="79">
        <v>1444.08</v>
      </c>
    </row>
    <row r="464" spans="1:4" x14ac:dyDescent="0.3">
      <c r="A464" s="88" t="s">
        <v>31</v>
      </c>
      <c r="B464" s="88"/>
      <c r="C464" s="16">
        <v>46159</v>
      </c>
      <c r="D464" s="79">
        <v>18242.599999999962</v>
      </c>
    </row>
    <row r="465" spans="1:4" x14ac:dyDescent="0.3">
      <c r="A465" s="88" t="s">
        <v>32</v>
      </c>
      <c r="B465" s="88"/>
      <c r="C465" s="16">
        <v>46159</v>
      </c>
      <c r="D465" s="79">
        <v>15120.060000000001</v>
      </c>
    </row>
    <row r="466" spans="1:4" x14ac:dyDescent="0.3">
      <c r="A466" s="88" t="s">
        <v>33</v>
      </c>
      <c r="B466" s="88"/>
      <c r="C466" s="16">
        <v>46159</v>
      </c>
      <c r="D466" s="79">
        <v>27011.27</v>
      </c>
    </row>
    <row r="467" spans="1:4" x14ac:dyDescent="0.3">
      <c r="A467" s="88" t="s">
        <v>34</v>
      </c>
      <c r="B467" s="88"/>
      <c r="C467" s="16">
        <v>46159</v>
      </c>
      <c r="D467" s="79">
        <v>345</v>
      </c>
    </row>
    <row r="468" spans="1:4" x14ac:dyDescent="0.3">
      <c r="A468" s="88" t="s">
        <v>35</v>
      </c>
      <c r="B468" s="88"/>
      <c r="C468" s="16">
        <v>46159</v>
      </c>
      <c r="D468" s="79">
        <v>14176.59</v>
      </c>
    </row>
    <row r="469" spans="1:4" x14ac:dyDescent="0.3">
      <c r="A469" s="88" t="s">
        <v>193</v>
      </c>
      <c r="B469" s="88"/>
      <c r="C469" s="16">
        <v>46159</v>
      </c>
      <c r="D469" s="79">
        <v>0</v>
      </c>
    </row>
    <row r="470" spans="1:4" x14ac:dyDescent="0.3">
      <c r="A470" s="88" t="s">
        <v>214</v>
      </c>
      <c r="B470" s="88"/>
      <c r="C470" s="16">
        <v>46159</v>
      </c>
      <c r="D470" s="79">
        <v>0</v>
      </c>
    </row>
    <row r="471" spans="1:4" x14ac:dyDescent="0.3">
      <c r="A471" s="88" t="s">
        <v>194</v>
      </c>
      <c r="B471" s="88"/>
      <c r="C471" s="16">
        <v>46159</v>
      </c>
      <c r="D471" s="79">
        <v>0</v>
      </c>
    </row>
    <row r="472" spans="1:4" x14ac:dyDescent="0.3">
      <c r="A472" s="88" t="s">
        <v>195</v>
      </c>
      <c r="B472" s="88"/>
      <c r="C472" s="16">
        <v>46159</v>
      </c>
      <c r="D472" s="79">
        <v>0</v>
      </c>
    </row>
    <row r="473" spans="1:4" x14ac:dyDescent="0.3">
      <c r="A473" s="88" t="s">
        <v>196</v>
      </c>
      <c r="B473" s="88"/>
      <c r="C473" s="16">
        <v>46159</v>
      </c>
      <c r="D473" s="79">
        <v>0</v>
      </c>
    </row>
    <row r="474" spans="1:4" x14ac:dyDescent="0.3">
      <c r="A474" s="88" t="s">
        <v>197</v>
      </c>
      <c r="B474" s="88"/>
      <c r="C474" s="16">
        <v>46159</v>
      </c>
      <c r="D474" s="79">
        <v>0</v>
      </c>
    </row>
    <row r="475" spans="1:4" x14ac:dyDescent="0.3">
      <c r="A475" s="88" t="s">
        <v>212</v>
      </c>
      <c r="B475" s="88"/>
      <c r="C475" s="16">
        <v>46159</v>
      </c>
      <c r="D475" s="79">
        <v>0</v>
      </c>
    </row>
    <row r="476" spans="1:4" x14ac:dyDescent="0.3">
      <c r="A476" s="88" t="s">
        <v>199</v>
      </c>
      <c r="B476" s="88"/>
      <c r="C476" s="16">
        <v>46159</v>
      </c>
      <c r="D476" s="79">
        <v>0</v>
      </c>
    </row>
    <row r="477" spans="1:4" x14ac:dyDescent="0.3">
      <c r="A477" s="88" t="s">
        <v>217</v>
      </c>
      <c r="B477" s="88"/>
      <c r="C477" s="16">
        <v>46159</v>
      </c>
      <c r="D477" s="79">
        <v>0</v>
      </c>
    </row>
    <row r="478" spans="1:4" x14ac:dyDescent="0.3">
      <c r="A478" s="88" t="s">
        <v>17</v>
      </c>
      <c r="B478" s="88"/>
      <c r="C478" s="16">
        <v>46160</v>
      </c>
      <c r="D478" s="79">
        <v>165752.81000000023</v>
      </c>
    </row>
    <row r="479" spans="1:4" x14ac:dyDescent="0.3">
      <c r="A479" s="88" t="s">
        <v>18</v>
      </c>
      <c r="B479" s="88"/>
      <c r="C479" s="16">
        <v>46160</v>
      </c>
      <c r="D479" s="79">
        <v>59760.159999999938</v>
      </c>
    </row>
    <row r="480" spans="1:4" x14ac:dyDescent="0.3">
      <c r="A480" s="88" t="s">
        <v>19</v>
      </c>
      <c r="B480" s="88"/>
      <c r="C480" s="16">
        <v>46160</v>
      </c>
      <c r="D480" s="79">
        <v>1669.89</v>
      </c>
    </row>
    <row r="481" spans="1:4" x14ac:dyDescent="0.3">
      <c r="A481" s="88" t="s">
        <v>20</v>
      </c>
      <c r="B481" s="88"/>
      <c r="C481" s="16">
        <v>46160</v>
      </c>
      <c r="D481" s="79">
        <v>832076.20999999985</v>
      </c>
    </row>
    <row r="482" spans="1:4" x14ac:dyDescent="0.3">
      <c r="A482" s="88" t="s">
        <v>21</v>
      </c>
      <c r="B482" s="88"/>
      <c r="C482" s="16">
        <v>46160</v>
      </c>
      <c r="D482" s="79">
        <v>928713.30999999924</v>
      </c>
    </row>
    <row r="483" spans="1:4" x14ac:dyDescent="0.3">
      <c r="A483" s="88" t="s">
        <v>22</v>
      </c>
      <c r="B483" s="88"/>
      <c r="C483" s="16">
        <v>46160</v>
      </c>
      <c r="D483" s="79">
        <v>121511.38</v>
      </c>
    </row>
    <row r="484" spans="1:4" x14ac:dyDescent="0.3">
      <c r="A484" s="88" t="s">
        <v>23</v>
      </c>
      <c r="B484" s="88"/>
      <c r="C484" s="16">
        <v>46160</v>
      </c>
      <c r="D484" s="79">
        <v>13090.369999999997</v>
      </c>
    </row>
    <row r="485" spans="1:4" x14ac:dyDescent="0.3">
      <c r="A485" s="88" t="s">
        <v>24</v>
      </c>
      <c r="B485" s="88"/>
      <c r="C485" s="16">
        <v>46160</v>
      </c>
      <c r="D485" s="79">
        <v>2498.3999999999996</v>
      </c>
    </row>
    <row r="486" spans="1:4" x14ac:dyDescent="0.3">
      <c r="A486" s="88" t="s">
        <v>25</v>
      </c>
      <c r="B486" s="88"/>
      <c r="C486" s="16">
        <v>46160</v>
      </c>
      <c r="D486" s="79">
        <v>114.3</v>
      </c>
    </row>
    <row r="487" spans="1:4" x14ac:dyDescent="0.3">
      <c r="A487" s="88" t="s">
        <v>26</v>
      </c>
      <c r="B487" s="88"/>
      <c r="C487" s="16">
        <v>46160</v>
      </c>
      <c r="D487" s="79">
        <v>2267.7200000000003</v>
      </c>
    </row>
    <row r="488" spans="1:4" x14ac:dyDescent="0.3">
      <c r="A488" s="88" t="s">
        <v>27</v>
      </c>
      <c r="B488" s="88"/>
      <c r="C488" s="16">
        <v>46160</v>
      </c>
      <c r="D488" s="79">
        <v>3349.94</v>
      </c>
    </row>
    <row r="489" spans="1:4" x14ac:dyDescent="0.3">
      <c r="A489" s="88" t="s">
        <v>28</v>
      </c>
      <c r="B489" s="88"/>
      <c r="C489" s="16">
        <v>46160</v>
      </c>
      <c r="D489" s="79">
        <v>1968.99</v>
      </c>
    </row>
    <row r="490" spans="1:4" x14ac:dyDescent="0.3">
      <c r="A490" s="88" t="s">
        <v>29</v>
      </c>
      <c r="B490" s="88"/>
      <c r="C490" s="16">
        <v>46160</v>
      </c>
      <c r="D490" s="79">
        <v>901.34</v>
      </c>
    </row>
    <row r="491" spans="1:4" x14ac:dyDescent="0.3">
      <c r="A491" s="88" t="s">
        <v>30</v>
      </c>
      <c r="B491" s="88"/>
      <c r="C491" s="16">
        <v>46160</v>
      </c>
      <c r="D491" s="79">
        <v>1444.08</v>
      </c>
    </row>
    <row r="492" spans="1:4" x14ac:dyDescent="0.3">
      <c r="A492" s="88" t="s">
        <v>31</v>
      </c>
      <c r="B492" s="88"/>
      <c r="C492" s="16">
        <v>46160</v>
      </c>
      <c r="D492" s="79">
        <v>15463.59999999996</v>
      </c>
    </row>
    <row r="493" spans="1:4" x14ac:dyDescent="0.3">
      <c r="A493" s="88" t="s">
        <v>32</v>
      </c>
      <c r="B493" s="88"/>
      <c r="C493" s="16">
        <v>46160</v>
      </c>
      <c r="D493" s="79">
        <v>15120.060000000001</v>
      </c>
    </row>
    <row r="494" spans="1:4" x14ac:dyDescent="0.3">
      <c r="A494" s="88" t="s">
        <v>33</v>
      </c>
      <c r="B494" s="88"/>
      <c r="C494" s="16">
        <v>46160</v>
      </c>
      <c r="D494" s="79">
        <v>27006.27</v>
      </c>
    </row>
    <row r="495" spans="1:4" x14ac:dyDescent="0.3">
      <c r="A495" s="88" t="s">
        <v>34</v>
      </c>
      <c r="B495" s="88"/>
      <c r="C495" s="16">
        <v>46160</v>
      </c>
      <c r="D495" s="79">
        <v>345</v>
      </c>
    </row>
    <row r="496" spans="1:4" x14ac:dyDescent="0.3">
      <c r="A496" s="88" t="s">
        <v>35</v>
      </c>
      <c r="B496" s="88"/>
      <c r="C496" s="16">
        <v>46160</v>
      </c>
      <c r="D496" s="79">
        <v>13941.210000000001</v>
      </c>
    </row>
    <row r="497" spans="1:4" x14ac:dyDescent="0.3">
      <c r="A497" s="88" t="s">
        <v>193</v>
      </c>
      <c r="B497" s="88"/>
      <c r="C497" s="16">
        <v>46160</v>
      </c>
      <c r="D497" s="79">
        <v>0</v>
      </c>
    </row>
    <row r="498" spans="1:4" x14ac:dyDescent="0.3">
      <c r="A498" s="88" t="s">
        <v>214</v>
      </c>
      <c r="B498" s="88"/>
      <c r="C498" s="16">
        <v>46160</v>
      </c>
      <c r="D498" s="79">
        <v>0</v>
      </c>
    </row>
    <row r="499" spans="1:4" x14ac:dyDescent="0.3">
      <c r="A499" s="88" t="s">
        <v>194</v>
      </c>
      <c r="B499" s="88"/>
      <c r="C499" s="16">
        <v>46160</v>
      </c>
      <c r="D499" s="79">
        <v>0</v>
      </c>
    </row>
    <row r="500" spans="1:4" x14ac:dyDescent="0.3">
      <c r="A500" s="88" t="s">
        <v>195</v>
      </c>
      <c r="B500" s="88"/>
      <c r="C500" s="16">
        <v>46160</v>
      </c>
      <c r="D500" s="79">
        <v>0</v>
      </c>
    </row>
    <row r="501" spans="1:4" x14ac:dyDescent="0.3">
      <c r="A501" s="88" t="s">
        <v>196</v>
      </c>
      <c r="B501" s="88"/>
      <c r="C501" s="16">
        <v>46160</v>
      </c>
      <c r="D501" s="79">
        <v>0</v>
      </c>
    </row>
    <row r="502" spans="1:4" x14ac:dyDescent="0.3">
      <c r="A502" s="88" t="s">
        <v>197</v>
      </c>
      <c r="B502" s="88"/>
      <c r="C502" s="16">
        <v>46160</v>
      </c>
      <c r="D502" s="79">
        <v>0</v>
      </c>
    </row>
    <row r="503" spans="1:4" x14ac:dyDescent="0.3">
      <c r="A503" s="88" t="s">
        <v>212</v>
      </c>
      <c r="B503" s="88"/>
      <c r="C503" s="16">
        <v>46160</v>
      </c>
      <c r="D503" s="79">
        <v>0</v>
      </c>
    </row>
    <row r="504" spans="1:4" x14ac:dyDescent="0.3">
      <c r="A504" s="88" t="s">
        <v>199</v>
      </c>
      <c r="B504" s="88"/>
      <c r="C504" s="16">
        <v>46160</v>
      </c>
      <c r="D504" s="79">
        <v>0</v>
      </c>
    </row>
    <row r="505" spans="1:4" x14ac:dyDescent="0.3">
      <c r="A505" s="88" t="s">
        <v>217</v>
      </c>
      <c r="B505" s="88"/>
      <c r="C505" s="16">
        <v>46160</v>
      </c>
      <c r="D505" s="79">
        <v>0</v>
      </c>
    </row>
    <row r="506" spans="1:4" x14ac:dyDescent="0.3">
      <c r="A506" s="88" t="s">
        <v>17</v>
      </c>
      <c r="B506" s="88"/>
      <c r="C506" s="16">
        <v>46161</v>
      </c>
      <c r="D506" s="79">
        <v>815752.81000000029</v>
      </c>
    </row>
    <row r="507" spans="1:4" x14ac:dyDescent="0.3">
      <c r="A507" s="88" t="s">
        <v>18</v>
      </c>
      <c r="B507" s="88"/>
      <c r="C507" s="16">
        <v>46161</v>
      </c>
      <c r="D507" s="79">
        <v>59760.159999999938</v>
      </c>
    </row>
    <row r="508" spans="1:4" x14ac:dyDescent="0.3">
      <c r="A508" s="88" t="s">
        <v>19</v>
      </c>
      <c r="B508" s="88"/>
      <c r="C508" s="16">
        <v>46161</v>
      </c>
      <c r="D508" s="79">
        <v>1669.89</v>
      </c>
    </row>
    <row r="509" spans="1:4" x14ac:dyDescent="0.3">
      <c r="A509" s="88" t="s">
        <v>20</v>
      </c>
      <c r="B509" s="88"/>
      <c r="C509" s="16">
        <v>46161</v>
      </c>
      <c r="D509" s="79">
        <v>832076.20999999985</v>
      </c>
    </row>
    <row r="510" spans="1:4" x14ac:dyDescent="0.3">
      <c r="A510" s="88" t="s">
        <v>21</v>
      </c>
      <c r="B510" s="88"/>
      <c r="C510" s="16">
        <v>46161</v>
      </c>
      <c r="D510" s="79">
        <v>925592.77999999933</v>
      </c>
    </row>
    <row r="511" spans="1:4" x14ac:dyDescent="0.3">
      <c r="A511" s="88" t="s">
        <v>22</v>
      </c>
      <c r="B511" s="88"/>
      <c r="C511" s="16">
        <v>46161</v>
      </c>
      <c r="D511" s="79">
        <v>91511.38</v>
      </c>
    </row>
    <row r="512" spans="1:4" x14ac:dyDescent="0.3">
      <c r="A512" s="88" t="s">
        <v>23</v>
      </c>
      <c r="B512" s="88"/>
      <c r="C512" s="16">
        <v>46161</v>
      </c>
      <c r="D512" s="79">
        <v>13090.369999999997</v>
      </c>
    </row>
    <row r="513" spans="1:4" x14ac:dyDescent="0.3">
      <c r="A513" s="88" t="s">
        <v>24</v>
      </c>
      <c r="B513" s="88"/>
      <c r="C513" s="16">
        <v>46161</v>
      </c>
      <c r="D513" s="79">
        <v>2498.3999999999996</v>
      </c>
    </row>
    <row r="514" spans="1:4" x14ac:dyDescent="0.3">
      <c r="A514" s="88" t="s">
        <v>25</v>
      </c>
      <c r="B514" s="88"/>
      <c r="C514" s="16">
        <v>46161</v>
      </c>
      <c r="D514" s="79">
        <v>114.3</v>
      </c>
    </row>
    <row r="515" spans="1:4" x14ac:dyDescent="0.3">
      <c r="A515" s="88" t="s">
        <v>26</v>
      </c>
      <c r="B515" s="88"/>
      <c r="C515" s="16">
        <v>46161</v>
      </c>
      <c r="D515" s="79">
        <v>2267.7200000000003</v>
      </c>
    </row>
    <row r="516" spans="1:4" x14ac:dyDescent="0.3">
      <c r="A516" s="88" t="s">
        <v>27</v>
      </c>
      <c r="B516" s="88"/>
      <c r="C516" s="16">
        <v>46161</v>
      </c>
      <c r="D516" s="79">
        <v>3349.94</v>
      </c>
    </row>
    <row r="517" spans="1:4" x14ac:dyDescent="0.3">
      <c r="A517" s="88" t="s">
        <v>28</v>
      </c>
      <c r="B517" s="88"/>
      <c r="C517" s="16">
        <v>46161</v>
      </c>
      <c r="D517" s="79">
        <v>1968.99</v>
      </c>
    </row>
    <row r="518" spans="1:4" x14ac:dyDescent="0.3">
      <c r="A518" s="88" t="s">
        <v>29</v>
      </c>
      <c r="B518" s="88"/>
      <c r="C518" s="16">
        <v>46161</v>
      </c>
      <c r="D518" s="79">
        <v>901.34</v>
      </c>
    </row>
    <row r="519" spans="1:4" x14ac:dyDescent="0.3">
      <c r="A519" s="88" t="s">
        <v>30</v>
      </c>
      <c r="B519" s="88"/>
      <c r="C519" s="16">
        <v>46161</v>
      </c>
      <c r="D519" s="79">
        <v>1444.08</v>
      </c>
    </row>
    <row r="520" spans="1:4" x14ac:dyDescent="0.3">
      <c r="A520" s="88" t="s">
        <v>31</v>
      </c>
      <c r="B520" s="88"/>
      <c r="C520" s="16">
        <v>46161</v>
      </c>
      <c r="D520" s="79">
        <v>15463.59999999996</v>
      </c>
    </row>
    <row r="521" spans="1:4" x14ac:dyDescent="0.3">
      <c r="A521" s="88" t="s">
        <v>32</v>
      </c>
      <c r="B521" s="88"/>
      <c r="C521" s="16">
        <v>46161</v>
      </c>
      <c r="D521" s="79">
        <v>15120.060000000001</v>
      </c>
    </row>
    <row r="522" spans="1:4" x14ac:dyDescent="0.3">
      <c r="A522" s="88" t="s">
        <v>33</v>
      </c>
      <c r="B522" s="88"/>
      <c r="C522" s="16">
        <v>46161</v>
      </c>
      <c r="D522" s="79">
        <v>27006.27</v>
      </c>
    </row>
    <row r="523" spans="1:4" x14ac:dyDescent="0.3">
      <c r="A523" s="88" t="s">
        <v>34</v>
      </c>
      <c r="B523" s="88"/>
      <c r="C523" s="16">
        <v>46161</v>
      </c>
      <c r="D523" s="79">
        <v>345</v>
      </c>
    </row>
    <row r="524" spans="1:4" x14ac:dyDescent="0.3">
      <c r="A524" s="88" t="s">
        <v>35</v>
      </c>
      <c r="B524" s="88"/>
      <c r="C524" s="16">
        <v>46161</v>
      </c>
      <c r="D524" s="79">
        <v>18941.21</v>
      </c>
    </row>
    <row r="525" spans="1:4" x14ac:dyDescent="0.3">
      <c r="A525" s="88" t="s">
        <v>193</v>
      </c>
      <c r="B525" s="88"/>
      <c r="C525" s="16">
        <v>46161</v>
      </c>
      <c r="D525" s="79">
        <v>0</v>
      </c>
    </row>
    <row r="526" spans="1:4" x14ac:dyDescent="0.3">
      <c r="A526" s="88" t="s">
        <v>214</v>
      </c>
      <c r="B526" s="88"/>
      <c r="C526" s="16">
        <v>46161</v>
      </c>
      <c r="D526" s="79">
        <v>0</v>
      </c>
    </row>
    <row r="527" spans="1:4" x14ac:dyDescent="0.3">
      <c r="A527" s="88" t="s">
        <v>194</v>
      </c>
      <c r="B527" s="88"/>
      <c r="C527" s="16">
        <v>46161</v>
      </c>
      <c r="D527" s="79">
        <v>0</v>
      </c>
    </row>
    <row r="528" spans="1:4" x14ac:dyDescent="0.3">
      <c r="A528" s="88" t="s">
        <v>195</v>
      </c>
      <c r="B528" s="88"/>
      <c r="C528" s="16">
        <v>46161</v>
      </c>
      <c r="D528" s="79">
        <v>0</v>
      </c>
    </row>
    <row r="529" spans="1:4" x14ac:dyDescent="0.3">
      <c r="A529" s="88" t="s">
        <v>196</v>
      </c>
      <c r="B529" s="88"/>
      <c r="C529" s="16">
        <v>46161</v>
      </c>
      <c r="D529" s="79">
        <v>0</v>
      </c>
    </row>
    <row r="530" spans="1:4" x14ac:dyDescent="0.3">
      <c r="A530" s="88" t="s">
        <v>197</v>
      </c>
      <c r="B530" s="88"/>
      <c r="C530" s="16">
        <v>46161</v>
      </c>
      <c r="D530" s="79">
        <v>0</v>
      </c>
    </row>
    <row r="531" spans="1:4" x14ac:dyDescent="0.3">
      <c r="A531" s="88" t="s">
        <v>212</v>
      </c>
      <c r="B531" s="88"/>
      <c r="C531" s="16">
        <v>46161</v>
      </c>
      <c r="D531" s="79">
        <v>0</v>
      </c>
    </row>
    <row r="532" spans="1:4" x14ac:dyDescent="0.3">
      <c r="A532" s="88" t="s">
        <v>199</v>
      </c>
      <c r="B532" s="88"/>
      <c r="C532" s="16">
        <v>46161</v>
      </c>
      <c r="D532" s="79">
        <v>0</v>
      </c>
    </row>
    <row r="533" spans="1:4" x14ac:dyDescent="0.3">
      <c r="A533" s="88" t="s">
        <v>217</v>
      </c>
      <c r="B533" s="88"/>
      <c r="C533" s="16">
        <v>46161</v>
      </c>
      <c r="D533" s="79">
        <v>0</v>
      </c>
    </row>
    <row r="534" spans="1:4" x14ac:dyDescent="0.3">
      <c r="A534" s="88" t="s">
        <v>17</v>
      </c>
      <c r="B534" s="88"/>
      <c r="C534" s="16">
        <v>46162</v>
      </c>
      <c r="D534" s="79">
        <v>142321.80000000013</v>
      </c>
    </row>
    <row r="535" spans="1:4" x14ac:dyDescent="0.3">
      <c r="A535" s="88" t="s">
        <v>18</v>
      </c>
      <c r="B535" s="88"/>
      <c r="C535" s="16">
        <v>46162</v>
      </c>
      <c r="D535" s="79">
        <v>59760.159999999938</v>
      </c>
    </row>
    <row r="536" spans="1:4" x14ac:dyDescent="0.3">
      <c r="A536" s="88" t="s">
        <v>19</v>
      </c>
      <c r="B536" s="88"/>
      <c r="C536" s="16">
        <v>46162</v>
      </c>
      <c r="D536" s="79">
        <v>1669.89</v>
      </c>
    </row>
    <row r="537" spans="1:4" x14ac:dyDescent="0.3">
      <c r="A537" s="88" t="s">
        <v>20</v>
      </c>
      <c r="B537" s="88"/>
      <c r="C537" s="16">
        <v>46162</v>
      </c>
      <c r="D537" s="79">
        <v>832076.20999999985</v>
      </c>
    </row>
    <row r="538" spans="1:4" x14ac:dyDescent="0.3">
      <c r="A538" s="88" t="s">
        <v>21</v>
      </c>
      <c r="B538" s="88"/>
      <c r="C538" s="16">
        <v>46162</v>
      </c>
      <c r="D538" s="79">
        <v>981189.87999999931</v>
      </c>
    </row>
    <row r="539" spans="1:4" x14ac:dyDescent="0.3">
      <c r="A539" s="88" t="s">
        <v>22</v>
      </c>
      <c r="B539" s="88"/>
      <c r="C539" s="16">
        <v>46162</v>
      </c>
      <c r="D539" s="79">
        <v>141496.38</v>
      </c>
    </row>
    <row r="540" spans="1:4" x14ac:dyDescent="0.3">
      <c r="A540" s="88" t="s">
        <v>23</v>
      </c>
      <c r="B540" s="88"/>
      <c r="C540" s="16">
        <v>46162</v>
      </c>
      <c r="D540" s="79">
        <v>13090.369999999997</v>
      </c>
    </row>
    <row r="541" spans="1:4" x14ac:dyDescent="0.3">
      <c r="A541" s="88" t="s">
        <v>24</v>
      </c>
      <c r="B541" s="88"/>
      <c r="C541" s="16">
        <v>46162</v>
      </c>
      <c r="D541" s="79">
        <v>2498.3999999999996</v>
      </c>
    </row>
    <row r="542" spans="1:4" x14ac:dyDescent="0.3">
      <c r="A542" s="88" t="s">
        <v>25</v>
      </c>
      <c r="B542" s="88"/>
      <c r="C542" s="16">
        <v>46162</v>
      </c>
      <c r="D542" s="79">
        <v>114.3</v>
      </c>
    </row>
    <row r="543" spans="1:4" x14ac:dyDescent="0.3">
      <c r="A543" s="88" t="s">
        <v>26</v>
      </c>
      <c r="B543" s="88"/>
      <c r="C543" s="16">
        <v>46162</v>
      </c>
      <c r="D543" s="79">
        <v>2267.7200000000003</v>
      </c>
    </row>
    <row r="544" spans="1:4" x14ac:dyDescent="0.3">
      <c r="A544" s="88" t="s">
        <v>27</v>
      </c>
      <c r="B544" s="88"/>
      <c r="C544" s="16">
        <v>46162</v>
      </c>
      <c r="D544" s="79">
        <v>3349.94</v>
      </c>
    </row>
    <row r="545" spans="1:4" x14ac:dyDescent="0.3">
      <c r="A545" s="88" t="s">
        <v>28</v>
      </c>
      <c r="B545" s="88"/>
      <c r="C545" s="16">
        <v>46162</v>
      </c>
      <c r="D545" s="79">
        <v>1968.99</v>
      </c>
    </row>
    <row r="546" spans="1:4" x14ac:dyDescent="0.3">
      <c r="A546" s="88" t="s">
        <v>29</v>
      </c>
      <c r="B546" s="88"/>
      <c r="C546" s="16">
        <v>46162</v>
      </c>
      <c r="D546" s="79">
        <v>901.34</v>
      </c>
    </row>
    <row r="547" spans="1:4" x14ac:dyDescent="0.3">
      <c r="A547" s="88" t="s">
        <v>30</v>
      </c>
      <c r="B547" s="88"/>
      <c r="C547" s="16">
        <v>46162</v>
      </c>
      <c r="D547" s="79">
        <v>1444.08</v>
      </c>
    </row>
    <row r="548" spans="1:4" x14ac:dyDescent="0.3">
      <c r="A548" s="88" t="s">
        <v>31</v>
      </c>
      <c r="B548" s="88"/>
      <c r="C548" s="16">
        <v>46162</v>
      </c>
      <c r="D548" s="79">
        <v>15463.59999999996</v>
      </c>
    </row>
    <row r="549" spans="1:4" x14ac:dyDescent="0.3">
      <c r="A549" s="88" t="s">
        <v>32</v>
      </c>
      <c r="B549" s="88"/>
      <c r="C549" s="16">
        <v>46162</v>
      </c>
      <c r="D549" s="79">
        <v>15120.060000000001</v>
      </c>
    </row>
    <row r="550" spans="1:4" x14ac:dyDescent="0.3">
      <c r="A550" s="88" t="s">
        <v>33</v>
      </c>
      <c r="B550" s="88"/>
      <c r="C550" s="16">
        <v>46162</v>
      </c>
      <c r="D550" s="79">
        <v>29206.27</v>
      </c>
    </row>
    <row r="551" spans="1:4" x14ac:dyDescent="0.3">
      <c r="A551" s="88" t="s">
        <v>34</v>
      </c>
      <c r="B551" s="88"/>
      <c r="C551" s="16">
        <v>46162</v>
      </c>
      <c r="D551" s="79">
        <v>345</v>
      </c>
    </row>
    <row r="552" spans="1:4" x14ac:dyDescent="0.3">
      <c r="A552" s="88" t="s">
        <v>35</v>
      </c>
      <c r="B552" s="88"/>
      <c r="C552" s="16">
        <v>46162</v>
      </c>
      <c r="D552" s="79">
        <v>8168.0700000000006</v>
      </c>
    </row>
    <row r="553" spans="1:4" x14ac:dyDescent="0.3">
      <c r="A553" s="88" t="s">
        <v>193</v>
      </c>
      <c r="B553" s="88"/>
      <c r="C553" s="16">
        <v>46162</v>
      </c>
      <c r="D553" s="79">
        <v>0</v>
      </c>
    </row>
    <row r="554" spans="1:4" x14ac:dyDescent="0.3">
      <c r="A554" s="88" t="s">
        <v>214</v>
      </c>
      <c r="B554" s="88"/>
      <c r="C554" s="16">
        <v>46162</v>
      </c>
      <c r="D554" s="79">
        <v>0</v>
      </c>
    </row>
    <row r="555" spans="1:4" x14ac:dyDescent="0.3">
      <c r="A555" s="88" t="s">
        <v>194</v>
      </c>
      <c r="B555" s="88"/>
      <c r="C555" s="16">
        <v>46162</v>
      </c>
      <c r="D555" s="79">
        <v>0</v>
      </c>
    </row>
    <row r="556" spans="1:4" x14ac:dyDescent="0.3">
      <c r="A556" s="88" t="s">
        <v>195</v>
      </c>
      <c r="B556" s="88"/>
      <c r="C556" s="16">
        <v>46162</v>
      </c>
      <c r="D556" s="79">
        <v>0</v>
      </c>
    </row>
    <row r="557" spans="1:4" x14ac:dyDescent="0.3">
      <c r="A557" s="88" t="s">
        <v>196</v>
      </c>
      <c r="B557" s="88"/>
      <c r="C557" s="16">
        <v>46162</v>
      </c>
      <c r="D557" s="79">
        <v>0</v>
      </c>
    </row>
    <row r="558" spans="1:4" x14ac:dyDescent="0.3">
      <c r="A558" s="88" t="s">
        <v>197</v>
      </c>
      <c r="B558" s="88"/>
      <c r="C558" s="16">
        <v>46162</v>
      </c>
      <c r="D558" s="79">
        <v>0</v>
      </c>
    </row>
    <row r="559" spans="1:4" x14ac:dyDescent="0.3">
      <c r="A559" s="88" t="s">
        <v>212</v>
      </c>
      <c r="B559" s="88"/>
      <c r="C559" s="16">
        <v>46162</v>
      </c>
      <c r="D559" s="79">
        <v>0</v>
      </c>
    </row>
    <row r="560" spans="1:4" x14ac:dyDescent="0.3">
      <c r="A560" s="88" t="s">
        <v>199</v>
      </c>
      <c r="B560" s="88"/>
      <c r="C560" s="16">
        <v>46162</v>
      </c>
      <c r="D560" s="79">
        <v>0</v>
      </c>
    </row>
    <row r="561" spans="1:4" x14ac:dyDescent="0.3">
      <c r="A561" s="88" t="s">
        <v>217</v>
      </c>
      <c r="B561" s="88"/>
      <c r="C561" s="16">
        <v>46162</v>
      </c>
      <c r="D561" s="79">
        <v>0</v>
      </c>
    </row>
    <row r="562" spans="1:4" x14ac:dyDescent="0.3">
      <c r="A562" s="88" t="s">
        <v>17</v>
      </c>
      <c r="B562" s="88"/>
      <c r="C562" s="16">
        <v>46163</v>
      </c>
      <c r="D562" s="79">
        <v>142321.80000000013</v>
      </c>
    </row>
    <row r="563" spans="1:4" x14ac:dyDescent="0.3">
      <c r="A563" s="88" t="s">
        <v>18</v>
      </c>
      <c r="B563" s="88"/>
      <c r="C563" s="16">
        <v>46163</v>
      </c>
      <c r="D563" s="79">
        <v>659760.15999999992</v>
      </c>
    </row>
    <row r="564" spans="1:4" x14ac:dyDescent="0.3">
      <c r="A564" s="88" t="s">
        <v>19</v>
      </c>
      <c r="B564" s="88"/>
      <c r="C564" s="16">
        <v>46163</v>
      </c>
      <c r="D564" s="79">
        <v>1669.89</v>
      </c>
    </row>
    <row r="565" spans="1:4" x14ac:dyDescent="0.3">
      <c r="A565" s="88" t="s">
        <v>20</v>
      </c>
      <c r="B565" s="88"/>
      <c r="C565" s="16">
        <v>46163</v>
      </c>
      <c r="D565" s="79">
        <v>497076.20999999985</v>
      </c>
    </row>
    <row r="566" spans="1:4" x14ac:dyDescent="0.3">
      <c r="A566" s="88" t="s">
        <v>21</v>
      </c>
      <c r="B566" s="88"/>
      <c r="C566" s="16">
        <v>46163</v>
      </c>
      <c r="D566" s="79">
        <v>981189.87999999931</v>
      </c>
    </row>
    <row r="567" spans="1:4" x14ac:dyDescent="0.3">
      <c r="A567" s="88" t="s">
        <v>22</v>
      </c>
      <c r="B567" s="88"/>
      <c r="C567" s="16">
        <v>46163</v>
      </c>
      <c r="D567" s="79">
        <v>141496.38</v>
      </c>
    </row>
    <row r="568" spans="1:4" x14ac:dyDescent="0.3">
      <c r="A568" s="88" t="s">
        <v>23</v>
      </c>
      <c r="B568" s="88"/>
      <c r="C568" s="16">
        <v>46163</v>
      </c>
      <c r="D568" s="79">
        <v>88090.37</v>
      </c>
    </row>
    <row r="569" spans="1:4" x14ac:dyDescent="0.3">
      <c r="A569" s="88" t="s">
        <v>24</v>
      </c>
      <c r="B569" s="88"/>
      <c r="C569" s="16">
        <v>46163</v>
      </c>
      <c r="D569" s="79">
        <v>2498.3999999999996</v>
      </c>
    </row>
    <row r="570" spans="1:4" x14ac:dyDescent="0.3">
      <c r="A570" s="88" t="s">
        <v>25</v>
      </c>
      <c r="B570" s="88"/>
      <c r="C570" s="16">
        <v>46163</v>
      </c>
      <c r="D570" s="79">
        <v>114.3</v>
      </c>
    </row>
    <row r="571" spans="1:4" x14ac:dyDescent="0.3">
      <c r="A571" s="88" t="s">
        <v>26</v>
      </c>
      <c r="B571" s="88"/>
      <c r="C571" s="16">
        <v>46163</v>
      </c>
      <c r="D571" s="79">
        <v>2267.7200000000003</v>
      </c>
    </row>
    <row r="572" spans="1:4" x14ac:dyDescent="0.3">
      <c r="A572" s="88" t="s">
        <v>27</v>
      </c>
      <c r="B572" s="88"/>
      <c r="C572" s="16">
        <v>46163</v>
      </c>
      <c r="D572" s="79">
        <v>3349.94</v>
      </c>
    </row>
    <row r="573" spans="1:4" x14ac:dyDescent="0.3">
      <c r="A573" s="88" t="s">
        <v>28</v>
      </c>
      <c r="B573" s="88"/>
      <c r="C573" s="16">
        <v>46163</v>
      </c>
      <c r="D573" s="79">
        <v>1968.99</v>
      </c>
    </row>
    <row r="574" spans="1:4" x14ac:dyDescent="0.3">
      <c r="A574" s="88" t="s">
        <v>29</v>
      </c>
      <c r="B574" s="88"/>
      <c r="C574" s="16">
        <v>46163</v>
      </c>
      <c r="D574" s="79">
        <v>901.34</v>
      </c>
    </row>
    <row r="575" spans="1:4" x14ac:dyDescent="0.3">
      <c r="A575" s="88" t="s">
        <v>30</v>
      </c>
      <c r="B575" s="88"/>
      <c r="C575" s="16">
        <v>46163</v>
      </c>
      <c r="D575" s="79">
        <v>1444.08</v>
      </c>
    </row>
    <row r="576" spans="1:4" x14ac:dyDescent="0.3">
      <c r="A576" s="88" t="s">
        <v>31</v>
      </c>
      <c r="B576" s="88"/>
      <c r="C576" s="16">
        <v>46163</v>
      </c>
      <c r="D576" s="79">
        <v>15463.59999999996</v>
      </c>
    </row>
    <row r="577" spans="1:4" x14ac:dyDescent="0.3">
      <c r="A577" s="88" t="s">
        <v>32</v>
      </c>
      <c r="B577" s="88"/>
      <c r="C577" s="16">
        <v>46163</v>
      </c>
      <c r="D577" s="79">
        <v>15120.060000000001</v>
      </c>
    </row>
    <row r="578" spans="1:4" x14ac:dyDescent="0.3">
      <c r="A578" s="88" t="s">
        <v>33</v>
      </c>
      <c r="B578" s="88"/>
      <c r="C578" s="16">
        <v>46163</v>
      </c>
      <c r="D578" s="79">
        <v>29206.27</v>
      </c>
    </row>
    <row r="579" spans="1:4" x14ac:dyDescent="0.3">
      <c r="A579" s="88" t="s">
        <v>34</v>
      </c>
      <c r="B579" s="88"/>
      <c r="C579" s="16">
        <v>46163</v>
      </c>
      <c r="D579" s="79">
        <v>345</v>
      </c>
    </row>
    <row r="580" spans="1:4" x14ac:dyDescent="0.3">
      <c r="A580" s="88" t="s">
        <v>35</v>
      </c>
      <c r="B580" s="88"/>
      <c r="C580" s="16">
        <v>46163</v>
      </c>
      <c r="D580" s="79">
        <v>8168.0700000000006</v>
      </c>
    </row>
    <row r="581" spans="1:4" x14ac:dyDescent="0.3">
      <c r="A581" s="88" t="s">
        <v>193</v>
      </c>
      <c r="B581" s="88"/>
      <c r="C581" s="16">
        <v>46163</v>
      </c>
      <c r="D581" s="79">
        <v>0</v>
      </c>
    </row>
    <row r="582" spans="1:4" x14ac:dyDescent="0.3">
      <c r="A582" s="88" t="s">
        <v>214</v>
      </c>
      <c r="B582" s="88"/>
      <c r="C582" s="16">
        <v>46163</v>
      </c>
      <c r="D582" s="79">
        <v>0</v>
      </c>
    </row>
    <row r="583" spans="1:4" x14ac:dyDescent="0.3">
      <c r="A583" s="88" t="s">
        <v>194</v>
      </c>
      <c r="B583" s="88"/>
      <c r="C583" s="16">
        <v>46163</v>
      </c>
      <c r="D583" s="79">
        <v>0</v>
      </c>
    </row>
    <row r="584" spans="1:4" x14ac:dyDescent="0.3">
      <c r="A584" s="88" t="s">
        <v>195</v>
      </c>
      <c r="B584" s="88"/>
      <c r="C584" s="16">
        <v>46163</v>
      </c>
      <c r="D584" s="79">
        <v>0</v>
      </c>
    </row>
    <row r="585" spans="1:4" x14ac:dyDescent="0.3">
      <c r="A585" s="88" t="s">
        <v>196</v>
      </c>
      <c r="B585" s="88"/>
      <c r="C585" s="16">
        <v>46163</v>
      </c>
      <c r="D585" s="79">
        <v>0</v>
      </c>
    </row>
    <row r="586" spans="1:4" x14ac:dyDescent="0.3">
      <c r="A586" s="88" t="s">
        <v>197</v>
      </c>
      <c r="B586" s="88"/>
      <c r="C586" s="16">
        <v>46163</v>
      </c>
      <c r="D586" s="79">
        <v>0</v>
      </c>
    </row>
    <row r="587" spans="1:4" x14ac:dyDescent="0.3">
      <c r="A587" s="88" t="s">
        <v>212</v>
      </c>
      <c r="B587" s="88"/>
      <c r="C587" s="16">
        <v>46163</v>
      </c>
      <c r="D587" s="79">
        <v>0</v>
      </c>
    </row>
    <row r="588" spans="1:4" x14ac:dyDescent="0.3">
      <c r="A588" s="88" t="s">
        <v>199</v>
      </c>
      <c r="B588" s="88"/>
      <c r="C588" s="16">
        <v>46163</v>
      </c>
      <c r="D588" s="79">
        <v>0</v>
      </c>
    </row>
    <row r="589" spans="1:4" x14ac:dyDescent="0.3">
      <c r="A589" s="88" t="s">
        <v>217</v>
      </c>
      <c r="B589" s="88"/>
      <c r="C589" s="16">
        <v>46163</v>
      </c>
      <c r="D589" s="79">
        <v>0</v>
      </c>
    </row>
    <row r="590" spans="1:4" x14ac:dyDescent="0.3">
      <c r="A590" s="88" t="s">
        <v>17</v>
      </c>
      <c r="B590" s="88"/>
      <c r="C590" s="16">
        <v>46164</v>
      </c>
      <c r="D590" s="79">
        <v>142321.80000000013</v>
      </c>
    </row>
    <row r="591" spans="1:4" x14ac:dyDescent="0.3">
      <c r="A591" s="88" t="s">
        <v>18</v>
      </c>
      <c r="B591" s="88"/>
      <c r="C591" s="16">
        <v>46164</v>
      </c>
      <c r="D591" s="79">
        <v>659760.15999999992</v>
      </c>
    </row>
    <row r="592" spans="1:4" x14ac:dyDescent="0.3">
      <c r="A592" s="88" t="s">
        <v>19</v>
      </c>
      <c r="B592" s="88"/>
      <c r="C592" s="16">
        <v>46164</v>
      </c>
      <c r="D592" s="79">
        <v>1669.89</v>
      </c>
    </row>
    <row r="593" spans="1:4" x14ac:dyDescent="0.3">
      <c r="A593" s="88" t="s">
        <v>20</v>
      </c>
      <c r="B593" s="88"/>
      <c r="C593" s="16">
        <v>46164</v>
      </c>
      <c r="D593" s="79">
        <v>497076.20999999985</v>
      </c>
    </row>
    <row r="594" spans="1:4" x14ac:dyDescent="0.3">
      <c r="A594" s="88" t="s">
        <v>21</v>
      </c>
      <c r="B594" s="88"/>
      <c r="C594" s="16">
        <v>46164</v>
      </c>
      <c r="D594" s="79">
        <v>980426.88999999932</v>
      </c>
    </row>
    <row r="595" spans="1:4" x14ac:dyDescent="0.3">
      <c r="A595" s="88" t="s">
        <v>22</v>
      </c>
      <c r="B595" s="88"/>
      <c r="C595" s="16">
        <v>46164</v>
      </c>
      <c r="D595" s="79">
        <v>141496.38</v>
      </c>
    </row>
    <row r="596" spans="1:4" x14ac:dyDescent="0.3">
      <c r="A596" s="88" t="s">
        <v>23</v>
      </c>
      <c r="B596" s="88"/>
      <c r="C596" s="16">
        <v>46164</v>
      </c>
      <c r="D596" s="79">
        <v>88090.37</v>
      </c>
    </row>
    <row r="597" spans="1:4" x14ac:dyDescent="0.3">
      <c r="A597" s="88" t="s">
        <v>24</v>
      </c>
      <c r="B597" s="88"/>
      <c r="C597" s="16">
        <v>46164</v>
      </c>
      <c r="D597" s="79">
        <v>2498.3999999999996</v>
      </c>
    </row>
    <row r="598" spans="1:4" x14ac:dyDescent="0.3">
      <c r="A598" s="88" t="s">
        <v>25</v>
      </c>
      <c r="B598" s="88"/>
      <c r="C598" s="16">
        <v>46164</v>
      </c>
      <c r="D598" s="79">
        <v>114.3</v>
      </c>
    </row>
    <row r="599" spans="1:4" x14ac:dyDescent="0.3">
      <c r="A599" s="88" t="s">
        <v>26</v>
      </c>
      <c r="B599" s="88"/>
      <c r="C599" s="16">
        <v>46164</v>
      </c>
      <c r="D599" s="79">
        <v>2267.7200000000003</v>
      </c>
    </row>
    <row r="600" spans="1:4" x14ac:dyDescent="0.3">
      <c r="A600" s="88" t="s">
        <v>27</v>
      </c>
      <c r="B600" s="88"/>
      <c r="C600" s="16">
        <v>46164</v>
      </c>
      <c r="D600" s="79">
        <v>3349.94</v>
      </c>
    </row>
    <row r="601" spans="1:4" x14ac:dyDescent="0.3">
      <c r="A601" s="88" t="s">
        <v>28</v>
      </c>
      <c r="B601" s="88"/>
      <c r="C601" s="16">
        <v>46164</v>
      </c>
      <c r="D601" s="79">
        <v>1968.99</v>
      </c>
    </row>
    <row r="602" spans="1:4" x14ac:dyDescent="0.3">
      <c r="A602" s="88" t="s">
        <v>29</v>
      </c>
      <c r="B602" s="88"/>
      <c r="C602" s="16">
        <v>46164</v>
      </c>
      <c r="D602" s="79">
        <v>901.34</v>
      </c>
    </row>
    <row r="603" spans="1:4" x14ac:dyDescent="0.3">
      <c r="A603" s="88" t="s">
        <v>30</v>
      </c>
      <c r="B603" s="88"/>
      <c r="C603" s="16">
        <v>46164</v>
      </c>
      <c r="D603" s="79">
        <v>1444.08</v>
      </c>
    </row>
    <row r="604" spans="1:4" x14ac:dyDescent="0.3">
      <c r="A604" s="88" t="s">
        <v>31</v>
      </c>
      <c r="B604" s="88"/>
      <c r="C604" s="16">
        <v>46164</v>
      </c>
      <c r="D604" s="79">
        <v>15463.59999999996</v>
      </c>
    </row>
    <row r="605" spans="1:4" x14ac:dyDescent="0.3">
      <c r="A605" s="88" t="s">
        <v>32</v>
      </c>
      <c r="B605" s="88"/>
      <c r="C605" s="16">
        <v>46164</v>
      </c>
      <c r="D605" s="79">
        <v>15120.060000000001</v>
      </c>
    </row>
    <row r="606" spans="1:4" x14ac:dyDescent="0.3">
      <c r="A606" s="88" t="s">
        <v>33</v>
      </c>
      <c r="B606" s="88"/>
      <c r="C606" s="16">
        <v>46164</v>
      </c>
      <c r="D606" s="79">
        <v>29206.27</v>
      </c>
    </row>
    <row r="607" spans="1:4" x14ac:dyDescent="0.3">
      <c r="A607" s="88" t="s">
        <v>34</v>
      </c>
      <c r="B607" s="88"/>
      <c r="C607" s="16">
        <v>46164</v>
      </c>
      <c r="D607" s="79">
        <v>345</v>
      </c>
    </row>
    <row r="608" spans="1:4" x14ac:dyDescent="0.3">
      <c r="A608" s="88" t="s">
        <v>35</v>
      </c>
      <c r="B608" s="88"/>
      <c r="C608" s="16">
        <v>46164</v>
      </c>
      <c r="D608" s="79">
        <v>8168.0700000000006</v>
      </c>
    </row>
    <row r="609" spans="1:4" x14ac:dyDescent="0.3">
      <c r="A609" s="88" t="s">
        <v>193</v>
      </c>
      <c r="B609" s="88"/>
      <c r="C609" s="16">
        <v>46164</v>
      </c>
      <c r="D609" s="79">
        <v>0</v>
      </c>
    </row>
    <row r="610" spans="1:4" x14ac:dyDescent="0.3">
      <c r="A610" s="88" t="s">
        <v>214</v>
      </c>
      <c r="B610" s="88"/>
      <c r="C610" s="16">
        <v>46164</v>
      </c>
      <c r="D610" s="79">
        <v>0</v>
      </c>
    </row>
    <row r="611" spans="1:4" x14ac:dyDescent="0.3">
      <c r="A611" s="88" t="s">
        <v>194</v>
      </c>
      <c r="B611" s="88"/>
      <c r="C611" s="16">
        <v>46164</v>
      </c>
      <c r="D611" s="79">
        <v>0</v>
      </c>
    </row>
    <row r="612" spans="1:4" x14ac:dyDescent="0.3">
      <c r="A612" s="88" t="s">
        <v>195</v>
      </c>
      <c r="B612" s="88"/>
      <c r="C612" s="16">
        <v>46164</v>
      </c>
      <c r="D612" s="79">
        <v>0</v>
      </c>
    </row>
    <row r="613" spans="1:4" x14ac:dyDescent="0.3">
      <c r="A613" s="88" t="s">
        <v>196</v>
      </c>
      <c r="B613" s="88"/>
      <c r="C613" s="16">
        <v>46164</v>
      </c>
      <c r="D613" s="79">
        <v>0</v>
      </c>
    </row>
    <row r="614" spans="1:4" x14ac:dyDescent="0.3">
      <c r="A614" s="88" t="s">
        <v>197</v>
      </c>
      <c r="B614" s="88"/>
      <c r="C614" s="16">
        <v>46164</v>
      </c>
      <c r="D614" s="79">
        <v>0</v>
      </c>
    </row>
    <row r="615" spans="1:4" x14ac:dyDescent="0.3">
      <c r="A615" s="88" t="s">
        <v>212</v>
      </c>
      <c r="B615" s="88"/>
      <c r="C615" s="16">
        <v>46164</v>
      </c>
      <c r="D615" s="79">
        <v>0</v>
      </c>
    </row>
    <row r="616" spans="1:4" x14ac:dyDescent="0.3">
      <c r="A616" s="88" t="s">
        <v>199</v>
      </c>
      <c r="B616" s="88"/>
      <c r="C616" s="16">
        <v>46164</v>
      </c>
      <c r="D616" s="79">
        <v>0</v>
      </c>
    </row>
    <row r="617" spans="1:4" x14ac:dyDescent="0.3">
      <c r="A617" s="88" t="s">
        <v>217</v>
      </c>
      <c r="B617" s="88"/>
      <c r="C617" s="16">
        <v>46164</v>
      </c>
      <c r="D617" s="79">
        <v>0</v>
      </c>
    </row>
    <row r="618" spans="1:4" x14ac:dyDescent="0.3">
      <c r="A618" s="88" t="s">
        <v>17</v>
      </c>
      <c r="B618" s="88"/>
      <c r="C618" s="16">
        <v>46165</v>
      </c>
      <c r="D618" s="79">
        <v>142321.80000000013</v>
      </c>
    </row>
    <row r="619" spans="1:4" x14ac:dyDescent="0.3">
      <c r="A619" s="88" t="s">
        <v>18</v>
      </c>
      <c r="B619" s="88"/>
      <c r="C619" s="16">
        <v>46165</v>
      </c>
      <c r="D619" s="79">
        <v>659760.15999999992</v>
      </c>
    </row>
    <row r="620" spans="1:4" x14ac:dyDescent="0.3">
      <c r="A620" s="88" t="s">
        <v>19</v>
      </c>
      <c r="B620" s="88"/>
      <c r="C620" s="16">
        <v>46165</v>
      </c>
      <c r="D620" s="79">
        <v>1669.89</v>
      </c>
    </row>
    <row r="621" spans="1:4" x14ac:dyDescent="0.3">
      <c r="A621" s="88" t="s">
        <v>20</v>
      </c>
      <c r="B621" s="88"/>
      <c r="C621" s="16">
        <v>46165</v>
      </c>
      <c r="D621" s="79">
        <v>497076.20999999985</v>
      </c>
    </row>
    <row r="622" spans="1:4" x14ac:dyDescent="0.3">
      <c r="A622" s="88" t="s">
        <v>21</v>
      </c>
      <c r="B622" s="88"/>
      <c r="C622" s="16">
        <v>46165</v>
      </c>
      <c r="D622" s="79">
        <v>980426.88999999932</v>
      </c>
    </row>
    <row r="623" spans="1:4" x14ac:dyDescent="0.3">
      <c r="A623" s="88" t="s">
        <v>22</v>
      </c>
      <c r="B623" s="88"/>
      <c r="C623" s="16">
        <v>46165</v>
      </c>
      <c r="D623" s="79">
        <v>141496.38</v>
      </c>
    </row>
    <row r="624" spans="1:4" x14ac:dyDescent="0.3">
      <c r="A624" s="88" t="s">
        <v>23</v>
      </c>
      <c r="B624" s="88"/>
      <c r="C624" s="16">
        <v>46165</v>
      </c>
      <c r="D624" s="79">
        <v>88090.37</v>
      </c>
    </row>
    <row r="625" spans="1:4" x14ac:dyDescent="0.3">
      <c r="A625" s="88" t="s">
        <v>24</v>
      </c>
      <c r="B625" s="88"/>
      <c r="C625" s="16">
        <v>46165</v>
      </c>
      <c r="D625" s="79">
        <v>2498.3999999999996</v>
      </c>
    </row>
    <row r="626" spans="1:4" x14ac:dyDescent="0.3">
      <c r="A626" s="88" t="s">
        <v>25</v>
      </c>
      <c r="B626" s="88"/>
      <c r="C626" s="16">
        <v>46165</v>
      </c>
      <c r="D626" s="79">
        <v>114.3</v>
      </c>
    </row>
    <row r="627" spans="1:4" x14ac:dyDescent="0.3">
      <c r="A627" s="88" t="s">
        <v>26</v>
      </c>
      <c r="B627" s="88"/>
      <c r="C627" s="16">
        <v>46165</v>
      </c>
      <c r="D627" s="79">
        <v>2267.7200000000003</v>
      </c>
    </row>
    <row r="628" spans="1:4" x14ac:dyDescent="0.3">
      <c r="A628" s="88" t="s">
        <v>27</v>
      </c>
      <c r="B628" s="88"/>
      <c r="C628" s="16">
        <v>46165</v>
      </c>
      <c r="D628" s="79">
        <v>3349.94</v>
      </c>
    </row>
    <row r="629" spans="1:4" x14ac:dyDescent="0.3">
      <c r="A629" s="88" t="s">
        <v>28</v>
      </c>
      <c r="B629" s="88"/>
      <c r="C629" s="16">
        <v>46165</v>
      </c>
      <c r="D629" s="79">
        <v>1968.99</v>
      </c>
    </row>
    <row r="630" spans="1:4" x14ac:dyDescent="0.3">
      <c r="A630" s="88" t="s">
        <v>29</v>
      </c>
      <c r="B630" s="88"/>
      <c r="C630" s="16">
        <v>46165</v>
      </c>
      <c r="D630" s="79">
        <v>901.34</v>
      </c>
    </row>
    <row r="631" spans="1:4" x14ac:dyDescent="0.3">
      <c r="A631" s="88" t="s">
        <v>30</v>
      </c>
      <c r="B631" s="88"/>
      <c r="C631" s="16">
        <v>46165</v>
      </c>
      <c r="D631" s="79">
        <v>1444.08</v>
      </c>
    </row>
    <row r="632" spans="1:4" x14ac:dyDescent="0.3">
      <c r="A632" s="88" t="s">
        <v>31</v>
      </c>
      <c r="B632" s="88"/>
      <c r="C632" s="16">
        <v>46165</v>
      </c>
      <c r="D632" s="79">
        <v>15463.59999999996</v>
      </c>
    </row>
    <row r="633" spans="1:4" x14ac:dyDescent="0.3">
      <c r="A633" s="88" t="s">
        <v>32</v>
      </c>
      <c r="B633" s="88"/>
      <c r="C633" s="16">
        <v>46165</v>
      </c>
      <c r="D633" s="79">
        <v>15120.060000000001</v>
      </c>
    </row>
    <row r="634" spans="1:4" x14ac:dyDescent="0.3">
      <c r="A634" s="88" t="s">
        <v>33</v>
      </c>
      <c r="B634" s="88"/>
      <c r="C634" s="16">
        <v>46165</v>
      </c>
      <c r="D634" s="79">
        <v>29206.27</v>
      </c>
    </row>
    <row r="635" spans="1:4" x14ac:dyDescent="0.3">
      <c r="A635" s="88" t="s">
        <v>34</v>
      </c>
      <c r="B635" s="88"/>
      <c r="C635" s="16">
        <v>46165</v>
      </c>
      <c r="D635" s="79">
        <v>345</v>
      </c>
    </row>
    <row r="636" spans="1:4" x14ac:dyDescent="0.3">
      <c r="A636" s="88" t="s">
        <v>35</v>
      </c>
      <c r="B636" s="88"/>
      <c r="C636" s="16">
        <v>46165</v>
      </c>
      <c r="D636" s="79">
        <v>8168.0700000000006</v>
      </c>
    </row>
    <row r="637" spans="1:4" x14ac:dyDescent="0.3">
      <c r="A637" s="88" t="s">
        <v>193</v>
      </c>
      <c r="B637" s="88"/>
      <c r="C637" s="16">
        <v>46165</v>
      </c>
      <c r="D637" s="79">
        <v>0</v>
      </c>
    </row>
    <row r="638" spans="1:4" x14ac:dyDescent="0.3">
      <c r="A638" s="88" t="s">
        <v>214</v>
      </c>
      <c r="B638" s="88"/>
      <c r="C638" s="16">
        <v>46165</v>
      </c>
      <c r="D638" s="79">
        <v>0</v>
      </c>
    </row>
    <row r="639" spans="1:4" x14ac:dyDescent="0.3">
      <c r="A639" s="88" t="s">
        <v>194</v>
      </c>
      <c r="B639" s="88"/>
      <c r="C639" s="16">
        <v>46165</v>
      </c>
      <c r="D639" s="79">
        <v>0</v>
      </c>
    </row>
    <row r="640" spans="1:4" x14ac:dyDescent="0.3">
      <c r="A640" s="88" t="s">
        <v>195</v>
      </c>
      <c r="B640" s="88"/>
      <c r="C640" s="16">
        <v>46165</v>
      </c>
      <c r="D640" s="79">
        <v>0</v>
      </c>
    </row>
    <row r="641" spans="1:4" x14ac:dyDescent="0.3">
      <c r="A641" s="88" t="s">
        <v>196</v>
      </c>
      <c r="B641" s="88"/>
      <c r="C641" s="16">
        <v>46165</v>
      </c>
      <c r="D641" s="79">
        <v>0</v>
      </c>
    </row>
    <row r="642" spans="1:4" x14ac:dyDescent="0.3">
      <c r="A642" s="88" t="s">
        <v>197</v>
      </c>
      <c r="B642" s="88"/>
      <c r="C642" s="16">
        <v>46165</v>
      </c>
      <c r="D642" s="79">
        <v>0</v>
      </c>
    </row>
    <row r="643" spans="1:4" x14ac:dyDescent="0.3">
      <c r="A643" s="88" t="s">
        <v>212</v>
      </c>
      <c r="B643" s="88"/>
      <c r="C643" s="16">
        <v>46165</v>
      </c>
      <c r="D643" s="79">
        <v>0</v>
      </c>
    </row>
    <row r="644" spans="1:4" x14ac:dyDescent="0.3">
      <c r="A644" s="88" t="s">
        <v>199</v>
      </c>
      <c r="B644" s="88"/>
      <c r="C644" s="16">
        <v>46165</v>
      </c>
      <c r="D644" s="79">
        <v>0</v>
      </c>
    </row>
    <row r="645" spans="1:4" x14ac:dyDescent="0.3">
      <c r="A645" s="88" t="s">
        <v>217</v>
      </c>
      <c r="B645" s="88"/>
      <c r="C645" s="16">
        <v>46165</v>
      </c>
      <c r="D645" s="79">
        <v>0</v>
      </c>
    </row>
    <row r="646" spans="1:4" x14ac:dyDescent="0.3">
      <c r="A646" s="88" t="s">
        <v>17</v>
      </c>
      <c r="B646" s="88"/>
      <c r="C646" s="16">
        <v>46166</v>
      </c>
      <c r="D646" s="79">
        <v>142321.80000000013</v>
      </c>
    </row>
    <row r="647" spans="1:4" x14ac:dyDescent="0.3">
      <c r="A647" s="88" t="s">
        <v>18</v>
      </c>
      <c r="B647" s="88"/>
      <c r="C647" s="16">
        <v>46166</v>
      </c>
      <c r="D647" s="79">
        <v>659760.15999999992</v>
      </c>
    </row>
    <row r="648" spans="1:4" x14ac:dyDescent="0.3">
      <c r="A648" s="88" t="s">
        <v>19</v>
      </c>
      <c r="B648" s="88"/>
      <c r="C648" s="16">
        <v>46166</v>
      </c>
      <c r="D648" s="79">
        <v>1669.89</v>
      </c>
    </row>
    <row r="649" spans="1:4" x14ac:dyDescent="0.3">
      <c r="A649" s="88" t="s">
        <v>20</v>
      </c>
      <c r="B649" s="88"/>
      <c r="C649" s="16">
        <v>46166</v>
      </c>
      <c r="D649" s="79">
        <v>497076.20999999985</v>
      </c>
    </row>
    <row r="650" spans="1:4" x14ac:dyDescent="0.3">
      <c r="A650" s="88" t="s">
        <v>21</v>
      </c>
      <c r="B650" s="88"/>
      <c r="C650" s="16">
        <v>46166</v>
      </c>
      <c r="D650" s="79">
        <v>980426.88999999932</v>
      </c>
    </row>
    <row r="651" spans="1:4" x14ac:dyDescent="0.3">
      <c r="A651" s="88" t="s">
        <v>22</v>
      </c>
      <c r="B651" s="88"/>
      <c r="C651" s="16">
        <v>46166</v>
      </c>
      <c r="D651" s="79">
        <v>141496.38</v>
      </c>
    </row>
    <row r="652" spans="1:4" x14ac:dyDescent="0.3">
      <c r="A652" s="88" t="s">
        <v>23</v>
      </c>
      <c r="B652" s="88"/>
      <c r="C652" s="16">
        <v>46166</v>
      </c>
      <c r="D652" s="79">
        <v>88090.37</v>
      </c>
    </row>
    <row r="653" spans="1:4" x14ac:dyDescent="0.3">
      <c r="A653" s="88" t="s">
        <v>24</v>
      </c>
      <c r="B653" s="88"/>
      <c r="C653" s="16">
        <v>46166</v>
      </c>
      <c r="D653" s="79">
        <v>2498.3999999999996</v>
      </c>
    </row>
    <row r="654" spans="1:4" x14ac:dyDescent="0.3">
      <c r="A654" s="88" t="s">
        <v>25</v>
      </c>
      <c r="B654" s="88"/>
      <c r="C654" s="16">
        <v>46166</v>
      </c>
      <c r="D654" s="79">
        <v>114.3</v>
      </c>
    </row>
    <row r="655" spans="1:4" x14ac:dyDescent="0.3">
      <c r="A655" s="88" t="s">
        <v>26</v>
      </c>
      <c r="B655" s="88"/>
      <c r="C655" s="16">
        <v>46166</v>
      </c>
      <c r="D655" s="79">
        <v>2267.7200000000003</v>
      </c>
    </row>
    <row r="656" spans="1:4" x14ac:dyDescent="0.3">
      <c r="A656" s="88" t="s">
        <v>27</v>
      </c>
      <c r="B656" s="88"/>
      <c r="C656" s="16">
        <v>46166</v>
      </c>
      <c r="D656" s="79">
        <v>3349.94</v>
      </c>
    </row>
    <row r="657" spans="1:4" x14ac:dyDescent="0.3">
      <c r="A657" s="88" t="s">
        <v>28</v>
      </c>
      <c r="B657" s="88"/>
      <c r="C657" s="16">
        <v>46166</v>
      </c>
      <c r="D657" s="79">
        <v>1968.99</v>
      </c>
    </row>
    <row r="658" spans="1:4" x14ac:dyDescent="0.3">
      <c r="A658" s="88" t="s">
        <v>29</v>
      </c>
      <c r="B658" s="88"/>
      <c r="C658" s="16">
        <v>46166</v>
      </c>
      <c r="D658" s="79">
        <v>901.34</v>
      </c>
    </row>
    <row r="659" spans="1:4" x14ac:dyDescent="0.3">
      <c r="A659" s="88" t="s">
        <v>30</v>
      </c>
      <c r="B659" s="88"/>
      <c r="C659" s="16">
        <v>46166</v>
      </c>
      <c r="D659" s="79">
        <v>1444.08</v>
      </c>
    </row>
    <row r="660" spans="1:4" x14ac:dyDescent="0.3">
      <c r="A660" s="88" t="s">
        <v>31</v>
      </c>
      <c r="B660" s="88"/>
      <c r="C660" s="16">
        <v>46166</v>
      </c>
      <c r="D660" s="79">
        <v>15463.59999999996</v>
      </c>
    </row>
    <row r="661" spans="1:4" x14ac:dyDescent="0.3">
      <c r="A661" s="88" t="s">
        <v>32</v>
      </c>
      <c r="B661" s="88"/>
      <c r="C661" s="16">
        <v>46166</v>
      </c>
      <c r="D661" s="79">
        <v>15120.060000000001</v>
      </c>
    </row>
    <row r="662" spans="1:4" x14ac:dyDescent="0.3">
      <c r="A662" s="88" t="s">
        <v>33</v>
      </c>
      <c r="B662" s="88"/>
      <c r="C662" s="16">
        <v>46166</v>
      </c>
      <c r="D662" s="79">
        <v>29206.27</v>
      </c>
    </row>
    <row r="663" spans="1:4" x14ac:dyDescent="0.3">
      <c r="A663" s="88" t="s">
        <v>34</v>
      </c>
      <c r="B663" s="88"/>
      <c r="C663" s="16">
        <v>46166</v>
      </c>
      <c r="D663" s="79">
        <v>345</v>
      </c>
    </row>
    <row r="664" spans="1:4" x14ac:dyDescent="0.3">
      <c r="A664" s="88" t="s">
        <v>35</v>
      </c>
      <c r="B664" s="88"/>
      <c r="C664" s="16">
        <v>46166</v>
      </c>
      <c r="D664" s="79">
        <v>8168.0700000000006</v>
      </c>
    </row>
    <row r="665" spans="1:4" x14ac:dyDescent="0.3">
      <c r="A665" s="88" t="s">
        <v>193</v>
      </c>
      <c r="B665" s="88"/>
      <c r="C665" s="16">
        <v>46166</v>
      </c>
      <c r="D665" s="79">
        <v>0</v>
      </c>
    </row>
    <row r="666" spans="1:4" x14ac:dyDescent="0.3">
      <c r="A666" s="88" t="s">
        <v>214</v>
      </c>
      <c r="B666" s="88"/>
      <c r="C666" s="16">
        <v>46166</v>
      </c>
      <c r="D666" s="79">
        <v>0</v>
      </c>
    </row>
    <row r="667" spans="1:4" x14ac:dyDescent="0.3">
      <c r="A667" s="88" t="s">
        <v>194</v>
      </c>
      <c r="B667" s="88"/>
      <c r="C667" s="16">
        <v>46166</v>
      </c>
      <c r="D667" s="79">
        <v>0</v>
      </c>
    </row>
    <row r="668" spans="1:4" x14ac:dyDescent="0.3">
      <c r="A668" s="88" t="s">
        <v>195</v>
      </c>
      <c r="B668" s="88"/>
      <c r="C668" s="16">
        <v>46166</v>
      </c>
      <c r="D668" s="79">
        <v>0</v>
      </c>
    </row>
    <row r="669" spans="1:4" x14ac:dyDescent="0.3">
      <c r="A669" s="88" t="s">
        <v>196</v>
      </c>
      <c r="B669" s="88"/>
      <c r="C669" s="16">
        <v>46166</v>
      </c>
      <c r="D669" s="79">
        <v>0</v>
      </c>
    </row>
    <row r="670" spans="1:4" x14ac:dyDescent="0.3">
      <c r="A670" s="88" t="s">
        <v>197</v>
      </c>
      <c r="B670" s="88"/>
      <c r="C670" s="16">
        <v>46166</v>
      </c>
      <c r="D670" s="79">
        <v>0</v>
      </c>
    </row>
    <row r="671" spans="1:4" x14ac:dyDescent="0.3">
      <c r="A671" s="88" t="s">
        <v>212</v>
      </c>
      <c r="B671" s="88"/>
      <c r="C671" s="16">
        <v>46166</v>
      </c>
      <c r="D671" s="79">
        <v>0</v>
      </c>
    </row>
    <row r="672" spans="1:4" x14ac:dyDescent="0.3">
      <c r="A672" s="88" t="s">
        <v>199</v>
      </c>
      <c r="B672" s="88"/>
      <c r="C672" s="16">
        <v>46166</v>
      </c>
      <c r="D672" s="79">
        <v>0</v>
      </c>
    </row>
    <row r="673" spans="1:4" x14ac:dyDescent="0.3">
      <c r="A673" s="88" t="s">
        <v>217</v>
      </c>
      <c r="B673" s="88"/>
      <c r="C673" s="16">
        <v>46166</v>
      </c>
      <c r="D673" s="79">
        <v>0</v>
      </c>
    </row>
    <row r="674" spans="1:4" x14ac:dyDescent="0.3">
      <c r="A674" s="88" t="s">
        <v>17</v>
      </c>
      <c r="B674" s="88"/>
      <c r="C674" s="16">
        <v>46167</v>
      </c>
      <c r="D674" s="79">
        <v>142321.80000000013</v>
      </c>
    </row>
    <row r="675" spans="1:4" x14ac:dyDescent="0.3">
      <c r="A675" s="88" t="s">
        <v>18</v>
      </c>
      <c r="B675" s="88"/>
      <c r="C675" s="16">
        <v>46167</v>
      </c>
      <c r="D675" s="79">
        <v>659760.15999999992</v>
      </c>
    </row>
    <row r="676" spans="1:4" x14ac:dyDescent="0.3">
      <c r="A676" s="88" t="s">
        <v>19</v>
      </c>
      <c r="B676" s="88"/>
      <c r="C676" s="16">
        <v>46167</v>
      </c>
      <c r="D676" s="79">
        <v>1669.89</v>
      </c>
    </row>
    <row r="677" spans="1:4" x14ac:dyDescent="0.3">
      <c r="A677" s="88" t="s">
        <v>20</v>
      </c>
      <c r="B677" s="88"/>
      <c r="C677" s="16">
        <v>46167</v>
      </c>
      <c r="D677" s="79">
        <v>497076.20999999985</v>
      </c>
    </row>
    <row r="678" spans="1:4" x14ac:dyDescent="0.3">
      <c r="A678" s="88" t="s">
        <v>21</v>
      </c>
      <c r="B678" s="88"/>
      <c r="C678" s="16">
        <v>46167</v>
      </c>
      <c r="D678" s="79">
        <v>980426.88999999932</v>
      </c>
    </row>
    <row r="679" spans="1:4" x14ac:dyDescent="0.3">
      <c r="A679" s="88" t="s">
        <v>22</v>
      </c>
      <c r="B679" s="88"/>
      <c r="C679" s="16">
        <v>46167</v>
      </c>
      <c r="D679" s="79">
        <v>141496.38</v>
      </c>
    </row>
    <row r="680" spans="1:4" x14ac:dyDescent="0.3">
      <c r="A680" s="88" t="s">
        <v>23</v>
      </c>
      <c r="B680" s="88"/>
      <c r="C680" s="16">
        <v>46167</v>
      </c>
      <c r="D680" s="79">
        <v>88090.37</v>
      </c>
    </row>
    <row r="681" spans="1:4" x14ac:dyDescent="0.3">
      <c r="A681" s="88" t="s">
        <v>24</v>
      </c>
      <c r="B681" s="88"/>
      <c r="C681" s="16">
        <v>46167</v>
      </c>
      <c r="D681" s="79">
        <v>2498.3999999999996</v>
      </c>
    </row>
    <row r="682" spans="1:4" x14ac:dyDescent="0.3">
      <c r="A682" s="88" t="s">
        <v>25</v>
      </c>
      <c r="B682" s="88"/>
      <c r="C682" s="16">
        <v>46167</v>
      </c>
      <c r="D682" s="79">
        <v>114.3</v>
      </c>
    </row>
    <row r="683" spans="1:4" x14ac:dyDescent="0.3">
      <c r="A683" s="88" t="s">
        <v>26</v>
      </c>
      <c r="B683" s="88"/>
      <c r="C683" s="16">
        <v>46167</v>
      </c>
      <c r="D683" s="79">
        <v>2267.7200000000003</v>
      </c>
    </row>
    <row r="684" spans="1:4" x14ac:dyDescent="0.3">
      <c r="A684" s="88" t="s">
        <v>27</v>
      </c>
      <c r="B684" s="88"/>
      <c r="C684" s="16">
        <v>46167</v>
      </c>
      <c r="D684" s="79">
        <v>3349.94</v>
      </c>
    </row>
    <row r="685" spans="1:4" x14ac:dyDescent="0.3">
      <c r="A685" s="88" t="s">
        <v>28</v>
      </c>
      <c r="B685" s="88"/>
      <c r="C685" s="16">
        <v>46167</v>
      </c>
      <c r="D685" s="79">
        <v>1968.99</v>
      </c>
    </row>
    <row r="686" spans="1:4" x14ac:dyDescent="0.3">
      <c r="A686" s="88" t="s">
        <v>29</v>
      </c>
      <c r="B686" s="88"/>
      <c r="C686" s="16">
        <v>46167</v>
      </c>
      <c r="D686" s="79">
        <v>901.34</v>
      </c>
    </row>
    <row r="687" spans="1:4" x14ac:dyDescent="0.3">
      <c r="A687" s="88" t="s">
        <v>30</v>
      </c>
      <c r="B687" s="88"/>
      <c r="C687" s="16">
        <v>46167</v>
      </c>
      <c r="D687" s="79">
        <v>1444.08</v>
      </c>
    </row>
    <row r="688" spans="1:4" x14ac:dyDescent="0.3">
      <c r="A688" s="88" t="s">
        <v>31</v>
      </c>
      <c r="B688" s="88"/>
      <c r="C688" s="16">
        <v>46167</v>
      </c>
      <c r="D688" s="79">
        <v>15463.59999999996</v>
      </c>
    </row>
    <row r="689" spans="1:4" x14ac:dyDescent="0.3">
      <c r="A689" s="88" t="s">
        <v>32</v>
      </c>
      <c r="B689" s="88"/>
      <c r="C689" s="16">
        <v>46167</v>
      </c>
      <c r="D689" s="79">
        <v>15120.060000000001</v>
      </c>
    </row>
    <row r="690" spans="1:4" x14ac:dyDescent="0.3">
      <c r="A690" s="88" t="s">
        <v>33</v>
      </c>
      <c r="B690" s="88"/>
      <c r="C690" s="16">
        <v>46167</v>
      </c>
      <c r="D690" s="79">
        <v>29206.27</v>
      </c>
    </row>
    <row r="691" spans="1:4" x14ac:dyDescent="0.3">
      <c r="A691" s="88" t="s">
        <v>34</v>
      </c>
      <c r="B691" s="88"/>
      <c r="C691" s="16">
        <v>46167</v>
      </c>
      <c r="D691" s="79">
        <v>345</v>
      </c>
    </row>
    <row r="692" spans="1:4" x14ac:dyDescent="0.3">
      <c r="A692" s="88" t="s">
        <v>35</v>
      </c>
      <c r="B692" s="88"/>
      <c r="C692" s="16">
        <v>46167</v>
      </c>
      <c r="D692" s="79">
        <v>8168.0700000000006</v>
      </c>
    </row>
    <row r="693" spans="1:4" x14ac:dyDescent="0.3">
      <c r="A693" s="88" t="s">
        <v>193</v>
      </c>
      <c r="B693" s="88"/>
      <c r="C693" s="16">
        <v>46167</v>
      </c>
      <c r="D693" s="79">
        <v>0</v>
      </c>
    </row>
    <row r="694" spans="1:4" x14ac:dyDescent="0.3">
      <c r="A694" s="88" t="s">
        <v>214</v>
      </c>
      <c r="B694" s="88"/>
      <c r="C694" s="16">
        <v>46167</v>
      </c>
      <c r="D694" s="79">
        <v>0</v>
      </c>
    </row>
    <row r="695" spans="1:4" x14ac:dyDescent="0.3">
      <c r="A695" s="88" t="s">
        <v>194</v>
      </c>
      <c r="B695" s="88"/>
      <c r="C695" s="16">
        <v>46167</v>
      </c>
      <c r="D695" s="79">
        <v>0</v>
      </c>
    </row>
    <row r="696" spans="1:4" x14ac:dyDescent="0.3">
      <c r="A696" s="88" t="s">
        <v>195</v>
      </c>
      <c r="B696" s="88"/>
      <c r="C696" s="16">
        <v>46167</v>
      </c>
      <c r="D696" s="79">
        <v>0</v>
      </c>
    </row>
    <row r="697" spans="1:4" x14ac:dyDescent="0.3">
      <c r="A697" s="88" t="s">
        <v>196</v>
      </c>
      <c r="B697" s="88"/>
      <c r="C697" s="16">
        <v>46167</v>
      </c>
      <c r="D697" s="79">
        <v>0</v>
      </c>
    </row>
    <row r="698" spans="1:4" x14ac:dyDescent="0.3">
      <c r="A698" s="88" t="s">
        <v>197</v>
      </c>
      <c r="B698" s="88"/>
      <c r="C698" s="16">
        <v>46167</v>
      </c>
      <c r="D698" s="79">
        <v>0</v>
      </c>
    </row>
    <row r="699" spans="1:4" x14ac:dyDescent="0.3">
      <c r="A699" s="88" t="s">
        <v>212</v>
      </c>
      <c r="B699" s="88"/>
      <c r="C699" s="16">
        <v>46167</v>
      </c>
      <c r="D699" s="79">
        <v>0</v>
      </c>
    </row>
    <row r="700" spans="1:4" x14ac:dyDescent="0.3">
      <c r="A700" s="88" t="s">
        <v>199</v>
      </c>
      <c r="B700" s="88"/>
      <c r="C700" s="16">
        <v>46167</v>
      </c>
      <c r="D700" s="79">
        <v>0</v>
      </c>
    </row>
    <row r="701" spans="1:4" x14ac:dyDescent="0.3">
      <c r="A701" s="88" t="s">
        <v>217</v>
      </c>
      <c r="B701" s="88"/>
      <c r="C701" s="16">
        <v>46167</v>
      </c>
      <c r="D701" s="79">
        <v>0</v>
      </c>
    </row>
    <row r="702" spans="1:4" x14ac:dyDescent="0.3">
      <c r="A702" s="88" t="s">
        <v>17</v>
      </c>
      <c r="B702" s="88"/>
      <c r="C702" s="16">
        <v>46168</v>
      </c>
      <c r="D702" s="79">
        <v>253154.33000000013</v>
      </c>
    </row>
    <row r="703" spans="1:4" x14ac:dyDescent="0.3">
      <c r="A703" s="88" t="s">
        <v>18</v>
      </c>
      <c r="B703" s="88"/>
      <c r="C703" s="16">
        <v>46168</v>
      </c>
      <c r="D703" s="79">
        <v>1259760.1600000001</v>
      </c>
    </row>
    <row r="704" spans="1:4" x14ac:dyDescent="0.3">
      <c r="A704" s="88" t="s">
        <v>19</v>
      </c>
      <c r="B704" s="88"/>
      <c r="C704" s="16">
        <v>46168</v>
      </c>
      <c r="D704" s="79">
        <v>1669.89</v>
      </c>
    </row>
    <row r="705" spans="1:4" x14ac:dyDescent="0.3">
      <c r="A705" s="88" t="s">
        <v>20</v>
      </c>
      <c r="B705" s="88"/>
      <c r="C705" s="16">
        <v>46168</v>
      </c>
      <c r="D705" s="79">
        <v>497076.20999999985</v>
      </c>
    </row>
    <row r="706" spans="1:4" x14ac:dyDescent="0.3">
      <c r="A706" s="88" t="s">
        <v>21</v>
      </c>
      <c r="B706" s="88"/>
      <c r="C706" s="16">
        <v>46168</v>
      </c>
      <c r="D706" s="79">
        <v>980426.88999999932</v>
      </c>
    </row>
    <row r="707" spans="1:4" x14ac:dyDescent="0.3">
      <c r="A707" s="88" t="s">
        <v>22</v>
      </c>
      <c r="B707" s="88"/>
      <c r="C707" s="16">
        <v>46168</v>
      </c>
      <c r="D707" s="79">
        <v>141496.38</v>
      </c>
    </row>
    <row r="708" spans="1:4" x14ac:dyDescent="0.3">
      <c r="A708" s="88" t="s">
        <v>23</v>
      </c>
      <c r="B708" s="88"/>
      <c r="C708" s="16">
        <v>46168</v>
      </c>
      <c r="D708" s="79">
        <v>88090.37</v>
      </c>
    </row>
    <row r="709" spans="1:4" x14ac:dyDescent="0.3">
      <c r="A709" s="88" t="s">
        <v>24</v>
      </c>
      <c r="B709" s="88"/>
      <c r="C709" s="16">
        <v>46168</v>
      </c>
      <c r="D709" s="79">
        <v>2498.3999999999996</v>
      </c>
    </row>
    <row r="710" spans="1:4" x14ac:dyDescent="0.3">
      <c r="A710" s="88" t="s">
        <v>25</v>
      </c>
      <c r="B710" s="88"/>
      <c r="C710" s="16">
        <v>46168</v>
      </c>
      <c r="D710" s="79">
        <v>114.3</v>
      </c>
    </row>
    <row r="711" spans="1:4" x14ac:dyDescent="0.3">
      <c r="A711" s="88" t="s">
        <v>26</v>
      </c>
      <c r="B711" s="88"/>
      <c r="C711" s="16">
        <v>46168</v>
      </c>
      <c r="D711" s="79">
        <v>2267.7200000000003</v>
      </c>
    </row>
    <row r="712" spans="1:4" x14ac:dyDescent="0.3">
      <c r="A712" s="88" t="s">
        <v>27</v>
      </c>
      <c r="B712" s="88"/>
      <c r="C712" s="16">
        <v>46168</v>
      </c>
      <c r="D712" s="79">
        <v>3349.94</v>
      </c>
    </row>
    <row r="713" spans="1:4" x14ac:dyDescent="0.3">
      <c r="A713" s="88" t="s">
        <v>28</v>
      </c>
      <c r="B713" s="88"/>
      <c r="C713" s="16">
        <v>46168</v>
      </c>
      <c r="D713" s="79">
        <v>1968.99</v>
      </c>
    </row>
    <row r="714" spans="1:4" x14ac:dyDescent="0.3">
      <c r="A714" s="88" t="s">
        <v>29</v>
      </c>
      <c r="B714" s="88"/>
      <c r="C714" s="16">
        <v>46168</v>
      </c>
      <c r="D714" s="79">
        <v>901.34</v>
      </c>
    </row>
    <row r="715" spans="1:4" x14ac:dyDescent="0.3">
      <c r="A715" s="88" t="s">
        <v>30</v>
      </c>
      <c r="B715" s="88"/>
      <c r="C715" s="16">
        <v>46168</v>
      </c>
      <c r="D715" s="79">
        <v>1444.08</v>
      </c>
    </row>
    <row r="716" spans="1:4" x14ac:dyDescent="0.3">
      <c r="A716" s="88" t="s">
        <v>31</v>
      </c>
      <c r="B716" s="88"/>
      <c r="C716" s="16">
        <v>46168</v>
      </c>
      <c r="D716" s="79">
        <v>15463.59999999996</v>
      </c>
    </row>
    <row r="717" spans="1:4" x14ac:dyDescent="0.3">
      <c r="A717" s="88" t="s">
        <v>32</v>
      </c>
      <c r="B717" s="88"/>
      <c r="C717" s="16">
        <v>46168</v>
      </c>
      <c r="D717" s="79">
        <v>15120.060000000001</v>
      </c>
    </row>
    <row r="718" spans="1:4" x14ac:dyDescent="0.3">
      <c r="A718" s="88" t="s">
        <v>33</v>
      </c>
      <c r="B718" s="88"/>
      <c r="C718" s="16">
        <v>46168</v>
      </c>
      <c r="D718" s="79">
        <v>29206.27</v>
      </c>
    </row>
    <row r="719" spans="1:4" x14ac:dyDescent="0.3">
      <c r="A719" s="88" t="s">
        <v>34</v>
      </c>
      <c r="B719" s="88"/>
      <c r="C719" s="16">
        <v>46168</v>
      </c>
      <c r="D719" s="79">
        <v>345</v>
      </c>
    </row>
    <row r="720" spans="1:4" x14ac:dyDescent="0.3">
      <c r="A720" s="88" t="s">
        <v>35</v>
      </c>
      <c r="B720" s="88"/>
      <c r="C720" s="16">
        <v>46168</v>
      </c>
      <c r="D720" s="79">
        <v>8168.0700000000006</v>
      </c>
    </row>
    <row r="721" spans="1:4" x14ac:dyDescent="0.3">
      <c r="A721" s="88" t="s">
        <v>193</v>
      </c>
      <c r="B721" s="88"/>
      <c r="C721" s="16">
        <v>46168</v>
      </c>
      <c r="D721" s="79">
        <v>0</v>
      </c>
    </row>
    <row r="722" spans="1:4" x14ac:dyDescent="0.3">
      <c r="A722" s="88" t="s">
        <v>214</v>
      </c>
      <c r="B722" s="88"/>
      <c r="C722" s="16">
        <v>46168</v>
      </c>
      <c r="D722" s="79">
        <v>0</v>
      </c>
    </row>
    <row r="723" spans="1:4" x14ac:dyDescent="0.3">
      <c r="A723" s="88" t="s">
        <v>194</v>
      </c>
      <c r="B723" s="88"/>
      <c r="C723" s="16">
        <v>46168</v>
      </c>
      <c r="D723" s="79">
        <v>0</v>
      </c>
    </row>
    <row r="724" spans="1:4" x14ac:dyDescent="0.3">
      <c r="A724" s="88" t="s">
        <v>195</v>
      </c>
      <c r="B724" s="88"/>
      <c r="C724" s="16">
        <v>46168</v>
      </c>
      <c r="D724" s="79">
        <v>0</v>
      </c>
    </row>
    <row r="725" spans="1:4" x14ac:dyDescent="0.3">
      <c r="A725" s="88" t="s">
        <v>196</v>
      </c>
      <c r="B725" s="88"/>
      <c r="C725" s="16">
        <v>46168</v>
      </c>
      <c r="D725" s="79">
        <v>0</v>
      </c>
    </row>
    <row r="726" spans="1:4" x14ac:dyDescent="0.3">
      <c r="A726" s="88" t="s">
        <v>197</v>
      </c>
      <c r="B726" s="88"/>
      <c r="C726" s="16">
        <v>46168</v>
      </c>
      <c r="D726" s="79">
        <v>0</v>
      </c>
    </row>
    <row r="727" spans="1:4" x14ac:dyDescent="0.3">
      <c r="A727" s="88" t="s">
        <v>212</v>
      </c>
      <c r="B727" s="88"/>
      <c r="C727" s="16">
        <v>46168</v>
      </c>
      <c r="D727" s="79">
        <v>0</v>
      </c>
    </row>
    <row r="728" spans="1:4" x14ac:dyDescent="0.3">
      <c r="A728" s="88" t="s">
        <v>199</v>
      </c>
      <c r="B728" s="88"/>
      <c r="C728" s="16">
        <v>46168</v>
      </c>
      <c r="D728" s="79">
        <v>0</v>
      </c>
    </row>
    <row r="729" spans="1:4" x14ac:dyDescent="0.3">
      <c r="A729" s="88" t="s">
        <v>217</v>
      </c>
      <c r="B729" s="88"/>
      <c r="C729" s="16">
        <v>46168</v>
      </c>
      <c r="D729" s="79">
        <v>0</v>
      </c>
    </row>
    <row r="730" spans="1:4" x14ac:dyDescent="0.3">
      <c r="A730" s="88" t="s">
        <v>17</v>
      </c>
      <c r="B730" s="88"/>
      <c r="C730" s="16">
        <v>46169</v>
      </c>
      <c r="D730" s="79">
        <v>259371.70000000013</v>
      </c>
    </row>
    <row r="731" spans="1:4" x14ac:dyDescent="0.3">
      <c r="A731" s="88" t="s">
        <v>18</v>
      </c>
      <c r="B731" s="88"/>
      <c r="C731" s="16">
        <v>46169</v>
      </c>
      <c r="D731" s="79">
        <v>1259760.1600000001</v>
      </c>
    </row>
    <row r="732" spans="1:4" x14ac:dyDescent="0.3">
      <c r="A732" s="88" t="s">
        <v>19</v>
      </c>
      <c r="B732" s="88"/>
      <c r="C732" s="16">
        <v>46169</v>
      </c>
      <c r="D732" s="79">
        <v>1669.89</v>
      </c>
    </row>
    <row r="733" spans="1:4" x14ac:dyDescent="0.3">
      <c r="A733" s="88" t="s">
        <v>20</v>
      </c>
      <c r="B733" s="88"/>
      <c r="C733" s="16">
        <v>46169</v>
      </c>
      <c r="D733" s="79">
        <v>514616.73999999987</v>
      </c>
    </row>
    <row r="734" spans="1:4" x14ac:dyDescent="0.3">
      <c r="A734" s="88" t="s">
        <v>21</v>
      </c>
      <c r="B734" s="88"/>
      <c r="C734" s="16">
        <v>46169</v>
      </c>
      <c r="D734" s="79">
        <v>980426.88999999932</v>
      </c>
    </row>
    <row r="735" spans="1:4" x14ac:dyDescent="0.3">
      <c r="A735" s="88" t="s">
        <v>22</v>
      </c>
      <c r="B735" s="88"/>
      <c r="C735" s="16">
        <v>46169</v>
      </c>
      <c r="D735" s="79">
        <v>131496.38</v>
      </c>
    </row>
    <row r="736" spans="1:4" x14ac:dyDescent="0.3">
      <c r="A736" s="88" t="s">
        <v>23</v>
      </c>
      <c r="B736" s="88"/>
      <c r="C736" s="16">
        <v>46169</v>
      </c>
      <c r="D736" s="79">
        <v>88090.37</v>
      </c>
    </row>
    <row r="737" spans="1:4" x14ac:dyDescent="0.3">
      <c r="A737" s="88" t="s">
        <v>24</v>
      </c>
      <c r="B737" s="88"/>
      <c r="C737" s="16">
        <v>46169</v>
      </c>
      <c r="D737" s="79">
        <v>2498.3999999999996</v>
      </c>
    </row>
    <row r="738" spans="1:4" x14ac:dyDescent="0.3">
      <c r="A738" s="88" t="s">
        <v>25</v>
      </c>
      <c r="B738" s="88"/>
      <c r="C738" s="16">
        <v>46169</v>
      </c>
      <c r="D738" s="79">
        <v>114.3</v>
      </c>
    </row>
    <row r="739" spans="1:4" x14ac:dyDescent="0.3">
      <c r="A739" s="88" t="s">
        <v>26</v>
      </c>
      <c r="B739" s="88"/>
      <c r="C739" s="16">
        <v>46169</v>
      </c>
      <c r="D739" s="79">
        <v>2267.7200000000003</v>
      </c>
    </row>
    <row r="740" spans="1:4" x14ac:dyDescent="0.3">
      <c r="A740" s="88" t="s">
        <v>27</v>
      </c>
      <c r="B740" s="88"/>
      <c r="C740" s="16">
        <v>46169</v>
      </c>
      <c r="D740" s="79">
        <v>3349.94</v>
      </c>
    </row>
    <row r="741" spans="1:4" x14ac:dyDescent="0.3">
      <c r="A741" s="88" t="s">
        <v>28</v>
      </c>
      <c r="B741" s="88"/>
      <c r="C741" s="16">
        <v>46169</v>
      </c>
      <c r="D741" s="79">
        <v>1968.99</v>
      </c>
    </row>
    <row r="742" spans="1:4" x14ac:dyDescent="0.3">
      <c r="A742" s="88" t="s">
        <v>29</v>
      </c>
      <c r="B742" s="88"/>
      <c r="C742" s="16">
        <v>46169</v>
      </c>
      <c r="D742" s="79">
        <v>901.34</v>
      </c>
    </row>
    <row r="743" spans="1:4" x14ac:dyDescent="0.3">
      <c r="A743" s="88" t="s">
        <v>30</v>
      </c>
      <c r="B743" s="88"/>
      <c r="C743" s="16">
        <v>46169</v>
      </c>
      <c r="D743" s="79">
        <v>1444.08</v>
      </c>
    </row>
    <row r="744" spans="1:4" x14ac:dyDescent="0.3">
      <c r="A744" s="88" t="s">
        <v>31</v>
      </c>
      <c r="B744" s="88"/>
      <c r="C744" s="16">
        <v>46169</v>
      </c>
      <c r="D744" s="79">
        <v>15463.59999999996</v>
      </c>
    </row>
    <row r="745" spans="1:4" x14ac:dyDescent="0.3">
      <c r="A745" s="88" t="s">
        <v>32</v>
      </c>
      <c r="B745" s="88"/>
      <c r="C745" s="16">
        <v>46169</v>
      </c>
      <c r="D745" s="79">
        <v>15120.060000000001</v>
      </c>
    </row>
    <row r="746" spans="1:4" x14ac:dyDescent="0.3">
      <c r="A746" s="88" t="s">
        <v>33</v>
      </c>
      <c r="B746" s="88"/>
      <c r="C746" s="16">
        <v>46169</v>
      </c>
      <c r="D746" s="79">
        <v>33606.270000000004</v>
      </c>
    </row>
    <row r="747" spans="1:4" x14ac:dyDescent="0.3">
      <c r="A747" s="88" t="s">
        <v>34</v>
      </c>
      <c r="B747" s="88"/>
      <c r="C747" s="16">
        <v>46169</v>
      </c>
      <c r="D747" s="79">
        <v>345</v>
      </c>
    </row>
    <row r="748" spans="1:4" x14ac:dyDescent="0.3">
      <c r="A748" s="88" t="s">
        <v>35</v>
      </c>
      <c r="B748" s="88"/>
      <c r="C748" s="16">
        <v>46169</v>
      </c>
      <c r="D748" s="79">
        <v>17588.03</v>
      </c>
    </row>
    <row r="749" spans="1:4" x14ac:dyDescent="0.3">
      <c r="A749" s="88" t="s">
        <v>193</v>
      </c>
      <c r="B749" s="88"/>
      <c r="C749" s="16">
        <v>46169</v>
      </c>
      <c r="D749" s="79">
        <v>0</v>
      </c>
    </row>
    <row r="750" spans="1:4" x14ac:dyDescent="0.3">
      <c r="A750" s="88" t="s">
        <v>214</v>
      </c>
      <c r="B750" s="88"/>
      <c r="C750" s="16">
        <v>46169</v>
      </c>
      <c r="D750" s="79">
        <v>0</v>
      </c>
    </row>
    <row r="751" spans="1:4" x14ac:dyDescent="0.3">
      <c r="A751" s="88" t="s">
        <v>194</v>
      </c>
      <c r="B751" s="88"/>
      <c r="C751" s="16">
        <v>46169</v>
      </c>
      <c r="D751" s="79">
        <v>0</v>
      </c>
    </row>
    <row r="752" spans="1:4" x14ac:dyDescent="0.3">
      <c r="A752" s="88" t="s">
        <v>195</v>
      </c>
      <c r="B752" s="88"/>
      <c r="C752" s="16">
        <v>46169</v>
      </c>
      <c r="D752" s="79">
        <v>0</v>
      </c>
    </row>
    <row r="753" spans="1:4" x14ac:dyDescent="0.3">
      <c r="A753" s="88" t="s">
        <v>196</v>
      </c>
      <c r="B753" s="88"/>
      <c r="C753" s="16">
        <v>46169</v>
      </c>
      <c r="D753" s="79">
        <v>0</v>
      </c>
    </row>
    <row r="754" spans="1:4" x14ac:dyDescent="0.3">
      <c r="A754" s="88" t="s">
        <v>197</v>
      </c>
      <c r="B754" s="88"/>
      <c r="C754" s="16">
        <v>46169</v>
      </c>
      <c r="D754" s="79">
        <v>0</v>
      </c>
    </row>
    <row r="755" spans="1:4" x14ac:dyDescent="0.3">
      <c r="A755" s="88" t="s">
        <v>212</v>
      </c>
      <c r="B755" s="88"/>
      <c r="C755" s="16">
        <v>46169</v>
      </c>
      <c r="D755" s="79">
        <v>0</v>
      </c>
    </row>
    <row r="756" spans="1:4" x14ac:dyDescent="0.3">
      <c r="A756" s="88" t="s">
        <v>199</v>
      </c>
      <c r="B756" s="88"/>
      <c r="C756" s="16">
        <v>46169</v>
      </c>
      <c r="D756" s="79">
        <v>0</v>
      </c>
    </row>
    <row r="757" spans="1:4" x14ac:dyDescent="0.3">
      <c r="A757" s="88" t="s">
        <v>217</v>
      </c>
      <c r="B757" s="88"/>
      <c r="C757" s="16">
        <v>46169</v>
      </c>
      <c r="D757" s="79">
        <v>0</v>
      </c>
    </row>
    <row r="758" spans="1:4" x14ac:dyDescent="0.3">
      <c r="A758" s="88" t="s">
        <v>17</v>
      </c>
      <c r="B758" s="88"/>
      <c r="C758" s="16">
        <v>46170</v>
      </c>
      <c r="D758" s="79">
        <v>986983.19000000006</v>
      </c>
    </row>
    <row r="759" spans="1:4" x14ac:dyDescent="0.3">
      <c r="A759" s="88" t="s">
        <v>18</v>
      </c>
      <c r="B759" s="88"/>
      <c r="C759" s="16">
        <v>46170</v>
      </c>
      <c r="D759" s="79">
        <v>62397.280000000173</v>
      </c>
    </row>
    <row r="760" spans="1:4" x14ac:dyDescent="0.3">
      <c r="A760" s="88" t="s">
        <v>19</v>
      </c>
      <c r="B760" s="88"/>
      <c r="C760" s="16">
        <v>46170</v>
      </c>
      <c r="D760" s="79">
        <v>1669.89</v>
      </c>
    </row>
    <row r="761" spans="1:4" x14ac:dyDescent="0.3">
      <c r="A761" s="88" t="s">
        <v>20</v>
      </c>
      <c r="B761" s="88"/>
      <c r="C761" s="16">
        <v>46170</v>
      </c>
      <c r="D761" s="79">
        <v>376595.84999999986</v>
      </c>
    </row>
    <row r="762" spans="1:4" x14ac:dyDescent="0.3">
      <c r="A762" s="88" t="s">
        <v>21</v>
      </c>
      <c r="B762" s="88"/>
      <c r="C762" s="16">
        <v>46170</v>
      </c>
      <c r="D762" s="79">
        <v>1090396.4799999993</v>
      </c>
    </row>
    <row r="763" spans="1:4" x14ac:dyDescent="0.3">
      <c r="A763" s="88" t="s">
        <v>22</v>
      </c>
      <c r="B763" s="88"/>
      <c r="C763" s="16">
        <v>46170</v>
      </c>
      <c r="D763" s="79">
        <v>131496.38</v>
      </c>
    </row>
    <row r="764" spans="1:4" x14ac:dyDescent="0.3">
      <c r="A764" s="88" t="s">
        <v>23</v>
      </c>
      <c r="B764" s="88"/>
      <c r="C764" s="16">
        <v>46170</v>
      </c>
      <c r="D764" s="79">
        <v>88090.37</v>
      </c>
    </row>
    <row r="765" spans="1:4" x14ac:dyDescent="0.3">
      <c r="A765" s="88" t="s">
        <v>24</v>
      </c>
      <c r="B765" s="88"/>
      <c r="C765" s="16">
        <v>46170</v>
      </c>
      <c r="D765" s="79">
        <v>2498.3999999999996</v>
      </c>
    </row>
    <row r="766" spans="1:4" x14ac:dyDescent="0.3">
      <c r="A766" s="88" t="s">
        <v>25</v>
      </c>
      <c r="B766" s="88"/>
      <c r="C766" s="16">
        <v>46170</v>
      </c>
      <c r="D766" s="79">
        <v>114.3</v>
      </c>
    </row>
    <row r="767" spans="1:4" x14ac:dyDescent="0.3">
      <c r="A767" s="88" t="s">
        <v>26</v>
      </c>
      <c r="B767" s="88"/>
      <c r="C767" s="16">
        <v>46170</v>
      </c>
      <c r="D767" s="79">
        <v>2267.7200000000003</v>
      </c>
    </row>
    <row r="768" spans="1:4" x14ac:dyDescent="0.3">
      <c r="A768" s="88" t="s">
        <v>27</v>
      </c>
      <c r="B768" s="88"/>
      <c r="C768" s="16">
        <v>46170</v>
      </c>
      <c r="D768" s="79">
        <v>3349.94</v>
      </c>
    </row>
    <row r="769" spans="1:4" x14ac:dyDescent="0.3">
      <c r="A769" s="88" t="s">
        <v>28</v>
      </c>
      <c r="B769" s="88"/>
      <c r="C769" s="16">
        <v>46170</v>
      </c>
      <c r="D769" s="79">
        <v>1968.99</v>
      </c>
    </row>
    <row r="770" spans="1:4" x14ac:dyDescent="0.3">
      <c r="A770" s="88" t="s">
        <v>29</v>
      </c>
      <c r="B770" s="88"/>
      <c r="C770" s="16">
        <v>46170</v>
      </c>
      <c r="D770" s="79">
        <v>901.34</v>
      </c>
    </row>
    <row r="771" spans="1:4" x14ac:dyDescent="0.3">
      <c r="A771" s="88" t="s">
        <v>30</v>
      </c>
      <c r="B771" s="88"/>
      <c r="C771" s="16">
        <v>46170</v>
      </c>
      <c r="D771" s="79">
        <v>1444.08</v>
      </c>
    </row>
    <row r="772" spans="1:4" x14ac:dyDescent="0.3">
      <c r="A772" s="88" t="s">
        <v>31</v>
      </c>
      <c r="B772" s="88"/>
      <c r="C772" s="16">
        <v>46170</v>
      </c>
      <c r="D772" s="79">
        <v>35463.599999999962</v>
      </c>
    </row>
    <row r="773" spans="1:4" x14ac:dyDescent="0.3">
      <c r="A773" s="88" t="s">
        <v>32</v>
      </c>
      <c r="B773" s="88"/>
      <c r="C773" s="16">
        <v>46170</v>
      </c>
      <c r="D773" s="79">
        <v>15120.060000000001</v>
      </c>
    </row>
    <row r="774" spans="1:4" x14ac:dyDescent="0.3">
      <c r="A774" s="88" t="s">
        <v>33</v>
      </c>
      <c r="B774" s="88"/>
      <c r="C774" s="16">
        <v>46170</v>
      </c>
      <c r="D774" s="79">
        <v>33606.270000000004</v>
      </c>
    </row>
    <row r="775" spans="1:4" x14ac:dyDescent="0.3">
      <c r="A775" s="88" t="s">
        <v>34</v>
      </c>
      <c r="B775" s="88"/>
      <c r="C775" s="16">
        <v>46170</v>
      </c>
      <c r="D775" s="79">
        <v>345</v>
      </c>
    </row>
    <row r="776" spans="1:4" x14ac:dyDescent="0.3">
      <c r="A776" s="88" t="s">
        <v>35</v>
      </c>
      <c r="B776" s="88"/>
      <c r="C776" s="16">
        <v>46170</v>
      </c>
      <c r="D776" s="79">
        <v>9076.2400000000016</v>
      </c>
    </row>
    <row r="777" spans="1:4" x14ac:dyDescent="0.3">
      <c r="A777" s="88" t="s">
        <v>193</v>
      </c>
      <c r="B777" s="88"/>
      <c r="C777" s="16">
        <v>46170</v>
      </c>
      <c r="D777" s="79">
        <v>0</v>
      </c>
    </row>
    <row r="778" spans="1:4" x14ac:dyDescent="0.3">
      <c r="A778" s="88" t="s">
        <v>214</v>
      </c>
      <c r="B778" s="88"/>
      <c r="C778" s="16">
        <v>46170</v>
      </c>
      <c r="D778" s="79">
        <v>0</v>
      </c>
    </row>
    <row r="779" spans="1:4" x14ac:dyDescent="0.3">
      <c r="A779" s="88" t="s">
        <v>194</v>
      </c>
      <c r="B779" s="88"/>
      <c r="C779" s="16">
        <v>46170</v>
      </c>
      <c r="D779" s="79">
        <v>0</v>
      </c>
    </row>
    <row r="780" spans="1:4" x14ac:dyDescent="0.3">
      <c r="A780" s="88" t="s">
        <v>195</v>
      </c>
      <c r="B780" s="88"/>
      <c r="C780" s="16">
        <v>46170</v>
      </c>
      <c r="D780" s="79">
        <v>0</v>
      </c>
    </row>
    <row r="781" spans="1:4" x14ac:dyDescent="0.3">
      <c r="A781" s="88" t="s">
        <v>196</v>
      </c>
      <c r="B781" s="88"/>
      <c r="C781" s="16">
        <v>46170</v>
      </c>
      <c r="D781" s="79">
        <v>0</v>
      </c>
    </row>
    <row r="782" spans="1:4" x14ac:dyDescent="0.3">
      <c r="A782" s="88" t="s">
        <v>197</v>
      </c>
      <c r="B782" s="88"/>
      <c r="C782" s="16">
        <v>46170</v>
      </c>
      <c r="D782" s="79">
        <v>0</v>
      </c>
    </row>
    <row r="783" spans="1:4" x14ac:dyDescent="0.3">
      <c r="A783" s="88" t="s">
        <v>212</v>
      </c>
      <c r="B783" s="88"/>
      <c r="C783" s="16">
        <v>46170</v>
      </c>
      <c r="D783" s="79">
        <v>0</v>
      </c>
    </row>
    <row r="784" spans="1:4" x14ac:dyDescent="0.3">
      <c r="A784" s="88" t="s">
        <v>199</v>
      </c>
      <c r="B784" s="88"/>
      <c r="C784" s="16">
        <v>46170</v>
      </c>
      <c r="D784" s="79">
        <v>0</v>
      </c>
    </row>
    <row r="785" spans="1:4" x14ac:dyDescent="0.3">
      <c r="A785" s="88" t="s">
        <v>217</v>
      </c>
      <c r="B785" s="88"/>
      <c r="C785" s="16">
        <v>46170</v>
      </c>
      <c r="D785" s="79">
        <v>0</v>
      </c>
    </row>
    <row r="786" spans="1:4" x14ac:dyDescent="0.3">
      <c r="A786" s="88" t="s">
        <v>17</v>
      </c>
      <c r="B786" s="88"/>
      <c r="C786" s="16">
        <v>46171</v>
      </c>
      <c r="D786" s="79">
        <v>983394.14000000013</v>
      </c>
    </row>
    <row r="787" spans="1:4" x14ac:dyDescent="0.3">
      <c r="A787" s="88" t="s">
        <v>18</v>
      </c>
      <c r="B787" s="88"/>
      <c r="C787" s="16">
        <v>46171</v>
      </c>
      <c r="D787" s="79">
        <v>62397.280000000173</v>
      </c>
    </row>
    <row r="788" spans="1:4" x14ac:dyDescent="0.3">
      <c r="A788" s="88" t="s">
        <v>19</v>
      </c>
      <c r="B788" s="88"/>
      <c r="C788" s="16">
        <v>46171</v>
      </c>
      <c r="D788" s="79">
        <v>1669.89</v>
      </c>
    </row>
    <row r="789" spans="1:4" x14ac:dyDescent="0.3">
      <c r="A789" s="88" t="s">
        <v>20</v>
      </c>
      <c r="B789" s="88"/>
      <c r="C789" s="16">
        <v>46171</v>
      </c>
      <c r="D789" s="79">
        <v>424853.11999999988</v>
      </c>
    </row>
    <row r="790" spans="1:4" x14ac:dyDescent="0.3">
      <c r="A790" s="88" t="s">
        <v>21</v>
      </c>
      <c r="B790" s="88"/>
      <c r="C790" s="16">
        <v>46171</v>
      </c>
      <c r="D790" s="79">
        <v>1015901.6699999992</v>
      </c>
    </row>
    <row r="791" spans="1:4" x14ac:dyDescent="0.3">
      <c r="A791" s="88" t="s">
        <v>22</v>
      </c>
      <c r="B791" s="88"/>
      <c r="C791" s="16">
        <v>46171</v>
      </c>
      <c r="D791" s="79">
        <v>131496.38</v>
      </c>
    </row>
    <row r="792" spans="1:4" x14ac:dyDescent="0.3">
      <c r="A792" s="88" t="s">
        <v>23</v>
      </c>
      <c r="B792" s="88"/>
      <c r="C792" s="16">
        <v>46171</v>
      </c>
      <c r="D792" s="79">
        <v>88090.37</v>
      </c>
    </row>
    <row r="793" spans="1:4" x14ac:dyDescent="0.3">
      <c r="A793" s="88" t="s">
        <v>24</v>
      </c>
      <c r="B793" s="88"/>
      <c r="C793" s="16">
        <v>46171</v>
      </c>
      <c r="D793" s="79">
        <v>1227.9699999999998</v>
      </c>
    </row>
    <row r="794" spans="1:4" x14ac:dyDescent="0.3">
      <c r="A794" s="88" t="s">
        <v>25</v>
      </c>
      <c r="B794" s="88"/>
      <c r="C794" s="16">
        <v>46171</v>
      </c>
      <c r="D794" s="79">
        <v>114.3</v>
      </c>
    </row>
    <row r="795" spans="1:4" x14ac:dyDescent="0.3">
      <c r="A795" s="88" t="s">
        <v>26</v>
      </c>
      <c r="B795" s="88"/>
      <c r="C795" s="16">
        <v>46171</v>
      </c>
      <c r="D795" s="79">
        <v>2267.7200000000003</v>
      </c>
    </row>
    <row r="796" spans="1:4" x14ac:dyDescent="0.3">
      <c r="A796" s="88" t="s">
        <v>27</v>
      </c>
      <c r="B796" s="88"/>
      <c r="C796" s="16">
        <v>46171</v>
      </c>
      <c r="D796" s="79">
        <v>3349.94</v>
      </c>
    </row>
    <row r="797" spans="1:4" x14ac:dyDescent="0.3">
      <c r="A797" s="88" t="s">
        <v>28</v>
      </c>
      <c r="B797" s="88"/>
      <c r="C797" s="16">
        <v>46171</v>
      </c>
      <c r="D797" s="79">
        <v>1968.99</v>
      </c>
    </row>
    <row r="798" spans="1:4" x14ac:dyDescent="0.3">
      <c r="A798" s="88" t="s">
        <v>29</v>
      </c>
      <c r="B798" s="88"/>
      <c r="C798" s="16">
        <v>46171</v>
      </c>
      <c r="D798" s="79">
        <v>901.34</v>
      </c>
    </row>
    <row r="799" spans="1:4" x14ac:dyDescent="0.3">
      <c r="A799" s="88" t="s">
        <v>30</v>
      </c>
      <c r="B799" s="88"/>
      <c r="C799" s="16">
        <v>46171</v>
      </c>
      <c r="D799" s="79">
        <v>1444.08</v>
      </c>
    </row>
    <row r="800" spans="1:4" x14ac:dyDescent="0.3">
      <c r="A800" s="88" t="s">
        <v>31</v>
      </c>
      <c r="B800" s="88"/>
      <c r="C800" s="16">
        <v>46171</v>
      </c>
      <c r="D800" s="79">
        <v>35448.599999999962</v>
      </c>
    </row>
    <row r="801" spans="1:4" x14ac:dyDescent="0.3">
      <c r="A801" s="88" t="s">
        <v>32</v>
      </c>
      <c r="B801" s="88"/>
      <c r="C801" s="16">
        <v>46171</v>
      </c>
      <c r="D801" s="79">
        <v>15120.060000000001</v>
      </c>
    </row>
    <row r="802" spans="1:4" x14ac:dyDescent="0.3">
      <c r="A802" s="88" t="s">
        <v>33</v>
      </c>
      <c r="B802" s="88"/>
      <c r="C802" s="16">
        <v>46171</v>
      </c>
      <c r="D802" s="79">
        <v>33606.270000000004</v>
      </c>
    </row>
    <row r="803" spans="1:4" x14ac:dyDescent="0.3">
      <c r="A803" s="88" t="s">
        <v>34</v>
      </c>
      <c r="B803" s="88"/>
      <c r="C803" s="16">
        <v>46171</v>
      </c>
      <c r="D803" s="79">
        <v>345</v>
      </c>
    </row>
    <row r="804" spans="1:4" x14ac:dyDescent="0.3">
      <c r="A804" s="88" t="s">
        <v>35</v>
      </c>
      <c r="B804" s="88"/>
      <c r="C804" s="16">
        <v>46171</v>
      </c>
      <c r="D804" s="79">
        <v>9076.2400000000016</v>
      </c>
    </row>
    <row r="805" spans="1:4" x14ac:dyDescent="0.3">
      <c r="A805" s="88" t="s">
        <v>193</v>
      </c>
      <c r="B805" s="88"/>
      <c r="C805" s="16">
        <v>46171</v>
      </c>
      <c r="D805" s="79">
        <v>0</v>
      </c>
    </row>
    <row r="806" spans="1:4" x14ac:dyDescent="0.3">
      <c r="A806" s="88" t="s">
        <v>214</v>
      </c>
      <c r="B806" s="88"/>
      <c r="C806" s="16">
        <v>46171</v>
      </c>
      <c r="D806" s="79">
        <v>0</v>
      </c>
    </row>
    <row r="807" spans="1:4" x14ac:dyDescent="0.3">
      <c r="A807" s="88" t="s">
        <v>194</v>
      </c>
      <c r="B807" s="88"/>
      <c r="C807" s="16">
        <v>46171</v>
      </c>
      <c r="D807" s="79">
        <v>0</v>
      </c>
    </row>
    <row r="808" spans="1:4" x14ac:dyDescent="0.3">
      <c r="A808" s="88" t="s">
        <v>195</v>
      </c>
      <c r="B808" s="88"/>
      <c r="C808" s="16">
        <v>46171</v>
      </c>
      <c r="D808" s="79">
        <v>0</v>
      </c>
    </row>
    <row r="809" spans="1:4" x14ac:dyDescent="0.3">
      <c r="A809" s="88" t="s">
        <v>196</v>
      </c>
      <c r="B809" s="88"/>
      <c r="C809" s="16">
        <v>46171</v>
      </c>
      <c r="D809" s="79">
        <v>0</v>
      </c>
    </row>
    <row r="810" spans="1:4" x14ac:dyDescent="0.3">
      <c r="A810" s="88" t="s">
        <v>197</v>
      </c>
      <c r="B810" s="88"/>
      <c r="C810" s="16">
        <v>46171</v>
      </c>
      <c r="D810" s="79">
        <v>0</v>
      </c>
    </row>
    <row r="811" spans="1:4" x14ac:dyDescent="0.3">
      <c r="A811" s="88" t="s">
        <v>212</v>
      </c>
      <c r="B811" s="88"/>
      <c r="C811" s="16">
        <v>46171</v>
      </c>
      <c r="D811" s="79">
        <v>0</v>
      </c>
    </row>
    <row r="812" spans="1:4" x14ac:dyDescent="0.3">
      <c r="A812" s="88" t="s">
        <v>199</v>
      </c>
      <c r="B812" s="88"/>
      <c r="C812" s="16">
        <v>46171</v>
      </c>
      <c r="D812" s="79">
        <v>0</v>
      </c>
    </row>
    <row r="813" spans="1:4" x14ac:dyDescent="0.3">
      <c r="A813" s="88" t="s">
        <v>217</v>
      </c>
      <c r="B813" s="88"/>
      <c r="C813" s="16">
        <v>46171</v>
      </c>
      <c r="D813" s="79">
        <v>0</v>
      </c>
    </row>
    <row r="814" spans="1:4" x14ac:dyDescent="0.3">
      <c r="A814" s="88" t="s">
        <v>17</v>
      </c>
      <c r="B814" s="88"/>
      <c r="C814" s="16">
        <v>46172</v>
      </c>
      <c r="D814" s="79">
        <v>983394.14000000013</v>
      </c>
    </row>
    <row r="815" spans="1:4" x14ac:dyDescent="0.3">
      <c r="A815" s="88" t="s">
        <v>18</v>
      </c>
      <c r="B815" s="88"/>
      <c r="C815" s="16">
        <v>46172</v>
      </c>
      <c r="D815" s="79">
        <v>62397.280000000173</v>
      </c>
    </row>
    <row r="816" spans="1:4" x14ac:dyDescent="0.3">
      <c r="A816" s="88" t="s">
        <v>19</v>
      </c>
      <c r="B816" s="88"/>
      <c r="C816" s="16">
        <v>46172</v>
      </c>
      <c r="D816" s="79">
        <v>1669.89</v>
      </c>
    </row>
    <row r="817" spans="1:4" x14ac:dyDescent="0.3">
      <c r="A817" s="88" t="s">
        <v>20</v>
      </c>
      <c r="B817" s="88"/>
      <c r="C817" s="16">
        <v>46172</v>
      </c>
      <c r="D817" s="79">
        <v>424853.11999999988</v>
      </c>
    </row>
    <row r="818" spans="1:4" x14ac:dyDescent="0.3">
      <c r="A818" s="88" t="s">
        <v>21</v>
      </c>
      <c r="B818" s="88"/>
      <c r="C818" s="16">
        <v>46172</v>
      </c>
      <c r="D818" s="79">
        <v>1015901.6699999992</v>
      </c>
    </row>
    <row r="819" spans="1:4" x14ac:dyDescent="0.3">
      <c r="A819" s="88" t="s">
        <v>22</v>
      </c>
      <c r="B819" s="88"/>
      <c r="C819" s="16">
        <v>46172</v>
      </c>
      <c r="D819" s="79">
        <v>131496.38</v>
      </c>
    </row>
    <row r="820" spans="1:4" x14ac:dyDescent="0.3">
      <c r="A820" s="88" t="s">
        <v>23</v>
      </c>
      <c r="B820" s="88"/>
      <c r="C820" s="16">
        <v>46172</v>
      </c>
      <c r="D820" s="79">
        <v>88090.37</v>
      </c>
    </row>
    <row r="821" spans="1:4" x14ac:dyDescent="0.3">
      <c r="A821" s="88" t="s">
        <v>24</v>
      </c>
      <c r="B821" s="88"/>
      <c r="C821" s="16">
        <v>46172</v>
      </c>
      <c r="D821" s="79">
        <v>1227.9699999999998</v>
      </c>
    </row>
    <row r="822" spans="1:4" x14ac:dyDescent="0.3">
      <c r="A822" s="88" t="s">
        <v>25</v>
      </c>
      <c r="B822" s="88"/>
      <c r="C822" s="16">
        <v>46172</v>
      </c>
      <c r="D822" s="79">
        <v>114.3</v>
      </c>
    </row>
    <row r="823" spans="1:4" x14ac:dyDescent="0.3">
      <c r="A823" s="88" t="s">
        <v>26</v>
      </c>
      <c r="B823" s="88"/>
      <c r="C823" s="16">
        <v>46172</v>
      </c>
      <c r="D823" s="79">
        <v>2267.7200000000003</v>
      </c>
    </row>
    <row r="824" spans="1:4" x14ac:dyDescent="0.3">
      <c r="A824" s="88" t="s">
        <v>27</v>
      </c>
      <c r="B824" s="88"/>
      <c r="C824" s="16">
        <v>46172</v>
      </c>
      <c r="D824" s="79">
        <v>3349.94</v>
      </c>
    </row>
    <row r="825" spans="1:4" x14ac:dyDescent="0.3">
      <c r="A825" s="88" t="s">
        <v>28</v>
      </c>
      <c r="B825" s="88"/>
      <c r="C825" s="16">
        <v>46172</v>
      </c>
      <c r="D825" s="79">
        <v>1968.99</v>
      </c>
    </row>
    <row r="826" spans="1:4" x14ac:dyDescent="0.3">
      <c r="A826" s="88" t="s">
        <v>29</v>
      </c>
      <c r="B826" s="88"/>
      <c r="C826" s="16">
        <v>46172</v>
      </c>
      <c r="D826" s="79">
        <v>901.34</v>
      </c>
    </row>
    <row r="827" spans="1:4" x14ac:dyDescent="0.3">
      <c r="A827" s="88" t="s">
        <v>30</v>
      </c>
      <c r="B827" s="88"/>
      <c r="C827" s="16">
        <v>46172</v>
      </c>
      <c r="D827" s="79">
        <v>1444.08</v>
      </c>
    </row>
    <row r="828" spans="1:4" x14ac:dyDescent="0.3">
      <c r="A828" s="88" t="s">
        <v>31</v>
      </c>
      <c r="B828" s="88"/>
      <c r="C828" s="16">
        <v>46172</v>
      </c>
      <c r="D828" s="79">
        <v>35448.599999999962</v>
      </c>
    </row>
    <row r="829" spans="1:4" x14ac:dyDescent="0.3">
      <c r="A829" s="88" t="s">
        <v>32</v>
      </c>
      <c r="B829" s="88"/>
      <c r="C829" s="16">
        <v>46172</v>
      </c>
      <c r="D829" s="79">
        <v>15120.060000000001</v>
      </c>
    </row>
    <row r="830" spans="1:4" x14ac:dyDescent="0.3">
      <c r="A830" s="88" t="s">
        <v>33</v>
      </c>
      <c r="B830" s="88"/>
      <c r="C830" s="16">
        <v>46172</v>
      </c>
      <c r="D830" s="79">
        <v>33606.270000000004</v>
      </c>
    </row>
    <row r="831" spans="1:4" x14ac:dyDescent="0.3">
      <c r="A831" s="88" t="s">
        <v>34</v>
      </c>
      <c r="B831" s="88"/>
      <c r="C831" s="16">
        <v>46172</v>
      </c>
      <c r="D831" s="79">
        <v>345</v>
      </c>
    </row>
    <row r="832" spans="1:4" x14ac:dyDescent="0.3">
      <c r="A832" s="88" t="s">
        <v>35</v>
      </c>
      <c r="B832" s="88"/>
      <c r="C832" s="16">
        <v>46172</v>
      </c>
      <c r="D832" s="79">
        <v>9076.2400000000016</v>
      </c>
    </row>
    <row r="833" spans="1:4" x14ac:dyDescent="0.3">
      <c r="A833" s="88" t="s">
        <v>193</v>
      </c>
      <c r="B833" s="88"/>
      <c r="C833" s="16">
        <v>46172</v>
      </c>
      <c r="D833" s="79">
        <v>0</v>
      </c>
    </row>
    <row r="834" spans="1:4" x14ac:dyDescent="0.3">
      <c r="A834" s="88" t="s">
        <v>214</v>
      </c>
      <c r="B834" s="88"/>
      <c r="C834" s="16">
        <v>46172</v>
      </c>
      <c r="D834" s="79">
        <v>0</v>
      </c>
    </row>
    <row r="835" spans="1:4" x14ac:dyDescent="0.3">
      <c r="A835" s="88" t="s">
        <v>194</v>
      </c>
      <c r="B835" s="88"/>
      <c r="C835" s="16">
        <v>46172</v>
      </c>
      <c r="D835" s="79">
        <v>0</v>
      </c>
    </row>
    <row r="836" spans="1:4" x14ac:dyDescent="0.3">
      <c r="A836" s="88" t="s">
        <v>195</v>
      </c>
      <c r="B836" s="88"/>
      <c r="C836" s="16">
        <v>46172</v>
      </c>
      <c r="D836" s="79">
        <v>0</v>
      </c>
    </row>
    <row r="837" spans="1:4" x14ac:dyDescent="0.3">
      <c r="A837" s="88" t="s">
        <v>196</v>
      </c>
      <c r="B837" s="88"/>
      <c r="C837" s="16">
        <v>46172</v>
      </c>
      <c r="D837" s="79">
        <v>0</v>
      </c>
    </row>
    <row r="838" spans="1:4" x14ac:dyDescent="0.3">
      <c r="A838" s="88" t="s">
        <v>197</v>
      </c>
      <c r="B838" s="88"/>
      <c r="C838" s="16">
        <v>46172</v>
      </c>
      <c r="D838" s="79">
        <v>0</v>
      </c>
    </row>
    <row r="839" spans="1:4" x14ac:dyDescent="0.3">
      <c r="A839" s="88" t="s">
        <v>212</v>
      </c>
      <c r="B839" s="88"/>
      <c r="C839" s="16">
        <v>46172</v>
      </c>
      <c r="D839" s="79">
        <v>0</v>
      </c>
    </row>
    <row r="840" spans="1:4" x14ac:dyDescent="0.3">
      <c r="A840" s="88" t="s">
        <v>199</v>
      </c>
      <c r="B840" s="88"/>
      <c r="C840" s="16">
        <v>46172</v>
      </c>
      <c r="D840" s="79">
        <v>0</v>
      </c>
    </row>
    <row r="841" spans="1:4" x14ac:dyDescent="0.3">
      <c r="A841" s="88" t="s">
        <v>217</v>
      </c>
      <c r="B841" s="88"/>
      <c r="C841" s="16">
        <v>46172</v>
      </c>
      <c r="D841" s="79">
        <v>0</v>
      </c>
    </row>
    <row r="842" spans="1:4" x14ac:dyDescent="0.3">
      <c r="A842" s="88" t="s">
        <v>17</v>
      </c>
      <c r="B842" s="88"/>
      <c r="C842" s="16">
        <v>46173</v>
      </c>
      <c r="D842" s="79">
        <v>983394.14000000013</v>
      </c>
    </row>
    <row r="843" spans="1:4" x14ac:dyDescent="0.3">
      <c r="A843" s="88" t="s">
        <v>18</v>
      </c>
      <c r="B843" s="88"/>
      <c r="C843" s="16">
        <v>46173</v>
      </c>
      <c r="D843" s="79">
        <v>62397.280000000173</v>
      </c>
    </row>
    <row r="844" spans="1:4" x14ac:dyDescent="0.3">
      <c r="A844" s="88" t="s">
        <v>19</v>
      </c>
      <c r="B844" s="88"/>
      <c r="C844" s="16">
        <v>46173</v>
      </c>
      <c r="D844" s="79">
        <v>1669.89</v>
      </c>
    </row>
    <row r="845" spans="1:4" x14ac:dyDescent="0.3">
      <c r="A845" s="88" t="s">
        <v>20</v>
      </c>
      <c r="B845" s="88"/>
      <c r="C845" s="16">
        <v>46173</v>
      </c>
      <c r="D845" s="79">
        <v>424853.11999999988</v>
      </c>
    </row>
    <row r="846" spans="1:4" x14ac:dyDescent="0.3">
      <c r="A846" s="88" t="s">
        <v>21</v>
      </c>
      <c r="B846" s="88"/>
      <c r="C846" s="16">
        <v>46173</v>
      </c>
      <c r="D846" s="79">
        <v>1015901.6699999992</v>
      </c>
    </row>
    <row r="847" spans="1:4" x14ac:dyDescent="0.3">
      <c r="A847" s="88" t="s">
        <v>22</v>
      </c>
      <c r="B847" s="88"/>
      <c r="C847" s="16">
        <v>46173</v>
      </c>
      <c r="D847" s="79">
        <v>131496.38</v>
      </c>
    </row>
    <row r="848" spans="1:4" x14ac:dyDescent="0.3">
      <c r="A848" s="88" t="s">
        <v>23</v>
      </c>
      <c r="B848" s="88"/>
      <c r="C848" s="16">
        <v>46173</v>
      </c>
      <c r="D848" s="79">
        <v>88090.37</v>
      </c>
    </row>
    <row r="849" spans="1:4" x14ac:dyDescent="0.3">
      <c r="A849" s="88" t="s">
        <v>24</v>
      </c>
      <c r="B849" s="88"/>
      <c r="C849" s="16">
        <v>46173</v>
      </c>
      <c r="D849" s="79">
        <v>1227.9699999999998</v>
      </c>
    </row>
    <row r="850" spans="1:4" x14ac:dyDescent="0.3">
      <c r="A850" s="88" t="s">
        <v>25</v>
      </c>
      <c r="B850" s="88"/>
      <c r="C850" s="16">
        <v>46173</v>
      </c>
      <c r="D850" s="79">
        <v>114.3</v>
      </c>
    </row>
    <row r="851" spans="1:4" x14ac:dyDescent="0.3">
      <c r="A851" s="88" t="s">
        <v>26</v>
      </c>
      <c r="B851" s="88"/>
      <c r="C851" s="16">
        <v>46173</v>
      </c>
      <c r="D851" s="79">
        <v>2267.7200000000003</v>
      </c>
    </row>
    <row r="852" spans="1:4" x14ac:dyDescent="0.3">
      <c r="A852" s="88" t="s">
        <v>27</v>
      </c>
      <c r="B852" s="88"/>
      <c r="C852" s="16">
        <v>46173</v>
      </c>
      <c r="D852" s="79">
        <v>3349.94</v>
      </c>
    </row>
    <row r="853" spans="1:4" x14ac:dyDescent="0.3">
      <c r="A853" s="88" t="s">
        <v>28</v>
      </c>
      <c r="B853" s="88"/>
      <c r="C853" s="16">
        <v>46173</v>
      </c>
      <c r="D853" s="79">
        <v>1968.99</v>
      </c>
    </row>
    <row r="854" spans="1:4" x14ac:dyDescent="0.3">
      <c r="A854" s="88" t="s">
        <v>29</v>
      </c>
      <c r="B854" s="88"/>
      <c r="C854" s="16">
        <v>46173</v>
      </c>
      <c r="D854" s="79">
        <v>901.34</v>
      </c>
    </row>
    <row r="855" spans="1:4" x14ac:dyDescent="0.3">
      <c r="A855" s="88" t="s">
        <v>30</v>
      </c>
      <c r="B855" s="88"/>
      <c r="C855" s="16">
        <v>46173</v>
      </c>
      <c r="D855" s="79">
        <v>1444.08</v>
      </c>
    </row>
    <row r="856" spans="1:4" x14ac:dyDescent="0.3">
      <c r="A856" s="88" t="s">
        <v>31</v>
      </c>
      <c r="B856" s="88"/>
      <c r="C856" s="16">
        <v>46173</v>
      </c>
      <c r="D856" s="79">
        <v>35448.599999999962</v>
      </c>
    </row>
    <row r="857" spans="1:4" x14ac:dyDescent="0.3">
      <c r="A857" s="88" t="s">
        <v>32</v>
      </c>
      <c r="B857" s="88"/>
      <c r="C857" s="16">
        <v>46173</v>
      </c>
      <c r="D857" s="79">
        <v>15120.060000000001</v>
      </c>
    </row>
    <row r="858" spans="1:4" x14ac:dyDescent="0.3">
      <c r="A858" s="88" t="s">
        <v>33</v>
      </c>
      <c r="B858" s="88"/>
      <c r="C858" s="16">
        <v>46173</v>
      </c>
      <c r="D858" s="79">
        <v>33606.270000000004</v>
      </c>
    </row>
    <row r="859" spans="1:4" x14ac:dyDescent="0.3">
      <c r="A859" s="88" t="s">
        <v>34</v>
      </c>
      <c r="B859" s="88"/>
      <c r="C859" s="16">
        <v>46173</v>
      </c>
      <c r="D859" s="79">
        <v>345</v>
      </c>
    </row>
    <row r="860" spans="1:4" x14ac:dyDescent="0.3">
      <c r="A860" s="88" t="s">
        <v>35</v>
      </c>
      <c r="B860" s="88"/>
      <c r="C860" s="16">
        <v>46173</v>
      </c>
      <c r="D860" s="79">
        <v>9076.2400000000016</v>
      </c>
    </row>
    <row r="861" spans="1:4" x14ac:dyDescent="0.3">
      <c r="A861" s="88" t="s">
        <v>193</v>
      </c>
      <c r="B861" s="88"/>
      <c r="C861" s="16">
        <v>46173</v>
      </c>
      <c r="D861" s="79">
        <v>0</v>
      </c>
    </row>
    <row r="862" spans="1:4" x14ac:dyDescent="0.3">
      <c r="A862" s="88" t="s">
        <v>214</v>
      </c>
      <c r="B862" s="88"/>
      <c r="C862" s="16">
        <v>46173</v>
      </c>
      <c r="D862" s="79">
        <v>0</v>
      </c>
    </row>
    <row r="863" spans="1:4" x14ac:dyDescent="0.3">
      <c r="A863" s="88" t="s">
        <v>194</v>
      </c>
      <c r="B863" s="88"/>
      <c r="C863" s="16">
        <v>46173</v>
      </c>
      <c r="D863" s="79">
        <v>0</v>
      </c>
    </row>
    <row r="864" spans="1:4" x14ac:dyDescent="0.3">
      <c r="A864" s="88" t="s">
        <v>195</v>
      </c>
      <c r="B864" s="88"/>
      <c r="C864" s="16">
        <v>46173</v>
      </c>
      <c r="D864" s="79">
        <v>0</v>
      </c>
    </row>
    <row r="865" spans="1:4" x14ac:dyDescent="0.3">
      <c r="A865" s="88" t="s">
        <v>196</v>
      </c>
      <c r="B865" s="88"/>
      <c r="C865" s="16">
        <v>46173</v>
      </c>
      <c r="D865" s="79">
        <v>0</v>
      </c>
    </row>
    <row r="866" spans="1:4" x14ac:dyDescent="0.3">
      <c r="A866" s="88" t="s">
        <v>197</v>
      </c>
      <c r="B866" s="88"/>
      <c r="C866" s="16">
        <v>46173</v>
      </c>
      <c r="D866" s="79">
        <v>0</v>
      </c>
    </row>
    <row r="867" spans="1:4" x14ac:dyDescent="0.3">
      <c r="A867" s="88" t="s">
        <v>212</v>
      </c>
      <c r="B867" s="88"/>
      <c r="C867" s="16">
        <v>46173</v>
      </c>
      <c r="D867" s="79">
        <v>0</v>
      </c>
    </row>
    <row r="868" spans="1:4" x14ac:dyDescent="0.3">
      <c r="A868" s="88" t="s">
        <v>199</v>
      </c>
      <c r="B868" s="88"/>
      <c r="C868" s="16">
        <v>46173</v>
      </c>
      <c r="D868" s="79">
        <v>0</v>
      </c>
    </row>
    <row r="869" spans="1:4" x14ac:dyDescent="0.3">
      <c r="A869" s="88" t="s">
        <v>217</v>
      </c>
      <c r="B869" s="88"/>
      <c r="C869" s="16">
        <v>46173</v>
      </c>
      <c r="D869" s="79">
        <v>0</v>
      </c>
    </row>
    <row r="870" spans="1:4" x14ac:dyDescent="0.3">
      <c r="A870" s="88" t="s">
        <v>17</v>
      </c>
      <c r="B870" s="88"/>
      <c r="C870" s="16">
        <v>46174</v>
      </c>
      <c r="D870" s="79">
        <v>983394.14000000013</v>
      </c>
    </row>
    <row r="871" spans="1:4" x14ac:dyDescent="0.3">
      <c r="A871" s="88" t="s">
        <v>18</v>
      </c>
      <c r="B871" s="88"/>
      <c r="C871" s="16">
        <v>46174</v>
      </c>
      <c r="D871" s="79">
        <v>69376.390000000174</v>
      </c>
    </row>
    <row r="872" spans="1:4" x14ac:dyDescent="0.3">
      <c r="A872" s="88" t="s">
        <v>19</v>
      </c>
      <c r="B872" s="88"/>
      <c r="C872" s="16">
        <v>46174</v>
      </c>
      <c r="D872" s="79">
        <v>1669.89</v>
      </c>
    </row>
    <row r="873" spans="1:4" x14ac:dyDescent="0.3">
      <c r="A873" s="88" t="s">
        <v>20</v>
      </c>
      <c r="B873" s="88"/>
      <c r="C873" s="16">
        <v>46174</v>
      </c>
      <c r="D873" s="79">
        <v>804853.11999999988</v>
      </c>
    </row>
    <row r="874" spans="1:4" x14ac:dyDescent="0.3">
      <c r="A874" s="88" t="s">
        <v>21</v>
      </c>
      <c r="B874" s="88"/>
      <c r="C874" s="16">
        <v>46174</v>
      </c>
      <c r="D874" s="79">
        <v>1015901.6699999992</v>
      </c>
    </row>
    <row r="875" spans="1:4" x14ac:dyDescent="0.3">
      <c r="A875" s="88" t="s">
        <v>22</v>
      </c>
      <c r="B875" s="88"/>
      <c r="C875" s="16">
        <v>46174</v>
      </c>
      <c r="D875" s="79">
        <v>131496.38</v>
      </c>
    </row>
    <row r="876" spans="1:4" x14ac:dyDescent="0.3">
      <c r="A876" s="88" t="s">
        <v>23</v>
      </c>
      <c r="B876" s="88"/>
      <c r="C876" s="16">
        <v>46174</v>
      </c>
      <c r="D876" s="79">
        <v>20375.37</v>
      </c>
    </row>
    <row r="877" spans="1:4" x14ac:dyDescent="0.3">
      <c r="A877" s="88" t="s">
        <v>24</v>
      </c>
      <c r="B877" s="88"/>
      <c r="C877" s="16">
        <v>46174</v>
      </c>
      <c r="D877" s="79">
        <v>511.15999999999985</v>
      </c>
    </row>
    <row r="878" spans="1:4" x14ac:dyDescent="0.3">
      <c r="A878" s="88" t="s">
        <v>25</v>
      </c>
      <c r="B878" s="88"/>
      <c r="C878" s="16">
        <v>46174</v>
      </c>
      <c r="D878" s="79">
        <v>84.35</v>
      </c>
    </row>
    <row r="879" spans="1:4" x14ac:dyDescent="0.3">
      <c r="A879" s="88" t="s">
        <v>26</v>
      </c>
      <c r="B879" s="88"/>
      <c r="C879" s="16">
        <v>46174</v>
      </c>
      <c r="D879" s="79">
        <v>2237.77</v>
      </c>
    </row>
    <row r="880" spans="1:4" x14ac:dyDescent="0.3">
      <c r="A880" s="88" t="s">
        <v>27</v>
      </c>
      <c r="B880" s="88"/>
      <c r="C880" s="16">
        <v>46174</v>
      </c>
      <c r="D880" s="79">
        <v>3349.94</v>
      </c>
    </row>
    <row r="881" spans="1:4" x14ac:dyDescent="0.3">
      <c r="A881" s="88" t="s">
        <v>28</v>
      </c>
      <c r="B881" s="88"/>
      <c r="C881" s="16">
        <v>46174</v>
      </c>
      <c r="D881" s="79">
        <v>1968.99</v>
      </c>
    </row>
    <row r="882" spans="1:4" x14ac:dyDescent="0.3">
      <c r="A882" s="88" t="s">
        <v>29</v>
      </c>
      <c r="B882" s="88"/>
      <c r="C882" s="16">
        <v>46174</v>
      </c>
      <c r="D882" s="79">
        <v>901.34</v>
      </c>
    </row>
    <row r="883" spans="1:4" x14ac:dyDescent="0.3">
      <c r="A883" s="88" t="s">
        <v>30</v>
      </c>
      <c r="B883" s="88"/>
      <c r="C883" s="16">
        <v>46174</v>
      </c>
      <c r="D883" s="79">
        <v>1428.08</v>
      </c>
    </row>
    <row r="884" spans="1:4" x14ac:dyDescent="0.3">
      <c r="A884" s="88" t="s">
        <v>31</v>
      </c>
      <c r="B884" s="88"/>
      <c r="C884" s="16">
        <v>46174</v>
      </c>
      <c r="D884" s="79">
        <v>26416.26999999996</v>
      </c>
    </row>
    <row r="885" spans="1:4" x14ac:dyDescent="0.3">
      <c r="A885" s="88" t="s">
        <v>32</v>
      </c>
      <c r="B885" s="88"/>
      <c r="C885" s="16">
        <v>46174</v>
      </c>
      <c r="D885" s="79">
        <v>5321.4300000000021</v>
      </c>
    </row>
    <row r="886" spans="1:4" x14ac:dyDescent="0.3">
      <c r="A886" s="88" t="s">
        <v>33</v>
      </c>
      <c r="B886" s="88"/>
      <c r="C886" s="16">
        <v>46174</v>
      </c>
      <c r="D886" s="79">
        <v>24833.23</v>
      </c>
    </row>
    <row r="887" spans="1:4" x14ac:dyDescent="0.3">
      <c r="A887" s="88" t="s">
        <v>34</v>
      </c>
      <c r="B887" s="88"/>
      <c r="C887" s="16">
        <v>46174</v>
      </c>
      <c r="D887" s="79">
        <v>345</v>
      </c>
    </row>
    <row r="888" spans="1:4" x14ac:dyDescent="0.3">
      <c r="A888" s="88" t="s">
        <v>35</v>
      </c>
      <c r="B888" s="88"/>
      <c r="C888" s="16">
        <v>46174</v>
      </c>
      <c r="D888" s="79">
        <v>12117.82</v>
      </c>
    </row>
    <row r="889" spans="1:4" x14ac:dyDescent="0.3">
      <c r="A889" s="88" t="s">
        <v>193</v>
      </c>
      <c r="B889" s="88"/>
      <c r="C889" s="16">
        <v>46174</v>
      </c>
      <c r="D889" s="79">
        <v>0</v>
      </c>
    </row>
    <row r="890" spans="1:4" x14ac:dyDescent="0.3">
      <c r="A890" s="88" t="s">
        <v>214</v>
      </c>
      <c r="B890" s="88"/>
      <c r="C890" s="16">
        <v>46174</v>
      </c>
      <c r="D890" s="79">
        <v>0</v>
      </c>
    </row>
    <row r="891" spans="1:4" x14ac:dyDescent="0.3">
      <c r="A891" s="88" t="s">
        <v>194</v>
      </c>
      <c r="B891" s="88"/>
      <c r="C891" s="16">
        <v>46174</v>
      </c>
      <c r="D891" s="79">
        <v>0</v>
      </c>
    </row>
    <row r="892" spans="1:4" x14ac:dyDescent="0.3">
      <c r="A892" s="88" t="s">
        <v>195</v>
      </c>
      <c r="B892" s="88"/>
      <c r="C892" s="16">
        <v>46174</v>
      </c>
      <c r="D892" s="79">
        <v>0</v>
      </c>
    </row>
    <row r="893" spans="1:4" x14ac:dyDescent="0.3">
      <c r="A893" s="88" t="s">
        <v>196</v>
      </c>
      <c r="B893" s="88"/>
      <c r="C893" s="16">
        <v>46174</v>
      </c>
      <c r="D893" s="79">
        <v>0</v>
      </c>
    </row>
    <row r="894" spans="1:4" x14ac:dyDescent="0.3">
      <c r="A894" s="88" t="s">
        <v>197</v>
      </c>
      <c r="B894" s="88"/>
      <c r="C894" s="16">
        <v>46174</v>
      </c>
      <c r="D894" s="79">
        <v>0</v>
      </c>
    </row>
    <row r="895" spans="1:4" x14ac:dyDescent="0.3">
      <c r="A895" s="88" t="s">
        <v>212</v>
      </c>
      <c r="B895" s="88"/>
      <c r="C895" s="16">
        <v>46174</v>
      </c>
      <c r="D895" s="79">
        <v>0</v>
      </c>
    </row>
    <row r="896" spans="1:4" x14ac:dyDescent="0.3">
      <c r="A896" s="88" t="s">
        <v>199</v>
      </c>
      <c r="B896" s="88"/>
      <c r="C896" s="16">
        <v>46174</v>
      </c>
      <c r="D896" s="79">
        <v>0</v>
      </c>
    </row>
    <row r="897" spans="1:4" x14ac:dyDescent="0.3">
      <c r="A897" s="88" t="s">
        <v>217</v>
      </c>
      <c r="B897" s="88"/>
      <c r="C897" s="16">
        <v>46174</v>
      </c>
      <c r="D897" s="79">
        <v>0</v>
      </c>
    </row>
    <row r="898" spans="1:4" x14ac:dyDescent="0.3">
      <c r="A898" s="88" t="s">
        <v>17</v>
      </c>
      <c r="B898" s="88"/>
      <c r="C898" s="16">
        <v>46175</v>
      </c>
      <c r="D898" s="79">
        <v>983394.14000000013</v>
      </c>
    </row>
    <row r="899" spans="1:4" x14ac:dyDescent="0.3">
      <c r="A899" s="88" t="s">
        <v>18</v>
      </c>
      <c r="B899" s="88"/>
      <c r="C899" s="16">
        <v>46175</v>
      </c>
      <c r="D899" s="79">
        <v>69376.390000000174</v>
      </c>
    </row>
    <row r="900" spans="1:4" x14ac:dyDescent="0.3">
      <c r="A900" s="88" t="s">
        <v>19</v>
      </c>
      <c r="B900" s="88"/>
      <c r="C900" s="16">
        <v>46175</v>
      </c>
      <c r="D900" s="79">
        <v>1669.89</v>
      </c>
    </row>
    <row r="901" spans="1:4" x14ac:dyDescent="0.3">
      <c r="A901" s="88" t="s">
        <v>20</v>
      </c>
      <c r="B901" s="88"/>
      <c r="C901" s="16">
        <v>46175</v>
      </c>
      <c r="D901" s="79">
        <v>804853.11999999988</v>
      </c>
    </row>
    <row r="902" spans="1:4" x14ac:dyDescent="0.3">
      <c r="A902" s="88" t="s">
        <v>21</v>
      </c>
      <c r="B902" s="88"/>
      <c r="C902" s="16">
        <v>46175</v>
      </c>
      <c r="D902" s="79">
        <v>1015901.6699999992</v>
      </c>
    </row>
    <row r="903" spans="1:4" x14ac:dyDescent="0.3">
      <c r="A903" s="88" t="s">
        <v>22</v>
      </c>
      <c r="B903" s="88"/>
      <c r="C903" s="16">
        <v>46175</v>
      </c>
      <c r="D903" s="79">
        <v>131496.38</v>
      </c>
    </row>
    <row r="904" spans="1:4" x14ac:dyDescent="0.3">
      <c r="A904" s="88" t="s">
        <v>23</v>
      </c>
      <c r="B904" s="88"/>
      <c r="C904" s="16">
        <v>46175</v>
      </c>
      <c r="D904" s="79">
        <v>20375.37</v>
      </c>
    </row>
    <row r="905" spans="1:4" x14ac:dyDescent="0.3">
      <c r="A905" s="88" t="s">
        <v>24</v>
      </c>
      <c r="B905" s="88"/>
      <c r="C905" s="16">
        <v>46175</v>
      </c>
      <c r="D905" s="79">
        <v>511.15999999999985</v>
      </c>
    </row>
    <row r="906" spans="1:4" x14ac:dyDescent="0.3">
      <c r="A906" s="88" t="s">
        <v>25</v>
      </c>
      <c r="B906" s="88"/>
      <c r="C906" s="16">
        <v>46175</v>
      </c>
      <c r="D906" s="79">
        <v>84.35</v>
      </c>
    </row>
    <row r="907" spans="1:4" x14ac:dyDescent="0.3">
      <c r="A907" s="88" t="s">
        <v>26</v>
      </c>
      <c r="B907" s="88"/>
      <c r="C907" s="16">
        <v>46175</v>
      </c>
      <c r="D907" s="79">
        <v>2237.77</v>
      </c>
    </row>
    <row r="908" spans="1:4" x14ac:dyDescent="0.3">
      <c r="A908" s="88" t="s">
        <v>27</v>
      </c>
      <c r="B908" s="88"/>
      <c r="C908" s="16">
        <v>46175</v>
      </c>
      <c r="D908" s="79">
        <v>3349.94</v>
      </c>
    </row>
    <row r="909" spans="1:4" x14ac:dyDescent="0.3">
      <c r="A909" s="88" t="s">
        <v>28</v>
      </c>
      <c r="B909" s="88"/>
      <c r="C909" s="16">
        <v>46175</v>
      </c>
      <c r="D909" s="79">
        <v>1968.99</v>
      </c>
    </row>
    <row r="910" spans="1:4" x14ac:dyDescent="0.3">
      <c r="A910" s="88" t="s">
        <v>29</v>
      </c>
      <c r="B910" s="88"/>
      <c r="C910" s="16">
        <v>46175</v>
      </c>
      <c r="D910" s="79">
        <v>901.34</v>
      </c>
    </row>
    <row r="911" spans="1:4" x14ac:dyDescent="0.3">
      <c r="A911" s="88" t="s">
        <v>30</v>
      </c>
      <c r="B911" s="88"/>
      <c r="C911" s="16">
        <v>46175</v>
      </c>
      <c r="D911" s="79">
        <v>1428.08</v>
      </c>
    </row>
    <row r="912" spans="1:4" x14ac:dyDescent="0.3">
      <c r="A912" s="88" t="s">
        <v>31</v>
      </c>
      <c r="B912" s="88"/>
      <c r="C912" s="16">
        <v>46175</v>
      </c>
      <c r="D912" s="79">
        <v>25789.969999999961</v>
      </c>
    </row>
    <row r="913" spans="1:4" x14ac:dyDescent="0.3">
      <c r="A913" s="88" t="s">
        <v>32</v>
      </c>
      <c r="B913" s="88"/>
      <c r="C913" s="16">
        <v>46175</v>
      </c>
      <c r="D913" s="79">
        <v>5321.4300000000021</v>
      </c>
    </row>
    <row r="914" spans="1:4" x14ac:dyDescent="0.3">
      <c r="A914" s="88" t="s">
        <v>33</v>
      </c>
      <c r="B914" s="88"/>
      <c r="C914" s="16">
        <v>46175</v>
      </c>
      <c r="D914" s="79">
        <v>24833.23</v>
      </c>
    </row>
    <row r="915" spans="1:4" x14ac:dyDescent="0.3">
      <c r="A915" s="88" t="s">
        <v>34</v>
      </c>
      <c r="B915" s="88"/>
      <c r="C915" s="16">
        <v>46175</v>
      </c>
      <c r="D915" s="79">
        <v>345</v>
      </c>
    </row>
    <row r="916" spans="1:4" x14ac:dyDescent="0.3">
      <c r="A916" s="88" t="s">
        <v>35</v>
      </c>
      <c r="B916" s="88"/>
      <c r="C916" s="16">
        <v>46175</v>
      </c>
      <c r="D916" s="79">
        <v>8808.2400000000016</v>
      </c>
    </row>
    <row r="917" spans="1:4" x14ac:dyDescent="0.3">
      <c r="A917" s="88" t="s">
        <v>193</v>
      </c>
      <c r="B917" s="88"/>
      <c r="C917" s="16">
        <v>46175</v>
      </c>
      <c r="D917" s="79">
        <v>0</v>
      </c>
    </row>
    <row r="918" spans="1:4" x14ac:dyDescent="0.3">
      <c r="A918" s="88" t="s">
        <v>214</v>
      </c>
      <c r="B918" s="88"/>
      <c r="C918" s="16">
        <v>46175</v>
      </c>
      <c r="D918" s="79">
        <v>0</v>
      </c>
    </row>
    <row r="919" spans="1:4" x14ac:dyDescent="0.3">
      <c r="A919" s="88" t="s">
        <v>194</v>
      </c>
      <c r="B919" s="88"/>
      <c r="C919" s="16">
        <v>46175</v>
      </c>
      <c r="D919" s="79">
        <v>0</v>
      </c>
    </row>
    <row r="920" spans="1:4" x14ac:dyDescent="0.3">
      <c r="A920" s="88" t="s">
        <v>195</v>
      </c>
      <c r="B920" s="88"/>
      <c r="C920" s="16">
        <v>46175</v>
      </c>
      <c r="D920" s="79">
        <v>0</v>
      </c>
    </row>
    <row r="921" spans="1:4" x14ac:dyDescent="0.3">
      <c r="A921" s="88" t="s">
        <v>196</v>
      </c>
      <c r="B921" s="88"/>
      <c r="C921" s="16">
        <v>46175</v>
      </c>
      <c r="D921" s="79">
        <v>0</v>
      </c>
    </row>
    <row r="922" spans="1:4" x14ac:dyDescent="0.3">
      <c r="A922" s="88" t="s">
        <v>197</v>
      </c>
      <c r="B922" s="88"/>
      <c r="C922" s="16">
        <v>46175</v>
      </c>
      <c r="D922" s="79">
        <v>0</v>
      </c>
    </row>
    <row r="923" spans="1:4" x14ac:dyDescent="0.3">
      <c r="A923" s="88" t="s">
        <v>212</v>
      </c>
      <c r="B923" s="88"/>
      <c r="C923" s="16">
        <v>46175</v>
      </c>
      <c r="D923" s="79">
        <v>0</v>
      </c>
    </row>
    <row r="924" spans="1:4" x14ac:dyDescent="0.3">
      <c r="A924" s="88" t="s">
        <v>199</v>
      </c>
      <c r="B924" s="88"/>
      <c r="C924" s="16">
        <v>46175</v>
      </c>
      <c r="D924" s="79">
        <v>0</v>
      </c>
    </row>
    <row r="925" spans="1:4" x14ac:dyDescent="0.3">
      <c r="A925" s="88" t="s">
        <v>217</v>
      </c>
      <c r="B925" s="88"/>
      <c r="C925" s="16">
        <v>46175</v>
      </c>
      <c r="D925" s="79">
        <v>0</v>
      </c>
    </row>
    <row r="926" spans="1:4" x14ac:dyDescent="0.3">
      <c r="A926" s="88" t="s">
        <v>17</v>
      </c>
      <c r="B926" s="88"/>
      <c r="C926" s="16">
        <v>46176</v>
      </c>
      <c r="D926" s="79">
        <v>983394.14000000013</v>
      </c>
    </row>
    <row r="927" spans="1:4" x14ac:dyDescent="0.3">
      <c r="A927" s="88" t="s">
        <v>18</v>
      </c>
      <c r="B927" s="88"/>
      <c r="C927" s="16">
        <v>46176</v>
      </c>
      <c r="D927" s="79">
        <v>69376.390000000174</v>
      </c>
    </row>
    <row r="928" spans="1:4" x14ac:dyDescent="0.3">
      <c r="A928" s="88" t="s">
        <v>19</v>
      </c>
      <c r="B928" s="88"/>
      <c r="C928" s="16">
        <v>46176</v>
      </c>
      <c r="D928" s="79">
        <v>1669.89</v>
      </c>
    </row>
    <row r="929" spans="1:4" x14ac:dyDescent="0.3">
      <c r="A929" s="88" t="s">
        <v>20</v>
      </c>
      <c r="B929" s="88"/>
      <c r="C929" s="16">
        <v>46176</v>
      </c>
      <c r="D929" s="79">
        <v>804853.11999999988</v>
      </c>
    </row>
    <row r="930" spans="1:4" x14ac:dyDescent="0.3">
      <c r="A930" s="88" t="s">
        <v>21</v>
      </c>
      <c r="B930" s="88"/>
      <c r="C930" s="16">
        <v>46176</v>
      </c>
      <c r="D930" s="79">
        <v>1015611.6599999993</v>
      </c>
    </row>
    <row r="931" spans="1:4" x14ac:dyDescent="0.3">
      <c r="A931" s="88" t="s">
        <v>22</v>
      </c>
      <c r="B931" s="88"/>
      <c r="C931" s="16">
        <v>46176</v>
      </c>
      <c r="D931" s="79">
        <v>125496.38</v>
      </c>
    </row>
    <row r="932" spans="1:4" x14ac:dyDescent="0.3">
      <c r="A932" s="88" t="s">
        <v>23</v>
      </c>
      <c r="B932" s="88"/>
      <c r="C932" s="16">
        <v>46176</v>
      </c>
      <c r="D932" s="79">
        <v>20375.37</v>
      </c>
    </row>
    <row r="933" spans="1:4" x14ac:dyDescent="0.3">
      <c r="A933" s="88" t="s">
        <v>24</v>
      </c>
      <c r="B933" s="88"/>
      <c r="C933" s="16">
        <v>46176</v>
      </c>
      <c r="D933" s="79">
        <v>511.15999999999985</v>
      </c>
    </row>
    <row r="934" spans="1:4" x14ac:dyDescent="0.3">
      <c r="A934" s="88" t="s">
        <v>25</v>
      </c>
      <c r="B934" s="88"/>
      <c r="C934" s="16">
        <v>46176</v>
      </c>
      <c r="D934" s="79">
        <v>84.35</v>
      </c>
    </row>
    <row r="935" spans="1:4" x14ac:dyDescent="0.3">
      <c r="A935" s="88" t="s">
        <v>26</v>
      </c>
      <c r="B935" s="88"/>
      <c r="C935" s="16">
        <v>46176</v>
      </c>
      <c r="D935" s="79">
        <v>2237.77</v>
      </c>
    </row>
    <row r="936" spans="1:4" x14ac:dyDescent="0.3">
      <c r="A936" s="88" t="s">
        <v>27</v>
      </c>
      <c r="B936" s="88"/>
      <c r="C936" s="16">
        <v>46176</v>
      </c>
      <c r="D936" s="79">
        <v>3349.94</v>
      </c>
    </row>
    <row r="937" spans="1:4" x14ac:dyDescent="0.3">
      <c r="A937" s="88" t="s">
        <v>28</v>
      </c>
      <c r="B937" s="88"/>
      <c r="C937" s="16">
        <v>46176</v>
      </c>
      <c r="D937" s="79">
        <v>1968.99</v>
      </c>
    </row>
    <row r="938" spans="1:4" x14ac:dyDescent="0.3">
      <c r="A938" s="88" t="s">
        <v>29</v>
      </c>
      <c r="B938" s="88"/>
      <c r="C938" s="16">
        <v>46176</v>
      </c>
      <c r="D938" s="79">
        <v>901.34</v>
      </c>
    </row>
    <row r="939" spans="1:4" x14ac:dyDescent="0.3">
      <c r="A939" s="88" t="s">
        <v>30</v>
      </c>
      <c r="B939" s="88"/>
      <c r="C939" s="16">
        <v>46176</v>
      </c>
      <c r="D939" s="79">
        <v>1428.08</v>
      </c>
    </row>
    <row r="940" spans="1:4" x14ac:dyDescent="0.3">
      <c r="A940" s="88" t="s">
        <v>31</v>
      </c>
      <c r="B940" s="88"/>
      <c r="C940" s="16">
        <v>46176</v>
      </c>
      <c r="D940" s="79">
        <v>25789.969999999961</v>
      </c>
    </row>
    <row r="941" spans="1:4" x14ac:dyDescent="0.3">
      <c r="A941" s="88" t="s">
        <v>32</v>
      </c>
      <c r="B941" s="88"/>
      <c r="C941" s="16">
        <v>46176</v>
      </c>
      <c r="D941" s="79">
        <v>5321.4300000000021</v>
      </c>
    </row>
    <row r="942" spans="1:4" x14ac:dyDescent="0.3">
      <c r="A942" s="88" t="s">
        <v>33</v>
      </c>
      <c r="B942" s="88"/>
      <c r="C942" s="16">
        <v>46176</v>
      </c>
      <c r="D942" s="79">
        <v>24833.23</v>
      </c>
    </row>
    <row r="943" spans="1:4" x14ac:dyDescent="0.3">
      <c r="A943" s="88" t="s">
        <v>34</v>
      </c>
      <c r="B943" s="88"/>
      <c r="C943" s="16">
        <v>46176</v>
      </c>
      <c r="D943" s="79">
        <v>345</v>
      </c>
    </row>
    <row r="944" spans="1:4" x14ac:dyDescent="0.3">
      <c r="A944" s="88" t="s">
        <v>35</v>
      </c>
      <c r="B944" s="88"/>
      <c r="C944" s="16">
        <v>46176</v>
      </c>
      <c r="D944" s="79">
        <v>8808.2400000000016</v>
      </c>
    </row>
    <row r="945" spans="1:4" x14ac:dyDescent="0.3">
      <c r="A945" s="88" t="s">
        <v>193</v>
      </c>
      <c r="B945" s="88"/>
      <c r="C945" s="16">
        <v>46176</v>
      </c>
      <c r="D945" s="79">
        <v>0</v>
      </c>
    </row>
    <row r="946" spans="1:4" x14ac:dyDescent="0.3">
      <c r="A946" s="88" t="s">
        <v>214</v>
      </c>
      <c r="B946" s="88"/>
      <c r="C946" s="16">
        <v>46176</v>
      </c>
      <c r="D946" s="79">
        <v>0</v>
      </c>
    </row>
    <row r="947" spans="1:4" x14ac:dyDescent="0.3">
      <c r="A947" s="88" t="s">
        <v>194</v>
      </c>
      <c r="B947" s="88"/>
      <c r="C947" s="16">
        <v>46176</v>
      </c>
      <c r="D947" s="79">
        <v>0</v>
      </c>
    </row>
    <row r="948" spans="1:4" x14ac:dyDescent="0.3">
      <c r="A948" s="88" t="s">
        <v>195</v>
      </c>
      <c r="B948" s="88"/>
      <c r="C948" s="16">
        <v>46176</v>
      </c>
      <c r="D948" s="79">
        <v>0</v>
      </c>
    </row>
    <row r="949" spans="1:4" x14ac:dyDescent="0.3">
      <c r="A949" s="88" t="s">
        <v>196</v>
      </c>
      <c r="B949" s="88"/>
      <c r="C949" s="16">
        <v>46176</v>
      </c>
      <c r="D949" s="79">
        <v>0</v>
      </c>
    </row>
    <row r="950" spans="1:4" x14ac:dyDescent="0.3">
      <c r="A950" s="88" t="s">
        <v>197</v>
      </c>
      <c r="B950" s="88"/>
      <c r="C950" s="16">
        <v>46176</v>
      </c>
      <c r="D950" s="79">
        <v>0</v>
      </c>
    </row>
    <row r="951" spans="1:4" x14ac:dyDescent="0.3">
      <c r="A951" s="88" t="s">
        <v>212</v>
      </c>
      <c r="B951" s="88"/>
      <c r="C951" s="16">
        <v>46176</v>
      </c>
      <c r="D951" s="79">
        <v>0</v>
      </c>
    </row>
    <row r="952" spans="1:4" x14ac:dyDescent="0.3">
      <c r="A952" s="88" t="s">
        <v>199</v>
      </c>
      <c r="B952" s="88"/>
      <c r="C952" s="16">
        <v>46176</v>
      </c>
      <c r="D952" s="79">
        <v>0</v>
      </c>
    </row>
    <row r="953" spans="1:4" x14ac:dyDescent="0.3">
      <c r="A953" s="88" t="s">
        <v>217</v>
      </c>
      <c r="B953" s="88"/>
      <c r="C953" s="16">
        <v>46176</v>
      </c>
      <c r="D953" s="79">
        <v>0</v>
      </c>
    </row>
    <row r="954" spans="1:4" x14ac:dyDescent="0.3">
      <c r="A954" s="88" t="s">
        <v>17</v>
      </c>
      <c r="B954" s="88"/>
      <c r="C954" s="16">
        <v>46177</v>
      </c>
      <c r="D954" s="79">
        <v>733394.14000000013</v>
      </c>
    </row>
    <row r="955" spans="1:4" x14ac:dyDescent="0.3">
      <c r="A955" s="88" t="s">
        <v>18</v>
      </c>
      <c r="B955" s="88"/>
      <c r="C955" s="16">
        <v>46177</v>
      </c>
      <c r="D955" s="79">
        <v>69376.390000000174</v>
      </c>
    </row>
    <row r="956" spans="1:4" x14ac:dyDescent="0.3">
      <c r="A956" s="88" t="s">
        <v>19</v>
      </c>
      <c r="B956" s="88"/>
      <c r="C956" s="16">
        <v>46177</v>
      </c>
      <c r="D956" s="79">
        <v>1669.89</v>
      </c>
    </row>
    <row r="957" spans="1:4" x14ac:dyDescent="0.3">
      <c r="A957" s="88" t="s">
        <v>20</v>
      </c>
      <c r="B957" s="88"/>
      <c r="C957" s="16">
        <v>46177</v>
      </c>
      <c r="D957" s="79">
        <v>729545.23999999987</v>
      </c>
    </row>
    <row r="958" spans="1:4" x14ac:dyDescent="0.3">
      <c r="A958" s="88" t="s">
        <v>21</v>
      </c>
      <c r="B958" s="88"/>
      <c r="C958" s="16">
        <v>46177</v>
      </c>
      <c r="D958" s="79">
        <v>1171714.4499999993</v>
      </c>
    </row>
    <row r="959" spans="1:4" x14ac:dyDescent="0.3">
      <c r="A959" s="88" t="s">
        <v>22</v>
      </c>
      <c r="B959" s="88"/>
      <c r="C959" s="16">
        <v>46177</v>
      </c>
      <c r="D959" s="79">
        <v>116496.38</v>
      </c>
    </row>
    <row r="960" spans="1:4" x14ac:dyDescent="0.3">
      <c r="A960" s="88" t="s">
        <v>23</v>
      </c>
      <c r="B960" s="88"/>
      <c r="C960" s="16">
        <v>46177</v>
      </c>
      <c r="D960" s="79">
        <v>20375.37</v>
      </c>
    </row>
    <row r="961" spans="1:4" x14ac:dyDescent="0.3">
      <c r="A961" s="88" t="s">
        <v>24</v>
      </c>
      <c r="B961" s="88"/>
      <c r="C961" s="16">
        <v>46177</v>
      </c>
      <c r="D961" s="79">
        <v>511.15999999999985</v>
      </c>
    </row>
    <row r="962" spans="1:4" x14ac:dyDescent="0.3">
      <c r="A962" s="88" t="s">
        <v>25</v>
      </c>
      <c r="B962" s="88"/>
      <c r="C962" s="16">
        <v>46177</v>
      </c>
      <c r="D962" s="79">
        <v>84.35</v>
      </c>
    </row>
    <row r="963" spans="1:4" x14ac:dyDescent="0.3">
      <c r="A963" s="88" t="s">
        <v>26</v>
      </c>
      <c r="B963" s="88"/>
      <c r="C963" s="16">
        <v>46177</v>
      </c>
      <c r="D963" s="79">
        <v>2237.77</v>
      </c>
    </row>
    <row r="964" spans="1:4" x14ac:dyDescent="0.3">
      <c r="A964" s="88" t="s">
        <v>27</v>
      </c>
      <c r="B964" s="88"/>
      <c r="C964" s="16">
        <v>46177</v>
      </c>
      <c r="D964" s="79">
        <v>3349.94</v>
      </c>
    </row>
    <row r="965" spans="1:4" x14ac:dyDescent="0.3">
      <c r="A965" s="88" t="s">
        <v>28</v>
      </c>
      <c r="B965" s="88"/>
      <c r="C965" s="16">
        <v>46177</v>
      </c>
      <c r="D965" s="79">
        <v>1968.99</v>
      </c>
    </row>
    <row r="966" spans="1:4" x14ac:dyDescent="0.3">
      <c r="A966" s="88" t="s">
        <v>29</v>
      </c>
      <c r="B966" s="88"/>
      <c r="C966" s="16">
        <v>46177</v>
      </c>
      <c r="D966" s="79">
        <v>382.69000000000005</v>
      </c>
    </row>
    <row r="967" spans="1:4" x14ac:dyDescent="0.3">
      <c r="A967" s="88" t="s">
        <v>30</v>
      </c>
      <c r="B967" s="88"/>
      <c r="C967" s="16">
        <v>46177</v>
      </c>
      <c r="D967" s="79">
        <v>1428.08</v>
      </c>
    </row>
    <row r="968" spans="1:4" x14ac:dyDescent="0.3">
      <c r="A968" s="88" t="s">
        <v>31</v>
      </c>
      <c r="B968" s="88"/>
      <c r="C968" s="16">
        <v>46177</v>
      </c>
      <c r="D968" s="79">
        <v>25789.969999999961</v>
      </c>
    </row>
    <row r="969" spans="1:4" x14ac:dyDescent="0.3">
      <c r="A969" s="88" t="s">
        <v>32</v>
      </c>
      <c r="B969" s="88"/>
      <c r="C969" s="16">
        <v>46177</v>
      </c>
      <c r="D969" s="79">
        <v>5321.4300000000021</v>
      </c>
    </row>
    <row r="970" spans="1:4" x14ac:dyDescent="0.3">
      <c r="A970" s="88" t="s">
        <v>33</v>
      </c>
      <c r="B970" s="88"/>
      <c r="C970" s="16">
        <v>46177</v>
      </c>
      <c r="D970" s="79">
        <v>24833.23</v>
      </c>
    </row>
    <row r="971" spans="1:4" x14ac:dyDescent="0.3">
      <c r="A971" s="88" t="s">
        <v>34</v>
      </c>
      <c r="B971" s="88"/>
      <c r="C971" s="16">
        <v>46177</v>
      </c>
      <c r="D971" s="79">
        <v>345</v>
      </c>
    </row>
    <row r="972" spans="1:4" x14ac:dyDescent="0.3">
      <c r="A972" s="88" t="s">
        <v>35</v>
      </c>
      <c r="B972" s="88"/>
      <c r="C972" s="16">
        <v>46177</v>
      </c>
      <c r="D972" s="79">
        <v>7716.0900000000038</v>
      </c>
    </row>
    <row r="973" spans="1:4" x14ac:dyDescent="0.3">
      <c r="A973" s="88" t="s">
        <v>193</v>
      </c>
      <c r="B973" s="88"/>
      <c r="C973" s="16">
        <v>46177</v>
      </c>
      <c r="D973" s="79">
        <v>0</v>
      </c>
    </row>
    <row r="974" spans="1:4" x14ac:dyDescent="0.3">
      <c r="A974" s="88" t="s">
        <v>214</v>
      </c>
      <c r="B974" s="88"/>
      <c r="C974" s="16">
        <v>46177</v>
      </c>
      <c r="D974" s="79">
        <v>0</v>
      </c>
    </row>
    <row r="975" spans="1:4" x14ac:dyDescent="0.3">
      <c r="A975" s="88" t="s">
        <v>194</v>
      </c>
      <c r="B975" s="88"/>
      <c r="C975" s="16">
        <v>46177</v>
      </c>
      <c r="D975" s="79">
        <v>0</v>
      </c>
    </row>
    <row r="976" spans="1:4" x14ac:dyDescent="0.3">
      <c r="A976" s="88" t="s">
        <v>195</v>
      </c>
      <c r="B976" s="88"/>
      <c r="C976" s="16">
        <v>46177</v>
      </c>
      <c r="D976" s="79">
        <v>0</v>
      </c>
    </row>
    <row r="977" spans="1:4" x14ac:dyDescent="0.3">
      <c r="A977" s="88" t="s">
        <v>196</v>
      </c>
      <c r="B977" s="88"/>
      <c r="C977" s="16">
        <v>46177</v>
      </c>
      <c r="D977" s="79">
        <v>0</v>
      </c>
    </row>
    <row r="978" spans="1:4" x14ac:dyDescent="0.3">
      <c r="A978" s="88" t="s">
        <v>197</v>
      </c>
      <c r="B978" s="88"/>
      <c r="C978" s="16">
        <v>46177</v>
      </c>
      <c r="D978" s="79">
        <v>0</v>
      </c>
    </row>
    <row r="979" spans="1:4" x14ac:dyDescent="0.3">
      <c r="A979" s="88" t="s">
        <v>212</v>
      </c>
      <c r="B979" s="88"/>
      <c r="C979" s="16">
        <v>46177</v>
      </c>
      <c r="D979" s="79">
        <v>0</v>
      </c>
    </row>
    <row r="980" spans="1:4" x14ac:dyDescent="0.3">
      <c r="A980" s="88" t="s">
        <v>199</v>
      </c>
      <c r="B980" s="88"/>
      <c r="C980" s="16">
        <v>46177</v>
      </c>
      <c r="D980" s="79">
        <v>0</v>
      </c>
    </row>
    <row r="981" spans="1:4" x14ac:dyDescent="0.3">
      <c r="A981" s="88" t="s">
        <v>217</v>
      </c>
      <c r="B981" s="88"/>
      <c r="C981" s="16">
        <v>46177</v>
      </c>
      <c r="D981" s="79">
        <v>0</v>
      </c>
    </row>
    <row r="982" spans="1:4" x14ac:dyDescent="0.3">
      <c r="A982" s="88" t="s">
        <v>17</v>
      </c>
      <c r="B982" s="88"/>
      <c r="C982" s="16">
        <v>46178</v>
      </c>
      <c r="D982" s="79">
        <v>733394.14000000013</v>
      </c>
    </row>
    <row r="983" spans="1:4" x14ac:dyDescent="0.3">
      <c r="A983" s="88" t="s">
        <v>18</v>
      </c>
      <c r="B983" s="88"/>
      <c r="C983" s="16">
        <v>46178</v>
      </c>
      <c r="D983" s="79">
        <v>69376.390000000174</v>
      </c>
    </row>
    <row r="984" spans="1:4" x14ac:dyDescent="0.3">
      <c r="A984" s="88" t="s">
        <v>19</v>
      </c>
      <c r="B984" s="88"/>
      <c r="C984" s="16">
        <v>46178</v>
      </c>
      <c r="D984" s="79">
        <v>1669.89</v>
      </c>
    </row>
    <row r="985" spans="1:4" x14ac:dyDescent="0.3">
      <c r="A985" s="88" t="s">
        <v>20</v>
      </c>
      <c r="B985" s="88"/>
      <c r="C985" s="16">
        <v>46178</v>
      </c>
      <c r="D985" s="79">
        <v>729545.23999999987</v>
      </c>
    </row>
    <row r="986" spans="1:4" x14ac:dyDescent="0.3">
      <c r="A986" s="88" t="s">
        <v>21</v>
      </c>
      <c r="B986" s="88"/>
      <c r="C986" s="16">
        <v>46178</v>
      </c>
      <c r="D986" s="79">
        <v>1164028.3199999994</v>
      </c>
    </row>
    <row r="987" spans="1:4" x14ac:dyDescent="0.3">
      <c r="A987" s="88" t="s">
        <v>22</v>
      </c>
      <c r="B987" s="88"/>
      <c r="C987" s="16">
        <v>46178</v>
      </c>
      <c r="D987" s="79">
        <v>116496.38</v>
      </c>
    </row>
    <row r="988" spans="1:4" x14ac:dyDescent="0.3">
      <c r="A988" s="88" t="s">
        <v>23</v>
      </c>
      <c r="B988" s="88"/>
      <c r="C988" s="16">
        <v>46178</v>
      </c>
      <c r="D988" s="79">
        <v>20375.37</v>
      </c>
    </row>
    <row r="989" spans="1:4" x14ac:dyDescent="0.3">
      <c r="A989" s="88" t="s">
        <v>24</v>
      </c>
      <c r="B989" s="88"/>
      <c r="C989" s="16">
        <v>46178</v>
      </c>
      <c r="D989" s="79">
        <v>511.15999999999985</v>
      </c>
    </row>
    <row r="990" spans="1:4" x14ac:dyDescent="0.3">
      <c r="A990" s="88" t="s">
        <v>25</v>
      </c>
      <c r="B990" s="88"/>
      <c r="C990" s="16">
        <v>46178</v>
      </c>
      <c r="D990" s="79">
        <v>84.35</v>
      </c>
    </row>
    <row r="991" spans="1:4" x14ac:dyDescent="0.3">
      <c r="A991" s="88" t="s">
        <v>26</v>
      </c>
      <c r="B991" s="88"/>
      <c r="C991" s="16">
        <v>46178</v>
      </c>
      <c r="D991" s="79">
        <v>2237.77</v>
      </c>
    </row>
    <row r="992" spans="1:4" x14ac:dyDescent="0.3">
      <c r="A992" s="88" t="s">
        <v>27</v>
      </c>
      <c r="B992" s="88"/>
      <c r="C992" s="16">
        <v>46178</v>
      </c>
      <c r="D992" s="79">
        <v>3349.94</v>
      </c>
    </row>
    <row r="993" spans="1:4" x14ac:dyDescent="0.3">
      <c r="A993" s="88" t="s">
        <v>28</v>
      </c>
      <c r="B993" s="88"/>
      <c r="C993" s="16">
        <v>46178</v>
      </c>
      <c r="D993" s="79">
        <v>1968.99</v>
      </c>
    </row>
    <row r="994" spans="1:4" x14ac:dyDescent="0.3">
      <c r="A994" s="88" t="s">
        <v>29</v>
      </c>
      <c r="B994" s="88"/>
      <c r="C994" s="16">
        <v>46178</v>
      </c>
      <c r="D994" s="79">
        <v>382.69000000000005</v>
      </c>
    </row>
    <row r="995" spans="1:4" x14ac:dyDescent="0.3">
      <c r="A995" s="88" t="s">
        <v>30</v>
      </c>
      <c r="B995" s="88"/>
      <c r="C995" s="16">
        <v>46178</v>
      </c>
      <c r="D995" s="79">
        <v>1428.08</v>
      </c>
    </row>
    <row r="996" spans="1:4" x14ac:dyDescent="0.3">
      <c r="A996" s="88" t="s">
        <v>31</v>
      </c>
      <c r="B996" s="88"/>
      <c r="C996" s="16">
        <v>46178</v>
      </c>
      <c r="D996" s="79">
        <v>25789.969999999961</v>
      </c>
    </row>
    <row r="997" spans="1:4" x14ac:dyDescent="0.3">
      <c r="A997" s="88" t="s">
        <v>32</v>
      </c>
      <c r="B997" s="88"/>
      <c r="C997" s="16">
        <v>46178</v>
      </c>
      <c r="D997" s="79">
        <v>5321.4300000000021</v>
      </c>
    </row>
    <row r="998" spans="1:4" x14ac:dyDescent="0.3">
      <c r="A998" s="88" t="s">
        <v>33</v>
      </c>
      <c r="B998" s="88"/>
      <c r="C998" s="16">
        <v>46178</v>
      </c>
      <c r="D998" s="79">
        <v>24833.23</v>
      </c>
    </row>
    <row r="999" spans="1:4" x14ac:dyDescent="0.3">
      <c r="A999" s="88" t="s">
        <v>34</v>
      </c>
      <c r="B999" s="88"/>
      <c r="C999" s="16">
        <v>46178</v>
      </c>
      <c r="D999" s="79">
        <v>345</v>
      </c>
    </row>
    <row r="1000" spans="1:4" x14ac:dyDescent="0.3">
      <c r="A1000" s="88" t="s">
        <v>35</v>
      </c>
      <c r="B1000" s="88"/>
      <c r="C1000" s="16">
        <v>46178</v>
      </c>
      <c r="D1000" s="79">
        <v>7716.0900000000038</v>
      </c>
    </row>
    <row r="1001" spans="1:4" x14ac:dyDescent="0.3">
      <c r="A1001" s="88" t="s">
        <v>193</v>
      </c>
      <c r="B1001" s="88"/>
      <c r="C1001" s="16">
        <v>46178</v>
      </c>
      <c r="D1001" s="79">
        <v>0</v>
      </c>
    </row>
    <row r="1002" spans="1:4" x14ac:dyDescent="0.3">
      <c r="A1002" s="88" t="s">
        <v>214</v>
      </c>
      <c r="B1002" s="88"/>
      <c r="C1002" s="16">
        <v>46178</v>
      </c>
      <c r="D1002" s="79">
        <v>0</v>
      </c>
    </row>
    <row r="1003" spans="1:4" x14ac:dyDescent="0.3">
      <c r="A1003" s="88" t="s">
        <v>194</v>
      </c>
      <c r="B1003" s="88"/>
      <c r="C1003" s="16">
        <v>46178</v>
      </c>
      <c r="D1003" s="79">
        <v>0</v>
      </c>
    </row>
    <row r="1004" spans="1:4" x14ac:dyDescent="0.3">
      <c r="A1004" s="88" t="s">
        <v>195</v>
      </c>
      <c r="B1004" s="88"/>
      <c r="C1004" s="16">
        <v>46178</v>
      </c>
      <c r="D1004" s="79">
        <v>0</v>
      </c>
    </row>
    <row r="1005" spans="1:4" x14ac:dyDescent="0.3">
      <c r="A1005" s="88" t="s">
        <v>196</v>
      </c>
      <c r="B1005" s="88"/>
      <c r="C1005" s="16">
        <v>46178</v>
      </c>
      <c r="D1005" s="79">
        <v>0</v>
      </c>
    </row>
    <row r="1006" spans="1:4" x14ac:dyDescent="0.3">
      <c r="A1006" s="88" t="s">
        <v>197</v>
      </c>
      <c r="B1006" s="88"/>
      <c r="C1006" s="16">
        <v>46178</v>
      </c>
      <c r="D1006" s="79">
        <v>0</v>
      </c>
    </row>
    <row r="1007" spans="1:4" x14ac:dyDescent="0.3">
      <c r="A1007" s="88" t="s">
        <v>212</v>
      </c>
      <c r="B1007" s="88"/>
      <c r="C1007" s="16">
        <v>46178</v>
      </c>
      <c r="D1007" s="79">
        <v>0</v>
      </c>
    </row>
    <row r="1008" spans="1:4" x14ac:dyDescent="0.3">
      <c r="A1008" s="88" t="s">
        <v>199</v>
      </c>
      <c r="B1008" s="88"/>
      <c r="C1008" s="16">
        <v>46178</v>
      </c>
      <c r="D1008" s="79">
        <v>0</v>
      </c>
    </row>
    <row r="1009" spans="1:4" x14ac:dyDescent="0.3">
      <c r="A1009" s="88" t="s">
        <v>217</v>
      </c>
      <c r="B1009" s="88"/>
      <c r="C1009" s="16">
        <v>46178</v>
      </c>
      <c r="D1009" s="79">
        <v>0</v>
      </c>
    </row>
    <row r="1010" spans="1:4" x14ac:dyDescent="0.3">
      <c r="A1010" s="88" t="s">
        <v>17</v>
      </c>
      <c r="B1010" s="88"/>
      <c r="C1010" s="16">
        <v>46179</v>
      </c>
      <c r="D1010" s="79">
        <v>733394.14000000013</v>
      </c>
    </row>
    <row r="1011" spans="1:4" x14ac:dyDescent="0.3">
      <c r="A1011" s="88" t="s">
        <v>18</v>
      </c>
      <c r="B1011" s="88"/>
      <c r="C1011" s="16">
        <v>46179</v>
      </c>
      <c r="D1011" s="79">
        <v>69376.390000000174</v>
      </c>
    </row>
    <row r="1012" spans="1:4" x14ac:dyDescent="0.3">
      <c r="A1012" s="88" t="s">
        <v>19</v>
      </c>
      <c r="B1012" s="88"/>
      <c r="C1012" s="16">
        <v>46179</v>
      </c>
      <c r="D1012" s="79">
        <v>1669.89</v>
      </c>
    </row>
    <row r="1013" spans="1:4" x14ac:dyDescent="0.3">
      <c r="A1013" s="88" t="s">
        <v>20</v>
      </c>
      <c r="B1013" s="88"/>
      <c r="C1013" s="16">
        <v>46179</v>
      </c>
      <c r="D1013" s="79">
        <v>729545.23999999987</v>
      </c>
    </row>
    <row r="1014" spans="1:4" x14ac:dyDescent="0.3">
      <c r="A1014" s="88" t="s">
        <v>21</v>
      </c>
      <c r="B1014" s="88"/>
      <c r="C1014" s="16">
        <v>46179</v>
      </c>
      <c r="D1014" s="79">
        <v>1164028.3199999994</v>
      </c>
    </row>
    <row r="1015" spans="1:4" x14ac:dyDescent="0.3">
      <c r="A1015" s="88" t="s">
        <v>22</v>
      </c>
      <c r="B1015" s="88"/>
      <c r="C1015" s="16">
        <v>46179</v>
      </c>
      <c r="D1015" s="79">
        <v>116496.38</v>
      </c>
    </row>
    <row r="1016" spans="1:4" x14ac:dyDescent="0.3">
      <c r="A1016" s="88" t="s">
        <v>23</v>
      </c>
      <c r="B1016" s="88"/>
      <c r="C1016" s="16">
        <v>46179</v>
      </c>
      <c r="D1016" s="79">
        <v>20375.37</v>
      </c>
    </row>
    <row r="1017" spans="1:4" x14ac:dyDescent="0.3">
      <c r="A1017" s="88" t="s">
        <v>24</v>
      </c>
      <c r="B1017" s="88"/>
      <c r="C1017" s="16">
        <v>46179</v>
      </c>
      <c r="D1017" s="79">
        <v>511.15999999999985</v>
      </c>
    </row>
    <row r="1018" spans="1:4" x14ac:dyDescent="0.3">
      <c r="A1018" s="88" t="s">
        <v>25</v>
      </c>
      <c r="B1018" s="88"/>
      <c r="C1018" s="16">
        <v>46179</v>
      </c>
      <c r="D1018" s="79">
        <v>84.35</v>
      </c>
    </row>
    <row r="1019" spans="1:4" x14ac:dyDescent="0.3">
      <c r="A1019" s="88" t="s">
        <v>26</v>
      </c>
      <c r="B1019" s="88"/>
      <c r="C1019" s="16">
        <v>46179</v>
      </c>
      <c r="D1019" s="79">
        <v>2237.77</v>
      </c>
    </row>
    <row r="1020" spans="1:4" x14ac:dyDescent="0.3">
      <c r="A1020" s="88" t="s">
        <v>27</v>
      </c>
      <c r="B1020" s="88"/>
      <c r="C1020" s="16">
        <v>46179</v>
      </c>
      <c r="D1020" s="79">
        <v>3349.94</v>
      </c>
    </row>
    <row r="1021" spans="1:4" x14ac:dyDescent="0.3">
      <c r="A1021" s="88" t="s">
        <v>28</v>
      </c>
      <c r="B1021" s="88"/>
      <c r="C1021" s="16">
        <v>46179</v>
      </c>
      <c r="D1021" s="79">
        <v>1968.99</v>
      </c>
    </row>
    <row r="1022" spans="1:4" x14ac:dyDescent="0.3">
      <c r="A1022" s="88" t="s">
        <v>29</v>
      </c>
      <c r="B1022" s="88"/>
      <c r="C1022" s="16">
        <v>46179</v>
      </c>
      <c r="D1022" s="79">
        <v>382.69000000000005</v>
      </c>
    </row>
    <row r="1023" spans="1:4" x14ac:dyDescent="0.3">
      <c r="A1023" s="88" t="s">
        <v>30</v>
      </c>
      <c r="B1023" s="88"/>
      <c r="C1023" s="16">
        <v>46179</v>
      </c>
      <c r="D1023" s="79">
        <v>1428.08</v>
      </c>
    </row>
    <row r="1024" spans="1:4" x14ac:dyDescent="0.3">
      <c r="A1024" s="88" t="s">
        <v>31</v>
      </c>
      <c r="B1024" s="88"/>
      <c r="C1024" s="16">
        <v>46179</v>
      </c>
      <c r="D1024" s="79">
        <v>25789.969999999961</v>
      </c>
    </row>
    <row r="1025" spans="1:4" x14ac:dyDescent="0.3">
      <c r="A1025" s="88" t="s">
        <v>32</v>
      </c>
      <c r="B1025" s="88"/>
      <c r="C1025" s="16">
        <v>46179</v>
      </c>
      <c r="D1025" s="79">
        <v>5321.4300000000021</v>
      </c>
    </row>
    <row r="1026" spans="1:4" x14ac:dyDescent="0.3">
      <c r="A1026" s="88" t="s">
        <v>33</v>
      </c>
      <c r="B1026" s="88"/>
      <c r="C1026" s="16">
        <v>46179</v>
      </c>
      <c r="D1026" s="79">
        <v>24833.23</v>
      </c>
    </row>
    <row r="1027" spans="1:4" x14ac:dyDescent="0.3">
      <c r="A1027" s="88" t="s">
        <v>34</v>
      </c>
      <c r="B1027" s="88"/>
      <c r="C1027" s="16">
        <v>46179</v>
      </c>
      <c r="D1027" s="79">
        <v>345</v>
      </c>
    </row>
    <row r="1028" spans="1:4" x14ac:dyDescent="0.3">
      <c r="A1028" s="88" t="s">
        <v>35</v>
      </c>
      <c r="B1028" s="88"/>
      <c r="C1028" s="16">
        <v>46179</v>
      </c>
      <c r="D1028" s="79">
        <v>7716.0900000000038</v>
      </c>
    </row>
    <row r="1029" spans="1:4" x14ac:dyDescent="0.3">
      <c r="A1029" s="88" t="s">
        <v>193</v>
      </c>
      <c r="B1029" s="88"/>
      <c r="C1029" s="16">
        <v>46179</v>
      </c>
      <c r="D1029" s="79">
        <v>0</v>
      </c>
    </row>
    <row r="1030" spans="1:4" x14ac:dyDescent="0.3">
      <c r="A1030" s="88" t="s">
        <v>214</v>
      </c>
      <c r="B1030" s="88"/>
      <c r="C1030" s="16">
        <v>46179</v>
      </c>
      <c r="D1030" s="79">
        <v>0</v>
      </c>
    </row>
    <row r="1031" spans="1:4" x14ac:dyDescent="0.3">
      <c r="A1031" s="88" t="s">
        <v>194</v>
      </c>
      <c r="B1031" s="88"/>
      <c r="C1031" s="16">
        <v>46179</v>
      </c>
      <c r="D1031" s="79">
        <v>0</v>
      </c>
    </row>
    <row r="1032" spans="1:4" x14ac:dyDescent="0.3">
      <c r="A1032" s="88" t="s">
        <v>195</v>
      </c>
      <c r="B1032" s="88"/>
      <c r="C1032" s="16">
        <v>46179</v>
      </c>
      <c r="D1032" s="79">
        <v>0</v>
      </c>
    </row>
    <row r="1033" spans="1:4" x14ac:dyDescent="0.3">
      <c r="A1033" s="88" t="s">
        <v>196</v>
      </c>
      <c r="B1033" s="88"/>
      <c r="C1033" s="16">
        <v>46179</v>
      </c>
      <c r="D1033" s="79">
        <v>0</v>
      </c>
    </row>
    <row r="1034" spans="1:4" x14ac:dyDescent="0.3">
      <c r="A1034" s="88" t="s">
        <v>197</v>
      </c>
      <c r="B1034" s="88"/>
      <c r="C1034" s="16">
        <v>46179</v>
      </c>
      <c r="D1034" s="79">
        <v>0</v>
      </c>
    </row>
    <row r="1035" spans="1:4" x14ac:dyDescent="0.3">
      <c r="A1035" s="88" t="s">
        <v>212</v>
      </c>
      <c r="B1035" s="88"/>
      <c r="C1035" s="16">
        <v>46179</v>
      </c>
      <c r="D1035" s="79">
        <v>0</v>
      </c>
    </row>
    <row r="1036" spans="1:4" x14ac:dyDescent="0.3">
      <c r="A1036" s="88" t="s">
        <v>199</v>
      </c>
      <c r="B1036" s="88"/>
      <c r="C1036" s="16">
        <v>46179</v>
      </c>
      <c r="D1036" s="79">
        <v>0</v>
      </c>
    </row>
    <row r="1037" spans="1:4" x14ac:dyDescent="0.3">
      <c r="A1037" s="88" t="s">
        <v>217</v>
      </c>
      <c r="B1037" s="88"/>
      <c r="C1037" s="16">
        <v>46179</v>
      </c>
      <c r="D1037" s="79">
        <v>0</v>
      </c>
    </row>
    <row r="1038" spans="1:4" x14ac:dyDescent="0.3">
      <c r="A1038" s="88" t="s">
        <v>17</v>
      </c>
      <c r="B1038" s="88"/>
      <c r="C1038" s="16">
        <v>46180</v>
      </c>
      <c r="D1038" s="79">
        <v>733394.14000000013</v>
      </c>
    </row>
    <row r="1039" spans="1:4" x14ac:dyDescent="0.3">
      <c r="A1039" s="88" t="s">
        <v>18</v>
      </c>
      <c r="B1039" s="88"/>
      <c r="C1039" s="16">
        <v>46180</v>
      </c>
      <c r="D1039" s="79">
        <v>69376.390000000174</v>
      </c>
    </row>
    <row r="1040" spans="1:4" x14ac:dyDescent="0.3">
      <c r="A1040" s="88" t="s">
        <v>19</v>
      </c>
      <c r="B1040" s="88"/>
      <c r="C1040" s="16">
        <v>46180</v>
      </c>
      <c r="D1040" s="79">
        <v>1669.89</v>
      </c>
    </row>
    <row r="1041" spans="1:4" x14ac:dyDescent="0.3">
      <c r="A1041" s="88" t="s">
        <v>20</v>
      </c>
      <c r="B1041" s="88"/>
      <c r="C1041" s="16">
        <v>46180</v>
      </c>
      <c r="D1041" s="79">
        <v>729545.23999999987</v>
      </c>
    </row>
    <row r="1042" spans="1:4" x14ac:dyDescent="0.3">
      <c r="A1042" s="88" t="s">
        <v>21</v>
      </c>
      <c r="B1042" s="88"/>
      <c r="C1042" s="16">
        <v>46180</v>
      </c>
      <c r="D1042" s="79">
        <v>1164028.3199999994</v>
      </c>
    </row>
    <row r="1043" spans="1:4" x14ac:dyDescent="0.3">
      <c r="A1043" s="88" t="s">
        <v>22</v>
      </c>
      <c r="B1043" s="88"/>
      <c r="C1043" s="16">
        <v>46180</v>
      </c>
      <c r="D1043" s="79">
        <v>116496.38</v>
      </c>
    </row>
    <row r="1044" spans="1:4" x14ac:dyDescent="0.3">
      <c r="A1044" s="88" t="s">
        <v>23</v>
      </c>
      <c r="B1044" s="88"/>
      <c r="C1044" s="16">
        <v>46180</v>
      </c>
      <c r="D1044" s="79">
        <v>20375.37</v>
      </c>
    </row>
    <row r="1045" spans="1:4" x14ac:dyDescent="0.3">
      <c r="A1045" s="88" t="s">
        <v>24</v>
      </c>
      <c r="B1045" s="88"/>
      <c r="C1045" s="16">
        <v>46180</v>
      </c>
      <c r="D1045" s="79">
        <v>511.15999999999985</v>
      </c>
    </row>
    <row r="1046" spans="1:4" x14ac:dyDescent="0.3">
      <c r="A1046" s="88" t="s">
        <v>25</v>
      </c>
      <c r="B1046" s="88"/>
      <c r="C1046" s="16">
        <v>46180</v>
      </c>
      <c r="D1046" s="79">
        <v>84.35</v>
      </c>
    </row>
    <row r="1047" spans="1:4" x14ac:dyDescent="0.3">
      <c r="A1047" s="88" t="s">
        <v>26</v>
      </c>
      <c r="B1047" s="88"/>
      <c r="C1047" s="16">
        <v>46180</v>
      </c>
      <c r="D1047" s="79">
        <v>2237.77</v>
      </c>
    </row>
    <row r="1048" spans="1:4" x14ac:dyDescent="0.3">
      <c r="A1048" s="88" t="s">
        <v>27</v>
      </c>
      <c r="B1048" s="88"/>
      <c r="C1048" s="16">
        <v>46180</v>
      </c>
      <c r="D1048" s="79">
        <v>3349.94</v>
      </c>
    </row>
    <row r="1049" spans="1:4" x14ac:dyDescent="0.3">
      <c r="A1049" s="88" t="s">
        <v>28</v>
      </c>
      <c r="B1049" s="88"/>
      <c r="C1049" s="16">
        <v>46180</v>
      </c>
      <c r="D1049" s="79">
        <v>1968.99</v>
      </c>
    </row>
    <row r="1050" spans="1:4" x14ac:dyDescent="0.3">
      <c r="A1050" s="88" t="s">
        <v>29</v>
      </c>
      <c r="B1050" s="88"/>
      <c r="C1050" s="16">
        <v>46180</v>
      </c>
      <c r="D1050" s="79">
        <v>382.69000000000005</v>
      </c>
    </row>
    <row r="1051" spans="1:4" x14ac:dyDescent="0.3">
      <c r="A1051" s="88" t="s">
        <v>30</v>
      </c>
      <c r="B1051" s="88"/>
      <c r="C1051" s="16">
        <v>46180</v>
      </c>
      <c r="D1051" s="79">
        <v>1428.08</v>
      </c>
    </row>
    <row r="1052" spans="1:4" x14ac:dyDescent="0.3">
      <c r="A1052" s="88" t="s">
        <v>31</v>
      </c>
      <c r="B1052" s="88"/>
      <c r="C1052" s="16">
        <v>46180</v>
      </c>
      <c r="D1052" s="79">
        <v>25789.969999999961</v>
      </c>
    </row>
    <row r="1053" spans="1:4" x14ac:dyDescent="0.3">
      <c r="A1053" s="88" t="s">
        <v>32</v>
      </c>
      <c r="B1053" s="88"/>
      <c r="C1053" s="16">
        <v>46180</v>
      </c>
      <c r="D1053" s="79">
        <v>5321.4300000000021</v>
      </c>
    </row>
    <row r="1054" spans="1:4" x14ac:dyDescent="0.3">
      <c r="A1054" s="88" t="s">
        <v>33</v>
      </c>
      <c r="B1054" s="88"/>
      <c r="C1054" s="16">
        <v>46180</v>
      </c>
      <c r="D1054" s="79">
        <v>24833.23</v>
      </c>
    </row>
    <row r="1055" spans="1:4" x14ac:dyDescent="0.3">
      <c r="A1055" s="88" t="s">
        <v>34</v>
      </c>
      <c r="B1055" s="88"/>
      <c r="C1055" s="16">
        <v>46180</v>
      </c>
      <c r="D1055" s="79">
        <v>345</v>
      </c>
    </row>
    <row r="1056" spans="1:4" x14ac:dyDescent="0.3">
      <c r="A1056" s="88" t="s">
        <v>35</v>
      </c>
      <c r="B1056" s="88"/>
      <c r="C1056" s="16">
        <v>46180</v>
      </c>
      <c r="D1056" s="79">
        <v>7716.0900000000038</v>
      </c>
    </row>
    <row r="1057" spans="1:4" x14ac:dyDescent="0.3">
      <c r="A1057" s="88" t="s">
        <v>193</v>
      </c>
      <c r="B1057" s="88"/>
      <c r="C1057" s="16">
        <v>46180</v>
      </c>
      <c r="D1057" s="79">
        <v>0</v>
      </c>
    </row>
    <row r="1058" spans="1:4" x14ac:dyDescent="0.3">
      <c r="A1058" s="88" t="s">
        <v>214</v>
      </c>
      <c r="B1058" s="88"/>
      <c r="C1058" s="16">
        <v>46180</v>
      </c>
      <c r="D1058" s="79">
        <v>0</v>
      </c>
    </row>
    <row r="1059" spans="1:4" x14ac:dyDescent="0.3">
      <c r="A1059" s="88" t="s">
        <v>194</v>
      </c>
      <c r="B1059" s="88"/>
      <c r="C1059" s="16">
        <v>46180</v>
      </c>
      <c r="D1059" s="79">
        <v>0</v>
      </c>
    </row>
    <row r="1060" spans="1:4" x14ac:dyDescent="0.3">
      <c r="A1060" s="88" t="s">
        <v>195</v>
      </c>
      <c r="B1060" s="88"/>
      <c r="C1060" s="16">
        <v>46180</v>
      </c>
      <c r="D1060" s="79">
        <v>0</v>
      </c>
    </row>
    <row r="1061" spans="1:4" x14ac:dyDescent="0.3">
      <c r="A1061" s="88" t="s">
        <v>196</v>
      </c>
      <c r="B1061" s="88"/>
      <c r="C1061" s="16">
        <v>46180</v>
      </c>
      <c r="D1061" s="79">
        <v>0</v>
      </c>
    </row>
    <row r="1062" spans="1:4" x14ac:dyDescent="0.3">
      <c r="A1062" s="88" t="s">
        <v>197</v>
      </c>
      <c r="B1062" s="88"/>
      <c r="C1062" s="16">
        <v>46180</v>
      </c>
      <c r="D1062" s="79">
        <v>0</v>
      </c>
    </row>
    <row r="1063" spans="1:4" x14ac:dyDescent="0.3">
      <c r="A1063" s="88" t="s">
        <v>212</v>
      </c>
      <c r="B1063" s="88"/>
      <c r="C1063" s="16">
        <v>46180</v>
      </c>
      <c r="D1063" s="79">
        <v>0</v>
      </c>
    </row>
    <row r="1064" spans="1:4" x14ac:dyDescent="0.3">
      <c r="A1064" s="88" t="s">
        <v>199</v>
      </c>
      <c r="B1064" s="88"/>
      <c r="C1064" s="16">
        <v>46180</v>
      </c>
      <c r="D1064" s="79">
        <v>0</v>
      </c>
    </row>
    <row r="1065" spans="1:4" x14ac:dyDescent="0.3">
      <c r="A1065" s="88" t="s">
        <v>217</v>
      </c>
      <c r="B1065" s="88"/>
      <c r="C1065" s="16">
        <v>46180</v>
      </c>
      <c r="D1065" s="79">
        <v>0</v>
      </c>
    </row>
    <row r="1066" spans="1:4" x14ac:dyDescent="0.3">
      <c r="A1066" s="88" t="s">
        <v>17</v>
      </c>
      <c r="B1066" s="88"/>
      <c r="C1066" s="16">
        <v>46181</v>
      </c>
      <c r="D1066" s="79">
        <v>733394.14000000013</v>
      </c>
    </row>
    <row r="1067" spans="1:4" x14ac:dyDescent="0.3">
      <c r="A1067" s="88" t="s">
        <v>18</v>
      </c>
      <c r="B1067" s="88"/>
      <c r="C1067" s="16">
        <v>46181</v>
      </c>
      <c r="D1067" s="79">
        <v>69376.390000000174</v>
      </c>
    </row>
    <row r="1068" spans="1:4" x14ac:dyDescent="0.3">
      <c r="A1068" s="88" t="s">
        <v>19</v>
      </c>
      <c r="B1068" s="88"/>
      <c r="C1068" s="16">
        <v>46181</v>
      </c>
      <c r="D1068" s="79">
        <v>1669.89</v>
      </c>
    </row>
    <row r="1069" spans="1:4" x14ac:dyDescent="0.3">
      <c r="A1069" s="88" t="s">
        <v>20</v>
      </c>
      <c r="B1069" s="88"/>
      <c r="C1069" s="16">
        <v>46181</v>
      </c>
      <c r="D1069" s="79">
        <v>729545.23999999987</v>
      </c>
    </row>
    <row r="1070" spans="1:4" x14ac:dyDescent="0.3">
      <c r="A1070" s="88" t="s">
        <v>21</v>
      </c>
      <c r="B1070" s="88"/>
      <c r="C1070" s="16">
        <v>46181</v>
      </c>
      <c r="D1070" s="79">
        <v>1164028.3199999994</v>
      </c>
    </row>
    <row r="1071" spans="1:4" x14ac:dyDescent="0.3">
      <c r="A1071" s="88" t="s">
        <v>22</v>
      </c>
      <c r="B1071" s="88"/>
      <c r="C1071" s="16">
        <v>46181</v>
      </c>
      <c r="D1071" s="79">
        <v>116496.38</v>
      </c>
    </row>
    <row r="1072" spans="1:4" x14ac:dyDescent="0.3">
      <c r="A1072" s="88" t="s">
        <v>23</v>
      </c>
      <c r="B1072" s="88"/>
      <c r="C1072" s="16">
        <v>46181</v>
      </c>
      <c r="D1072" s="79">
        <v>20375.37</v>
      </c>
    </row>
    <row r="1073" spans="1:4" x14ac:dyDescent="0.3">
      <c r="A1073" s="88" t="s">
        <v>24</v>
      </c>
      <c r="B1073" s="88"/>
      <c r="C1073" s="16">
        <v>46181</v>
      </c>
      <c r="D1073" s="79">
        <v>511.15999999999985</v>
      </c>
    </row>
    <row r="1074" spans="1:4" x14ac:dyDescent="0.3">
      <c r="A1074" s="88" t="s">
        <v>25</v>
      </c>
      <c r="B1074" s="88"/>
      <c r="C1074" s="16">
        <v>46181</v>
      </c>
      <c r="D1074" s="79">
        <v>84.35</v>
      </c>
    </row>
    <row r="1075" spans="1:4" x14ac:dyDescent="0.3">
      <c r="A1075" s="88" t="s">
        <v>26</v>
      </c>
      <c r="B1075" s="88"/>
      <c r="C1075" s="16">
        <v>46181</v>
      </c>
      <c r="D1075" s="79">
        <v>2237.77</v>
      </c>
    </row>
    <row r="1076" spans="1:4" x14ac:dyDescent="0.3">
      <c r="A1076" s="88" t="s">
        <v>27</v>
      </c>
      <c r="B1076" s="88"/>
      <c r="C1076" s="16">
        <v>46181</v>
      </c>
      <c r="D1076" s="79">
        <v>3349.94</v>
      </c>
    </row>
    <row r="1077" spans="1:4" x14ac:dyDescent="0.3">
      <c r="A1077" s="88" t="s">
        <v>28</v>
      </c>
      <c r="B1077" s="88"/>
      <c r="C1077" s="16">
        <v>46181</v>
      </c>
      <c r="D1077" s="79">
        <v>1968.99</v>
      </c>
    </row>
    <row r="1078" spans="1:4" x14ac:dyDescent="0.3">
      <c r="A1078" s="88" t="s">
        <v>29</v>
      </c>
      <c r="B1078" s="88"/>
      <c r="C1078" s="16">
        <v>46181</v>
      </c>
      <c r="D1078" s="79">
        <v>382.69000000000005</v>
      </c>
    </row>
    <row r="1079" spans="1:4" x14ac:dyDescent="0.3">
      <c r="A1079" s="88" t="s">
        <v>30</v>
      </c>
      <c r="B1079" s="88"/>
      <c r="C1079" s="16">
        <v>46181</v>
      </c>
      <c r="D1079" s="79">
        <v>1428.08</v>
      </c>
    </row>
    <row r="1080" spans="1:4" x14ac:dyDescent="0.3">
      <c r="A1080" s="88" t="s">
        <v>31</v>
      </c>
      <c r="B1080" s="88"/>
      <c r="C1080" s="16">
        <v>46181</v>
      </c>
      <c r="D1080" s="79">
        <v>25789.969999999961</v>
      </c>
    </row>
    <row r="1081" spans="1:4" x14ac:dyDescent="0.3">
      <c r="A1081" s="88" t="s">
        <v>32</v>
      </c>
      <c r="B1081" s="88"/>
      <c r="C1081" s="16">
        <v>46181</v>
      </c>
      <c r="D1081" s="79">
        <v>5321.4300000000021</v>
      </c>
    </row>
    <row r="1082" spans="1:4" x14ac:dyDescent="0.3">
      <c r="A1082" s="88" t="s">
        <v>33</v>
      </c>
      <c r="B1082" s="88"/>
      <c r="C1082" s="16">
        <v>46181</v>
      </c>
      <c r="D1082" s="79">
        <v>24833.23</v>
      </c>
    </row>
    <row r="1083" spans="1:4" x14ac:dyDescent="0.3">
      <c r="A1083" s="88" t="s">
        <v>34</v>
      </c>
      <c r="B1083" s="88"/>
      <c r="C1083" s="16">
        <v>46181</v>
      </c>
      <c r="D1083" s="79">
        <v>345</v>
      </c>
    </row>
    <row r="1084" spans="1:4" x14ac:dyDescent="0.3">
      <c r="A1084" s="88" t="s">
        <v>35</v>
      </c>
      <c r="B1084" s="88"/>
      <c r="C1084" s="16">
        <v>46181</v>
      </c>
      <c r="D1084" s="79">
        <v>6744.5000000000036</v>
      </c>
    </row>
    <row r="1085" spans="1:4" x14ac:dyDescent="0.3">
      <c r="A1085" s="88" t="s">
        <v>193</v>
      </c>
      <c r="B1085" s="88"/>
      <c r="C1085" s="16">
        <v>46181</v>
      </c>
      <c r="D1085" s="79">
        <v>0</v>
      </c>
    </row>
    <row r="1086" spans="1:4" x14ac:dyDescent="0.3">
      <c r="A1086" s="88" t="s">
        <v>214</v>
      </c>
      <c r="B1086" s="88"/>
      <c r="C1086" s="16">
        <v>46181</v>
      </c>
      <c r="D1086" s="79">
        <v>0</v>
      </c>
    </row>
    <row r="1087" spans="1:4" x14ac:dyDescent="0.3">
      <c r="A1087" s="88" t="s">
        <v>194</v>
      </c>
      <c r="B1087" s="88"/>
      <c r="C1087" s="16">
        <v>46181</v>
      </c>
      <c r="D1087" s="79">
        <v>0</v>
      </c>
    </row>
    <row r="1088" spans="1:4" x14ac:dyDescent="0.3">
      <c r="A1088" s="88" t="s">
        <v>195</v>
      </c>
      <c r="B1088" s="88"/>
      <c r="C1088" s="16">
        <v>46181</v>
      </c>
      <c r="D1088" s="79">
        <v>0</v>
      </c>
    </row>
    <row r="1089" spans="1:4" x14ac:dyDescent="0.3">
      <c r="A1089" s="88" t="s">
        <v>196</v>
      </c>
      <c r="B1089" s="88"/>
      <c r="C1089" s="16">
        <v>46181</v>
      </c>
      <c r="D1089" s="79">
        <v>0</v>
      </c>
    </row>
    <row r="1090" spans="1:4" x14ac:dyDescent="0.3">
      <c r="A1090" s="88" t="s">
        <v>197</v>
      </c>
      <c r="B1090" s="88"/>
      <c r="C1090" s="16">
        <v>46181</v>
      </c>
      <c r="D1090" s="79">
        <v>0</v>
      </c>
    </row>
    <row r="1091" spans="1:4" x14ac:dyDescent="0.3">
      <c r="A1091" s="88" t="s">
        <v>212</v>
      </c>
      <c r="B1091" s="88"/>
      <c r="C1091" s="16">
        <v>46181</v>
      </c>
      <c r="D1091" s="79">
        <v>0</v>
      </c>
    </row>
    <row r="1092" spans="1:4" x14ac:dyDescent="0.3">
      <c r="A1092" s="88" t="s">
        <v>199</v>
      </c>
      <c r="B1092" s="88"/>
      <c r="C1092" s="16">
        <v>46181</v>
      </c>
      <c r="D1092" s="79">
        <v>0</v>
      </c>
    </row>
    <row r="1093" spans="1:4" x14ac:dyDescent="0.3">
      <c r="A1093" s="88" t="s">
        <v>217</v>
      </c>
      <c r="B1093" s="88"/>
      <c r="C1093" s="16">
        <v>46181</v>
      </c>
      <c r="D1093" s="79">
        <v>0</v>
      </c>
    </row>
    <row r="1094" spans="1:4" x14ac:dyDescent="0.3">
      <c r="A1094" s="88" t="s">
        <v>17</v>
      </c>
      <c r="B1094" s="88"/>
      <c r="C1094" s="16">
        <v>46182</v>
      </c>
      <c r="D1094" s="79">
        <v>847381.29000000015</v>
      </c>
    </row>
    <row r="1095" spans="1:4" x14ac:dyDescent="0.3">
      <c r="A1095" s="88" t="s">
        <v>18</v>
      </c>
      <c r="B1095" s="88"/>
      <c r="C1095" s="16">
        <v>46182</v>
      </c>
      <c r="D1095" s="79">
        <v>69376.390000000174</v>
      </c>
    </row>
    <row r="1096" spans="1:4" x14ac:dyDescent="0.3">
      <c r="A1096" s="88" t="s">
        <v>19</v>
      </c>
      <c r="B1096" s="88"/>
      <c r="C1096" s="16">
        <v>46182</v>
      </c>
      <c r="D1096" s="79">
        <v>1669.89</v>
      </c>
    </row>
    <row r="1097" spans="1:4" x14ac:dyDescent="0.3">
      <c r="A1097" s="88" t="s">
        <v>20</v>
      </c>
      <c r="B1097" s="88"/>
      <c r="C1097" s="16">
        <v>46182</v>
      </c>
      <c r="D1097" s="79">
        <v>729545.23999999987</v>
      </c>
    </row>
    <row r="1098" spans="1:4" x14ac:dyDescent="0.3">
      <c r="A1098" s="88" t="s">
        <v>21</v>
      </c>
      <c r="B1098" s="88"/>
      <c r="C1098" s="16">
        <v>46182</v>
      </c>
      <c r="D1098" s="79">
        <v>1160274.0499999993</v>
      </c>
    </row>
    <row r="1099" spans="1:4" x14ac:dyDescent="0.3">
      <c r="A1099" s="88" t="s">
        <v>22</v>
      </c>
      <c r="B1099" s="88"/>
      <c r="C1099" s="16">
        <v>46182</v>
      </c>
      <c r="D1099" s="79">
        <v>116496.38</v>
      </c>
    </row>
    <row r="1100" spans="1:4" x14ac:dyDescent="0.3">
      <c r="A1100" s="88" t="s">
        <v>23</v>
      </c>
      <c r="B1100" s="88"/>
      <c r="C1100" s="16">
        <v>46182</v>
      </c>
      <c r="D1100" s="79">
        <v>20375.37</v>
      </c>
    </row>
    <row r="1101" spans="1:4" x14ac:dyDescent="0.3">
      <c r="A1101" s="88" t="s">
        <v>24</v>
      </c>
      <c r="B1101" s="88"/>
      <c r="C1101" s="16">
        <v>46182</v>
      </c>
      <c r="D1101" s="79">
        <v>511.15999999999985</v>
      </c>
    </row>
    <row r="1102" spans="1:4" x14ac:dyDescent="0.3">
      <c r="A1102" s="88" t="s">
        <v>25</v>
      </c>
      <c r="B1102" s="88"/>
      <c r="C1102" s="16">
        <v>46182</v>
      </c>
      <c r="D1102" s="79">
        <v>84.35</v>
      </c>
    </row>
    <row r="1103" spans="1:4" x14ac:dyDescent="0.3">
      <c r="A1103" s="88" t="s">
        <v>26</v>
      </c>
      <c r="B1103" s="88"/>
      <c r="C1103" s="16">
        <v>46182</v>
      </c>
      <c r="D1103" s="79">
        <v>2237.77</v>
      </c>
    </row>
    <row r="1104" spans="1:4" x14ac:dyDescent="0.3">
      <c r="A1104" s="88" t="s">
        <v>27</v>
      </c>
      <c r="B1104" s="88"/>
      <c r="C1104" s="16">
        <v>46182</v>
      </c>
      <c r="D1104" s="79">
        <v>3349.94</v>
      </c>
    </row>
    <row r="1105" spans="1:4" x14ac:dyDescent="0.3">
      <c r="A1105" s="88" t="s">
        <v>28</v>
      </c>
      <c r="B1105" s="88"/>
      <c r="C1105" s="16">
        <v>46182</v>
      </c>
      <c r="D1105" s="79">
        <v>1968.99</v>
      </c>
    </row>
    <row r="1106" spans="1:4" x14ac:dyDescent="0.3">
      <c r="A1106" s="88" t="s">
        <v>29</v>
      </c>
      <c r="B1106" s="88"/>
      <c r="C1106" s="16">
        <v>46182</v>
      </c>
      <c r="D1106" s="79">
        <v>382.69000000000005</v>
      </c>
    </row>
    <row r="1107" spans="1:4" x14ac:dyDescent="0.3">
      <c r="A1107" s="88" t="s">
        <v>30</v>
      </c>
      <c r="B1107" s="88"/>
      <c r="C1107" s="16">
        <v>46182</v>
      </c>
      <c r="D1107" s="79">
        <v>1428.08</v>
      </c>
    </row>
    <row r="1108" spans="1:4" x14ac:dyDescent="0.3">
      <c r="A1108" s="88" t="s">
        <v>31</v>
      </c>
      <c r="B1108" s="88"/>
      <c r="C1108" s="16">
        <v>46182</v>
      </c>
      <c r="D1108" s="79">
        <v>25789.969999999961</v>
      </c>
    </row>
    <row r="1109" spans="1:4" x14ac:dyDescent="0.3">
      <c r="A1109" s="88" t="s">
        <v>32</v>
      </c>
      <c r="B1109" s="88"/>
      <c r="C1109" s="16">
        <v>46182</v>
      </c>
      <c r="D1109" s="79">
        <v>5321.4300000000021</v>
      </c>
    </row>
    <row r="1110" spans="1:4" x14ac:dyDescent="0.3">
      <c r="A1110" s="88" t="s">
        <v>33</v>
      </c>
      <c r="B1110" s="88"/>
      <c r="C1110" s="16">
        <v>46182</v>
      </c>
      <c r="D1110" s="79">
        <v>24833.23</v>
      </c>
    </row>
    <row r="1111" spans="1:4" x14ac:dyDescent="0.3">
      <c r="A1111" s="88" t="s">
        <v>34</v>
      </c>
      <c r="B1111" s="88"/>
      <c r="C1111" s="16">
        <v>46182</v>
      </c>
      <c r="D1111" s="79">
        <v>345</v>
      </c>
    </row>
    <row r="1112" spans="1:4" x14ac:dyDescent="0.3">
      <c r="A1112" s="88" t="s">
        <v>35</v>
      </c>
      <c r="B1112" s="88"/>
      <c r="C1112" s="16">
        <v>46182</v>
      </c>
      <c r="D1112" s="79">
        <v>6583.0800000000036</v>
      </c>
    </row>
    <row r="1113" spans="1:4" x14ac:dyDescent="0.3">
      <c r="A1113" s="88" t="s">
        <v>193</v>
      </c>
      <c r="B1113" s="88"/>
      <c r="C1113" s="16">
        <v>46182</v>
      </c>
      <c r="D1113" s="79">
        <v>0</v>
      </c>
    </row>
    <row r="1114" spans="1:4" x14ac:dyDescent="0.3">
      <c r="A1114" s="88" t="s">
        <v>214</v>
      </c>
      <c r="B1114" s="88"/>
      <c r="C1114" s="16">
        <v>46182</v>
      </c>
      <c r="D1114" s="79">
        <v>0</v>
      </c>
    </row>
    <row r="1115" spans="1:4" x14ac:dyDescent="0.3">
      <c r="A1115" s="88" t="s">
        <v>194</v>
      </c>
      <c r="B1115" s="88"/>
      <c r="C1115" s="16">
        <v>46182</v>
      </c>
      <c r="D1115" s="79">
        <v>0</v>
      </c>
    </row>
    <row r="1116" spans="1:4" x14ac:dyDescent="0.3">
      <c r="A1116" s="88" t="s">
        <v>195</v>
      </c>
      <c r="B1116" s="88"/>
      <c r="C1116" s="16">
        <v>46182</v>
      </c>
      <c r="D1116" s="79">
        <v>0</v>
      </c>
    </row>
    <row r="1117" spans="1:4" x14ac:dyDescent="0.3">
      <c r="A1117" s="88" t="s">
        <v>196</v>
      </c>
      <c r="B1117" s="88"/>
      <c r="C1117" s="16">
        <v>46182</v>
      </c>
      <c r="D1117" s="79">
        <v>0</v>
      </c>
    </row>
    <row r="1118" spans="1:4" x14ac:dyDescent="0.3">
      <c r="A1118" s="88" t="s">
        <v>197</v>
      </c>
      <c r="B1118" s="88"/>
      <c r="C1118" s="16">
        <v>46182</v>
      </c>
      <c r="D1118" s="79">
        <v>0</v>
      </c>
    </row>
    <row r="1119" spans="1:4" x14ac:dyDescent="0.3">
      <c r="A1119" s="88" t="s">
        <v>212</v>
      </c>
      <c r="B1119" s="88"/>
      <c r="C1119" s="16">
        <v>46182</v>
      </c>
      <c r="D1119" s="79">
        <v>0</v>
      </c>
    </row>
    <row r="1120" spans="1:4" x14ac:dyDescent="0.3">
      <c r="A1120" s="88" t="s">
        <v>199</v>
      </c>
      <c r="B1120" s="88"/>
      <c r="C1120" s="16">
        <v>46182</v>
      </c>
      <c r="D1120" s="79">
        <v>0</v>
      </c>
    </row>
    <row r="1121" spans="1:4" x14ac:dyDescent="0.3">
      <c r="A1121" s="88" t="s">
        <v>217</v>
      </c>
      <c r="B1121" s="88"/>
      <c r="C1121" s="16">
        <v>46182</v>
      </c>
      <c r="D1121" s="79">
        <v>0</v>
      </c>
    </row>
    <row r="1122" spans="1:4" x14ac:dyDescent="0.3">
      <c r="A1122" s="88" t="s">
        <v>17</v>
      </c>
      <c r="B1122" s="88"/>
      <c r="C1122" s="16">
        <v>46183</v>
      </c>
      <c r="D1122" s="79">
        <v>2288745.9500000002</v>
      </c>
    </row>
    <row r="1123" spans="1:4" x14ac:dyDescent="0.3">
      <c r="A1123" s="88" t="s">
        <v>18</v>
      </c>
      <c r="B1123" s="88"/>
      <c r="C1123" s="16">
        <v>46183</v>
      </c>
      <c r="D1123" s="79">
        <v>69376.390000000174</v>
      </c>
    </row>
    <row r="1124" spans="1:4" x14ac:dyDescent="0.3">
      <c r="A1124" s="88" t="s">
        <v>19</v>
      </c>
      <c r="B1124" s="88"/>
      <c r="C1124" s="16">
        <v>46183</v>
      </c>
      <c r="D1124" s="79">
        <v>1669.89</v>
      </c>
    </row>
    <row r="1125" spans="1:4" x14ac:dyDescent="0.3">
      <c r="A1125" s="88" t="s">
        <v>20</v>
      </c>
      <c r="B1125" s="88"/>
      <c r="C1125" s="16">
        <v>46183</v>
      </c>
      <c r="D1125" s="79">
        <v>744306.80999999982</v>
      </c>
    </row>
    <row r="1126" spans="1:4" x14ac:dyDescent="0.3">
      <c r="A1126" s="88" t="s">
        <v>21</v>
      </c>
      <c r="B1126" s="88"/>
      <c r="C1126" s="16">
        <v>46183</v>
      </c>
      <c r="D1126" s="79">
        <v>1160274.0499999993</v>
      </c>
    </row>
    <row r="1127" spans="1:4" x14ac:dyDescent="0.3">
      <c r="A1127" s="88" t="s">
        <v>22</v>
      </c>
      <c r="B1127" s="88"/>
      <c r="C1127" s="16">
        <v>46183</v>
      </c>
      <c r="D1127" s="79">
        <v>116496.38</v>
      </c>
    </row>
    <row r="1128" spans="1:4" x14ac:dyDescent="0.3">
      <c r="A1128" s="88" t="s">
        <v>23</v>
      </c>
      <c r="B1128" s="88"/>
      <c r="C1128" s="16">
        <v>46183</v>
      </c>
      <c r="D1128" s="79">
        <v>20375.37</v>
      </c>
    </row>
    <row r="1129" spans="1:4" x14ac:dyDescent="0.3">
      <c r="A1129" s="88" t="s">
        <v>24</v>
      </c>
      <c r="B1129" s="88"/>
      <c r="C1129" s="16">
        <v>46183</v>
      </c>
      <c r="D1129" s="79">
        <v>511.15999999999985</v>
      </c>
    </row>
    <row r="1130" spans="1:4" x14ac:dyDescent="0.3">
      <c r="A1130" s="88" t="s">
        <v>25</v>
      </c>
      <c r="B1130" s="88"/>
      <c r="C1130" s="16">
        <v>46183</v>
      </c>
      <c r="D1130" s="79">
        <v>84.35</v>
      </c>
    </row>
    <row r="1131" spans="1:4" x14ac:dyDescent="0.3">
      <c r="A1131" s="88" t="s">
        <v>26</v>
      </c>
      <c r="B1131" s="88"/>
      <c r="C1131" s="16">
        <v>46183</v>
      </c>
      <c r="D1131" s="79">
        <v>2237.77</v>
      </c>
    </row>
    <row r="1132" spans="1:4" x14ac:dyDescent="0.3">
      <c r="A1132" s="88" t="s">
        <v>27</v>
      </c>
      <c r="B1132" s="88"/>
      <c r="C1132" s="16">
        <v>46183</v>
      </c>
      <c r="D1132" s="79">
        <v>3349.94</v>
      </c>
    </row>
    <row r="1133" spans="1:4" x14ac:dyDescent="0.3">
      <c r="A1133" s="88" t="s">
        <v>28</v>
      </c>
      <c r="B1133" s="88"/>
      <c r="C1133" s="16">
        <v>46183</v>
      </c>
      <c r="D1133" s="79">
        <v>1968.99</v>
      </c>
    </row>
    <row r="1134" spans="1:4" x14ac:dyDescent="0.3">
      <c r="A1134" s="88" t="s">
        <v>29</v>
      </c>
      <c r="B1134" s="88"/>
      <c r="C1134" s="16">
        <v>46183</v>
      </c>
      <c r="D1134" s="79">
        <v>382.69000000000005</v>
      </c>
    </row>
    <row r="1135" spans="1:4" x14ac:dyDescent="0.3">
      <c r="A1135" s="88" t="s">
        <v>30</v>
      </c>
      <c r="B1135" s="88"/>
      <c r="C1135" s="16">
        <v>46183</v>
      </c>
      <c r="D1135" s="79">
        <v>1428.08</v>
      </c>
    </row>
    <row r="1136" spans="1:4" x14ac:dyDescent="0.3">
      <c r="A1136" s="88" t="s">
        <v>31</v>
      </c>
      <c r="B1136" s="88"/>
      <c r="C1136" s="16">
        <v>46183</v>
      </c>
      <c r="D1136" s="79">
        <v>25789.969999999961</v>
      </c>
    </row>
    <row r="1137" spans="1:4" x14ac:dyDescent="0.3">
      <c r="A1137" s="88" t="s">
        <v>32</v>
      </c>
      <c r="B1137" s="88"/>
      <c r="C1137" s="16">
        <v>46183</v>
      </c>
      <c r="D1137" s="79">
        <v>5321.4300000000021</v>
      </c>
    </row>
    <row r="1138" spans="1:4" x14ac:dyDescent="0.3">
      <c r="A1138" s="88" t="s">
        <v>33</v>
      </c>
      <c r="B1138" s="88"/>
      <c r="C1138" s="16">
        <v>46183</v>
      </c>
      <c r="D1138" s="79">
        <v>24743.98</v>
      </c>
    </row>
    <row r="1139" spans="1:4" x14ac:dyDescent="0.3">
      <c r="A1139" s="88" t="s">
        <v>34</v>
      </c>
      <c r="B1139" s="88"/>
      <c r="C1139" s="16">
        <v>46183</v>
      </c>
      <c r="D1139" s="79">
        <v>345</v>
      </c>
    </row>
    <row r="1140" spans="1:4" x14ac:dyDescent="0.3">
      <c r="A1140" s="88" t="s">
        <v>35</v>
      </c>
      <c r="B1140" s="88"/>
      <c r="C1140" s="16">
        <v>46183</v>
      </c>
      <c r="D1140" s="79">
        <v>6583.0800000000036</v>
      </c>
    </row>
    <row r="1141" spans="1:4" x14ac:dyDescent="0.3">
      <c r="A1141" s="88" t="s">
        <v>193</v>
      </c>
      <c r="B1141" s="88"/>
      <c r="C1141" s="16">
        <v>46183</v>
      </c>
      <c r="D1141" s="79">
        <v>0</v>
      </c>
    </row>
    <row r="1142" spans="1:4" x14ac:dyDescent="0.3">
      <c r="A1142" s="88" t="s">
        <v>214</v>
      </c>
      <c r="B1142" s="88"/>
      <c r="C1142" s="16">
        <v>46183</v>
      </c>
      <c r="D1142" s="79">
        <v>0</v>
      </c>
    </row>
    <row r="1143" spans="1:4" x14ac:dyDescent="0.3">
      <c r="A1143" s="88" t="s">
        <v>194</v>
      </c>
      <c r="B1143" s="88"/>
      <c r="C1143" s="16">
        <v>46183</v>
      </c>
      <c r="D1143" s="79">
        <v>0</v>
      </c>
    </row>
    <row r="1144" spans="1:4" x14ac:dyDescent="0.3">
      <c r="A1144" s="88" t="s">
        <v>195</v>
      </c>
      <c r="B1144" s="88"/>
      <c r="C1144" s="16">
        <v>46183</v>
      </c>
      <c r="D1144" s="79">
        <v>0</v>
      </c>
    </row>
    <row r="1145" spans="1:4" x14ac:dyDescent="0.3">
      <c r="A1145" s="88" t="s">
        <v>196</v>
      </c>
      <c r="B1145" s="88"/>
      <c r="C1145" s="16">
        <v>46183</v>
      </c>
      <c r="D1145" s="79">
        <v>0</v>
      </c>
    </row>
    <row r="1146" spans="1:4" x14ac:dyDescent="0.3">
      <c r="A1146" s="88" t="s">
        <v>197</v>
      </c>
      <c r="B1146" s="88"/>
      <c r="C1146" s="16">
        <v>46183</v>
      </c>
      <c r="D1146" s="79">
        <v>0</v>
      </c>
    </row>
    <row r="1147" spans="1:4" x14ac:dyDescent="0.3">
      <c r="A1147" s="88" t="s">
        <v>212</v>
      </c>
      <c r="B1147" s="88"/>
      <c r="C1147" s="16">
        <v>46183</v>
      </c>
      <c r="D1147" s="79">
        <v>0</v>
      </c>
    </row>
    <row r="1148" spans="1:4" x14ac:dyDescent="0.3">
      <c r="A1148" s="88" t="s">
        <v>199</v>
      </c>
      <c r="B1148" s="88"/>
      <c r="C1148" s="16">
        <v>46183</v>
      </c>
      <c r="D1148" s="79">
        <v>0</v>
      </c>
    </row>
    <row r="1149" spans="1:4" x14ac:dyDescent="0.3">
      <c r="A1149" s="88" t="s">
        <v>217</v>
      </c>
      <c r="B1149" s="88"/>
      <c r="C1149" s="16">
        <v>46183</v>
      </c>
      <c r="D1149" s="79">
        <v>0</v>
      </c>
    </row>
    <row r="1150" spans="1:4" x14ac:dyDescent="0.3">
      <c r="A1150" s="88" t="s">
        <v>17</v>
      </c>
      <c r="B1150" s="88"/>
      <c r="C1150" s="16">
        <v>46184</v>
      </c>
      <c r="D1150" s="79">
        <v>1837784.84</v>
      </c>
    </row>
    <row r="1151" spans="1:4" x14ac:dyDescent="0.3">
      <c r="A1151" s="88" t="s">
        <v>18</v>
      </c>
      <c r="B1151" s="88"/>
      <c r="C1151" s="16">
        <v>46184</v>
      </c>
      <c r="D1151" s="79">
        <v>69376.390000000174</v>
      </c>
    </row>
    <row r="1152" spans="1:4" x14ac:dyDescent="0.3">
      <c r="A1152" s="88" t="s">
        <v>19</v>
      </c>
      <c r="B1152" s="88"/>
      <c r="C1152" s="16">
        <v>46184</v>
      </c>
      <c r="D1152" s="79">
        <v>1669.89</v>
      </c>
    </row>
    <row r="1153" spans="1:4" x14ac:dyDescent="0.3">
      <c r="A1153" s="88" t="s">
        <v>20</v>
      </c>
      <c r="B1153" s="88"/>
      <c r="C1153" s="16">
        <v>46184</v>
      </c>
      <c r="D1153" s="79">
        <v>564626.20999999985</v>
      </c>
    </row>
    <row r="1154" spans="1:4" x14ac:dyDescent="0.3">
      <c r="A1154" s="88" t="s">
        <v>21</v>
      </c>
      <c r="B1154" s="88"/>
      <c r="C1154" s="16">
        <v>46184</v>
      </c>
      <c r="D1154" s="79">
        <v>794731.82999999926</v>
      </c>
    </row>
    <row r="1155" spans="1:4" x14ac:dyDescent="0.3">
      <c r="A1155" s="88" t="s">
        <v>22</v>
      </c>
      <c r="B1155" s="88"/>
      <c r="C1155" s="16">
        <v>46184</v>
      </c>
      <c r="D1155" s="79">
        <v>116496.38</v>
      </c>
    </row>
    <row r="1156" spans="1:4" x14ac:dyDescent="0.3">
      <c r="A1156" s="88" t="s">
        <v>23</v>
      </c>
      <c r="B1156" s="88"/>
      <c r="C1156" s="16">
        <v>46184</v>
      </c>
      <c r="D1156" s="79">
        <v>20375.37</v>
      </c>
    </row>
    <row r="1157" spans="1:4" x14ac:dyDescent="0.3">
      <c r="A1157" s="88" t="s">
        <v>24</v>
      </c>
      <c r="B1157" s="88"/>
      <c r="C1157" s="16">
        <v>46184</v>
      </c>
      <c r="D1157" s="79">
        <v>511.15999999999985</v>
      </c>
    </row>
    <row r="1158" spans="1:4" x14ac:dyDescent="0.3">
      <c r="A1158" s="88" t="s">
        <v>25</v>
      </c>
      <c r="B1158" s="88"/>
      <c r="C1158" s="16">
        <v>46184</v>
      </c>
      <c r="D1158" s="79">
        <v>84.35</v>
      </c>
    </row>
    <row r="1159" spans="1:4" x14ac:dyDescent="0.3">
      <c r="A1159" s="88" t="s">
        <v>26</v>
      </c>
      <c r="B1159" s="88"/>
      <c r="C1159" s="16">
        <v>46184</v>
      </c>
      <c r="D1159" s="79">
        <v>2237.77</v>
      </c>
    </row>
    <row r="1160" spans="1:4" x14ac:dyDescent="0.3">
      <c r="A1160" s="88" t="s">
        <v>27</v>
      </c>
      <c r="B1160" s="88"/>
      <c r="C1160" s="16">
        <v>46184</v>
      </c>
      <c r="D1160" s="79">
        <v>3349.94</v>
      </c>
    </row>
    <row r="1161" spans="1:4" x14ac:dyDescent="0.3">
      <c r="A1161" s="88" t="s">
        <v>28</v>
      </c>
      <c r="B1161" s="88"/>
      <c r="C1161" s="16">
        <v>46184</v>
      </c>
      <c r="D1161" s="79">
        <v>1968.99</v>
      </c>
    </row>
    <row r="1162" spans="1:4" x14ac:dyDescent="0.3">
      <c r="A1162" s="88" t="s">
        <v>29</v>
      </c>
      <c r="B1162" s="88"/>
      <c r="C1162" s="16">
        <v>46184</v>
      </c>
      <c r="D1162" s="79">
        <v>382.69000000000005</v>
      </c>
    </row>
    <row r="1163" spans="1:4" x14ac:dyDescent="0.3">
      <c r="A1163" s="88" t="s">
        <v>30</v>
      </c>
      <c r="B1163" s="88"/>
      <c r="C1163" s="16">
        <v>46184</v>
      </c>
      <c r="D1163" s="79">
        <v>1428.08</v>
      </c>
    </row>
    <row r="1164" spans="1:4" x14ac:dyDescent="0.3">
      <c r="A1164" s="88" t="s">
        <v>31</v>
      </c>
      <c r="B1164" s="88"/>
      <c r="C1164" s="16">
        <v>46184</v>
      </c>
      <c r="D1164" s="79">
        <v>25789.969999999961</v>
      </c>
    </row>
    <row r="1165" spans="1:4" x14ac:dyDescent="0.3">
      <c r="A1165" s="88" t="s">
        <v>32</v>
      </c>
      <c r="B1165" s="88"/>
      <c r="C1165" s="16">
        <v>46184</v>
      </c>
      <c r="D1165" s="79">
        <v>5321.4300000000021</v>
      </c>
    </row>
    <row r="1166" spans="1:4" x14ac:dyDescent="0.3">
      <c r="A1166" s="88" t="s">
        <v>33</v>
      </c>
      <c r="B1166" s="88"/>
      <c r="C1166" s="16">
        <v>46184</v>
      </c>
      <c r="D1166" s="79">
        <v>24743.98</v>
      </c>
    </row>
    <row r="1167" spans="1:4" x14ac:dyDescent="0.3">
      <c r="A1167" s="88" t="s">
        <v>34</v>
      </c>
      <c r="B1167" s="88"/>
      <c r="C1167" s="16">
        <v>46184</v>
      </c>
      <c r="D1167" s="79">
        <v>345</v>
      </c>
    </row>
    <row r="1168" spans="1:4" x14ac:dyDescent="0.3">
      <c r="A1168" s="88" t="s">
        <v>35</v>
      </c>
      <c r="B1168" s="88"/>
      <c r="C1168" s="16">
        <v>46184</v>
      </c>
      <c r="D1168" s="79">
        <v>54068.08</v>
      </c>
    </row>
    <row r="1169" spans="1:4" x14ac:dyDescent="0.3">
      <c r="A1169" s="88" t="s">
        <v>193</v>
      </c>
      <c r="B1169" s="88"/>
      <c r="C1169" s="16">
        <v>46184</v>
      </c>
      <c r="D1169" s="79">
        <v>0</v>
      </c>
    </row>
    <row r="1170" spans="1:4" x14ac:dyDescent="0.3">
      <c r="A1170" s="88" t="s">
        <v>214</v>
      </c>
      <c r="B1170" s="88"/>
      <c r="C1170" s="16">
        <v>46184</v>
      </c>
      <c r="D1170" s="79">
        <v>0</v>
      </c>
    </row>
    <row r="1171" spans="1:4" x14ac:dyDescent="0.3">
      <c r="A1171" s="88" t="s">
        <v>194</v>
      </c>
      <c r="B1171" s="88"/>
      <c r="C1171" s="16">
        <v>46184</v>
      </c>
      <c r="D1171" s="79">
        <v>0</v>
      </c>
    </row>
    <row r="1172" spans="1:4" x14ac:dyDescent="0.3">
      <c r="A1172" s="88" t="s">
        <v>195</v>
      </c>
      <c r="B1172" s="88"/>
      <c r="C1172" s="16">
        <v>46184</v>
      </c>
      <c r="D1172" s="79">
        <v>0</v>
      </c>
    </row>
    <row r="1173" spans="1:4" x14ac:dyDescent="0.3">
      <c r="A1173" s="88" t="s">
        <v>196</v>
      </c>
      <c r="B1173" s="88"/>
      <c r="C1173" s="16">
        <v>46184</v>
      </c>
      <c r="D1173" s="79">
        <v>0</v>
      </c>
    </row>
    <row r="1174" spans="1:4" x14ac:dyDescent="0.3">
      <c r="A1174" s="88" t="s">
        <v>197</v>
      </c>
      <c r="B1174" s="88"/>
      <c r="C1174" s="16">
        <v>46184</v>
      </c>
      <c r="D1174" s="79">
        <v>0</v>
      </c>
    </row>
    <row r="1175" spans="1:4" x14ac:dyDescent="0.3">
      <c r="A1175" s="88" t="s">
        <v>212</v>
      </c>
      <c r="B1175" s="88"/>
      <c r="C1175" s="16">
        <v>46184</v>
      </c>
      <c r="D1175" s="79">
        <v>0</v>
      </c>
    </row>
    <row r="1176" spans="1:4" x14ac:dyDescent="0.3">
      <c r="A1176" s="88" t="s">
        <v>199</v>
      </c>
      <c r="B1176" s="88"/>
      <c r="C1176" s="16">
        <v>46184</v>
      </c>
      <c r="D1176" s="79">
        <v>0</v>
      </c>
    </row>
    <row r="1177" spans="1:4" x14ac:dyDescent="0.3">
      <c r="A1177" s="88" t="s">
        <v>217</v>
      </c>
      <c r="B1177" s="88"/>
      <c r="C1177" s="16">
        <v>46184</v>
      </c>
      <c r="D1177" s="79">
        <v>0</v>
      </c>
    </row>
    <row r="1178" spans="1:4" x14ac:dyDescent="0.3">
      <c r="A1178" s="88" t="s">
        <v>17</v>
      </c>
      <c r="B1178" s="88"/>
      <c r="C1178" s="16">
        <v>46185</v>
      </c>
      <c r="D1178" s="79">
        <v>1837784.84</v>
      </c>
    </row>
    <row r="1179" spans="1:4" x14ac:dyDescent="0.3">
      <c r="A1179" s="88" t="s">
        <v>18</v>
      </c>
      <c r="B1179" s="88"/>
      <c r="C1179" s="16">
        <v>46185</v>
      </c>
      <c r="D1179" s="79">
        <v>69376.390000000174</v>
      </c>
    </row>
    <row r="1180" spans="1:4" x14ac:dyDescent="0.3">
      <c r="A1180" s="88" t="s">
        <v>19</v>
      </c>
      <c r="B1180" s="88"/>
      <c r="C1180" s="16">
        <v>46185</v>
      </c>
      <c r="D1180" s="79">
        <v>1669.89</v>
      </c>
    </row>
    <row r="1181" spans="1:4" x14ac:dyDescent="0.3">
      <c r="A1181" s="88" t="s">
        <v>20</v>
      </c>
      <c r="B1181" s="88"/>
      <c r="C1181" s="16">
        <v>46185</v>
      </c>
      <c r="D1181" s="79">
        <v>564626.20999999985</v>
      </c>
    </row>
    <row r="1182" spans="1:4" x14ac:dyDescent="0.3">
      <c r="A1182" s="88" t="s">
        <v>21</v>
      </c>
      <c r="B1182" s="88"/>
      <c r="C1182" s="16">
        <v>46185</v>
      </c>
      <c r="D1182" s="79">
        <v>3763348.8299999996</v>
      </c>
    </row>
    <row r="1183" spans="1:4" x14ac:dyDescent="0.3">
      <c r="A1183" s="88" t="s">
        <v>22</v>
      </c>
      <c r="B1183" s="88"/>
      <c r="C1183" s="16">
        <v>46185</v>
      </c>
      <c r="D1183" s="79">
        <v>116496.38</v>
      </c>
    </row>
    <row r="1184" spans="1:4" x14ac:dyDescent="0.3">
      <c r="A1184" s="88" t="s">
        <v>23</v>
      </c>
      <c r="B1184" s="88"/>
      <c r="C1184" s="16">
        <v>46185</v>
      </c>
      <c r="D1184" s="79">
        <v>20375.989999999998</v>
      </c>
    </row>
    <row r="1185" spans="1:4" x14ac:dyDescent="0.3">
      <c r="A1185" s="88" t="s">
        <v>24</v>
      </c>
      <c r="B1185" s="88"/>
      <c r="C1185" s="16">
        <v>46185</v>
      </c>
      <c r="D1185" s="79">
        <v>511.15999999999985</v>
      </c>
    </row>
    <row r="1186" spans="1:4" x14ac:dyDescent="0.3">
      <c r="A1186" s="88" t="s">
        <v>25</v>
      </c>
      <c r="B1186" s="88"/>
      <c r="C1186" s="16">
        <v>46185</v>
      </c>
      <c r="D1186" s="79">
        <v>84.35</v>
      </c>
    </row>
    <row r="1187" spans="1:4" x14ac:dyDescent="0.3">
      <c r="A1187" s="88" t="s">
        <v>26</v>
      </c>
      <c r="B1187" s="88"/>
      <c r="C1187" s="16">
        <v>46185</v>
      </c>
      <c r="D1187" s="79">
        <v>2237.77</v>
      </c>
    </row>
    <row r="1188" spans="1:4" x14ac:dyDescent="0.3">
      <c r="A1188" s="88" t="s">
        <v>27</v>
      </c>
      <c r="B1188" s="88"/>
      <c r="C1188" s="16">
        <v>46185</v>
      </c>
      <c r="D1188" s="79">
        <v>3349.94</v>
      </c>
    </row>
    <row r="1189" spans="1:4" x14ac:dyDescent="0.3">
      <c r="A1189" s="88" t="s">
        <v>28</v>
      </c>
      <c r="B1189" s="88"/>
      <c r="C1189" s="16">
        <v>46185</v>
      </c>
      <c r="D1189" s="79">
        <v>1968.99</v>
      </c>
    </row>
    <row r="1190" spans="1:4" x14ac:dyDescent="0.3">
      <c r="A1190" s="88" t="s">
        <v>29</v>
      </c>
      <c r="B1190" s="88"/>
      <c r="C1190" s="16">
        <v>46185</v>
      </c>
      <c r="D1190" s="79">
        <v>382.69000000000005</v>
      </c>
    </row>
    <row r="1191" spans="1:4" x14ac:dyDescent="0.3">
      <c r="A1191" s="88" t="s">
        <v>30</v>
      </c>
      <c r="B1191" s="88"/>
      <c r="C1191" s="16">
        <v>46185</v>
      </c>
      <c r="D1191" s="79">
        <v>1428.08</v>
      </c>
    </row>
    <row r="1192" spans="1:4" x14ac:dyDescent="0.3">
      <c r="A1192" s="88" t="s">
        <v>31</v>
      </c>
      <c r="B1192" s="88"/>
      <c r="C1192" s="16">
        <v>46185</v>
      </c>
      <c r="D1192" s="79">
        <v>27789.969999999961</v>
      </c>
    </row>
    <row r="1193" spans="1:4" x14ac:dyDescent="0.3">
      <c r="A1193" s="88" t="s">
        <v>32</v>
      </c>
      <c r="B1193" s="88"/>
      <c r="C1193" s="16">
        <v>46185</v>
      </c>
      <c r="D1193" s="79">
        <v>5321.4300000000021</v>
      </c>
    </row>
    <row r="1194" spans="1:4" x14ac:dyDescent="0.3">
      <c r="A1194" s="88" t="s">
        <v>33</v>
      </c>
      <c r="B1194" s="88"/>
      <c r="C1194" s="16">
        <v>46185</v>
      </c>
      <c r="D1194" s="79">
        <v>24484.85</v>
      </c>
    </row>
    <row r="1195" spans="1:4" x14ac:dyDescent="0.3">
      <c r="A1195" s="88" t="s">
        <v>34</v>
      </c>
      <c r="B1195" s="88"/>
      <c r="C1195" s="16">
        <v>46185</v>
      </c>
      <c r="D1195" s="79">
        <v>345</v>
      </c>
    </row>
    <row r="1196" spans="1:4" x14ac:dyDescent="0.3">
      <c r="A1196" s="88" t="s">
        <v>35</v>
      </c>
      <c r="B1196" s="88"/>
      <c r="C1196" s="16">
        <v>46185</v>
      </c>
      <c r="D1196" s="79">
        <v>54068.08</v>
      </c>
    </row>
    <row r="1197" spans="1:4" x14ac:dyDescent="0.3">
      <c r="A1197" s="88" t="s">
        <v>193</v>
      </c>
      <c r="B1197" s="88"/>
      <c r="C1197" s="16">
        <v>46185</v>
      </c>
      <c r="D1197" s="79">
        <v>0</v>
      </c>
    </row>
    <row r="1198" spans="1:4" x14ac:dyDescent="0.3">
      <c r="A1198" s="88" t="s">
        <v>214</v>
      </c>
      <c r="B1198" s="88"/>
      <c r="C1198" s="16">
        <v>46185</v>
      </c>
      <c r="D1198" s="79">
        <v>0</v>
      </c>
    </row>
    <row r="1199" spans="1:4" x14ac:dyDescent="0.3">
      <c r="A1199" s="88" t="s">
        <v>194</v>
      </c>
      <c r="B1199" s="88"/>
      <c r="C1199" s="16">
        <v>46185</v>
      </c>
      <c r="D1199" s="79">
        <v>0</v>
      </c>
    </row>
    <row r="1200" spans="1:4" x14ac:dyDescent="0.3">
      <c r="A1200" s="88" t="s">
        <v>195</v>
      </c>
      <c r="B1200" s="88"/>
      <c r="C1200" s="16">
        <v>46185</v>
      </c>
      <c r="D1200" s="79">
        <v>0</v>
      </c>
    </row>
    <row r="1201" spans="1:4" x14ac:dyDescent="0.3">
      <c r="A1201" s="88" t="s">
        <v>196</v>
      </c>
      <c r="B1201" s="88"/>
      <c r="C1201" s="16">
        <v>46185</v>
      </c>
      <c r="D1201" s="79">
        <v>0</v>
      </c>
    </row>
    <row r="1202" spans="1:4" x14ac:dyDescent="0.3">
      <c r="A1202" s="88" t="s">
        <v>197</v>
      </c>
      <c r="B1202" s="88"/>
      <c r="C1202" s="16">
        <v>46185</v>
      </c>
      <c r="D1202" s="79">
        <v>0</v>
      </c>
    </row>
    <row r="1203" spans="1:4" x14ac:dyDescent="0.3">
      <c r="A1203" s="88" t="s">
        <v>212</v>
      </c>
      <c r="B1203" s="88"/>
      <c r="C1203" s="16">
        <v>46185</v>
      </c>
      <c r="D1203" s="79">
        <v>0</v>
      </c>
    </row>
    <row r="1204" spans="1:4" x14ac:dyDescent="0.3">
      <c r="A1204" s="88" t="s">
        <v>199</v>
      </c>
      <c r="B1204" s="88"/>
      <c r="C1204" s="16">
        <v>46185</v>
      </c>
      <c r="D1204" s="79">
        <v>0</v>
      </c>
    </row>
    <row r="1205" spans="1:4" x14ac:dyDescent="0.3">
      <c r="A1205" s="88" t="s">
        <v>217</v>
      </c>
      <c r="B1205" s="88"/>
      <c r="C1205" s="16">
        <v>46185</v>
      </c>
      <c r="D1205" s="79">
        <v>0</v>
      </c>
    </row>
    <row r="1206" spans="1:4" x14ac:dyDescent="0.3">
      <c r="A1206" s="88" t="s">
        <v>17</v>
      </c>
      <c r="B1206" s="88"/>
      <c r="C1206" s="16">
        <v>46186</v>
      </c>
      <c r="D1206" s="79">
        <v>1837784.84</v>
      </c>
    </row>
    <row r="1207" spans="1:4" x14ac:dyDescent="0.3">
      <c r="A1207" s="88" t="s">
        <v>18</v>
      </c>
      <c r="B1207" s="88"/>
      <c r="C1207" s="16">
        <v>46186</v>
      </c>
      <c r="D1207" s="79">
        <v>69376.390000000174</v>
      </c>
    </row>
    <row r="1208" spans="1:4" x14ac:dyDescent="0.3">
      <c r="A1208" s="88" t="s">
        <v>19</v>
      </c>
      <c r="B1208" s="88"/>
      <c r="C1208" s="16">
        <v>46186</v>
      </c>
      <c r="D1208" s="79">
        <v>1669.89</v>
      </c>
    </row>
    <row r="1209" spans="1:4" x14ac:dyDescent="0.3">
      <c r="A1209" s="88" t="s">
        <v>20</v>
      </c>
      <c r="B1209" s="88"/>
      <c r="C1209" s="16">
        <v>46186</v>
      </c>
      <c r="D1209" s="79">
        <v>564626.20999999985</v>
      </c>
    </row>
    <row r="1210" spans="1:4" x14ac:dyDescent="0.3">
      <c r="A1210" s="88" t="s">
        <v>21</v>
      </c>
      <c r="B1210" s="88"/>
      <c r="C1210" s="16">
        <v>46186</v>
      </c>
      <c r="D1210" s="79">
        <v>3763348.8299999996</v>
      </c>
    </row>
    <row r="1211" spans="1:4" x14ac:dyDescent="0.3">
      <c r="A1211" s="88" t="s">
        <v>22</v>
      </c>
      <c r="B1211" s="88"/>
      <c r="C1211" s="16">
        <v>46186</v>
      </c>
      <c r="D1211" s="79">
        <v>116496.38</v>
      </c>
    </row>
    <row r="1212" spans="1:4" x14ac:dyDescent="0.3">
      <c r="A1212" s="88" t="s">
        <v>23</v>
      </c>
      <c r="B1212" s="88"/>
      <c r="C1212" s="16">
        <v>46186</v>
      </c>
      <c r="D1212" s="79">
        <v>20375.989999999998</v>
      </c>
    </row>
    <row r="1213" spans="1:4" x14ac:dyDescent="0.3">
      <c r="A1213" s="88" t="s">
        <v>24</v>
      </c>
      <c r="B1213" s="88"/>
      <c r="C1213" s="16">
        <v>46186</v>
      </c>
      <c r="D1213" s="79">
        <v>511.15999999999985</v>
      </c>
    </row>
    <row r="1214" spans="1:4" x14ac:dyDescent="0.3">
      <c r="A1214" s="88" t="s">
        <v>25</v>
      </c>
      <c r="B1214" s="88"/>
      <c r="C1214" s="16">
        <v>46186</v>
      </c>
      <c r="D1214" s="79">
        <v>84.35</v>
      </c>
    </row>
    <row r="1215" spans="1:4" x14ac:dyDescent="0.3">
      <c r="A1215" s="88" t="s">
        <v>26</v>
      </c>
      <c r="B1215" s="88"/>
      <c r="C1215" s="16">
        <v>46186</v>
      </c>
      <c r="D1215" s="79">
        <v>2237.77</v>
      </c>
    </row>
    <row r="1216" spans="1:4" x14ac:dyDescent="0.3">
      <c r="A1216" s="88" t="s">
        <v>27</v>
      </c>
      <c r="B1216" s="88"/>
      <c r="C1216" s="16">
        <v>46186</v>
      </c>
      <c r="D1216" s="79">
        <v>3349.94</v>
      </c>
    </row>
    <row r="1217" spans="1:4" x14ac:dyDescent="0.3">
      <c r="A1217" s="88" t="s">
        <v>28</v>
      </c>
      <c r="B1217" s="88"/>
      <c r="C1217" s="16">
        <v>46186</v>
      </c>
      <c r="D1217" s="79">
        <v>1968.99</v>
      </c>
    </row>
    <row r="1218" spans="1:4" x14ac:dyDescent="0.3">
      <c r="A1218" s="88" t="s">
        <v>29</v>
      </c>
      <c r="B1218" s="88"/>
      <c r="C1218" s="16">
        <v>46186</v>
      </c>
      <c r="D1218" s="79">
        <v>382.69000000000005</v>
      </c>
    </row>
    <row r="1219" spans="1:4" x14ac:dyDescent="0.3">
      <c r="A1219" s="88" t="s">
        <v>30</v>
      </c>
      <c r="B1219" s="88"/>
      <c r="C1219" s="16">
        <v>46186</v>
      </c>
      <c r="D1219" s="79">
        <v>1428.08</v>
      </c>
    </row>
    <row r="1220" spans="1:4" x14ac:dyDescent="0.3">
      <c r="A1220" s="88" t="s">
        <v>31</v>
      </c>
      <c r="B1220" s="88"/>
      <c r="C1220" s="16">
        <v>46186</v>
      </c>
      <c r="D1220" s="79">
        <v>27789.969999999961</v>
      </c>
    </row>
    <row r="1221" spans="1:4" x14ac:dyDescent="0.3">
      <c r="A1221" s="88" t="s">
        <v>32</v>
      </c>
      <c r="B1221" s="88"/>
      <c r="C1221" s="16">
        <v>46186</v>
      </c>
      <c r="D1221" s="79">
        <v>5321.4300000000021</v>
      </c>
    </row>
    <row r="1222" spans="1:4" x14ac:dyDescent="0.3">
      <c r="A1222" s="88" t="s">
        <v>33</v>
      </c>
      <c r="B1222" s="88"/>
      <c r="C1222" s="16">
        <v>46186</v>
      </c>
      <c r="D1222" s="79">
        <v>24484.85</v>
      </c>
    </row>
    <row r="1223" spans="1:4" x14ac:dyDescent="0.3">
      <c r="A1223" s="88" t="s">
        <v>34</v>
      </c>
      <c r="B1223" s="88"/>
      <c r="C1223" s="16">
        <v>46186</v>
      </c>
      <c r="D1223" s="79">
        <v>345</v>
      </c>
    </row>
    <row r="1224" spans="1:4" x14ac:dyDescent="0.3">
      <c r="A1224" s="88" t="s">
        <v>35</v>
      </c>
      <c r="B1224" s="88"/>
      <c r="C1224" s="16">
        <v>46186</v>
      </c>
      <c r="D1224" s="79">
        <v>54068.08</v>
      </c>
    </row>
    <row r="1225" spans="1:4" x14ac:dyDescent="0.3">
      <c r="A1225" s="88" t="s">
        <v>193</v>
      </c>
      <c r="B1225" s="88"/>
      <c r="C1225" s="16">
        <v>46186</v>
      </c>
      <c r="D1225" s="79">
        <v>0</v>
      </c>
    </row>
    <row r="1226" spans="1:4" x14ac:dyDescent="0.3">
      <c r="A1226" s="88" t="s">
        <v>214</v>
      </c>
      <c r="B1226" s="88"/>
      <c r="C1226" s="16">
        <v>46186</v>
      </c>
      <c r="D1226" s="79">
        <v>0</v>
      </c>
    </row>
    <row r="1227" spans="1:4" x14ac:dyDescent="0.3">
      <c r="A1227" s="88" t="s">
        <v>194</v>
      </c>
      <c r="B1227" s="88"/>
      <c r="C1227" s="16">
        <v>46186</v>
      </c>
      <c r="D1227" s="79">
        <v>0</v>
      </c>
    </row>
    <row r="1228" spans="1:4" x14ac:dyDescent="0.3">
      <c r="A1228" s="88" t="s">
        <v>195</v>
      </c>
      <c r="B1228" s="88"/>
      <c r="C1228" s="16">
        <v>46186</v>
      </c>
      <c r="D1228" s="79">
        <v>0</v>
      </c>
    </row>
    <row r="1229" spans="1:4" x14ac:dyDescent="0.3">
      <c r="A1229" s="88" t="s">
        <v>196</v>
      </c>
      <c r="B1229" s="88"/>
      <c r="C1229" s="16">
        <v>46186</v>
      </c>
      <c r="D1229" s="79">
        <v>0</v>
      </c>
    </row>
    <row r="1230" spans="1:4" x14ac:dyDescent="0.3">
      <c r="A1230" s="88" t="s">
        <v>197</v>
      </c>
      <c r="B1230" s="88"/>
      <c r="C1230" s="16">
        <v>46186</v>
      </c>
      <c r="D1230" s="79">
        <v>0</v>
      </c>
    </row>
    <row r="1231" spans="1:4" x14ac:dyDescent="0.3">
      <c r="A1231" s="88" t="s">
        <v>212</v>
      </c>
      <c r="B1231" s="88"/>
      <c r="C1231" s="16">
        <v>46186</v>
      </c>
      <c r="D1231" s="79">
        <v>0</v>
      </c>
    </row>
    <row r="1232" spans="1:4" x14ac:dyDescent="0.3">
      <c r="A1232" s="88" t="s">
        <v>199</v>
      </c>
      <c r="B1232" s="88"/>
      <c r="C1232" s="16">
        <v>46186</v>
      </c>
      <c r="D1232" s="79">
        <v>0</v>
      </c>
    </row>
    <row r="1233" spans="1:4" x14ac:dyDescent="0.3">
      <c r="A1233" s="88" t="s">
        <v>217</v>
      </c>
      <c r="B1233" s="88"/>
      <c r="C1233" s="16">
        <v>46186</v>
      </c>
      <c r="D1233" s="79">
        <v>0</v>
      </c>
    </row>
    <row r="1234" spans="1:4" x14ac:dyDescent="0.3">
      <c r="A1234" s="88" t="s">
        <v>17</v>
      </c>
      <c r="B1234" s="88"/>
      <c r="C1234" s="16">
        <v>46187</v>
      </c>
      <c r="D1234" s="79">
        <v>1837784.84</v>
      </c>
    </row>
    <row r="1235" spans="1:4" x14ac:dyDescent="0.3">
      <c r="A1235" s="88" t="s">
        <v>18</v>
      </c>
      <c r="B1235" s="88"/>
      <c r="C1235" s="16">
        <v>46187</v>
      </c>
      <c r="D1235" s="79">
        <v>69376.390000000174</v>
      </c>
    </row>
    <row r="1236" spans="1:4" x14ac:dyDescent="0.3">
      <c r="A1236" s="88" t="s">
        <v>19</v>
      </c>
      <c r="B1236" s="88"/>
      <c r="C1236" s="16">
        <v>46187</v>
      </c>
      <c r="D1236" s="79">
        <v>1669.89</v>
      </c>
    </row>
    <row r="1237" spans="1:4" x14ac:dyDescent="0.3">
      <c r="A1237" s="88" t="s">
        <v>20</v>
      </c>
      <c r="B1237" s="88"/>
      <c r="C1237" s="16">
        <v>46187</v>
      </c>
      <c r="D1237" s="79">
        <v>564626.20999999985</v>
      </c>
    </row>
    <row r="1238" spans="1:4" x14ac:dyDescent="0.3">
      <c r="A1238" s="88" t="s">
        <v>21</v>
      </c>
      <c r="B1238" s="88"/>
      <c r="C1238" s="16">
        <v>46187</v>
      </c>
      <c r="D1238" s="79">
        <v>3763348.8299999996</v>
      </c>
    </row>
    <row r="1239" spans="1:4" x14ac:dyDescent="0.3">
      <c r="A1239" s="88" t="s">
        <v>22</v>
      </c>
      <c r="B1239" s="88"/>
      <c r="C1239" s="16">
        <v>46187</v>
      </c>
      <c r="D1239" s="79">
        <v>116496.38</v>
      </c>
    </row>
    <row r="1240" spans="1:4" x14ac:dyDescent="0.3">
      <c r="A1240" s="88" t="s">
        <v>23</v>
      </c>
      <c r="B1240" s="88"/>
      <c r="C1240" s="16">
        <v>46187</v>
      </c>
      <c r="D1240" s="79">
        <v>20375.989999999998</v>
      </c>
    </row>
    <row r="1241" spans="1:4" x14ac:dyDescent="0.3">
      <c r="A1241" s="88" t="s">
        <v>24</v>
      </c>
      <c r="B1241" s="88"/>
      <c r="C1241" s="16">
        <v>46187</v>
      </c>
      <c r="D1241" s="79">
        <v>511.15999999999985</v>
      </c>
    </row>
    <row r="1242" spans="1:4" x14ac:dyDescent="0.3">
      <c r="A1242" s="88" t="s">
        <v>25</v>
      </c>
      <c r="B1242" s="88"/>
      <c r="C1242" s="16">
        <v>46187</v>
      </c>
      <c r="D1242" s="79">
        <v>84.35</v>
      </c>
    </row>
    <row r="1243" spans="1:4" x14ac:dyDescent="0.3">
      <c r="A1243" s="88" t="s">
        <v>26</v>
      </c>
      <c r="B1243" s="88"/>
      <c r="C1243" s="16">
        <v>46187</v>
      </c>
      <c r="D1243" s="79">
        <v>2237.77</v>
      </c>
    </row>
    <row r="1244" spans="1:4" x14ac:dyDescent="0.3">
      <c r="A1244" s="88" t="s">
        <v>27</v>
      </c>
      <c r="B1244" s="88"/>
      <c r="C1244" s="16">
        <v>46187</v>
      </c>
      <c r="D1244" s="79">
        <v>3349.94</v>
      </c>
    </row>
    <row r="1245" spans="1:4" x14ac:dyDescent="0.3">
      <c r="A1245" s="88" t="s">
        <v>28</v>
      </c>
      <c r="B1245" s="88"/>
      <c r="C1245" s="16">
        <v>46187</v>
      </c>
      <c r="D1245" s="79">
        <v>1968.99</v>
      </c>
    </row>
    <row r="1246" spans="1:4" x14ac:dyDescent="0.3">
      <c r="A1246" s="88" t="s">
        <v>29</v>
      </c>
      <c r="B1246" s="88"/>
      <c r="C1246" s="16">
        <v>46187</v>
      </c>
      <c r="D1246" s="79">
        <v>382.69000000000005</v>
      </c>
    </row>
    <row r="1247" spans="1:4" x14ac:dyDescent="0.3">
      <c r="A1247" s="88" t="s">
        <v>30</v>
      </c>
      <c r="B1247" s="88"/>
      <c r="C1247" s="16">
        <v>46187</v>
      </c>
      <c r="D1247" s="79">
        <v>1428.08</v>
      </c>
    </row>
    <row r="1248" spans="1:4" x14ac:dyDescent="0.3">
      <c r="A1248" s="88" t="s">
        <v>31</v>
      </c>
      <c r="B1248" s="88"/>
      <c r="C1248" s="16">
        <v>46187</v>
      </c>
      <c r="D1248" s="79">
        <v>27789.969999999961</v>
      </c>
    </row>
    <row r="1249" spans="1:4" x14ac:dyDescent="0.3">
      <c r="A1249" s="88" t="s">
        <v>32</v>
      </c>
      <c r="B1249" s="88"/>
      <c r="C1249" s="16">
        <v>46187</v>
      </c>
      <c r="D1249" s="79">
        <v>5321.4300000000021</v>
      </c>
    </row>
    <row r="1250" spans="1:4" x14ac:dyDescent="0.3">
      <c r="A1250" s="88" t="s">
        <v>33</v>
      </c>
      <c r="B1250" s="88"/>
      <c r="C1250" s="16">
        <v>46187</v>
      </c>
      <c r="D1250" s="79">
        <v>24484.85</v>
      </c>
    </row>
    <row r="1251" spans="1:4" x14ac:dyDescent="0.3">
      <c r="A1251" s="88" t="s">
        <v>34</v>
      </c>
      <c r="B1251" s="88"/>
      <c r="C1251" s="16">
        <v>46187</v>
      </c>
      <c r="D1251" s="79">
        <v>345</v>
      </c>
    </row>
    <row r="1252" spans="1:4" x14ac:dyDescent="0.3">
      <c r="A1252" s="88" t="s">
        <v>35</v>
      </c>
      <c r="B1252" s="88"/>
      <c r="C1252" s="16">
        <v>46187</v>
      </c>
      <c r="D1252" s="79">
        <v>54068.08</v>
      </c>
    </row>
    <row r="1253" spans="1:4" x14ac:dyDescent="0.3">
      <c r="A1253" s="88" t="s">
        <v>193</v>
      </c>
      <c r="B1253" s="88"/>
      <c r="C1253" s="16">
        <v>46187</v>
      </c>
      <c r="D1253" s="79">
        <v>0</v>
      </c>
    </row>
    <row r="1254" spans="1:4" x14ac:dyDescent="0.3">
      <c r="A1254" s="88" t="s">
        <v>214</v>
      </c>
      <c r="B1254" s="88"/>
      <c r="C1254" s="16">
        <v>46187</v>
      </c>
      <c r="D1254" s="79">
        <v>0</v>
      </c>
    </row>
    <row r="1255" spans="1:4" x14ac:dyDescent="0.3">
      <c r="A1255" s="88" t="s">
        <v>194</v>
      </c>
      <c r="B1255" s="88"/>
      <c r="C1255" s="16">
        <v>46187</v>
      </c>
      <c r="D1255" s="79">
        <v>0</v>
      </c>
    </row>
    <row r="1256" spans="1:4" x14ac:dyDescent="0.3">
      <c r="A1256" s="88" t="s">
        <v>195</v>
      </c>
      <c r="B1256" s="88"/>
      <c r="C1256" s="16">
        <v>46187</v>
      </c>
      <c r="D1256" s="79">
        <v>0</v>
      </c>
    </row>
    <row r="1257" spans="1:4" x14ac:dyDescent="0.3">
      <c r="A1257" s="88" t="s">
        <v>196</v>
      </c>
      <c r="B1257" s="88"/>
      <c r="C1257" s="16">
        <v>46187</v>
      </c>
      <c r="D1257" s="79">
        <v>0</v>
      </c>
    </row>
    <row r="1258" spans="1:4" x14ac:dyDescent="0.3">
      <c r="A1258" s="88" t="s">
        <v>197</v>
      </c>
      <c r="B1258" s="88"/>
      <c r="C1258" s="16">
        <v>46187</v>
      </c>
      <c r="D1258" s="79">
        <v>0</v>
      </c>
    </row>
    <row r="1259" spans="1:4" x14ac:dyDescent="0.3">
      <c r="A1259" s="88" t="s">
        <v>212</v>
      </c>
      <c r="B1259" s="88"/>
      <c r="C1259" s="16">
        <v>46187</v>
      </c>
      <c r="D1259" s="79">
        <v>0</v>
      </c>
    </row>
    <row r="1260" spans="1:4" x14ac:dyDescent="0.3">
      <c r="A1260" s="88" t="s">
        <v>199</v>
      </c>
      <c r="B1260" s="88"/>
      <c r="C1260" s="16">
        <v>46187</v>
      </c>
      <c r="D1260" s="79">
        <v>0</v>
      </c>
    </row>
    <row r="1261" spans="1:4" x14ac:dyDescent="0.3">
      <c r="A1261" s="88" t="s">
        <v>217</v>
      </c>
      <c r="B1261" s="88"/>
      <c r="C1261" s="16">
        <v>46187</v>
      </c>
      <c r="D1261" s="79">
        <v>0</v>
      </c>
    </row>
    <row r="1262" spans="1:4" x14ac:dyDescent="0.3">
      <c r="A1262" s="88" t="s">
        <v>17</v>
      </c>
      <c r="B1262" s="88"/>
      <c r="C1262" s="16">
        <v>46188</v>
      </c>
      <c r="D1262" s="79">
        <v>985975.94000000029</v>
      </c>
    </row>
    <row r="1263" spans="1:4" x14ac:dyDescent="0.3">
      <c r="A1263" s="88" t="s">
        <v>18</v>
      </c>
      <c r="B1263" s="88"/>
      <c r="C1263" s="16">
        <v>46188</v>
      </c>
      <c r="D1263" s="79">
        <v>69376.390000000174</v>
      </c>
    </row>
    <row r="1264" spans="1:4" x14ac:dyDescent="0.3">
      <c r="A1264" s="88" t="s">
        <v>19</v>
      </c>
      <c r="B1264" s="88"/>
      <c r="C1264" s="16">
        <v>46188</v>
      </c>
      <c r="D1264" s="79">
        <v>1669.89</v>
      </c>
    </row>
    <row r="1265" spans="1:4" x14ac:dyDescent="0.3">
      <c r="A1265" s="88" t="s">
        <v>20</v>
      </c>
      <c r="B1265" s="88"/>
      <c r="C1265" s="16">
        <v>46188</v>
      </c>
      <c r="D1265" s="79">
        <v>503904.80999999982</v>
      </c>
    </row>
    <row r="1266" spans="1:4" x14ac:dyDescent="0.3">
      <c r="A1266" s="88" t="s">
        <v>21</v>
      </c>
      <c r="B1266" s="88"/>
      <c r="C1266" s="16">
        <v>46188</v>
      </c>
      <c r="D1266" s="79">
        <v>3331737.2399999998</v>
      </c>
    </row>
    <row r="1267" spans="1:4" x14ac:dyDescent="0.3">
      <c r="A1267" s="88" t="s">
        <v>22</v>
      </c>
      <c r="B1267" s="88"/>
      <c r="C1267" s="16">
        <v>46188</v>
      </c>
      <c r="D1267" s="79">
        <v>116496.38</v>
      </c>
    </row>
    <row r="1268" spans="1:4" x14ac:dyDescent="0.3">
      <c r="A1268" s="88" t="s">
        <v>23</v>
      </c>
      <c r="B1268" s="88"/>
      <c r="C1268" s="16">
        <v>46188</v>
      </c>
      <c r="D1268" s="79">
        <v>20375.989999999998</v>
      </c>
    </row>
    <row r="1269" spans="1:4" x14ac:dyDescent="0.3">
      <c r="A1269" s="88" t="s">
        <v>24</v>
      </c>
      <c r="B1269" s="88"/>
      <c r="C1269" s="16">
        <v>46188</v>
      </c>
      <c r="D1269" s="79">
        <v>511.15999999999985</v>
      </c>
    </row>
    <row r="1270" spans="1:4" x14ac:dyDescent="0.3">
      <c r="A1270" s="88" t="s">
        <v>25</v>
      </c>
      <c r="B1270" s="88"/>
      <c r="C1270" s="16">
        <v>46188</v>
      </c>
      <c r="D1270" s="79">
        <v>84.35</v>
      </c>
    </row>
    <row r="1271" spans="1:4" x14ac:dyDescent="0.3">
      <c r="A1271" s="88" t="s">
        <v>26</v>
      </c>
      <c r="B1271" s="88"/>
      <c r="C1271" s="16">
        <v>46188</v>
      </c>
      <c r="D1271" s="79">
        <v>2237.77</v>
      </c>
    </row>
    <row r="1272" spans="1:4" x14ac:dyDescent="0.3">
      <c r="A1272" s="88" t="s">
        <v>27</v>
      </c>
      <c r="B1272" s="88"/>
      <c r="C1272" s="16">
        <v>46188</v>
      </c>
      <c r="D1272" s="79">
        <v>3349.94</v>
      </c>
    </row>
    <row r="1273" spans="1:4" x14ac:dyDescent="0.3">
      <c r="A1273" s="88" t="s">
        <v>28</v>
      </c>
      <c r="B1273" s="88"/>
      <c r="C1273" s="16">
        <v>46188</v>
      </c>
      <c r="D1273" s="79">
        <v>1968.99</v>
      </c>
    </row>
    <row r="1274" spans="1:4" x14ac:dyDescent="0.3">
      <c r="A1274" s="88" t="s">
        <v>29</v>
      </c>
      <c r="B1274" s="88"/>
      <c r="C1274" s="16">
        <v>46188</v>
      </c>
      <c r="D1274" s="79">
        <v>382.69000000000005</v>
      </c>
    </row>
    <row r="1275" spans="1:4" x14ac:dyDescent="0.3">
      <c r="A1275" s="88" t="s">
        <v>30</v>
      </c>
      <c r="B1275" s="88"/>
      <c r="C1275" s="16">
        <v>46188</v>
      </c>
      <c r="D1275" s="79">
        <v>1428.08</v>
      </c>
    </row>
    <row r="1276" spans="1:4" x14ac:dyDescent="0.3">
      <c r="A1276" s="88" t="s">
        <v>31</v>
      </c>
      <c r="B1276" s="88"/>
      <c r="C1276" s="16">
        <v>46188</v>
      </c>
      <c r="D1276" s="79">
        <v>29789.969999999961</v>
      </c>
    </row>
    <row r="1277" spans="1:4" x14ac:dyDescent="0.3">
      <c r="A1277" s="88" t="s">
        <v>32</v>
      </c>
      <c r="B1277" s="88"/>
      <c r="C1277" s="16">
        <v>46188</v>
      </c>
      <c r="D1277" s="79">
        <v>5321.4300000000021</v>
      </c>
    </row>
    <row r="1278" spans="1:4" x14ac:dyDescent="0.3">
      <c r="A1278" s="88" t="s">
        <v>33</v>
      </c>
      <c r="B1278" s="88"/>
      <c r="C1278" s="16">
        <v>46188</v>
      </c>
      <c r="D1278" s="79">
        <v>20484.849999999999</v>
      </c>
    </row>
    <row r="1279" spans="1:4" x14ac:dyDescent="0.3">
      <c r="A1279" s="88" t="s">
        <v>34</v>
      </c>
      <c r="B1279" s="88"/>
      <c r="C1279" s="16">
        <v>46188</v>
      </c>
      <c r="D1279" s="79">
        <v>345</v>
      </c>
    </row>
    <row r="1280" spans="1:4" x14ac:dyDescent="0.3">
      <c r="A1280" s="88" t="s">
        <v>35</v>
      </c>
      <c r="B1280" s="88"/>
      <c r="C1280" s="16">
        <v>46188</v>
      </c>
      <c r="D1280" s="79">
        <v>54018.080000000002</v>
      </c>
    </row>
    <row r="1281" spans="1:4" x14ac:dyDescent="0.3">
      <c r="A1281" s="88" t="s">
        <v>193</v>
      </c>
      <c r="B1281" s="88"/>
      <c r="C1281" s="16">
        <v>46188</v>
      </c>
      <c r="D1281" s="79">
        <v>0</v>
      </c>
    </row>
    <row r="1282" spans="1:4" x14ac:dyDescent="0.3">
      <c r="A1282" s="88" t="s">
        <v>214</v>
      </c>
      <c r="B1282" s="88"/>
      <c r="C1282" s="16">
        <v>46188</v>
      </c>
      <c r="D1282" s="79">
        <v>0</v>
      </c>
    </row>
    <row r="1283" spans="1:4" x14ac:dyDescent="0.3">
      <c r="A1283" s="88" t="s">
        <v>194</v>
      </c>
      <c r="B1283" s="88"/>
      <c r="C1283" s="16">
        <v>46188</v>
      </c>
      <c r="D1283" s="79">
        <v>0</v>
      </c>
    </row>
    <row r="1284" spans="1:4" x14ac:dyDescent="0.3">
      <c r="A1284" s="88" t="s">
        <v>195</v>
      </c>
      <c r="B1284" s="88"/>
      <c r="C1284" s="16">
        <v>46188</v>
      </c>
      <c r="D1284" s="79">
        <v>0</v>
      </c>
    </row>
    <row r="1285" spans="1:4" x14ac:dyDescent="0.3">
      <c r="A1285" s="88" t="s">
        <v>196</v>
      </c>
      <c r="B1285" s="88"/>
      <c r="C1285" s="16">
        <v>46188</v>
      </c>
      <c r="D1285" s="79">
        <v>0</v>
      </c>
    </row>
    <row r="1286" spans="1:4" x14ac:dyDescent="0.3">
      <c r="A1286" s="88" t="s">
        <v>197</v>
      </c>
      <c r="B1286" s="88"/>
      <c r="C1286" s="16">
        <v>46188</v>
      </c>
      <c r="D1286" s="79">
        <v>0</v>
      </c>
    </row>
    <row r="1287" spans="1:4" x14ac:dyDescent="0.3">
      <c r="A1287" s="88" t="s">
        <v>212</v>
      </c>
      <c r="B1287" s="88"/>
      <c r="C1287" s="16">
        <v>46188</v>
      </c>
      <c r="D1287" s="79">
        <v>0</v>
      </c>
    </row>
    <row r="1288" spans="1:4" x14ac:dyDescent="0.3">
      <c r="A1288" s="88" t="s">
        <v>199</v>
      </c>
      <c r="B1288" s="88"/>
      <c r="C1288" s="16">
        <v>46188</v>
      </c>
      <c r="D1288" s="79">
        <v>0</v>
      </c>
    </row>
    <row r="1289" spans="1:4" x14ac:dyDescent="0.3">
      <c r="A1289" s="88" t="s">
        <v>217</v>
      </c>
      <c r="B1289" s="88"/>
      <c r="C1289" s="16">
        <v>46188</v>
      </c>
      <c r="D1289" s="79">
        <v>0</v>
      </c>
    </row>
    <row r="1290" spans="1:4" x14ac:dyDescent="0.3">
      <c r="A1290" s="88" t="s">
        <v>17</v>
      </c>
      <c r="B1290" s="88"/>
      <c r="C1290" s="16">
        <v>46189</v>
      </c>
      <c r="D1290" s="79">
        <v>1086358.7500000002</v>
      </c>
    </row>
    <row r="1291" spans="1:4" x14ac:dyDescent="0.3">
      <c r="A1291" s="88" t="s">
        <v>18</v>
      </c>
      <c r="B1291" s="88"/>
      <c r="C1291" s="16">
        <v>46189</v>
      </c>
      <c r="D1291" s="79">
        <v>69376.390000000174</v>
      </c>
    </row>
    <row r="1292" spans="1:4" x14ac:dyDescent="0.3">
      <c r="A1292" s="88" t="s">
        <v>19</v>
      </c>
      <c r="B1292" s="88"/>
      <c r="C1292" s="16">
        <v>46189</v>
      </c>
      <c r="D1292" s="79">
        <v>1669.89</v>
      </c>
    </row>
    <row r="1293" spans="1:4" x14ac:dyDescent="0.3">
      <c r="A1293" s="88" t="s">
        <v>20</v>
      </c>
      <c r="B1293" s="88"/>
      <c r="C1293" s="16">
        <v>46189</v>
      </c>
      <c r="D1293" s="79">
        <v>503904.80999999982</v>
      </c>
    </row>
    <row r="1294" spans="1:4" x14ac:dyDescent="0.3">
      <c r="A1294" s="88" t="s">
        <v>21</v>
      </c>
      <c r="B1294" s="88"/>
      <c r="C1294" s="16">
        <v>46189</v>
      </c>
      <c r="D1294" s="79">
        <v>3329246.88</v>
      </c>
    </row>
    <row r="1295" spans="1:4" x14ac:dyDescent="0.3">
      <c r="A1295" s="88" t="s">
        <v>22</v>
      </c>
      <c r="B1295" s="88"/>
      <c r="C1295" s="16">
        <v>46189</v>
      </c>
      <c r="D1295" s="79">
        <v>116496.38</v>
      </c>
    </row>
    <row r="1296" spans="1:4" x14ac:dyDescent="0.3">
      <c r="A1296" s="88" t="s">
        <v>23</v>
      </c>
      <c r="B1296" s="88"/>
      <c r="C1296" s="16">
        <v>46189</v>
      </c>
      <c r="D1296" s="79">
        <v>20375.989999999998</v>
      </c>
    </row>
    <row r="1297" spans="1:4" x14ac:dyDescent="0.3">
      <c r="A1297" s="88" t="s">
        <v>24</v>
      </c>
      <c r="B1297" s="88"/>
      <c r="C1297" s="16">
        <v>46189</v>
      </c>
      <c r="D1297" s="79">
        <v>511.15999999999985</v>
      </c>
    </row>
    <row r="1298" spans="1:4" x14ac:dyDescent="0.3">
      <c r="A1298" s="88" t="s">
        <v>25</v>
      </c>
      <c r="B1298" s="88"/>
      <c r="C1298" s="16">
        <v>46189</v>
      </c>
      <c r="D1298" s="79">
        <v>84.35</v>
      </c>
    </row>
    <row r="1299" spans="1:4" x14ac:dyDescent="0.3">
      <c r="A1299" s="88" t="s">
        <v>26</v>
      </c>
      <c r="B1299" s="88"/>
      <c r="C1299" s="16">
        <v>46189</v>
      </c>
      <c r="D1299" s="79">
        <v>2237.77</v>
      </c>
    </row>
    <row r="1300" spans="1:4" x14ac:dyDescent="0.3">
      <c r="A1300" s="88" t="s">
        <v>27</v>
      </c>
      <c r="B1300" s="88"/>
      <c r="C1300" s="16">
        <v>46189</v>
      </c>
      <c r="D1300" s="79">
        <v>3349.94</v>
      </c>
    </row>
    <row r="1301" spans="1:4" x14ac:dyDescent="0.3">
      <c r="A1301" s="88" t="s">
        <v>28</v>
      </c>
      <c r="B1301" s="88"/>
      <c r="C1301" s="16">
        <v>46189</v>
      </c>
      <c r="D1301" s="79">
        <v>1968.99</v>
      </c>
    </row>
    <row r="1302" spans="1:4" x14ac:dyDescent="0.3">
      <c r="A1302" s="88" t="s">
        <v>29</v>
      </c>
      <c r="B1302" s="88"/>
      <c r="C1302" s="16">
        <v>46189</v>
      </c>
      <c r="D1302" s="79">
        <v>382.69000000000005</v>
      </c>
    </row>
    <row r="1303" spans="1:4" x14ac:dyDescent="0.3">
      <c r="A1303" s="88" t="s">
        <v>30</v>
      </c>
      <c r="B1303" s="88"/>
      <c r="C1303" s="16">
        <v>46189</v>
      </c>
      <c r="D1303" s="79">
        <v>1428.08</v>
      </c>
    </row>
    <row r="1304" spans="1:4" x14ac:dyDescent="0.3">
      <c r="A1304" s="88" t="s">
        <v>31</v>
      </c>
      <c r="B1304" s="88"/>
      <c r="C1304" s="16">
        <v>46189</v>
      </c>
      <c r="D1304" s="79">
        <v>29789.969999999961</v>
      </c>
    </row>
    <row r="1305" spans="1:4" x14ac:dyDescent="0.3">
      <c r="A1305" s="88" t="s">
        <v>32</v>
      </c>
      <c r="B1305" s="88"/>
      <c r="C1305" s="16">
        <v>46189</v>
      </c>
      <c r="D1305" s="79">
        <v>20321.43</v>
      </c>
    </row>
    <row r="1306" spans="1:4" x14ac:dyDescent="0.3">
      <c r="A1306" s="88" t="s">
        <v>33</v>
      </c>
      <c r="B1306" s="88"/>
      <c r="C1306" s="16">
        <v>46189</v>
      </c>
      <c r="D1306" s="79">
        <v>19811.349999999999</v>
      </c>
    </row>
    <row r="1307" spans="1:4" x14ac:dyDescent="0.3">
      <c r="A1307" s="88" t="s">
        <v>34</v>
      </c>
      <c r="B1307" s="88"/>
      <c r="C1307" s="16">
        <v>46189</v>
      </c>
      <c r="D1307" s="79">
        <v>345</v>
      </c>
    </row>
    <row r="1308" spans="1:4" x14ac:dyDescent="0.3">
      <c r="A1308" s="88" t="s">
        <v>35</v>
      </c>
      <c r="B1308" s="88"/>
      <c r="C1308" s="16">
        <v>46189</v>
      </c>
      <c r="D1308" s="79">
        <v>51334.36</v>
      </c>
    </row>
    <row r="1309" spans="1:4" x14ac:dyDescent="0.3">
      <c r="A1309" s="88" t="s">
        <v>193</v>
      </c>
      <c r="B1309" s="88"/>
      <c r="C1309" s="16">
        <v>46189</v>
      </c>
      <c r="D1309" s="79">
        <v>0</v>
      </c>
    </row>
    <row r="1310" spans="1:4" x14ac:dyDescent="0.3">
      <c r="A1310" s="88" t="s">
        <v>214</v>
      </c>
      <c r="B1310" s="88"/>
      <c r="C1310" s="16">
        <v>46189</v>
      </c>
      <c r="D1310" s="79">
        <v>0</v>
      </c>
    </row>
    <row r="1311" spans="1:4" x14ac:dyDescent="0.3">
      <c r="A1311" s="88" t="s">
        <v>194</v>
      </c>
      <c r="B1311" s="88"/>
      <c r="C1311" s="16">
        <v>46189</v>
      </c>
      <c r="D1311" s="79">
        <v>0</v>
      </c>
    </row>
    <row r="1312" spans="1:4" x14ac:dyDescent="0.3">
      <c r="A1312" s="88" t="s">
        <v>195</v>
      </c>
      <c r="B1312" s="88"/>
      <c r="C1312" s="16">
        <v>46189</v>
      </c>
      <c r="D1312" s="79">
        <v>0</v>
      </c>
    </row>
    <row r="1313" spans="1:4" x14ac:dyDescent="0.3">
      <c r="A1313" s="88" t="s">
        <v>196</v>
      </c>
      <c r="B1313" s="88"/>
      <c r="C1313" s="16">
        <v>46189</v>
      </c>
      <c r="D1313" s="79">
        <v>0</v>
      </c>
    </row>
    <row r="1314" spans="1:4" x14ac:dyDescent="0.3">
      <c r="A1314" s="88" t="s">
        <v>197</v>
      </c>
      <c r="B1314" s="88"/>
      <c r="C1314" s="16">
        <v>46189</v>
      </c>
      <c r="D1314" s="79">
        <v>0</v>
      </c>
    </row>
    <row r="1315" spans="1:4" x14ac:dyDescent="0.3">
      <c r="A1315" s="88" t="s">
        <v>212</v>
      </c>
      <c r="B1315" s="88"/>
      <c r="C1315" s="16">
        <v>46189</v>
      </c>
      <c r="D1315" s="79">
        <v>0</v>
      </c>
    </row>
    <row r="1316" spans="1:4" x14ac:dyDescent="0.3">
      <c r="A1316" s="88" t="s">
        <v>199</v>
      </c>
      <c r="B1316" s="88"/>
      <c r="C1316" s="16">
        <v>46189</v>
      </c>
      <c r="D1316" s="79">
        <v>0</v>
      </c>
    </row>
    <row r="1317" spans="1:4" x14ac:dyDescent="0.3">
      <c r="A1317" s="88" t="s">
        <v>217</v>
      </c>
      <c r="B1317" s="88"/>
      <c r="C1317" s="16">
        <v>46189</v>
      </c>
      <c r="D1317" s="79">
        <v>0</v>
      </c>
    </row>
    <row r="1318" spans="1:4" x14ac:dyDescent="0.3">
      <c r="A1318" s="88" t="s">
        <v>17</v>
      </c>
      <c r="B1318" s="88"/>
      <c r="C1318" s="16">
        <v>46190</v>
      </c>
      <c r="D1318" s="79">
        <v>1098358.7500000002</v>
      </c>
    </row>
    <row r="1319" spans="1:4" x14ac:dyDescent="0.3">
      <c r="A1319" s="88" t="s">
        <v>18</v>
      </c>
      <c r="B1319" s="88"/>
      <c r="C1319" s="16">
        <v>46190</v>
      </c>
      <c r="D1319" s="79">
        <v>69376.390000000174</v>
      </c>
    </row>
    <row r="1320" spans="1:4" x14ac:dyDescent="0.3">
      <c r="A1320" s="88" t="s">
        <v>19</v>
      </c>
      <c r="B1320" s="88"/>
      <c r="C1320" s="16">
        <v>46190</v>
      </c>
      <c r="D1320" s="79">
        <v>1669.89</v>
      </c>
    </row>
    <row r="1321" spans="1:4" x14ac:dyDescent="0.3">
      <c r="A1321" s="88" t="s">
        <v>20</v>
      </c>
      <c r="B1321" s="88"/>
      <c r="C1321" s="16">
        <v>46190</v>
      </c>
      <c r="D1321" s="79">
        <v>503904.80999999982</v>
      </c>
    </row>
    <row r="1322" spans="1:4" x14ac:dyDescent="0.3">
      <c r="A1322" s="88" t="s">
        <v>21</v>
      </c>
      <c r="B1322" s="88"/>
      <c r="C1322" s="16">
        <v>46190</v>
      </c>
      <c r="D1322" s="79">
        <v>3326863.3899999997</v>
      </c>
    </row>
    <row r="1323" spans="1:4" x14ac:dyDescent="0.3">
      <c r="A1323" s="88" t="s">
        <v>22</v>
      </c>
      <c r="B1323" s="88"/>
      <c r="C1323" s="16">
        <v>46190</v>
      </c>
      <c r="D1323" s="79">
        <v>116496.38</v>
      </c>
    </row>
    <row r="1324" spans="1:4" x14ac:dyDescent="0.3">
      <c r="A1324" s="88" t="s">
        <v>23</v>
      </c>
      <c r="B1324" s="88"/>
      <c r="C1324" s="16">
        <v>46190</v>
      </c>
      <c r="D1324" s="79">
        <v>20375.989999999998</v>
      </c>
    </row>
    <row r="1325" spans="1:4" x14ac:dyDescent="0.3">
      <c r="A1325" s="88" t="s">
        <v>24</v>
      </c>
      <c r="B1325" s="88"/>
      <c r="C1325" s="16">
        <v>46190</v>
      </c>
      <c r="D1325" s="79">
        <v>511.15999999999985</v>
      </c>
    </row>
    <row r="1326" spans="1:4" x14ac:dyDescent="0.3">
      <c r="A1326" s="88" t="s">
        <v>25</v>
      </c>
      <c r="B1326" s="88"/>
      <c r="C1326" s="16">
        <v>46190</v>
      </c>
      <c r="D1326" s="79">
        <v>84.35</v>
      </c>
    </row>
    <row r="1327" spans="1:4" x14ac:dyDescent="0.3">
      <c r="A1327" s="88" t="s">
        <v>26</v>
      </c>
      <c r="B1327" s="88"/>
      <c r="C1327" s="16">
        <v>46190</v>
      </c>
      <c r="D1327" s="79">
        <v>2237.77</v>
      </c>
    </row>
    <row r="1328" spans="1:4" x14ac:dyDescent="0.3">
      <c r="A1328" s="88" t="s">
        <v>27</v>
      </c>
      <c r="B1328" s="88"/>
      <c r="C1328" s="16">
        <v>46190</v>
      </c>
      <c r="D1328" s="79">
        <v>3349.94</v>
      </c>
    </row>
    <row r="1329" spans="1:4" x14ac:dyDescent="0.3">
      <c r="A1329" s="88" t="s">
        <v>28</v>
      </c>
      <c r="B1329" s="88"/>
      <c r="C1329" s="16">
        <v>46190</v>
      </c>
      <c r="D1329" s="79">
        <v>1968.99</v>
      </c>
    </row>
    <row r="1330" spans="1:4" x14ac:dyDescent="0.3">
      <c r="A1330" s="88" t="s">
        <v>29</v>
      </c>
      <c r="B1330" s="88"/>
      <c r="C1330" s="16">
        <v>46190</v>
      </c>
      <c r="D1330" s="79">
        <v>382.69000000000005</v>
      </c>
    </row>
    <row r="1331" spans="1:4" x14ac:dyDescent="0.3">
      <c r="A1331" s="88" t="s">
        <v>30</v>
      </c>
      <c r="B1331" s="88"/>
      <c r="C1331" s="16">
        <v>46190</v>
      </c>
      <c r="D1331" s="79">
        <v>1428.08</v>
      </c>
    </row>
    <row r="1332" spans="1:4" x14ac:dyDescent="0.3">
      <c r="A1332" s="88" t="s">
        <v>31</v>
      </c>
      <c r="B1332" s="88"/>
      <c r="C1332" s="16">
        <v>46190</v>
      </c>
      <c r="D1332" s="79">
        <v>29789.969999999961</v>
      </c>
    </row>
    <row r="1333" spans="1:4" x14ac:dyDescent="0.3">
      <c r="A1333" s="88" t="s">
        <v>32</v>
      </c>
      <c r="B1333" s="88"/>
      <c r="C1333" s="16">
        <v>46190</v>
      </c>
      <c r="D1333" s="79">
        <v>20321.43</v>
      </c>
    </row>
    <row r="1334" spans="1:4" x14ac:dyDescent="0.3">
      <c r="A1334" s="88" t="s">
        <v>33</v>
      </c>
      <c r="B1334" s="88"/>
      <c r="C1334" s="16">
        <v>46190</v>
      </c>
      <c r="D1334" s="79">
        <v>16681.349999999999</v>
      </c>
    </row>
    <row r="1335" spans="1:4" x14ac:dyDescent="0.3">
      <c r="A1335" s="88" t="s">
        <v>34</v>
      </c>
      <c r="B1335" s="88"/>
      <c r="C1335" s="16">
        <v>46190</v>
      </c>
      <c r="D1335" s="79">
        <v>345</v>
      </c>
    </row>
    <row r="1336" spans="1:4" x14ac:dyDescent="0.3">
      <c r="A1336" s="88" t="s">
        <v>35</v>
      </c>
      <c r="B1336" s="88"/>
      <c r="C1336" s="16">
        <v>46190</v>
      </c>
      <c r="D1336" s="79">
        <v>50334.36</v>
      </c>
    </row>
    <row r="1337" spans="1:4" x14ac:dyDescent="0.3">
      <c r="A1337" s="88" t="s">
        <v>193</v>
      </c>
      <c r="B1337" s="88"/>
      <c r="C1337" s="16">
        <v>46190</v>
      </c>
      <c r="D1337" s="79">
        <v>0</v>
      </c>
    </row>
    <row r="1338" spans="1:4" x14ac:dyDescent="0.3">
      <c r="A1338" s="88" t="s">
        <v>214</v>
      </c>
      <c r="B1338" s="88"/>
      <c r="C1338" s="16">
        <v>46190</v>
      </c>
      <c r="D1338" s="79">
        <v>0</v>
      </c>
    </row>
    <row r="1339" spans="1:4" x14ac:dyDescent="0.3">
      <c r="A1339" s="88" t="s">
        <v>194</v>
      </c>
      <c r="B1339" s="88"/>
      <c r="C1339" s="16">
        <v>46190</v>
      </c>
      <c r="D1339" s="79">
        <v>0</v>
      </c>
    </row>
    <row r="1340" spans="1:4" x14ac:dyDescent="0.3">
      <c r="A1340" s="88" t="s">
        <v>195</v>
      </c>
      <c r="B1340" s="88"/>
      <c r="C1340" s="16">
        <v>46190</v>
      </c>
      <c r="D1340" s="79">
        <v>0</v>
      </c>
    </row>
    <row r="1341" spans="1:4" x14ac:dyDescent="0.3">
      <c r="A1341" s="88" t="s">
        <v>196</v>
      </c>
      <c r="B1341" s="88"/>
      <c r="C1341" s="16">
        <v>46190</v>
      </c>
      <c r="D1341" s="79">
        <v>0</v>
      </c>
    </row>
    <row r="1342" spans="1:4" x14ac:dyDescent="0.3">
      <c r="A1342" s="88" t="s">
        <v>197</v>
      </c>
      <c r="B1342" s="88"/>
      <c r="C1342" s="16">
        <v>46190</v>
      </c>
      <c r="D1342" s="79">
        <v>0</v>
      </c>
    </row>
    <row r="1343" spans="1:4" x14ac:dyDescent="0.3">
      <c r="A1343" s="88" t="s">
        <v>212</v>
      </c>
      <c r="B1343" s="88"/>
      <c r="C1343" s="16">
        <v>46190</v>
      </c>
      <c r="D1343" s="79">
        <v>0</v>
      </c>
    </row>
    <row r="1344" spans="1:4" x14ac:dyDescent="0.3">
      <c r="A1344" s="88" t="s">
        <v>199</v>
      </c>
      <c r="B1344" s="88"/>
      <c r="C1344" s="16">
        <v>46190</v>
      </c>
      <c r="D1344" s="79">
        <v>0</v>
      </c>
    </row>
    <row r="1345" spans="1:4" x14ac:dyDescent="0.3">
      <c r="A1345" s="88" t="s">
        <v>217</v>
      </c>
      <c r="B1345" s="88"/>
      <c r="C1345" s="16">
        <v>46190</v>
      </c>
      <c r="D1345" s="79">
        <v>0</v>
      </c>
    </row>
    <row r="1346" spans="1:4" x14ac:dyDescent="0.3">
      <c r="A1346" s="88" t="s">
        <v>17</v>
      </c>
      <c r="B1346" s="88"/>
      <c r="C1346" s="16">
        <v>46191</v>
      </c>
      <c r="D1346" s="79">
        <v>1098358.7500000002</v>
      </c>
    </row>
    <row r="1347" spans="1:4" x14ac:dyDescent="0.3">
      <c r="A1347" s="88" t="s">
        <v>18</v>
      </c>
      <c r="B1347" s="88"/>
      <c r="C1347" s="16">
        <v>46191</v>
      </c>
      <c r="D1347" s="79">
        <v>69376.390000000174</v>
      </c>
    </row>
    <row r="1348" spans="1:4" x14ac:dyDescent="0.3">
      <c r="A1348" s="88" t="s">
        <v>19</v>
      </c>
      <c r="B1348" s="88"/>
      <c r="C1348" s="16">
        <v>46191</v>
      </c>
      <c r="D1348" s="79">
        <v>1669.89</v>
      </c>
    </row>
    <row r="1349" spans="1:4" x14ac:dyDescent="0.3">
      <c r="A1349" s="88" t="s">
        <v>20</v>
      </c>
      <c r="B1349" s="88"/>
      <c r="C1349" s="16">
        <v>46191</v>
      </c>
      <c r="D1349" s="79">
        <v>503904.80999999982</v>
      </c>
    </row>
    <row r="1350" spans="1:4" x14ac:dyDescent="0.3">
      <c r="A1350" s="88" t="s">
        <v>21</v>
      </c>
      <c r="B1350" s="88"/>
      <c r="C1350" s="16">
        <v>46191</v>
      </c>
      <c r="D1350" s="79">
        <v>3326696.7299999995</v>
      </c>
    </row>
    <row r="1351" spans="1:4" x14ac:dyDescent="0.3">
      <c r="A1351" s="88" t="s">
        <v>22</v>
      </c>
      <c r="B1351" s="88"/>
      <c r="C1351" s="16">
        <v>46191</v>
      </c>
      <c r="D1351" s="79">
        <v>116496.38</v>
      </c>
    </row>
    <row r="1352" spans="1:4" x14ac:dyDescent="0.3">
      <c r="A1352" s="88" t="s">
        <v>23</v>
      </c>
      <c r="B1352" s="88"/>
      <c r="C1352" s="16">
        <v>46191</v>
      </c>
      <c r="D1352" s="79">
        <v>20375.989999999998</v>
      </c>
    </row>
    <row r="1353" spans="1:4" x14ac:dyDescent="0.3">
      <c r="A1353" s="88" t="s">
        <v>24</v>
      </c>
      <c r="B1353" s="88"/>
      <c r="C1353" s="16">
        <v>46191</v>
      </c>
      <c r="D1353" s="79">
        <v>511.15999999999985</v>
      </c>
    </row>
    <row r="1354" spans="1:4" x14ac:dyDescent="0.3">
      <c r="A1354" s="88" t="s">
        <v>25</v>
      </c>
      <c r="B1354" s="88"/>
      <c r="C1354" s="16">
        <v>46191</v>
      </c>
      <c r="D1354" s="79">
        <v>84.35</v>
      </c>
    </row>
    <row r="1355" spans="1:4" x14ac:dyDescent="0.3">
      <c r="A1355" s="88" t="s">
        <v>26</v>
      </c>
      <c r="B1355" s="88"/>
      <c r="C1355" s="16">
        <v>46191</v>
      </c>
      <c r="D1355" s="79">
        <v>2237.77</v>
      </c>
    </row>
    <row r="1356" spans="1:4" x14ac:dyDescent="0.3">
      <c r="A1356" s="88" t="s">
        <v>27</v>
      </c>
      <c r="B1356" s="88"/>
      <c r="C1356" s="16">
        <v>46191</v>
      </c>
      <c r="D1356" s="79">
        <v>3349.94</v>
      </c>
    </row>
    <row r="1357" spans="1:4" x14ac:dyDescent="0.3">
      <c r="A1357" s="88" t="s">
        <v>28</v>
      </c>
      <c r="B1357" s="88"/>
      <c r="C1357" s="16">
        <v>46191</v>
      </c>
      <c r="D1357" s="79">
        <v>1968.99</v>
      </c>
    </row>
    <row r="1358" spans="1:4" x14ac:dyDescent="0.3">
      <c r="A1358" s="88" t="s">
        <v>29</v>
      </c>
      <c r="B1358" s="88"/>
      <c r="C1358" s="16">
        <v>46191</v>
      </c>
      <c r="D1358" s="79">
        <v>382.69000000000005</v>
      </c>
    </row>
    <row r="1359" spans="1:4" x14ac:dyDescent="0.3">
      <c r="A1359" s="88" t="s">
        <v>30</v>
      </c>
      <c r="B1359" s="88"/>
      <c r="C1359" s="16">
        <v>46191</v>
      </c>
      <c r="D1359" s="79">
        <v>1428.08</v>
      </c>
    </row>
    <row r="1360" spans="1:4" x14ac:dyDescent="0.3">
      <c r="A1360" s="88" t="s">
        <v>31</v>
      </c>
      <c r="B1360" s="88"/>
      <c r="C1360" s="16">
        <v>46191</v>
      </c>
      <c r="D1360" s="79">
        <v>29789.969999999961</v>
      </c>
    </row>
    <row r="1361" spans="1:4" x14ac:dyDescent="0.3">
      <c r="A1361" s="88" t="s">
        <v>32</v>
      </c>
      <c r="B1361" s="88"/>
      <c r="C1361" s="16">
        <v>46191</v>
      </c>
      <c r="D1361" s="79">
        <v>20321.43</v>
      </c>
    </row>
    <row r="1362" spans="1:4" x14ac:dyDescent="0.3">
      <c r="A1362" s="88" t="s">
        <v>33</v>
      </c>
      <c r="B1362" s="88"/>
      <c r="C1362" s="16">
        <v>46191</v>
      </c>
      <c r="D1362" s="79">
        <v>16681.349999999999</v>
      </c>
    </row>
    <row r="1363" spans="1:4" x14ac:dyDescent="0.3">
      <c r="A1363" s="88" t="s">
        <v>34</v>
      </c>
      <c r="B1363" s="88"/>
      <c r="C1363" s="16">
        <v>46191</v>
      </c>
      <c r="D1363" s="79">
        <v>345</v>
      </c>
    </row>
    <row r="1364" spans="1:4" x14ac:dyDescent="0.3">
      <c r="A1364" s="88" t="s">
        <v>35</v>
      </c>
      <c r="B1364" s="88"/>
      <c r="C1364" s="16">
        <v>46191</v>
      </c>
      <c r="D1364" s="79">
        <v>50334.36</v>
      </c>
    </row>
    <row r="1365" spans="1:4" x14ac:dyDescent="0.3">
      <c r="A1365" s="88" t="s">
        <v>193</v>
      </c>
      <c r="B1365" s="88"/>
      <c r="C1365" s="16">
        <v>46191</v>
      </c>
      <c r="D1365" s="79">
        <v>0</v>
      </c>
    </row>
    <row r="1366" spans="1:4" x14ac:dyDescent="0.3">
      <c r="A1366" s="88" t="s">
        <v>214</v>
      </c>
      <c r="B1366" s="88"/>
      <c r="C1366" s="16">
        <v>46191</v>
      </c>
      <c r="D1366" s="79">
        <v>0</v>
      </c>
    </row>
    <row r="1367" spans="1:4" x14ac:dyDescent="0.3">
      <c r="A1367" s="88" t="s">
        <v>194</v>
      </c>
      <c r="B1367" s="88"/>
      <c r="C1367" s="16">
        <v>46191</v>
      </c>
      <c r="D1367" s="79">
        <v>0</v>
      </c>
    </row>
    <row r="1368" spans="1:4" x14ac:dyDescent="0.3">
      <c r="A1368" s="88" t="s">
        <v>195</v>
      </c>
      <c r="B1368" s="88"/>
      <c r="C1368" s="16">
        <v>46191</v>
      </c>
      <c r="D1368" s="79">
        <v>0</v>
      </c>
    </row>
    <row r="1369" spans="1:4" x14ac:dyDescent="0.3">
      <c r="A1369" s="88" t="s">
        <v>196</v>
      </c>
      <c r="B1369" s="88"/>
      <c r="C1369" s="16">
        <v>46191</v>
      </c>
      <c r="D1369" s="79">
        <v>0</v>
      </c>
    </row>
    <row r="1370" spans="1:4" x14ac:dyDescent="0.3">
      <c r="A1370" s="88" t="s">
        <v>197</v>
      </c>
      <c r="B1370" s="88"/>
      <c r="C1370" s="16">
        <v>46191</v>
      </c>
      <c r="D1370" s="79">
        <v>0</v>
      </c>
    </row>
    <row r="1371" spans="1:4" x14ac:dyDescent="0.3">
      <c r="A1371" s="88" t="s">
        <v>212</v>
      </c>
      <c r="B1371" s="88"/>
      <c r="C1371" s="16">
        <v>46191</v>
      </c>
      <c r="D1371" s="79">
        <v>0</v>
      </c>
    </row>
    <row r="1372" spans="1:4" x14ac:dyDescent="0.3">
      <c r="A1372" s="88" t="s">
        <v>199</v>
      </c>
      <c r="B1372" s="88"/>
      <c r="C1372" s="16">
        <v>46191</v>
      </c>
      <c r="D1372" s="79">
        <v>0</v>
      </c>
    </row>
    <row r="1373" spans="1:4" x14ac:dyDescent="0.3">
      <c r="A1373" s="88" t="s">
        <v>217</v>
      </c>
      <c r="B1373" s="88"/>
      <c r="C1373" s="16">
        <v>46191</v>
      </c>
      <c r="D1373" s="79">
        <v>0</v>
      </c>
    </row>
    <row r="1374" spans="1:4" x14ac:dyDescent="0.3">
      <c r="A1374" s="88" t="s">
        <v>17</v>
      </c>
      <c r="B1374" s="88"/>
      <c r="C1374" s="16">
        <v>46192</v>
      </c>
      <c r="D1374" s="79">
        <v>1098358.7500000002</v>
      </c>
    </row>
    <row r="1375" spans="1:4" x14ac:dyDescent="0.3">
      <c r="A1375" s="88" t="s">
        <v>18</v>
      </c>
      <c r="B1375" s="88"/>
      <c r="C1375" s="16">
        <v>46192</v>
      </c>
      <c r="D1375" s="79">
        <v>69376.390000000174</v>
      </c>
    </row>
    <row r="1376" spans="1:4" x14ac:dyDescent="0.3">
      <c r="A1376" s="88" t="s">
        <v>19</v>
      </c>
      <c r="B1376" s="88"/>
      <c r="C1376" s="16">
        <v>46192</v>
      </c>
      <c r="D1376" s="79">
        <v>1669.89</v>
      </c>
    </row>
    <row r="1377" spans="1:4" x14ac:dyDescent="0.3">
      <c r="A1377" s="88" t="s">
        <v>20</v>
      </c>
      <c r="B1377" s="88"/>
      <c r="C1377" s="16">
        <v>46192</v>
      </c>
      <c r="D1377" s="79">
        <v>503904.80999999982</v>
      </c>
    </row>
    <row r="1378" spans="1:4" x14ac:dyDescent="0.3">
      <c r="A1378" s="88" t="s">
        <v>21</v>
      </c>
      <c r="B1378" s="88"/>
      <c r="C1378" s="16">
        <v>46192</v>
      </c>
      <c r="D1378" s="79">
        <v>3326696.7299999995</v>
      </c>
    </row>
    <row r="1379" spans="1:4" x14ac:dyDescent="0.3">
      <c r="A1379" s="88" t="s">
        <v>22</v>
      </c>
      <c r="B1379" s="88"/>
      <c r="C1379" s="16">
        <v>46192</v>
      </c>
      <c r="D1379" s="79">
        <v>116496.38</v>
      </c>
    </row>
    <row r="1380" spans="1:4" x14ac:dyDescent="0.3">
      <c r="A1380" s="88" t="s">
        <v>23</v>
      </c>
      <c r="B1380" s="88"/>
      <c r="C1380" s="16">
        <v>46192</v>
      </c>
      <c r="D1380" s="79">
        <v>20375.989999999998</v>
      </c>
    </row>
    <row r="1381" spans="1:4" x14ac:dyDescent="0.3">
      <c r="A1381" s="88" t="s">
        <v>24</v>
      </c>
      <c r="B1381" s="88"/>
      <c r="C1381" s="16">
        <v>46192</v>
      </c>
      <c r="D1381" s="79">
        <v>511.15999999999985</v>
      </c>
    </row>
    <row r="1382" spans="1:4" x14ac:dyDescent="0.3">
      <c r="A1382" s="88" t="s">
        <v>25</v>
      </c>
      <c r="B1382" s="88"/>
      <c r="C1382" s="16">
        <v>46192</v>
      </c>
      <c r="D1382" s="79">
        <v>84.35</v>
      </c>
    </row>
    <row r="1383" spans="1:4" x14ac:dyDescent="0.3">
      <c r="A1383" s="88" t="s">
        <v>26</v>
      </c>
      <c r="B1383" s="88"/>
      <c r="C1383" s="16">
        <v>46192</v>
      </c>
      <c r="D1383" s="79">
        <v>2237.77</v>
      </c>
    </row>
    <row r="1384" spans="1:4" x14ac:dyDescent="0.3">
      <c r="A1384" s="88" t="s">
        <v>27</v>
      </c>
      <c r="B1384" s="88"/>
      <c r="C1384" s="16">
        <v>46192</v>
      </c>
      <c r="D1384" s="79">
        <v>3349.94</v>
      </c>
    </row>
    <row r="1385" spans="1:4" x14ac:dyDescent="0.3">
      <c r="A1385" s="88" t="s">
        <v>28</v>
      </c>
      <c r="B1385" s="88"/>
      <c r="C1385" s="16">
        <v>46192</v>
      </c>
      <c r="D1385" s="79">
        <v>1968.99</v>
      </c>
    </row>
    <row r="1386" spans="1:4" x14ac:dyDescent="0.3">
      <c r="A1386" s="88" t="s">
        <v>29</v>
      </c>
      <c r="B1386" s="88"/>
      <c r="C1386" s="16">
        <v>46192</v>
      </c>
      <c r="D1386" s="79">
        <v>382.69000000000005</v>
      </c>
    </row>
    <row r="1387" spans="1:4" x14ac:dyDescent="0.3">
      <c r="A1387" s="88" t="s">
        <v>30</v>
      </c>
      <c r="B1387" s="88"/>
      <c r="C1387" s="16">
        <v>46192</v>
      </c>
      <c r="D1387" s="79">
        <v>1428.08</v>
      </c>
    </row>
    <row r="1388" spans="1:4" x14ac:dyDescent="0.3">
      <c r="A1388" s="88" t="s">
        <v>31</v>
      </c>
      <c r="B1388" s="88"/>
      <c r="C1388" s="16">
        <v>46192</v>
      </c>
      <c r="D1388" s="79">
        <v>29789.969999999961</v>
      </c>
    </row>
    <row r="1389" spans="1:4" x14ac:dyDescent="0.3">
      <c r="A1389" s="88" t="s">
        <v>32</v>
      </c>
      <c r="B1389" s="88"/>
      <c r="C1389" s="16">
        <v>46192</v>
      </c>
      <c r="D1389" s="79">
        <v>20321.43</v>
      </c>
    </row>
    <row r="1390" spans="1:4" x14ac:dyDescent="0.3">
      <c r="A1390" s="88" t="s">
        <v>33</v>
      </c>
      <c r="B1390" s="88"/>
      <c r="C1390" s="16">
        <v>46192</v>
      </c>
      <c r="D1390" s="79">
        <v>16681.349999999999</v>
      </c>
    </row>
    <row r="1391" spans="1:4" x14ac:dyDescent="0.3">
      <c r="A1391" s="88" t="s">
        <v>34</v>
      </c>
      <c r="B1391" s="88"/>
      <c r="C1391" s="16">
        <v>46192</v>
      </c>
      <c r="D1391" s="79">
        <v>345</v>
      </c>
    </row>
    <row r="1392" spans="1:4" x14ac:dyDescent="0.3">
      <c r="A1392" s="88" t="s">
        <v>35</v>
      </c>
      <c r="B1392" s="88"/>
      <c r="C1392" s="16">
        <v>46192</v>
      </c>
      <c r="D1392" s="79">
        <v>50334.36</v>
      </c>
    </row>
    <row r="1393" spans="1:4" x14ac:dyDescent="0.3">
      <c r="A1393" s="88" t="s">
        <v>193</v>
      </c>
      <c r="B1393" s="88"/>
      <c r="C1393" s="16">
        <v>46192</v>
      </c>
      <c r="D1393" s="79">
        <v>0</v>
      </c>
    </row>
    <row r="1394" spans="1:4" x14ac:dyDescent="0.3">
      <c r="A1394" s="88" t="s">
        <v>214</v>
      </c>
      <c r="B1394" s="88"/>
      <c r="C1394" s="16">
        <v>46192</v>
      </c>
      <c r="D1394" s="79">
        <v>0</v>
      </c>
    </row>
    <row r="1395" spans="1:4" x14ac:dyDescent="0.3">
      <c r="A1395" s="88" t="s">
        <v>194</v>
      </c>
      <c r="B1395" s="88"/>
      <c r="C1395" s="16">
        <v>46192</v>
      </c>
      <c r="D1395" s="79">
        <v>0</v>
      </c>
    </row>
    <row r="1396" spans="1:4" x14ac:dyDescent="0.3">
      <c r="A1396" s="88" t="s">
        <v>195</v>
      </c>
      <c r="B1396" s="88"/>
      <c r="C1396" s="16">
        <v>46192</v>
      </c>
      <c r="D1396" s="79">
        <v>0</v>
      </c>
    </row>
    <row r="1397" spans="1:4" x14ac:dyDescent="0.3">
      <c r="A1397" s="88" t="s">
        <v>196</v>
      </c>
      <c r="B1397" s="88"/>
      <c r="C1397" s="16">
        <v>46192</v>
      </c>
      <c r="D1397" s="79">
        <v>0</v>
      </c>
    </row>
    <row r="1398" spans="1:4" x14ac:dyDescent="0.3">
      <c r="A1398" s="88" t="s">
        <v>197</v>
      </c>
      <c r="B1398" s="88"/>
      <c r="C1398" s="16">
        <v>46192</v>
      </c>
      <c r="D1398" s="79">
        <v>0</v>
      </c>
    </row>
    <row r="1399" spans="1:4" x14ac:dyDescent="0.3">
      <c r="A1399" s="88" t="s">
        <v>212</v>
      </c>
      <c r="B1399" s="88"/>
      <c r="C1399" s="16">
        <v>46192</v>
      </c>
      <c r="D1399" s="79">
        <v>0</v>
      </c>
    </row>
    <row r="1400" spans="1:4" x14ac:dyDescent="0.3">
      <c r="A1400" s="88" t="s">
        <v>199</v>
      </c>
      <c r="B1400" s="88"/>
      <c r="C1400" s="16">
        <v>46192</v>
      </c>
      <c r="D1400" s="79">
        <v>0</v>
      </c>
    </row>
    <row r="1401" spans="1:4" x14ac:dyDescent="0.3">
      <c r="A1401" s="88" t="s">
        <v>217</v>
      </c>
      <c r="B1401" s="88"/>
      <c r="C1401" s="16">
        <v>46192</v>
      </c>
      <c r="D1401" s="79">
        <v>0</v>
      </c>
    </row>
    <row r="1402" spans="1:4" x14ac:dyDescent="0.3">
      <c r="A1402" s="88" t="s">
        <v>17</v>
      </c>
      <c r="B1402" s="88"/>
      <c r="C1402" s="16">
        <v>46193</v>
      </c>
      <c r="D1402" s="79">
        <v>1098358.7500000002</v>
      </c>
    </row>
    <row r="1403" spans="1:4" x14ac:dyDescent="0.3">
      <c r="A1403" s="88" t="s">
        <v>18</v>
      </c>
      <c r="B1403" s="88"/>
      <c r="C1403" s="16">
        <v>46193</v>
      </c>
      <c r="D1403" s="79">
        <v>69376.390000000174</v>
      </c>
    </row>
    <row r="1404" spans="1:4" x14ac:dyDescent="0.3">
      <c r="A1404" s="88" t="s">
        <v>19</v>
      </c>
      <c r="B1404" s="88"/>
      <c r="C1404" s="16">
        <v>46193</v>
      </c>
      <c r="D1404" s="79">
        <v>1669.89</v>
      </c>
    </row>
    <row r="1405" spans="1:4" x14ac:dyDescent="0.3">
      <c r="A1405" s="88" t="s">
        <v>20</v>
      </c>
      <c r="B1405" s="88"/>
      <c r="C1405" s="16">
        <v>46193</v>
      </c>
      <c r="D1405" s="79">
        <v>503904.80999999982</v>
      </c>
    </row>
    <row r="1406" spans="1:4" x14ac:dyDescent="0.3">
      <c r="A1406" s="88" t="s">
        <v>21</v>
      </c>
      <c r="B1406" s="88"/>
      <c r="C1406" s="16">
        <v>46193</v>
      </c>
      <c r="D1406" s="79">
        <v>3326696.7299999995</v>
      </c>
    </row>
    <row r="1407" spans="1:4" x14ac:dyDescent="0.3">
      <c r="A1407" s="88" t="s">
        <v>22</v>
      </c>
      <c r="B1407" s="88"/>
      <c r="C1407" s="16">
        <v>46193</v>
      </c>
      <c r="D1407" s="79">
        <v>116496.38</v>
      </c>
    </row>
    <row r="1408" spans="1:4" x14ac:dyDescent="0.3">
      <c r="A1408" s="88" t="s">
        <v>23</v>
      </c>
      <c r="B1408" s="88"/>
      <c r="C1408" s="16">
        <v>46193</v>
      </c>
      <c r="D1408" s="79">
        <v>20375.989999999998</v>
      </c>
    </row>
    <row r="1409" spans="1:4" x14ac:dyDescent="0.3">
      <c r="A1409" s="88" t="s">
        <v>24</v>
      </c>
      <c r="B1409" s="88"/>
      <c r="C1409" s="16">
        <v>46193</v>
      </c>
      <c r="D1409" s="79">
        <v>511.15999999999985</v>
      </c>
    </row>
    <row r="1410" spans="1:4" x14ac:dyDescent="0.3">
      <c r="A1410" s="88" t="s">
        <v>25</v>
      </c>
      <c r="B1410" s="88"/>
      <c r="C1410" s="16">
        <v>46193</v>
      </c>
      <c r="D1410" s="79">
        <v>84.35</v>
      </c>
    </row>
    <row r="1411" spans="1:4" x14ac:dyDescent="0.3">
      <c r="A1411" s="88" t="s">
        <v>26</v>
      </c>
      <c r="B1411" s="88"/>
      <c r="C1411" s="16">
        <v>46193</v>
      </c>
      <c r="D1411" s="79">
        <v>2237.77</v>
      </c>
    </row>
    <row r="1412" spans="1:4" x14ac:dyDescent="0.3">
      <c r="A1412" s="88" t="s">
        <v>27</v>
      </c>
      <c r="B1412" s="88"/>
      <c r="C1412" s="16">
        <v>46193</v>
      </c>
      <c r="D1412" s="79">
        <v>3349.94</v>
      </c>
    </row>
    <row r="1413" spans="1:4" x14ac:dyDescent="0.3">
      <c r="A1413" s="88" t="s">
        <v>28</v>
      </c>
      <c r="B1413" s="88"/>
      <c r="C1413" s="16">
        <v>46193</v>
      </c>
      <c r="D1413" s="79">
        <v>1968.99</v>
      </c>
    </row>
    <row r="1414" spans="1:4" x14ac:dyDescent="0.3">
      <c r="A1414" s="88" t="s">
        <v>29</v>
      </c>
      <c r="B1414" s="88"/>
      <c r="C1414" s="16">
        <v>46193</v>
      </c>
      <c r="D1414" s="79">
        <v>382.69000000000005</v>
      </c>
    </row>
    <row r="1415" spans="1:4" x14ac:dyDescent="0.3">
      <c r="A1415" s="88" t="s">
        <v>30</v>
      </c>
      <c r="B1415" s="88"/>
      <c r="C1415" s="16">
        <v>46193</v>
      </c>
      <c r="D1415" s="79">
        <v>1428.08</v>
      </c>
    </row>
    <row r="1416" spans="1:4" x14ac:dyDescent="0.3">
      <c r="A1416" s="88" t="s">
        <v>31</v>
      </c>
      <c r="B1416" s="88"/>
      <c r="C1416" s="16">
        <v>46193</v>
      </c>
      <c r="D1416" s="79">
        <v>29789.969999999961</v>
      </c>
    </row>
    <row r="1417" spans="1:4" x14ac:dyDescent="0.3">
      <c r="A1417" s="88" t="s">
        <v>32</v>
      </c>
      <c r="B1417" s="88"/>
      <c r="C1417" s="16">
        <v>46193</v>
      </c>
      <c r="D1417" s="79">
        <v>20321.43</v>
      </c>
    </row>
    <row r="1418" spans="1:4" x14ac:dyDescent="0.3">
      <c r="A1418" s="88" t="s">
        <v>33</v>
      </c>
      <c r="B1418" s="88"/>
      <c r="C1418" s="16">
        <v>46193</v>
      </c>
      <c r="D1418" s="79">
        <v>16681.349999999999</v>
      </c>
    </row>
    <row r="1419" spans="1:4" x14ac:dyDescent="0.3">
      <c r="A1419" s="88" t="s">
        <v>34</v>
      </c>
      <c r="B1419" s="88"/>
      <c r="C1419" s="16">
        <v>46193</v>
      </c>
      <c r="D1419" s="79">
        <v>345</v>
      </c>
    </row>
    <row r="1420" spans="1:4" x14ac:dyDescent="0.3">
      <c r="A1420" s="88" t="s">
        <v>35</v>
      </c>
      <c r="B1420" s="88"/>
      <c r="C1420" s="16">
        <v>46193</v>
      </c>
      <c r="D1420" s="79">
        <v>50334.36</v>
      </c>
    </row>
    <row r="1421" spans="1:4" x14ac:dyDescent="0.3">
      <c r="A1421" s="88" t="s">
        <v>193</v>
      </c>
      <c r="B1421" s="88"/>
      <c r="C1421" s="16">
        <v>46193</v>
      </c>
      <c r="D1421" s="79">
        <v>0</v>
      </c>
    </row>
    <row r="1422" spans="1:4" x14ac:dyDescent="0.3">
      <c r="A1422" s="88" t="s">
        <v>214</v>
      </c>
      <c r="B1422" s="88"/>
      <c r="C1422" s="16">
        <v>46193</v>
      </c>
      <c r="D1422" s="79">
        <v>0</v>
      </c>
    </row>
    <row r="1423" spans="1:4" x14ac:dyDescent="0.3">
      <c r="A1423" s="88" t="s">
        <v>194</v>
      </c>
      <c r="B1423" s="88"/>
      <c r="C1423" s="16">
        <v>46193</v>
      </c>
      <c r="D1423" s="79">
        <v>0</v>
      </c>
    </row>
    <row r="1424" spans="1:4" x14ac:dyDescent="0.3">
      <c r="A1424" s="88" t="s">
        <v>195</v>
      </c>
      <c r="B1424" s="88"/>
      <c r="C1424" s="16">
        <v>46193</v>
      </c>
      <c r="D1424" s="79">
        <v>0</v>
      </c>
    </row>
    <row r="1425" spans="1:4" x14ac:dyDescent="0.3">
      <c r="A1425" s="88" t="s">
        <v>196</v>
      </c>
      <c r="B1425" s="88"/>
      <c r="C1425" s="16">
        <v>46193</v>
      </c>
      <c r="D1425" s="79">
        <v>0</v>
      </c>
    </row>
    <row r="1426" spans="1:4" x14ac:dyDescent="0.3">
      <c r="A1426" s="88" t="s">
        <v>197</v>
      </c>
      <c r="B1426" s="88"/>
      <c r="C1426" s="16">
        <v>46193</v>
      </c>
      <c r="D1426" s="79">
        <v>0</v>
      </c>
    </row>
    <row r="1427" spans="1:4" x14ac:dyDescent="0.3">
      <c r="A1427" s="88" t="s">
        <v>212</v>
      </c>
      <c r="B1427" s="88"/>
      <c r="C1427" s="16">
        <v>46193</v>
      </c>
      <c r="D1427" s="79">
        <v>0</v>
      </c>
    </row>
    <row r="1428" spans="1:4" x14ac:dyDescent="0.3">
      <c r="A1428" s="88" t="s">
        <v>199</v>
      </c>
      <c r="B1428" s="88"/>
      <c r="C1428" s="16">
        <v>46193</v>
      </c>
      <c r="D1428" s="79">
        <v>0</v>
      </c>
    </row>
    <row r="1429" spans="1:4" x14ac:dyDescent="0.3">
      <c r="A1429" s="88" t="s">
        <v>217</v>
      </c>
      <c r="B1429" s="88"/>
      <c r="C1429" s="16">
        <v>46193</v>
      </c>
      <c r="D1429" s="79">
        <v>0</v>
      </c>
    </row>
    <row r="1430" spans="1:4" x14ac:dyDescent="0.3">
      <c r="A1430" s="88" t="s">
        <v>17</v>
      </c>
      <c r="B1430" s="88"/>
      <c r="C1430" s="16">
        <v>46194</v>
      </c>
      <c r="D1430" s="79">
        <v>1098358.7500000002</v>
      </c>
    </row>
    <row r="1431" spans="1:4" x14ac:dyDescent="0.3">
      <c r="A1431" s="88" t="s">
        <v>18</v>
      </c>
      <c r="B1431" s="88"/>
      <c r="C1431" s="16">
        <v>46194</v>
      </c>
      <c r="D1431" s="79">
        <v>69376.390000000174</v>
      </c>
    </row>
    <row r="1432" spans="1:4" x14ac:dyDescent="0.3">
      <c r="A1432" s="88" t="s">
        <v>19</v>
      </c>
      <c r="B1432" s="88"/>
      <c r="C1432" s="16">
        <v>46194</v>
      </c>
      <c r="D1432" s="79">
        <v>1669.89</v>
      </c>
    </row>
    <row r="1433" spans="1:4" x14ac:dyDescent="0.3">
      <c r="A1433" s="88" t="s">
        <v>20</v>
      </c>
      <c r="B1433" s="88"/>
      <c r="C1433" s="16">
        <v>46194</v>
      </c>
      <c r="D1433" s="79">
        <v>503904.80999999982</v>
      </c>
    </row>
    <row r="1434" spans="1:4" x14ac:dyDescent="0.3">
      <c r="A1434" s="88" t="s">
        <v>21</v>
      </c>
      <c r="B1434" s="88"/>
      <c r="C1434" s="16">
        <v>46194</v>
      </c>
      <c r="D1434" s="79">
        <v>3326696.7299999995</v>
      </c>
    </row>
    <row r="1435" spans="1:4" x14ac:dyDescent="0.3">
      <c r="A1435" s="88" t="s">
        <v>22</v>
      </c>
      <c r="B1435" s="88"/>
      <c r="C1435" s="16">
        <v>46194</v>
      </c>
      <c r="D1435" s="79">
        <v>116496.38</v>
      </c>
    </row>
    <row r="1436" spans="1:4" x14ac:dyDescent="0.3">
      <c r="A1436" s="88" t="s">
        <v>23</v>
      </c>
      <c r="B1436" s="88"/>
      <c r="C1436" s="16">
        <v>46194</v>
      </c>
      <c r="D1436" s="79">
        <v>20375.989999999998</v>
      </c>
    </row>
    <row r="1437" spans="1:4" x14ac:dyDescent="0.3">
      <c r="A1437" s="88" t="s">
        <v>24</v>
      </c>
      <c r="B1437" s="88"/>
      <c r="C1437" s="16">
        <v>46194</v>
      </c>
      <c r="D1437" s="79">
        <v>511.15999999999985</v>
      </c>
    </row>
    <row r="1438" spans="1:4" x14ac:dyDescent="0.3">
      <c r="A1438" s="88" t="s">
        <v>25</v>
      </c>
      <c r="B1438" s="88"/>
      <c r="C1438" s="16">
        <v>46194</v>
      </c>
      <c r="D1438" s="79">
        <v>84.35</v>
      </c>
    </row>
    <row r="1439" spans="1:4" x14ac:dyDescent="0.3">
      <c r="A1439" s="88" t="s">
        <v>26</v>
      </c>
      <c r="B1439" s="88"/>
      <c r="C1439" s="16">
        <v>46194</v>
      </c>
      <c r="D1439" s="79">
        <v>2237.77</v>
      </c>
    </row>
    <row r="1440" spans="1:4" x14ac:dyDescent="0.3">
      <c r="A1440" s="88" t="s">
        <v>27</v>
      </c>
      <c r="B1440" s="88"/>
      <c r="C1440" s="16">
        <v>46194</v>
      </c>
      <c r="D1440" s="79">
        <v>3349.94</v>
      </c>
    </row>
    <row r="1441" spans="1:4" x14ac:dyDescent="0.3">
      <c r="A1441" s="88" t="s">
        <v>28</v>
      </c>
      <c r="B1441" s="88"/>
      <c r="C1441" s="16">
        <v>46194</v>
      </c>
      <c r="D1441" s="79">
        <v>1968.99</v>
      </c>
    </row>
    <row r="1442" spans="1:4" x14ac:dyDescent="0.3">
      <c r="A1442" s="88" t="s">
        <v>29</v>
      </c>
      <c r="B1442" s="88"/>
      <c r="C1442" s="16">
        <v>46194</v>
      </c>
      <c r="D1442" s="79">
        <v>382.69000000000005</v>
      </c>
    </row>
    <row r="1443" spans="1:4" x14ac:dyDescent="0.3">
      <c r="A1443" s="88" t="s">
        <v>30</v>
      </c>
      <c r="B1443" s="88"/>
      <c r="C1443" s="16">
        <v>46194</v>
      </c>
      <c r="D1443" s="79">
        <v>1428.08</v>
      </c>
    </row>
    <row r="1444" spans="1:4" x14ac:dyDescent="0.3">
      <c r="A1444" s="88" t="s">
        <v>31</v>
      </c>
      <c r="B1444" s="88"/>
      <c r="C1444" s="16">
        <v>46194</v>
      </c>
      <c r="D1444" s="79">
        <v>29789.969999999961</v>
      </c>
    </row>
    <row r="1445" spans="1:4" x14ac:dyDescent="0.3">
      <c r="A1445" s="88" t="s">
        <v>32</v>
      </c>
      <c r="B1445" s="88"/>
      <c r="C1445" s="16">
        <v>46194</v>
      </c>
      <c r="D1445" s="79">
        <v>20321.43</v>
      </c>
    </row>
    <row r="1446" spans="1:4" x14ac:dyDescent="0.3">
      <c r="A1446" s="88" t="s">
        <v>33</v>
      </c>
      <c r="B1446" s="88"/>
      <c r="C1446" s="16">
        <v>46194</v>
      </c>
      <c r="D1446" s="79">
        <v>16681.349999999999</v>
      </c>
    </row>
    <row r="1447" spans="1:4" x14ac:dyDescent="0.3">
      <c r="A1447" s="88" t="s">
        <v>34</v>
      </c>
      <c r="B1447" s="88"/>
      <c r="C1447" s="16">
        <v>46194</v>
      </c>
      <c r="D1447" s="79">
        <v>345</v>
      </c>
    </row>
    <row r="1448" spans="1:4" x14ac:dyDescent="0.3">
      <c r="A1448" s="88" t="s">
        <v>35</v>
      </c>
      <c r="B1448" s="88"/>
      <c r="C1448" s="16">
        <v>46194</v>
      </c>
      <c r="D1448" s="79">
        <v>50334.36</v>
      </c>
    </row>
    <row r="1449" spans="1:4" x14ac:dyDescent="0.3">
      <c r="A1449" s="88" t="s">
        <v>193</v>
      </c>
      <c r="B1449" s="88"/>
      <c r="C1449" s="16">
        <v>46194</v>
      </c>
      <c r="D1449" s="79">
        <v>0</v>
      </c>
    </row>
    <row r="1450" spans="1:4" x14ac:dyDescent="0.3">
      <c r="A1450" s="88" t="s">
        <v>214</v>
      </c>
      <c r="B1450" s="88"/>
      <c r="C1450" s="16">
        <v>46194</v>
      </c>
      <c r="D1450" s="79">
        <v>0</v>
      </c>
    </row>
    <row r="1451" spans="1:4" x14ac:dyDescent="0.3">
      <c r="A1451" s="88" t="s">
        <v>194</v>
      </c>
      <c r="B1451" s="88"/>
      <c r="C1451" s="16">
        <v>46194</v>
      </c>
      <c r="D1451" s="79">
        <v>0</v>
      </c>
    </row>
    <row r="1452" spans="1:4" x14ac:dyDescent="0.3">
      <c r="A1452" s="88" t="s">
        <v>195</v>
      </c>
      <c r="B1452" s="88"/>
      <c r="C1452" s="16">
        <v>46194</v>
      </c>
      <c r="D1452" s="79">
        <v>0</v>
      </c>
    </row>
    <row r="1453" spans="1:4" x14ac:dyDescent="0.3">
      <c r="A1453" s="88" t="s">
        <v>196</v>
      </c>
      <c r="B1453" s="88"/>
      <c r="C1453" s="16">
        <v>46194</v>
      </c>
      <c r="D1453" s="79">
        <v>0</v>
      </c>
    </row>
    <row r="1454" spans="1:4" x14ac:dyDescent="0.3">
      <c r="A1454" s="88" t="s">
        <v>197</v>
      </c>
      <c r="B1454" s="88"/>
      <c r="C1454" s="16">
        <v>46194</v>
      </c>
      <c r="D1454" s="79">
        <v>0</v>
      </c>
    </row>
    <row r="1455" spans="1:4" x14ac:dyDescent="0.3">
      <c r="A1455" s="88" t="s">
        <v>212</v>
      </c>
      <c r="B1455" s="88"/>
      <c r="C1455" s="16">
        <v>46194</v>
      </c>
      <c r="D1455" s="79">
        <v>0</v>
      </c>
    </row>
    <row r="1456" spans="1:4" x14ac:dyDescent="0.3">
      <c r="A1456" s="88" t="s">
        <v>199</v>
      </c>
      <c r="B1456" s="88"/>
      <c r="C1456" s="16">
        <v>46194</v>
      </c>
      <c r="D1456" s="79">
        <v>0</v>
      </c>
    </row>
    <row r="1457" spans="1:4" x14ac:dyDescent="0.3">
      <c r="A1457" s="88" t="s">
        <v>217</v>
      </c>
      <c r="B1457" s="88"/>
      <c r="C1457" s="16">
        <v>46194</v>
      </c>
      <c r="D1457" s="79">
        <v>0</v>
      </c>
    </row>
    <row r="1458" spans="1:4" x14ac:dyDescent="0.3">
      <c r="A1458" s="88" t="s">
        <v>17</v>
      </c>
      <c r="B1458" s="88"/>
      <c r="C1458" s="16">
        <v>46195</v>
      </c>
      <c r="D1458" s="79">
        <v>7613332.1400000006</v>
      </c>
    </row>
    <row r="1459" spans="1:4" x14ac:dyDescent="0.3">
      <c r="A1459" s="88" t="s">
        <v>18</v>
      </c>
      <c r="B1459" s="88"/>
      <c r="C1459" s="16">
        <v>46195</v>
      </c>
      <c r="D1459" s="79">
        <v>69376.390000000174</v>
      </c>
    </row>
    <row r="1460" spans="1:4" x14ac:dyDescent="0.3">
      <c r="A1460" s="88" t="s">
        <v>19</v>
      </c>
      <c r="B1460" s="88"/>
      <c r="C1460" s="16">
        <v>46195</v>
      </c>
      <c r="D1460" s="79">
        <v>1669.89</v>
      </c>
    </row>
    <row r="1461" spans="1:4" x14ac:dyDescent="0.3">
      <c r="A1461" s="88" t="s">
        <v>20</v>
      </c>
      <c r="B1461" s="88"/>
      <c r="C1461" s="16">
        <v>46195</v>
      </c>
      <c r="D1461" s="79">
        <v>503904.80999999982</v>
      </c>
    </row>
    <row r="1462" spans="1:4" x14ac:dyDescent="0.3">
      <c r="A1462" s="88" t="s">
        <v>21</v>
      </c>
      <c r="B1462" s="88"/>
      <c r="C1462" s="16">
        <v>46195</v>
      </c>
      <c r="D1462" s="79">
        <v>3325868.6899999995</v>
      </c>
    </row>
    <row r="1463" spans="1:4" x14ac:dyDescent="0.3">
      <c r="A1463" s="88" t="s">
        <v>22</v>
      </c>
      <c r="B1463" s="88"/>
      <c r="C1463" s="16">
        <v>46195</v>
      </c>
      <c r="D1463" s="79">
        <v>116496.38</v>
      </c>
    </row>
    <row r="1464" spans="1:4" x14ac:dyDescent="0.3">
      <c r="A1464" s="88" t="s">
        <v>23</v>
      </c>
      <c r="B1464" s="88"/>
      <c r="C1464" s="16">
        <v>46195</v>
      </c>
      <c r="D1464" s="79">
        <v>20375.989999999998</v>
      </c>
    </row>
    <row r="1465" spans="1:4" x14ac:dyDescent="0.3">
      <c r="A1465" s="88" t="s">
        <v>24</v>
      </c>
      <c r="B1465" s="88"/>
      <c r="C1465" s="16">
        <v>46195</v>
      </c>
      <c r="D1465" s="79">
        <v>511.15999999999985</v>
      </c>
    </row>
    <row r="1466" spans="1:4" x14ac:dyDescent="0.3">
      <c r="A1466" s="88" t="s">
        <v>25</v>
      </c>
      <c r="B1466" s="88"/>
      <c r="C1466" s="16">
        <v>46195</v>
      </c>
      <c r="D1466" s="79">
        <v>84.35</v>
      </c>
    </row>
    <row r="1467" spans="1:4" x14ac:dyDescent="0.3">
      <c r="A1467" s="88" t="s">
        <v>26</v>
      </c>
      <c r="B1467" s="88"/>
      <c r="C1467" s="16">
        <v>46195</v>
      </c>
      <c r="D1467" s="79">
        <v>2237.77</v>
      </c>
    </row>
    <row r="1468" spans="1:4" x14ac:dyDescent="0.3">
      <c r="A1468" s="88" t="s">
        <v>27</v>
      </c>
      <c r="B1468" s="88"/>
      <c r="C1468" s="16">
        <v>46195</v>
      </c>
      <c r="D1468" s="79">
        <v>3349.94</v>
      </c>
    </row>
    <row r="1469" spans="1:4" x14ac:dyDescent="0.3">
      <c r="A1469" s="88" t="s">
        <v>28</v>
      </c>
      <c r="B1469" s="88"/>
      <c r="C1469" s="16">
        <v>46195</v>
      </c>
      <c r="D1469" s="79">
        <v>1968.99</v>
      </c>
    </row>
    <row r="1470" spans="1:4" x14ac:dyDescent="0.3">
      <c r="A1470" s="88" t="s">
        <v>29</v>
      </c>
      <c r="B1470" s="88"/>
      <c r="C1470" s="16">
        <v>46195</v>
      </c>
      <c r="D1470" s="79">
        <v>382.69000000000005</v>
      </c>
    </row>
    <row r="1471" spans="1:4" x14ac:dyDescent="0.3">
      <c r="A1471" s="88" t="s">
        <v>30</v>
      </c>
      <c r="B1471" s="88"/>
      <c r="C1471" s="16">
        <v>46195</v>
      </c>
      <c r="D1471" s="79">
        <v>1428.08</v>
      </c>
    </row>
    <row r="1472" spans="1:4" x14ac:dyDescent="0.3">
      <c r="A1472" s="88" t="s">
        <v>31</v>
      </c>
      <c r="B1472" s="88"/>
      <c r="C1472" s="16">
        <v>46195</v>
      </c>
      <c r="D1472" s="79">
        <v>31039.969999999961</v>
      </c>
    </row>
    <row r="1473" spans="1:4" x14ac:dyDescent="0.3">
      <c r="A1473" s="88" t="s">
        <v>32</v>
      </c>
      <c r="B1473" s="88"/>
      <c r="C1473" s="16">
        <v>46195</v>
      </c>
      <c r="D1473" s="79">
        <v>20321.43</v>
      </c>
    </row>
    <row r="1474" spans="1:4" x14ac:dyDescent="0.3">
      <c r="A1474" s="88" t="s">
        <v>33</v>
      </c>
      <c r="B1474" s="88"/>
      <c r="C1474" s="16">
        <v>46195</v>
      </c>
      <c r="D1474" s="79">
        <v>16681.349999999999</v>
      </c>
    </row>
    <row r="1475" spans="1:4" x14ac:dyDescent="0.3">
      <c r="A1475" s="88" t="s">
        <v>34</v>
      </c>
      <c r="B1475" s="88"/>
      <c r="C1475" s="16">
        <v>46195</v>
      </c>
      <c r="D1475" s="79">
        <v>345</v>
      </c>
    </row>
    <row r="1476" spans="1:4" x14ac:dyDescent="0.3">
      <c r="A1476" s="88" t="s">
        <v>35</v>
      </c>
      <c r="B1476" s="88"/>
      <c r="C1476" s="16">
        <v>46195</v>
      </c>
      <c r="D1476" s="79">
        <v>50109.68</v>
      </c>
    </row>
    <row r="1477" spans="1:4" x14ac:dyDescent="0.3">
      <c r="A1477" s="88" t="s">
        <v>193</v>
      </c>
      <c r="B1477" s="88"/>
      <c r="C1477" s="16">
        <v>46195</v>
      </c>
      <c r="D1477" s="79">
        <v>0</v>
      </c>
    </row>
    <row r="1478" spans="1:4" x14ac:dyDescent="0.3">
      <c r="A1478" s="88" t="s">
        <v>214</v>
      </c>
      <c r="B1478" s="88"/>
      <c r="C1478" s="16">
        <v>46195</v>
      </c>
      <c r="D1478" s="79">
        <v>0</v>
      </c>
    </row>
    <row r="1479" spans="1:4" x14ac:dyDescent="0.3">
      <c r="A1479" s="88" t="s">
        <v>194</v>
      </c>
      <c r="B1479" s="88"/>
      <c r="C1479" s="16">
        <v>46195</v>
      </c>
      <c r="D1479" s="79">
        <v>0</v>
      </c>
    </row>
    <row r="1480" spans="1:4" x14ac:dyDescent="0.3">
      <c r="A1480" s="88" t="s">
        <v>195</v>
      </c>
      <c r="B1480" s="88"/>
      <c r="C1480" s="16">
        <v>46195</v>
      </c>
      <c r="D1480" s="79">
        <v>0</v>
      </c>
    </row>
    <row r="1481" spans="1:4" x14ac:dyDescent="0.3">
      <c r="A1481" s="88" t="s">
        <v>196</v>
      </c>
      <c r="B1481" s="88"/>
      <c r="C1481" s="16">
        <v>46195</v>
      </c>
      <c r="D1481" s="79">
        <v>0</v>
      </c>
    </row>
    <row r="1482" spans="1:4" x14ac:dyDescent="0.3">
      <c r="A1482" s="88" t="s">
        <v>197</v>
      </c>
      <c r="B1482" s="88"/>
      <c r="C1482" s="16">
        <v>46195</v>
      </c>
      <c r="D1482" s="79">
        <v>0</v>
      </c>
    </row>
    <row r="1483" spans="1:4" x14ac:dyDescent="0.3">
      <c r="A1483" s="88" t="s">
        <v>212</v>
      </c>
      <c r="B1483" s="88"/>
      <c r="C1483" s="16">
        <v>46195</v>
      </c>
      <c r="D1483" s="79">
        <v>0</v>
      </c>
    </row>
    <row r="1484" spans="1:4" x14ac:dyDescent="0.3">
      <c r="A1484" s="88" t="s">
        <v>199</v>
      </c>
      <c r="B1484" s="88"/>
      <c r="C1484" s="16">
        <v>46195</v>
      </c>
      <c r="D1484" s="79">
        <v>0</v>
      </c>
    </row>
    <row r="1485" spans="1:4" x14ac:dyDescent="0.3">
      <c r="A1485" s="88" t="s">
        <v>217</v>
      </c>
      <c r="B1485" s="88"/>
      <c r="C1485" s="16">
        <v>46195</v>
      </c>
      <c r="D1485" s="79">
        <v>0</v>
      </c>
    </row>
    <row r="1486" spans="1:4" x14ac:dyDescent="0.3">
      <c r="A1486" s="88" t="s">
        <v>17</v>
      </c>
      <c r="B1486" s="88"/>
      <c r="C1486" s="16">
        <v>46196</v>
      </c>
      <c r="D1486" s="79">
        <v>7675741.5900000008</v>
      </c>
    </row>
    <row r="1487" spans="1:4" x14ac:dyDescent="0.3">
      <c r="A1487" s="88" t="s">
        <v>18</v>
      </c>
      <c r="B1487" s="88"/>
      <c r="C1487" s="16">
        <v>46196</v>
      </c>
      <c r="D1487" s="79">
        <v>69376.390000000174</v>
      </c>
    </row>
    <row r="1488" spans="1:4" x14ac:dyDescent="0.3">
      <c r="A1488" s="88" t="s">
        <v>19</v>
      </c>
      <c r="B1488" s="88"/>
      <c r="C1488" s="16">
        <v>46196</v>
      </c>
      <c r="D1488" s="79">
        <v>1669.89</v>
      </c>
    </row>
    <row r="1489" spans="1:4" x14ac:dyDescent="0.3">
      <c r="A1489" s="88" t="s">
        <v>20</v>
      </c>
      <c r="B1489" s="88"/>
      <c r="C1489" s="16">
        <v>46196</v>
      </c>
      <c r="D1489" s="79">
        <v>503904.80999999982</v>
      </c>
    </row>
    <row r="1490" spans="1:4" x14ac:dyDescent="0.3">
      <c r="A1490" s="88" t="s">
        <v>21</v>
      </c>
      <c r="B1490" s="88"/>
      <c r="C1490" s="16">
        <v>46196</v>
      </c>
      <c r="D1490" s="79">
        <v>3325868.6899999995</v>
      </c>
    </row>
    <row r="1491" spans="1:4" x14ac:dyDescent="0.3">
      <c r="A1491" s="88" t="s">
        <v>22</v>
      </c>
      <c r="B1491" s="88"/>
      <c r="C1491" s="16">
        <v>46196</v>
      </c>
      <c r="D1491" s="79">
        <v>116496.38</v>
      </c>
    </row>
    <row r="1492" spans="1:4" x14ac:dyDescent="0.3">
      <c r="A1492" s="88" t="s">
        <v>23</v>
      </c>
      <c r="B1492" s="88"/>
      <c r="C1492" s="16">
        <v>46196</v>
      </c>
      <c r="D1492" s="79">
        <v>20375.989999999998</v>
      </c>
    </row>
    <row r="1493" spans="1:4" x14ac:dyDescent="0.3">
      <c r="A1493" s="88" t="s">
        <v>24</v>
      </c>
      <c r="B1493" s="88"/>
      <c r="C1493" s="16">
        <v>46196</v>
      </c>
      <c r="D1493" s="79">
        <v>511.15999999999985</v>
      </c>
    </row>
    <row r="1494" spans="1:4" x14ac:dyDescent="0.3">
      <c r="A1494" s="88" t="s">
        <v>25</v>
      </c>
      <c r="B1494" s="88"/>
      <c r="C1494" s="16">
        <v>46196</v>
      </c>
      <c r="D1494" s="79">
        <v>84.35</v>
      </c>
    </row>
    <row r="1495" spans="1:4" x14ac:dyDescent="0.3">
      <c r="A1495" s="88" t="s">
        <v>26</v>
      </c>
      <c r="B1495" s="88"/>
      <c r="C1495" s="16">
        <v>46196</v>
      </c>
      <c r="D1495" s="79">
        <v>2237.77</v>
      </c>
    </row>
    <row r="1496" spans="1:4" x14ac:dyDescent="0.3">
      <c r="A1496" s="88" t="s">
        <v>27</v>
      </c>
      <c r="B1496" s="88"/>
      <c r="C1496" s="16">
        <v>46196</v>
      </c>
      <c r="D1496" s="79">
        <v>3349.94</v>
      </c>
    </row>
    <row r="1497" spans="1:4" x14ac:dyDescent="0.3">
      <c r="A1497" s="88" t="s">
        <v>28</v>
      </c>
      <c r="B1497" s="88"/>
      <c r="C1497" s="16">
        <v>46196</v>
      </c>
      <c r="D1497" s="79">
        <v>1968.99</v>
      </c>
    </row>
    <row r="1498" spans="1:4" x14ac:dyDescent="0.3">
      <c r="A1498" s="88" t="s">
        <v>29</v>
      </c>
      <c r="B1498" s="88"/>
      <c r="C1498" s="16">
        <v>46196</v>
      </c>
      <c r="D1498" s="79">
        <v>382.69000000000005</v>
      </c>
    </row>
    <row r="1499" spans="1:4" x14ac:dyDescent="0.3">
      <c r="A1499" s="88" t="s">
        <v>30</v>
      </c>
      <c r="B1499" s="88"/>
      <c r="C1499" s="16">
        <v>46196</v>
      </c>
      <c r="D1499" s="79">
        <v>1428.08</v>
      </c>
    </row>
    <row r="1500" spans="1:4" x14ac:dyDescent="0.3">
      <c r="A1500" s="88" t="s">
        <v>31</v>
      </c>
      <c r="B1500" s="88"/>
      <c r="C1500" s="16">
        <v>46196</v>
      </c>
      <c r="D1500" s="79">
        <v>31039.969999999961</v>
      </c>
    </row>
    <row r="1501" spans="1:4" x14ac:dyDescent="0.3">
      <c r="A1501" s="88" t="s">
        <v>32</v>
      </c>
      <c r="B1501" s="88"/>
      <c r="C1501" s="16">
        <v>46196</v>
      </c>
      <c r="D1501" s="79">
        <v>20321.43</v>
      </c>
    </row>
    <row r="1502" spans="1:4" x14ac:dyDescent="0.3">
      <c r="A1502" s="88" t="s">
        <v>33</v>
      </c>
      <c r="B1502" s="88"/>
      <c r="C1502" s="16">
        <v>46196</v>
      </c>
      <c r="D1502" s="79">
        <v>16681.349999999999</v>
      </c>
    </row>
    <row r="1503" spans="1:4" x14ac:dyDescent="0.3">
      <c r="A1503" s="88" t="s">
        <v>34</v>
      </c>
      <c r="B1503" s="88"/>
      <c r="C1503" s="16">
        <v>46196</v>
      </c>
      <c r="D1503" s="79">
        <v>345</v>
      </c>
    </row>
    <row r="1504" spans="1:4" x14ac:dyDescent="0.3">
      <c r="A1504" s="88" t="s">
        <v>35</v>
      </c>
      <c r="B1504" s="88"/>
      <c r="C1504" s="16">
        <v>46196</v>
      </c>
      <c r="D1504" s="79">
        <v>49981.31</v>
      </c>
    </row>
    <row r="1505" spans="1:4" x14ac:dyDescent="0.3">
      <c r="A1505" s="88" t="s">
        <v>193</v>
      </c>
      <c r="B1505" s="88"/>
      <c r="C1505" s="16">
        <v>46196</v>
      </c>
      <c r="D1505" s="79">
        <v>0</v>
      </c>
    </row>
    <row r="1506" spans="1:4" x14ac:dyDescent="0.3">
      <c r="A1506" s="88" t="s">
        <v>214</v>
      </c>
      <c r="B1506" s="88"/>
      <c r="C1506" s="16">
        <v>46196</v>
      </c>
      <c r="D1506" s="79">
        <v>0</v>
      </c>
    </row>
    <row r="1507" spans="1:4" x14ac:dyDescent="0.3">
      <c r="A1507" s="88" t="s">
        <v>194</v>
      </c>
      <c r="B1507" s="88"/>
      <c r="C1507" s="16">
        <v>46196</v>
      </c>
      <c r="D1507" s="79">
        <v>0</v>
      </c>
    </row>
    <row r="1508" spans="1:4" x14ac:dyDescent="0.3">
      <c r="A1508" s="88" t="s">
        <v>195</v>
      </c>
      <c r="B1508" s="88"/>
      <c r="C1508" s="16">
        <v>46196</v>
      </c>
      <c r="D1508" s="79">
        <v>0</v>
      </c>
    </row>
    <row r="1509" spans="1:4" x14ac:dyDescent="0.3">
      <c r="A1509" s="88" t="s">
        <v>196</v>
      </c>
      <c r="B1509" s="88"/>
      <c r="C1509" s="16">
        <v>46196</v>
      </c>
      <c r="D1509" s="79">
        <v>0</v>
      </c>
    </row>
    <row r="1510" spans="1:4" x14ac:dyDescent="0.3">
      <c r="A1510" s="88" t="s">
        <v>197</v>
      </c>
      <c r="B1510" s="88"/>
      <c r="C1510" s="16">
        <v>46196</v>
      </c>
      <c r="D1510" s="79">
        <v>0</v>
      </c>
    </row>
    <row r="1511" spans="1:4" x14ac:dyDescent="0.3">
      <c r="A1511" s="88" t="s">
        <v>212</v>
      </c>
      <c r="B1511" s="88"/>
      <c r="C1511" s="16">
        <v>46196</v>
      </c>
      <c r="D1511" s="79">
        <v>0</v>
      </c>
    </row>
    <row r="1512" spans="1:4" x14ac:dyDescent="0.3">
      <c r="A1512" s="88" t="s">
        <v>199</v>
      </c>
      <c r="B1512" s="88"/>
      <c r="C1512" s="16">
        <v>46196</v>
      </c>
      <c r="D1512" s="79">
        <v>0</v>
      </c>
    </row>
    <row r="1513" spans="1:4" x14ac:dyDescent="0.3">
      <c r="A1513" s="88" t="s">
        <v>217</v>
      </c>
      <c r="B1513" s="88"/>
      <c r="C1513" s="16">
        <v>46196</v>
      </c>
      <c r="D1513" s="79">
        <v>0</v>
      </c>
    </row>
    <row r="1514" spans="1:4" x14ac:dyDescent="0.3">
      <c r="A1514" s="88" t="s">
        <v>17</v>
      </c>
      <c r="B1514" s="88"/>
      <c r="C1514" s="16">
        <v>46197</v>
      </c>
      <c r="D1514" s="79">
        <v>7742810.7100000009</v>
      </c>
    </row>
    <row r="1515" spans="1:4" x14ac:dyDescent="0.3">
      <c r="A1515" s="88" t="s">
        <v>18</v>
      </c>
      <c r="B1515" s="88"/>
      <c r="C1515" s="16">
        <v>46197</v>
      </c>
      <c r="D1515" s="79">
        <v>72386.190000000177</v>
      </c>
    </row>
    <row r="1516" spans="1:4" x14ac:dyDescent="0.3">
      <c r="A1516" s="88" t="s">
        <v>19</v>
      </c>
      <c r="B1516" s="88"/>
      <c r="C1516" s="16">
        <v>46197</v>
      </c>
      <c r="D1516" s="79">
        <v>1669.89</v>
      </c>
    </row>
    <row r="1517" spans="1:4" x14ac:dyDescent="0.3">
      <c r="A1517" s="88" t="s">
        <v>20</v>
      </c>
      <c r="B1517" s="88"/>
      <c r="C1517" s="16">
        <v>46197</v>
      </c>
      <c r="D1517" s="79">
        <v>532766.72999999986</v>
      </c>
    </row>
    <row r="1518" spans="1:4" x14ac:dyDescent="0.3">
      <c r="A1518" s="88" t="s">
        <v>21</v>
      </c>
      <c r="B1518" s="88"/>
      <c r="C1518" s="16">
        <v>46197</v>
      </c>
      <c r="D1518" s="79">
        <v>3325868.6899999995</v>
      </c>
    </row>
    <row r="1519" spans="1:4" x14ac:dyDescent="0.3">
      <c r="A1519" s="88" t="s">
        <v>22</v>
      </c>
      <c r="B1519" s="88"/>
      <c r="C1519" s="16">
        <v>46197</v>
      </c>
      <c r="D1519" s="79">
        <v>116496.38</v>
      </c>
    </row>
    <row r="1520" spans="1:4" x14ac:dyDescent="0.3">
      <c r="A1520" s="88" t="s">
        <v>23</v>
      </c>
      <c r="B1520" s="88"/>
      <c r="C1520" s="16">
        <v>46197</v>
      </c>
      <c r="D1520" s="79">
        <v>20375.989999999998</v>
      </c>
    </row>
    <row r="1521" spans="1:4" x14ac:dyDescent="0.3">
      <c r="A1521" s="88" t="s">
        <v>24</v>
      </c>
      <c r="B1521" s="88"/>
      <c r="C1521" s="16">
        <v>46197</v>
      </c>
      <c r="D1521" s="79">
        <v>511.15999999999985</v>
      </c>
    </row>
    <row r="1522" spans="1:4" x14ac:dyDescent="0.3">
      <c r="A1522" s="88" t="s">
        <v>25</v>
      </c>
      <c r="B1522" s="88"/>
      <c r="C1522" s="16">
        <v>46197</v>
      </c>
      <c r="D1522" s="79">
        <v>84.35</v>
      </c>
    </row>
    <row r="1523" spans="1:4" x14ac:dyDescent="0.3">
      <c r="A1523" s="88" t="s">
        <v>26</v>
      </c>
      <c r="B1523" s="88"/>
      <c r="C1523" s="16">
        <v>46197</v>
      </c>
      <c r="D1523" s="79">
        <v>2237.77</v>
      </c>
    </row>
    <row r="1524" spans="1:4" x14ac:dyDescent="0.3">
      <c r="A1524" s="88" t="s">
        <v>27</v>
      </c>
      <c r="B1524" s="88"/>
      <c r="C1524" s="16">
        <v>46197</v>
      </c>
      <c r="D1524" s="79">
        <v>3349.94</v>
      </c>
    </row>
    <row r="1525" spans="1:4" x14ac:dyDescent="0.3">
      <c r="A1525" s="88" t="s">
        <v>28</v>
      </c>
      <c r="B1525" s="88"/>
      <c r="C1525" s="16">
        <v>46197</v>
      </c>
      <c r="D1525" s="79">
        <v>1968.99</v>
      </c>
    </row>
    <row r="1526" spans="1:4" x14ac:dyDescent="0.3">
      <c r="A1526" s="88" t="s">
        <v>29</v>
      </c>
      <c r="B1526" s="88"/>
      <c r="C1526" s="16">
        <v>46197</v>
      </c>
      <c r="D1526" s="79">
        <v>382.69000000000005</v>
      </c>
    </row>
    <row r="1527" spans="1:4" x14ac:dyDescent="0.3">
      <c r="A1527" s="88" t="s">
        <v>30</v>
      </c>
      <c r="B1527" s="88"/>
      <c r="C1527" s="16">
        <v>46197</v>
      </c>
      <c r="D1527" s="79">
        <v>1428.08</v>
      </c>
    </row>
    <row r="1528" spans="1:4" x14ac:dyDescent="0.3">
      <c r="A1528" s="88" t="s">
        <v>31</v>
      </c>
      <c r="B1528" s="88"/>
      <c r="C1528" s="16">
        <v>46197</v>
      </c>
      <c r="D1528" s="79">
        <v>31039.969999999961</v>
      </c>
    </row>
    <row r="1529" spans="1:4" x14ac:dyDescent="0.3">
      <c r="A1529" s="88" t="s">
        <v>32</v>
      </c>
      <c r="B1529" s="88"/>
      <c r="C1529" s="16">
        <v>46197</v>
      </c>
      <c r="D1529" s="79">
        <v>20321.43</v>
      </c>
    </row>
    <row r="1530" spans="1:4" x14ac:dyDescent="0.3">
      <c r="A1530" s="88" t="s">
        <v>33</v>
      </c>
      <c r="B1530" s="88"/>
      <c r="C1530" s="16">
        <v>46197</v>
      </c>
      <c r="D1530" s="79">
        <v>16681.349999999999</v>
      </c>
    </row>
    <row r="1531" spans="1:4" x14ac:dyDescent="0.3">
      <c r="A1531" s="88" t="s">
        <v>34</v>
      </c>
      <c r="B1531" s="88"/>
      <c r="C1531" s="16">
        <v>46197</v>
      </c>
      <c r="D1531" s="79">
        <v>345</v>
      </c>
    </row>
    <row r="1532" spans="1:4" x14ac:dyDescent="0.3">
      <c r="A1532" s="88" t="s">
        <v>35</v>
      </c>
      <c r="B1532" s="88"/>
      <c r="C1532" s="16">
        <v>46197</v>
      </c>
      <c r="D1532" s="79">
        <v>49981.31</v>
      </c>
    </row>
    <row r="1533" spans="1:4" x14ac:dyDescent="0.3">
      <c r="A1533" s="88" t="s">
        <v>193</v>
      </c>
      <c r="B1533" s="88"/>
      <c r="C1533" s="16">
        <v>46197</v>
      </c>
      <c r="D1533" s="79">
        <v>0</v>
      </c>
    </row>
    <row r="1534" spans="1:4" x14ac:dyDescent="0.3">
      <c r="A1534" s="88" t="s">
        <v>214</v>
      </c>
      <c r="B1534" s="88"/>
      <c r="C1534" s="16">
        <v>46197</v>
      </c>
      <c r="D1534" s="79">
        <v>0</v>
      </c>
    </row>
    <row r="1535" spans="1:4" x14ac:dyDescent="0.3">
      <c r="A1535" s="88" t="s">
        <v>194</v>
      </c>
      <c r="B1535" s="88"/>
      <c r="C1535" s="16">
        <v>46197</v>
      </c>
      <c r="D1535" s="79">
        <v>0</v>
      </c>
    </row>
    <row r="1536" spans="1:4" x14ac:dyDescent="0.3">
      <c r="A1536" s="88" t="s">
        <v>195</v>
      </c>
      <c r="B1536" s="88"/>
      <c r="C1536" s="16">
        <v>46197</v>
      </c>
      <c r="D1536" s="79">
        <v>0</v>
      </c>
    </row>
    <row r="1537" spans="1:4" x14ac:dyDescent="0.3">
      <c r="A1537" s="88" t="s">
        <v>196</v>
      </c>
      <c r="B1537" s="88"/>
      <c r="C1537" s="16">
        <v>46197</v>
      </c>
      <c r="D1537" s="79">
        <v>0</v>
      </c>
    </row>
    <row r="1538" spans="1:4" x14ac:dyDescent="0.3">
      <c r="A1538" s="88" t="s">
        <v>197</v>
      </c>
      <c r="B1538" s="88"/>
      <c r="C1538" s="16">
        <v>46197</v>
      </c>
      <c r="D1538" s="79">
        <v>0</v>
      </c>
    </row>
    <row r="1539" spans="1:4" x14ac:dyDescent="0.3">
      <c r="A1539" s="88" t="s">
        <v>212</v>
      </c>
      <c r="B1539" s="88"/>
      <c r="C1539" s="16">
        <v>46197</v>
      </c>
      <c r="D1539" s="79">
        <v>0</v>
      </c>
    </row>
    <row r="1540" spans="1:4" x14ac:dyDescent="0.3">
      <c r="A1540" s="88" t="s">
        <v>199</v>
      </c>
      <c r="B1540" s="88"/>
      <c r="C1540" s="16">
        <v>46197</v>
      </c>
      <c r="D1540" s="79">
        <v>0</v>
      </c>
    </row>
    <row r="1541" spans="1:4" x14ac:dyDescent="0.3">
      <c r="A1541" s="88" t="s">
        <v>217</v>
      </c>
      <c r="B1541" s="88"/>
      <c r="C1541" s="16">
        <v>46197</v>
      </c>
      <c r="D1541" s="79">
        <v>0</v>
      </c>
    </row>
    <row r="1542" spans="1:4" x14ac:dyDescent="0.3">
      <c r="A1542" s="88" t="s">
        <v>17</v>
      </c>
      <c r="B1542" s="88"/>
      <c r="C1542" s="16">
        <v>46198</v>
      </c>
      <c r="D1542" s="79">
        <v>6298935.7100000009</v>
      </c>
    </row>
    <row r="1543" spans="1:4" x14ac:dyDescent="0.3">
      <c r="A1543" s="88" t="s">
        <v>18</v>
      </c>
      <c r="B1543" s="88"/>
      <c r="C1543" s="16">
        <v>46198</v>
      </c>
      <c r="D1543" s="79">
        <v>72386.190000000177</v>
      </c>
    </row>
    <row r="1544" spans="1:4" x14ac:dyDescent="0.3">
      <c r="A1544" s="88" t="s">
        <v>19</v>
      </c>
      <c r="B1544" s="88"/>
      <c r="C1544" s="16">
        <v>46198</v>
      </c>
      <c r="D1544" s="79">
        <v>1669.89</v>
      </c>
    </row>
    <row r="1545" spans="1:4" x14ac:dyDescent="0.3">
      <c r="A1545" s="88" t="s">
        <v>20</v>
      </c>
      <c r="B1545" s="88"/>
      <c r="C1545" s="16">
        <v>46198</v>
      </c>
      <c r="D1545" s="79">
        <v>472766.72999999986</v>
      </c>
    </row>
    <row r="1546" spans="1:4" x14ac:dyDescent="0.3">
      <c r="A1546" s="88" t="s">
        <v>21</v>
      </c>
      <c r="B1546" s="88"/>
      <c r="C1546" s="16">
        <v>46198</v>
      </c>
      <c r="D1546" s="79">
        <v>1933152.7099999995</v>
      </c>
    </row>
    <row r="1547" spans="1:4" x14ac:dyDescent="0.3">
      <c r="A1547" s="88" t="s">
        <v>22</v>
      </c>
      <c r="B1547" s="88"/>
      <c r="C1547" s="16">
        <v>46198</v>
      </c>
      <c r="D1547" s="79">
        <v>1996496.38</v>
      </c>
    </row>
    <row r="1548" spans="1:4" x14ac:dyDescent="0.3">
      <c r="A1548" s="88" t="s">
        <v>23</v>
      </c>
      <c r="B1548" s="88"/>
      <c r="C1548" s="16">
        <v>46198</v>
      </c>
      <c r="D1548" s="79">
        <v>330375.99000000005</v>
      </c>
    </row>
    <row r="1549" spans="1:4" x14ac:dyDescent="0.3">
      <c r="A1549" s="88" t="s">
        <v>24</v>
      </c>
      <c r="B1549" s="88"/>
      <c r="C1549" s="16">
        <v>46198</v>
      </c>
      <c r="D1549" s="79">
        <v>511.15999999999985</v>
      </c>
    </row>
    <row r="1550" spans="1:4" x14ac:dyDescent="0.3">
      <c r="A1550" s="88" t="s">
        <v>25</v>
      </c>
      <c r="B1550" s="88"/>
      <c r="C1550" s="16">
        <v>46198</v>
      </c>
      <c r="D1550" s="79">
        <v>84.35</v>
      </c>
    </row>
    <row r="1551" spans="1:4" x14ac:dyDescent="0.3">
      <c r="A1551" s="88" t="s">
        <v>26</v>
      </c>
      <c r="B1551" s="88"/>
      <c r="C1551" s="16">
        <v>46198</v>
      </c>
      <c r="D1551" s="79">
        <v>2237.77</v>
      </c>
    </row>
    <row r="1552" spans="1:4" x14ac:dyDescent="0.3">
      <c r="A1552" s="88" t="s">
        <v>27</v>
      </c>
      <c r="B1552" s="88"/>
      <c r="C1552" s="16">
        <v>46198</v>
      </c>
      <c r="D1552" s="79">
        <v>3349.94</v>
      </c>
    </row>
    <row r="1553" spans="1:4" x14ac:dyDescent="0.3">
      <c r="A1553" s="88" t="s">
        <v>28</v>
      </c>
      <c r="B1553" s="88"/>
      <c r="C1553" s="16">
        <v>46198</v>
      </c>
      <c r="D1553" s="79">
        <v>1968.99</v>
      </c>
    </row>
    <row r="1554" spans="1:4" x14ac:dyDescent="0.3">
      <c r="A1554" s="88" t="s">
        <v>29</v>
      </c>
      <c r="B1554" s="88"/>
      <c r="C1554" s="16">
        <v>46198</v>
      </c>
      <c r="D1554" s="79">
        <v>382.69000000000005</v>
      </c>
    </row>
    <row r="1555" spans="1:4" x14ac:dyDescent="0.3">
      <c r="A1555" s="88" t="s">
        <v>30</v>
      </c>
      <c r="B1555" s="88"/>
      <c r="C1555" s="16">
        <v>46198</v>
      </c>
      <c r="D1555" s="79">
        <v>1428.08</v>
      </c>
    </row>
    <row r="1556" spans="1:4" x14ac:dyDescent="0.3">
      <c r="A1556" s="88" t="s">
        <v>31</v>
      </c>
      <c r="B1556" s="88"/>
      <c r="C1556" s="16">
        <v>46198</v>
      </c>
      <c r="D1556" s="79">
        <v>31039.969999999961</v>
      </c>
    </row>
    <row r="1557" spans="1:4" x14ac:dyDescent="0.3">
      <c r="A1557" s="88" t="s">
        <v>32</v>
      </c>
      <c r="B1557" s="88"/>
      <c r="C1557" s="16">
        <v>46198</v>
      </c>
      <c r="D1557" s="79">
        <v>20321.43</v>
      </c>
    </row>
    <row r="1558" spans="1:4" x14ac:dyDescent="0.3">
      <c r="A1558" s="88" t="s">
        <v>33</v>
      </c>
      <c r="B1558" s="88"/>
      <c r="C1558" s="16">
        <v>46198</v>
      </c>
      <c r="D1558" s="79">
        <v>28473.599999999999</v>
      </c>
    </row>
    <row r="1559" spans="1:4" x14ac:dyDescent="0.3">
      <c r="A1559" s="88" t="s">
        <v>34</v>
      </c>
      <c r="B1559" s="88"/>
      <c r="C1559" s="16">
        <v>46198</v>
      </c>
      <c r="D1559" s="79">
        <v>345</v>
      </c>
    </row>
    <row r="1560" spans="1:4" x14ac:dyDescent="0.3">
      <c r="A1560" s="88" t="s">
        <v>35</v>
      </c>
      <c r="B1560" s="88"/>
      <c r="C1560" s="16">
        <v>46198</v>
      </c>
      <c r="D1560" s="79">
        <v>38025.43</v>
      </c>
    </row>
    <row r="1561" spans="1:4" x14ac:dyDescent="0.3">
      <c r="A1561" s="88" t="s">
        <v>193</v>
      </c>
      <c r="B1561" s="88"/>
      <c r="C1561" s="16">
        <v>46198</v>
      </c>
      <c r="D1561" s="79">
        <v>0</v>
      </c>
    </row>
    <row r="1562" spans="1:4" x14ac:dyDescent="0.3">
      <c r="A1562" s="88" t="s">
        <v>214</v>
      </c>
      <c r="B1562" s="88"/>
      <c r="C1562" s="16">
        <v>46198</v>
      </c>
      <c r="D1562" s="79">
        <v>0</v>
      </c>
    </row>
    <row r="1563" spans="1:4" x14ac:dyDescent="0.3">
      <c r="A1563" s="88" t="s">
        <v>194</v>
      </c>
      <c r="B1563" s="88"/>
      <c r="C1563" s="16">
        <v>46198</v>
      </c>
      <c r="D1563" s="79">
        <v>0</v>
      </c>
    </row>
    <row r="1564" spans="1:4" x14ac:dyDescent="0.3">
      <c r="A1564" s="88" t="s">
        <v>195</v>
      </c>
      <c r="B1564" s="88"/>
      <c r="C1564" s="16">
        <v>46198</v>
      </c>
      <c r="D1564" s="79">
        <v>0</v>
      </c>
    </row>
    <row r="1565" spans="1:4" x14ac:dyDescent="0.3">
      <c r="A1565" s="88" t="s">
        <v>196</v>
      </c>
      <c r="B1565" s="88"/>
      <c r="C1565" s="16">
        <v>46198</v>
      </c>
      <c r="D1565" s="79">
        <v>0</v>
      </c>
    </row>
    <row r="1566" spans="1:4" x14ac:dyDescent="0.3">
      <c r="A1566" s="88" t="s">
        <v>197</v>
      </c>
      <c r="B1566" s="88"/>
      <c r="C1566" s="16">
        <v>46198</v>
      </c>
      <c r="D1566" s="79">
        <v>0</v>
      </c>
    </row>
    <row r="1567" spans="1:4" x14ac:dyDescent="0.3">
      <c r="A1567" s="88" t="s">
        <v>212</v>
      </c>
      <c r="B1567" s="88"/>
      <c r="C1567" s="16">
        <v>46198</v>
      </c>
      <c r="D1567" s="79">
        <v>0</v>
      </c>
    </row>
    <row r="1568" spans="1:4" x14ac:dyDescent="0.3">
      <c r="A1568" s="88" t="s">
        <v>199</v>
      </c>
      <c r="B1568" s="88"/>
      <c r="C1568" s="16">
        <v>46198</v>
      </c>
      <c r="D1568" s="79">
        <v>0</v>
      </c>
    </row>
    <row r="1569" spans="1:4" x14ac:dyDescent="0.3">
      <c r="A1569" s="88" t="s">
        <v>217</v>
      </c>
      <c r="B1569" s="88"/>
      <c r="C1569" s="16">
        <v>46198</v>
      </c>
      <c r="D1569" s="79">
        <v>0</v>
      </c>
    </row>
    <row r="1570" spans="1:4" x14ac:dyDescent="0.3">
      <c r="A1570" s="88" t="s">
        <v>17</v>
      </c>
      <c r="B1570" s="88"/>
      <c r="C1570" s="16">
        <v>46199</v>
      </c>
      <c r="D1570" s="79">
        <v>6288055.7100000009</v>
      </c>
    </row>
    <row r="1571" spans="1:4" x14ac:dyDescent="0.3">
      <c r="A1571" s="88" t="s">
        <v>18</v>
      </c>
      <c r="B1571" s="88"/>
      <c r="C1571" s="16">
        <v>46199</v>
      </c>
      <c r="D1571" s="79">
        <v>72386.190000000177</v>
      </c>
    </row>
    <row r="1572" spans="1:4" x14ac:dyDescent="0.3">
      <c r="A1572" s="88" t="s">
        <v>19</v>
      </c>
      <c r="B1572" s="88"/>
      <c r="C1572" s="16">
        <v>46199</v>
      </c>
      <c r="D1572" s="79">
        <v>1669.89</v>
      </c>
    </row>
    <row r="1573" spans="1:4" x14ac:dyDescent="0.3">
      <c r="A1573" s="88" t="s">
        <v>20</v>
      </c>
      <c r="B1573" s="88"/>
      <c r="C1573" s="16">
        <v>46199</v>
      </c>
      <c r="D1573" s="79">
        <v>472766.72999999986</v>
      </c>
    </row>
    <row r="1574" spans="1:4" x14ac:dyDescent="0.3">
      <c r="A1574" s="88" t="s">
        <v>21</v>
      </c>
      <c r="B1574" s="88"/>
      <c r="C1574" s="16">
        <v>46199</v>
      </c>
      <c r="D1574" s="79">
        <v>1932389.7199999993</v>
      </c>
    </row>
    <row r="1575" spans="1:4" x14ac:dyDescent="0.3">
      <c r="A1575" s="88" t="s">
        <v>22</v>
      </c>
      <c r="B1575" s="88"/>
      <c r="C1575" s="16">
        <v>46199</v>
      </c>
      <c r="D1575" s="79">
        <v>1396496.38</v>
      </c>
    </row>
    <row r="1576" spans="1:4" x14ac:dyDescent="0.3">
      <c r="A1576" s="88" t="s">
        <v>23</v>
      </c>
      <c r="B1576" s="88"/>
      <c r="C1576" s="16">
        <v>46199</v>
      </c>
      <c r="D1576" s="79">
        <v>330375.99000000005</v>
      </c>
    </row>
    <row r="1577" spans="1:4" x14ac:dyDescent="0.3">
      <c r="A1577" s="88" t="s">
        <v>24</v>
      </c>
      <c r="B1577" s="88"/>
      <c r="C1577" s="16">
        <v>46199</v>
      </c>
      <c r="D1577" s="79">
        <v>511.15999999999985</v>
      </c>
    </row>
    <row r="1578" spans="1:4" x14ac:dyDescent="0.3">
      <c r="A1578" s="88" t="s">
        <v>25</v>
      </c>
      <c r="B1578" s="88"/>
      <c r="C1578" s="16">
        <v>46199</v>
      </c>
      <c r="D1578" s="79">
        <v>84.35</v>
      </c>
    </row>
    <row r="1579" spans="1:4" x14ac:dyDescent="0.3">
      <c r="A1579" s="88" t="s">
        <v>26</v>
      </c>
      <c r="B1579" s="88"/>
      <c r="C1579" s="16">
        <v>46199</v>
      </c>
      <c r="D1579" s="79">
        <v>2237.77</v>
      </c>
    </row>
    <row r="1580" spans="1:4" x14ac:dyDescent="0.3">
      <c r="A1580" s="88" t="s">
        <v>27</v>
      </c>
      <c r="B1580" s="88"/>
      <c r="C1580" s="16">
        <v>46199</v>
      </c>
      <c r="D1580" s="79">
        <v>3349.94</v>
      </c>
    </row>
    <row r="1581" spans="1:4" x14ac:dyDescent="0.3">
      <c r="A1581" s="88" t="s">
        <v>28</v>
      </c>
      <c r="B1581" s="88"/>
      <c r="C1581" s="16">
        <v>46199</v>
      </c>
      <c r="D1581" s="79">
        <v>1968.99</v>
      </c>
    </row>
    <row r="1582" spans="1:4" x14ac:dyDescent="0.3">
      <c r="A1582" s="88" t="s">
        <v>29</v>
      </c>
      <c r="B1582" s="88"/>
      <c r="C1582" s="16">
        <v>46199</v>
      </c>
      <c r="D1582" s="79">
        <v>382.69000000000005</v>
      </c>
    </row>
    <row r="1583" spans="1:4" x14ac:dyDescent="0.3">
      <c r="A1583" s="88" t="s">
        <v>30</v>
      </c>
      <c r="B1583" s="88"/>
      <c r="C1583" s="16">
        <v>46199</v>
      </c>
      <c r="D1583" s="79">
        <v>1428.08</v>
      </c>
    </row>
    <row r="1584" spans="1:4" x14ac:dyDescent="0.3">
      <c r="A1584" s="88" t="s">
        <v>31</v>
      </c>
      <c r="B1584" s="88"/>
      <c r="C1584" s="16">
        <v>46199</v>
      </c>
      <c r="D1584" s="79">
        <v>31039.969999999961</v>
      </c>
    </row>
    <row r="1585" spans="1:4" x14ac:dyDescent="0.3">
      <c r="A1585" s="88" t="s">
        <v>32</v>
      </c>
      <c r="B1585" s="88"/>
      <c r="C1585" s="16">
        <v>46199</v>
      </c>
      <c r="D1585" s="79">
        <v>20321.43</v>
      </c>
    </row>
    <row r="1586" spans="1:4" x14ac:dyDescent="0.3">
      <c r="A1586" s="88" t="s">
        <v>33</v>
      </c>
      <c r="B1586" s="88"/>
      <c r="C1586" s="16">
        <v>46199</v>
      </c>
      <c r="D1586" s="79">
        <v>28458.6</v>
      </c>
    </row>
    <row r="1587" spans="1:4" x14ac:dyDescent="0.3">
      <c r="A1587" s="88" t="s">
        <v>34</v>
      </c>
      <c r="B1587" s="88"/>
      <c r="C1587" s="16">
        <v>46199</v>
      </c>
      <c r="D1587" s="79">
        <v>345</v>
      </c>
    </row>
    <row r="1588" spans="1:4" x14ac:dyDescent="0.3">
      <c r="A1588" s="88" t="s">
        <v>35</v>
      </c>
      <c r="B1588" s="88"/>
      <c r="C1588" s="16">
        <v>46199</v>
      </c>
      <c r="D1588" s="79">
        <v>29918.639999999999</v>
      </c>
    </row>
    <row r="1589" spans="1:4" x14ac:dyDescent="0.3">
      <c r="A1589" s="88" t="s">
        <v>193</v>
      </c>
      <c r="B1589" s="88"/>
      <c r="C1589" s="16">
        <v>46199</v>
      </c>
      <c r="D1589" s="79">
        <v>0</v>
      </c>
    </row>
    <row r="1590" spans="1:4" x14ac:dyDescent="0.3">
      <c r="A1590" s="88" t="s">
        <v>214</v>
      </c>
      <c r="B1590" s="88"/>
      <c r="C1590" s="16">
        <v>46199</v>
      </c>
      <c r="D1590" s="79">
        <v>0</v>
      </c>
    </row>
    <row r="1591" spans="1:4" x14ac:dyDescent="0.3">
      <c r="A1591" s="88" t="s">
        <v>194</v>
      </c>
      <c r="B1591" s="88"/>
      <c r="C1591" s="16">
        <v>46199</v>
      </c>
      <c r="D1591" s="79">
        <v>0</v>
      </c>
    </row>
    <row r="1592" spans="1:4" x14ac:dyDescent="0.3">
      <c r="A1592" s="88" t="s">
        <v>195</v>
      </c>
      <c r="B1592" s="88"/>
      <c r="C1592" s="16">
        <v>46199</v>
      </c>
      <c r="D1592" s="79">
        <v>0</v>
      </c>
    </row>
    <row r="1593" spans="1:4" x14ac:dyDescent="0.3">
      <c r="A1593" s="88" t="s">
        <v>196</v>
      </c>
      <c r="B1593" s="88"/>
      <c r="C1593" s="16">
        <v>46199</v>
      </c>
      <c r="D1593" s="79">
        <v>0</v>
      </c>
    </row>
    <row r="1594" spans="1:4" x14ac:dyDescent="0.3">
      <c r="A1594" s="88" t="s">
        <v>197</v>
      </c>
      <c r="B1594" s="88"/>
      <c r="C1594" s="16">
        <v>46199</v>
      </c>
      <c r="D1594" s="79">
        <v>0</v>
      </c>
    </row>
    <row r="1595" spans="1:4" x14ac:dyDescent="0.3">
      <c r="A1595" s="88" t="s">
        <v>212</v>
      </c>
      <c r="B1595" s="88"/>
      <c r="C1595" s="16">
        <v>46199</v>
      </c>
      <c r="D1595" s="79">
        <v>0</v>
      </c>
    </row>
    <row r="1596" spans="1:4" x14ac:dyDescent="0.3">
      <c r="A1596" s="88" t="s">
        <v>199</v>
      </c>
      <c r="B1596" s="88"/>
      <c r="C1596" s="16">
        <v>46199</v>
      </c>
      <c r="D1596" s="79">
        <v>0</v>
      </c>
    </row>
    <row r="1597" spans="1:4" x14ac:dyDescent="0.3">
      <c r="A1597" s="88" t="s">
        <v>217</v>
      </c>
      <c r="B1597" s="88"/>
      <c r="C1597" s="16">
        <v>46199</v>
      </c>
      <c r="D1597" s="79">
        <v>0</v>
      </c>
    </row>
    <row r="1598" spans="1:4" x14ac:dyDescent="0.3">
      <c r="A1598" s="88" t="s">
        <v>17</v>
      </c>
      <c r="B1598" s="88"/>
      <c r="C1598" s="16">
        <v>46200</v>
      </c>
      <c r="D1598" s="79">
        <v>6288055.7100000009</v>
      </c>
    </row>
    <row r="1599" spans="1:4" x14ac:dyDescent="0.3">
      <c r="A1599" s="88" t="s">
        <v>18</v>
      </c>
      <c r="B1599" s="88"/>
      <c r="C1599" s="16">
        <v>46200</v>
      </c>
      <c r="D1599" s="79">
        <v>72386.190000000177</v>
      </c>
    </row>
    <row r="1600" spans="1:4" x14ac:dyDescent="0.3">
      <c r="A1600" s="88" t="s">
        <v>19</v>
      </c>
      <c r="B1600" s="88"/>
      <c r="C1600" s="16">
        <v>46200</v>
      </c>
      <c r="D1600" s="79">
        <v>1669.89</v>
      </c>
    </row>
    <row r="1601" spans="1:4" x14ac:dyDescent="0.3">
      <c r="A1601" s="88" t="s">
        <v>20</v>
      </c>
      <c r="B1601" s="88"/>
      <c r="C1601" s="16">
        <v>46200</v>
      </c>
      <c r="D1601" s="79">
        <v>472766.72999999986</v>
      </c>
    </row>
    <row r="1602" spans="1:4" x14ac:dyDescent="0.3">
      <c r="A1602" s="88" t="s">
        <v>21</v>
      </c>
      <c r="B1602" s="88"/>
      <c r="C1602" s="16">
        <v>46200</v>
      </c>
      <c r="D1602" s="79">
        <v>1932389.7199999993</v>
      </c>
    </row>
    <row r="1603" spans="1:4" x14ac:dyDescent="0.3">
      <c r="A1603" s="88" t="s">
        <v>22</v>
      </c>
      <c r="B1603" s="88"/>
      <c r="C1603" s="16">
        <v>46200</v>
      </c>
      <c r="D1603" s="79">
        <v>1396496.38</v>
      </c>
    </row>
    <row r="1604" spans="1:4" x14ac:dyDescent="0.3">
      <c r="A1604" s="88" t="s">
        <v>23</v>
      </c>
      <c r="B1604" s="88"/>
      <c r="C1604" s="16">
        <v>46200</v>
      </c>
      <c r="D1604" s="79">
        <v>330375.99000000005</v>
      </c>
    </row>
    <row r="1605" spans="1:4" x14ac:dyDescent="0.3">
      <c r="A1605" s="88" t="s">
        <v>24</v>
      </c>
      <c r="B1605" s="88"/>
      <c r="C1605" s="16">
        <v>46200</v>
      </c>
      <c r="D1605" s="79">
        <v>511.15999999999985</v>
      </c>
    </row>
    <row r="1606" spans="1:4" x14ac:dyDescent="0.3">
      <c r="A1606" s="88" t="s">
        <v>25</v>
      </c>
      <c r="B1606" s="88"/>
      <c r="C1606" s="16">
        <v>46200</v>
      </c>
      <c r="D1606" s="79">
        <v>84.35</v>
      </c>
    </row>
    <row r="1607" spans="1:4" x14ac:dyDescent="0.3">
      <c r="A1607" s="88" t="s">
        <v>26</v>
      </c>
      <c r="B1607" s="88"/>
      <c r="C1607" s="16">
        <v>46200</v>
      </c>
      <c r="D1607" s="79">
        <v>2237.77</v>
      </c>
    </row>
    <row r="1608" spans="1:4" x14ac:dyDescent="0.3">
      <c r="A1608" s="88" t="s">
        <v>27</v>
      </c>
      <c r="B1608" s="88"/>
      <c r="C1608" s="16">
        <v>46200</v>
      </c>
      <c r="D1608" s="79">
        <v>3349.94</v>
      </c>
    </row>
    <row r="1609" spans="1:4" x14ac:dyDescent="0.3">
      <c r="A1609" s="88" t="s">
        <v>28</v>
      </c>
      <c r="B1609" s="88"/>
      <c r="C1609" s="16">
        <v>46200</v>
      </c>
      <c r="D1609" s="79">
        <v>1968.99</v>
      </c>
    </row>
    <row r="1610" spans="1:4" x14ac:dyDescent="0.3">
      <c r="A1610" s="88" t="s">
        <v>29</v>
      </c>
      <c r="B1610" s="88"/>
      <c r="C1610" s="16">
        <v>46200</v>
      </c>
      <c r="D1610" s="79">
        <v>382.69000000000005</v>
      </c>
    </row>
    <row r="1611" spans="1:4" x14ac:dyDescent="0.3">
      <c r="A1611" s="88" t="s">
        <v>30</v>
      </c>
      <c r="B1611" s="88"/>
      <c r="C1611" s="16">
        <v>46200</v>
      </c>
      <c r="D1611" s="79">
        <v>1428.08</v>
      </c>
    </row>
    <row r="1612" spans="1:4" x14ac:dyDescent="0.3">
      <c r="A1612" s="88" t="s">
        <v>31</v>
      </c>
      <c r="B1612" s="88"/>
      <c r="C1612" s="16">
        <v>46200</v>
      </c>
      <c r="D1612" s="79">
        <v>31039.969999999961</v>
      </c>
    </row>
    <row r="1613" spans="1:4" x14ac:dyDescent="0.3">
      <c r="A1613" s="88" t="s">
        <v>32</v>
      </c>
      <c r="B1613" s="88"/>
      <c r="C1613" s="16">
        <v>46200</v>
      </c>
      <c r="D1613" s="79">
        <v>20321.43</v>
      </c>
    </row>
    <row r="1614" spans="1:4" x14ac:dyDescent="0.3">
      <c r="A1614" s="88" t="s">
        <v>33</v>
      </c>
      <c r="B1614" s="88"/>
      <c r="C1614" s="16">
        <v>46200</v>
      </c>
      <c r="D1614" s="79">
        <v>28458.6</v>
      </c>
    </row>
    <row r="1615" spans="1:4" x14ac:dyDescent="0.3">
      <c r="A1615" s="88" t="s">
        <v>34</v>
      </c>
      <c r="B1615" s="88"/>
      <c r="C1615" s="16">
        <v>46200</v>
      </c>
      <c r="D1615" s="79">
        <v>345</v>
      </c>
    </row>
    <row r="1616" spans="1:4" x14ac:dyDescent="0.3">
      <c r="A1616" s="88" t="s">
        <v>35</v>
      </c>
      <c r="B1616" s="88"/>
      <c r="C1616" s="16">
        <v>46200</v>
      </c>
      <c r="D1616" s="79">
        <v>29918.639999999999</v>
      </c>
    </row>
    <row r="1617" spans="1:4" x14ac:dyDescent="0.3">
      <c r="A1617" s="88" t="s">
        <v>193</v>
      </c>
      <c r="B1617" s="88"/>
      <c r="C1617" s="16">
        <v>46200</v>
      </c>
      <c r="D1617" s="79">
        <v>0</v>
      </c>
    </row>
    <row r="1618" spans="1:4" x14ac:dyDescent="0.3">
      <c r="A1618" s="88" t="s">
        <v>214</v>
      </c>
      <c r="B1618" s="88"/>
      <c r="C1618" s="16">
        <v>46200</v>
      </c>
      <c r="D1618" s="79">
        <v>0</v>
      </c>
    </row>
    <row r="1619" spans="1:4" x14ac:dyDescent="0.3">
      <c r="A1619" s="88" t="s">
        <v>194</v>
      </c>
      <c r="B1619" s="88"/>
      <c r="C1619" s="16">
        <v>46200</v>
      </c>
      <c r="D1619" s="79">
        <v>0</v>
      </c>
    </row>
    <row r="1620" spans="1:4" x14ac:dyDescent="0.3">
      <c r="A1620" s="88" t="s">
        <v>195</v>
      </c>
      <c r="B1620" s="88"/>
      <c r="C1620" s="16">
        <v>46200</v>
      </c>
      <c r="D1620" s="79">
        <v>0</v>
      </c>
    </row>
    <row r="1621" spans="1:4" x14ac:dyDescent="0.3">
      <c r="A1621" s="88" t="s">
        <v>196</v>
      </c>
      <c r="B1621" s="88"/>
      <c r="C1621" s="16">
        <v>46200</v>
      </c>
      <c r="D1621" s="79">
        <v>0</v>
      </c>
    </row>
    <row r="1622" spans="1:4" x14ac:dyDescent="0.3">
      <c r="A1622" s="88" t="s">
        <v>197</v>
      </c>
      <c r="B1622" s="88"/>
      <c r="C1622" s="16">
        <v>46200</v>
      </c>
      <c r="D1622" s="79">
        <v>0</v>
      </c>
    </row>
    <row r="1623" spans="1:4" x14ac:dyDescent="0.3">
      <c r="A1623" s="88" t="s">
        <v>212</v>
      </c>
      <c r="B1623" s="88"/>
      <c r="C1623" s="16">
        <v>46200</v>
      </c>
      <c r="D1623" s="79">
        <v>0</v>
      </c>
    </row>
    <row r="1624" spans="1:4" x14ac:dyDescent="0.3">
      <c r="A1624" s="88" t="s">
        <v>199</v>
      </c>
      <c r="B1624" s="88"/>
      <c r="C1624" s="16">
        <v>46200</v>
      </c>
      <c r="D1624" s="79">
        <v>0</v>
      </c>
    </row>
    <row r="1625" spans="1:4" x14ac:dyDescent="0.3">
      <c r="A1625" s="88" t="s">
        <v>217</v>
      </c>
      <c r="B1625" s="88"/>
      <c r="C1625" s="16">
        <v>46200</v>
      </c>
      <c r="D1625" s="79">
        <v>0</v>
      </c>
    </row>
    <row r="1626" spans="1:4" x14ac:dyDescent="0.3">
      <c r="A1626" s="88" t="s">
        <v>17</v>
      </c>
      <c r="B1626" s="88"/>
      <c r="C1626" s="16">
        <v>46201</v>
      </c>
      <c r="D1626" s="79">
        <v>6288055.7100000009</v>
      </c>
    </row>
    <row r="1627" spans="1:4" x14ac:dyDescent="0.3">
      <c r="A1627" s="88" t="s">
        <v>18</v>
      </c>
      <c r="B1627" s="88"/>
      <c r="C1627" s="16">
        <v>46201</v>
      </c>
      <c r="D1627" s="79">
        <v>72386.190000000177</v>
      </c>
    </row>
    <row r="1628" spans="1:4" x14ac:dyDescent="0.3">
      <c r="A1628" s="88" t="s">
        <v>19</v>
      </c>
      <c r="B1628" s="88"/>
      <c r="C1628" s="16">
        <v>46201</v>
      </c>
      <c r="D1628" s="79">
        <v>1669.89</v>
      </c>
    </row>
    <row r="1629" spans="1:4" x14ac:dyDescent="0.3">
      <c r="A1629" s="88" t="s">
        <v>20</v>
      </c>
      <c r="B1629" s="88"/>
      <c r="C1629" s="16">
        <v>46201</v>
      </c>
      <c r="D1629" s="79">
        <v>472766.72999999986</v>
      </c>
    </row>
    <row r="1630" spans="1:4" x14ac:dyDescent="0.3">
      <c r="A1630" s="88" t="s">
        <v>21</v>
      </c>
      <c r="B1630" s="88"/>
      <c r="C1630" s="16">
        <v>46201</v>
      </c>
      <c r="D1630" s="79">
        <v>1932389.7199999993</v>
      </c>
    </row>
    <row r="1631" spans="1:4" x14ac:dyDescent="0.3">
      <c r="A1631" s="88" t="s">
        <v>22</v>
      </c>
      <c r="B1631" s="88"/>
      <c r="C1631" s="16">
        <v>46201</v>
      </c>
      <c r="D1631" s="79">
        <v>1396496.38</v>
      </c>
    </row>
    <row r="1632" spans="1:4" x14ac:dyDescent="0.3">
      <c r="A1632" s="88" t="s">
        <v>23</v>
      </c>
      <c r="B1632" s="88"/>
      <c r="C1632" s="16">
        <v>46201</v>
      </c>
      <c r="D1632" s="79">
        <v>330375.99000000005</v>
      </c>
    </row>
    <row r="1633" spans="1:4" x14ac:dyDescent="0.3">
      <c r="A1633" s="88" t="s">
        <v>24</v>
      </c>
      <c r="B1633" s="88"/>
      <c r="C1633" s="16">
        <v>46201</v>
      </c>
      <c r="D1633" s="79">
        <v>511.15999999999985</v>
      </c>
    </row>
    <row r="1634" spans="1:4" x14ac:dyDescent="0.3">
      <c r="A1634" s="88" t="s">
        <v>25</v>
      </c>
      <c r="B1634" s="88"/>
      <c r="C1634" s="16">
        <v>46201</v>
      </c>
      <c r="D1634" s="79">
        <v>84.35</v>
      </c>
    </row>
    <row r="1635" spans="1:4" x14ac:dyDescent="0.3">
      <c r="A1635" s="88" t="s">
        <v>26</v>
      </c>
      <c r="B1635" s="88"/>
      <c r="C1635" s="16">
        <v>46201</v>
      </c>
      <c r="D1635" s="79">
        <v>2237.77</v>
      </c>
    </row>
    <row r="1636" spans="1:4" x14ac:dyDescent="0.3">
      <c r="A1636" s="88" t="s">
        <v>27</v>
      </c>
      <c r="B1636" s="88"/>
      <c r="C1636" s="16">
        <v>46201</v>
      </c>
      <c r="D1636" s="79">
        <v>3349.94</v>
      </c>
    </row>
    <row r="1637" spans="1:4" x14ac:dyDescent="0.3">
      <c r="A1637" s="88" t="s">
        <v>28</v>
      </c>
      <c r="B1637" s="88"/>
      <c r="C1637" s="16">
        <v>46201</v>
      </c>
      <c r="D1637" s="79">
        <v>1968.99</v>
      </c>
    </row>
    <row r="1638" spans="1:4" x14ac:dyDescent="0.3">
      <c r="A1638" s="88" t="s">
        <v>29</v>
      </c>
      <c r="B1638" s="88"/>
      <c r="C1638" s="16">
        <v>46201</v>
      </c>
      <c r="D1638" s="79">
        <v>382.69000000000005</v>
      </c>
    </row>
    <row r="1639" spans="1:4" x14ac:dyDescent="0.3">
      <c r="A1639" s="88" t="s">
        <v>30</v>
      </c>
      <c r="B1639" s="88"/>
      <c r="C1639" s="16">
        <v>46201</v>
      </c>
      <c r="D1639" s="79">
        <v>1428.08</v>
      </c>
    </row>
    <row r="1640" spans="1:4" x14ac:dyDescent="0.3">
      <c r="A1640" s="88" t="s">
        <v>31</v>
      </c>
      <c r="B1640" s="88"/>
      <c r="C1640" s="16">
        <v>46201</v>
      </c>
      <c r="D1640" s="79">
        <v>31039.969999999961</v>
      </c>
    </row>
    <row r="1641" spans="1:4" x14ac:dyDescent="0.3">
      <c r="A1641" s="88" t="s">
        <v>32</v>
      </c>
      <c r="B1641" s="88"/>
      <c r="C1641" s="16">
        <v>46201</v>
      </c>
      <c r="D1641" s="79">
        <v>20321.43</v>
      </c>
    </row>
    <row r="1642" spans="1:4" x14ac:dyDescent="0.3">
      <c r="A1642" s="88" t="s">
        <v>33</v>
      </c>
      <c r="B1642" s="88"/>
      <c r="C1642" s="16">
        <v>46201</v>
      </c>
      <c r="D1642" s="79">
        <v>28458.6</v>
      </c>
    </row>
    <row r="1643" spans="1:4" x14ac:dyDescent="0.3">
      <c r="A1643" s="88" t="s">
        <v>34</v>
      </c>
      <c r="B1643" s="88"/>
      <c r="C1643" s="16">
        <v>46201</v>
      </c>
      <c r="D1643" s="79">
        <v>345</v>
      </c>
    </row>
    <row r="1644" spans="1:4" x14ac:dyDescent="0.3">
      <c r="A1644" s="88" t="s">
        <v>35</v>
      </c>
      <c r="B1644" s="88"/>
      <c r="C1644" s="16">
        <v>46201</v>
      </c>
      <c r="D1644" s="79">
        <v>29918.639999999999</v>
      </c>
    </row>
    <row r="1645" spans="1:4" x14ac:dyDescent="0.3">
      <c r="A1645" s="88" t="s">
        <v>193</v>
      </c>
      <c r="B1645" s="88"/>
      <c r="C1645" s="16">
        <v>46201</v>
      </c>
      <c r="D1645" s="79">
        <v>0</v>
      </c>
    </row>
    <row r="1646" spans="1:4" x14ac:dyDescent="0.3">
      <c r="A1646" s="88" t="s">
        <v>214</v>
      </c>
      <c r="B1646" s="88"/>
      <c r="C1646" s="16">
        <v>46201</v>
      </c>
      <c r="D1646" s="79">
        <v>0</v>
      </c>
    </row>
    <row r="1647" spans="1:4" x14ac:dyDescent="0.3">
      <c r="A1647" s="88" t="s">
        <v>194</v>
      </c>
      <c r="B1647" s="88"/>
      <c r="C1647" s="16">
        <v>46201</v>
      </c>
      <c r="D1647" s="79">
        <v>0</v>
      </c>
    </row>
    <row r="1648" spans="1:4" x14ac:dyDescent="0.3">
      <c r="A1648" s="88" t="s">
        <v>195</v>
      </c>
      <c r="B1648" s="88"/>
      <c r="C1648" s="16">
        <v>46201</v>
      </c>
      <c r="D1648" s="79">
        <v>0</v>
      </c>
    </row>
    <row r="1649" spans="1:4" x14ac:dyDescent="0.3">
      <c r="A1649" s="88" t="s">
        <v>196</v>
      </c>
      <c r="B1649" s="88"/>
      <c r="C1649" s="16">
        <v>46201</v>
      </c>
      <c r="D1649" s="79">
        <v>0</v>
      </c>
    </row>
    <row r="1650" spans="1:4" x14ac:dyDescent="0.3">
      <c r="A1650" s="88" t="s">
        <v>197</v>
      </c>
      <c r="B1650" s="88"/>
      <c r="C1650" s="16">
        <v>46201</v>
      </c>
      <c r="D1650" s="79">
        <v>0</v>
      </c>
    </row>
    <row r="1651" spans="1:4" x14ac:dyDescent="0.3">
      <c r="A1651" s="88" t="s">
        <v>212</v>
      </c>
      <c r="B1651" s="88"/>
      <c r="C1651" s="16">
        <v>46201</v>
      </c>
      <c r="D1651" s="79">
        <v>0</v>
      </c>
    </row>
    <row r="1652" spans="1:4" x14ac:dyDescent="0.3">
      <c r="A1652" s="88" t="s">
        <v>199</v>
      </c>
      <c r="B1652" s="88"/>
      <c r="C1652" s="16">
        <v>46201</v>
      </c>
      <c r="D1652" s="79">
        <v>0</v>
      </c>
    </row>
    <row r="1653" spans="1:4" x14ac:dyDescent="0.3">
      <c r="A1653" s="88" t="s">
        <v>217</v>
      </c>
      <c r="B1653" s="88"/>
      <c r="C1653" s="16">
        <v>46201</v>
      </c>
      <c r="D1653" s="79">
        <v>0</v>
      </c>
    </row>
    <row r="1654" spans="1:4" x14ac:dyDescent="0.3">
      <c r="A1654" s="88" t="s">
        <v>17</v>
      </c>
      <c r="B1654" s="88"/>
      <c r="C1654" s="16">
        <v>46202</v>
      </c>
      <c r="D1654" s="79">
        <v>6299174.8100000015</v>
      </c>
    </row>
    <row r="1655" spans="1:4" x14ac:dyDescent="0.3">
      <c r="A1655" s="88" t="s">
        <v>18</v>
      </c>
      <c r="B1655" s="88"/>
      <c r="C1655" s="16">
        <v>46202</v>
      </c>
      <c r="D1655" s="79">
        <v>72386.190000000177</v>
      </c>
    </row>
    <row r="1656" spans="1:4" x14ac:dyDescent="0.3">
      <c r="A1656" s="88" t="s">
        <v>19</v>
      </c>
      <c r="B1656" s="88"/>
      <c r="C1656" s="16">
        <v>46202</v>
      </c>
      <c r="D1656" s="79">
        <v>1669.89</v>
      </c>
    </row>
    <row r="1657" spans="1:4" x14ac:dyDescent="0.3">
      <c r="A1657" s="88" t="s">
        <v>20</v>
      </c>
      <c r="B1657" s="88"/>
      <c r="C1657" s="16">
        <v>46202</v>
      </c>
      <c r="D1657" s="79">
        <v>489745.62999999989</v>
      </c>
    </row>
    <row r="1658" spans="1:4" x14ac:dyDescent="0.3">
      <c r="A1658" s="88" t="s">
        <v>21</v>
      </c>
      <c r="B1658" s="88"/>
      <c r="C1658" s="16">
        <v>46202</v>
      </c>
      <c r="D1658" s="79">
        <v>1768167.9199999995</v>
      </c>
    </row>
    <row r="1659" spans="1:4" x14ac:dyDescent="0.3">
      <c r="A1659" s="88" t="s">
        <v>22</v>
      </c>
      <c r="B1659" s="88"/>
      <c r="C1659" s="16">
        <v>46202</v>
      </c>
      <c r="D1659" s="79">
        <v>396496.38</v>
      </c>
    </row>
    <row r="1660" spans="1:4" x14ac:dyDescent="0.3">
      <c r="A1660" s="88" t="s">
        <v>23</v>
      </c>
      <c r="B1660" s="88"/>
      <c r="C1660" s="16">
        <v>46202</v>
      </c>
      <c r="D1660" s="79">
        <v>327405.99000000005</v>
      </c>
    </row>
    <row r="1661" spans="1:4" x14ac:dyDescent="0.3">
      <c r="A1661" s="88" t="s">
        <v>24</v>
      </c>
      <c r="B1661" s="88"/>
      <c r="C1661" s="16">
        <v>46202</v>
      </c>
      <c r="D1661" s="79">
        <v>511.15999999999985</v>
      </c>
    </row>
    <row r="1662" spans="1:4" x14ac:dyDescent="0.3">
      <c r="A1662" s="88" t="s">
        <v>25</v>
      </c>
      <c r="B1662" s="88"/>
      <c r="C1662" s="16">
        <v>46202</v>
      </c>
      <c r="D1662" s="79">
        <v>84.35</v>
      </c>
    </row>
    <row r="1663" spans="1:4" x14ac:dyDescent="0.3">
      <c r="A1663" s="88" t="s">
        <v>26</v>
      </c>
      <c r="B1663" s="88"/>
      <c r="C1663" s="16">
        <v>46202</v>
      </c>
      <c r="D1663" s="79">
        <v>2237.77</v>
      </c>
    </row>
    <row r="1664" spans="1:4" x14ac:dyDescent="0.3">
      <c r="A1664" s="88" t="s">
        <v>27</v>
      </c>
      <c r="B1664" s="88"/>
      <c r="C1664" s="16">
        <v>46202</v>
      </c>
      <c r="D1664" s="79">
        <v>3349.94</v>
      </c>
    </row>
    <row r="1665" spans="1:4" x14ac:dyDescent="0.3">
      <c r="A1665" s="88" t="s">
        <v>28</v>
      </c>
      <c r="B1665" s="88"/>
      <c r="C1665" s="16">
        <v>46202</v>
      </c>
      <c r="D1665" s="79">
        <v>1968.99</v>
      </c>
    </row>
    <row r="1666" spans="1:4" x14ac:dyDescent="0.3">
      <c r="A1666" s="88" t="s">
        <v>29</v>
      </c>
      <c r="B1666" s="88"/>
      <c r="C1666" s="16">
        <v>46202</v>
      </c>
      <c r="D1666" s="79">
        <v>382.69000000000005</v>
      </c>
    </row>
    <row r="1667" spans="1:4" x14ac:dyDescent="0.3">
      <c r="A1667" s="88" t="s">
        <v>30</v>
      </c>
      <c r="B1667" s="88"/>
      <c r="C1667" s="16">
        <v>46202</v>
      </c>
      <c r="D1667" s="79">
        <v>1428.08</v>
      </c>
    </row>
    <row r="1668" spans="1:4" x14ac:dyDescent="0.3">
      <c r="A1668" s="88" t="s">
        <v>31</v>
      </c>
      <c r="B1668" s="88"/>
      <c r="C1668" s="16">
        <v>46202</v>
      </c>
      <c r="D1668" s="79">
        <v>31039.969999999961</v>
      </c>
    </row>
    <row r="1669" spans="1:4" x14ac:dyDescent="0.3">
      <c r="A1669" s="88" t="s">
        <v>32</v>
      </c>
      <c r="B1669" s="88"/>
      <c r="C1669" s="16">
        <v>46202</v>
      </c>
      <c r="D1669" s="79">
        <v>20321.43</v>
      </c>
    </row>
    <row r="1670" spans="1:4" x14ac:dyDescent="0.3">
      <c r="A1670" s="88" t="s">
        <v>33</v>
      </c>
      <c r="B1670" s="88"/>
      <c r="C1670" s="16">
        <v>46202</v>
      </c>
      <c r="D1670" s="79">
        <v>28458.6</v>
      </c>
    </row>
    <row r="1671" spans="1:4" x14ac:dyDescent="0.3">
      <c r="A1671" s="88" t="s">
        <v>34</v>
      </c>
      <c r="B1671" s="88"/>
      <c r="C1671" s="16">
        <v>46202</v>
      </c>
      <c r="D1671" s="79">
        <v>345</v>
      </c>
    </row>
    <row r="1672" spans="1:4" x14ac:dyDescent="0.3">
      <c r="A1672" s="88" t="s">
        <v>35</v>
      </c>
      <c r="B1672" s="88"/>
      <c r="C1672" s="16">
        <v>46202</v>
      </c>
      <c r="D1672" s="79">
        <v>23872.78</v>
      </c>
    </row>
    <row r="1673" spans="1:4" x14ac:dyDescent="0.3">
      <c r="A1673" s="88" t="s">
        <v>193</v>
      </c>
      <c r="B1673" s="88"/>
      <c r="C1673" s="16">
        <v>46202</v>
      </c>
      <c r="D1673" s="79">
        <v>0</v>
      </c>
    </row>
    <row r="1674" spans="1:4" x14ac:dyDescent="0.3">
      <c r="A1674" s="88" t="s">
        <v>214</v>
      </c>
      <c r="B1674" s="88"/>
      <c r="C1674" s="16">
        <v>46202</v>
      </c>
      <c r="D1674" s="79">
        <v>0</v>
      </c>
    </row>
    <row r="1675" spans="1:4" x14ac:dyDescent="0.3">
      <c r="A1675" s="88" t="s">
        <v>194</v>
      </c>
      <c r="B1675" s="88"/>
      <c r="C1675" s="16">
        <v>46202</v>
      </c>
      <c r="D1675" s="79">
        <v>0</v>
      </c>
    </row>
    <row r="1676" spans="1:4" x14ac:dyDescent="0.3">
      <c r="A1676" s="88" t="s">
        <v>195</v>
      </c>
      <c r="B1676" s="88"/>
      <c r="C1676" s="16">
        <v>46202</v>
      </c>
      <c r="D1676" s="79">
        <v>0</v>
      </c>
    </row>
    <row r="1677" spans="1:4" x14ac:dyDescent="0.3">
      <c r="A1677" s="88" t="s">
        <v>196</v>
      </c>
      <c r="B1677" s="88"/>
      <c r="C1677" s="16">
        <v>46202</v>
      </c>
      <c r="D1677" s="79">
        <v>0</v>
      </c>
    </row>
    <row r="1678" spans="1:4" x14ac:dyDescent="0.3">
      <c r="A1678" s="88" t="s">
        <v>197</v>
      </c>
      <c r="B1678" s="88"/>
      <c r="C1678" s="16">
        <v>46202</v>
      </c>
      <c r="D1678" s="79">
        <v>0</v>
      </c>
    </row>
    <row r="1679" spans="1:4" x14ac:dyDescent="0.3">
      <c r="A1679" s="88" t="s">
        <v>212</v>
      </c>
      <c r="B1679" s="88"/>
      <c r="C1679" s="16">
        <v>46202</v>
      </c>
      <c r="D1679" s="79">
        <v>0</v>
      </c>
    </row>
    <row r="1680" spans="1:4" x14ac:dyDescent="0.3">
      <c r="A1680" s="88" t="s">
        <v>199</v>
      </c>
      <c r="B1680" s="88"/>
      <c r="C1680" s="16">
        <v>46202</v>
      </c>
      <c r="D1680" s="79">
        <v>0</v>
      </c>
    </row>
    <row r="1681" spans="1:4" x14ac:dyDescent="0.3">
      <c r="A1681" s="88" t="s">
        <v>217</v>
      </c>
      <c r="B1681" s="88"/>
      <c r="C1681" s="16">
        <v>46202</v>
      </c>
      <c r="D1681" s="79">
        <v>0</v>
      </c>
    </row>
    <row r="1682" spans="1:4" x14ac:dyDescent="0.3">
      <c r="A1682" s="88" t="s">
        <v>17</v>
      </c>
      <c r="B1682" s="88"/>
      <c r="C1682" s="16">
        <v>46203</v>
      </c>
      <c r="D1682" s="79">
        <v>6295585.7500000009</v>
      </c>
    </row>
    <row r="1683" spans="1:4" x14ac:dyDescent="0.3">
      <c r="A1683" s="88" t="s">
        <v>18</v>
      </c>
      <c r="B1683" s="88"/>
      <c r="C1683" s="16">
        <v>46203</v>
      </c>
      <c r="D1683" s="79">
        <v>79139.680000000168</v>
      </c>
    </row>
    <row r="1684" spans="1:4" x14ac:dyDescent="0.3">
      <c r="A1684" s="88" t="s">
        <v>19</v>
      </c>
      <c r="B1684" s="88"/>
      <c r="C1684" s="16">
        <v>46203</v>
      </c>
      <c r="D1684" s="79">
        <v>1669.89</v>
      </c>
    </row>
    <row r="1685" spans="1:4" x14ac:dyDescent="0.3">
      <c r="A1685" s="88" t="s">
        <v>20</v>
      </c>
      <c r="B1685" s="88"/>
      <c r="C1685" s="16">
        <v>46203</v>
      </c>
      <c r="D1685" s="79">
        <v>489745.62999999989</v>
      </c>
    </row>
    <row r="1686" spans="1:4" x14ac:dyDescent="0.3">
      <c r="A1686" s="88" t="s">
        <v>21</v>
      </c>
      <c r="B1686" s="88"/>
      <c r="C1686" s="16">
        <v>46203</v>
      </c>
      <c r="D1686" s="79">
        <v>1696284.7299999995</v>
      </c>
    </row>
    <row r="1687" spans="1:4" x14ac:dyDescent="0.3">
      <c r="A1687" s="88" t="s">
        <v>22</v>
      </c>
      <c r="B1687" s="88"/>
      <c r="C1687" s="16">
        <v>46203</v>
      </c>
      <c r="D1687" s="79">
        <v>390496.38</v>
      </c>
    </row>
    <row r="1688" spans="1:4" x14ac:dyDescent="0.3">
      <c r="A1688" s="88" t="s">
        <v>23</v>
      </c>
      <c r="B1688" s="88"/>
      <c r="C1688" s="16">
        <v>46203</v>
      </c>
      <c r="D1688" s="79">
        <v>267503.99000000005</v>
      </c>
    </row>
    <row r="1689" spans="1:4" x14ac:dyDescent="0.3">
      <c r="A1689" s="88" t="s">
        <v>24</v>
      </c>
      <c r="B1689" s="88"/>
      <c r="C1689" s="16">
        <v>46203</v>
      </c>
      <c r="D1689" s="79">
        <v>511.15999999999985</v>
      </c>
    </row>
    <row r="1690" spans="1:4" x14ac:dyDescent="0.3">
      <c r="A1690" s="88" t="s">
        <v>25</v>
      </c>
      <c r="B1690" s="88"/>
      <c r="C1690" s="16">
        <v>46203</v>
      </c>
      <c r="D1690" s="79">
        <v>84.35</v>
      </c>
    </row>
    <row r="1691" spans="1:4" x14ac:dyDescent="0.3">
      <c r="A1691" s="88" t="s">
        <v>26</v>
      </c>
      <c r="B1691" s="88"/>
      <c r="C1691" s="16">
        <v>46203</v>
      </c>
      <c r="D1691" s="79">
        <v>2237.77</v>
      </c>
    </row>
    <row r="1692" spans="1:4" x14ac:dyDescent="0.3">
      <c r="A1692" s="88" t="s">
        <v>27</v>
      </c>
      <c r="B1692" s="88"/>
      <c r="C1692" s="16">
        <v>46203</v>
      </c>
      <c r="D1692" s="79">
        <v>3349.94</v>
      </c>
    </row>
    <row r="1693" spans="1:4" x14ac:dyDescent="0.3">
      <c r="A1693" s="88" t="s">
        <v>28</v>
      </c>
      <c r="B1693" s="88"/>
      <c r="C1693" s="16">
        <v>46203</v>
      </c>
      <c r="D1693" s="79">
        <v>1968.99</v>
      </c>
    </row>
    <row r="1694" spans="1:4" x14ac:dyDescent="0.3">
      <c r="A1694" s="88" t="s">
        <v>29</v>
      </c>
      <c r="B1694" s="88"/>
      <c r="C1694" s="16">
        <v>46203</v>
      </c>
      <c r="D1694" s="79">
        <v>382.69000000000005</v>
      </c>
    </row>
    <row r="1695" spans="1:4" x14ac:dyDescent="0.3">
      <c r="A1695" s="88" t="s">
        <v>30</v>
      </c>
      <c r="B1695" s="88"/>
      <c r="C1695" s="16">
        <v>46203</v>
      </c>
      <c r="D1695" s="79">
        <v>1428.08</v>
      </c>
    </row>
    <row r="1696" spans="1:4" x14ac:dyDescent="0.3">
      <c r="A1696" s="88" t="s">
        <v>31</v>
      </c>
      <c r="B1696" s="88"/>
      <c r="C1696" s="16">
        <v>46203</v>
      </c>
      <c r="D1696" s="79">
        <v>31039.969999999961</v>
      </c>
    </row>
    <row r="1697" spans="1:4" x14ac:dyDescent="0.3">
      <c r="A1697" s="88" t="s">
        <v>32</v>
      </c>
      <c r="B1697" s="88"/>
      <c r="C1697" s="16">
        <v>46203</v>
      </c>
      <c r="D1697" s="79">
        <v>20321.43</v>
      </c>
    </row>
    <row r="1698" spans="1:4" x14ac:dyDescent="0.3">
      <c r="A1698" s="88" t="s">
        <v>33</v>
      </c>
      <c r="B1698" s="88"/>
      <c r="C1698" s="16">
        <v>46203</v>
      </c>
      <c r="D1698" s="79">
        <v>28458.6</v>
      </c>
    </row>
    <row r="1699" spans="1:4" x14ac:dyDescent="0.3">
      <c r="A1699" s="88" t="s">
        <v>34</v>
      </c>
      <c r="B1699" s="88"/>
      <c r="C1699" s="16">
        <v>46203</v>
      </c>
      <c r="D1699" s="79">
        <v>345</v>
      </c>
    </row>
    <row r="1700" spans="1:4" x14ac:dyDescent="0.3">
      <c r="A1700" s="88" t="s">
        <v>35</v>
      </c>
      <c r="B1700" s="88"/>
      <c r="C1700" s="16">
        <v>46203</v>
      </c>
      <c r="D1700" s="79">
        <v>23872.78</v>
      </c>
    </row>
    <row r="1701" spans="1:4" x14ac:dyDescent="0.3">
      <c r="A1701" s="88" t="s">
        <v>193</v>
      </c>
      <c r="B1701" s="88"/>
      <c r="C1701" s="16">
        <v>46203</v>
      </c>
      <c r="D1701" s="79">
        <v>0</v>
      </c>
    </row>
    <row r="1702" spans="1:4" x14ac:dyDescent="0.3">
      <c r="A1702" s="88" t="s">
        <v>214</v>
      </c>
      <c r="B1702" s="88"/>
      <c r="C1702" s="16">
        <v>46203</v>
      </c>
      <c r="D1702" s="79">
        <v>0</v>
      </c>
    </row>
    <row r="1703" spans="1:4" x14ac:dyDescent="0.3">
      <c r="A1703" s="88" t="s">
        <v>194</v>
      </c>
      <c r="B1703" s="88"/>
      <c r="C1703" s="16">
        <v>46203</v>
      </c>
      <c r="D1703" s="79">
        <v>0</v>
      </c>
    </row>
    <row r="1704" spans="1:4" x14ac:dyDescent="0.3">
      <c r="A1704" s="88" t="s">
        <v>195</v>
      </c>
      <c r="B1704" s="88"/>
      <c r="C1704" s="16">
        <v>46203</v>
      </c>
      <c r="D1704" s="79">
        <v>0</v>
      </c>
    </row>
    <row r="1705" spans="1:4" x14ac:dyDescent="0.3">
      <c r="A1705" s="88" t="s">
        <v>196</v>
      </c>
      <c r="B1705" s="88"/>
      <c r="C1705" s="16">
        <v>46203</v>
      </c>
      <c r="D1705" s="79">
        <v>0</v>
      </c>
    </row>
    <row r="1706" spans="1:4" x14ac:dyDescent="0.3">
      <c r="A1706" s="88" t="s">
        <v>197</v>
      </c>
      <c r="B1706" s="88"/>
      <c r="C1706" s="16">
        <v>46203</v>
      </c>
      <c r="D1706" s="79">
        <v>0</v>
      </c>
    </row>
    <row r="1707" spans="1:4" x14ac:dyDescent="0.3">
      <c r="A1707" s="88" t="s">
        <v>212</v>
      </c>
      <c r="B1707" s="88"/>
      <c r="C1707" s="16">
        <v>46203</v>
      </c>
      <c r="D1707" s="79">
        <v>0</v>
      </c>
    </row>
    <row r="1708" spans="1:4" x14ac:dyDescent="0.3">
      <c r="A1708" s="88" t="s">
        <v>199</v>
      </c>
      <c r="B1708" s="88"/>
      <c r="C1708" s="16">
        <v>46203</v>
      </c>
      <c r="D1708" s="79">
        <v>0</v>
      </c>
    </row>
    <row r="1709" spans="1:4" x14ac:dyDescent="0.3">
      <c r="A1709" s="88" t="s">
        <v>217</v>
      </c>
      <c r="B1709" s="88"/>
      <c r="C1709" s="16">
        <v>46203</v>
      </c>
      <c r="D1709" s="79">
        <v>0</v>
      </c>
    </row>
    <row r="1710" spans="1:4" x14ac:dyDescent="0.3">
      <c r="A1710" s="88" t="s">
        <v>17</v>
      </c>
      <c r="B1710" s="88"/>
      <c r="C1710" s="16">
        <v>46204</v>
      </c>
      <c r="D1710" s="79">
        <v>6295585.7500000009</v>
      </c>
    </row>
    <row r="1711" spans="1:4" x14ac:dyDescent="0.3">
      <c r="A1711" s="88" t="s">
        <v>18</v>
      </c>
      <c r="B1711" s="88"/>
      <c r="C1711" s="16">
        <v>46204</v>
      </c>
      <c r="D1711" s="79">
        <v>79139.680000000168</v>
      </c>
    </row>
    <row r="1712" spans="1:4" x14ac:dyDescent="0.3">
      <c r="A1712" s="88" t="s">
        <v>19</v>
      </c>
      <c r="B1712" s="88"/>
      <c r="C1712" s="16">
        <v>46204</v>
      </c>
      <c r="D1712" s="79">
        <v>1669.89</v>
      </c>
    </row>
    <row r="1713" spans="1:4" x14ac:dyDescent="0.3">
      <c r="A1713" s="88" t="s">
        <v>20</v>
      </c>
      <c r="B1713" s="88"/>
      <c r="C1713" s="16">
        <v>46204</v>
      </c>
      <c r="D1713" s="79">
        <v>507936.37999999989</v>
      </c>
    </row>
    <row r="1714" spans="1:4" x14ac:dyDescent="0.3">
      <c r="A1714" s="88" t="s">
        <v>21</v>
      </c>
      <c r="B1714" s="88"/>
      <c r="C1714" s="16">
        <v>46204</v>
      </c>
      <c r="D1714" s="79">
        <v>1696284.7299999995</v>
      </c>
    </row>
    <row r="1715" spans="1:4" x14ac:dyDescent="0.3">
      <c r="A1715" s="88" t="s">
        <v>22</v>
      </c>
      <c r="B1715" s="88"/>
      <c r="C1715" s="16">
        <v>46204</v>
      </c>
      <c r="D1715" s="79">
        <v>390496.38</v>
      </c>
    </row>
    <row r="1716" spans="1:4" x14ac:dyDescent="0.3">
      <c r="A1716" s="88" t="s">
        <v>23</v>
      </c>
      <c r="B1716" s="88"/>
      <c r="C1716" s="16">
        <v>46204</v>
      </c>
      <c r="D1716" s="79">
        <v>267503.99000000005</v>
      </c>
    </row>
    <row r="1717" spans="1:4" x14ac:dyDescent="0.3">
      <c r="A1717" s="88" t="s">
        <v>24</v>
      </c>
      <c r="B1717" s="88"/>
      <c r="C1717" s="16">
        <v>46204</v>
      </c>
      <c r="D1717" s="79">
        <v>511.15999999999985</v>
      </c>
    </row>
    <row r="1718" spans="1:4" x14ac:dyDescent="0.3">
      <c r="A1718" s="88" t="s">
        <v>25</v>
      </c>
      <c r="B1718" s="88"/>
      <c r="C1718" s="16">
        <v>46204</v>
      </c>
      <c r="D1718" s="79">
        <v>54.400000000000006</v>
      </c>
    </row>
    <row r="1719" spans="1:4" x14ac:dyDescent="0.3">
      <c r="A1719" s="88" t="s">
        <v>26</v>
      </c>
      <c r="B1719" s="88"/>
      <c r="C1719" s="16">
        <v>46204</v>
      </c>
      <c r="D1719" s="79">
        <v>2207.8200000000002</v>
      </c>
    </row>
    <row r="1720" spans="1:4" x14ac:dyDescent="0.3">
      <c r="A1720" s="88" t="s">
        <v>27</v>
      </c>
      <c r="B1720" s="88"/>
      <c r="C1720" s="16">
        <v>46204</v>
      </c>
      <c r="D1720" s="79">
        <v>3349.94</v>
      </c>
    </row>
    <row r="1721" spans="1:4" x14ac:dyDescent="0.3">
      <c r="A1721" s="88" t="s">
        <v>28</v>
      </c>
      <c r="B1721" s="88"/>
      <c r="C1721" s="16">
        <v>46204</v>
      </c>
      <c r="D1721" s="79">
        <v>1968.99</v>
      </c>
    </row>
    <row r="1722" spans="1:4" x14ac:dyDescent="0.3">
      <c r="A1722" s="88" t="s">
        <v>29</v>
      </c>
      <c r="B1722" s="88"/>
      <c r="C1722" s="16">
        <v>46204</v>
      </c>
      <c r="D1722" s="79">
        <v>382.69000000000005</v>
      </c>
    </row>
    <row r="1723" spans="1:4" x14ac:dyDescent="0.3">
      <c r="A1723" s="88" t="s">
        <v>30</v>
      </c>
      <c r="B1723" s="88"/>
      <c r="C1723" s="16">
        <v>46204</v>
      </c>
      <c r="D1723" s="79">
        <v>1412.08</v>
      </c>
    </row>
    <row r="1724" spans="1:4" x14ac:dyDescent="0.3">
      <c r="A1724" s="88" t="s">
        <v>31</v>
      </c>
      <c r="B1724" s="88"/>
      <c r="C1724" s="16">
        <v>46204</v>
      </c>
      <c r="D1724" s="79">
        <v>22496.639999999959</v>
      </c>
    </row>
    <row r="1725" spans="1:4" x14ac:dyDescent="0.3">
      <c r="A1725" s="88" t="s">
        <v>32</v>
      </c>
      <c r="B1725" s="88"/>
      <c r="C1725" s="16">
        <v>46204</v>
      </c>
      <c r="D1725" s="79">
        <v>10522.800000000003</v>
      </c>
    </row>
    <row r="1726" spans="1:4" x14ac:dyDescent="0.3">
      <c r="A1726" s="88" t="s">
        <v>33</v>
      </c>
      <c r="B1726" s="88"/>
      <c r="C1726" s="16">
        <v>46204</v>
      </c>
      <c r="D1726" s="79">
        <v>19685.559999999998</v>
      </c>
    </row>
    <row r="1727" spans="1:4" x14ac:dyDescent="0.3">
      <c r="A1727" s="88" t="s">
        <v>34</v>
      </c>
      <c r="B1727" s="88"/>
      <c r="C1727" s="16">
        <v>46204</v>
      </c>
      <c r="D1727" s="79">
        <v>345</v>
      </c>
    </row>
    <row r="1728" spans="1:4" x14ac:dyDescent="0.3">
      <c r="A1728" s="88" t="s">
        <v>35</v>
      </c>
      <c r="B1728" s="88"/>
      <c r="C1728" s="16">
        <v>46204</v>
      </c>
      <c r="D1728" s="79">
        <v>23439.279999999999</v>
      </c>
    </row>
    <row r="1729" spans="1:4" x14ac:dyDescent="0.3">
      <c r="A1729" s="88" t="s">
        <v>193</v>
      </c>
      <c r="B1729" s="88"/>
      <c r="C1729" s="16">
        <v>46204</v>
      </c>
      <c r="D1729" s="79">
        <v>0</v>
      </c>
    </row>
    <row r="1730" spans="1:4" x14ac:dyDescent="0.3">
      <c r="A1730" s="88" t="s">
        <v>214</v>
      </c>
      <c r="B1730" s="88"/>
      <c r="C1730" s="16">
        <v>46204</v>
      </c>
      <c r="D1730" s="79">
        <v>0</v>
      </c>
    </row>
    <row r="1731" spans="1:4" x14ac:dyDescent="0.3">
      <c r="A1731" s="88" t="s">
        <v>194</v>
      </c>
      <c r="B1731" s="88"/>
      <c r="C1731" s="16">
        <v>46204</v>
      </c>
      <c r="D1731" s="79">
        <v>0</v>
      </c>
    </row>
    <row r="1732" spans="1:4" x14ac:dyDescent="0.3">
      <c r="A1732" s="88" t="s">
        <v>195</v>
      </c>
      <c r="B1732" s="88"/>
      <c r="C1732" s="16">
        <v>46204</v>
      </c>
      <c r="D1732" s="79">
        <v>0</v>
      </c>
    </row>
    <row r="1733" spans="1:4" x14ac:dyDescent="0.3">
      <c r="A1733" s="88" t="s">
        <v>196</v>
      </c>
      <c r="B1733" s="88"/>
      <c r="C1733" s="16">
        <v>46204</v>
      </c>
      <c r="D1733" s="79">
        <v>0</v>
      </c>
    </row>
    <row r="1734" spans="1:4" x14ac:dyDescent="0.3">
      <c r="A1734" s="88" t="s">
        <v>197</v>
      </c>
      <c r="B1734" s="88"/>
      <c r="C1734" s="16">
        <v>46204</v>
      </c>
      <c r="D1734" s="79">
        <v>0</v>
      </c>
    </row>
    <row r="1735" spans="1:4" x14ac:dyDescent="0.3">
      <c r="A1735" s="88" t="s">
        <v>212</v>
      </c>
      <c r="B1735" s="88"/>
      <c r="C1735" s="16">
        <v>46204</v>
      </c>
      <c r="D1735" s="79">
        <v>0</v>
      </c>
    </row>
    <row r="1736" spans="1:4" x14ac:dyDescent="0.3">
      <c r="A1736" s="88" t="s">
        <v>199</v>
      </c>
      <c r="B1736" s="88"/>
      <c r="C1736" s="16">
        <v>46204</v>
      </c>
      <c r="D1736" s="79">
        <v>0</v>
      </c>
    </row>
    <row r="1737" spans="1:4" x14ac:dyDescent="0.3">
      <c r="A1737" s="88" t="s">
        <v>217</v>
      </c>
      <c r="B1737" s="88"/>
      <c r="C1737" s="16">
        <v>46204</v>
      </c>
      <c r="D1737" s="79">
        <v>0</v>
      </c>
    </row>
    <row r="1738" spans="1:4" x14ac:dyDescent="0.3">
      <c r="A1738" s="88" t="s">
        <v>17</v>
      </c>
      <c r="B1738" s="88"/>
      <c r="C1738" s="16">
        <v>46205</v>
      </c>
      <c r="D1738" s="79">
        <v>5592585.7500000009</v>
      </c>
    </row>
    <row r="1739" spans="1:4" x14ac:dyDescent="0.3">
      <c r="A1739" s="88" t="s">
        <v>18</v>
      </c>
      <c r="B1739" s="88"/>
      <c r="C1739" s="16">
        <v>46205</v>
      </c>
      <c r="D1739" s="79">
        <v>79139.680000000168</v>
      </c>
    </row>
    <row r="1740" spans="1:4" x14ac:dyDescent="0.3">
      <c r="A1740" s="88" t="s">
        <v>19</v>
      </c>
      <c r="B1740" s="88"/>
      <c r="C1740" s="16">
        <v>46205</v>
      </c>
      <c r="D1740" s="79">
        <v>1669.89</v>
      </c>
    </row>
    <row r="1741" spans="1:4" x14ac:dyDescent="0.3">
      <c r="A1741" s="88" t="s">
        <v>20</v>
      </c>
      <c r="B1741" s="88"/>
      <c r="C1741" s="16">
        <v>46205</v>
      </c>
      <c r="D1741" s="79">
        <v>350475.62999999989</v>
      </c>
    </row>
    <row r="1742" spans="1:4" x14ac:dyDescent="0.3">
      <c r="A1742" s="88" t="s">
        <v>21</v>
      </c>
      <c r="B1742" s="88"/>
      <c r="C1742" s="16">
        <v>46205</v>
      </c>
      <c r="D1742" s="79">
        <v>1761564.8799999994</v>
      </c>
    </row>
    <row r="1743" spans="1:4" x14ac:dyDescent="0.3">
      <c r="A1743" s="88" t="s">
        <v>22</v>
      </c>
      <c r="B1743" s="88"/>
      <c r="C1743" s="16">
        <v>46205</v>
      </c>
      <c r="D1743" s="79">
        <v>220496.38</v>
      </c>
    </row>
    <row r="1744" spans="1:4" x14ac:dyDescent="0.3">
      <c r="A1744" s="88" t="s">
        <v>23</v>
      </c>
      <c r="B1744" s="88"/>
      <c r="C1744" s="16">
        <v>46205</v>
      </c>
      <c r="D1744" s="79">
        <v>267503.99000000005</v>
      </c>
    </row>
    <row r="1745" spans="1:4" x14ac:dyDescent="0.3">
      <c r="A1745" s="88" t="s">
        <v>24</v>
      </c>
      <c r="B1745" s="88"/>
      <c r="C1745" s="16">
        <v>46205</v>
      </c>
      <c r="D1745" s="79">
        <v>511.15999999999985</v>
      </c>
    </row>
    <row r="1746" spans="1:4" x14ac:dyDescent="0.3">
      <c r="A1746" s="88" t="s">
        <v>25</v>
      </c>
      <c r="B1746" s="88"/>
      <c r="C1746" s="16">
        <v>46205</v>
      </c>
      <c r="D1746" s="79">
        <v>54.400000000000006</v>
      </c>
    </row>
    <row r="1747" spans="1:4" x14ac:dyDescent="0.3">
      <c r="A1747" s="88" t="s">
        <v>26</v>
      </c>
      <c r="B1747" s="88"/>
      <c r="C1747" s="16">
        <v>46205</v>
      </c>
      <c r="D1747" s="79">
        <v>2207.8200000000002</v>
      </c>
    </row>
    <row r="1748" spans="1:4" x14ac:dyDescent="0.3">
      <c r="A1748" s="88" t="s">
        <v>27</v>
      </c>
      <c r="B1748" s="88"/>
      <c r="C1748" s="16">
        <v>46205</v>
      </c>
      <c r="D1748" s="79">
        <v>3349.94</v>
      </c>
    </row>
    <row r="1749" spans="1:4" x14ac:dyDescent="0.3">
      <c r="A1749" s="88" t="s">
        <v>28</v>
      </c>
      <c r="B1749" s="88"/>
      <c r="C1749" s="16">
        <v>46205</v>
      </c>
      <c r="D1749" s="79">
        <v>1968.99</v>
      </c>
    </row>
    <row r="1750" spans="1:4" x14ac:dyDescent="0.3">
      <c r="A1750" s="88" t="s">
        <v>29</v>
      </c>
      <c r="B1750" s="88"/>
      <c r="C1750" s="16">
        <v>46205</v>
      </c>
      <c r="D1750" s="79">
        <v>382.69000000000005</v>
      </c>
    </row>
    <row r="1751" spans="1:4" x14ac:dyDescent="0.3">
      <c r="A1751" s="88" t="s">
        <v>30</v>
      </c>
      <c r="B1751" s="88"/>
      <c r="C1751" s="16">
        <v>46205</v>
      </c>
      <c r="D1751" s="79">
        <v>1412.08</v>
      </c>
    </row>
    <row r="1752" spans="1:4" x14ac:dyDescent="0.3">
      <c r="A1752" s="88" t="s">
        <v>31</v>
      </c>
      <c r="B1752" s="88"/>
      <c r="C1752" s="16">
        <v>46205</v>
      </c>
      <c r="D1752" s="79">
        <v>22496.639999999959</v>
      </c>
    </row>
    <row r="1753" spans="1:4" x14ac:dyDescent="0.3">
      <c r="A1753" s="88" t="s">
        <v>32</v>
      </c>
      <c r="B1753" s="88"/>
      <c r="C1753" s="16">
        <v>46205</v>
      </c>
      <c r="D1753" s="79">
        <v>10522.800000000003</v>
      </c>
    </row>
    <row r="1754" spans="1:4" x14ac:dyDescent="0.3">
      <c r="A1754" s="88" t="s">
        <v>33</v>
      </c>
      <c r="B1754" s="88"/>
      <c r="C1754" s="16">
        <v>46205</v>
      </c>
      <c r="D1754" s="79">
        <v>28485.559999999998</v>
      </c>
    </row>
    <row r="1755" spans="1:4" x14ac:dyDescent="0.3">
      <c r="A1755" s="88" t="s">
        <v>34</v>
      </c>
      <c r="B1755" s="88"/>
      <c r="C1755" s="16">
        <v>46205</v>
      </c>
      <c r="D1755" s="79">
        <v>345</v>
      </c>
    </row>
    <row r="1756" spans="1:4" x14ac:dyDescent="0.3">
      <c r="A1756" s="88" t="s">
        <v>35</v>
      </c>
      <c r="B1756" s="88"/>
      <c r="C1756" s="16">
        <v>46205</v>
      </c>
      <c r="D1756" s="79">
        <v>36241.22</v>
      </c>
    </row>
    <row r="1757" spans="1:4" x14ac:dyDescent="0.3">
      <c r="A1757" s="88" t="s">
        <v>193</v>
      </c>
      <c r="B1757" s="88"/>
      <c r="C1757" s="16">
        <v>46205</v>
      </c>
      <c r="D1757" s="79">
        <v>0</v>
      </c>
    </row>
    <row r="1758" spans="1:4" x14ac:dyDescent="0.3">
      <c r="A1758" s="88" t="s">
        <v>214</v>
      </c>
      <c r="B1758" s="88"/>
      <c r="C1758" s="16">
        <v>46205</v>
      </c>
      <c r="D1758" s="79">
        <v>0</v>
      </c>
    </row>
    <row r="1759" spans="1:4" x14ac:dyDescent="0.3">
      <c r="A1759" s="88" t="s">
        <v>194</v>
      </c>
      <c r="B1759" s="88"/>
      <c r="C1759" s="16">
        <v>46205</v>
      </c>
      <c r="D1759" s="79">
        <v>0</v>
      </c>
    </row>
    <row r="1760" spans="1:4" x14ac:dyDescent="0.3">
      <c r="A1760" s="88" t="s">
        <v>195</v>
      </c>
      <c r="B1760" s="88"/>
      <c r="C1760" s="16">
        <v>46205</v>
      </c>
      <c r="D1760" s="79">
        <v>0</v>
      </c>
    </row>
    <row r="1761" spans="1:4" x14ac:dyDescent="0.3">
      <c r="A1761" s="88" t="s">
        <v>196</v>
      </c>
      <c r="B1761" s="88"/>
      <c r="C1761" s="16">
        <v>46205</v>
      </c>
      <c r="D1761" s="79">
        <v>0</v>
      </c>
    </row>
    <row r="1762" spans="1:4" x14ac:dyDescent="0.3">
      <c r="A1762" s="88" t="s">
        <v>197</v>
      </c>
      <c r="B1762" s="88"/>
      <c r="C1762" s="16">
        <v>46205</v>
      </c>
      <c r="D1762" s="79">
        <v>0</v>
      </c>
    </row>
    <row r="1763" spans="1:4" x14ac:dyDescent="0.3">
      <c r="A1763" s="88" t="s">
        <v>212</v>
      </c>
      <c r="B1763" s="88"/>
      <c r="C1763" s="16">
        <v>46205</v>
      </c>
      <c r="D1763" s="79">
        <v>0</v>
      </c>
    </row>
    <row r="1764" spans="1:4" x14ac:dyDescent="0.3">
      <c r="A1764" s="88" t="s">
        <v>199</v>
      </c>
      <c r="B1764" s="88"/>
      <c r="C1764" s="16">
        <v>46205</v>
      </c>
      <c r="D1764" s="79">
        <v>0</v>
      </c>
    </row>
    <row r="1765" spans="1:4" x14ac:dyDescent="0.3">
      <c r="A1765" s="88" t="s">
        <v>217</v>
      </c>
      <c r="B1765" s="88"/>
      <c r="C1765" s="16">
        <v>46205</v>
      </c>
      <c r="D1765" s="79">
        <v>0</v>
      </c>
    </row>
    <row r="1766" spans="1:4" x14ac:dyDescent="0.3">
      <c r="A1766" s="88" t="s">
        <v>17</v>
      </c>
      <c r="B1766" s="88"/>
      <c r="C1766" s="16">
        <v>46206</v>
      </c>
      <c r="D1766" s="79">
        <v>5592585.7500000009</v>
      </c>
    </row>
    <row r="1767" spans="1:4" x14ac:dyDescent="0.3">
      <c r="A1767" s="88" t="s">
        <v>18</v>
      </c>
      <c r="B1767" s="88"/>
      <c r="C1767" s="16">
        <v>46206</v>
      </c>
      <c r="D1767" s="79">
        <v>79139.680000000168</v>
      </c>
    </row>
    <row r="1768" spans="1:4" x14ac:dyDescent="0.3">
      <c r="A1768" s="88" t="s">
        <v>19</v>
      </c>
      <c r="B1768" s="88"/>
      <c r="C1768" s="16">
        <v>46206</v>
      </c>
      <c r="D1768" s="79">
        <v>1669.89</v>
      </c>
    </row>
    <row r="1769" spans="1:4" x14ac:dyDescent="0.3">
      <c r="A1769" s="88" t="s">
        <v>20</v>
      </c>
      <c r="B1769" s="88"/>
      <c r="C1769" s="16">
        <v>46206</v>
      </c>
      <c r="D1769" s="79">
        <v>350475.62999999989</v>
      </c>
    </row>
    <row r="1770" spans="1:4" x14ac:dyDescent="0.3">
      <c r="A1770" s="88" t="s">
        <v>21</v>
      </c>
      <c r="B1770" s="88"/>
      <c r="C1770" s="16">
        <v>46206</v>
      </c>
      <c r="D1770" s="79">
        <v>1761564.8799999994</v>
      </c>
    </row>
    <row r="1771" spans="1:4" x14ac:dyDescent="0.3">
      <c r="A1771" s="88" t="s">
        <v>22</v>
      </c>
      <c r="B1771" s="88"/>
      <c r="C1771" s="16">
        <v>46206</v>
      </c>
      <c r="D1771" s="79">
        <v>220496.38</v>
      </c>
    </row>
    <row r="1772" spans="1:4" x14ac:dyDescent="0.3">
      <c r="A1772" s="88" t="s">
        <v>23</v>
      </c>
      <c r="B1772" s="88"/>
      <c r="C1772" s="16">
        <v>46206</v>
      </c>
      <c r="D1772" s="79">
        <v>267503.99000000005</v>
      </c>
    </row>
    <row r="1773" spans="1:4" x14ac:dyDescent="0.3">
      <c r="A1773" s="88" t="s">
        <v>24</v>
      </c>
      <c r="B1773" s="88"/>
      <c r="C1773" s="16">
        <v>46206</v>
      </c>
      <c r="D1773" s="79">
        <v>471.15999999999985</v>
      </c>
    </row>
    <row r="1774" spans="1:4" x14ac:dyDescent="0.3">
      <c r="A1774" s="88" t="s">
        <v>25</v>
      </c>
      <c r="B1774" s="88"/>
      <c r="C1774" s="16">
        <v>46206</v>
      </c>
      <c r="D1774" s="79">
        <v>54.400000000000006</v>
      </c>
    </row>
    <row r="1775" spans="1:4" x14ac:dyDescent="0.3">
      <c r="A1775" s="88" t="s">
        <v>26</v>
      </c>
      <c r="B1775" s="88"/>
      <c r="C1775" s="16">
        <v>46206</v>
      </c>
      <c r="D1775" s="79">
        <v>2207.8200000000002</v>
      </c>
    </row>
    <row r="1776" spans="1:4" x14ac:dyDescent="0.3">
      <c r="A1776" s="88" t="s">
        <v>27</v>
      </c>
      <c r="B1776" s="88"/>
      <c r="C1776" s="16">
        <v>46206</v>
      </c>
      <c r="D1776" s="79">
        <v>3349.94</v>
      </c>
    </row>
    <row r="1777" spans="1:4" x14ac:dyDescent="0.3">
      <c r="A1777" s="88" t="s">
        <v>28</v>
      </c>
      <c r="B1777" s="88"/>
      <c r="C1777" s="16">
        <v>46206</v>
      </c>
      <c r="D1777" s="79">
        <v>1968.99</v>
      </c>
    </row>
    <row r="1778" spans="1:4" x14ac:dyDescent="0.3">
      <c r="A1778" s="88" t="s">
        <v>29</v>
      </c>
      <c r="B1778" s="88"/>
      <c r="C1778" s="16">
        <v>46206</v>
      </c>
      <c r="D1778" s="79">
        <v>382.69000000000005</v>
      </c>
    </row>
    <row r="1779" spans="1:4" x14ac:dyDescent="0.3">
      <c r="A1779" s="88" t="s">
        <v>30</v>
      </c>
      <c r="B1779" s="88"/>
      <c r="C1779" s="16">
        <v>46206</v>
      </c>
      <c r="D1779" s="79">
        <v>1412.08</v>
      </c>
    </row>
    <row r="1780" spans="1:4" x14ac:dyDescent="0.3">
      <c r="A1780" s="88" t="s">
        <v>31</v>
      </c>
      <c r="B1780" s="88"/>
      <c r="C1780" s="16">
        <v>46206</v>
      </c>
      <c r="D1780" s="79">
        <v>22496.639999999959</v>
      </c>
    </row>
    <row r="1781" spans="1:4" x14ac:dyDescent="0.3">
      <c r="A1781" s="88" t="s">
        <v>32</v>
      </c>
      <c r="B1781" s="88"/>
      <c r="C1781" s="16">
        <v>46206</v>
      </c>
      <c r="D1781" s="79">
        <v>10522.800000000003</v>
      </c>
    </row>
    <row r="1782" spans="1:4" x14ac:dyDescent="0.3">
      <c r="A1782" s="88" t="s">
        <v>33</v>
      </c>
      <c r="B1782" s="88"/>
      <c r="C1782" s="16">
        <v>46206</v>
      </c>
      <c r="D1782" s="79">
        <v>28485.559999999998</v>
      </c>
    </row>
    <row r="1783" spans="1:4" x14ac:dyDescent="0.3">
      <c r="A1783" s="88" t="s">
        <v>34</v>
      </c>
      <c r="B1783" s="88"/>
      <c r="C1783" s="16">
        <v>46206</v>
      </c>
      <c r="D1783" s="79">
        <v>345</v>
      </c>
    </row>
    <row r="1784" spans="1:4" x14ac:dyDescent="0.3">
      <c r="A1784" s="88" t="s">
        <v>35</v>
      </c>
      <c r="B1784" s="88"/>
      <c r="C1784" s="16">
        <v>46206</v>
      </c>
      <c r="D1784" s="79">
        <v>33119.040000000001</v>
      </c>
    </row>
    <row r="1785" spans="1:4" x14ac:dyDescent="0.3">
      <c r="A1785" s="88" t="s">
        <v>193</v>
      </c>
      <c r="B1785" s="88"/>
      <c r="C1785" s="16">
        <v>46206</v>
      </c>
      <c r="D1785" s="79">
        <v>0</v>
      </c>
    </row>
    <row r="1786" spans="1:4" x14ac:dyDescent="0.3">
      <c r="A1786" s="88" t="s">
        <v>214</v>
      </c>
      <c r="B1786" s="88"/>
      <c r="C1786" s="16">
        <v>46206</v>
      </c>
      <c r="D1786" s="79">
        <v>0</v>
      </c>
    </row>
    <row r="1787" spans="1:4" x14ac:dyDescent="0.3">
      <c r="A1787" s="88" t="s">
        <v>194</v>
      </c>
      <c r="B1787" s="88"/>
      <c r="C1787" s="16">
        <v>46206</v>
      </c>
      <c r="D1787" s="79">
        <v>0</v>
      </c>
    </row>
    <row r="1788" spans="1:4" x14ac:dyDescent="0.3">
      <c r="A1788" s="88" t="s">
        <v>195</v>
      </c>
      <c r="B1788" s="88"/>
      <c r="C1788" s="16">
        <v>46206</v>
      </c>
      <c r="D1788" s="79">
        <v>0</v>
      </c>
    </row>
    <row r="1789" spans="1:4" x14ac:dyDescent="0.3">
      <c r="A1789" s="88" t="s">
        <v>196</v>
      </c>
      <c r="B1789" s="88"/>
      <c r="C1789" s="16">
        <v>46206</v>
      </c>
      <c r="D1789" s="79">
        <v>0</v>
      </c>
    </row>
    <row r="1790" spans="1:4" x14ac:dyDescent="0.3">
      <c r="A1790" s="88" t="s">
        <v>197</v>
      </c>
      <c r="B1790" s="88"/>
      <c r="C1790" s="16">
        <v>46206</v>
      </c>
      <c r="D1790" s="79">
        <v>0</v>
      </c>
    </row>
    <row r="1791" spans="1:4" x14ac:dyDescent="0.3">
      <c r="A1791" s="88" t="s">
        <v>212</v>
      </c>
      <c r="B1791" s="88"/>
      <c r="C1791" s="16">
        <v>46206</v>
      </c>
      <c r="D1791" s="79">
        <v>0</v>
      </c>
    </row>
    <row r="1792" spans="1:4" x14ac:dyDescent="0.3">
      <c r="A1792" s="88" t="s">
        <v>199</v>
      </c>
      <c r="B1792" s="88"/>
      <c r="C1792" s="16">
        <v>46206</v>
      </c>
      <c r="D1792" s="79">
        <v>0</v>
      </c>
    </row>
    <row r="1793" spans="1:4" x14ac:dyDescent="0.3">
      <c r="A1793" s="88" t="s">
        <v>217</v>
      </c>
      <c r="B1793" s="88"/>
      <c r="C1793" s="16">
        <v>46206</v>
      </c>
      <c r="D1793" s="79">
        <v>0</v>
      </c>
    </row>
    <row r="1794" spans="1:4" x14ac:dyDescent="0.3">
      <c r="A1794" s="88" t="s">
        <v>17</v>
      </c>
      <c r="B1794" s="88"/>
      <c r="C1794" s="16">
        <v>46207</v>
      </c>
      <c r="D1794" s="79">
        <v>5592585.7500000009</v>
      </c>
    </row>
    <row r="1795" spans="1:4" x14ac:dyDescent="0.3">
      <c r="A1795" s="88" t="s">
        <v>18</v>
      </c>
      <c r="B1795" s="88"/>
      <c r="C1795" s="16">
        <v>46207</v>
      </c>
      <c r="D1795" s="79">
        <v>79139.680000000168</v>
      </c>
    </row>
    <row r="1796" spans="1:4" x14ac:dyDescent="0.3">
      <c r="A1796" s="88" t="s">
        <v>19</v>
      </c>
      <c r="B1796" s="88"/>
      <c r="C1796" s="16">
        <v>46207</v>
      </c>
      <c r="D1796" s="79">
        <v>1669.89</v>
      </c>
    </row>
    <row r="1797" spans="1:4" x14ac:dyDescent="0.3">
      <c r="A1797" s="88" t="s">
        <v>20</v>
      </c>
      <c r="B1797" s="88"/>
      <c r="C1797" s="16">
        <v>46207</v>
      </c>
      <c r="D1797" s="79">
        <v>350475.62999999989</v>
      </c>
    </row>
    <row r="1798" spans="1:4" x14ac:dyDescent="0.3">
      <c r="A1798" s="88" t="s">
        <v>21</v>
      </c>
      <c r="B1798" s="88"/>
      <c r="C1798" s="16">
        <v>46207</v>
      </c>
      <c r="D1798" s="79">
        <v>1761564.8799999994</v>
      </c>
    </row>
    <row r="1799" spans="1:4" x14ac:dyDescent="0.3">
      <c r="A1799" s="88" t="s">
        <v>22</v>
      </c>
      <c r="B1799" s="88"/>
      <c r="C1799" s="16">
        <v>46207</v>
      </c>
      <c r="D1799" s="79">
        <v>220496.38</v>
      </c>
    </row>
    <row r="1800" spans="1:4" x14ac:dyDescent="0.3">
      <c r="A1800" s="88" t="s">
        <v>23</v>
      </c>
      <c r="B1800" s="88"/>
      <c r="C1800" s="16">
        <v>46207</v>
      </c>
      <c r="D1800" s="79">
        <v>267503.99000000005</v>
      </c>
    </row>
    <row r="1801" spans="1:4" x14ac:dyDescent="0.3">
      <c r="A1801" s="88" t="s">
        <v>24</v>
      </c>
      <c r="B1801" s="88"/>
      <c r="C1801" s="16">
        <v>46207</v>
      </c>
      <c r="D1801" s="79">
        <v>471.15999999999985</v>
      </c>
    </row>
    <row r="1802" spans="1:4" x14ac:dyDescent="0.3">
      <c r="A1802" s="88" t="s">
        <v>25</v>
      </c>
      <c r="B1802" s="88"/>
      <c r="C1802" s="16">
        <v>46207</v>
      </c>
      <c r="D1802" s="79">
        <v>54.400000000000006</v>
      </c>
    </row>
    <row r="1803" spans="1:4" x14ac:dyDescent="0.3">
      <c r="A1803" s="88" t="s">
        <v>26</v>
      </c>
      <c r="B1803" s="88"/>
      <c r="C1803" s="16">
        <v>46207</v>
      </c>
      <c r="D1803" s="79">
        <v>2207.8200000000002</v>
      </c>
    </row>
    <row r="1804" spans="1:4" x14ac:dyDescent="0.3">
      <c r="A1804" s="88" t="s">
        <v>27</v>
      </c>
      <c r="B1804" s="88"/>
      <c r="C1804" s="16">
        <v>46207</v>
      </c>
      <c r="D1804" s="79">
        <v>3349.94</v>
      </c>
    </row>
    <row r="1805" spans="1:4" x14ac:dyDescent="0.3">
      <c r="A1805" s="88" t="s">
        <v>28</v>
      </c>
      <c r="B1805" s="88"/>
      <c r="C1805" s="16">
        <v>46207</v>
      </c>
      <c r="D1805" s="79">
        <v>1968.99</v>
      </c>
    </row>
    <row r="1806" spans="1:4" x14ac:dyDescent="0.3">
      <c r="A1806" s="88" t="s">
        <v>29</v>
      </c>
      <c r="B1806" s="88"/>
      <c r="C1806" s="16">
        <v>46207</v>
      </c>
      <c r="D1806" s="79">
        <v>382.69000000000005</v>
      </c>
    </row>
    <row r="1807" spans="1:4" x14ac:dyDescent="0.3">
      <c r="A1807" s="88" t="s">
        <v>30</v>
      </c>
      <c r="B1807" s="88"/>
      <c r="C1807" s="16">
        <v>46207</v>
      </c>
      <c r="D1807" s="79">
        <v>1412.08</v>
      </c>
    </row>
    <row r="1808" spans="1:4" x14ac:dyDescent="0.3">
      <c r="A1808" s="88" t="s">
        <v>31</v>
      </c>
      <c r="B1808" s="88"/>
      <c r="C1808" s="16">
        <v>46207</v>
      </c>
      <c r="D1808" s="79">
        <v>22496.639999999959</v>
      </c>
    </row>
    <row r="1809" spans="1:4" x14ac:dyDescent="0.3">
      <c r="A1809" s="88" t="s">
        <v>32</v>
      </c>
      <c r="B1809" s="88"/>
      <c r="C1809" s="16">
        <v>46207</v>
      </c>
      <c r="D1809" s="79">
        <v>10522.800000000003</v>
      </c>
    </row>
    <row r="1810" spans="1:4" x14ac:dyDescent="0.3">
      <c r="A1810" s="88" t="s">
        <v>33</v>
      </c>
      <c r="B1810" s="88"/>
      <c r="C1810" s="16">
        <v>46207</v>
      </c>
      <c r="D1810" s="79">
        <v>28485.559999999998</v>
      </c>
    </row>
    <row r="1811" spans="1:4" x14ac:dyDescent="0.3">
      <c r="A1811" s="88" t="s">
        <v>34</v>
      </c>
      <c r="B1811" s="88"/>
      <c r="C1811" s="16">
        <v>46207</v>
      </c>
      <c r="D1811" s="79">
        <v>345</v>
      </c>
    </row>
    <row r="1812" spans="1:4" x14ac:dyDescent="0.3">
      <c r="A1812" s="88" t="s">
        <v>35</v>
      </c>
      <c r="B1812" s="88"/>
      <c r="C1812" s="16">
        <v>46207</v>
      </c>
      <c r="D1812" s="79">
        <v>33119.040000000001</v>
      </c>
    </row>
    <row r="1813" spans="1:4" x14ac:dyDescent="0.3">
      <c r="A1813" s="88" t="s">
        <v>193</v>
      </c>
      <c r="B1813" s="88"/>
      <c r="C1813" s="16">
        <v>46207</v>
      </c>
      <c r="D1813" s="79">
        <v>0</v>
      </c>
    </row>
    <row r="1814" spans="1:4" x14ac:dyDescent="0.3">
      <c r="A1814" s="88" t="s">
        <v>214</v>
      </c>
      <c r="B1814" s="88"/>
      <c r="C1814" s="16">
        <v>46207</v>
      </c>
      <c r="D1814" s="79">
        <v>0</v>
      </c>
    </row>
    <row r="1815" spans="1:4" x14ac:dyDescent="0.3">
      <c r="A1815" s="88" t="s">
        <v>194</v>
      </c>
      <c r="B1815" s="88"/>
      <c r="C1815" s="16">
        <v>46207</v>
      </c>
      <c r="D1815" s="79">
        <v>0</v>
      </c>
    </row>
    <row r="1816" spans="1:4" x14ac:dyDescent="0.3">
      <c r="A1816" s="88" t="s">
        <v>195</v>
      </c>
      <c r="B1816" s="88"/>
      <c r="C1816" s="16">
        <v>46207</v>
      </c>
      <c r="D1816" s="79">
        <v>0</v>
      </c>
    </row>
    <row r="1817" spans="1:4" x14ac:dyDescent="0.3">
      <c r="A1817" s="88" t="s">
        <v>196</v>
      </c>
      <c r="B1817" s="88"/>
      <c r="C1817" s="16">
        <v>46207</v>
      </c>
      <c r="D1817" s="79">
        <v>0</v>
      </c>
    </row>
    <row r="1818" spans="1:4" x14ac:dyDescent="0.3">
      <c r="A1818" s="88" t="s">
        <v>197</v>
      </c>
      <c r="B1818" s="88"/>
      <c r="C1818" s="16">
        <v>46207</v>
      </c>
      <c r="D1818" s="79">
        <v>0</v>
      </c>
    </row>
    <row r="1819" spans="1:4" x14ac:dyDescent="0.3">
      <c r="A1819" s="88" t="s">
        <v>212</v>
      </c>
      <c r="B1819" s="88"/>
      <c r="C1819" s="16">
        <v>46207</v>
      </c>
      <c r="D1819" s="79">
        <v>0</v>
      </c>
    </row>
    <row r="1820" spans="1:4" x14ac:dyDescent="0.3">
      <c r="A1820" s="88" t="s">
        <v>199</v>
      </c>
      <c r="B1820" s="88"/>
      <c r="C1820" s="16">
        <v>46207</v>
      </c>
      <c r="D1820" s="79">
        <v>0</v>
      </c>
    </row>
    <row r="1821" spans="1:4" x14ac:dyDescent="0.3">
      <c r="A1821" s="88" t="s">
        <v>217</v>
      </c>
      <c r="B1821" s="88"/>
      <c r="C1821" s="16">
        <v>46207</v>
      </c>
      <c r="D1821" s="79">
        <v>0</v>
      </c>
    </row>
    <row r="1822" spans="1:4" x14ac:dyDescent="0.3">
      <c r="A1822" s="88" t="s">
        <v>17</v>
      </c>
      <c r="B1822" s="88"/>
      <c r="C1822" s="16">
        <v>46208</v>
      </c>
      <c r="D1822" s="79">
        <v>5592585.7500000009</v>
      </c>
    </row>
    <row r="1823" spans="1:4" x14ac:dyDescent="0.3">
      <c r="A1823" s="88" t="s">
        <v>18</v>
      </c>
      <c r="B1823" s="88"/>
      <c r="C1823" s="16">
        <v>46208</v>
      </c>
      <c r="D1823" s="79">
        <v>79139.680000000168</v>
      </c>
    </row>
    <row r="1824" spans="1:4" x14ac:dyDescent="0.3">
      <c r="A1824" s="88" t="s">
        <v>19</v>
      </c>
      <c r="B1824" s="88"/>
      <c r="C1824" s="16">
        <v>46208</v>
      </c>
      <c r="D1824" s="79">
        <v>1669.89</v>
      </c>
    </row>
    <row r="1825" spans="1:4" x14ac:dyDescent="0.3">
      <c r="A1825" s="88" t="s">
        <v>20</v>
      </c>
      <c r="B1825" s="88"/>
      <c r="C1825" s="16">
        <v>46208</v>
      </c>
      <c r="D1825" s="79">
        <v>350475.62999999989</v>
      </c>
    </row>
    <row r="1826" spans="1:4" x14ac:dyDescent="0.3">
      <c r="A1826" s="88" t="s">
        <v>21</v>
      </c>
      <c r="B1826" s="88"/>
      <c r="C1826" s="16">
        <v>46208</v>
      </c>
      <c r="D1826" s="79">
        <v>1761564.8799999994</v>
      </c>
    </row>
    <row r="1827" spans="1:4" x14ac:dyDescent="0.3">
      <c r="A1827" s="88" t="s">
        <v>22</v>
      </c>
      <c r="B1827" s="88"/>
      <c r="C1827" s="16">
        <v>46208</v>
      </c>
      <c r="D1827" s="79">
        <v>220496.38</v>
      </c>
    </row>
    <row r="1828" spans="1:4" x14ac:dyDescent="0.3">
      <c r="A1828" s="88" t="s">
        <v>23</v>
      </c>
      <c r="B1828" s="88"/>
      <c r="C1828" s="16">
        <v>46208</v>
      </c>
      <c r="D1828" s="79">
        <v>267503.99000000005</v>
      </c>
    </row>
    <row r="1829" spans="1:4" x14ac:dyDescent="0.3">
      <c r="A1829" s="88" t="s">
        <v>24</v>
      </c>
      <c r="B1829" s="88"/>
      <c r="C1829" s="16">
        <v>46208</v>
      </c>
      <c r="D1829" s="79">
        <v>471.15999999999985</v>
      </c>
    </row>
    <row r="1830" spans="1:4" x14ac:dyDescent="0.3">
      <c r="A1830" s="88" t="s">
        <v>25</v>
      </c>
      <c r="B1830" s="88"/>
      <c r="C1830" s="16">
        <v>46208</v>
      </c>
      <c r="D1830" s="79">
        <v>54.400000000000006</v>
      </c>
    </row>
    <row r="1831" spans="1:4" x14ac:dyDescent="0.3">
      <c r="A1831" s="88" t="s">
        <v>26</v>
      </c>
      <c r="B1831" s="88"/>
      <c r="C1831" s="16">
        <v>46208</v>
      </c>
      <c r="D1831" s="79">
        <v>2207.8200000000002</v>
      </c>
    </row>
    <row r="1832" spans="1:4" x14ac:dyDescent="0.3">
      <c r="A1832" s="88" t="s">
        <v>27</v>
      </c>
      <c r="B1832" s="88"/>
      <c r="C1832" s="16">
        <v>46208</v>
      </c>
      <c r="D1832" s="79">
        <v>3349.94</v>
      </c>
    </row>
    <row r="1833" spans="1:4" x14ac:dyDescent="0.3">
      <c r="A1833" s="88" t="s">
        <v>28</v>
      </c>
      <c r="B1833" s="88"/>
      <c r="C1833" s="16">
        <v>46208</v>
      </c>
      <c r="D1833" s="79">
        <v>1968.99</v>
      </c>
    </row>
    <row r="1834" spans="1:4" x14ac:dyDescent="0.3">
      <c r="A1834" s="88" t="s">
        <v>29</v>
      </c>
      <c r="B1834" s="88"/>
      <c r="C1834" s="16">
        <v>46208</v>
      </c>
      <c r="D1834" s="79">
        <v>382.69000000000005</v>
      </c>
    </row>
    <row r="1835" spans="1:4" x14ac:dyDescent="0.3">
      <c r="A1835" s="88" t="s">
        <v>30</v>
      </c>
      <c r="B1835" s="88"/>
      <c r="C1835" s="16">
        <v>46208</v>
      </c>
      <c r="D1835" s="79">
        <v>1412.08</v>
      </c>
    </row>
    <row r="1836" spans="1:4" x14ac:dyDescent="0.3">
      <c r="A1836" s="88" t="s">
        <v>31</v>
      </c>
      <c r="B1836" s="88"/>
      <c r="C1836" s="16">
        <v>46208</v>
      </c>
      <c r="D1836" s="79">
        <v>22496.639999999959</v>
      </c>
    </row>
    <row r="1837" spans="1:4" x14ac:dyDescent="0.3">
      <c r="A1837" s="88" t="s">
        <v>32</v>
      </c>
      <c r="B1837" s="88"/>
      <c r="C1837" s="16">
        <v>46208</v>
      </c>
      <c r="D1837" s="79">
        <v>10522.800000000003</v>
      </c>
    </row>
    <row r="1838" spans="1:4" x14ac:dyDescent="0.3">
      <c r="A1838" s="88" t="s">
        <v>33</v>
      </c>
      <c r="B1838" s="88"/>
      <c r="C1838" s="16">
        <v>46208</v>
      </c>
      <c r="D1838" s="79">
        <v>28485.559999999998</v>
      </c>
    </row>
    <row r="1839" spans="1:4" x14ac:dyDescent="0.3">
      <c r="A1839" s="88" t="s">
        <v>34</v>
      </c>
      <c r="B1839" s="88"/>
      <c r="C1839" s="16">
        <v>46208</v>
      </c>
      <c r="D1839" s="79">
        <v>345</v>
      </c>
    </row>
    <row r="1840" spans="1:4" x14ac:dyDescent="0.3">
      <c r="A1840" s="88" t="s">
        <v>35</v>
      </c>
      <c r="B1840" s="88"/>
      <c r="C1840" s="16">
        <v>46208</v>
      </c>
      <c r="D1840" s="79">
        <v>33119.040000000001</v>
      </c>
    </row>
    <row r="1841" spans="1:4" x14ac:dyDescent="0.3">
      <c r="A1841" s="88" t="s">
        <v>193</v>
      </c>
      <c r="B1841" s="88"/>
      <c r="C1841" s="16">
        <v>46208</v>
      </c>
      <c r="D1841" s="79">
        <v>0</v>
      </c>
    </row>
    <row r="1842" spans="1:4" x14ac:dyDescent="0.3">
      <c r="A1842" s="88" t="s">
        <v>214</v>
      </c>
      <c r="B1842" s="88"/>
      <c r="C1842" s="16">
        <v>46208</v>
      </c>
      <c r="D1842" s="79">
        <v>0</v>
      </c>
    </row>
    <row r="1843" spans="1:4" x14ac:dyDescent="0.3">
      <c r="A1843" s="88" t="s">
        <v>194</v>
      </c>
      <c r="B1843" s="88"/>
      <c r="C1843" s="16">
        <v>46208</v>
      </c>
      <c r="D1843" s="79">
        <v>0</v>
      </c>
    </row>
    <row r="1844" spans="1:4" x14ac:dyDescent="0.3">
      <c r="A1844" s="88" t="s">
        <v>195</v>
      </c>
      <c r="B1844" s="88"/>
      <c r="C1844" s="16">
        <v>46208</v>
      </c>
      <c r="D1844" s="79">
        <v>0</v>
      </c>
    </row>
    <row r="1845" spans="1:4" x14ac:dyDescent="0.3">
      <c r="A1845" s="88" t="s">
        <v>196</v>
      </c>
      <c r="B1845" s="88"/>
      <c r="C1845" s="16">
        <v>46208</v>
      </c>
      <c r="D1845" s="79">
        <v>0</v>
      </c>
    </row>
    <row r="1846" spans="1:4" x14ac:dyDescent="0.3">
      <c r="A1846" s="88" t="s">
        <v>197</v>
      </c>
      <c r="B1846" s="88"/>
      <c r="C1846" s="16">
        <v>46208</v>
      </c>
      <c r="D1846" s="79">
        <v>0</v>
      </c>
    </row>
    <row r="1847" spans="1:4" x14ac:dyDescent="0.3">
      <c r="A1847" s="88" t="s">
        <v>212</v>
      </c>
      <c r="B1847" s="88"/>
      <c r="C1847" s="16">
        <v>46208</v>
      </c>
      <c r="D1847" s="79">
        <v>0</v>
      </c>
    </row>
    <row r="1848" spans="1:4" x14ac:dyDescent="0.3">
      <c r="A1848" s="88" t="s">
        <v>199</v>
      </c>
      <c r="B1848" s="88"/>
      <c r="C1848" s="16">
        <v>46208</v>
      </c>
      <c r="D1848" s="79">
        <v>0</v>
      </c>
    </row>
    <row r="1849" spans="1:4" x14ac:dyDescent="0.3">
      <c r="A1849" s="88" t="s">
        <v>217</v>
      </c>
      <c r="B1849" s="88"/>
      <c r="C1849" s="16">
        <v>46208</v>
      </c>
      <c r="D1849" s="79">
        <v>0</v>
      </c>
    </row>
    <row r="1850" spans="1:4" x14ac:dyDescent="0.3">
      <c r="A1850" s="88" t="s">
        <v>17</v>
      </c>
      <c r="B1850" s="88"/>
      <c r="C1850" s="16">
        <v>46209</v>
      </c>
      <c r="D1850" s="79">
        <v>5592585.7500000009</v>
      </c>
    </row>
    <row r="1851" spans="1:4" x14ac:dyDescent="0.3">
      <c r="A1851" s="88" t="s">
        <v>18</v>
      </c>
      <c r="B1851" s="88"/>
      <c r="C1851" s="16">
        <v>46209</v>
      </c>
      <c r="D1851" s="79">
        <v>79139.680000000168</v>
      </c>
    </row>
    <row r="1852" spans="1:4" x14ac:dyDescent="0.3">
      <c r="A1852" s="88" t="s">
        <v>19</v>
      </c>
      <c r="B1852" s="88"/>
      <c r="C1852" s="16">
        <v>46209</v>
      </c>
      <c r="D1852" s="79">
        <v>1669.89</v>
      </c>
    </row>
    <row r="1853" spans="1:4" x14ac:dyDescent="0.3">
      <c r="A1853" s="88" t="s">
        <v>20</v>
      </c>
      <c r="B1853" s="88"/>
      <c r="C1853" s="16">
        <v>46209</v>
      </c>
      <c r="D1853" s="79">
        <v>350475.62999999989</v>
      </c>
    </row>
    <row r="1854" spans="1:4" x14ac:dyDescent="0.3">
      <c r="A1854" s="88" t="s">
        <v>21</v>
      </c>
      <c r="B1854" s="88"/>
      <c r="C1854" s="16">
        <v>46209</v>
      </c>
      <c r="D1854" s="79">
        <v>1761026.4599999995</v>
      </c>
    </row>
    <row r="1855" spans="1:4" x14ac:dyDescent="0.3">
      <c r="A1855" s="88" t="s">
        <v>22</v>
      </c>
      <c r="B1855" s="88"/>
      <c r="C1855" s="16">
        <v>46209</v>
      </c>
      <c r="D1855" s="79">
        <v>220496.38</v>
      </c>
    </row>
    <row r="1856" spans="1:4" x14ac:dyDescent="0.3">
      <c r="A1856" s="88" t="s">
        <v>23</v>
      </c>
      <c r="B1856" s="88"/>
      <c r="C1856" s="16">
        <v>46209</v>
      </c>
      <c r="D1856" s="79">
        <v>267503.99000000005</v>
      </c>
    </row>
    <row r="1857" spans="1:4" x14ac:dyDescent="0.3">
      <c r="A1857" s="88" t="s">
        <v>24</v>
      </c>
      <c r="B1857" s="88"/>
      <c r="C1857" s="16">
        <v>46209</v>
      </c>
      <c r="D1857" s="79">
        <v>471.15999999999985</v>
      </c>
    </row>
    <row r="1858" spans="1:4" x14ac:dyDescent="0.3">
      <c r="A1858" s="88" t="s">
        <v>25</v>
      </c>
      <c r="B1858" s="88"/>
      <c r="C1858" s="16">
        <v>46209</v>
      </c>
      <c r="D1858" s="79">
        <v>54.400000000000006</v>
      </c>
    </row>
    <row r="1859" spans="1:4" x14ac:dyDescent="0.3">
      <c r="A1859" s="88" t="s">
        <v>26</v>
      </c>
      <c r="B1859" s="88"/>
      <c r="C1859" s="16">
        <v>46209</v>
      </c>
      <c r="D1859" s="79">
        <v>2207.8200000000002</v>
      </c>
    </row>
    <row r="1860" spans="1:4" x14ac:dyDescent="0.3">
      <c r="A1860" s="88" t="s">
        <v>27</v>
      </c>
      <c r="B1860" s="88"/>
      <c r="C1860" s="16">
        <v>46209</v>
      </c>
      <c r="D1860" s="79">
        <v>3349.94</v>
      </c>
    </row>
    <row r="1861" spans="1:4" x14ac:dyDescent="0.3">
      <c r="A1861" s="88" t="s">
        <v>28</v>
      </c>
      <c r="B1861" s="88"/>
      <c r="C1861" s="16">
        <v>46209</v>
      </c>
      <c r="D1861" s="79">
        <v>1968.99</v>
      </c>
    </row>
    <row r="1862" spans="1:4" x14ac:dyDescent="0.3">
      <c r="A1862" s="88" t="s">
        <v>29</v>
      </c>
      <c r="B1862" s="88"/>
      <c r="C1862" s="16">
        <v>46209</v>
      </c>
      <c r="D1862" s="79">
        <v>382.69000000000005</v>
      </c>
    </row>
    <row r="1863" spans="1:4" x14ac:dyDescent="0.3">
      <c r="A1863" s="88" t="s">
        <v>30</v>
      </c>
      <c r="B1863" s="88"/>
      <c r="C1863" s="16">
        <v>46209</v>
      </c>
      <c r="D1863" s="79">
        <v>1412.08</v>
      </c>
    </row>
    <row r="1864" spans="1:4" x14ac:dyDescent="0.3">
      <c r="A1864" s="88" t="s">
        <v>31</v>
      </c>
      <c r="B1864" s="88"/>
      <c r="C1864" s="16">
        <v>46209</v>
      </c>
      <c r="D1864" s="79">
        <v>22496.639999999959</v>
      </c>
    </row>
    <row r="1865" spans="1:4" x14ac:dyDescent="0.3">
      <c r="A1865" s="88" t="s">
        <v>32</v>
      </c>
      <c r="B1865" s="88"/>
      <c r="C1865" s="16">
        <v>46209</v>
      </c>
      <c r="D1865" s="79">
        <v>10522.800000000003</v>
      </c>
    </row>
    <row r="1866" spans="1:4" x14ac:dyDescent="0.3">
      <c r="A1866" s="88" t="s">
        <v>33</v>
      </c>
      <c r="B1866" s="88"/>
      <c r="C1866" s="16">
        <v>46209</v>
      </c>
      <c r="D1866" s="79">
        <v>28485.559999999998</v>
      </c>
    </row>
    <row r="1867" spans="1:4" x14ac:dyDescent="0.3">
      <c r="A1867" s="88" t="s">
        <v>34</v>
      </c>
      <c r="B1867" s="88"/>
      <c r="C1867" s="16">
        <v>46209</v>
      </c>
      <c r="D1867" s="79">
        <v>345</v>
      </c>
    </row>
    <row r="1868" spans="1:4" x14ac:dyDescent="0.3">
      <c r="A1868" s="88" t="s">
        <v>35</v>
      </c>
      <c r="B1868" s="88"/>
      <c r="C1868" s="16">
        <v>46209</v>
      </c>
      <c r="D1868" s="79">
        <v>15165.34</v>
      </c>
    </row>
    <row r="1869" spans="1:4" x14ac:dyDescent="0.3">
      <c r="A1869" s="88" t="s">
        <v>193</v>
      </c>
      <c r="B1869" s="88"/>
      <c r="C1869" s="16">
        <v>46209</v>
      </c>
      <c r="D1869" s="79">
        <v>0</v>
      </c>
    </row>
    <row r="1870" spans="1:4" x14ac:dyDescent="0.3">
      <c r="A1870" s="88" t="s">
        <v>214</v>
      </c>
      <c r="B1870" s="88"/>
      <c r="C1870" s="16">
        <v>46209</v>
      </c>
      <c r="D1870" s="79">
        <v>0</v>
      </c>
    </row>
    <row r="1871" spans="1:4" x14ac:dyDescent="0.3">
      <c r="A1871" s="88" t="s">
        <v>194</v>
      </c>
      <c r="B1871" s="88"/>
      <c r="C1871" s="16">
        <v>46209</v>
      </c>
      <c r="D1871" s="79">
        <v>0</v>
      </c>
    </row>
    <row r="1872" spans="1:4" x14ac:dyDescent="0.3">
      <c r="A1872" s="88" t="s">
        <v>195</v>
      </c>
      <c r="B1872" s="88"/>
      <c r="C1872" s="16">
        <v>46209</v>
      </c>
      <c r="D1872" s="79">
        <v>0</v>
      </c>
    </row>
    <row r="1873" spans="1:4" x14ac:dyDescent="0.3">
      <c r="A1873" s="88" t="s">
        <v>196</v>
      </c>
      <c r="B1873" s="88"/>
      <c r="C1873" s="16">
        <v>46209</v>
      </c>
      <c r="D1873" s="79">
        <v>0</v>
      </c>
    </row>
    <row r="1874" spans="1:4" x14ac:dyDescent="0.3">
      <c r="A1874" s="88" t="s">
        <v>197</v>
      </c>
      <c r="B1874" s="88"/>
      <c r="C1874" s="16">
        <v>46209</v>
      </c>
      <c r="D1874" s="79">
        <v>0</v>
      </c>
    </row>
    <row r="1875" spans="1:4" x14ac:dyDescent="0.3">
      <c r="A1875" s="88" t="s">
        <v>212</v>
      </c>
      <c r="B1875" s="88"/>
      <c r="C1875" s="16">
        <v>46209</v>
      </c>
      <c r="D1875" s="79">
        <v>0</v>
      </c>
    </row>
    <row r="1876" spans="1:4" x14ac:dyDescent="0.3">
      <c r="A1876" s="88" t="s">
        <v>199</v>
      </c>
      <c r="B1876" s="88"/>
      <c r="C1876" s="16">
        <v>46209</v>
      </c>
      <c r="D1876" s="79">
        <v>0</v>
      </c>
    </row>
    <row r="1877" spans="1:4" x14ac:dyDescent="0.3">
      <c r="A1877" s="88" t="s">
        <v>217</v>
      </c>
      <c r="B1877" s="88"/>
      <c r="C1877" s="16">
        <v>46209</v>
      </c>
      <c r="D1877" s="79">
        <v>0</v>
      </c>
    </row>
    <row r="1878" spans="1:4" x14ac:dyDescent="0.3">
      <c r="A1878" s="88" t="s">
        <v>17</v>
      </c>
      <c r="B1878" s="88"/>
      <c r="C1878" s="16">
        <v>46210</v>
      </c>
      <c r="D1878" s="79">
        <v>5592585.7500000009</v>
      </c>
    </row>
    <row r="1879" spans="1:4" x14ac:dyDescent="0.3">
      <c r="A1879" s="88" t="s">
        <v>18</v>
      </c>
      <c r="B1879" s="88"/>
      <c r="C1879" s="16">
        <v>46210</v>
      </c>
      <c r="D1879" s="79">
        <v>79139.680000000168</v>
      </c>
    </row>
    <row r="1880" spans="1:4" x14ac:dyDescent="0.3">
      <c r="A1880" s="88" t="s">
        <v>19</v>
      </c>
      <c r="B1880" s="88"/>
      <c r="C1880" s="16">
        <v>46210</v>
      </c>
      <c r="D1880" s="79">
        <v>1669.89</v>
      </c>
    </row>
    <row r="1881" spans="1:4" x14ac:dyDescent="0.3">
      <c r="A1881" s="88" t="s">
        <v>20</v>
      </c>
      <c r="B1881" s="88"/>
      <c r="C1881" s="16">
        <v>46210</v>
      </c>
      <c r="D1881" s="79">
        <v>350475.62999999989</v>
      </c>
    </row>
    <row r="1882" spans="1:4" x14ac:dyDescent="0.3">
      <c r="A1882" s="88" t="s">
        <v>21</v>
      </c>
      <c r="B1882" s="88"/>
      <c r="C1882" s="16">
        <v>46210</v>
      </c>
      <c r="D1882" s="79">
        <v>1761026.4599999995</v>
      </c>
    </row>
    <row r="1883" spans="1:4" x14ac:dyDescent="0.3">
      <c r="A1883" s="88" t="s">
        <v>22</v>
      </c>
      <c r="B1883" s="88"/>
      <c r="C1883" s="16">
        <v>46210</v>
      </c>
      <c r="D1883" s="79">
        <v>220496.38</v>
      </c>
    </row>
    <row r="1884" spans="1:4" x14ac:dyDescent="0.3">
      <c r="A1884" s="88" t="s">
        <v>23</v>
      </c>
      <c r="B1884" s="88"/>
      <c r="C1884" s="16">
        <v>46210</v>
      </c>
      <c r="D1884" s="79">
        <v>267503.99000000005</v>
      </c>
    </row>
    <row r="1885" spans="1:4" x14ac:dyDescent="0.3">
      <c r="A1885" s="88" t="s">
        <v>24</v>
      </c>
      <c r="B1885" s="88"/>
      <c r="C1885" s="16">
        <v>46210</v>
      </c>
      <c r="D1885" s="79">
        <v>471.15999999999985</v>
      </c>
    </row>
    <row r="1886" spans="1:4" x14ac:dyDescent="0.3">
      <c r="A1886" s="88" t="s">
        <v>25</v>
      </c>
      <c r="B1886" s="88"/>
      <c r="C1886" s="16">
        <v>46210</v>
      </c>
      <c r="D1886" s="79">
        <v>54.400000000000006</v>
      </c>
    </row>
    <row r="1887" spans="1:4" x14ac:dyDescent="0.3">
      <c r="A1887" s="88" t="s">
        <v>26</v>
      </c>
      <c r="B1887" s="88"/>
      <c r="C1887" s="16">
        <v>46210</v>
      </c>
      <c r="D1887" s="79">
        <v>2207.8200000000002</v>
      </c>
    </row>
    <row r="1888" spans="1:4" x14ac:dyDescent="0.3">
      <c r="A1888" s="88" t="s">
        <v>27</v>
      </c>
      <c r="B1888" s="88"/>
      <c r="C1888" s="16">
        <v>46210</v>
      </c>
      <c r="D1888" s="79">
        <v>3349.94</v>
      </c>
    </row>
    <row r="1889" spans="1:4" x14ac:dyDescent="0.3">
      <c r="A1889" s="88" t="s">
        <v>28</v>
      </c>
      <c r="B1889" s="88"/>
      <c r="C1889" s="16">
        <v>46210</v>
      </c>
      <c r="D1889" s="79">
        <v>1968.99</v>
      </c>
    </row>
    <row r="1890" spans="1:4" x14ac:dyDescent="0.3">
      <c r="A1890" s="88" t="s">
        <v>29</v>
      </c>
      <c r="B1890" s="88"/>
      <c r="C1890" s="16">
        <v>46210</v>
      </c>
      <c r="D1890" s="79">
        <v>382.69000000000005</v>
      </c>
    </row>
    <row r="1891" spans="1:4" x14ac:dyDescent="0.3">
      <c r="A1891" s="88" t="s">
        <v>30</v>
      </c>
      <c r="B1891" s="88"/>
      <c r="C1891" s="16">
        <v>46210</v>
      </c>
      <c r="D1891" s="79">
        <v>1412.08</v>
      </c>
    </row>
    <row r="1892" spans="1:4" x14ac:dyDescent="0.3">
      <c r="A1892" s="88" t="s">
        <v>31</v>
      </c>
      <c r="B1892" s="88"/>
      <c r="C1892" s="16">
        <v>46210</v>
      </c>
      <c r="D1892" s="79">
        <v>22496.639999999959</v>
      </c>
    </row>
    <row r="1893" spans="1:4" x14ac:dyDescent="0.3">
      <c r="A1893" s="88" t="s">
        <v>32</v>
      </c>
      <c r="B1893" s="88"/>
      <c r="C1893" s="16">
        <v>46210</v>
      </c>
      <c r="D1893" s="79">
        <v>10522.800000000003</v>
      </c>
    </row>
    <row r="1894" spans="1:4" x14ac:dyDescent="0.3">
      <c r="A1894" s="88" t="s">
        <v>33</v>
      </c>
      <c r="B1894" s="88"/>
      <c r="C1894" s="16">
        <v>46210</v>
      </c>
      <c r="D1894" s="79">
        <v>28485.559999999998</v>
      </c>
    </row>
    <row r="1895" spans="1:4" x14ac:dyDescent="0.3">
      <c r="A1895" s="88" t="s">
        <v>34</v>
      </c>
      <c r="B1895" s="88"/>
      <c r="C1895" s="16">
        <v>46210</v>
      </c>
      <c r="D1895" s="79">
        <v>345</v>
      </c>
    </row>
    <row r="1896" spans="1:4" x14ac:dyDescent="0.3">
      <c r="A1896" s="88" t="s">
        <v>35</v>
      </c>
      <c r="B1896" s="88"/>
      <c r="C1896" s="16">
        <v>46210</v>
      </c>
      <c r="D1896" s="79">
        <v>14498.59</v>
      </c>
    </row>
    <row r="1897" spans="1:4" x14ac:dyDescent="0.3">
      <c r="A1897" s="88" t="s">
        <v>193</v>
      </c>
      <c r="B1897" s="88"/>
      <c r="C1897" s="16">
        <v>46210</v>
      </c>
      <c r="D1897" s="79">
        <v>0</v>
      </c>
    </row>
    <row r="1898" spans="1:4" x14ac:dyDescent="0.3">
      <c r="A1898" s="88" t="s">
        <v>214</v>
      </c>
      <c r="B1898" s="88"/>
      <c r="C1898" s="16">
        <v>46210</v>
      </c>
      <c r="D1898" s="79">
        <v>0</v>
      </c>
    </row>
    <row r="1899" spans="1:4" x14ac:dyDescent="0.3">
      <c r="A1899" s="88" t="s">
        <v>194</v>
      </c>
      <c r="B1899" s="88"/>
      <c r="C1899" s="16">
        <v>46210</v>
      </c>
      <c r="D1899" s="79">
        <v>0</v>
      </c>
    </row>
    <row r="1900" spans="1:4" x14ac:dyDescent="0.3">
      <c r="A1900" s="88" t="s">
        <v>195</v>
      </c>
      <c r="B1900" s="88"/>
      <c r="C1900" s="16">
        <v>46210</v>
      </c>
      <c r="D1900" s="79">
        <v>0</v>
      </c>
    </row>
    <row r="1901" spans="1:4" x14ac:dyDescent="0.3">
      <c r="A1901" s="88" t="s">
        <v>196</v>
      </c>
      <c r="B1901" s="88"/>
      <c r="C1901" s="16">
        <v>46210</v>
      </c>
      <c r="D1901" s="79">
        <v>0</v>
      </c>
    </row>
    <row r="1902" spans="1:4" x14ac:dyDescent="0.3">
      <c r="A1902" s="88" t="s">
        <v>197</v>
      </c>
      <c r="B1902" s="88"/>
      <c r="C1902" s="16">
        <v>46210</v>
      </c>
      <c r="D1902" s="79">
        <v>0</v>
      </c>
    </row>
    <row r="1903" spans="1:4" x14ac:dyDescent="0.3">
      <c r="A1903" s="88" t="s">
        <v>212</v>
      </c>
      <c r="B1903" s="88"/>
      <c r="C1903" s="16">
        <v>46210</v>
      </c>
      <c r="D1903" s="79">
        <v>0</v>
      </c>
    </row>
    <row r="1904" spans="1:4" x14ac:dyDescent="0.3">
      <c r="A1904" s="88" t="s">
        <v>199</v>
      </c>
      <c r="B1904" s="88"/>
      <c r="C1904" s="16">
        <v>46210</v>
      </c>
      <c r="D1904" s="79">
        <v>0</v>
      </c>
    </row>
    <row r="1905" spans="1:4" x14ac:dyDescent="0.3">
      <c r="A1905" s="88" t="s">
        <v>217</v>
      </c>
      <c r="B1905" s="88"/>
      <c r="C1905" s="16">
        <v>46210</v>
      </c>
      <c r="D1905" s="79">
        <v>0</v>
      </c>
    </row>
    <row r="1906" spans="1:4" x14ac:dyDescent="0.3">
      <c r="A1906" s="88" t="s">
        <v>17</v>
      </c>
      <c r="B1906" s="88"/>
      <c r="C1906" s="16">
        <v>46211</v>
      </c>
      <c r="D1906" s="79">
        <v>5592585.7500000009</v>
      </c>
    </row>
    <row r="1907" spans="1:4" x14ac:dyDescent="0.3">
      <c r="A1907" s="88" t="s">
        <v>18</v>
      </c>
      <c r="B1907" s="88"/>
      <c r="C1907" s="16">
        <v>46211</v>
      </c>
      <c r="D1907" s="79">
        <v>79139.680000000168</v>
      </c>
    </row>
    <row r="1908" spans="1:4" x14ac:dyDescent="0.3">
      <c r="A1908" s="88" t="s">
        <v>19</v>
      </c>
      <c r="B1908" s="88"/>
      <c r="C1908" s="16">
        <v>46211</v>
      </c>
      <c r="D1908" s="79">
        <v>1669.89</v>
      </c>
    </row>
    <row r="1909" spans="1:4" x14ac:dyDescent="0.3">
      <c r="A1909" s="88" t="s">
        <v>20</v>
      </c>
      <c r="B1909" s="88"/>
      <c r="C1909" s="16">
        <v>46211</v>
      </c>
      <c r="D1909" s="79">
        <v>350475.62999999989</v>
      </c>
    </row>
    <row r="1910" spans="1:4" x14ac:dyDescent="0.3">
      <c r="A1910" s="88" t="s">
        <v>21</v>
      </c>
      <c r="B1910" s="88"/>
      <c r="C1910" s="16">
        <v>46211</v>
      </c>
      <c r="D1910" s="79">
        <v>1751695.8399999994</v>
      </c>
    </row>
    <row r="1911" spans="1:4" x14ac:dyDescent="0.3">
      <c r="A1911" s="88" t="s">
        <v>22</v>
      </c>
      <c r="B1911" s="88"/>
      <c r="C1911" s="16">
        <v>46211</v>
      </c>
      <c r="D1911" s="79">
        <v>220496.38</v>
      </c>
    </row>
    <row r="1912" spans="1:4" x14ac:dyDescent="0.3">
      <c r="A1912" s="88" t="s">
        <v>23</v>
      </c>
      <c r="B1912" s="88"/>
      <c r="C1912" s="16">
        <v>46211</v>
      </c>
      <c r="D1912" s="79">
        <v>267503.99000000005</v>
      </c>
    </row>
    <row r="1913" spans="1:4" x14ac:dyDescent="0.3">
      <c r="A1913" s="88" t="s">
        <v>24</v>
      </c>
      <c r="B1913" s="88"/>
      <c r="C1913" s="16">
        <v>46211</v>
      </c>
      <c r="D1913" s="79">
        <v>471.15999999999985</v>
      </c>
    </row>
    <row r="1914" spans="1:4" x14ac:dyDescent="0.3">
      <c r="A1914" s="88" t="s">
        <v>25</v>
      </c>
      <c r="B1914" s="88"/>
      <c r="C1914" s="16">
        <v>46211</v>
      </c>
      <c r="D1914" s="79">
        <v>54.400000000000006</v>
      </c>
    </row>
    <row r="1915" spans="1:4" x14ac:dyDescent="0.3">
      <c r="A1915" s="88" t="s">
        <v>26</v>
      </c>
      <c r="B1915" s="88"/>
      <c r="C1915" s="16">
        <v>46211</v>
      </c>
      <c r="D1915" s="79">
        <v>2207.8200000000002</v>
      </c>
    </row>
    <row r="1916" spans="1:4" x14ac:dyDescent="0.3">
      <c r="A1916" s="88" t="s">
        <v>27</v>
      </c>
      <c r="B1916" s="88"/>
      <c r="C1916" s="16">
        <v>46211</v>
      </c>
      <c r="D1916" s="79">
        <v>3334.94</v>
      </c>
    </row>
    <row r="1917" spans="1:4" x14ac:dyDescent="0.3">
      <c r="A1917" s="88" t="s">
        <v>28</v>
      </c>
      <c r="B1917" s="88"/>
      <c r="C1917" s="16">
        <v>46211</v>
      </c>
      <c r="D1917" s="79">
        <v>1968.99</v>
      </c>
    </row>
    <row r="1918" spans="1:4" x14ac:dyDescent="0.3">
      <c r="A1918" s="88" t="s">
        <v>29</v>
      </c>
      <c r="B1918" s="88"/>
      <c r="C1918" s="16">
        <v>46211</v>
      </c>
      <c r="D1918" s="79">
        <v>382.69000000000005</v>
      </c>
    </row>
    <row r="1919" spans="1:4" x14ac:dyDescent="0.3">
      <c r="A1919" s="88" t="s">
        <v>30</v>
      </c>
      <c r="B1919" s="88"/>
      <c r="C1919" s="16">
        <v>46211</v>
      </c>
      <c r="D1919" s="79">
        <v>1412.08</v>
      </c>
    </row>
    <row r="1920" spans="1:4" x14ac:dyDescent="0.3">
      <c r="A1920" s="88" t="s">
        <v>31</v>
      </c>
      <c r="B1920" s="88"/>
      <c r="C1920" s="16">
        <v>46211</v>
      </c>
      <c r="D1920" s="79">
        <v>22496.639999999959</v>
      </c>
    </row>
    <row r="1921" spans="1:4" x14ac:dyDescent="0.3">
      <c r="A1921" s="88" t="s">
        <v>32</v>
      </c>
      <c r="B1921" s="88"/>
      <c r="C1921" s="16">
        <v>46211</v>
      </c>
      <c r="D1921" s="79">
        <v>6522.8000000000029</v>
      </c>
    </row>
    <row r="1922" spans="1:4" x14ac:dyDescent="0.3">
      <c r="A1922" s="88" t="s">
        <v>33</v>
      </c>
      <c r="B1922" s="88"/>
      <c r="C1922" s="16">
        <v>46211</v>
      </c>
      <c r="D1922" s="79">
        <v>28485.559999999998</v>
      </c>
    </row>
    <row r="1923" spans="1:4" x14ac:dyDescent="0.3">
      <c r="A1923" s="88" t="s">
        <v>34</v>
      </c>
      <c r="B1923" s="88"/>
      <c r="C1923" s="16">
        <v>46211</v>
      </c>
      <c r="D1923" s="79">
        <v>345</v>
      </c>
    </row>
    <row r="1924" spans="1:4" x14ac:dyDescent="0.3">
      <c r="A1924" s="88" t="s">
        <v>35</v>
      </c>
      <c r="B1924" s="88"/>
      <c r="C1924" s="16">
        <v>46211</v>
      </c>
      <c r="D1924" s="79">
        <v>14498.59</v>
      </c>
    </row>
    <row r="1925" spans="1:4" x14ac:dyDescent="0.3">
      <c r="A1925" s="88" t="s">
        <v>193</v>
      </c>
      <c r="B1925" s="88"/>
      <c r="C1925" s="16">
        <v>46211</v>
      </c>
      <c r="D1925" s="79">
        <v>0</v>
      </c>
    </row>
    <row r="1926" spans="1:4" x14ac:dyDescent="0.3">
      <c r="A1926" s="88" t="s">
        <v>214</v>
      </c>
      <c r="B1926" s="88"/>
      <c r="C1926" s="16">
        <v>46211</v>
      </c>
      <c r="D1926" s="79">
        <v>0</v>
      </c>
    </row>
    <row r="1927" spans="1:4" x14ac:dyDescent="0.3">
      <c r="A1927" s="88" t="s">
        <v>194</v>
      </c>
      <c r="B1927" s="88"/>
      <c r="C1927" s="16">
        <v>46211</v>
      </c>
      <c r="D1927" s="79">
        <v>0</v>
      </c>
    </row>
    <row r="1928" spans="1:4" x14ac:dyDescent="0.3">
      <c r="A1928" s="88" t="s">
        <v>195</v>
      </c>
      <c r="B1928" s="88"/>
      <c r="C1928" s="16">
        <v>46211</v>
      </c>
      <c r="D1928" s="79">
        <v>0</v>
      </c>
    </row>
    <row r="1929" spans="1:4" x14ac:dyDescent="0.3">
      <c r="A1929" s="88" t="s">
        <v>196</v>
      </c>
      <c r="B1929" s="88"/>
      <c r="C1929" s="16">
        <v>46211</v>
      </c>
      <c r="D1929" s="79">
        <v>0</v>
      </c>
    </row>
    <row r="1930" spans="1:4" x14ac:dyDescent="0.3">
      <c r="A1930" s="88" t="s">
        <v>197</v>
      </c>
      <c r="B1930" s="88"/>
      <c r="C1930" s="16">
        <v>46211</v>
      </c>
      <c r="D1930" s="79">
        <v>0</v>
      </c>
    </row>
    <row r="1931" spans="1:4" x14ac:dyDescent="0.3">
      <c r="A1931" s="88" t="s">
        <v>212</v>
      </c>
      <c r="B1931" s="88"/>
      <c r="C1931" s="16">
        <v>46211</v>
      </c>
      <c r="D1931" s="79">
        <v>0</v>
      </c>
    </row>
    <row r="1932" spans="1:4" x14ac:dyDescent="0.3">
      <c r="A1932" s="88" t="s">
        <v>199</v>
      </c>
      <c r="B1932" s="88"/>
      <c r="C1932" s="16">
        <v>46211</v>
      </c>
      <c r="D1932" s="79">
        <v>0</v>
      </c>
    </row>
    <row r="1933" spans="1:4" x14ac:dyDescent="0.3">
      <c r="A1933" s="88" t="s">
        <v>217</v>
      </c>
      <c r="B1933" s="88"/>
      <c r="C1933" s="16">
        <v>46211</v>
      </c>
      <c r="D1933" s="79">
        <v>0</v>
      </c>
    </row>
    <row r="1934" spans="1:4" x14ac:dyDescent="0.3">
      <c r="A1934" s="88" t="s">
        <v>17</v>
      </c>
      <c r="B1934" s="88"/>
      <c r="C1934" s="16">
        <v>46212</v>
      </c>
      <c r="D1934" s="79">
        <v>4377944.080000001</v>
      </c>
    </row>
    <row r="1935" spans="1:4" x14ac:dyDescent="0.3">
      <c r="A1935" s="88" t="s">
        <v>18</v>
      </c>
      <c r="B1935" s="88"/>
      <c r="C1935" s="16">
        <v>46212</v>
      </c>
      <c r="D1935" s="79">
        <v>73157.680000000168</v>
      </c>
    </row>
    <row r="1936" spans="1:4" x14ac:dyDescent="0.3">
      <c r="A1936" s="88" t="s">
        <v>19</v>
      </c>
      <c r="B1936" s="88"/>
      <c r="C1936" s="16">
        <v>46212</v>
      </c>
      <c r="D1936" s="79">
        <v>1669.89</v>
      </c>
    </row>
    <row r="1937" spans="1:4" x14ac:dyDescent="0.3">
      <c r="A1937" s="88" t="s">
        <v>20</v>
      </c>
      <c r="B1937" s="88"/>
      <c r="C1937" s="16">
        <v>46212</v>
      </c>
      <c r="D1937" s="79">
        <v>290475.62999999989</v>
      </c>
    </row>
    <row r="1938" spans="1:4" x14ac:dyDescent="0.3">
      <c r="A1938" s="88" t="s">
        <v>21</v>
      </c>
      <c r="B1938" s="88"/>
      <c r="C1938" s="16">
        <v>46212</v>
      </c>
      <c r="D1938" s="79">
        <v>2119592.9399999995</v>
      </c>
    </row>
    <row r="1939" spans="1:4" x14ac:dyDescent="0.3">
      <c r="A1939" s="88" t="s">
        <v>22</v>
      </c>
      <c r="B1939" s="88"/>
      <c r="C1939" s="16">
        <v>46212</v>
      </c>
      <c r="D1939" s="79">
        <v>200496.38</v>
      </c>
    </row>
    <row r="1940" spans="1:4" x14ac:dyDescent="0.3">
      <c r="A1940" s="88" t="s">
        <v>23</v>
      </c>
      <c r="B1940" s="88"/>
      <c r="C1940" s="16">
        <v>46212</v>
      </c>
      <c r="D1940" s="79">
        <v>267503.99000000005</v>
      </c>
    </row>
    <row r="1941" spans="1:4" x14ac:dyDescent="0.3">
      <c r="A1941" s="88" t="s">
        <v>24</v>
      </c>
      <c r="B1941" s="88"/>
      <c r="C1941" s="16">
        <v>46212</v>
      </c>
      <c r="D1941" s="79">
        <v>15130.45</v>
      </c>
    </row>
    <row r="1942" spans="1:4" x14ac:dyDescent="0.3">
      <c r="A1942" s="88" t="s">
        <v>25</v>
      </c>
      <c r="B1942" s="88"/>
      <c r="C1942" s="16">
        <v>46212</v>
      </c>
      <c r="D1942" s="79">
        <v>54.400000000000006</v>
      </c>
    </row>
    <row r="1943" spans="1:4" x14ac:dyDescent="0.3">
      <c r="A1943" s="88" t="s">
        <v>26</v>
      </c>
      <c r="B1943" s="88"/>
      <c r="C1943" s="16">
        <v>46212</v>
      </c>
      <c r="D1943" s="79">
        <v>2207.8200000000002</v>
      </c>
    </row>
    <row r="1944" spans="1:4" x14ac:dyDescent="0.3">
      <c r="A1944" s="88" t="s">
        <v>27</v>
      </c>
      <c r="B1944" s="88"/>
      <c r="C1944" s="16">
        <v>46212</v>
      </c>
      <c r="D1944" s="79">
        <v>1454604.72</v>
      </c>
    </row>
    <row r="1945" spans="1:4" x14ac:dyDescent="0.3">
      <c r="A1945" s="88" t="s">
        <v>28</v>
      </c>
      <c r="B1945" s="88"/>
      <c r="C1945" s="16">
        <v>46212</v>
      </c>
      <c r="D1945" s="79">
        <v>1968.99</v>
      </c>
    </row>
    <row r="1946" spans="1:4" x14ac:dyDescent="0.3">
      <c r="A1946" s="88" t="s">
        <v>29</v>
      </c>
      <c r="B1946" s="88"/>
      <c r="C1946" s="16">
        <v>46212</v>
      </c>
      <c r="D1946" s="79">
        <v>382.69000000000005</v>
      </c>
    </row>
    <row r="1947" spans="1:4" x14ac:dyDescent="0.3">
      <c r="A1947" s="88" t="s">
        <v>30</v>
      </c>
      <c r="B1947" s="88"/>
      <c r="C1947" s="16">
        <v>46212</v>
      </c>
      <c r="D1947" s="79">
        <v>1412.08</v>
      </c>
    </row>
    <row r="1948" spans="1:4" x14ac:dyDescent="0.3">
      <c r="A1948" s="88" t="s">
        <v>31</v>
      </c>
      <c r="B1948" s="88"/>
      <c r="C1948" s="16">
        <v>46212</v>
      </c>
      <c r="D1948" s="79">
        <v>22496.639999999959</v>
      </c>
    </row>
    <row r="1949" spans="1:4" x14ac:dyDescent="0.3">
      <c r="A1949" s="88" t="s">
        <v>32</v>
      </c>
      <c r="B1949" s="88"/>
      <c r="C1949" s="16">
        <v>46212</v>
      </c>
      <c r="D1949" s="79">
        <v>6522.8000000000029</v>
      </c>
    </row>
    <row r="1950" spans="1:4" x14ac:dyDescent="0.3">
      <c r="A1950" s="88" t="s">
        <v>33</v>
      </c>
      <c r="B1950" s="88"/>
      <c r="C1950" s="16">
        <v>46212</v>
      </c>
      <c r="D1950" s="79">
        <v>28485.559999999998</v>
      </c>
    </row>
    <row r="1951" spans="1:4" x14ac:dyDescent="0.3">
      <c r="A1951" s="88" t="s">
        <v>34</v>
      </c>
      <c r="B1951" s="88"/>
      <c r="C1951" s="16">
        <v>46212</v>
      </c>
      <c r="D1951" s="79">
        <v>345</v>
      </c>
    </row>
    <row r="1952" spans="1:4" x14ac:dyDescent="0.3">
      <c r="A1952" s="88" t="s">
        <v>35</v>
      </c>
      <c r="B1952" s="88"/>
      <c r="C1952" s="16">
        <v>46212</v>
      </c>
      <c r="D1952" s="79">
        <v>31900.120000000003</v>
      </c>
    </row>
    <row r="1953" spans="1:4" x14ac:dyDescent="0.3">
      <c r="A1953" s="88" t="s">
        <v>193</v>
      </c>
      <c r="B1953" s="88"/>
      <c r="C1953" s="16">
        <v>46212</v>
      </c>
      <c r="D1953" s="79">
        <v>0</v>
      </c>
    </row>
    <row r="1954" spans="1:4" x14ac:dyDescent="0.3">
      <c r="A1954" s="88" t="s">
        <v>214</v>
      </c>
      <c r="B1954" s="88"/>
      <c r="C1954" s="16">
        <v>46212</v>
      </c>
      <c r="D1954" s="79">
        <v>0</v>
      </c>
    </row>
    <row r="1955" spans="1:4" x14ac:dyDescent="0.3">
      <c r="A1955" s="88" t="s">
        <v>194</v>
      </c>
      <c r="B1955" s="88"/>
      <c r="C1955" s="16">
        <v>46212</v>
      </c>
      <c r="D1955" s="79">
        <v>0</v>
      </c>
    </row>
    <row r="1956" spans="1:4" x14ac:dyDescent="0.3">
      <c r="A1956" s="88" t="s">
        <v>195</v>
      </c>
      <c r="B1956" s="88"/>
      <c r="C1956" s="16">
        <v>46212</v>
      </c>
      <c r="D1956" s="79">
        <v>0</v>
      </c>
    </row>
    <row r="1957" spans="1:4" x14ac:dyDescent="0.3">
      <c r="A1957" s="88" t="s">
        <v>196</v>
      </c>
      <c r="B1957" s="88"/>
      <c r="C1957" s="16">
        <v>46212</v>
      </c>
      <c r="D1957" s="79">
        <v>0</v>
      </c>
    </row>
    <row r="1958" spans="1:4" x14ac:dyDescent="0.3">
      <c r="A1958" s="88" t="s">
        <v>197</v>
      </c>
      <c r="B1958" s="88"/>
      <c r="C1958" s="16">
        <v>46212</v>
      </c>
      <c r="D1958" s="79">
        <v>0</v>
      </c>
    </row>
    <row r="1959" spans="1:4" x14ac:dyDescent="0.3">
      <c r="A1959" s="88" t="s">
        <v>212</v>
      </c>
      <c r="B1959" s="88"/>
      <c r="C1959" s="16">
        <v>46212</v>
      </c>
      <c r="D1959" s="79">
        <v>0</v>
      </c>
    </row>
    <row r="1960" spans="1:4" x14ac:dyDescent="0.3">
      <c r="A1960" s="88" t="s">
        <v>199</v>
      </c>
      <c r="B1960" s="88"/>
      <c r="C1960" s="16">
        <v>46212</v>
      </c>
      <c r="D1960" s="79">
        <v>0</v>
      </c>
    </row>
    <row r="1961" spans="1:4" x14ac:dyDescent="0.3">
      <c r="A1961" s="88" t="s">
        <v>217</v>
      </c>
      <c r="B1961" s="88"/>
      <c r="C1961" s="16">
        <v>46212</v>
      </c>
      <c r="D1961" s="79">
        <v>0</v>
      </c>
    </row>
    <row r="1962" spans="1:4" x14ac:dyDescent="0.3">
      <c r="A1962" s="88" t="s">
        <v>17</v>
      </c>
      <c r="B1962" s="88"/>
      <c r="C1962" s="16">
        <v>46213</v>
      </c>
      <c r="D1962" s="79">
        <v>4163755.7500000005</v>
      </c>
    </row>
    <row r="1963" spans="1:4" x14ac:dyDescent="0.3">
      <c r="A1963" s="88" t="s">
        <v>18</v>
      </c>
      <c r="B1963" s="88"/>
      <c r="C1963" s="16">
        <v>46213</v>
      </c>
      <c r="D1963" s="79">
        <v>73157.680000000168</v>
      </c>
    </row>
    <row r="1964" spans="1:4" x14ac:dyDescent="0.3">
      <c r="A1964" s="88" t="s">
        <v>19</v>
      </c>
      <c r="B1964" s="88"/>
      <c r="C1964" s="16">
        <v>46213</v>
      </c>
      <c r="D1964" s="79">
        <v>1669.89</v>
      </c>
    </row>
    <row r="1965" spans="1:4" x14ac:dyDescent="0.3">
      <c r="A1965" s="88" t="s">
        <v>20</v>
      </c>
      <c r="B1965" s="88"/>
      <c r="C1965" s="16">
        <v>46213</v>
      </c>
      <c r="D1965" s="79">
        <v>290141.62999999989</v>
      </c>
    </row>
    <row r="1966" spans="1:4" x14ac:dyDescent="0.3">
      <c r="A1966" s="88" t="s">
        <v>21</v>
      </c>
      <c r="B1966" s="88"/>
      <c r="C1966" s="16">
        <v>46213</v>
      </c>
      <c r="D1966" s="79">
        <v>1921752.2699999993</v>
      </c>
    </row>
    <row r="1967" spans="1:4" x14ac:dyDescent="0.3">
      <c r="A1967" s="88" t="s">
        <v>22</v>
      </c>
      <c r="B1967" s="88"/>
      <c r="C1967" s="16">
        <v>46213</v>
      </c>
      <c r="D1967" s="79">
        <v>200496.38</v>
      </c>
    </row>
    <row r="1968" spans="1:4" x14ac:dyDescent="0.3">
      <c r="A1968" s="88" t="s">
        <v>23</v>
      </c>
      <c r="B1968" s="88"/>
      <c r="C1968" s="16">
        <v>46213</v>
      </c>
      <c r="D1968" s="79">
        <v>267503.99000000005</v>
      </c>
    </row>
    <row r="1969" spans="1:4" x14ac:dyDescent="0.3">
      <c r="A1969" s="88" t="s">
        <v>24</v>
      </c>
      <c r="B1969" s="88"/>
      <c r="C1969" s="16">
        <v>46213</v>
      </c>
      <c r="D1969" s="79">
        <v>14580.45</v>
      </c>
    </row>
    <row r="1970" spans="1:4" x14ac:dyDescent="0.3">
      <c r="A1970" s="88" t="s">
        <v>25</v>
      </c>
      <c r="B1970" s="88"/>
      <c r="C1970" s="16">
        <v>46213</v>
      </c>
      <c r="D1970" s="79">
        <v>54.400000000000006</v>
      </c>
    </row>
    <row r="1971" spans="1:4" x14ac:dyDescent="0.3">
      <c r="A1971" s="88" t="s">
        <v>26</v>
      </c>
      <c r="B1971" s="88"/>
      <c r="C1971" s="16">
        <v>46213</v>
      </c>
      <c r="D1971" s="79">
        <v>2207.8200000000002</v>
      </c>
    </row>
    <row r="1972" spans="1:4" x14ac:dyDescent="0.3">
      <c r="A1972" s="88" t="s">
        <v>27</v>
      </c>
      <c r="B1972" s="88"/>
      <c r="C1972" s="16">
        <v>46213</v>
      </c>
      <c r="D1972" s="79">
        <v>1454589.72</v>
      </c>
    </row>
    <row r="1973" spans="1:4" x14ac:dyDescent="0.3">
      <c r="A1973" s="88" t="s">
        <v>28</v>
      </c>
      <c r="B1973" s="88"/>
      <c r="C1973" s="16">
        <v>46213</v>
      </c>
      <c r="D1973" s="79">
        <v>1968.99</v>
      </c>
    </row>
    <row r="1974" spans="1:4" x14ac:dyDescent="0.3">
      <c r="A1974" s="88" t="s">
        <v>29</v>
      </c>
      <c r="B1974" s="88"/>
      <c r="C1974" s="16">
        <v>46213</v>
      </c>
      <c r="D1974" s="79">
        <v>382.69000000000005</v>
      </c>
    </row>
    <row r="1975" spans="1:4" x14ac:dyDescent="0.3">
      <c r="A1975" s="88" t="s">
        <v>30</v>
      </c>
      <c r="B1975" s="88"/>
      <c r="C1975" s="16">
        <v>46213</v>
      </c>
      <c r="D1975" s="79">
        <v>1412.08</v>
      </c>
    </row>
    <row r="1976" spans="1:4" x14ac:dyDescent="0.3">
      <c r="A1976" s="88" t="s">
        <v>31</v>
      </c>
      <c r="B1976" s="88"/>
      <c r="C1976" s="16">
        <v>46213</v>
      </c>
      <c r="D1976" s="79">
        <v>22496.639999999959</v>
      </c>
    </row>
    <row r="1977" spans="1:4" x14ac:dyDescent="0.3">
      <c r="A1977" s="88" t="s">
        <v>32</v>
      </c>
      <c r="B1977" s="88"/>
      <c r="C1977" s="16">
        <v>46213</v>
      </c>
      <c r="D1977" s="79">
        <v>6522.8000000000029</v>
      </c>
    </row>
    <row r="1978" spans="1:4" x14ac:dyDescent="0.3">
      <c r="A1978" s="88" t="s">
        <v>33</v>
      </c>
      <c r="B1978" s="88"/>
      <c r="C1978" s="16">
        <v>46213</v>
      </c>
      <c r="D1978" s="79">
        <v>28485.559999999998</v>
      </c>
    </row>
    <row r="1979" spans="1:4" x14ac:dyDescent="0.3">
      <c r="A1979" s="88" t="s">
        <v>34</v>
      </c>
      <c r="B1979" s="88"/>
      <c r="C1979" s="16">
        <v>46213</v>
      </c>
      <c r="D1979" s="79">
        <v>345</v>
      </c>
    </row>
    <row r="1980" spans="1:4" x14ac:dyDescent="0.3">
      <c r="A1980" s="88" t="s">
        <v>35</v>
      </c>
      <c r="B1980" s="88"/>
      <c r="C1980" s="16">
        <v>46213</v>
      </c>
      <c r="D1980" s="79">
        <v>31900.120000000003</v>
      </c>
    </row>
    <row r="1981" spans="1:4" x14ac:dyDescent="0.3">
      <c r="A1981" s="88" t="s">
        <v>193</v>
      </c>
      <c r="B1981" s="88"/>
      <c r="C1981" s="16">
        <v>46213</v>
      </c>
      <c r="D1981" s="79">
        <v>0</v>
      </c>
    </row>
    <row r="1982" spans="1:4" x14ac:dyDescent="0.3">
      <c r="A1982" s="88" t="s">
        <v>214</v>
      </c>
      <c r="B1982" s="88"/>
      <c r="C1982" s="16">
        <v>46213</v>
      </c>
      <c r="D1982" s="79">
        <v>0</v>
      </c>
    </row>
    <row r="1983" spans="1:4" x14ac:dyDescent="0.3">
      <c r="A1983" s="88" t="s">
        <v>194</v>
      </c>
      <c r="B1983" s="88"/>
      <c r="C1983" s="16">
        <v>46213</v>
      </c>
      <c r="D1983" s="79">
        <v>0</v>
      </c>
    </row>
    <row r="1984" spans="1:4" x14ac:dyDescent="0.3">
      <c r="A1984" s="88" t="s">
        <v>195</v>
      </c>
      <c r="B1984" s="88"/>
      <c r="C1984" s="16">
        <v>46213</v>
      </c>
      <c r="D1984" s="79">
        <v>0</v>
      </c>
    </row>
    <row r="1985" spans="1:4" x14ac:dyDescent="0.3">
      <c r="A1985" s="88" t="s">
        <v>196</v>
      </c>
      <c r="B1985" s="88"/>
      <c r="C1985" s="16">
        <v>46213</v>
      </c>
      <c r="D1985" s="79">
        <v>0</v>
      </c>
    </row>
    <row r="1986" spans="1:4" x14ac:dyDescent="0.3">
      <c r="A1986" s="88" t="s">
        <v>197</v>
      </c>
      <c r="B1986" s="88"/>
      <c r="C1986" s="16">
        <v>46213</v>
      </c>
      <c r="D1986" s="79">
        <v>0</v>
      </c>
    </row>
    <row r="1987" spans="1:4" x14ac:dyDescent="0.3">
      <c r="A1987" s="88" t="s">
        <v>212</v>
      </c>
      <c r="B1987" s="88"/>
      <c r="C1987" s="16">
        <v>46213</v>
      </c>
      <c r="D1987" s="79">
        <v>0</v>
      </c>
    </row>
    <row r="1988" spans="1:4" x14ac:dyDescent="0.3">
      <c r="A1988" s="88" t="s">
        <v>199</v>
      </c>
      <c r="B1988" s="88"/>
      <c r="C1988" s="16">
        <v>46213</v>
      </c>
      <c r="D1988" s="79">
        <v>0</v>
      </c>
    </row>
    <row r="1989" spans="1:4" x14ac:dyDescent="0.3">
      <c r="A1989" s="88" t="s">
        <v>217</v>
      </c>
      <c r="B1989" s="88"/>
      <c r="C1989" s="16">
        <v>46213</v>
      </c>
      <c r="D1989" s="79">
        <v>0</v>
      </c>
    </row>
    <row r="1990" spans="1:4" x14ac:dyDescent="0.3">
      <c r="A1990" s="88" t="s">
        <v>17</v>
      </c>
      <c r="B1990" s="88"/>
      <c r="C1990" s="16">
        <v>46214</v>
      </c>
      <c r="D1990" s="79">
        <v>4163755.7500000005</v>
      </c>
    </row>
    <row r="1991" spans="1:4" x14ac:dyDescent="0.3">
      <c r="A1991" s="88" t="s">
        <v>18</v>
      </c>
      <c r="B1991" s="88"/>
      <c r="C1991" s="16">
        <v>46214</v>
      </c>
      <c r="D1991" s="79">
        <v>73157.680000000168</v>
      </c>
    </row>
    <row r="1992" spans="1:4" x14ac:dyDescent="0.3">
      <c r="A1992" s="88" t="s">
        <v>19</v>
      </c>
      <c r="B1992" s="88"/>
      <c r="C1992" s="16">
        <v>46214</v>
      </c>
      <c r="D1992" s="79">
        <v>1669.89</v>
      </c>
    </row>
    <row r="1993" spans="1:4" x14ac:dyDescent="0.3">
      <c r="A1993" s="88" t="s">
        <v>20</v>
      </c>
      <c r="B1993" s="88"/>
      <c r="C1993" s="16">
        <v>46214</v>
      </c>
      <c r="D1993" s="79">
        <v>290141.62999999989</v>
      </c>
    </row>
    <row r="1994" spans="1:4" x14ac:dyDescent="0.3">
      <c r="A1994" s="88" t="s">
        <v>21</v>
      </c>
      <c r="B1994" s="88"/>
      <c r="C1994" s="16">
        <v>46214</v>
      </c>
      <c r="D1994" s="79">
        <v>1921752.2699999993</v>
      </c>
    </row>
    <row r="1995" spans="1:4" x14ac:dyDescent="0.3">
      <c r="A1995" s="88" t="s">
        <v>22</v>
      </c>
      <c r="B1995" s="88"/>
      <c r="C1995" s="16">
        <v>46214</v>
      </c>
      <c r="D1995" s="79">
        <v>200496.38</v>
      </c>
    </row>
    <row r="1996" spans="1:4" x14ac:dyDescent="0.3">
      <c r="A1996" s="88" t="s">
        <v>23</v>
      </c>
      <c r="B1996" s="88"/>
      <c r="C1996" s="16">
        <v>46214</v>
      </c>
      <c r="D1996" s="79">
        <v>267503.99000000005</v>
      </c>
    </row>
    <row r="1997" spans="1:4" x14ac:dyDescent="0.3">
      <c r="A1997" s="88" t="s">
        <v>24</v>
      </c>
      <c r="B1997" s="88"/>
      <c r="C1997" s="16">
        <v>46214</v>
      </c>
      <c r="D1997" s="79">
        <v>14580.45</v>
      </c>
    </row>
    <row r="1998" spans="1:4" x14ac:dyDescent="0.3">
      <c r="A1998" s="88" t="s">
        <v>25</v>
      </c>
      <c r="B1998" s="88"/>
      <c r="C1998" s="16">
        <v>46214</v>
      </c>
      <c r="D1998" s="79">
        <v>54.400000000000006</v>
      </c>
    </row>
    <row r="1999" spans="1:4" x14ac:dyDescent="0.3">
      <c r="A1999" s="88" t="s">
        <v>26</v>
      </c>
      <c r="B1999" s="88"/>
      <c r="C1999" s="16">
        <v>46214</v>
      </c>
      <c r="D1999" s="79">
        <v>2207.8200000000002</v>
      </c>
    </row>
    <row r="2000" spans="1:4" x14ac:dyDescent="0.3">
      <c r="A2000" s="88" t="s">
        <v>27</v>
      </c>
      <c r="B2000" s="88"/>
      <c r="C2000" s="16">
        <v>46214</v>
      </c>
      <c r="D2000" s="79">
        <v>1454589.72</v>
      </c>
    </row>
    <row r="2001" spans="1:4" x14ac:dyDescent="0.3">
      <c r="A2001" s="88" t="s">
        <v>28</v>
      </c>
      <c r="B2001" s="88"/>
      <c r="C2001" s="16">
        <v>46214</v>
      </c>
      <c r="D2001" s="79">
        <v>1968.99</v>
      </c>
    </row>
    <row r="2002" spans="1:4" x14ac:dyDescent="0.3">
      <c r="A2002" s="88" t="s">
        <v>29</v>
      </c>
      <c r="B2002" s="88"/>
      <c r="C2002" s="16">
        <v>46214</v>
      </c>
      <c r="D2002" s="79">
        <v>382.69000000000005</v>
      </c>
    </row>
    <row r="2003" spans="1:4" x14ac:dyDescent="0.3">
      <c r="A2003" s="88" t="s">
        <v>30</v>
      </c>
      <c r="B2003" s="88"/>
      <c r="C2003" s="16">
        <v>46214</v>
      </c>
      <c r="D2003" s="79">
        <v>1412.08</v>
      </c>
    </row>
    <row r="2004" spans="1:4" x14ac:dyDescent="0.3">
      <c r="A2004" s="88" t="s">
        <v>31</v>
      </c>
      <c r="B2004" s="88"/>
      <c r="C2004" s="16">
        <v>46214</v>
      </c>
      <c r="D2004" s="79">
        <v>22496.639999999959</v>
      </c>
    </row>
    <row r="2005" spans="1:4" x14ac:dyDescent="0.3">
      <c r="A2005" s="88" t="s">
        <v>32</v>
      </c>
      <c r="B2005" s="88"/>
      <c r="C2005" s="16">
        <v>46214</v>
      </c>
      <c r="D2005" s="79">
        <v>6522.8000000000029</v>
      </c>
    </row>
    <row r="2006" spans="1:4" x14ac:dyDescent="0.3">
      <c r="A2006" s="88" t="s">
        <v>33</v>
      </c>
      <c r="B2006" s="88"/>
      <c r="C2006" s="16">
        <v>46214</v>
      </c>
      <c r="D2006" s="79">
        <v>28485.559999999998</v>
      </c>
    </row>
    <row r="2007" spans="1:4" x14ac:dyDescent="0.3">
      <c r="A2007" s="88" t="s">
        <v>34</v>
      </c>
      <c r="B2007" s="88"/>
      <c r="C2007" s="16">
        <v>46214</v>
      </c>
      <c r="D2007" s="79">
        <v>345</v>
      </c>
    </row>
    <row r="2008" spans="1:4" x14ac:dyDescent="0.3">
      <c r="A2008" s="88" t="s">
        <v>35</v>
      </c>
      <c r="B2008" s="88"/>
      <c r="C2008" s="16">
        <v>46214</v>
      </c>
      <c r="D2008" s="79">
        <v>31900.120000000003</v>
      </c>
    </row>
    <row r="2009" spans="1:4" x14ac:dyDescent="0.3">
      <c r="A2009" s="88" t="s">
        <v>193</v>
      </c>
      <c r="B2009" s="88"/>
      <c r="C2009" s="16">
        <v>46214</v>
      </c>
      <c r="D2009" s="79">
        <v>0</v>
      </c>
    </row>
    <row r="2010" spans="1:4" x14ac:dyDescent="0.3">
      <c r="A2010" s="88" t="s">
        <v>214</v>
      </c>
      <c r="B2010" s="88"/>
      <c r="C2010" s="16">
        <v>46214</v>
      </c>
      <c r="D2010" s="79">
        <v>0</v>
      </c>
    </row>
    <row r="2011" spans="1:4" x14ac:dyDescent="0.3">
      <c r="A2011" s="88" t="s">
        <v>194</v>
      </c>
      <c r="B2011" s="88"/>
      <c r="C2011" s="16">
        <v>46214</v>
      </c>
      <c r="D2011" s="79">
        <v>0</v>
      </c>
    </row>
    <row r="2012" spans="1:4" x14ac:dyDescent="0.3">
      <c r="A2012" s="88" t="s">
        <v>195</v>
      </c>
      <c r="B2012" s="88"/>
      <c r="C2012" s="16">
        <v>46214</v>
      </c>
      <c r="D2012" s="79">
        <v>0</v>
      </c>
    </row>
    <row r="2013" spans="1:4" x14ac:dyDescent="0.3">
      <c r="A2013" s="88" t="s">
        <v>196</v>
      </c>
      <c r="B2013" s="88"/>
      <c r="C2013" s="16">
        <v>46214</v>
      </c>
      <c r="D2013" s="79">
        <v>0</v>
      </c>
    </row>
    <row r="2014" spans="1:4" x14ac:dyDescent="0.3">
      <c r="A2014" s="88" t="s">
        <v>197</v>
      </c>
      <c r="B2014" s="88"/>
      <c r="C2014" s="16">
        <v>46214</v>
      </c>
      <c r="D2014" s="79">
        <v>0</v>
      </c>
    </row>
    <row r="2015" spans="1:4" x14ac:dyDescent="0.3">
      <c r="A2015" s="88" t="s">
        <v>212</v>
      </c>
      <c r="B2015" s="88"/>
      <c r="C2015" s="16">
        <v>46214</v>
      </c>
      <c r="D2015" s="79">
        <v>0</v>
      </c>
    </row>
    <row r="2016" spans="1:4" x14ac:dyDescent="0.3">
      <c r="A2016" s="88" t="s">
        <v>199</v>
      </c>
      <c r="B2016" s="88"/>
      <c r="C2016" s="16">
        <v>46214</v>
      </c>
      <c r="D2016" s="79">
        <v>0</v>
      </c>
    </row>
    <row r="2017" spans="1:4" x14ac:dyDescent="0.3">
      <c r="A2017" s="88" t="s">
        <v>217</v>
      </c>
      <c r="B2017" s="88"/>
      <c r="C2017" s="16">
        <v>46214</v>
      </c>
      <c r="D2017" s="79">
        <v>0</v>
      </c>
    </row>
    <row r="2018" spans="1:4" x14ac:dyDescent="0.3">
      <c r="A2018" s="88" t="s">
        <v>17</v>
      </c>
      <c r="B2018" s="88"/>
      <c r="C2018" s="16">
        <v>46215</v>
      </c>
      <c r="D2018" s="79">
        <v>4163755.7500000005</v>
      </c>
    </row>
    <row r="2019" spans="1:4" x14ac:dyDescent="0.3">
      <c r="A2019" s="88" t="s">
        <v>18</v>
      </c>
      <c r="B2019" s="88"/>
      <c r="C2019" s="16">
        <v>46215</v>
      </c>
      <c r="D2019" s="79">
        <v>73157.680000000168</v>
      </c>
    </row>
    <row r="2020" spans="1:4" x14ac:dyDescent="0.3">
      <c r="A2020" s="88" t="s">
        <v>19</v>
      </c>
      <c r="B2020" s="88"/>
      <c r="C2020" s="16">
        <v>46215</v>
      </c>
      <c r="D2020" s="79">
        <v>1669.89</v>
      </c>
    </row>
    <row r="2021" spans="1:4" x14ac:dyDescent="0.3">
      <c r="A2021" s="88" t="s">
        <v>20</v>
      </c>
      <c r="B2021" s="88"/>
      <c r="C2021" s="16">
        <v>46215</v>
      </c>
      <c r="D2021" s="79">
        <v>290141.62999999989</v>
      </c>
    </row>
    <row r="2022" spans="1:4" x14ac:dyDescent="0.3">
      <c r="A2022" s="88" t="s">
        <v>21</v>
      </c>
      <c r="B2022" s="88"/>
      <c r="C2022" s="16">
        <v>46215</v>
      </c>
      <c r="D2022" s="79">
        <v>1921752.2699999993</v>
      </c>
    </row>
    <row r="2023" spans="1:4" x14ac:dyDescent="0.3">
      <c r="A2023" s="88" t="s">
        <v>22</v>
      </c>
      <c r="B2023" s="88"/>
      <c r="C2023" s="16">
        <v>46215</v>
      </c>
      <c r="D2023" s="79">
        <v>200496.38</v>
      </c>
    </row>
    <row r="2024" spans="1:4" x14ac:dyDescent="0.3">
      <c r="A2024" s="88" t="s">
        <v>23</v>
      </c>
      <c r="B2024" s="88"/>
      <c r="C2024" s="16">
        <v>46215</v>
      </c>
      <c r="D2024" s="79">
        <v>267503.99000000005</v>
      </c>
    </row>
    <row r="2025" spans="1:4" x14ac:dyDescent="0.3">
      <c r="A2025" s="88" t="s">
        <v>24</v>
      </c>
      <c r="B2025" s="88"/>
      <c r="C2025" s="16">
        <v>46215</v>
      </c>
      <c r="D2025" s="79">
        <v>14580.45</v>
      </c>
    </row>
    <row r="2026" spans="1:4" x14ac:dyDescent="0.3">
      <c r="A2026" s="88" t="s">
        <v>25</v>
      </c>
      <c r="B2026" s="88"/>
      <c r="C2026" s="16">
        <v>46215</v>
      </c>
      <c r="D2026" s="79">
        <v>54.400000000000006</v>
      </c>
    </row>
    <row r="2027" spans="1:4" x14ac:dyDescent="0.3">
      <c r="A2027" s="88" t="s">
        <v>26</v>
      </c>
      <c r="B2027" s="88"/>
      <c r="C2027" s="16">
        <v>46215</v>
      </c>
      <c r="D2027" s="79">
        <v>2207.8200000000002</v>
      </c>
    </row>
    <row r="2028" spans="1:4" x14ac:dyDescent="0.3">
      <c r="A2028" s="88" t="s">
        <v>27</v>
      </c>
      <c r="B2028" s="88"/>
      <c r="C2028" s="16">
        <v>46215</v>
      </c>
      <c r="D2028" s="79">
        <v>1454589.72</v>
      </c>
    </row>
    <row r="2029" spans="1:4" x14ac:dyDescent="0.3">
      <c r="A2029" s="88" t="s">
        <v>28</v>
      </c>
      <c r="B2029" s="88"/>
      <c r="C2029" s="16">
        <v>46215</v>
      </c>
      <c r="D2029" s="79">
        <v>1968.99</v>
      </c>
    </row>
    <row r="2030" spans="1:4" x14ac:dyDescent="0.3">
      <c r="A2030" s="88" t="s">
        <v>29</v>
      </c>
      <c r="B2030" s="88"/>
      <c r="C2030" s="16">
        <v>46215</v>
      </c>
      <c r="D2030" s="79">
        <v>382.69000000000005</v>
      </c>
    </row>
    <row r="2031" spans="1:4" x14ac:dyDescent="0.3">
      <c r="A2031" s="88" t="s">
        <v>30</v>
      </c>
      <c r="B2031" s="88"/>
      <c r="C2031" s="16">
        <v>46215</v>
      </c>
      <c r="D2031" s="79">
        <v>1412.08</v>
      </c>
    </row>
    <row r="2032" spans="1:4" x14ac:dyDescent="0.3">
      <c r="A2032" s="88" t="s">
        <v>31</v>
      </c>
      <c r="B2032" s="88"/>
      <c r="C2032" s="16">
        <v>46215</v>
      </c>
      <c r="D2032" s="79">
        <v>22496.639999999959</v>
      </c>
    </row>
    <row r="2033" spans="1:4" x14ac:dyDescent="0.3">
      <c r="A2033" s="88" t="s">
        <v>32</v>
      </c>
      <c r="B2033" s="88"/>
      <c r="C2033" s="16">
        <v>46215</v>
      </c>
      <c r="D2033" s="79">
        <v>6522.8000000000029</v>
      </c>
    </row>
    <row r="2034" spans="1:4" x14ac:dyDescent="0.3">
      <c r="A2034" s="88" t="s">
        <v>33</v>
      </c>
      <c r="B2034" s="88"/>
      <c r="C2034" s="16">
        <v>46215</v>
      </c>
      <c r="D2034" s="79">
        <v>28485.559999999998</v>
      </c>
    </row>
    <row r="2035" spans="1:4" x14ac:dyDescent="0.3">
      <c r="A2035" s="88" t="s">
        <v>34</v>
      </c>
      <c r="B2035" s="88"/>
      <c r="C2035" s="16">
        <v>46215</v>
      </c>
      <c r="D2035" s="79">
        <v>345</v>
      </c>
    </row>
    <row r="2036" spans="1:4" x14ac:dyDescent="0.3">
      <c r="A2036" s="88" t="s">
        <v>35</v>
      </c>
      <c r="B2036" s="88"/>
      <c r="C2036" s="16">
        <v>46215</v>
      </c>
      <c r="D2036" s="79">
        <v>31900.120000000003</v>
      </c>
    </row>
    <row r="2037" spans="1:4" x14ac:dyDescent="0.3">
      <c r="A2037" s="88" t="s">
        <v>193</v>
      </c>
      <c r="B2037" s="88"/>
      <c r="C2037" s="16">
        <v>46215</v>
      </c>
      <c r="D2037" s="79">
        <v>0</v>
      </c>
    </row>
    <row r="2038" spans="1:4" x14ac:dyDescent="0.3">
      <c r="A2038" s="88" t="s">
        <v>214</v>
      </c>
      <c r="B2038" s="88"/>
      <c r="C2038" s="16">
        <v>46215</v>
      </c>
      <c r="D2038" s="79">
        <v>0</v>
      </c>
    </row>
    <row r="2039" spans="1:4" x14ac:dyDescent="0.3">
      <c r="A2039" s="88" t="s">
        <v>194</v>
      </c>
      <c r="B2039" s="88"/>
      <c r="C2039" s="16">
        <v>46215</v>
      </c>
      <c r="D2039" s="79">
        <v>0</v>
      </c>
    </row>
    <row r="2040" spans="1:4" x14ac:dyDescent="0.3">
      <c r="A2040" s="88" t="s">
        <v>195</v>
      </c>
      <c r="B2040" s="88"/>
      <c r="C2040" s="16">
        <v>46215</v>
      </c>
      <c r="D2040" s="79">
        <v>0</v>
      </c>
    </row>
    <row r="2041" spans="1:4" x14ac:dyDescent="0.3">
      <c r="A2041" s="88" t="s">
        <v>196</v>
      </c>
      <c r="B2041" s="88"/>
      <c r="C2041" s="16">
        <v>46215</v>
      </c>
      <c r="D2041" s="79">
        <v>0</v>
      </c>
    </row>
    <row r="2042" spans="1:4" x14ac:dyDescent="0.3">
      <c r="A2042" s="88" t="s">
        <v>197</v>
      </c>
      <c r="B2042" s="88"/>
      <c r="C2042" s="16">
        <v>46215</v>
      </c>
      <c r="D2042" s="79">
        <v>0</v>
      </c>
    </row>
    <row r="2043" spans="1:4" x14ac:dyDescent="0.3">
      <c r="A2043" s="88" t="s">
        <v>212</v>
      </c>
      <c r="B2043" s="88"/>
      <c r="C2043" s="16">
        <v>46215</v>
      </c>
      <c r="D2043" s="79">
        <v>0</v>
      </c>
    </row>
    <row r="2044" spans="1:4" x14ac:dyDescent="0.3">
      <c r="A2044" s="88" t="s">
        <v>199</v>
      </c>
      <c r="B2044" s="88"/>
      <c r="C2044" s="16">
        <v>46215</v>
      </c>
      <c r="D2044" s="79">
        <v>0</v>
      </c>
    </row>
    <row r="2045" spans="1:4" x14ac:dyDescent="0.3">
      <c r="A2045" s="88" t="s">
        <v>217</v>
      </c>
      <c r="B2045" s="88"/>
      <c r="C2045" s="16">
        <v>46215</v>
      </c>
      <c r="D2045" s="79">
        <v>0</v>
      </c>
    </row>
    <row r="2046" spans="1:4" x14ac:dyDescent="0.3">
      <c r="A2046" s="88" t="s">
        <v>17</v>
      </c>
      <c r="B2046" s="88"/>
      <c r="C2046" s="16">
        <v>46216</v>
      </c>
      <c r="D2046" s="79">
        <v>4163755.7500000005</v>
      </c>
    </row>
    <row r="2047" spans="1:4" x14ac:dyDescent="0.3">
      <c r="A2047" s="88" t="s">
        <v>18</v>
      </c>
      <c r="B2047" s="88"/>
      <c r="C2047" s="16">
        <v>46216</v>
      </c>
      <c r="D2047" s="79">
        <v>73157.680000000168</v>
      </c>
    </row>
    <row r="2048" spans="1:4" x14ac:dyDescent="0.3">
      <c r="A2048" s="88" t="s">
        <v>19</v>
      </c>
      <c r="B2048" s="88"/>
      <c r="C2048" s="16">
        <v>46216</v>
      </c>
      <c r="D2048" s="79">
        <v>1669.89</v>
      </c>
    </row>
    <row r="2049" spans="1:4" x14ac:dyDescent="0.3">
      <c r="A2049" s="88" t="s">
        <v>20</v>
      </c>
      <c r="B2049" s="88"/>
      <c r="C2049" s="16">
        <v>46216</v>
      </c>
      <c r="D2049" s="79">
        <v>290141.62999999989</v>
      </c>
    </row>
    <row r="2050" spans="1:4" x14ac:dyDescent="0.3">
      <c r="A2050" s="88" t="s">
        <v>21</v>
      </c>
      <c r="B2050" s="88"/>
      <c r="C2050" s="16">
        <v>46216</v>
      </c>
      <c r="D2050" s="79">
        <v>1921752.2699999993</v>
      </c>
    </row>
    <row r="2051" spans="1:4" x14ac:dyDescent="0.3">
      <c r="A2051" s="88" t="s">
        <v>22</v>
      </c>
      <c r="B2051" s="88"/>
      <c r="C2051" s="16">
        <v>46216</v>
      </c>
      <c r="D2051" s="79">
        <v>200496.38</v>
      </c>
    </row>
    <row r="2052" spans="1:4" x14ac:dyDescent="0.3">
      <c r="A2052" s="88" t="s">
        <v>23</v>
      </c>
      <c r="B2052" s="88"/>
      <c r="C2052" s="16">
        <v>46216</v>
      </c>
      <c r="D2052" s="79">
        <v>267503.99000000005</v>
      </c>
    </row>
    <row r="2053" spans="1:4" x14ac:dyDescent="0.3">
      <c r="A2053" s="88" t="s">
        <v>24</v>
      </c>
      <c r="B2053" s="88"/>
      <c r="C2053" s="16">
        <v>46216</v>
      </c>
      <c r="D2053" s="79">
        <v>14580.45</v>
      </c>
    </row>
    <row r="2054" spans="1:4" x14ac:dyDescent="0.3">
      <c r="A2054" s="88" t="s">
        <v>25</v>
      </c>
      <c r="B2054" s="88"/>
      <c r="C2054" s="16">
        <v>46216</v>
      </c>
      <c r="D2054" s="79">
        <v>54.400000000000006</v>
      </c>
    </row>
    <row r="2055" spans="1:4" x14ac:dyDescent="0.3">
      <c r="A2055" s="88" t="s">
        <v>26</v>
      </c>
      <c r="B2055" s="88"/>
      <c r="C2055" s="16">
        <v>46216</v>
      </c>
      <c r="D2055" s="79">
        <v>2207.8200000000002</v>
      </c>
    </row>
    <row r="2056" spans="1:4" x14ac:dyDescent="0.3">
      <c r="A2056" s="88" t="s">
        <v>27</v>
      </c>
      <c r="B2056" s="88"/>
      <c r="C2056" s="16">
        <v>46216</v>
      </c>
      <c r="D2056" s="79">
        <v>1454589.72</v>
      </c>
    </row>
    <row r="2057" spans="1:4" x14ac:dyDescent="0.3">
      <c r="A2057" s="88" t="s">
        <v>28</v>
      </c>
      <c r="B2057" s="88"/>
      <c r="C2057" s="16">
        <v>46216</v>
      </c>
      <c r="D2057" s="79">
        <v>1968.99</v>
      </c>
    </row>
    <row r="2058" spans="1:4" x14ac:dyDescent="0.3">
      <c r="A2058" s="88" t="s">
        <v>29</v>
      </c>
      <c r="B2058" s="88"/>
      <c r="C2058" s="16">
        <v>46216</v>
      </c>
      <c r="D2058" s="79">
        <v>901.34</v>
      </c>
    </row>
    <row r="2059" spans="1:4" x14ac:dyDescent="0.3">
      <c r="A2059" s="88" t="s">
        <v>30</v>
      </c>
      <c r="B2059" s="88"/>
      <c r="C2059" s="16">
        <v>46216</v>
      </c>
      <c r="D2059" s="79">
        <v>1412.08</v>
      </c>
    </row>
    <row r="2060" spans="1:4" x14ac:dyDescent="0.3">
      <c r="A2060" s="88" t="s">
        <v>31</v>
      </c>
      <c r="B2060" s="88"/>
      <c r="C2060" s="16">
        <v>46216</v>
      </c>
      <c r="D2060" s="79">
        <v>22496.639999999959</v>
      </c>
    </row>
    <row r="2061" spans="1:4" x14ac:dyDescent="0.3">
      <c r="A2061" s="88" t="s">
        <v>32</v>
      </c>
      <c r="B2061" s="88"/>
      <c r="C2061" s="16">
        <v>46216</v>
      </c>
      <c r="D2061" s="79">
        <v>6522.8000000000029</v>
      </c>
    </row>
    <row r="2062" spans="1:4" x14ac:dyDescent="0.3">
      <c r="A2062" s="88" t="s">
        <v>33</v>
      </c>
      <c r="B2062" s="88"/>
      <c r="C2062" s="16">
        <v>46216</v>
      </c>
      <c r="D2062" s="79">
        <v>28485.559999999998</v>
      </c>
    </row>
    <row r="2063" spans="1:4" x14ac:dyDescent="0.3">
      <c r="A2063" s="88" t="s">
        <v>34</v>
      </c>
      <c r="B2063" s="88"/>
      <c r="C2063" s="16">
        <v>46216</v>
      </c>
      <c r="D2063" s="79">
        <v>345</v>
      </c>
    </row>
    <row r="2064" spans="1:4" x14ac:dyDescent="0.3">
      <c r="A2064" s="88" t="s">
        <v>35</v>
      </c>
      <c r="B2064" s="88"/>
      <c r="C2064" s="16">
        <v>46216</v>
      </c>
      <c r="D2064" s="79">
        <v>25198.240000000002</v>
      </c>
    </row>
    <row r="2065" spans="1:4" x14ac:dyDescent="0.3">
      <c r="A2065" s="88" t="s">
        <v>193</v>
      </c>
      <c r="B2065" s="88"/>
      <c r="C2065" s="16">
        <v>46216</v>
      </c>
      <c r="D2065" s="79">
        <v>0</v>
      </c>
    </row>
    <row r="2066" spans="1:4" x14ac:dyDescent="0.3">
      <c r="A2066" s="88" t="s">
        <v>214</v>
      </c>
      <c r="B2066" s="88"/>
      <c r="C2066" s="16">
        <v>46216</v>
      </c>
      <c r="D2066" s="79">
        <v>0</v>
      </c>
    </row>
    <row r="2067" spans="1:4" x14ac:dyDescent="0.3">
      <c r="A2067" s="88" t="s">
        <v>194</v>
      </c>
      <c r="B2067" s="88"/>
      <c r="C2067" s="16">
        <v>46216</v>
      </c>
      <c r="D2067" s="79">
        <v>0</v>
      </c>
    </row>
    <row r="2068" spans="1:4" x14ac:dyDescent="0.3">
      <c r="A2068" s="88" t="s">
        <v>195</v>
      </c>
      <c r="B2068" s="88"/>
      <c r="C2068" s="16">
        <v>46216</v>
      </c>
      <c r="D2068" s="79">
        <v>0</v>
      </c>
    </row>
    <row r="2069" spans="1:4" x14ac:dyDescent="0.3">
      <c r="A2069" s="88" t="s">
        <v>196</v>
      </c>
      <c r="B2069" s="88"/>
      <c r="C2069" s="16">
        <v>46216</v>
      </c>
      <c r="D2069" s="79">
        <v>0</v>
      </c>
    </row>
    <row r="2070" spans="1:4" x14ac:dyDescent="0.3">
      <c r="A2070" s="88" t="s">
        <v>197</v>
      </c>
      <c r="B2070" s="88"/>
      <c r="C2070" s="16">
        <v>46216</v>
      </c>
      <c r="D2070" s="79">
        <v>0</v>
      </c>
    </row>
    <row r="2071" spans="1:4" x14ac:dyDescent="0.3">
      <c r="A2071" s="88" t="s">
        <v>212</v>
      </c>
      <c r="B2071" s="88"/>
      <c r="C2071" s="16">
        <v>46216</v>
      </c>
      <c r="D2071" s="79">
        <v>0</v>
      </c>
    </row>
    <row r="2072" spans="1:4" x14ac:dyDescent="0.3">
      <c r="A2072" s="88" t="s">
        <v>199</v>
      </c>
      <c r="B2072" s="88"/>
      <c r="C2072" s="16">
        <v>46216</v>
      </c>
      <c r="D2072" s="79">
        <v>0</v>
      </c>
    </row>
    <row r="2073" spans="1:4" x14ac:dyDescent="0.3">
      <c r="A2073" s="88" t="s">
        <v>217</v>
      </c>
      <c r="B2073" s="88"/>
      <c r="C2073" s="16">
        <v>46216</v>
      </c>
      <c r="D2073" s="79">
        <v>0</v>
      </c>
    </row>
    <row r="2074" spans="1:4" x14ac:dyDescent="0.3">
      <c r="A2074" s="88" t="s">
        <v>17</v>
      </c>
      <c r="B2074" s="88"/>
      <c r="C2074" s="16">
        <v>46217</v>
      </c>
      <c r="D2074" s="79">
        <v>3363755.7500000005</v>
      </c>
    </row>
    <row r="2075" spans="1:4" x14ac:dyDescent="0.3">
      <c r="A2075" s="88" t="s">
        <v>18</v>
      </c>
      <c r="B2075" s="88"/>
      <c r="C2075" s="16">
        <v>46217</v>
      </c>
      <c r="D2075" s="79">
        <v>73157.680000000168</v>
      </c>
    </row>
    <row r="2076" spans="1:4" x14ac:dyDescent="0.3">
      <c r="A2076" s="88" t="s">
        <v>19</v>
      </c>
      <c r="B2076" s="88"/>
      <c r="C2076" s="16">
        <v>46217</v>
      </c>
      <c r="D2076" s="79">
        <v>1669.89</v>
      </c>
    </row>
    <row r="2077" spans="1:4" x14ac:dyDescent="0.3">
      <c r="A2077" s="88" t="s">
        <v>20</v>
      </c>
      <c r="B2077" s="88"/>
      <c r="C2077" s="16">
        <v>46217</v>
      </c>
      <c r="D2077" s="79">
        <v>1090141.6299999999</v>
      </c>
    </row>
    <row r="2078" spans="1:4" x14ac:dyDescent="0.3">
      <c r="A2078" s="88" t="s">
        <v>21</v>
      </c>
      <c r="B2078" s="88"/>
      <c r="C2078" s="16">
        <v>46217</v>
      </c>
      <c r="D2078" s="79">
        <v>1856542.8899999992</v>
      </c>
    </row>
    <row r="2079" spans="1:4" x14ac:dyDescent="0.3">
      <c r="A2079" s="88" t="s">
        <v>22</v>
      </c>
      <c r="B2079" s="88"/>
      <c r="C2079" s="16">
        <v>46217</v>
      </c>
      <c r="D2079" s="79">
        <v>200496.38</v>
      </c>
    </row>
    <row r="2080" spans="1:4" x14ac:dyDescent="0.3">
      <c r="A2080" s="88" t="s">
        <v>23</v>
      </c>
      <c r="B2080" s="88"/>
      <c r="C2080" s="16">
        <v>46217</v>
      </c>
      <c r="D2080" s="79">
        <v>267503.99000000005</v>
      </c>
    </row>
    <row r="2081" spans="1:4" x14ac:dyDescent="0.3">
      <c r="A2081" s="88" t="s">
        <v>24</v>
      </c>
      <c r="B2081" s="88"/>
      <c r="C2081" s="16">
        <v>46217</v>
      </c>
      <c r="D2081" s="79">
        <v>14580.45</v>
      </c>
    </row>
    <row r="2082" spans="1:4" x14ac:dyDescent="0.3">
      <c r="A2082" s="88" t="s">
        <v>25</v>
      </c>
      <c r="B2082" s="88"/>
      <c r="C2082" s="16">
        <v>46217</v>
      </c>
      <c r="D2082" s="79">
        <v>54.400000000000006</v>
      </c>
    </row>
    <row r="2083" spans="1:4" x14ac:dyDescent="0.3">
      <c r="A2083" s="88" t="s">
        <v>26</v>
      </c>
      <c r="B2083" s="88"/>
      <c r="C2083" s="16">
        <v>46217</v>
      </c>
      <c r="D2083" s="79">
        <v>2207.8200000000002</v>
      </c>
    </row>
    <row r="2084" spans="1:4" x14ac:dyDescent="0.3">
      <c r="A2084" s="88" t="s">
        <v>27</v>
      </c>
      <c r="B2084" s="88"/>
      <c r="C2084" s="16">
        <v>46217</v>
      </c>
      <c r="D2084" s="79">
        <v>1454589.72</v>
      </c>
    </row>
    <row r="2085" spans="1:4" x14ac:dyDescent="0.3">
      <c r="A2085" s="88" t="s">
        <v>28</v>
      </c>
      <c r="B2085" s="88"/>
      <c r="C2085" s="16">
        <v>46217</v>
      </c>
      <c r="D2085" s="79">
        <v>1968.99</v>
      </c>
    </row>
    <row r="2086" spans="1:4" x14ac:dyDescent="0.3">
      <c r="A2086" s="88" t="s">
        <v>29</v>
      </c>
      <c r="B2086" s="88"/>
      <c r="C2086" s="16">
        <v>46217</v>
      </c>
      <c r="D2086" s="79">
        <v>901.34</v>
      </c>
    </row>
    <row r="2087" spans="1:4" x14ac:dyDescent="0.3">
      <c r="A2087" s="88" t="s">
        <v>30</v>
      </c>
      <c r="B2087" s="88"/>
      <c r="C2087" s="16">
        <v>46217</v>
      </c>
      <c r="D2087" s="79">
        <v>1412.08</v>
      </c>
    </row>
    <row r="2088" spans="1:4" x14ac:dyDescent="0.3">
      <c r="A2088" s="88" t="s">
        <v>31</v>
      </c>
      <c r="B2088" s="88"/>
      <c r="C2088" s="16">
        <v>46217</v>
      </c>
      <c r="D2088" s="79">
        <v>22347.56999999996</v>
      </c>
    </row>
    <row r="2089" spans="1:4" x14ac:dyDescent="0.3">
      <c r="A2089" s="88" t="s">
        <v>32</v>
      </c>
      <c r="B2089" s="88"/>
      <c r="C2089" s="16">
        <v>46217</v>
      </c>
      <c r="D2089" s="79">
        <v>6522.8000000000029</v>
      </c>
    </row>
    <row r="2090" spans="1:4" x14ac:dyDescent="0.3">
      <c r="A2090" s="88" t="s">
        <v>33</v>
      </c>
      <c r="B2090" s="88"/>
      <c r="C2090" s="16">
        <v>46217</v>
      </c>
      <c r="D2090" s="79">
        <v>28485.559999999998</v>
      </c>
    </row>
    <row r="2091" spans="1:4" x14ac:dyDescent="0.3">
      <c r="A2091" s="88" t="s">
        <v>34</v>
      </c>
      <c r="B2091" s="88"/>
      <c r="C2091" s="16">
        <v>46217</v>
      </c>
      <c r="D2091" s="79">
        <v>345</v>
      </c>
    </row>
    <row r="2092" spans="1:4" x14ac:dyDescent="0.3">
      <c r="A2092" s="88" t="s">
        <v>35</v>
      </c>
      <c r="B2092" s="88"/>
      <c r="C2092" s="16">
        <v>46217</v>
      </c>
      <c r="D2092" s="79">
        <v>25198.240000000002</v>
      </c>
    </row>
    <row r="2093" spans="1:4" x14ac:dyDescent="0.3">
      <c r="A2093" s="88" t="s">
        <v>193</v>
      </c>
      <c r="B2093" s="88"/>
      <c r="C2093" s="16">
        <v>46217</v>
      </c>
      <c r="D2093" s="79">
        <v>0</v>
      </c>
    </row>
    <row r="2094" spans="1:4" x14ac:dyDescent="0.3">
      <c r="A2094" s="88" t="s">
        <v>214</v>
      </c>
      <c r="B2094" s="88"/>
      <c r="C2094" s="16">
        <v>46217</v>
      </c>
      <c r="D2094" s="79">
        <v>0</v>
      </c>
    </row>
    <row r="2095" spans="1:4" x14ac:dyDescent="0.3">
      <c r="A2095" s="88" t="s">
        <v>194</v>
      </c>
      <c r="B2095" s="88"/>
      <c r="C2095" s="16">
        <v>46217</v>
      </c>
      <c r="D2095" s="79">
        <v>0</v>
      </c>
    </row>
    <row r="2096" spans="1:4" x14ac:dyDescent="0.3">
      <c r="A2096" s="88" t="s">
        <v>195</v>
      </c>
      <c r="B2096" s="88"/>
      <c r="C2096" s="16">
        <v>46217</v>
      </c>
      <c r="D2096" s="79">
        <v>0</v>
      </c>
    </row>
    <row r="2097" spans="1:4" x14ac:dyDescent="0.3">
      <c r="A2097" s="88" t="s">
        <v>196</v>
      </c>
      <c r="B2097" s="88"/>
      <c r="C2097" s="16">
        <v>46217</v>
      </c>
      <c r="D2097" s="79">
        <v>0</v>
      </c>
    </row>
    <row r="2098" spans="1:4" x14ac:dyDescent="0.3">
      <c r="A2098" s="88" t="s">
        <v>197</v>
      </c>
      <c r="B2098" s="88"/>
      <c r="C2098" s="16">
        <v>46217</v>
      </c>
      <c r="D2098" s="79">
        <v>0</v>
      </c>
    </row>
    <row r="2099" spans="1:4" x14ac:dyDescent="0.3">
      <c r="A2099" s="88" t="s">
        <v>212</v>
      </c>
      <c r="B2099" s="88"/>
      <c r="C2099" s="16">
        <v>46217</v>
      </c>
      <c r="D2099" s="79">
        <v>0</v>
      </c>
    </row>
    <row r="2100" spans="1:4" x14ac:dyDescent="0.3">
      <c r="A2100" s="88" t="s">
        <v>199</v>
      </c>
      <c r="B2100" s="88"/>
      <c r="C2100" s="16">
        <v>46217</v>
      </c>
      <c r="D2100" s="79">
        <v>0</v>
      </c>
    </row>
    <row r="2101" spans="1:4" x14ac:dyDescent="0.3">
      <c r="A2101" s="88" t="s">
        <v>217</v>
      </c>
      <c r="B2101" s="88"/>
      <c r="C2101" s="16">
        <v>46217</v>
      </c>
      <c r="D2101" s="79">
        <v>0</v>
      </c>
    </row>
    <row r="2102" spans="1:4" x14ac:dyDescent="0.3">
      <c r="A2102" s="88" t="s">
        <v>17</v>
      </c>
      <c r="B2102" s="88"/>
      <c r="C2102" s="16">
        <v>46218</v>
      </c>
      <c r="D2102" s="79">
        <v>3363755.7500000005</v>
      </c>
    </row>
    <row r="2103" spans="1:4" x14ac:dyDescent="0.3">
      <c r="A2103" s="88" t="s">
        <v>18</v>
      </c>
      <c r="B2103" s="88"/>
      <c r="C2103" s="16">
        <v>46218</v>
      </c>
      <c r="D2103" s="79">
        <v>73157.680000000168</v>
      </c>
    </row>
    <row r="2104" spans="1:4" x14ac:dyDescent="0.3">
      <c r="A2104" s="88" t="s">
        <v>19</v>
      </c>
      <c r="B2104" s="88"/>
      <c r="C2104" s="16">
        <v>46218</v>
      </c>
      <c r="D2104" s="79">
        <v>1669.89</v>
      </c>
    </row>
    <row r="2105" spans="1:4" x14ac:dyDescent="0.3">
      <c r="A2105" s="88" t="s">
        <v>20</v>
      </c>
      <c r="B2105" s="88"/>
      <c r="C2105" s="16">
        <v>46218</v>
      </c>
      <c r="D2105" s="79">
        <v>1089804.7499999998</v>
      </c>
    </row>
    <row r="2106" spans="1:4" x14ac:dyDescent="0.3">
      <c r="A2106" s="88" t="s">
        <v>21</v>
      </c>
      <c r="B2106" s="88"/>
      <c r="C2106" s="16">
        <v>46218</v>
      </c>
      <c r="D2106" s="79">
        <v>1856513.4499999993</v>
      </c>
    </row>
    <row r="2107" spans="1:4" x14ac:dyDescent="0.3">
      <c r="A2107" s="88" t="s">
        <v>22</v>
      </c>
      <c r="B2107" s="88"/>
      <c r="C2107" s="16">
        <v>46218</v>
      </c>
      <c r="D2107" s="79">
        <v>200496.38</v>
      </c>
    </row>
    <row r="2108" spans="1:4" x14ac:dyDescent="0.3">
      <c r="A2108" s="88" t="s">
        <v>23</v>
      </c>
      <c r="B2108" s="88"/>
      <c r="C2108" s="16">
        <v>46218</v>
      </c>
      <c r="D2108" s="79">
        <v>267503.99000000005</v>
      </c>
    </row>
    <row r="2109" spans="1:4" x14ac:dyDescent="0.3">
      <c r="A2109" s="88" t="s">
        <v>24</v>
      </c>
      <c r="B2109" s="88"/>
      <c r="C2109" s="16">
        <v>46218</v>
      </c>
      <c r="D2109" s="79">
        <v>14580.45</v>
      </c>
    </row>
    <row r="2110" spans="1:4" x14ac:dyDescent="0.3">
      <c r="A2110" s="88" t="s">
        <v>25</v>
      </c>
      <c r="B2110" s="88"/>
      <c r="C2110" s="16">
        <v>46218</v>
      </c>
      <c r="D2110" s="79">
        <v>54.400000000000006</v>
      </c>
    </row>
    <row r="2111" spans="1:4" x14ac:dyDescent="0.3">
      <c r="A2111" s="88" t="s">
        <v>26</v>
      </c>
      <c r="B2111" s="88"/>
      <c r="C2111" s="16">
        <v>46218</v>
      </c>
      <c r="D2111" s="79">
        <v>2207.8200000000002</v>
      </c>
    </row>
    <row r="2112" spans="1:4" x14ac:dyDescent="0.3">
      <c r="A2112" s="88" t="s">
        <v>27</v>
      </c>
      <c r="B2112" s="88"/>
      <c r="C2112" s="16">
        <v>46218</v>
      </c>
      <c r="D2112" s="79">
        <v>1454589.72</v>
      </c>
    </row>
    <row r="2113" spans="1:4" x14ac:dyDescent="0.3">
      <c r="A2113" s="88" t="s">
        <v>28</v>
      </c>
      <c r="B2113" s="88"/>
      <c r="C2113" s="16">
        <v>46218</v>
      </c>
      <c r="D2113" s="79">
        <v>1968.99</v>
      </c>
    </row>
    <row r="2114" spans="1:4" x14ac:dyDescent="0.3">
      <c r="A2114" s="88" t="s">
        <v>29</v>
      </c>
      <c r="B2114" s="88"/>
      <c r="C2114" s="16">
        <v>46218</v>
      </c>
      <c r="D2114" s="79">
        <v>901.34</v>
      </c>
    </row>
    <row r="2115" spans="1:4" x14ac:dyDescent="0.3">
      <c r="A2115" s="88" t="s">
        <v>30</v>
      </c>
      <c r="B2115" s="88"/>
      <c r="C2115" s="16">
        <v>46218</v>
      </c>
      <c r="D2115" s="79">
        <v>1412.08</v>
      </c>
    </row>
    <row r="2116" spans="1:4" x14ac:dyDescent="0.3">
      <c r="A2116" s="88" t="s">
        <v>31</v>
      </c>
      <c r="B2116" s="88"/>
      <c r="C2116" s="16">
        <v>46218</v>
      </c>
      <c r="D2116" s="79">
        <v>22347.56999999996</v>
      </c>
    </row>
    <row r="2117" spans="1:4" x14ac:dyDescent="0.3">
      <c r="A2117" s="88" t="s">
        <v>32</v>
      </c>
      <c r="B2117" s="88"/>
      <c r="C2117" s="16">
        <v>46218</v>
      </c>
      <c r="D2117" s="79">
        <v>6522.8000000000029</v>
      </c>
    </row>
    <row r="2118" spans="1:4" x14ac:dyDescent="0.3">
      <c r="A2118" s="88" t="s">
        <v>33</v>
      </c>
      <c r="B2118" s="88"/>
      <c r="C2118" s="16">
        <v>46218</v>
      </c>
      <c r="D2118" s="79">
        <v>28485.559999999998</v>
      </c>
    </row>
    <row r="2119" spans="1:4" x14ac:dyDescent="0.3">
      <c r="A2119" s="88" t="s">
        <v>34</v>
      </c>
      <c r="B2119" s="88"/>
      <c r="C2119" s="16">
        <v>46218</v>
      </c>
      <c r="D2119" s="79">
        <v>345</v>
      </c>
    </row>
    <row r="2120" spans="1:4" x14ac:dyDescent="0.3">
      <c r="A2120" s="88" t="s">
        <v>35</v>
      </c>
      <c r="B2120" s="88"/>
      <c r="C2120" s="16">
        <v>46218</v>
      </c>
      <c r="D2120" s="79">
        <v>25023.24</v>
      </c>
    </row>
    <row r="2121" spans="1:4" x14ac:dyDescent="0.3">
      <c r="A2121" s="88" t="s">
        <v>193</v>
      </c>
      <c r="B2121" s="88"/>
      <c r="C2121" s="16">
        <v>46218</v>
      </c>
      <c r="D2121" s="79">
        <v>0</v>
      </c>
    </row>
    <row r="2122" spans="1:4" x14ac:dyDescent="0.3">
      <c r="A2122" s="88" t="s">
        <v>214</v>
      </c>
      <c r="B2122" s="88"/>
      <c r="C2122" s="16">
        <v>46218</v>
      </c>
      <c r="D2122" s="79">
        <v>0</v>
      </c>
    </row>
    <row r="2123" spans="1:4" x14ac:dyDescent="0.3">
      <c r="A2123" s="88" t="s">
        <v>194</v>
      </c>
      <c r="B2123" s="88"/>
      <c r="C2123" s="16">
        <v>46218</v>
      </c>
      <c r="D2123" s="79">
        <v>0</v>
      </c>
    </row>
    <row r="2124" spans="1:4" x14ac:dyDescent="0.3">
      <c r="A2124" s="88" t="s">
        <v>195</v>
      </c>
      <c r="B2124" s="88"/>
      <c r="C2124" s="16">
        <v>46218</v>
      </c>
      <c r="D2124" s="79">
        <v>0</v>
      </c>
    </row>
    <row r="2125" spans="1:4" x14ac:dyDescent="0.3">
      <c r="A2125" s="88" t="s">
        <v>196</v>
      </c>
      <c r="B2125" s="88"/>
      <c r="C2125" s="16">
        <v>46218</v>
      </c>
      <c r="D2125" s="79">
        <v>0</v>
      </c>
    </row>
    <row r="2126" spans="1:4" x14ac:dyDescent="0.3">
      <c r="A2126" s="88" t="s">
        <v>197</v>
      </c>
      <c r="B2126" s="88"/>
      <c r="C2126" s="16">
        <v>46218</v>
      </c>
      <c r="D2126" s="79">
        <v>0</v>
      </c>
    </row>
    <row r="2127" spans="1:4" x14ac:dyDescent="0.3">
      <c r="A2127" s="88" t="s">
        <v>212</v>
      </c>
      <c r="B2127" s="88"/>
      <c r="C2127" s="16">
        <v>46218</v>
      </c>
      <c r="D2127" s="79">
        <v>0</v>
      </c>
    </row>
    <row r="2128" spans="1:4" x14ac:dyDescent="0.3">
      <c r="A2128" s="88" t="s">
        <v>199</v>
      </c>
      <c r="B2128" s="88"/>
      <c r="C2128" s="16">
        <v>46218</v>
      </c>
      <c r="D2128" s="79">
        <v>0</v>
      </c>
    </row>
    <row r="2129" spans="1:4" x14ac:dyDescent="0.3">
      <c r="A2129" s="88" t="s">
        <v>217</v>
      </c>
      <c r="B2129" s="88"/>
      <c r="C2129" s="16">
        <v>46218</v>
      </c>
      <c r="D2129" s="79">
        <v>0</v>
      </c>
    </row>
    <row r="2130" spans="1:4" x14ac:dyDescent="0.3">
      <c r="A2130" s="88" t="s">
        <v>17</v>
      </c>
      <c r="B2130" s="88"/>
      <c r="C2130" s="16">
        <v>46219</v>
      </c>
      <c r="D2130" s="79">
        <v>3110339.0700000008</v>
      </c>
    </row>
    <row r="2131" spans="1:4" x14ac:dyDescent="0.3">
      <c r="A2131" s="88" t="s">
        <v>18</v>
      </c>
      <c r="B2131" s="88"/>
      <c r="C2131" s="16">
        <v>46219</v>
      </c>
      <c r="D2131" s="79">
        <v>73157.680000000168</v>
      </c>
    </row>
    <row r="2132" spans="1:4" x14ac:dyDescent="0.3">
      <c r="A2132" s="88" t="s">
        <v>19</v>
      </c>
      <c r="B2132" s="88"/>
      <c r="C2132" s="16">
        <v>46219</v>
      </c>
      <c r="D2132" s="79">
        <v>1669.89</v>
      </c>
    </row>
    <row r="2133" spans="1:4" x14ac:dyDescent="0.3">
      <c r="A2133" s="88" t="s">
        <v>20</v>
      </c>
      <c r="B2133" s="88"/>
      <c r="C2133" s="16">
        <v>46219</v>
      </c>
      <c r="D2133" s="79">
        <v>1029804.7499999998</v>
      </c>
    </row>
    <row r="2134" spans="1:4" x14ac:dyDescent="0.3">
      <c r="A2134" s="88" t="s">
        <v>21</v>
      </c>
      <c r="B2134" s="88"/>
      <c r="C2134" s="16">
        <v>46219</v>
      </c>
      <c r="D2134" s="79">
        <v>1678189.7499999995</v>
      </c>
    </row>
    <row r="2135" spans="1:4" x14ac:dyDescent="0.3">
      <c r="A2135" s="88" t="s">
        <v>22</v>
      </c>
      <c r="B2135" s="88"/>
      <c r="C2135" s="16">
        <v>46219</v>
      </c>
      <c r="D2135" s="79">
        <v>200496.38</v>
      </c>
    </row>
    <row r="2136" spans="1:4" x14ac:dyDescent="0.3">
      <c r="A2136" s="88" t="s">
        <v>23</v>
      </c>
      <c r="B2136" s="88"/>
      <c r="C2136" s="16">
        <v>46219</v>
      </c>
      <c r="D2136" s="79">
        <v>267507.45</v>
      </c>
    </row>
    <row r="2137" spans="1:4" x14ac:dyDescent="0.3">
      <c r="A2137" s="88" t="s">
        <v>24</v>
      </c>
      <c r="B2137" s="88"/>
      <c r="C2137" s="16">
        <v>46219</v>
      </c>
      <c r="D2137" s="79">
        <v>14580.45</v>
      </c>
    </row>
    <row r="2138" spans="1:4" x14ac:dyDescent="0.3">
      <c r="A2138" s="88" t="s">
        <v>25</v>
      </c>
      <c r="B2138" s="88"/>
      <c r="C2138" s="16">
        <v>46219</v>
      </c>
      <c r="D2138" s="79">
        <v>54.400000000000006</v>
      </c>
    </row>
    <row r="2139" spans="1:4" x14ac:dyDescent="0.3">
      <c r="A2139" s="88" t="s">
        <v>26</v>
      </c>
      <c r="B2139" s="88"/>
      <c r="C2139" s="16">
        <v>46219</v>
      </c>
      <c r="D2139" s="79">
        <v>2207.8200000000002</v>
      </c>
    </row>
    <row r="2140" spans="1:4" x14ac:dyDescent="0.3">
      <c r="A2140" s="88" t="s">
        <v>27</v>
      </c>
      <c r="B2140" s="88"/>
      <c r="C2140" s="16">
        <v>46219</v>
      </c>
      <c r="D2140" s="79">
        <v>1454589.72</v>
      </c>
    </row>
    <row r="2141" spans="1:4" x14ac:dyDescent="0.3">
      <c r="A2141" s="88" t="s">
        <v>28</v>
      </c>
      <c r="B2141" s="88"/>
      <c r="C2141" s="16">
        <v>46219</v>
      </c>
      <c r="D2141" s="79">
        <v>1968.99</v>
      </c>
    </row>
    <row r="2142" spans="1:4" x14ac:dyDescent="0.3">
      <c r="A2142" s="88" t="s">
        <v>29</v>
      </c>
      <c r="B2142" s="88"/>
      <c r="C2142" s="16">
        <v>46219</v>
      </c>
      <c r="D2142" s="79">
        <v>901.34</v>
      </c>
    </row>
    <row r="2143" spans="1:4" x14ac:dyDescent="0.3">
      <c r="A2143" s="88" t="s">
        <v>30</v>
      </c>
      <c r="B2143" s="88"/>
      <c r="C2143" s="16">
        <v>46219</v>
      </c>
      <c r="D2143" s="79">
        <v>1412.08</v>
      </c>
    </row>
    <row r="2144" spans="1:4" x14ac:dyDescent="0.3">
      <c r="A2144" s="88" t="s">
        <v>31</v>
      </c>
      <c r="B2144" s="88"/>
      <c r="C2144" s="16">
        <v>46219</v>
      </c>
      <c r="D2144" s="79">
        <v>22347.56999999996</v>
      </c>
    </row>
    <row r="2145" spans="1:4" x14ac:dyDescent="0.3">
      <c r="A2145" s="88" t="s">
        <v>32</v>
      </c>
      <c r="B2145" s="88"/>
      <c r="C2145" s="16">
        <v>46219</v>
      </c>
      <c r="D2145" s="79">
        <v>3522.8000000000029</v>
      </c>
    </row>
    <row r="2146" spans="1:4" x14ac:dyDescent="0.3">
      <c r="A2146" s="88" t="s">
        <v>33</v>
      </c>
      <c r="B2146" s="88"/>
      <c r="C2146" s="16">
        <v>46219</v>
      </c>
      <c r="D2146" s="79">
        <v>28485.559999999998</v>
      </c>
    </row>
    <row r="2147" spans="1:4" x14ac:dyDescent="0.3">
      <c r="A2147" s="88" t="s">
        <v>34</v>
      </c>
      <c r="B2147" s="88"/>
      <c r="C2147" s="16">
        <v>46219</v>
      </c>
      <c r="D2147" s="79">
        <v>345</v>
      </c>
    </row>
    <row r="2148" spans="1:4" x14ac:dyDescent="0.3">
      <c r="A2148" s="88" t="s">
        <v>35</v>
      </c>
      <c r="B2148" s="88"/>
      <c r="C2148" s="16">
        <v>46219</v>
      </c>
      <c r="D2148" s="79">
        <v>23978.850000000002</v>
      </c>
    </row>
    <row r="2149" spans="1:4" x14ac:dyDescent="0.3">
      <c r="A2149" s="88" t="s">
        <v>193</v>
      </c>
      <c r="B2149" s="88"/>
      <c r="C2149" s="16">
        <v>46219</v>
      </c>
      <c r="D2149" s="79">
        <v>0</v>
      </c>
    </row>
    <row r="2150" spans="1:4" x14ac:dyDescent="0.3">
      <c r="A2150" s="88" t="s">
        <v>214</v>
      </c>
      <c r="B2150" s="88"/>
      <c r="C2150" s="16">
        <v>46219</v>
      </c>
      <c r="D2150" s="79">
        <v>0</v>
      </c>
    </row>
    <row r="2151" spans="1:4" x14ac:dyDescent="0.3">
      <c r="A2151" s="88" t="s">
        <v>194</v>
      </c>
      <c r="B2151" s="88"/>
      <c r="C2151" s="16">
        <v>46219</v>
      </c>
      <c r="D2151" s="79">
        <v>0</v>
      </c>
    </row>
    <row r="2152" spans="1:4" x14ac:dyDescent="0.3">
      <c r="A2152" s="88" t="s">
        <v>195</v>
      </c>
      <c r="B2152" s="88"/>
      <c r="C2152" s="16">
        <v>46219</v>
      </c>
      <c r="D2152" s="79">
        <v>0</v>
      </c>
    </row>
    <row r="2153" spans="1:4" x14ac:dyDescent="0.3">
      <c r="A2153" s="88" t="s">
        <v>196</v>
      </c>
      <c r="B2153" s="88"/>
      <c r="C2153" s="16">
        <v>46219</v>
      </c>
      <c r="D2153" s="79">
        <v>0</v>
      </c>
    </row>
    <row r="2154" spans="1:4" x14ac:dyDescent="0.3">
      <c r="A2154" s="88" t="s">
        <v>197</v>
      </c>
      <c r="B2154" s="88"/>
      <c r="C2154" s="16">
        <v>46219</v>
      </c>
      <c r="D2154" s="79">
        <v>0</v>
      </c>
    </row>
    <row r="2155" spans="1:4" x14ac:dyDescent="0.3">
      <c r="A2155" s="88" t="s">
        <v>212</v>
      </c>
      <c r="B2155" s="88"/>
      <c r="C2155" s="16">
        <v>46219</v>
      </c>
      <c r="D2155" s="79">
        <v>0</v>
      </c>
    </row>
    <row r="2156" spans="1:4" x14ac:dyDescent="0.3">
      <c r="A2156" s="88" t="s">
        <v>199</v>
      </c>
      <c r="B2156" s="88"/>
      <c r="C2156" s="16">
        <v>46219</v>
      </c>
      <c r="D2156" s="79">
        <v>0</v>
      </c>
    </row>
    <row r="2157" spans="1:4" x14ac:dyDescent="0.3">
      <c r="A2157" s="88" t="s">
        <v>217</v>
      </c>
      <c r="B2157" s="88"/>
      <c r="C2157" s="16">
        <v>46219</v>
      </c>
      <c r="D2157" s="79">
        <v>0</v>
      </c>
    </row>
    <row r="2158" spans="1:4" x14ac:dyDescent="0.3">
      <c r="A2158" s="88" t="s">
        <v>17</v>
      </c>
      <c r="B2158" s="88"/>
      <c r="C2158" s="16">
        <v>46220</v>
      </c>
      <c r="D2158" s="79">
        <v>3110339.0700000008</v>
      </c>
    </row>
    <row r="2159" spans="1:4" x14ac:dyDescent="0.3">
      <c r="A2159" s="88" t="s">
        <v>18</v>
      </c>
      <c r="B2159" s="88"/>
      <c r="C2159" s="16">
        <v>46220</v>
      </c>
      <c r="D2159" s="79">
        <v>73157.680000000168</v>
      </c>
    </row>
    <row r="2160" spans="1:4" x14ac:dyDescent="0.3">
      <c r="A2160" s="88" t="s">
        <v>19</v>
      </c>
      <c r="B2160" s="88"/>
      <c r="C2160" s="16">
        <v>46220</v>
      </c>
      <c r="D2160" s="79">
        <v>1669.89</v>
      </c>
    </row>
    <row r="2161" spans="1:4" x14ac:dyDescent="0.3">
      <c r="A2161" s="88" t="s">
        <v>20</v>
      </c>
      <c r="B2161" s="88"/>
      <c r="C2161" s="16">
        <v>46220</v>
      </c>
      <c r="D2161" s="79">
        <v>1029804.7499999998</v>
      </c>
    </row>
    <row r="2162" spans="1:4" x14ac:dyDescent="0.3">
      <c r="A2162" s="88" t="s">
        <v>21</v>
      </c>
      <c r="B2162" s="88"/>
      <c r="C2162" s="16">
        <v>46220</v>
      </c>
      <c r="D2162" s="79">
        <v>1748189.7499999995</v>
      </c>
    </row>
    <row r="2163" spans="1:4" x14ac:dyDescent="0.3">
      <c r="A2163" s="88" t="s">
        <v>22</v>
      </c>
      <c r="B2163" s="88"/>
      <c r="C2163" s="16">
        <v>46220</v>
      </c>
      <c r="D2163" s="79">
        <v>200496.38</v>
      </c>
    </row>
    <row r="2164" spans="1:4" x14ac:dyDescent="0.3">
      <c r="A2164" s="88" t="s">
        <v>23</v>
      </c>
      <c r="B2164" s="88"/>
      <c r="C2164" s="16">
        <v>46220</v>
      </c>
      <c r="D2164" s="79">
        <v>267507.45</v>
      </c>
    </row>
    <row r="2165" spans="1:4" x14ac:dyDescent="0.3">
      <c r="A2165" s="88" t="s">
        <v>24</v>
      </c>
      <c r="B2165" s="88"/>
      <c r="C2165" s="16">
        <v>46220</v>
      </c>
      <c r="D2165" s="79">
        <v>14580.45</v>
      </c>
    </row>
    <row r="2166" spans="1:4" x14ac:dyDescent="0.3">
      <c r="A2166" s="88" t="s">
        <v>25</v>
      </c>
      <c r="B2166" s="88"/>
      <c r="C2166" s="16">
        <v>46220</v>
      </c>
      <c r="D2166" s="79">
        <v>54.400000000000006</v>
      </c>
    </row>
    <row r="2167" spans="1:4" x14ac:dyDescent="0.3">
      <c r="A2167" s="88" t="s">
        <v>26</v>
      </c>
      <c r="B2167" s="88"/>
      <c r="C2167" s="16">
        <v>46220</v>
      </c>
      <c r="D2167" s="79">
        <v>2207.8200000000002</v>
      </c>
    </row>
    <row r="2168" spans="1:4" x14ac:dyDescent="0.3">
      <c r="A2168" s="88" t="s">
        <v>27</v>
      </c>
      <c r="B2168" s="88"/>
      <c r="C2168" s="16">
        <v>46220</v>
      </c>
      <c r="D2168" s="79">
        <v>1454589.72</v>
      </c>
    </row>
    <row r="2169" spans="1:4" x14ac:dyDescent="0.3">
      <c r="A2169" s="88" t="s">
        <v>28</v>
      </c>
      <c r="B2169" s="88"/>
      <c r="C2169" s="16">
        <v>46220</v>
      </c>
      <c r="D2169" s="79">
        <v>1968.99</v>
      </c>
    </row>
    <row r="2170" spans="1:4" x14ac:dyDescent="0.3">
      <c r="A2170" s="88" t="s">
        <v>29</v>
      </c>
      <c r="B2170" s="88"/>
      <c r="C2170" s="16">
        <v>46220</v>
      </c>
      <c r="D2170" s="79">
        <v>901.34</v>
      </c>
    </row>
    <row r="2171" spans="1:4" x14ac:dyDescent="0.3">
      <c r="A2171" s="88" t="s">
        <v>30</v>
      </c>
      <c r="B2171" s="88"/>
      <c r="C2171" s="16">
        <v>46220</v>
      </c>
      <c r="D2171" s="79">
        <v>1412.08</v>
      </c>
    </row>
    <row r="2172" spans="1:4" x14ac:dyDescent="0.3">
      <c r="A2172" s="88" t="s">
        <v>31</v>
      </c>
      <c r="B2172" s="88"/>
      <c r="C2172" s="16">
        <v>46220</v>
      </c>
      <c r="D2172" s="79">
        <v>22347.56999999996</v>
      </c>
    </row>
    <row r="2173" spans="1:4" x14ac:dyDescent="0.3">
      <c r="A2173" s="88" t="s">
        <v>32</v>
      </c>
      <c r="B2173" s="88"/>
      <c r="C2173" s="16">
        <v>46220</v>
      </c>
      <c r="D2173" s="79">
        <v>3522.8000000000029</v>
      </c>
    </row>
    <row r="2174" spans="1:4" x14ac:dyDescent="0.3">
      <c r="A2174" s="88" t="s">
        <v>33</v>
      </c>
      <c r="B2174" s="88"/>
      <c r="C2174" s="16">
        <v>46220</v>
      </c>
      <c r="D2174" s="79">
        <v>28485.559999999998</v>
      </c>
    </row>
    <row r="2175" spans="1:4" x14ac:dyDescent="0.3">
      <c r="A2175" s="88" t="s">
        <v>34</v>
      </c>
      <c r="B2175" s="88"/>
      <c r="C2175" s="16">
        <v>46220</v>
      </c>
      <c r="D2175" s="79">
        <v>345</v>
      </c>
    </row>
    <row r="2176" spans="1:4" x14ac:dyDescent="0.3">
      <c r="A2176" s="88" t="s">
        <v>35</v>
      </c>
      <c r="B2176" s="88"/>
      <c r="C2176" s="16">
        <v>46220</v>
      </c>
      <c r="D2176" s="79">
        <v>16230.620000000003</v>
      </c>
    </row>
    <row r="2177" spans="1:4" x14ac:dyDescent="0.3">
      <c r="A2177" s="88" t="s">
        <v>193</v>
      </c>
      <c r="B2177" s="88"/>
      <c r="C2177" s="16">
        <v>46220</v>
      </c>
      <c r="D2177" s="79">
        <v>0</v>
      </c>
    </row>
    <row r="2178" spans="1:4" x14ac:dyDescent="0.3">
      <c r="A2178" s="88" t="s">
        <v>214</v>
      </c>
      <c r="B2178" s="88"/>
      <c r="C2178" s="16">
        <v>46220</v>
      </c>
      <c r="D2178" s="79">
        <v>0</v>
      </c>
    </row>
    <row r="2179" spans="1:4" x14ac:dyDescent="0.3">
      <c r="A2179" s="88" t="s">
        <v>194</v>
      </c>
      <c r="B2179" s="88"/>
      <c r="C2179" s="16">
        <v>46220</v>
      </c>
      <c r="D2179" s="79">
        <v>0</v>
      </c>
    </row>
    <row r="2180" spans="1:4" x14ac:dyDescent="0.3">
      <c r="A2180" s="88" t="s">
        <v>195</v>
      </c>
      <c r="B2180" s="88"/>
      <c r="C2180" s="16">
        <v>46220</v>
      </c>
      <c r="D2180" s="79">
        <v>0</v>
      </c>
    </row>
    <row r="2181" spans="1:4" x14ac:dyDescent="0.3">
      <c r="A2181" s="88" t="s">
        <v>196</v>
      </c>
      <c r="B2181" s="88"/>
      <c r="C2181" s="16">
        <v>46220</v>
      </c>
      <c r="D2181" s="79">
        <v>0</v>
      </c>
    </row>
    <row r="2182" spans="1:4" x14ac:dyDescent="0.3">
      <c r="A2182" s="88" t="s">
        <v>197</v>
      </c>
      <c r="B2182" s="88"/>
      <c r="C2182" s="16">
        <v>46220</v>
      </c>
      <c r="D2182" s="79">
        <v>0</v>
      </c>
    </row>
    <row r="2183" spans="1:4" x14ac:dyDescent="0.3">
      <c r="A2183" s="88" t="s">
        <v>212</v>
      </c>
      <c r="B2183" s="88"/>
      <c r="C2183" s="16">
        <v>46220</v>
      </c>
      <c r="D2183" s="79">
        <v>0</v>
      </c>
    </row>
    <row r="2184" spans="1:4" x14ac:dyDescent="0.3">
      <c r="A2184" s="88" t="s">
        <v>199</v>
      </c>
      <c r="B2184" s="88"/>
      <c r="C2184" s="16">
        <v>46220</v>
      </c>
      <c r="D2184" s="79">
        <v>0</v>
      </c>
    </row>
    <row r="2185" spans="1:4" x14ac:dyDescent="0.3">
      <c r="A2185" s="88" t="s">
        <v>217</v>
      </c>
      <c r="B2185" s="88"/>
      <c r="C2185" s="16">
        <v>46220</v>
      </c>
      <c r="D2185" s="79">
        <v>0</v>
      </c>
    </row>
    <row r="2186" spans="1:4" x14ac:dyDescent="0.3">
      <c r="A2186" s="88" t="s">
        <v>17</v>
      </c>
      <c r="B2186" s="88"/>
      <c r="C2186" s="16">
        <v>46221</v>
      </c>
      <c r="D2186" s="79">
        <v>3110339.0700000008</v>
      </c>
    </row>
    <row r="2187" spans="1:4" x14ac:dyDescent="0.3">
      <c r="A2187" s="88" t="s">
        <v>18</v>
      </c>
      <c r="B2187" s="88"/>
      <c r="C2187" s="16">
        <v>46221</v>
      </c>
      <c r="D2187" s="79">
        <v>73157.680000000168</v>
      </c>
    </row>
    <row r="2188" spans="1:4" x14ac:dyDescent="0.3">
      <c r="A2188" s="88" t="s">
        <v>19</v>
      </c>
      <c r="B2188" s="88"/>
      <c r="C2188" s="16">
        <v>46221</v>
      </c>
      <c r="D2188" s="79">
        <v>1669.89</v>
      </c>
    </row>
    <row r="2189" spans="1:4" x14ac:dyDescent="0.3">
      <c r="A2189" s="88" t="s">
        <v>20</v>
      </c>
      <c r="B2189" s="88"/>
      <c r="C2189" s="16">
        <v>46221</v>
      </c>
      <c r="D2189" s="79">
        <v>1029804.7499999998</v>
      </c>
    </row>
    <row r="2190" spans="1:4" x14ac:dyDescent="0.3">
      <c r="A2190" s="88" t="s">
        <v>21</v>
      </c>
      <c r="B2190" s="88"/>
      <c r="C2190" s="16">
        <v>46221</v>
      </c>
      <c r="D2190" s="79">
        <v>1748189.7499999995</v>
      </c>
    </row>
    <row r="2191" spans="1:4" x14ac:dyDescent="0.3">
      <c r="A2191" s="88" t="s">
        <v>22</v>
      </c>
      <c r="B2191" s="88"/>
      <c r="C2191" s="16">
        <v>46221</v>
      </c>
      <c r="D2191" s="79">
        <v>200496.38</v>
      </c>
    </row>
    <row r="2192" spans="1:4" x14ac:dyDescent="0.3">
      <c r="A2192" s="88" t="s">
        <v>23</v>
      </c>
      <c r="B2192" s="88"/>
      <c r="C2192" s="16">
        <v>46221</v>
      </c>
      <c r="D2192" s="79">
        <v>267507.45</v>
      </c>
    </row>
    <row r="2193" spans="1:4" x14ac:dyDescent="0.3">
      <c r="A2193" s="88" t="s">
        <v>24</v>
      </c>
      <c r="B2193" s="88"/>
      <c r="C2193" s="16">
        <v>46221</v>
      </c>
      <c r="D2193" s="79">
        <v>14580.45</v>
      </c>
    </row>
    <row r="2194" spans="1:4" x14ac:dyDescent="0.3">
      <c r="A2194" s="88" t="s">
        <v>25</v>
      </c>
      <c r="B2194" s="88"/>
      <c r="C2194" s="16">
        <v>46221</v>
      </c>
      <c r="D2194" s="79">
        <v>54.400000000000006</v>
      </c>
    </row>
    <row r="2195" spans="1:4" x14ac:dyDescent="0.3">
      <c r="A2195" s="88" t="s">
        <v>26</v>
      </c>
      <c r="B2195" s="88"/>
      <c r="C2195" s="16">
        <v>46221</v>
      </c>
      <c r="D2195" s="79">
        <v>2207.8200000000002</v>
      </c>
    </row>
    <row r="2196" spans="1:4" x14ac:dyDescent="0.3">
      <c r="A2196" s="88" t="s">
        <v>27</v>
      </c>
      <c r="B2196" s="88"/>
      <c r="C2196" s="16">
        <v>46221</v>
      </c>
      <c r="D2196" s="79">
        <v>1454589.72</v>
      </c>
    </row>
    <row r="2197" spans="1:4" x14ac:dyDescent="0.3">
      <c r="A2197" s="88" t="s">
        <v>28</v>
      </c>
      <c r="B2197" s="88"/>
      <c r="C2197" s="16">
        <v>46221</v>
      </c>
      <c r="D2197" s="79">
        <v>1968.99</v>
      </c>
    </row>
    <row r="2198" spans="1:4" x14ac:dyDescent="0.3">
      <c r="A2198" s="88" t="s">
        <v>29</v>
      </c>
      <c r="B2198" s="88"/>
      <c r="C2198" s="16">
        <v>46221</v>
      </c>
      <c r="D2198" s="79">
        <v>901.34</v>
      </c>
    </row>
    <row r="2199" spans="1:4" x14ac:dyDescent="0.3">
      <c r="A2199" s="88" t="s">
        <v>30</v>
      </c>
      <c r="B2199" s="88"/>
      <c r="C2199" s="16">
        <v>46221</v>
      </c>
      <c r="D2199" s="79">
        <v>1412.08</v>
      </c>
    </row>
    <row r="2200" spans="1:4" x14ac:dyDescent="0.3">
      <c r="A2200" s="88" t="s">
        <v>31</v>
      </c>
      <c r="B2200" s="88"/>
      <c r="C2200" s="16">
        <v>46221</v>
      </c>
      <c r="D2200" s="79">
        <v>22347.56999999996</v>
      </c>
    </row>
    <row r="2201" spans="1:4" x14ac:dyDescent="0.3">
      <c r="A2201" s="88" t="s">
        <v>32</v>
      </c>
      <c r="B2201" s="88"/>
      <c r="C2201" s="16">
        <v>46221</v>
      </c>
      <c r="D2201" s="79">
        <v>3522.8000000000029</v>
      </c>
    </row>
    <row r="2202" spans="1:4" x14ac:dyDescent="0.3">
      <c r="A2202" s="88" t="s">
        <v>33</v>
      </c>
      <c r="B2202" s="88"/>
      <c r="C2202" s="16">
        <v>46221</v>
      </c>
      <c r="D2202" s="79">
        <v>28485.559999999998</v>
      </c>
    </row>
    <row r="2203" spans="1:4" x14ac:dyDescent="0.3">
      <c r="A2203" s="88" t="s">
        <v>34</v>
      </c>
      <c r="B2203" s="88"/>
      <c r="C2203" s="16">
        <v>46221</v>
      </c>
      <c r="D2203" s="79">
        <v>345</v>
      </c>
    </row>
    <row r="2204" spans="1:4" x14ac:dyDescent="0.3">
      <c r="A2204" s="88" t="s">
        <v>35</v>
      </c>
      <c r="B2204" s="88"/>
      <c r="C2204" s="16">
        <v>46221</v>
      </c>
      <c r="D2204" s="79">
        <v>16230.620000000003</v>
      </c>
    </row>
    <row r="2205" spans="1:4" x14ac:dyDescent="0.3">
      <c r="A2205" s="88" t="s">
        <v>193</v>
      </c>
      <c r="B2205" s="88"/>
      <c r="C2205" s="16">
        <v>46221</v>
      </c>
      <c r="D2205" s="79">
        <v>0</v>
      </c>
    </row>
    <row r="2206" spans="1:4" x14ac:dyDescent="0.3">
      <c r="A2206" s="88" t="s">
        <v>214</v>
      </c>
      <c r="B2206" s="88"/>
      <c r="C2206" s="16">
        <v>46221</v>
      </c>
      <c r="D2206" s="79">
        <v>0</v>
      </c>
    </row>
    <row r="2207" spans="1:4" x14ac:dyDescent="0.3">
      <c r="A2207" s="88" t="s">
        <v>194</v>
      </c>
      <c r="B2207" s="88"/>
      <c r="C2207" s="16">
        <v>46221</v>
      </c>
      <c r="D2207" s="79">
        <v>0</v>
      </c>
    </row>
    <row r="2208" spans="1:4" x14ac:dyDescent="0.3">
      <c r="A2208" s="88" t="s">
        <v>195</v>
      </c>
      <c r="B2208" s="88"/>
      <c r="C2208" s="16">
        <v>46221</v>
      </c>
      <c r="D2208" s="79">
        <v>0</v>
      </c>
    </row>
    <row r="2209" spans="1:4" x14ac:dyDescent="0.3">
      <c r="A2209" s="88" t="s">
        <v>196</v>
      </c>
      <c r="B2209" s="88"/>
      <c r="C2209" s="16">
        <v>46221</v>
      </c>
      <c r="D2209" s="79">
        <v>0</v>
      </c>
    </row>
    <row r="2210" spans="1:4" x14ac:dyDescent="0.3">
      <c r="A2210" s="88" t="s">
        <v>197</v>
      </c>
      <c r="B2210" s="88"/>
      <c r="C2210" s="16">
        <v>46221</v>
      </c>
      <c r="D2210" s="79">
        <v>0</v>
      </c>
    </row>
    <row r="2211" spans="1:4" x14ac:dyDescent="0.3">
      <c r="A2211" s="88" t="s">
        <v>212</v>
      </c>
      <c r="B2211" s="88"/>
      <c r="C2211" s="16">
        <v>46221</v>
      </c>
      <c r="D2211" s="79">
        <v>0</v>
      </c>
    </row>
    <row r="2212" spans="1:4" x14ac:dyDescent="0.3">
      <c r="A2212" s="88" t="s">
        <v>199</v>
      </c>
      <c r="B2212" s="88"/>
      <c r="C2212" s="16">
        <v>46221</v>
      </c>
      <c r="D2212" s="79">
        <v>0</v>
      </c>
    </row>
    <row r="2213" spans="1:4" x14ac:dyDescent="0.3">
      <c r="A2213" s="88" t="s">
        <v>217</v>
      </c>
      <c r="B2213" s="88"/>
      <c r="C2213" s="16">
        <v>46221</v>
      </c>
      <c r="D2213" s="79">
        <v>0</v>
      </c>
    </row>
    <row r="2214" spans="1:4" x14ac:dyDescent="0.3">
      <c r="A2214" s="88" t="s">
        <v>17</v>
      </c>
      <c r="B2214" s="88"/>
      <c r="C2214" s="16">
        <v>46222</v>
      </c>
      <c r="D2214" s="79">
        <v>3110339.0700000008</v>
      </c>
    </row>
    <row r="2215" spans="1:4" x14ac:dyDescent="0.3">
      <c r="A2215" s="88" t="s">
        <v>18</v>
      </c>
      <c r="B2215" s="88"/>
      <c r="C2215" s="16">
        <v>46222</v>
      </c>
      <c r="D2215" s="79">
        <v>73157.680000000168</v>
      </c>
    </row>
    <row r="2216" spans="1:4" x14ac:dyDescent="0.3">
      <c r="A2216" s="88" t="s">
        <v>19</v>
      </c>
      <c r="B2216" s="88"/>
      <c r="C2216" s="16">
        <v>46222</v>
      </c>
      <c r="D2216" s="79">
        <v>1669.89</v>
      </c>
    </row>
    <row r="2217" spans="1:4" x14ac:dyDescent="0.3">
      <c r="A2217" s="88" t="s">
        <v>20</v>
      </c>
      <c r="B2217" s="88"/>
      <c r="C2217" s="16">
        <v>46222</v>
      </c>
      <c r="D2217" s="79">
        <v>1029804.7499999998</v>
      </c>
    </row>
    <row r="2218" spans="1:4" x14ac:dyDescent="0.3">
      <c r="A2218" s="88" t="s">
        <v>21</v>
      </c>
      <c r="B2218" s="88"/>
      <c r="C2218" s="16">
        <v>46222</v>
      </c>
      <c r="D2218" s="79">
        <v>1748189.7499999995</v>
      </c>
    </row>
    <row r="2219" spans="1:4" x14ac:dyDescent="0.3">
      <c r="A2219" s="88" t="s">
        <v>22</v>
      </c>
      <c r="B2219" s="88"/>
      <c r="C2219" s="16">
        <v>46222</v>
      </c>
      <c r="D2219" s="79">
        <v>200496.38</v>
      </c>
    </row>
    <row r="2220" spans="1:4" x14ac:dyDescent="0.3">
      <c r="A2220" s="88" t="s">
        <v>23</v>
      </c>
      <c r="B2220" s="88"/>
      <c r="C2220" s="16">
        <v>46222</v>
      </c>
      <c r="D2220" s="79">
        <v>267507.45</v>
      </c>
    </row>
    <row r="2221" spans="1:4" x14ac:dyDescent="0.3">
      <c r="A2221" s="88" t="s">
        <v>24</v>
      </c>
      <c r="B2221" s="88"/>
      <c r="C2221" s="16">
        <v>46222</v>
      </c>
      <c r="D2221" s="79">
        <v>14580.45</v>
      </c>
    </row>
    <row r="2222" spans="1:4" x14ac:dyDescent="0.3">
      <c r="A2222" s="88" t="s">
        <v>25</v>
      </c>
      <c r="B2222" s="88"/>
      <c r="C2222" s="16">
        <v>46222</v>
      </c>
      <c r="D2222" s="79">
        <v>54.400000000000006</v>
      </c>
    </row>
    <row r="2223" spans="1:4" x14ac:dyDescent="0.3">
      <c r="A2223" s="88" t="s">
        <v>26</v>
      </c>
      <c r="B2223" s="88"/>
      <c r="C2223" s="16">
        <v>46222</v>
      </c>
      <c r="D2223" s="79">
        <v>2207.8200000000002</v>
      </c>
    </row>
    <row r="2224" spans="1:4" x14ac:dyDescent="0.3">
      <c r="A2224" s="88" t="s">
        <v>27</v>
      </c>
      <c r="B2224" s="88"/>
      <c r="C2224" s="16">
        <v>46222</v>
      </c>
      <c r="D2224" s="79">
        <v>1454589.72</v>
      </c>
    </row>
    <row r="2225" spans="1:4" x14ac:dyDescent="0.3">
      <c r="A2225" s="88" t="s">
        <v>28</v>
      </c>
      <c r="B2225" s="88"/>
      <c r="C2225" s="16">
        <v>46222</v>
      </c>
      <c r="D2225" s="79">
        <v>1968.99</v>
      </c>
    </row>
    <row r="2226" spans="1:4" x14ac:dyDescent="0.3">
      <c r="A2226" s="88" t="s">
        <v>29</v>
      </c>
      <c r="B2226" s="88"/>
      <c r="C2226" s="16">
        <v>46222</v>
      </c>
      <c r="D2226" s="79">
        <v>901.34</v>
      </c>
    </row>
    <row r="2227" spans="1:4" x14ac:dyDescent="0.3">
      <c r="A2227" s="88" t="s">
        <v>30</v>
      </c>
      <c r="B2227" s="88"/>
      <c r="C2227" s="16">
        <v>46222</v>
      </c>
      <c r="D2227" s="79">
        <v>1412.08</v>
      </c>
    </row>
    <row r="2228" spans="1:4" x14ac:dyDescent="0.3">
      <c r="A2228" s="88" t="s">
        <v>31</v>
      </c>
      <c r="B2228" s="88"/>
      <c r="C2228" s="16">
        <v>46222</v>
      </c>
      <c r="D2228" s="79">
        <v>22347.56999999996</v>
      </c>
    </row>
    <row r="2229" spans="1:4" x14ac:dyDescent="0.3">
      <c r="A2229" s="88" t="s">
        <v>32</v>
      </c>
      <c r="B2229" s="88"/>
      <c r="C2229" s="16">
        <v>46222</v>
      </c>
      <c r="D2229" s="79">
        <v>3522.8000000000029</v>
      </c>
    </row>
    <row r="2230" spans="1:4" x14ac:dyDescent="0.3">
      <c r="A2230" s="88" t="s">
        <v>33</v>
      </c>
      <c r="B2230" s="88"/>
      <c r="C2230" s="16">
        <v>46222</v>
      </c>
      <c r="D2230" s="79">
        <v>28485.559999999998</v>
      </c>
    </row>
    <row r="2231" spans="1:4" x14ac:dyDescent="0.3">
      <c r="A2231" s="88" t="s">
        <v>34</v>
      </c>
      <c r="B2231" s="88"/>
      <c r="C2231" s="16">
        <v>46222</v>
      </c>
      <c r="D2231" s="79">
        <v>345</v>
      </c>
    </row>
    <row r="2232" spans="1:4" x14ac:dyDescent="0.3">
      <c r="A2232" s="88" t="s">
        <v>35</v>
      </c>
      <c r="B2232" s="88"/>
      <c r="C2232" s="16">
        <v>46222</v>
      </c>
      <c r="D2232" s="79">
        <v>16230.620000000003</v>
      </c>
    </row>
    <row r="2233" spans="1:4" x14ac:dyDescent="0.3">
      <c r="A2233" s="88" t="s">
        <v>193</v>
      </c>
      <c r="B2233" s="88"/>
      <c r="C2233" s="16">
        <v>46222</v>
      </c>
      <c r="D2233" s="79">
        <v>0</v>
      </c>
    </row>
    <row r="2234" spans="1:4" x14ac:dyDescent="0.3">
      <c r="A2234" s="88" t="s">
        <v>214</v>
      </c>
      <c r="B2234" s="88"/>
      <c r="C2234" s="16">
        <v>46222</v>
      </c>
      <c r="D2234" s="79">
        <v>0</v>
      </c>
    </row>
    <row r="2235" spans="1:4" x14ac:dyDescent="0.3">
      <c r="A2235" s="88" t="s">
        <v>194</v>
      </c>
      <c r="B2235" s="88"/>
      <c r="C2235" s="16">
        <v>46222</v>
      </c>
      <c r="D2235" s="79">
        <v>0</v>
      </c>
    </row>
    <row r="2236" spans="1:4" x14ac:dyDescent="0.3">
      <c r="A2236" s="88" t="s">
        <v>195</v>
      </c>
      <c r="B2236" s="88"/>
      <c r="C2236" s="16">
        <v>46222</v>
      </c>
      <c r="D2236" s="79">
        <v>0</v>
      </c>
    </row>
    <row r="2237" spans="1:4" x14ac:dyDescent="0.3">
      <c r="A2237" s="88" t="s">
        <v>196</v>
      </c>
      <c r="B2237" s="88"/>
      <c r="C2237" s="16">
        <v>46222</v>
      </c>
      <c r="D2237" s="79">
        <v>0</v>
      </c>
    </row>
    <row r="2238" spans="1:4" x14ac:dyDescent="0.3">
      <c r="A2238" s="88" t="s">
        <v>197</v>
      </c>
      <c r="B2238" s="88"/>
      <c r="C2238" s="16">
        <v>46222</v>
      </c>
      <c r="D2238" s="79">
        <v>0</v>
      </c>
    </row>
    <row r="2239" spans="1:4" x14ac:dyDescent="0.3">
      <c r="A2239" s="88" t="s">
        <v>212</v>
      </c>
      <c r="B2239" s="88"/>
      <c r="C2239" s="16">
        <v>46222</v>
      </c>
      <c r="D2239" s="79">
        <v>0</v>
      </c>
    </row>
    <row r="2240" spans="1:4" x14ac:dyDescent="0.3">
      <c r="A2240" s="88" t="s">
        <v>199</v>
      </c>
      <c r="B2240" s="88"/>
      <c r="C2240" s="16">
        <v>46222</v>
      </c>
      <c r="D2240" s="79">
        <v>0</v>
      </c>
    </row>
    <row r="2241" spans="1:4" x14ac:dyDescent="0.3">
      <c r="A2241" s="88" t="s">
        <v>217</v>
      </c>
      <c r="B2241" s="88"/>
      <c r="C2241" s="16">
        <v>46222</v>
      </c>
      <c r="D2241" s="79">
        <v>0</v>
      </c>
    </row>
    <row r="2242" spans="1:4" x14ac:dyDescent="0.3">
      <c r="A2242" s="88" t="s">
        <v>17</v>
      </c>
      <c r="B2242" s="88"/>
      <c r="C2242" s="16">
        <v>46223</v>
      </c>
      <c r="D2242" s="79">
        <v>3110339.0700000008</v>
      </c>
    </row>
    <row r="2243" spans="1:4" x14ac:dyDescent="0.3">
      <c r="A2243" s="88" t="s">
        <v>18</v>
      </c>
      <c r="B2243" s="88"/>
      <c r="C2243" s="16">
        <v>46223</v>
      </c>
      <c r="D2243" s="79">
        <v>73157.680000000168</v>
      </c>
    </row>
    <row r="2244" spans="1:4" x14ac:dyDescent="0.3">
      <c r="A2244" s="88" t="s">
        <v>19</v>
      </c>
      <c r="B2244" s="88"/>
      <c r="C2244" s="16">
        <v>46223</v>
      </c>
      <c r="D2244" s="79">
        <v>1669.89</v>
      </c>
    </row>
    <row r="2245" spans="1:4" x14ac:dyDescent="0.3">
      <c r="A2245" s="88" t="s">
        <v>20</v>
      </c>
      <c r="B2245" s="88"/>
      <c r="C2245" s="16">
        <v>46223</v>
      </c>
      <c r="D2245" s="79">
        <v>1029804.7499999998</v>
      </c>
    </row>
    <row r="2246" spans="1:4" x14ac:dyDescent="0.3">
      <c r="A2246" s="88" t="s">
        <v>21</v>
      </c>
      <c r="B2246" s="88"/>
      <c r="C2246" s="16">
        <v>46223</v>
      </c>
      <c r="D2246" s="79">
        <v>1744257.8699999994</v>
      </c>
    </row>
    <row r="2247" spans="1:4" x14ac:dyDescent="0.3">
      <c r="A2247" s="88" t="s">
        <v>22</v>
      </c>
      <c r="B2247" s="88"/>
      <c r="C2247" s="16">
        <v>46223</v>
      </c>
      <c r="D2247" s="79">
        <v>200496.38</v>
      </c>
    </row>
    <row r="2248" spans="1:4" x14ac:dyDescent="0.3">
      <c r="A2248" s="88" t="s">
        <v>23</v>
      </c>
      <c r="B2248" s="88"/>
      <c r="C2248" s="16">
        <v>46223</v>
      </c>
      <c r="D2248" s="79">
        <v>267507.45</v>
      </c>
    </row>
    <row r="2249" spans="1:4" x14ac:dyDescent="0.3">
      <c r="A2249" s="88" t="s">
        <v>24</v>
      </c>
      <c r="B2249" s="88"/>
      <c r="C2249" s="16">
        <v>46223</v>
      </c>
      <c r="D2249" s="79">
        <v>14580.45</v>
      </c>
    </row>
    <row r="2250" spans="1:4" x14ac:dyDescent="0.3">
      <c r="A2250" s="88" t="s">
        <v>25</v>
      </c>
      <c r="B2250" s="88"/>
      <c r="C2250" s="16">
        <v>46223</v>
      </c>
      <c r="D2250" s="79">
        <v>54.400000000000006</v>
      </c>
    </row>
    <row r="2251" spans="1:4" x14ac:dyDescent="0.3">
      <c r="A2251" s="88" t="s">
        <v>26</v>
      </c>
      <c r="B2251" s="88"/>
      <c r="C2251" s="16">
        <v>46223</v>
      </c>
      <c r="D2251" s="79">
        <v>2207.8200000000002</v>
      </c>
    </row>
    <row r="2252" spans="1:4" x14ac:dyDescent="0.3">
      <c r="A2252" s="88" t="s">
        <v>27</v>
      </c>
      <c r="B2252" s="88"/>
      <c r="C2252" s="16">
        <v>46223</v>
      </c>
      <c r="D2252" s="79">
        <v>1454589.72</v>
      </c>
    </row>
    <row r="2253" spans="1:4" x14ac:dyDescent="0.3">
      <c r="A2253" s="88" t="s">
        <v>28</v>
      </c>
      <c r="B2253" s="88"/>
      <c r="C2253" s="16">
        <v>46223</v>
      </c>
      <c r="D2253" s="79">
        <v>1968.99</v>
      </c>
    </row>
    <row r="2254" spans="1:4" x14ac:dyDescent="0.3">
      <c r="A2254" s="88" t="s">
        <v>29</v>
      </c>
      <c r="B2254" s="88"/>
      <c r="C2254" s="16">
        <v>46223</v>
      </c>
      <c r="D2254" s="79">
        <v>901.34</v>
      </c>
    </row>
    <row r="2255" spans="1:4" x14ac:dyDescent="0.3">
      <c r="A2255" s="88" t="s">
        <v>30</v>
      </c>
      <c r="B2255" s="88"/>
      <c r="C2255" s="16">
        <v>46223</v>
      </c>
      <c r="D2255" s="79">
        <v>1412.08</v>
      </c>
    </row>
    <row r="2256" spans="1:4" x14ac:dyDescent="0.3">
      <c r="A2256" s="88" t="s">
        <v>31</v>
      </c>
      <c r="B2256" s="88"/>
      <c r="C2256" s="16">
        <v>46223</v>
      </c>
      <c r="D2256" s="79">
        <v>22347.56999999996</v>
      </c>
    </row>
    <row r="2257" spans="1:4" x14ac:dyDescent="0.3">
      <c r="A2257" s="88" t="s">
        <v>32</v>
      </c>
      <c r="B2257" s="88"/>
      <c r="C2257" s="16">
        <v>46223</v>
      </c>
      <c r="D2257" s="79">
        <v>3522.8000000000029</v>
      </c>
    </row>
    <row r="2258" spans="1:4" x14ac:dyDescent="0.3">
      <c r="A2258" s="88" t="s">
        <v>33</v>
      </c>
      <c r="B2258" s="88"/>
      <c r="C2258" s="16">
        <v>46223</v>
      </c>
      <c r="D2258" s="79">
        <v>28485.559999999998</v>
      </c>
    </row>
    <row r="2259" spans="1:4" x14ac:dyDescent="0.3">
      <c r="A2259" s="88" t="s">
        <v>34</v>
      </c>
      <c r="B2259" s="88"/>
      <c r="C2259" s="16">
        <v>46223</v>
      </c>
      <c r="D2259" s="79">
        <v>345</v>
      </c>
    </row>
    <row r="2260" spans="1:4" x14ac:dyDescent="0.3">
      <c r="A2260" s="88" t="s">
        <v>35</v>
      </c>
      <c r="B2260" s="88"/>
      <c r="C2260" s="16">
        <v>46223</v>
      </c>
      <c r="D2260" s="79">
        <v>14097.480000000003</v>
      </c>
    </row>
    <row r="2261" spans="1:4" x14ac:dyDescent="0.3">
      <c r="A2261" s="88" t="s">
        <v>193</v>
      </c>
      <c r="B2261" s="88"/>
      <c r="C2261" s="16">
        <v>46223</v>
      </c>
      <c r="D2261" s="79">
        <v>0</v>
      </c>
    </row>
    <row r="2262" spans="1:4" x14ac:dyDescent="0.3">
      <c r="A2262" s="88" t="s">
        <v>214</v>
      </c>
      <c r="B2262" s="88"/>
      <c r="C2262" s="16">
        <v>46223</v>
      </c>
      <c r="D2262" s="79">
        <v>0</v>
      </c>
    </row>
    <row r="2263" spans="1:4" x14ac:dyDescent="0.3">
      <c r="A2263" s="88" t="s">
        <v>194</v>
      </c>
      <c r="B2263" s="88"/>
      <c r="C2263" s="16">
        <v>46223</v>
      </c>
      <c r="D2263" s="79">
        <v>0</v>
      </c>
    </row>
    <row r="2264" spans="1:4" x14ac:dyDescent="0.3">
      <c r="A2264" s="88" t="s">
        <v>195</v>
      </c>
      <c r="B2264" s="88"/>
      <c r="C2264" s="16">
        <v>46223</v>
      </c>
      <c r="D2264" s="79">
        <v>0</v>
      </c>
    </row>
    <row r="2265" spans="1:4" x14ac:dyDescent="0.3">
      <c r="A2265" s="88" t="s">
        <v>196</v>
      </c>
      <c r="B2265" s="88"/>
      <c r="C2265" s="16">
        <v>46223</v>
      </c>
      <c r="D2265" s="79">
        <v>0</v>
      </c>
    </row>
    <row r="2266" spans="1:4" x14ac:dyDescent="0.3">
      <c r="A2266" s="88" t="s">
        <v>197</v>
      </c>
      <c r="B2266" s="88"/>
      <c r="C2266" s="16">
        <v>46223</v>
      </c>
      <c r="D2266" s="79">
        <v>0</v>
      </c>
    </row>
    <row r="2267" spans="1:4" x14ac:dyDescent="0.3">
      <c r="A2267" s="88" t="s">
        <v>212</v>
      </c>
      <c r="B2267" s="88"/>
      <c r="C2267" s="16">
        <v>46223</v>
      </c>
      <c r="D2267" s="79">
        <v>0</v>
      </c>
    </row>
    <row r="2268" spans="1:4" x14ac:dyDescent="0.3">
      <c r="A2268" s="88" t="s">
        <v>199</v>
      </c>
      <c r="B2268" s="88"/>
      <c r="C2268" s="16">
        <v>46223</v>
      </c>
      <c r="D2268" s="79">
        <v>0</v>
      </c>
    </row>
    <row r="2269" spans="1:4" x14ac:dyDescent="0.3">
      <c r="A2269" s="88" t="s">
        <v>217</v>
      </c>
      <c r="B2269" s="88"/>
      <c r="C2269" s="16">
        <v>46223</v>
      </c>
      <c r="D2269" s="79">
        <v>0</v>
      </c>
    </row>
    <row r="2270" spans="1:4" x14ac:dyDescent="0.3">
      <c r="A2270" s="88" t="s">
        <v>17</v>
      </c>
      <c r="B2270" s="88"/>
      <c r="C2270" s="16">
        <v>46224</v>
      </c>
      <c r="D2270" s="79">
        <v>3110339.0700000008</v>
      </c>
    </row>
    <row r="2271" spans="1:4" x14ac:dyDescent="0.3">
      <c r="A2271" s="88" t="s">
        <v>18</v>
      </c>
      <c r="B2271" s="88"/>
      <c r="C2271" s="16">
        <v>46224</v>
      </c>
      <c r="D2271" s="79">
        <v>73157.680000000168</v>
      </c>
    </row>
    <row r="2272" spans="1:4" x14ac:dyDescent="0.3">
      <c r="A2272" s="88" t="s">
        <v>19</v>
      </c>
      <c r="B2272" s="88"/>
      <c r="C2272" s="16">
        <v>46224</v>
      </c>
      <c r="D2272" s="79">
        <v>1669.89</v>
      </c>
    </row>
    <row r="2273" spans="1:4" x14ac:dyDescent="0.3">
      <c r="A2273" s="88" t="s">
        <v>20</v>
      </c>
      <c r="B2273" s="88"/>
      <c r="C2273" s="16">
        <v>46224</v>
      </c>
      <c r="D2273" s="79">
        <v>1029804.7499999998</v>
      </c>
    </row>
    <row r="2274" spans="1:4" x14ac:dyDescent="0.3">
      <c r="A2274" s="88" t="s">
        <v>21</v>
      </c>
      <c r="B2274" s="88"/>
      <c r="C2274" s="16">
        <v>46224</v>
      </c>
      <c r="D2274" s="79">
        <v>1744257.8699999994</v>
      </c>
    </row>
    <row r="2275" spans="1:4" x14ac:dyDescent="0.3">
      <c r="A2275" s="88" t="s">
        <v>22</v>
      </c>
      <c r="B2275" s="88"/>
      <c r="C2275" s="16">
        <v>46224</v>
      </c>
      <c r="D2275" s="79">
        <v>200496.38</v>
      </c>
    </row>
    <row r="2276" spans="1:4" x14ac:dyDescent="0.3">
      <c r="A2276" s="88" t="s">
        <v>23</v>
      </c>
      <c r="B2276" s="88"/>
      <c r="C2276" s="16">
        <v>46224</v>
      </c>
      <c r="D2276" s="79">
        <v>267507.45</v>
      </c>
    </row>
    <row r="2277" spans="1:4" x14ac:dyDescent="0.3">
      <c r="A2277" s="88" t="s">
        <v>24</v>
      </c>
      <c r="B2277" s="88"/>
      <c r="C2277" s="16">
        <v>46224</v>
      </c>
      <c r="D2277" s="79">
        <v>14580.45</v>
      </c>
    </row>
    <row r="2278" spans="1:4" x14ac:dyDescent="0.3">
      <c r="A2278" s="88" t="s">
        <v>25</v>
      </c>
      <c r="B2278" s="88"/>
      <c r="C2278" s="16">
        <v>46224</v>
      </c>
      <c r="D2278" s="79">
        <v>54.400000000000006</v>
      </c>
    </row>
    <row r="2279" spans="1:4" x14ac:dyDescent="0.3">
      <c r="A2279" s="88" t="s">
        <v>26</v>
      </c>
      <c r="B2279" s="88"/>
      <c r="C2279" s="16">
        <v>46224</v>
      </c>
      <c r="D2279" s="79">
        <v>2207.8200000000002</v>
      </c>
    </row>
    <row r="2280" spans="1:4" x14ac:dyDescent="0.3">
      <c r="A2280" s="88" t="s">
        <v>27</v>
      </c>
      <c r="B2280" s="88"/>
      <c r="C2280" s="16">
        <v>46224</v>
      </c>
      <c r="D2280" s="79">
        <v>1454589.72</v>
      </c>
    </row>
    <row r="2281" spans="1:4" x14ac:dyDescent="0.3">
      <c r="A2281" s="88" t="s">
        <v>28</v>
      </c>
      <c r="B2281" s="88"/>
      <c r="C2281" s="16">
        <v>46224</v>
      </c>
      <c r="D2281" s="79">
        <v>1968.99</v>
      </c>
    </row>
    <row r="2282" spans="1:4" x14ac:dyDescent="0.3">
      <c r="A2282" s="88" t="s">
        <v>29</v>
      </c>
      <c r="B2282" s="88"/>
      <c r="C2282" s="16">
        <v>46224</v>
      </c>
      <c r="D2282" s="79">
        <v>901.34</v>
      </c>
    </row>
    <row r="2283" spans="1:4" x14ac:dyDescent="0.3">
      <c r="A2283" s="88" t="s">
        <v>30</v>
      </c>
      <c r="B2283" s="88"/>
      <c r="C2283" s="16">
        <v>46224</v>
      </c>
      <c r="D2283" s="79">
        <v>1412.08</v>
      </c>
    </row>
    <row r="2284" spans="1:4" x14ac:dyDescent="0.3">
      <c r="A2284" s="88" t="s">
        <v>31</v>
      </c>
      <c r="B2284" s="88"/>
      <c r="C2284" s="16">
        <v>46224</v>
      </c>
      <c r="D2284" s="79">
        <v>22347.56999999996</v>
      </c>
    </row>
    <row r="2285" spans="1:4" x14ac:dyDescent="0.3">
      <c r="A2285" s="88" t="s">
        <v>32</v>
      </c>
      <c r="B2285" s="88"/>
      <c r="C2285" s="16">
        <v>46224</v>
      </c>
      <c r="D2285" s="79">
        <v>3522.8000000000029</v>
      </c>
    </row>
    <row r="2286" spans="1:4" x14ac:dyDescent="0.3">
      <c r="A2286" s="88" t="s">
        <v>33</v>
      </c>
      <c r="B2286" s="88"/>
      <c r="C2286" s="16">
        <v>46224</v>
      </c>
      <c r="D2286" s="79">
        <v>28485.559999999998</v>
      </c>
    </row>
    <row r="2287" spans="1:4" x14ac:dyDescent="0.3">
      <c r="A2287" s="88" t="s">
        <v>34</v>
      </c>
      <c r="B2287" s="88"/>
      <c r="C2287" s="16">
        <v>46224</v>
      </c>
      <c r="D2287" s="79">
        <v>345</v>
      </c>
    </row>
    <row r="2288" spans="1:4" x14ac:dyDescent="0.3">
      <c r="A2288" s="88" t="s">
        <v>35</v>
      </c>
      <c r="B2288" s="88"/>
      <c r="C2288" s="16">
        <v>46224</v>
      </c>
      <c r="D2288" s="79">
        <v>13745.850000000002</v>
      </c>
    </row>
    <row r="2289" spans="1:4" x14ac:dyDescent="0.3">
      <c r="A2289" s="88" t="s">
        <v>193</v>
      </c>
      <c r="B2289" s="88"/>
      <c r="C2289" s="16">
        <v>46224</v>
      </c>
      <c r="D2289" s="79">
        <v>0</v>
      </c>
    </row>
    <row r="2290" spans="1:4" x14ac:dyDescent="0.3">
      <c r="A2290" s="88" t="s">
        <v>214</v>
      </c>
      <c r="B2290" s="88"/>
      <c r="C2290" s="16">
        <v>46224</v>
      </c>
      <c r="D2290" s="79">
        <v>0</v>
      </c>
    </row>
    <row r="2291" spans="1:4" x14ac:dyDescent="0.3">
      <c r="A2291" s="88" t="s">
        <v>194</v>
      </c>
      <c r="B2291" s="88"/>
      <c r="C2291" s="16">
        <v>46224</v>
      </c>
      <c r="D2291" s="79">
        <v>0</v>
      </c>
    </row>
    <row r="2292" spans="1:4" x14ac:dyDescent="0.3">
      <c r="A2292" s="88" t="s">
        <v>195</v>
      </c>
      <c r="B2292" s="88"/>
      <c r="C2292" s="16">
        <v>46224</v>
      </c>
      <c r="D2292" s="79">
        <v>0</v>
      </c>
    </row>
    <row r="2293" spans="1:4" x14ac:dyDescent="0.3">
      <c r="A2293" s="88" t="s">
        <v>196</v>
      </c>
      <c r="B2293" s="88"/>
      <c r="C2293" s="16">
        <v>46224</v>
      </c>
      <c r="D2293" s="79">
        <v>0</v>
      </c>
    </row>
    <row r="2294" spans="1:4" x14ac:dyDescent="0.3">
      <c r="A2294" s="88" t="s">
        <v>197</v>
      </c>
      <c r="B2294" s="88"/>
      <c r="C2294" s="16">
        <v>46224</v>
      </c>
      <c r="D2294" s="79">
        <v>0</v>
      </c>
    </row>
    <row r="2295" spans="1:4" x14ac:dyDescent="0.3">
      <c r="A2295" s="88" t="s">
        <v>212</v>
      </c>
      <c r="B2295" s="88"/>
      <c r="C2295" s="16">
        <v>46224</v>
      </c>
      <c r="D2295" s="79">
        <v>0</v>
      </c>
    </row>
    <row r="2296" spans="1:4" x14ac:dyDescent="0.3">
      <c r="A2296" s="88" t="s">
        <v>199</v>
      </c>
      <c r="B2296" s="88"/>
      <c r="C2296" s="16">
        <v>46224</v>
      </c>
      <c r="D2296" s="79">
        <v>0</v>
      </c>
    </row>
    <row r="2297" spans="1:4" x14ac:dyDescent="0.3">
      <c r="A2297" s="88" t="s">
        <v>217</v>
      </c>
      <c r="B2297" s="88"/>
      <c r="C2297" s="16">
        <v>46224</v>
      </c>
      <c r="D2297" s="79">
        <v>0</v>
      </c>
    </row>
    <row r="2298" spans="1:4" x14ac:dyDescent="0.3">
      <c r="A2298" s="88" t="s">
        <v>17</v>
      </c>
      <c r="B2298" s="88"/>
      <c r="C2298" s="16">
        <v>46225</v>
      </c>
      <c r="D2298" s="79">
        <v>2255755.7400000007</v>
      </c>
    </row>
    <row r="2299" spans="1:4" x14ac:dyDescent="0.3">
      <c r="A2299" s="88" t="s">
        <v>18</v>
      </c>
      <c r="B2299" s="88"/>
      <c r="C2299" s="16">
        <v>46225</v>
      </c>
      <c r="D2299" s="79">
        <v>73157.680000000168</v>
      </c>
    </row>
    <row r="2300" spans="1:4" x14ac:dyDescent="0.3">
      <c r="A2300" s="88" t="s">
        <v>19</v>
      </c>
      <c r="B2300" s="88"/>
      <c r="C2300" s="16">
        <v>46225</v>
      </c>
      <c r="D2300" s="79">
        <v>1669.89</v>
      </c>
    </row>
    <row r="2301" spans="1:4" x14ac:dyDescent="0.3">
      <c r="A2301" s="88" t="s">
        <v>20</v>
      </c>
      <c r="B2301" s="88"/>
      <c r="C2301" s="16">
        <v>46225</v>
      </c>
      <c r="D2301" s="79">
        <v>1002754.9899999998</v>
      </c>
    </row>
    <row r="2302" spans="1:4" x14ac:dyDescent="0.3">
      <c r="A2302" s="88" t="s">
        <v>21</v>
      </c>
      <c r="B2302" s="88"/>
      <c r="C2302" s="16">
        <v>46225</v>
      </c>
      <c r="D2302" s="79">
        <v>2022877.8699999996</v>
      </c>
    </row>
    <row r="2303" spans="1:4" x14ac:dyDescent="0.3">
      <c r="A2303" s="88" t="s">
        <v>22</v>
      </c>
      <c r="B2303" s="88"/>
      <c r="C2303" s="16">
        <v>46225</v>
      </c>
      <c r="D2303" s="79">
        <v>200496.38</v>
      </c>
    </row>
    <row r="2304" spans="1:4" x14ac:dyDescent="0.3">
      <c r="A2304" s="88" t="s">
        <v>23</v>
      </c>
      <c r="B2304" s="88"/>
      <c r="C2304" s="16">
        <v>46225</v>
      </c>
      <c r="D2304" s="79">
        <v>267507.45</v>
      </c>
    </row>
    <row r="2305" spans="1:4" x14ac:dyDescent="0.3">
      <c r="A2305" s="88" t="s">
        <v>24</v>
      </c>
      <c r="B2305" s="88"/>
      <c r="C2305" s="16">
        <v>46225</v>
      </c>
      <c r="D2305" s="79">
        <v>14580.45</v>
      </c>
    </row>
    <row r="2306" spans="1:4" x14ac:dyDescent="0.3">
      <c r="A2306" s="88" t="s">
        <v>25</v>
      </c>
      <c r="B2306" s="88"/>
      <c r="C2306" s="16">
        <v>46225</v>
      </c>
      <c r="D2306" s="79">
        <v>54.400000000000006</v>
      </c>
    </row>
    <row r="2307" spans="1:4" x14ac:dyDescent="0.3">
      <c r="A2307" s="88" t="s">
        <v>26</v>
      </c>
      <c r="B2307" s="88"/>
      <c r="C2307" s="16">
        <v>46225</v>
      </c>
      <c r="D2307" s="79">
        <v>2207.8200000000002</v>
      </c>
    </row>
    <row r="2308" spans="1:4" x14ac:dyDescent="0.3">
      <c r="A2308" s="88" t="s">
        <v>27</v>
      </c>
      <c r="B2308" s="88"/>
      <c r="C2308" s="16">
        <v>46225</v>
      </c>
      <c r="D2308" s="79">
        <v>1454589.72</v>
      </c>
    </row>
    <row r="2309" spans="1:4" x14ac:dyDescent="0.3">
      <c r="A2309" s="88" t="s">
        <v>28</v>
      </c>
      <c r="B2309" s="88"/>
      <c r="C2309" s="16">
        <v>46225</v>
      </c>
      <c r="D2309" s="79">
        <v>1968.99</v>
      </c>
    </row>
    <row r="2310" spans="1:4" x14ac:dyDescent="0.3">
      <c r="A2310" s="88" t="s">
        <v>29</v>
      </c>
      <c r="B2310" s="88"/>
      <c r="C2310" s="16">
        <v>46225</v>
      </c>
      <c r="D2310" s="79">
        <v>901.34</v>
      </c>
    </row>
    <row r="2311" spans="1:4" x14ac:dyDescent="0.3">
      <c r="A2311" s="88" t="s">
        <v>30</v>
      </c>
      <c r="B2311" s="88"/>
      <c r="C2311" s="16">
        <v>46225</v>
      </c>
      <c r="D2311" s="79">
        <v>1412.08</v>
      </c>
    </row>
    <row r="2312" spans="1:4" x14ac:dyDescent="0.3">
      <c r="A2312" s="88" t="s">
        <v>31</v>
      </c>
      <c r="B2312" s="88"/>
      <c r="C2312" s="16">
        <v>46225</v>
      </c>
      <c r="D2312" s="79">
        <v>22347.56999999996</v>
      </c>
    </row>
    <row r="2313" spans="1:4" x14ac:dyDescent="0.3">
      <c r="A2313" s="88" t="s">
        <v>32</v>
      </c>
      <c r="B2313" s="88"/>
      <c r="C2313" s="16">
        <v>46225</v>
      </c>
      <c r="D2313" s="79">
        <v>3522.8000000000029</v>
      </c>
    </row>
    <row r="2314" spans="1:4" x14ac:dyDescent="0.3">
      <c r="A2314" s="88" t="s">
        <v>33</v>
      </c>
      <c r="B2314" s="88"/>
      <c r="C2314" s="16">
        <v>46225</v>
      </c>
      <c r="D2314" s="79">
        <v>28485.559999999998</v>
      </c>
    </row>
    <row r="2315" spans="1:4" x14ac:dyDescent="0.3">
      <c r="A2315" s="88" t="s">
        <v>34</v>
      </c>
      <c r="B2315" s="88"/>
      <c r="C2315" s="16">
        <v>46225</v>
      </c>
      <c r="D2315" s="79">
        <v>345</v>
      </c>
    </row>
    <row r="2316" spans="1:4" x14ac:dyDescent="0.3">
      <c r="A2316" s="88" t="s">
        <v>35</v>
      </c>
      <c r="B2316" s="88"/>
      <c r="C2316" s="16">
        <v>46225</v>
      </c>
      <c r="D2316" s="79">
        <v>10252.290000000003</v>
      </c>
    </row>
    <row r="2317" spans="1:4" x14ac:dyDescent="0.3">
      <c r="A2317" s="88" t="s">
        <v>193</v>
      </c>
      <c r="B2317" s="88"/>
      <c r="C2317" s="16">
        <v>46225</v>
      </c>
      <c r="D2317" s="79">
        <v>0</v>
      </c>
    </row>
    <row r="2318" spans="1:4" x14ac:dyDescent="0.3">
      <c r="A2318" s="88" t="s">
        <v>214</v>
      </c>
      <c r="B2318" s="88"/>
      <c r="C2318" s="16">
        <v>46225</v>
      </c>
      <c r="D2318" s="79">
        <v>0</v>
      </c>
    </row>
    <row r="2319" spans="1:4" x14ac:dyDescent="0.3">
      <c r="A2319" s="88" t="s">
        <v>194</v>
      </c>
      <c r="B2319" s="88"/>
      <c r="C2319" s="16">
        <v>46225</v>
      </c>
      <c r="D2319" s="79">
        <v>0</v>
      </c>
    </row>
    <row r="2320" spans="1:4" x14ac:dyDescent="0.3">
      <c r="A2320" s="88" t="s">
        <v>195</v>
      </c>
      <c r="B2320" s="88"/>
      <c r="C2320" s="16">
        <v>46225</v>
      </c>
      <c r="D2320" s="79">
        <v>0</v>
      </c>
    </row>
    <row r="2321" spans="1:4" x14ac:dyDescent="0.3">
      <c r="A2321" s="88" t="s">
        <v>196</v>
      </c>
      <c r="B2321" s="88"/>
      <c r="C2321" s="16">
        <v>46225</v>
      </c>
      <c r="D2321" s="79">
        <v>0</v>
      </c>
    </row>
    <row r="2322" spans="1:4" x14ac:dyDescent="0.3">
      <c r="A2322" s="88" t="s">
        <v>197</v>
      </c>
      <c r="B2322" s="88"/>
      <c r="C2322" s="16">
        <v>46225</v>
      </c>
      <c r="D2322" s="79">
        <v>0</v>
      </c>
    </row>
    <row r="2323" spans="1:4" x14ac:dyDescent="0.3">
      <c r="A2323" s="88" t="s">
        <v>212</v>
      </c>
      <c r="B2323" s="88"/>
      <c r="C2323" s="16">
        <v>46225</v>
      </c>
      <c r="D2323" s="79">
        <v>0</v>
      </c>
    </row>
    <row r="2324" spans="1:4" x14ac:dyDescent="0.3">
      <c r="A2324" s="88" t="s">
        <v>199</v>
      </c>
      <c r="B2324" s="88"/>
      <c r="C2324" s="16">
        <v>46225</v>
      </c>
      <c r="D2324" s="79">
        <v>0</v>
      </c>
    </row>
    <row r="2325" spans="1:4" x14ac:dyDescent="0.3">
      <c r="A2325" s="88" t="s">
        <v>217</v>
      </c>
      <c r="B2325" s="88"/>
      <c r="C2325" s="16">
        <v>46225</v>
      </c>
      <c r="D2325" s="79">
        <v>0</v>
      </c>
    </row>
    <row r="2326" spans="1:4" x14ac:dyDescent="0.3">
      <c r="A2326" s="88" t="s">
        <v>17</v>
      </c>
      <c r="B2326" s="88"/>
      <c r="C2326" s="16">
        <v>46226</v>
      </c>
      <c r="D2326" s="79">
        <v>2255750.7400000007</v>
      </c>
    </row>
    <row r="2327" spans="1:4" x14ac:dyDescent="0.3">
      <c r="A2327" s="88" t="s">
        <v>18</v>
      </c>
      <c r="B2327" s="88"/>
      <c r="C2327" s="16">
        <v>46226</v>
      </c>
      <c r="D2327" s="79">
        <v>73157.680000000168</v>
      </c>
    </row>
    <row r="2328" spans="1:4" x14ac:dyDescent="0.3">
      <c r="A2328" s="88" t="s">
        <v>19</v>
      </c>
      <c r="B2328" s="88"/>
      <c r="C2328" s="16">
        <v>46226</v>
      </c>
      <c r="D2328" s="79">
        <v>1669.89</v>
      </c>
    </row>
    <row r="2329" spans="1:4" x14ac:dyDescent="0.3">
      <c r="A2329" s="88" t="s">
        <v>20</v>
      </c>
      <c r="B2329" s="88"/>
      <c r="C2329" s="16">
        <v>46226</v>
      </c>
      <c r="D2329" s="79">
        <v>1042744.6899999997</v>
      </c>
    </row>
    <row r="2330" spans="1:4" x14ac:dyDescent="0.3">
      <c r="A2330" s="88" t="s">
        <v>21</v>
      </c>
      <c r="B2330" s="88"/>
      <c r="C2330" s="16">
        <v>46226</v>
      </c>
      <c r="D2330" s="79">
        <v>2022877.8699999996</v>
      </c>
    </row>
    <row r="2331" spans="1:4" x14ac:dyDescent="0.3">
      <c r="A2331" s="88" t="s">
        <v>22</v>
      </c>
      <c r="B2331" s="88"/>
      <c r="C2331" s="16">
        <v>46226</v>
      </c>
      <c r="D2331" s="79">
        <v>200496.38</v>
      </c>
    </row>
    <row r="2332" spans="1:4" x14ac:dyDescent="0.3">
      <c r="A2332" s="88" t="s">
        <v>23</v>
      </c>
      <c r="B2332" s="88"/>
      <c r="C2332" s="16">
        <v>46226</v>
      </c>
      <c r="D2332" s="79">
        <v>267507.45</v>
      </c>
    </row>
    <row r="2333" spans="1:4" x14ac:dyDescent="0.3">
      <c r="A2333" s="88" t="s">
        <v>24</v>
      </c>
      <c r="B2333" s="88"/>
      <c r="C2333" s="16">
        <v>46226</v>
      </c>
      <c r="D2333" s="79">
        <v>14580.45</v>
      </c>
    </row>
    <row r="2334" spans="1:4" x14ac:dyDescent="0.3">
      <c r="A2334" s="88" t="s">
        <v>25</v>
      </c>
      <c r="B2334" s="88"/>
      <c r="C2334" s="16">
        <v>46226</v>
      </c>
      <c r="D2334" s="79">
        <v>54.400000000000006</v>
      </c>
    </row>
    <row r="2335" spans="1:4" x14ac:dyDescent="0.3">
      <c r="A2335" s="88" t="s">
        <v>26</v>
      </c>
      <c r="B2335" s="88"/>
      <c r="C2335" s="16">
        <v>46226</v>
      </c>
      <c r="D2335" s="79">
        <v>2207.8200000000002</v>
      </c>
    </row>
    <row r="2336" spans="1:4" x14ac:dyDescent="0.3">
      <c r="A2336" s="88" t="s">
        <v>27</v>
      </c>
      <c r="B2336" s="88"/>
      <c r="C2336" s="16">
        <v>46226</v>
      </c>
      <c r="D2336" s="79">
        <v>1454589.72</v>
      </c>
    </row>
    <row r="2337" spans="1:4" x14ac:dyDescent="0.3">
      <c r="A2337" s="88" t="s">
        <v>28</v>
      </c>
      <c r="B2337" s="88"/>
      <c r="C2337" s="16">
        <v>46226</v>
      </c>
      <c r="D2337" s="79">
        <v>1968.99</v>
      </c>
    </row>
    <row r="2338" spans="1:4" x14ac:dyDescent="0.3">
      <c r="A2338" s="88" t="s">
        <v>29</v>
      </c>
      <c r="B2338" s="88"/>
      <c r="C2338" s="16">
        <v>46226</v>
      </c>
      <c r="D2338" s="79">
        <v>901.34</v>
      </c>
    </row>
    <row r="2339" spans="1:4" x14ac:dyDescent="0.3">
      <c r="A2339" s="88" t="s">
        <v>30</v>
      </c>
      <c r="B2339" s="88"/>
      <c r="C2339" s="16">
        <v>46226</v>
      </c>
      <c r="D2339" s="79">
        <v>1412.08</v>
      </c>
    </row>
    <row r="2340" spans="1:4" x14ac:dyDescent="0.3">
      <c r="A2340" s="88" t="s">
        <v>31</v>
      </c>
      <c r="B2340" s="88"/>
      <c r="C2340" s="16">
        <v>46226</v>
      </c>
      <c r="D2340" s="79">
        <v>22347.56999999996</v>
      </c>
    </row>
    <row r="2341" spans="1:4" x14ac:dyDescent="0.3">
      <c r="A2341" s="88" t="s">
        <v>32</v>
      </c>
      <c r="B2341" s="88"/>
      <c r="C2341" s="16">
        <v>46226</v>
      </c>
      <c r="D2341" s="79">
        <v>18522.800000000003</v>
      </c>
    </row>
    <row r="2342" spans="1:4" x14ac:dyDescent="0.3">
      <c r="A2342" s="88" t="s">
        <v>33</v>
      </c>
      <c r="B2342" s="88"/>
      <c r="C2342" s="16">
        <v>46226</v>
      </c>
      <c r="D2342" s="79">
        <v>28485.559999999998</v>
      </c>
    </row>
    <row r="2343" spans="1:4" x14ac:dyDescent="0.3">
      <c r="A2343" s="88" t="s">
        <v>34</v>
      </c>
      <c r="B2343" s="88"/>
      <c r="C2343" s="16">
        <v>46226</v>
      </c>
      <c r="D2343" s="79">
        <v>345</v>
      </c>
    </row>
    <row r="2344" spans="1:4" x14ac:dyDescent="0.3">
      <c r="A2344" s="88" t="s">
        <v>35</v>
      </c>
      <c r="B2344" s="88"/>
      <c r="C2344" s="16">
        <v>46226</v>
      </c>
      <c r="D2344" s="79">
        <v>9958.7100000000028</v>
      </c>
    </row>
    <row r="2345" spans="1:4" x14ac:dyDescent="0.3">
      <c r="A2345" s="88" t="s">
        <v>193</v>
      </c>
      <c r="B2345" s="88"/>
      <c r="C2345" s="16">
        <v>46226</v>
      </c>
      <c r="D2345" s="79">
        <v>0</v>
      </c>
    </row>
    <row r="2346" spans="1:4" x14ac:dyDescent="0.3">
      <c r="A2346" s="88" t="s">
        <v>214</v>
      </c>
      <c r="B2346" s="88"/>
      <c r="C2346" s="16">
        <v>46226</v>
      </c>
      <c r="D2346" s="79">
        <v>0</v>
      </c>
    </row>
    <row r="2347" spans="1:4" x14ac:dyDescent="0.3">
      <c r="A2347" s="88" t="s">
        <v>194</v>
      </c>
      <c r="B2347" s="88"/>
      <c r="C2347" s="16">
        <v>46226</v>
      </c>
      <c r="D2347" s="79">
        <v>0</v>
      </c>
    </row>
    <row r="2348" spans="1:4" x14ac:dyDescent="0.3">
      <c r="A2348" s="88" t="s">
        <v>195</v>
      </c>
      <c r="B2348" s="88"/>
      <c r="C2348" s="16">
        <v>46226</v>
      </c>
      <c r="D2348" s="79">
        <v>0</v>
      </c>
    </row>
    <row r="2349" spans="1:4" x14ac:dyDescent="0.3">
      <c r="A2349" s="88" t="s">
        <v>196</v>
      </c>
      <c r="B2349" s="88"/>
      <c r="C2349" s="16">
        <v>46226</v>
      </c>
      <c r="D2349" s="79">
        <v>0</v>
      </c>
    </row>
    <row r="2350" spans="1:4" x14ac:dyDescent="0.3">
      <c r="A2350" s="88" t="s">
        <v>197</v>
      </c>
      <c r="B2350" s="88"/>
      <c r="C2350" s="16">
        <v>46226</v>
      </c>
      <c r="D2350" s="79">
        <v>0</v>
      </c>
    </row>
    <row r="2351" spans="1:4" x14ac:dyDescent="0.3">
      <c r="A2351" s="88" t="s">
        <v>212</v>
      </c>
      <c r="B2351" s="88"/>
      <c r="C2351" s="16">
        <v>46226</v>
      </c>
      <c r="D2351" s="79">
        <v>0</v>
      </c>
    </row>
    <row r="2352" spans="1:4" x14ac:dyDescent="0.3">
      <c r="A2352" s="88" t="s">
        <v>199</v>
      </c>
      <c r="B2352" s="88"/>
      <c r="C2352" s="16">
        <v>46226</v>
      </c>
      <c r="D2352" s="79">
        <v>0</v>
      </c>
    </row>
    <row r="2353" spans="1:4" x14ac:dyDescent="0.3">
      <c r="A2353" s="88" t="s">
        <v>217</v>
      </c>
      <c r="B2353" s="88"/>
      <c r="C2353" s="16">
        <v>46226</v>
      </c>
      <c r="D2353" s="79">
        <v>0</v>
      </c>
    </row>
    <row r="2354" spans="1:4" x14ac:dyDescent="0.3">
      <c r="A2354" s="88" t="s">
        <v>17</v>
      </c>
      <c r="B2354" s="88"/>
      <c r="C2354" s="16">
        <v>46227</v>
      </c>
      <c r="D2354" s="79">
        <v>2255750.7400000007</v>
      </c>
    </row>
    <row r="2355" spans="1:4" x14ac:dyDescent="0.3">
      <c r="A2355" s="88" t="s">
        <v>18</v>
      </c>
      <c r="B2355" s="88"/>
      <c r="C2355" s="16">
        <v>46227</v>
      </c>
      <c r="D2355" s="79">
        <v>73157.680000000168</v>
      </c>
    </row>
    <row r="2356" spans="1:4" x14ac:dyDescent="0.3">
      <c r="A2356" s="88" t="s">
        <v>19</v>
      </c>
      <c r="B2356" s="88"/>
      <c r="C2356" s="16">
        <v>46227</v>
      </c>
      <c r="D2356" s="79">
        <v>1669.89</v>
      </c>
    </row>
    <row r="2357" spans="1:4" x14ac:dyDescent="0.3">
      <c r="A2357" s="88" t="s">
        <v>20</v>
      </c>
      <c r="B2357" s="88"/>
      <c r="C2357" s="16">
        <v>46227</v>
      </c>
      <c r="D2357" s="79">
        <v>1042744.6899999997</v>
      </c>
    </row>
    <row r="2358" spans="1:4" x14ac:dyDescent="0.3">
      <c r="A2358" s="88" t="s">
        <v>21</v>
      </c>
      <c r="B2358" s="88"/>
      <c r="C2358" s="16">
        <v>46227</v>
      </c>
      <c r="D2358" s="79">
        <v>2022877.8699999996</v>
      </c>
    </row>
    <row r="2359" spans="1:4" x14ac:dyDescent="0.3">
      <c r="A2359" s="88" t="s">
        <v>22</v>
      </c>
      <c r="B2359" s="88"/>
      <c r="C2359" s="16">
        <v>46227</v>
      </c>
      <c r="D2359" s="79">
        <v>200496.38</v>
      </c>
    </row>
    <row r="2360" spans="1:4" x14ac:dyDescent="0.3">
      <c r="A2360" s="88" t="s">
        <v>23</v>
      </c>
      <c r="B2360" s="88"/>
      <c r="C2360" s="16">
        <v>46227</v>
      </c>
      <c r="D2360" s="79">
        <v>267507.45</v>
      </c>
    </row>
    <row r="2361" spans="1:4" x14ac:dyDescent="0.3">
      <c r="A2361" s="88" t="s">
        <v>24</v>
      </c>
      <c r="B2361" s="88"/>
      <c r="C2361" s="16">
        <v>46227</v>
      </c>
      <c r="D2361" s="79">
        <v>14580.45</v>
      </c>
    </row>
    <row r="2362" spans="1:4" x14ac:dyDescent="0.3">
      <c r="A2362" s="88" t="s">
        <v>25</v>
      </c>
      <c r="B2362" s="88"/>
      <c r="C2362" s="16">
        <v>46227</v>
      </c>
      <c r="D2362" s="79">
        <v>54.400000000000006</v>
      </c>
    </row>
    <row r="2363" spans="1:4" x14ac:dyDescent="0.3">
      <c r="A2363" s="88" t="s">
        <v>26</v>
      </c>
      <c r="B2363" s="88"/>
      <c r="C2363" s="16">
        <v>46227</v>
      </c>
      <c r="D2363" s="79">
        <v>2207.8200000000002</v>
      </c>
    </row>
    <row r="2364" spans="1:4" x14ac:dyDescent="0.3">
      <c r="A2364" s="88" t="s">
        <v>27</v>
      </c>
      <c r="B2364" s="88"/>
      <c r="C2364" s="16">
        <v>46227</v>
      </c>
      <c r="D2364" s="79">
        <v>1454589.72</v>
      </c>
    </row>
    <row r="2365" spans="1:4" x14ac:dyDescent="0.3">
      <c r="A2365" s="88" t="s">
        <v>28</v>
      </c>
      <c r="B2365" s="88"/>
      <c r="C2365" s="16">
        <v>46227</v>
      </c>
      <c r="D2365" s="79">
        <v>1968.99</v>
      </c>
    </row>
    <row r="2366" spans="1:4" x14ac:dyDescent="0.3">
      <c r="A2366" s="88" t="s">
        <v>29</v>
      </c>
      <c r="B2366" s="88"/>
      <c r="C2366" s="16">
        <v>46227</v>
      </c>
      <c r="D2366" s="79">
        <v>901.34</v>
      </c>
    </row>
    <row r="2367" spans="1:4" x14ac:dyDescent="0.3">
      <c r="A2367" s="88" t="s">
        <v>30</v>
      </c>
      <c r="B2367" s="88"/>
      <c r="C2367" s="16">
        <v>46227</v>
      </c>
      <c r="D2367" s="79">
        <v>1412.08</v>
      </c>
    </row>
    <row r="2368" spans="1:4" x14ac:dyDescent="0.3">
      <c r="A2368" s="88" t="s">
        <v>31</v>
      </c>
      <c r="B2368" s="88"/>
      <c r="C2368" s="16">
        <v>46227</v>
      </c>
      <c r="D2368" s="79">
        <v>22347.56999999996</v>
      </c>
    </row>
    <row r="2369" spans="1:4" x14ac:dyDescent="0.3">
      <c r="A2369" s="88" t="s">
        <v>32</v>
      </c>
      <c r="B2369" s="88"/>
      <c r="C2369" s="16">
        <v>46227</v>
      </c>
      <c r="D2369" s="79">
        <v>18522.800000000003</v>
      </c>
    </row>
    <row r="2370" spans="1:4" x14ac:dyDescent="0.3">
      <c r="A2370" s="88" t="s">
        <v>33</v>
      </c>
      <c r="B2370" s="88"/>
      <c r="C2370" s="16">
        <v>46227</v>
      </c>
      <c r="D2370" s="79">
        <v>28485.559999999998</v>
      </c>
    </row>
    <row r="2371" spans="1:4" x14ac:dyDescent="0.3">
      <c r="A2371" s="88" t="s">
        <v>34</v>
      </c>
      <c r="B2371" s="88"/>
      <c r="C2371" s="16">
        <v>46227</v>
      </c>
      <c r="D2371" s="79">
        <v>345</v>
      </c>
    </row>
    <row r="2372" spans="1:4" x14ac:dyDescent="0.3">
      <c r="A2372" s="88" t="s">
        <v>35</v>
      </c>
      <c r="B2372" s="88"/>
      <c r="C2372" s="16">
        <v>46227</v>
      </c>
      <c r="D2372" s="79">
        <v>9557.6300000000028</v>
      </c>
    </row>
    <row r="2373" spans="1:4" x14ac:dyDescent="0.3">
      <c r="A2373" s="88" t="s">
        <v>193</v>
      </c>
      <c r="B2373" s="88"/>
      <c r="C2373" s="16">
        <v>46227</v>
      </c>
      <c r="D2373" s="79">
        <v>0</v>
      </c>
    </row>
    <row r="2374" spans="1:4" x14ac:dyDescent="0.3">
      <c r="A2374" s="88" t="s">
        <v>214</v>
      </c>
      <c r="B2374" s="88"/>
      <c r="C2374" s="16">
        <v>46227</v>
      </c>
      <c r="D2374" s="79">
        <v>0</v>
      </c>
    </row>
    <row r="2375" spans="1:4" x14ac:dyDescent="0.3">
      <c r="A2375" s="88" t="s">
        <v>194</v>
      </c>
      <c r="B2375" s="88"/>
      <c r="C2375" s="16">
        <v>46227</v>
      </c>
      <c r="D2375" s="79">
        <v>0</v>
      </c>
    </row>
    <row r="2376" spans="1:4" x14ac:dyDescent="0.3">
      <c r="A2376" s="88" t="s">
        <v>195</v>
      </c>
      <c r="B2376" s="88"/>
      <c r="C2376" s="16">
        <v>46227</v>
      </c>
      <c r="D2376" s="79">
        <v>0</v>
      </c>
    </row>
    <row r="2377" spans="1:4" x14ac:dyDescent="0.3">
      <c r="A2377" s="88" t="s">
        <v>196</v>
      </c>
      <c r="B2377" s="88"/>
      <c r="C2377" s="16">
        <v>46227</v>
      </c>
      <c r="D2377" s="79">
        <v>0</v>
      </c>
    </row>
    <row r="2378" spans="1:4" x14ac:dyDescent="0.3">
      <c r="A2378" s="88" t="s">
        <v>197</v>
      </c>
      <c r="B2378" s="88"/>
      <c r="C2378" s="16">
        <v>46227</v>
      </c>
      <c r="D2378" s="79">
        <v>0</v>
      </c>
    </row>
    <row r="2379" spans="1:4" x14ac:dyDescent="0.3">
      <c r="A2379" s="88" t="s">
        <v>212</v>
      </c>
      <c r="B2379" s="88"/>
      <c r="C2379" s="16">
        <v>46227</v>
      </c>
      <c r="D2379" s="79">
        <v>0</v>
      </c>
    </row>
    <row r="2380" spans="1:4" x14ac:dyDescent="0.3">
      <c r="A2380" s="88" t="s">
        <v>199</v>
      </c>
      <c r="B2380" s="88"/>
      <c r="C2380" s="16">
        <v>46227</v>
      </c>
      <c r="D2380" s="79">
        <v>0</v>
      </c>
    </row>
    <row r="2381" spans="1:4" x14ac:dyDescent="0.3">
      <c r="A2381" s="88" t="s">
        <v>217</v>
      </c>
      <c r="B2381" s="88"/>
      <c r="C2381" s="16">
        <v>46227</v>
      </c>
      <c r="D2381" s="79">
        <v>0</v>
      </c>
    </row>
    <row r="2382" spans="1:4" x14ac:dyDescent="0.3">
      <c r="A2382" s="88" t="s">
        <v>17</v>
      </c>
      <c r="B2382" s="88"/>
      <c r="C2382" s="16">
        <v>46228</v>
      </c>
      <c r="D2382" s="79">
        <v>2255750.7400000007</v>
      </c>
    </row>
    <row r="2383" spans="1:4" x14ac:dyDescent="0.3">
      <c r="A2383" s="88" t="s">
        <v>18</v>
      </c>
      <c r="B2383" s="88"/>
      <c r="C2383" s="16">
        <v>46228</v>
      </c>
      <c r="D2383" s="79">
        <v>73157.680000000168</v>
      </c>
    </row>
    <row r="2384" spans="1:4" x14ac:dyDescent="0.3">
      <c r="A2384" s="88" t="s">
        <v>19</v>
      </c>
      <c r="B2384" s="88"/>
      <c r="C2384" s="16">
        <v>46228</v>
      </c>
      <c r="D2384" s="79">
        <v>1669.89</v>
      </c>
    </row>
    <row r="2385" spans="1:4" x14ac:dyDescent="0.3">
      <c r="A2385" s="88" t="s">
        <v>20</v>
      </c>
      <c r="B2385" s="88"/>
      <c r="C2385" s="16">
        <v>46228</v>
      </c>
      <c r="D2385" s="79">
        <v>1042744.6899999997</v>
      </c>
    </row>
    <row r="2386" spans="1:4" x14ac:dyDescent="0.3">
      <c r="A2386" s="88" t="s">
        <v>21</v>
      </c>
      <c r="B2386" s="88"/>
      <c r="C2386" s="16">
        <v>46228</v>
      </c>
      <c r="D2386" s="79">
        <v>2022877.8699999996</v>
      </c>
    </row>
    <row r="2387" spans="1:4" x14ac:dyDescent="0.3">
      <c r="A2387" s="88" t="s">
        <v>22</v>
      </c>
      <c r="B2387" s="88"/>
      <c r="C2387" s="16">
        <v>46228</v>
      </c>
      <c r="D2387" s="79">
        <v>200496.38</v>
      </c>
    </row>
    <row r="2388" spans="1:4" x14ac:dyDescent="0.3">
      <c r="A2388" s="88" t="s">
        <v>23</v>
      </c>
      <c r="B2388" s="88"/>
      <c r="C2388" s="16">
        <v>46228</v>
      </c>
      <c r="D2388" s="79">
        <v>267507.45</v>
      </c>
    </row>
    <row r="2389" spans="1:4" x14ac:dyDescent="0.3">
      <c r="A2389" s="88" t="s">
        <v>24</v>
      </c>
      <c r="B2389" s="88"/>
      <c r="C2389" s="16">
        <v>46228</v>
      </c>
      <c r="D2389" s="79">
        <v>14580.45</v>
      </c>
    </row>
    <row r="2390" spans="1:4" x14ac:dyDescent="0.3">
      <c r="A2390" s="88" t="s">
        <v>25</v>
      </c>
      <c r="B2390" s="88"/>
      <c r="C2390" s="16">
        <v>46228</v>
      </c>
      <c r="D2390" s="79">
        <v>54.400000000000006</v>
      </c>
    </row>
    <row r="2391" spans="1:4" x14ac:dyDescent="0.3">
      <c r="A2391" s="88" t="s">
        <v>26</v>
      </c>
      <c r="B2391" s="88"/>
      <c r="C2391" s="16">
        <v>46228</v>
      </c>
      <c r="D2391" s="79">
        <v>2207.8200000000002</v>
      </c>
    </row>
    <row r="2392" spans="1:4" x14ac:dyDescent="0.3">
      <c r="A2392" s="88" t="s">
        <v>27</v>
      </c>
      <c r="B2392" s="88"/>
      <c r="C2392" s="16">
        <v>46228</v>
      </c>
      <c r="D2392" s="79">
        <v>1454589.72</v>
      </c>
    </row>
    <row r="2393" spans="1:4" x14ac:dyDescent="0.3">
      <c r="A2393" s="88" t="s">
        <v>28</v>
      </c>
      <c r="B2393" s="88"/>
      <c r="C2393" s="16">
        <v>46228</v>
      </c>
      <c r="D2393" s="79">
        <v>1968.99</v>
      </c>
    </row>
    <row r="2394" spans="1:4" x14ac:dyDescent="0.3">
      <c r="A2394" s="88" t="s">
        <v>29</v>
      </c>
      <c r="B2394" s="88"/>
      <c r="C2394" s="16">
        <v>46228</v>
      </c>
      <c r="D2394" s="79">
        <v>901.34</v>
      </c>
    </row>
    <row r="2395" spans="1:4" x14ac:dyDescent="0.3">
      <c r="A2395" s="88" t="s">
        <v>30</v>
      </c>
      <c r="B2395" s="88"/>
      <c r="C2395" s="16">
        <v>46228</v>
      </c>
      <c r="D2395" s="79">
        <v>1412.08</v>
      </c>
    </row>
    <row r="2396" spans="1:4" x14ac:dyDescent="0.3">
      <c r="A2396" s="88" t="s">
        <v>31</v>
      </c>
      <c r="B2396" s="88"/>
      <c r="C2396" s="16">
        <v>46228</v>
      </c>
      <c r="D2396" s="79">
        <v>22347.56999999996</v>
      </c>
    </row>
    <row r="2397" spans="1:4" x14ac:dyDescent="0.3">
      <c r="A2397" s="88" t="s">
        <v>32</v>
      </c>
      <c r="B2397" s="88"/>
      <c r="C2397" s="16">
        <v>46228</v>
      </c>
      <c r="D2397" s="79">
        <v>18522.800000000003</v>
      </c>
    </row>
    <row r="2398" spans="1:4" x14ac:dyDescent="0.3">
      <c r="A2398" s="88" t="s">
        <v>33</v>
      </c>
      <c r="B2398" s="88"/>
      <c r="C2398" s="16">
        <v>46228</v>
      </c>
      <c r="D2398" s="79">
        <v>28485.559999999998</v>
      </c>
    </row>
    <row r="2399" spans="1:4" x14ac:dyDescent="0.3">
      <c r="A2399" s="88" t="s">
        <v>34</v>
      </c>
      <c r="B2399" s="88"/>
      <c r="C2399" s="16">
        <v>46228</v>
      </c>
      <c r="D2399" s="79">
        <v>345</v>
      </c>
    </row>
    <row r="2400" spans="1:4" x14ac:dyDescent="0.3">
      <c r="A2400" s="88" t="s">
        <v>35</v>
      </c>
      <c r="B2400" s="88"/>
      <c r="C2400" s="16">
        <v>46228</v>
      </c>
      <c r="D2400" s="79">
        <v>9557.6300000000028</v>
      </c>
    </row>
    <row r="2401" spans="1:4" x14ac:dyDescent="0.3">
      <c r="A2401" s="88" t="s">
        <v>193</v>
      </c>
      <c r="B2401" s="88"/>
      <c r="C2401" s="16">
        <v>46228</v>
      </c>
      <c r="D2401" s="79">
        <v>0</v>
      </c>
    </row>
    <row r="2402" spans="1:4" x14ac:dyDescent="0.3">
      <c r="A2402" s="88" t="s">
        <v>214</v>
      </c>
      <c r="B2402" s="88"/>
      <c r="C2402" s="16">
        <v>46228</v>
      </c>
      <c r="D2402" s="79">
        <v>0</v>
      </c>
    </row>
    <row r="2403" spans="1:4" x14ac:dyDescent="0.3">
      <c r="A2403" s="88" t="s">
        <v>194</v>
      </c>
      <c r="B2403" s="88"/>
      <c r="C2403" s="16">
        <v>46228</v>
      </c>
      <c r="D2403" s="79">
        <v>0</v>
      </c>
    </row>
    <row r="2404" spans="1:4" x14ac:dyDescent="0.3">
      <c r="A2404" s="88" t="s">
        <v>195</v>
      </c>
      <c r="B2404" s="88"/>
      <c r="C2404" s="16">
        <v>46228</v>
      </c>
      <c r="D2404" s="79">
        <v>0</v>
      </c>
    </row>
    <row r="2405" spans="1:4" x14ac:dyDescent="0.3">
      <c r="A2405" s="88" t="s">
        <v>196</v>
      </c>
      <c r="B2405" s="88"/>
      <c r="C2405" s="16">
        <v>46228</v>
      </c>
      <c r="D2405" s="79">
        <v>0</v>
      </c>
    </row>
    <row r="2406" spans="1:4" x14ac:dyDescent="0.3">
      <c r="A2406" s="88" t="s">
        <v>197</v>
      </c>
      <c r="B2406" s="88"/>
      <c r="C2406" s="16">
        <v>46228</v>
      </c>
      <c r="D2406" s="79">
        <v>0</v>
      </c>
    </row>
    <row r="2407" spans="1:4" x14ac:dyDescent="0.3">
      <c r="A2407" s="88" t="s">
        <v>212</v>
      </c>
      <c r="B2407" s="88"/>
      <c r="C2407" s="16">
        <v>46228</v>
      </c>
      <c r="D2407" s="79">
        <v>0</v>
      </c>
    </row>
    <row r="2408" spans="1:4" x14ac:dyDescent="0.3">
      <c r="A2408" s="88" t="s">
        <v>199</v>
      </c>
      <c r="B2408" s="88"/>
      <c r="C2408" s="16">
        <v>46228</v>
      </c>
      <c r="D2408" s="79">
        <v>0</v>
      </c>
    </row>
    <row r="2409" spans="1:4" x14ac:dyDescent="0.3">
      <c r="A2409" s="88" t="s">
        <v>217</v>
      </c>
      <c r="B2409" s="88"/>
      <c r="C2409" s="16">
        <v>46228</v>
      </c>
      <c r="D2409" s="79">
        <v>0</v>
      </c>
    </row>
    <row r="2410" spans="1:4" x14ac:dyDescent="0.3">
      <c r="A2410" s="88" t="s">
        <v>17</v>
      </c>
      <c r="B2410" s="88"/>
      <c r="C2410" s="16">
        <v>46229</v>
      </c>
      <c r="D2410" s="79">
        <v>2255750.7400000007</v>
      </c>
    </row>
    <row r="2411" spans="1:4" x14ac:dyDescent="0.3">
      <c r="A2411" s="88" t="s">
        <v>18</v>
      </c>
      <c r="B2411" s="88"/>
      <c r="C2411" s="16">
        <v>46229</v>
      </c>
      <c r="D2411" s="79">
        <v>73157.680000000168</v>
      </c>
    </row>
    <row r="2412" spans="1:4" x14ac:dyDescent="0.3">
      <c r="A2412" s="88" t="s">
        <v>19</v>
      </c>
      <c r="B2412" s="88"/>
      <c r="C2412" s="16">
        <v>46229</v>
      </c>
      <c r="D2412" s="79">
        <v>1669.89</v>
      </c>
    </row>
    <row r="2413" spans="1:4" x14ac:dyDescent="0.3">
      <c r="A2413" s="88" t="s">
        <v>20</v>
      </c>
      <c r="B2413" s="88"/>
      <c r="C2413" s="16">
        <v>46229</v>
      </c>
      <c r="D2413" s="79">
        <v>1042744.6899999997</v>
      </c>
    </row>
    <row r="2414" spans="1:4" x14ac:dyDescent="0.3">
      <c r="A2414" s="88" t="s">
        <v>21</v>
      </c>
      <c r="B2414" s="88"/>
      <c r="C2414" s="16">
        <v>46229</v>
      </c>
      <c r="D2414" s="79">
        <v>2022877.8699999996</v>
      </c>
    </row>
    <row r="2415" spans="1:4" x14ac:dyDescent="0.3">
      <c r="A2415" s="88" t="s">
        <v>22</v>
      </c>
      <c r="B2415" s="88"/>
      <c r="C2415" s="16">
        <v>46229</v>
      </c>
      <c r="D2415" s="79">
        <v>200496.38</v>
      </c>
    </row>
    <row r="2416" spans="1:4" x14ac:dyDescent="0.3">
      <c r="A2416" s="88" t="s">
        <v>23</v>
      </c>
      <c r="B2416" s="88"/>
      <c r="C2416" s="16">
        <v>46229</v>
      </c>
      <c r="D2416" s="79">
        <v>267507.45</v>
      </c>
    </row>
    <row r="2417" spans="1:4" x14ac:dyDescent="0.3">
      <c r="A2417" s="88" t="s">
        <v>24</v>
      </c>
      <c r="B2417" s="88"/>
      <c r="C2417" s="16">
        <v>46229</v>
      </c>
      <c r="D2417" s="79">
        <v>14580.45</v>
      </c>
    </row>
    <row r="2418" spans="1:4" x14ac:dyDescent="0.3">
      <c r="A2418" s="88" t="s">
        <v>25</v>
      </c>
      <c r="B2418" s="88"/>
      <c r="C2418" s="16">
        <v>46229</v>
      </c>
      <c r="D2418" s="79">
        <v>54.400000000000006</v>
      </c>
    </row>
    <row r="2419" spans="1:4" x14ac:dyDescent="0.3">
      <c r="A2419" s="88" t="s">
        <v>26</v>
      </c>
      <c r="B2419" s="88"/>
      <c r="C2419" s="16">
        <v>46229</v>
      </c>
      <c r="D2419" s="79">
        <v>2207.8200000000002</v>
      </c>
    </row>
    <row r="2420" spans="1:4" x14ac:dyDescent="0.3">
      <c r="A2420" s="88" t="s">
        <v>27</v>
      </c>
      <c r="B2420" s="88"/>
      <c r="C2420" s="16">
        <v>46229</v>
      </c>
      <c r="D2420" s="79">
        <v>1454589.72</v>
      </c>
    </row>
    <row r="2421" spans="1:4" x14ac:dyDescent="0.3">
      <c r="A2421" s="88" t="s">
        <v>28</v>
      </c>
      <c r="B2421" s="88"/>
      <c r="C2421" s="16">
        <v>46229</v>
      </c>
      <c r="D2421" s="79">
        <v>1968.99</v>
      </c>
    </row>
    <row r="2422" spans="1:4" x14ac:dyDescent="0.3">
      <c r="A2422" s="88" t="s">
        <v>29</v>
      </c>
      <c r="B2422" s="88"/>
      <c r="C2422" s="16">
        <v>46229</v>
      </c>
      <c r="D2422" s="79">
        <v>901.34</v>
      </c>
    </row>
    <row r="2423" spans="1:4" x14ac:dyDescent="0.3">
      <c r="A2423" s="88" t="s">
        <v>30</v>
      </c>
      <c r="B2423" s="88"/>
      <c r="C2423" s="16">
        <v>46229</v>
      </c>
      <c r="D2423" s="79">
        <v>1412.08</v>
      </c>
    </row>
    <row r="2424" spans="1:4" x14ac:dyDescent="0.3">
      <c r="A2424" s="88" t="s">
        <v>31</v>
      </c>
      <c r="B2424" s="88"/>
      <c r="C2424" s="16">
        <v>46229</v>
      </c>
      <c r="D2424" s="79">
        <v>22347.56999999996</v>
      </c>
    </row>
    <row r="2425" spans="1:4" x14ac:dyDescent="0.3">
      <c r="A2425" s="88" t="s">
        <v>32</v>
      </c>
      <c r="B2425" s="88"/>
      <c r="C2425" s="16">
        <v>46229</v>
      </c>
      <c r="D2425" s="79">
        <v>18522.800000000003</v>
      </c>
    </row>
    <row r="2426" spans="1:4" x14ac:dyDescent="0.3">
      <c r="A2426" s="88" t="s">
        <v>33</v>
      </c>
      <c r="B2426" s="88"/>
      <c r="C2426" s="16">
        <v>46229</v>
      </c>
      <c r="D2426" s="79">
        <v>28485.559999999998</v>
      </c>
    </row>
    <row r="2427" spans="1:4" x14ac:dyDescent="0.3">
      <c r="A2427" s="88" t="s">
        <v>34</v>
      </c>
      <c r="B2427" s="88"/>
      <c r="C2427" s="16">
        <v>46229</v>
      </c>
      <c r="D2427" s="79">
        <v>345</v>
      </c>
    </row>
    <row r="2428" spans="1:4" x14ac:dyDescent="0.3">
      <c r="A2428" s="88" t="s">
        <v>35</v>
      </c>
      <c r="B2428" s="88"/>
      <c r="C2428" s="16">
        <v>46229</v>
      </c>
      <c r="D2428" s="79">
        <v>9557.6300000000028</v>
      </c>
    </row>
    <row r="2429" spans="1:4" x14ac:dyDescent="0.3">
      <c r="A2429" s="88" t="s">
        <v>193</v>
      </c>
      <c r="B2429" s="88"/>
      <c r="C2429" s="16">
        <v>46229</v>
      </c>
      <c r="D2429" s="79">
        <v>0</v>
      </c>
    </row>
    <row r="2430" spans="1:4" x14ac:dyDescent="0.3">
      <c r="A2430" s="88" t="s">
        <v>214</v>
      </c>
      <c r="B2430" s="88"/>
      <c r="C2430" s="16">
        <v>46229</v>
      </c>
      <c r="D2430" s="79">
        <v>0</v>
      </c>
    </row>
    <row r="2431" spans="1:4" x14ac:dyDescent="0.3">
      <c r="A2431" s="88" t="s">
        <v>194</v>
      </c>
      <c r="B2431" s="88"/>
      <c r="C2431" s="16">
        <v>46229</v>
      </c>
      <c r="D2431" s="79">
        <v>0</v>
      </c>
    </row>
    <row r="2432" spans="1:4" x14ac:dyDescent="0.3">
      <c r="A2432" s="88" t="s">
        <v>195</v>
      </c>
      <c r="B2432" s="88"/>
      <c r="C2432" s="16">
        <v>46229</v>
      </c>
      <c r="D2432" s="79">
        <v>0</v>
      </c>
    </row>
    <row r="2433" spans="1:4" x14ac:dyDescent="0.3">
      <c r="A2433" s="88" t="s">
        <v>196</v>
      </c>
      <c r="B2433" s="88"/>
      <c r="C2433" s="16">
        <v>46229</v>
      </c>
      <c r="D2433" s="79">
        <v>0</v>
      </c>
    </row>
    <row r="2434" spans="1:4" x14ac:dyDescent="0.3">
      <c r="A2434" s="88" t="s">
        <v>197</v>
      </c>
      <c r="B2434" s="88"/>
      <c r="C2434" s="16">
        <v>46229</v>
      </c>
      <c r="D2434" s="79">
        <v>0</v>
      </c>
    </row>
    <row r="2435" spans="1:4" x14ac:dyDescent="0.3">
      <c r="A2435" s="88" t="s">
        <v>212</v>
      </c>
      <c r="B2435" s="88"/>
      <c r="C2435" s="16">
        <v>46229</v>
      </c>
      <c r="D2435" s="79">
        <v>0</v>
      </c>
    </row>
    <row r="2436" spans="1:4" x14ac:dyDescent="0.3">
      <c r="A2436" s="88" t="s">
        <v>199</v>
      </c>
      <c r="B2436" s="88"/>
      <c r="C2436" s="16">
        <v>46229</v>
      </c>
      <c r="D2436" s="79">
        <v>0</v>
      </c>
    </row>
    <row r="2437" spans="1:4" x14ac:dyDescent="0.3">
      <c r="A2437" s="88" t="s">
        <v>217</v>
      </c>
      <c r="B2437" s="88"/>
      <c r="C2437" s="16">
        <v>46229</v>
      </c>
      <c r="D2437" s="79">
        <v>0</v>
      </c>
    </row>
    <row r="2438" spans="1:4" x14ac:dyDescent="0.3">
      <c r="A2438" s="88" t="s">
        <v>17</v>
      </c>
      <c r="B2438" s="88"/>
      <c r="C2438" s="16">
        <v>46230</v>
      </c>
      <c r="D2438" s="79">
        <v>2255750.7400000007</v>
      </c>
    </row>
    <row r="2439" spans="1:4" x14ac:dyDescent="0.3">
      <c r="A2439" s="88" t="s">
        <v>18</v>
      </c>
      <c r="B2439" s="88"/>
      <c r="C2439" s="16">
        <v>46230</v>
      </c>
      <c r="D2439" s="79">
        <v>73157.680000000168</v>
      </c>
    </row>
    <row r="2440" spans="1:4" x14ac:dyDescent="0.3">
      <c r="A2440" s="88" t="s">
        <v>19</v>
      </c>
      <c r="B2440" s="88"/>
      <c r="C2440" s="16">
        <v>46230</v>
      </c>
      <c r="D2440" s="79">
        <v>1669.89</v>
      </c>
    </row>
    <row r="2441" spans="1:4" x14ac:dyDescent="0.3">
      <c r="A2441" s="88" t="s">
        <v>20</v>
      </c>
      <c r="B2441" s="88"/>
      <c r="C2441" s="16">
        <v>46230</v>
      </c>
      <c r="D2441" s="79">
        <v>1392744.6899999997</v>
      </c>
    </row>
    <row r="2442" spans="1:4" x14ac:dyDescent="0.3">
      <c r="A2442" s="88" t="s">
        <v>21</v>
      </c>
      <c r="B2442" s="88"/>
      <c r="C2442" s="16">
        <v>46230</v>
      </c>
      <c r="D2442" s="79">
        <v>2022877.8699999996</v>
      </c>
    </row>
    <row r="2443" spans="1:4" x14ac:dyDescent="0.3">
      <c r="A2443" s="88" t="s">
        <v>22</v>
      </c>
      <c r="B2443" s="88"/>
      <c r="C2443" s="16">
        <v>46230</v>
      </c>
      <c r="D2443" s="79">
        <v>190496.38</v>
      </c>
    </row>
    <row r="2444" spans="1:4" x14ac:dyDescent="0.3">
      <c r="A2444" s="88" t="s">
        <v>23</v>
      </c>
      <c r="B2444" s="88"/>
      <c r="C2444" s="16">
        <v>46230</v>
      </c>
      <c r="D2444" s="79">
        <v>267507.45</v>
      </c>
    </row>
    <row r="2445" spans="1:4" x14ac:dyDescent="0.3">
      <c r="A2445" s="88" t="s">
        <v>24</v>
      </c>
      <c r="B2445" s="88"/>
      <c r="C2445" s="16">
        <v>46230</v>
      </c>
      <c r="D2445" s="79">
        <v>14580.45</v>
      </c>
    </row>
    <row r="2446" spans="1:4" x14ac:dyDescent="0.3">
      <c r="A2446" s="88" t="s">
        <v>25</v>
      </c>
      <c r="B2446" s="88"/>
      <c r="C2446" s="16">
        <v>46230</v>
      </c>
      <c r="D2446" s="79">
        <v>54.400000000000006</v>
      </c>
    </row>
    <row r="2447" spans="1:4" x14ac:dyDescent="0.3">
      <c r="A2447" s="88" t="s">
        <v>26</v>
      </c>
      <c r="B2447" s="88"/>
      <c r="C2447" s="16">
        <v>46230</v>
      </c>
      <c r="D2447" s="79">
        <v>2207.8200000000002</v>
      </c>
    </row>
    <row r="2448" spans="1:4" x14ac:dyDescent="0.3">
      <c r="A2448" s="88" t="s">
        <v>27</v>
      </c>
      <c r="B2448" s="88"/>
      <c r="C2448" s="16">
        <v>46230</v>
      </c>
      <c r="D2448" s="79">
        <v>1454589.72</v>
      </c>
    </row>
    <row r="2449" spans="1:4" x14ac:dyDescent="0.3">
      <c r="A2449" s="88" t="s">
        <v>28</v>
      </c>
      <c r="B2449" s="88"/>
      <c r="C2449" s="16">
        <v>46230</v>
      </c>
      <c r="D2449" s="79">
        <v>1968.99</v>
      </c>
    </row>
    <row r="2450" spans="1:4" x14ac:dyDescent="0.3">
      <c r="A2450" s="88" t="s">
        <v>29</v>
      </c>
      <c r="B2450" s="88"/>
      <c r="C2450" s="16">
        <v>46230</v>
      </c>
      <c r="D2450" s="79">
        <v>901.34</v>
      </c>
    </row>
    <row r="2451" spans="1:4" x14ac:dyDescent="0.3">
      <c r="A2451" s="88" t="s">
        <v>30</v>
      </c>
      <c r="B2451" s="88"/>
      <c r="C2451" s="16">
        <v>46230</v>
      </c>
      <c r="D2451" s="79">
        <v>1412.08</v>
      </c>
    </row>
    <row r="2452" spans="1:4" x14ac:dyDescent="0.3">
      <c r="A2452" s="88" t="s">
        <v>31</v>
      </c>
      <c r="B2452" s="88"/>
      <c r="C2452" s="16">
        <v>46230</v>
      </c>
      <c r="D2452" s="79">
        <v>22347.56999999996</v>
      </c>
    </row>
    <row r="2453" spans="1:4" x14ac:dyDescent="0.3">
      <c r="A2453" s="88" t="s">
        <v>32</v>
      </c>
      <c r="B2453" s="88"/>
      <c r="C2453" s="16">
        <v>46230</v>
      </c>
      <c r="D2453" s="79">
        <v>18522.800000000003</v>
      </c>
    </row>
    <row r="2454" spans="1:4" x14ac:dyDescent="0.3">
      <c r="A2454" s="88" t="s">
        <v>33</v>
      </c>
      <c r="B2454" s="88"/>
      <c r="C2454" s="16">
        <v>46230</v>
      </c>
      <c r="D2454" s="79">
        <v>28485.559999999998</v>
      </c>
    </row>
    <row r="2455" spans="1:4" x14ac:dyDescent="0.3">
      <c r="A2455" s="88" t="s">
        <v>34</v>
      </c>
      <c r="B2455" s="88"/>
      <c r="C2455" s="16">
        <v>46230</v>
      </c>
      <c r="D2455" s="79">
        <v>345</v>
      </c>
    </row>
    <row r="2456" spans="1:4" x14ac:dyDescent="0.3">
      <c r="A2456" s="88" t="s">
        <v>35</v>
      </c>
      <c r="B2456" s="88"/>
      <c r="C2456" s="16">
        <v>46230</v>
      </c>
      <c r="D2456" s="79">
        <v>15418.180000000004</v>
      </c>
    </row>
    <row r="2457" spans="1:4" x14ac:dyDescent="0.3">
      <c r="A2457" s="88" t="s">
        <v>193</v>
      </c>
      <c r="B2457" s="88"/>
      <c r="C2457" s="16">
        <v>46230</v>
      </c>
      <c r="D2457" s="79">
        <v>0</v>
      </c>
    </row>
    <row r="2458" spans="1:4" x14ac:dyDescent="0.3">
      <c r="A2458" s="88" t="s">
        <v>214</v>
      </c>
      <c r="B2458" s="88"/>
      <c r="C2458" s="16">
        <v>46230</v>
      </c>
      <c r="D2458" s="79">
        <v>0</v>
      </c>
    </row>
    <row r="2459" spans="1:4" x14ac:dyDescent="0.3">
      <c r="A2459" s="88" t="s">
        <v>194</v>
      </c>
      <c r="B2459" s="88"/>
      <c r="C2459" s="16">
        <v>46230</v>
      </c>
      <c r="D2459" s="79">
        <v>0</v>
      </c>
    </row>
    <row r="2460" spans="1:4" x14ac:dyDescent="0.3">
      <c r="A2460" s="88" t="s">
        <v>195</v>
      </c>
      <c r="B2460" s="88"/>
      <c r="C2460" s="16">
        <v>46230</v>
      </c>
      <c r="D2460" s="79">
        <v>0</v>
      </c>
    </row>
    <row r="2461" spans="1:4" x14ac:dyDescent="0.3">
      <c r="A2461" s="88" t="s">
        <v>196</v>
      </c>
      <c r="B2461" s="88"/>
      <c r="C2461" s="16">
        <v>46230</v>
      </c>
      <c r="D2461" s="79">
        <v>0</v>
      </c>
    </row>
    <row r="2462" spans="1:4" x14ac:dyDescent="0.3">
      <c r="A2462" s="88" t="s">
        <v>197</v>
      </c>
      <c r="B2462" s="88"/>
      <c r="C2462" s="16">
        <v>46230</v>
      </c>
      <c r="D2462" s="79">
        <v>0</v>
      </c>
    </row>
    <row r="2463" spans="1:4" x14ac:dyDescent="0.3">
      <c r="A2463" s="88" t="s">
        <v>212</v>
      </c>
      <c r="B2463" s="88"/>
      <c r="C2463" s="16">
        <v>46230</v>
      </c>
      <c r="D2463" s="79">
        <v>0</v>
      </c>
    </row>
    <row r="2464" spans="1:4" x14ac:dyDescent="0.3">
      <c r="A2464" s="88" t="s">
        <v>199</v>
      </c>
      <c r="B2464" s="88"/>
      <c r="C2464" s="16">
        <v>46230</v>
      </c>
      <c r="D2464" s="79">
        <v>0</v>
      </c>
    </row>
    <row r="2465" spans="1:4" x14ac:dyDescent="0.3">
      <c r="A2465" s="88" t="s">
        <v>217</v>
      </c>
      <c r="B2465" s="88"/>
      <c r="C2465" s="16">
        <v>46230</v>
      </c>
      <c r="D2465" s="79">
        <v>0</v>
      </c>
    </row>
    <row r="2466" spans="1:4" x14ac:dyDescent="0.3">
      <c r="A2466" s="88" t="s">
        <v>17</v>
      </c>
      <c r="B2466" s="88"/>
      <c r="C2466" s="16">
        <v>46231</v>
      </c>
      <c r="D2466" s="79">
        <v>2255750.7400000007</v>
      </c>
    </row>
    <row r="2467" spans="1:4" x14ac:dyDescent="0.3">
      <c r="A2467" s="88" t="s">
        <v>18</v>
      </c>
      <c r="B2467" s="88"/>
      <c r="C2467" s="16">
        <v>46231</v>
      </c>
      <c r="D2467" s="79">
        <v>80574.12000000017</v>
      </c>
    </row>
    <row r="2468" spans="1:4" x14ac:dyDescent="0.3">
      <c r="A2468" s="88" t="s">
        <v>19</v>
      </c>
      <c r="B2468" s="88"/>
      <c r="C2468" s="16">
        <v>46231</v>
      </c>
      <c r="D2468" s="79">
        <v>1669.89</v>
      </c>
    </row>
    <row r="2469" spans="1:4" x14ac:dyDescent="0.3">
      <c r="A2469" s="88" t="s">
        <v>20</v>
      </c>
      <c r="B2469" s="88"/>
      <c r="C2469" s="16">
        <v>46231</v>
      </c>
      <c r="D2469" s="79">
        <v>1415636.7399999998</v>
      </c>
    </row>
    <row r="2470" spans="1:4" x14ac:dyDescent="0.3">
      <c r="A2470" s="88" t="s">
        <v>21</v>
      </c>
      <c r="B2470" s="88"/>
      <c r="C2470" s="16">
        <v>46231</v>
      </c>
      <c r="D2470" s="79">
        <v>1857997.0999999996</v>
      </c>
    </row>
    <row r="2471" spans="1:4" x14ac:dyDescent="0.3">
      <c r="A2471" s="88" t="s">
        <v>22</v>
      </c>
      <c r="B2471" s="88"/>
      <c r="C2471" s="16">
        <v>46231</v>
      </c>
      <c r="D2471" s="79">
        <v>190496.38</v>
      </c>
    </row>
    <row r="2472" spans="1:4" x14ac:dyDescent="0.3">
      <c r="A2472" s="88" t="s">
        <v>23</v>
      </c>
      <c r="B2472" s="88"/>
      <c r="C2472" s="16">
        <v>46231</v>
      </c>
      <c r="D2472" s="79">
        <v>267507.45</v>
      </c>
    </row>
    <row r="2473" spans="1:4" x14ac:dyDescent="0.3">
      <c r="A2473" s="88" t="s">
        <v>24</v>
      </c>
      <c r="B2473" s="88"/>
      <c r="C2473" s="16">
        <v>46231</v>
      </c>
      <c r="D2473" s="79">
        <v>14580.45</v>
      </c>
    </row>
    <row r="2474" spans="1:4" x14ac:dyDescent="0.3">
      <c r="A2474" s="88" t="s">
        <v>25</v>
      </c>
      <c r="B2474" s="88"/>
      <c r="C2474" s="16">
        <v>46231</v>
      </c>
      <c r="D2474" s="79">
        <v>54.400000000000006</v>
      </c>
    </row>
    <row r="2475" spans="1:4" x14ac:dyDescent="0.3">
      <c r="A2475" s="88" t="s">
        <v>26</v>
      </c>
      <c r="B2475" s="88"/>
      <c r="C2475" s="16">
        <v>46231</v>
      </c>
      <c r="D2475" s="79">
        <v>2207.8200000000002</v>
      </c>
    </row>
    <row r="2476" spans="1:4" x14ac:dyDescent="0.3">
      <c r="A2476" s="88" t="s">
        <v>27</v>
      </c>
      <c r="B2476" s="88"/>
      <c r="C2476" s="16">
        <v>46231</v>
      </c>
      <c r="D2476" s="79">
        <v>1454589.72</v>
      </c>
    </row>
    <row r="2477" spans="1:4" x14ac:dyDescent="0.3">
      <c r="A2477" s="88" t="s">
        <v>28</v>
      </c>
      <c r="B2477" s="88"/>
      <c r="C2477" s="16">
        <v>46231</v>
      </c>
      <c r="D2477" s="79">
        <v>1968.99</v>
      </c>
    </row>
    <row r="2478" spans="1:4" x14ac:dyDescent="0.3">
      <c r="A2478" s="88" t="s">
        <v>29</v>
      </c>
      <c r="B2478" s="88"/>
      <c r="C2478" s="16">
        <v>46231</v>
      </c>
      <c r="D2478" s="79">
        <v>901.34</v>
      </c>
    </row>
    <row r="2479" spans="1:4" x14ac:dyDescent="0.3">
      <c r="A2479" s="88" t="s">
        <v>30</v>
      </c>
      <c r="B2479" s="88"/>
      <c r="C2479" s="16">
        <v>46231</v>
      </c>
      <c r="D2479" s="79">
        <v>1412.08</v>
      </c>
    </row>
    <row r="2480" spans="1:4" x14ac:dyDescent="0.3">
      <c r="A2480" s="88" t="s">
        <v>31</v>
      </c>
      <c r="B2480" s="88"/>
      <c r="C2480" s="16">
        <v>46231</v>
      </c>
      <c r="D2480" s="79">
        <v>22347.56999999996</v>
      </c>
    </row>
    <row r="2481" spans="1:4" x14ac:dyDescent="0.3">
      <c r="A2481" s="88" t="s">
        <v>32</v>
      </c>
      <c r="B2481" s="88"/>
      <c r="C2481" s="16">
        <v>46231</v>
      </c>
      <c r="D2481" s="79">
        <v>18522.800000000003</v>
      </c>
    </row>
    <row r="2482" spans="1:4" x14ac:dyDescent="0.3">
      <c r="A2482" s="88" t="s">
        <v>33</v>
      </c>
      <c r="B2482" s="88"/>
      <c r="C2482" s="16">
        <v>46231</v>
      </c>
      <c r="D2482" s="79">
        <v>28485.559999999998</v>
      </c>
    </row>
    <row r="2483" spans="1:4" x14ac:dyDescent="0.3">
      <c r="A2483" s="88" t="s">
        <v>34</v>
      </c>
      <c r="B2483" s="88"/>
      <c r="C2483" s="16">
        <v>46231</v>
      </c>
      <c r="D2483" s="79">
        <v>345</v>
      </c>
    </row>
    <row r="2484" spans="1:4" x14ac:dyDescent="0.3">
      <c r="A2484" s="88" t="s">
        <v>35</v>
      </c>
      <c r="B2484" s="88"/>
      <c r="C2484" s="16">
        <v>46231</v>
      </c>
      <c r="D2484" s="79">
        <v>15094.090000000004</v>
      </c>
    </row>
    <row r="2485" spans="1:4" x14ac:dyDescent="0.3">
      <c r="A2485" s="88" t="s">
        <v>193</v>
      </c>
      <c r="B2485" s="88"/>
      <c r="C2485" s="16">
        <v>46231</v>
      </c>
      <c r="D2485" s="79">
        <v>0</v>
      </c>
    </row>
    <row r="2486" spans="1:4" x14ac:dyDescent="0.3">
      <c r="A2486" s="88" t="s">
        <v>214</v>
      </c>
      <c r="B2486" s="88"/>
      <c r="C2486" s="16">
        <v>46231</v>
      </c>
      <c r="D2486" s="79">
        <v>0</v>
      </c>
    </row>
    <row r="2487" spans="1:4" x14ac:dyDescent="0.3">
      <c r="A2487" s="88" t="s">
        <v>194</v>
      </c>
      <c r="B2487" s="88"/>
      <c r="C2487" s="16">
        <v>46231</v>
      </c>
      <c r="D2487" s="79">
        <v>0</v>
      </c>
    </row>
    <row r="2488" spans="1:4" x14ac:dyDescent="0.3">
      <c r="A2488" s="88" t="s">
        <v>195</v>
      </c>
      <c r="B2488" s="88"/>
      <c r="C2488" s="16">
        <v>46231</v>
      </c>
      <c r="D2488" s="79">
        <v>0</v>
      </c>
    </row>
    <row r="2489" spans="1:4" x14ac:dyDescent="0.3">
      <c r="A2489" s="88" t="s">
        <v>196</v>
      </c>
      <c r="B2489" s="88"/>
      <c r="C2489" s="16">
        <v>46231</v>
      </c>
      <c r="D2489" s="79">
        <v>0</v>
      </c>
    </row>
    <row r="2490" spans="1:4" x14ac:dyDescent="0.3">
      <c r="A2490" s="88" t="s">
        <v>197</v>
      </c>
      <c r="B2490" s="88"/>
      <c r="C2490" s="16">
        <v>46231</v>
      </c>
      <c r="D2490" s="79">
        <v>0</v>
      </c>
    </row>
    <row r="2491" spans="1:4" x14ac:dyDescent="0.3">
      <c r="A2491" s="88" t="s">
        <v>212</v>
      </c>
      <c r="B2491" s="88"/>
      <c r="C2491" s="16">
        <v>46231</v>
      </c>
      <c r="D2491" s="79">
        <v>0</v>
      </c>
    </row>
    <row r="2492" spans="1:4" x14ac:dyDescent="0.3">
      <c r="A2492" s="88" t="s">
        <v>199</v>
      </c>
      <c r="B2492" s="88"/>
      <c r="C2492" s="16">
        <v>46231</v>
      </c>
      <c r="D2492" s="79">
        <v>0</v>
      </c>
    </row>
    <row r="2493" spans="1:4" x14ac:dyDescent="0.3">
      <c r="A2493" s="88" t="s">
        <v>217</v>
      </c>
      <c r="B2493" s="88"/>
      <c r="C2493" s="16">
        <v>46231</v>
      </c>
      <c r="D2493" s="79">
        <v>0</v>
      </c>
    </row>
    <row r="2494" spans="1:4" x14ac:dyDescent="0.3">
      <c r="A2494" s="88" t="s">
        <v>17</v>
      </c>
      <c r="B2494" s="88"/>
      <c r="C2494" s="16">
        <v>46232</v>
      </c>
      <c r="D2494" s="79">
        <v>2270539.1300000008</v>
      </c>
    </row>
    <row r="2495" spans="1:4" x14ac:dyDescent="0.3">
      <c r="A2495" s="88" t="s">
        <v>18</v>
      </c>
      <c r="B2495" s="88"/>
      <c r="C2495" s="16">
        <v>46232</v>
      </c>
      <c r="D2495" s="79">
        <v>83211.250000000175</v>
      </c>
    </row>
    <row r="2496" spans="1:4" x14ac:dyDescent="0.3">
      <c r="A2496" s="88" t="s">
        <v>19</v>
      </c>
      <c r="B2496" s="88"/>
      <c r="C2496" s="16">
        <v>46232</v>
      </c>
      <c r="D2496" s="79">
        <v>1669.89</v>
      </c>
    </row>
    <row r="2497" spans="1:4" x14ac:dyDescent="0.3">
      <c r="A2497" s="88" t="s">
        <v>20</v>
      </c>
      <c r="B2497" s="88"/>
      <c r="C2497" s="16">
        <v>46232</v>
      </c>
      <c r="D2497" s="79">
        <v>1434634.5999999999</v>
      </c>
    </row>
    <row r="2498" spans="1:4" x14ac:dyDescent="0.3">
      <c r="A2498" s="88" t="s">
        <v>21</v>
      </c>
      <c r="B2498" s="88"/>
      <c r="C2498" s="16">
        <v>46232</v>
      </c>
      <c r="D2498" s="79">
        <v>1857997.0999999996</v>
      </c>
    </row>
    <row r="2499" spans="1:4" x14ac:dyDescent="0.3">
      <c r="A2499" s="88" t="s">
        <v>22</v>
      </c>
      <c r="B2499" s="88"/>
      <c r="C2499" s="16">
        <v>46232</v>
      </c>
      <c r="D2499" s="79">
        <v>190496.38</v>
      </c>
    </row>
    <row r="2500" spans="1:4" x14ac:dyDescent="0.3">
      <c r="A2500" s="88" t="s">
        <v>23</v>
      </c>
      <c r="B2500" s="88"/>
      <c r="C2500" s="16">
        <v>46232</v>
      </c>
      <c r="D2500" s="79">
        <v>267507.45</v>
      </c>
    </row>
    <row r="2501" spans="1:4" x14ac:dyDescent="0.3">
      <c r="A2501" s="88" t="s">
        <v>24</v>
      </c>
      <c r="B2501" s="88"/>
      <c r="C2501" s="16">
        <v>46232</v>
      </c>
      <c r="D2501" s="79">
        <v>14580.45</v>
      </c>
    </row>
    <row r="2502" spans="1:4" x14ac:dyDescent="0.3">
      <c r="A2502" s="88" t="s">
        <v>25</v>
      </c>
      <c r="B2502" s="88"/>
      <c r="C2502" s="16">
        <v>46232</v>
      </c>
      <c r="D2502" s="79">
        <v>54.400000000000006</v>
      </c>
    </row>
    <row r="2503" spans="1:4" x14ac:dyDescent="0.3">
      <c r="A2503" s="88" t="s">
        <v>26</v>
      </c>
      <c r="B2503" s="88"/>
      <c r="C2503" s="16">
        <v>46232</v>
      </c>
      <c r="D2503" s="79">
        <v>2207.8200000000002</v>
      </c>
    </row>
    <row r="2504" spans="1:4" x14ac:dyDescent="0.3">
      <c r="A2504" s="88" t="s">
        <v>27</v>
      </c>
      <c r="B2504" s="88"/>
      <c r="C2504" s="16">
        <v>46232</v>
      </c>
      <c r="D2504" s="79">
        <v>1454589.72</v>
      </c>
    </row>
    <row r="2505" spans="1:4" x14ac:dyDescent="0.3">
      <c r="A2505" s="88" t="s">
        <v>28</v>
      </c>
      <c r="B2505" s="88"/>
      <c r="C2505" s="16">
        <v>46232</v>
      </c>
      <c r="D2505" s="79">
        <v>1968.99</v>
      </c>
    </row>
    <row r="2506" spans="1:4" x14ac:dyDescent="0.3">
      <c r="A2506" s="88" t="s">
        <v>29</v>
      </c>
      <c r="B2506" s="88"/>
      <c r="C2506" s="16">
        <v>46232</v>
      </c>
      <c r="D2506" s="79">
        <v>901.34</v>
      </c>
    </row>
    <row r="2507" spans="1:4" x14ac:dyDescent="0.3">
      <c r="A2507" s="88" t="s">
        <v>30</v>
      </c>
      <c r="B2507" s="88"/>
      <c r="C2507" s="16">
        <v>46232</v>
      </c>
      <c r="D2507" s="79">
        <v>1412.08</v>
      </c>
    </row>
    <row r="2508" spans="1:4" x14ac:dyDescent="0.3">
      <c r="A2508" s="88" t="s">
        <v>31</v>
      </c>
      <c r="B2508" s="88"/>
      <c r="C2508" s="16">
        <v>46232</v>
      </c>
      <c r="D2508" s="79">
        <v>22347.56999999996</v>
      </c>
    </row>
    <row r="2509" spans="1:4" x14ac:dyDescent="0.3">
      <c r="A2509" s="88" t="s">
        <v>32</v>
      </c>
      <c r="B2509" s="88"/>
      <c r="C2509" s="16">
        <v>46232</v>
      </c>
      <c r="D2509" s="79">
        <v>18522.800000000003</v>
      </c>
    </row>
    <row r="2510" spans="1:4" x14ac:dyDescent="0.3">
      <c r="A2510" s="88" t="s">
        <v>33</v>
      </c>
      <c r="B2510" s="88"/>
      <c r="C2510" s="16">
        <v>46232</v>
      </c>
      <c r="D2510" s="79">
        <v>28485.559999999998</v>
      </c>
    </row>
    <row r="2511" spans="1:4" x14ac:dyDescent="0.3">
      <c r="A2511" s="88" t="s">
        <v>34</v>
      </c>
      <c r="B2511" s="88"/>
      <c r="C2511" s="16">
        <v>46232</v>
      </c>
      <c r="D2511" s="79">
        <v>345</v>
      </c>
    </row>
    <row r="2512" spans="1:4" x14ac:dyDescent="0.3">
      <c r="A2512" s="88" t="s">
        <v>35</v>
      </c>
      <c r="B2512" s="88"/>
      <c r="C2512" s="16">
        <v>46232</v>
      </c>
      <c r="D2512" s="79">
        <v>13469.780000000002</v>
      </c>
    </row>
    <row r="2513" spans="1:4" x14ac:dyDescent="0.3">
      <c r="A2513" s="88" t="s">
        <v>193</v>
      </c>
      <c r="B2513" s="88"/>
      <c r="C2513" s="16">
        <v>46232</v>
      </c>
      <c r="D2513" s="79">
        <v>0</v>
      </c>
    </row>
    <row r="2514" spans="1:4" x14ac:dyDescent="0.3">
      <c r="A2514" s="88" t="s">
        <v>214</v>
      </c>
      <c r="B2514" s="88"/>
      <c r="C2514" s="16">
        <v>46232</v>
      </c>
      <c r="D2514" s="79">
        <v>0</v>
      </c>
    </row>
    <row r="2515" spans="1:4" x14ac:dyDescent="0.3">
      <c r="A2515" s="88" t="s">
        <v>194</v>
      </c>
      <c r="B2515" s="88"/>
      <c r="C2515" s="16">
        <v>46232</v>
      </c>
      <c r="D2515" s="79">
        <v>0</v>
      </c>
    </row>
    <row r="2516" spans="1:4" x14ac:dyDescent="0.3">
      <c r="A2516" s="88" t="s">
        <v>195</v>
      </c>
      <c r="B2516" s="88"/>
      <c r="C2516" s="16">
        <v>46232</v>
      </c>
      <c r="D2516" s="79">
        <v>0</v>
      </c>
    </row>
    <row r="2517" spans="1:4" x14ac:dyDescent="0.3">
      <c r="A2517" s="88" t="s">
        <v>196</v>
      </c>
      <c r="B2517" s="88"/>
      <c r="C2517" s="16">
        <v>46232</v>
      </c>
      <c r="D2517" s="79">
        <v>0</v>
      </c>
    </row>
    <row r="2518" spans="1:4" x14ac:dyDescent="0.3">
      <c r="A2518" s="88" t="s">
        <v>197</v>
      </c>
      <c r="B2518" s="88"/>
      <c r="C2518" s="16">
        <v>46232</v>
      </c>
      <c r="D2518" s="79">
        <v>0</v>
      </c>
    </row>
    <row r="2519" spans="1:4" x14ac:dyDescent="0.3">
      <c r="A2519" s="88" t="s">
        <v>212</v>
      </c>
      <c r="B2519" s="88"/>
      <c r="C2519" s="16">
        <v>46232</v>
      </c>
      <c r="D2519" s="79">
        <v>0</v>
      </c>
    </row>
    <row r="2520" spans="1:4" x14ac:dyDescent="0.3">
      <c r="A2520" s="88" t="s">
        <v>199</v>
      </c>
      <c r="B2520" s="88"/>
      <c r="C2520" s="16">
        <v>46232</v>
      </c>
      <c r="D2520" s="79">
        <v>0</v>
      </c>
    </row>
    <row r="2521" spans="1:4" x14ac:dyDescent="0.3">
      <c r="A2521" s="88" t="s">
        <v>217</v>
      </c>
      <c r="B2521" s="88"/>
      <c r="C2521" s="16">
        <v>46232</v>
      </c>
      <c r="D2521" s="79">
        <v>0</v>
      </c>
    </row>
    <row r="2522" spans="1:4" x14ac:dyDescent="0.3">
      <c r="A2522" s="88" t="s">
        <v>17</v>
      </c>
      <c r="B2522" s="88"/>
      <c r="C2522" s="16">
        <v>46233</v>
      </c>
      <c r="D2522" s="79">
        <v>2470350.7000000002</v>
      </c>
    </row>
    <row r="2523" spans="1:4" x14ac:dyDescent="0.3">
      <c r="A2523" s="88" t="s">
        <v>18</v>
      </c>
      <c r="B2523" s="88"/>
      <c r="C2523" s="16">
        <v>46233</v>
      </c>
      <c r="D2523" s="79">
        <v>83211.250000000175</v>
      </c>
    </row>
    <row r="2524" spans="1:4" x14ac:dyDescent="0.3">
      <c r="A2524" s="88" t="s">
        <v>19</v>
      </c>
      <c r="B2524" s="88"/>
      <c r="C2524" s="16">
        <v>46233</v>
      </c>
      <c r="D2524" s="79">
        <v>1669.89</v>
      </c>
    </row>
    <row r="2525" spans="1:4" x14ac:dyDescent="0.3">
      <c r="A2525" s="88" t="s">
        <v>20</v>
      </c>
      <c r="B2525" s="88"/>
      <c r="C2525" s="16">
        <v>46233</v>
      </c>
      <c r="D2525" s="79">
        <v>1458426.0399999998</v>
      </c>
    </row>
    <row r="2526" spans="1:4" x14ac:dyDescent="0.3">
      <c r="A2526" s="88" t="s">
        <v>21</v>
      </c>
      <c r="B2526" s="88"/>
      <c r="C2526" s="16">
        <v>46233</v>
      </c>
      <c r="D2526" s="79">
        <v>1857993.8499999996</v>
      </c>
    </row>
    <row r="2527" spans="1:4" x14ac:dyDescent="0.3">
      <c r="A2527" s="88" t="s">
        <v>22</v>
      </c>
      <c r="B2527" s="88"/>
      <c r="C2527" s="16">
        <v>46233</v>
      </c>
      <c r="D2527" s="79">
        <v>190496.38</v>
      </c>
    </row>
    <row r="2528" spans="1:4" x14ac:dyDescent="0.3">
      <c r="A2528" s="88" t="s">
        <v>23</v>
      </c>
      <c r="B2528" s="88"/>
      <c r="C2528" s="16">
        <v>46233</v>
      </c>
      <c r="D2528" s="79">
        <v>267507.45</v>
      </c>
    </row>
    <row r="2529" spans="1:4" x14ac:dyDescent="0.3">
      <c r="A2529" s="88" t="s">
        <v>24</v>
      </c>
      <c r="B2529" s="88"/>
      <c r="C2529" s="16">
        <v>46233</v>
      </c>
      <c r="D2529" s="79">
        <v>14580.45</v>
      </c>
    </row>
    <row r="2530" spans="1:4" x14ac:dyDescent="0.3">
      <c r="A2530" s="88" t="s">
        <v>25</v>
      </c>
      <c r="B2530" s="88"/>
      <c r="C2530" s="16">
        <v>46233</v>
      </c>
      <c r="D2530" s="79">
        <v>54.400000000000006</v>
      </c>
    </row>
    <row r="2531" spans="1:4" x14ac:dyDescent="0.3">
      <c r="A2531" s="88" t="s">
        <v>26</v>
      </c>
      <c r="B2531" s="88"/>
      <c r="C2531" s="16">
        <v>46233</v>
      </c>
      <c r="D2531" s="79">
        <v>2207.8200000000002</v>
      </c>
    </row>
    <row r="2532" spans="1:4" x14ac:dyDescent="0.3">
      <c r="A2532" s="88" t="s">
        <v>27</v>
      </c>
      <c r="B2532" s="88"/>
      <c r="C2532" s="16">
        <v>46233</v>
      </c>
      <c r="D2532" s="79">
        <v>1454589.72</v>
      </c>
    </row>
    <row r="2533" spans="1:4" x14ac:dyDescent="0.3">
      <c r="A2533" s="88" t="s">
        <v>28</v>
      </c>
      <c r="B2533" s="88"/>
      <c r="C2533" s="16">
        <v>46233</v>
      </c>
      <c r="D2533" s="79">
        <v>1968.99</v>
      </c>
    </row>
    <row r="2534" spans="1:4" x14ac:dyDescent="0.3">
      <c r="A2534" s="88" t="s">
        <v>29</v>
      </c>
      <c r="B2534" s="88"/>
      <c r="C2534" s="16">
        <v>46233</v>
      </c>
      <c r="D2534" s="79">
        <v>901.34</v>
      </c>
    </row>
    <row r="2535" spans="1:4" x14ac:dyDescent="0.3">
      <c r="A2535" s="88" t="s">
        <v>30</v>
      </c>
      <c r="B2535" s="88"/>
      <c r="C2535" s="16">
        <v>46233</v>
      </c>
      <c r="D2535" s="79">
        <v>1412.08</v>
      </c>
    </row>
    <row r="2536" spans="1:4" x14ac:dyDescent="0.3">
      <c r="A2536" s="88" t="s">
        <v>31</v>
      </c>
      <c r="B2536" s="88"/>
      <c r="C2536" s="16">
        <v>46233</v>
      </c>
      <c r="D2536" s="79">
        <v>22347.56999999996</v>
      </c>
    </row>
    <row r="2537" spans="1:4" x14ac:dyDescent="0.3">
      <c r="A2537" s="88" t="s">
        <v>32</v>
      </c>
      <c r="B2537" s="88"/>
      <c r="C2537" s="16">
        <v>46233</v>
      </c>
      <c r="D2537" s="79">
        <v>18522.800000000003</v>
      </c>
    </row>
    <row r="2538" spans="1:4" x14ac:dyDescent="0.3">
      <c r="A2538" s="88" t="s">
        <v>33</v>
      </c>
      <c r="B2538" s="88"/>
      <c r="C2538" s="16">
        <v>46233</v>
      </c>
      <c r="D2538" s="79">
        <v>28485.559999999998</v>
      </c>
    </row>
    <row r="2539" spans="1:4" x14ac:dyDescent="0.3">
      <c r="A2539" s="88" t="s">
        <v>34</v>
      </c>
      <c r="B2539" s="88"/>
      <c r="C2539" s="16">
        <v>46233</v>
      </c>
      <c r="D2539" s="79">
        <v>345</v>
      </c>
    </row>
    <row r="2540" spans="1:4" x14ac:dyDescent="0.3">
      <c r="A2540" s="88" t="s">
        <v>35</v>
      </c>
      <c r="B2540" s="88"/>
      <c r="C2540" s="16">
        <v>46233</v>
      </c>
      <c r="D2540" s="79">
        <v>11634.930000000004</v>
      </c>
    </row>
    <row r="2541" spans="1:4" x14ac:dyDescent="0.3">
      <c r="A2541" s="88" t="s">
        <v>193</v>
      </c>
      <c r="B2541" s="88"/>
      <c r="C2541" s="16">
        <v>46233</v>
      </c>
      <c r="D2541" s="79">
        <v>0</v>
      </c>
    </row>
    <row r="2542" spans="1:4" x14ac:dyDescent="0.3">
      <c r="A2542" s="88" t="s">
        <v>214</v>
      </c>
      <c r="B2542" s="88"/>
      <c r="C2542" s="16">
        <v>46233</v>
      </c>
      <c r="D2542" s="79">
        <v>0</v>
      </c>
    </row>
    <row r="2543" spans="1:4" x14ac:dyDescent="0.3">
      <c r="A2543" s="88" t="s">
        <v>194</v>
      </c>
      <c r="B2543" s="88"/>
      <c r="C2543" s="16">
        <v>46233</v>
      </c>
      <c r="D2543" s="79">
        <v>0</v>
      </c>
    </row>
    <row r="2544" spans="1:4" x14ac:dyDescent="0.3">
      <c r="A2544" s="88" t="s">
        <v>195</v>
      </c>
      <c r="B2544" s="88"/>
      <c r="C2544" s="16">
        <v>46233</v>
      </c>
      <c r="D2544" s="79">
        <v>0</v>
      </c>
    </row>
    <row r="2545" spans="1:4" x14ac:dyDescent="0.3">
      <c r="A2545" s="88" t="s">
        <v>196</v>
      </c>
      <c r="B2545" s="88"/>
      <c r="C2545" s="16">
        <v>46233</v>
      </c>
      <c r="D2545" s="79">
        <v>0</v>
      </c>
    </row>
    <row r="2546" spans="1:4" x14ac:dyDescent="0.3">
      <c r="A2546" s="88" t="s">
        <v>197</v>
      </c>
      <c r="B2546" s="88"/>
      <c r="C2546" s="16">
        <v>46233</v>
      </c>
      <c r="D2546" s="79">
        <v>0</v>
      </c>
    </row>
    <row r="2547" spans="1:4" x14ac:dyDescent="0.3">
      <c r="A2547" s="88" t="s">
        <v>212</v>
      </c>
      <c r="B2547" s="88"/>
      <c r="C2547" s="16">
        <v>46233</v>
      </c>
      <c r="D2547" s="79">
        <v>0</v>
      </c>
    </row>
    <row r="2548" spans="1:4" x14ac:dyDescent="0.3">
      <c r="A2548" s="88" t="s">
        <v>199</v>
      </c>
      <c r="B2548" s="88"/>
      <c r="C2548" s="16">
        <v>46233</v>
      </c>
      <c r="D2548" s="79">
        <v>0</v>
      </c>
    </row>
    <row r="2549" spans="1:4" x14ac:dyDescent="0.3">
      <c r="A2549" s="88" t="s">
        <v>217</v>
      </c>
      <c r="B2549" s="88"/>
      <c r="C2549" s="16">
        <v>46233</v>
      </c>
      <c r="D2549" s="79">
        <v>0</v>
      </c>
    </row>
    <row r="2550" spans="1:4" x14ac:dyDescent="0.3">
      <c r="A2550" s="88" t="s">
        <v>17</v>
      </c>
      <c r="B2550" s="88"/>
      <c r="C2550" s="16">
        <v>46234</v>
      </c>
      <c r="D2550" s="79">
        <v>2468032.08</v>
      </c>
    </row>
    <row r="2551" spans="1:4" x14ac:dyDescent="0.3">
      <c r="A2551" s="88" t="s">
        <v>18</v>
      </c>
      <c r="B2551" s="88"/>
      <c r="C2551" s="16">
        <v>46234</v>
      </c>
      <c r="D2551" s="79">
        <v>83211.250000000175</v>
      </c>
    </row>
    <row r="2552" spans="1:4" x14ac:dyDescent="0.3">
      <c r="A2552" s="88" t="s">
        <v>19</v>
      </c>
      <c r="B2552" s="88"/>
      <c r="C2552" s="16">
        <v>46234</v>
      </c>
      <c r="D2552" s="79">
        <v>1669.89</v>
      </c>
    </row>
    <row r="2553" spans="1:4" x14ac:dyDescent="0.3">
      <c r="A2553" s="88" t="s">
        <v>20</v>
      </c>
      <c r="B2553" s="88"/>
      <c r="C2553" s="16">
        <v>46234</v>
      </c>
      <c r="D2553" s="79">
        <v>1458426.0399999998</v>
      </c>
    </row>
    <row r="2554" spans="1:4" x14ac:dyDescent="0.3">
      <c r="A2554" s="88" t="s">
        <v>21</v>
      </c>
      <c r="B2554" s="88"/>
      <c r="C2554" s="16">
        <v>46234</v>
      </c>
      <c r="D2554" s="79">
        <v>1514477.1199999996</v>
      </c>
    </row>
    <row r="2555" spans="1:4" x14ac:dyDescent="0.3">
      <c r="A2555" s="88" t="s">
        <v>22</v>
      </c>
      <c r="B2555" s="88"/>
      <c r="C2555" s="16">
        <v>46234</v>
      </c>
      <c r="D2555" s="79">
        <v>190496.38</v>
      </c>
    </row>
    <row r="2556" spans="1:4" x14ac:dyDescent="0.3">
      <c r="A2556" s="88" t="s">
        <v>23</v>
      </c>
      <c r="B2556" s="88"/>
      <c r="C2556" s="16">
        <v>46234</v>
      </c>
      <c r="D2556" s="79">
        <v>207605.45</v>
      </c>
    </row>
    <row r="2557" spans="1:4" x14ac:dyDescent="0.3">
      <c r="A2557" s="88" t="s">
        <v>24</v>
      </c>
      <c r="B2557" s="88"/>
      <c r="C2557" s="16">
        <v>46234</v>
      </c>
      <c r="D2557" s="79">
        <v>14580.45</v>
      </c>
    </row>
    <row r="2558" spans="1:4" x14ac:dyDescent="0.3">
      <c r="A2558" s="88" t="s">
        <v>25</v>
      </c>
      <c r="B2558" s="88"/>
      <c r="C2558" s="16">
        <v>46234</v>
      </c>
      <c r="D2558" s="79">
        <v>54.400000000000006</v>
      </c>
    </row>
    <row r="2559" spans="1:4" x14ac:dyDescent="0.3">
      <c r="A2559" s="88" t="s">
        <v>26</v>
      </c>
      <c r="B2559" s="88"/>
      <c r="C2559" s="16">
        <v>46234</v>
      </c>
      <c r="D2559" s="79">
        <v>2207.8200000000002</v>
      </c>
    </row>
    <row r="2560" spans="1:4" x14ac:dyDescent="0.3">
      <c r="A2560" s="88" t="s">
        <v>27</v>
      </c>
      <c r="B2560" s="88"/>
      <c r="C2560" s="16">
        <v>46234</v>
      </c>
      <c r="D2560" s="79">
        <v>1454589.72</v>
      </c>
    </row>
    <row r="2561" spans="1:4" x14ac:dyDescent="0.3">
      <c r="A2561" s="88" t="s">
        <v>28</v>
      </c>
      <c r="B2561" s="88"/>
      <c r="C2561" s="16">
        <v>46234</v>
      </c>
      <c r="D2561" s="79">
        <v>1968.99</v>
      </c>
    </row>
    <row r="2562" spans="1:4" x14ac:dyDescent="0.3">
      <c r="A2562" s="88" t="s">
        <v>29</v>
      </c>
      <c r="B2562" s="88"/>
      <c r="C2562" s="16">
        <v>46234</v>
      </c>
      <c r="D2562" s="79">
        <v>901.34</v>
      </c>
    </row>
    <row r="2563" spans="1:4" x14ac:dyDescent="0.3">
      <c r="A2563" s="88" t="s">
        <v>30</v>
      </c>
      <c r="B2563" s="88"/>
      <c r="C2563" s="16">
        <v>46234</v>
      </c>
      <c r="D2563" s="79">
        <v>1412.08</v>
      </c>
    </row>
    <row r="2564" spans="1:4" x14ac:dyDescent="0.3">
      <c r="A2564" s="88" t="s">
        <v>31</v>
      </c>
      <c r="B2564" s="88"/>
      <c r="C2564" s="16">
        <v>46234</v>
      </c>
      <c r="D2564" s="79">
        <v>22347.56999999996</v>
      </c>
    </row>
    <row r="2565" spans="1:4" x14ac:dyDescent="0.3">
      <c r="A2565" s="88" t="s">
        <v>32</v>
      </c>
      <c r="B2565" s="88"/>
      <c r="C2565" s="16">
        <v>46234</v>
      </c>
      <c r="D2565" s="79">
        <v>18522.800000000003</v>
      </c>
    </row>
    <row r="2566" spans="1:4" x14ac:dyDescent="0.3">
      <c r="A2566" s="88" t="s">
        <v>33</v>
      </c>
      <c r="B2566" s="88"/>
      <c r="C2566" s="16">
        <v>46234</v>
      </c>
      <c r="D2566" s="79">
        <v>28485.559999999998</v>
      </c>
    </row>
    <row r="2567" spans="1:4" x14ac:dyDescent="0.3">
      <c r="A2567" s="88" t="s">
        <v>34</v>
      </c>
      <c r="B2567" s="88"/>
      <c r="C2567" s="16">
        <v>46234</v>
      </c>
      <c r="D2567" s="79">
        <v>345</v>
      </c>
    </row>
    <row r="2568" spans="1:4" x14ac:dyDescent="0.3">
      <c r="A2568" s="88" t="s">
        <v>35</v>
      </c>
      <c r="B2568" s="88"/>
      <c r="C2568" s="16">
        <v>46234</v>
      </c>
      <c r="D2568" s="79">
        <v>11634.930000000004</v>
      </c>
    </row>
    <row r="2569" spans="1:4" x14ac:dyDescent="0.3">
      <c r="A2569" s="88" t="s">
        <v>193</v>
      </c>
      <c r="B2569" s="88"/>
      <c r="C2569" s="16">
        <v>46234</v>
      </c>
      <c r="D2569" s="79">
        <v>0</v>
      </c>
    </row>
    <row r="2570" spans="1:4" x14ac:dyDescent="0.3">
      <c r="A2570" s="88" t="s">
        <v>214</v>
      </c>
      <c r="B2570" s="88"/>
      <c r="C2570" s="16">
        <v>46234</v>
      </c>
      <c r="D2570" s="79">
        <v>0</v>
      </c>
    </row>
    <row r="2571" spans="1:4" x14ac:dyDescent="0.3">
      <c r="A2571" s="88" t="s">
        <v>194</v>
      </c>
      <c r="B2571" s="88"/>
      <c r="C2571" s="16">
        <v>46234</v>
      </c>
      <c r="D2571" s="79">
        <v>0</v>
      </c>
    </row>
    <row r="2572" spans="1:4" x14ac:dyDescent="0.3">
      <c r="A2572" s="88" t="s">
        <v>195</v>
      </c>
      <c r="B2572" s="88"/>
      <c r="C2572" s="16">
        <v>46234</v>
      </c>
      <c r="D2572" s="79">
        <v>0</v>
      </c>
    </row>
    <row r="2573" spans="1:4" x14ac:dyDescent="0.3">
      <c r="A2573" s="88" t="s">
        <v>196</v>
      </c>
      <c r="B2573" s="88"/>
      <c r="C2573" s="16">
        <v>46234</v>
      </c>
      <c r="D2573" s="79">
        <v>0</v>
      </c>
    </row>
    <row r="2574" spans="1:4" x14ac:dyDescent="0.3">
      <c r="A2574" s="88" t="s">
        <v>197</v>
      </c>
      <c r="B2574" s="88"/>
      <c r="C2574" s="16">
        <v>46234</v>
      </c>
      <c r="D2574" s="79">
        <v>0</v>
      </c>
    </row>
    <row r="2575" spans="1:4" x14ac:dyDescent="0.3">
      <c r="A2575" s="88" t="s">
        <v>212</v>
      </c>
      <c r="B2575" s="88"/>
      <c r="C2575" s="16">
        <v>46234</v>
      </c>
      <c r="D2575" s="79">
        <v>0</v>
      </c>
    </row>
    <row r="2576" spans="1:4" x14ac:dyDescent="0.3">
      <c r="A2576" s="88" t="s">
        <v>199</v>
      </c>
      <c r="B2576" s="88"/>
      <c r="C2576" s="16">
        <v>46234</v>
      </c>
      <c r="D2576" s="79">
        <v>0</v>
      </c>
    </row>
    <row r="2577" spans="1:4" x14ac:dyDescent="0.3">
      <c r="A2577" s="88" t="s">
        <v>217</v>
      </c>
      <c r="B2577" s="88"/>
      <c r="C2577" s="16">
        <v>46234</v>
      </c>
      <c r="D2577" s="79">
        <v>0</v>
      </c>
    </row>
    <row r="2578" spans="1:4" x14ac:dyDescent="0.3">
      <c r="A2578" s="88" t="s">
        <v>17</v>
      </c>
      <c r="B2578" s="88"/>
      <c r="C2578" s="16">
        <v>46235</v>
      </c>
      <c r="D2578" s="79">
        <v>2468032.08</v>
      </c>
    </row>
    <row r="2579" spans="1:4" x14ac:dyDescent="0.3">
      <c r="A2579" s="88" t="s">
        <v>18</v>
      </c>
      <c r="B2579" s="88"/>
      <c r="C2579" s="16">
        <v>46235</v>
      </c>
      <c r="D2579" s="79">
        <v>83211.250000000175</v>
      </c>
    </row>
    <row r="2580" spans="1:4" x14ac:dyDescent="0.3">
      <c r="A2580" s="88" t="s">
        <v>19</v>
      </c>
      <c r="B2580" s="88"/>
      <c r="C2580" s="16">
        <v>46235</v>
      </c>
      <c r="D2580" s="79">
        <v>1669.89</v>
      </c>
    </row>
    <row r="2581" spans="1:4" x14ac:dyDescent="0.3">
      <c r="A2581" s="88" t="s">
        <v>20</v>
      </c>
      <c r="B2581" s="88"/>
      <c r="C2581" s="16">
        <v>46235</v>
      </c>
      <c r="D2581" s="79">
        <v>1458426.0399999998</v>
      </c>
    </row>
    <row r="2582" spans="1:4" x14ac:dyDescent="0.3">
      <c r="A2582" s="88" t="s">
        <v>21</v>
      </c>
      <c r="B2582" s="88"/>
      <c r="C2582" s="16">
        <v>46235</v>
      </c>
      <c r="D2582" s="79">
        <v>1514477.1199999996</v>
      </c>
    </row>
    <row r="2583" spans="1:4" x14ac:dyDescent="0.3">
      <c r="A2583" s="88" t="s">
        <v>22</v>
      </c>
      <c r="B2583" s="88"/>
      <c r="C2583" s="16">
        <v>46235</v>
      </c>
      <c r="D2583" s="79">
        <v>190496.38</v>
      </c>
    </row>
    <row r="2584" spans="1:4" x14ac:dyDescent="0.3">
      <c r="A2584" s="88" t="s">
        <v>23</v>
      </c>
      <c r="B2584" s="88"/>
      <c r="C2584" s="16">
        <v>46235</v>
      </c>
      <c r="D2584" s="79">
        <v>207605.45</v>
      </c>
    </row>
    <row r="2585" spans="1:4" x14ac:dyDescent="0.3">
      <c r="A2585" s="88" t="s">
        <v>24</v>
      </c>
      <c r="B2585" s="88"/>
      <c r="C2585" s="16">
        <v>46235</v>
      </c>
      <c r="D2585" s="79">
        <v>14580.45</v>
      </c>
    </row>
    <row r="2586" spans="1:4" x14ac:dyDescent="0.3">
      <c r="A2586" s="88" t="s">
        <v>25</v>
      </c>
      <c r="B2586" s="88"/>
      <c r="C2586" s="16">
        <v>46235</v>
      </c>
      <c r="D2586" s="79">
        <v>54.400000000000006</v>
      </c>
    </row>
    <row r="2587" spans="1:4" x14ac:dyDescent="0.3">
      <c r="A2587" s="88" t="s">
        <v>26</v>
      </c>
      <c r="B2587" s="88"/>
      <c r="C2587" s="16">
        <v>46235</v>
      </c>
      <c r="D2587" s="79">
        <v>2207.8200000000002</v>
      </c>
    </row>
    <row r="2588" spans="1:4" x14ac:dyDescent="0.3">
      <c r="A2588" s="88" t="s">
        <v>27</v>
      </c>
      <c r="B2588" s="88"/>
      <c r="C2588" s="16">
        <v>46235</v>
      </c>
      <c r="D2588" s="79">
        <v>1454589.72</v>
      </c>
    </row>
    <row r="2589" spans="1:4" x14ac:dyDescent="0.3">
      <c r="A2589" s="88" t="s">
        <v>28</v>
      </c>
      <c r="B2589" s="88"/>
      <c r="C2589" s="16">
        <v>46235</v>
      </c>
      <c r="D2589" s="79">
        <v>1968.99</v>
      </c>
    </row>
    <row r="2590" spans="1:4" x14ac:dyDescent="0.3">
      <c r="A2590" s="88" t="s">
        <v>29</v>
      </c>
      <c r="B2590" s="88"/>
      <c r="C2590" s="16">
        <v>46235</v>
      </c>
      <c r="D2590" s="79">
        <v>901.34</v>
      </c>
    </row>
    <row r="2591" spans="1:4" x14ac:dyDescent="0.3">
      <c r="A2591" s="88" t="s">
        <v>30</v>
      </c>
      <c r="B2591" s="88"/>
      <c r="C2591" s="16">
        <v>46235</v>
      </c>
      <c r="D2591" s="79">
        <v>1412.08</v>
      </c>
    </row>
    <row r="2592" spans="1:4" x14ac:dyDescent="0.3">
      <c r="A2592" s="88" t="s">
        <v>31</v>
      </c>
      <c r="B2592" s="88"/>
      <c r="C2592" s="16">
        <v>46235</v>
      </c>
      <c r="D2592" s="79">
        <v>22347.56999999996</v>
      </c>
    </row>
    <row r="2593" spans="1:4" x14ac:dyDescent="0.3">
      <c r="A2593" s="88" t="s">
        <v>32</v>
      </c>
      <c r="B2593" s="88"/>
      <c r="C2593" s="16">
        <v>46235</v>
      </c>
      <c r="D2593" s="79">
        <v>18522.800000000003</v>
      </c>
    </row>
    <row r="2594" spans="1:4" x14ac:dyDescent="0.3">
      <c r="A2594" s="88" t="s">
        <v>33</v>
      </c>
      <c r="B2594" s="88"/>
      <c r="C2594" s="16">
        <v>46235</v>
      </c>
      <c r="D2594" s="79">
        <v>28485.559999999998</v>
      </c>
    </row>
    <row r="2595" spans="1:4" x14ac:dyDescent="0.3">
      <c r="A2595" s="88" t="s">
        <v>34</v>
      </c>
      <c r="B2595" s="88"/>
      <c r="C2595" s="16">
        <v>46235</v>
      </c>
      <c r="D2595" s="79">
        <v>345</v>
      </c>
    </row>
    <row r="2596" spans="1:4" x14ac:dyDescent="0.3">
      <c r="A2596" s="88" t="s">
        <v>35</v>
      </c>
      <c r="B2596" s="88"/>
      <c r="C2596" s="16">
        <v>46235</v>
      </c>
      <c r="D2596" s="79">
        <v>11634.930000000004</v>
      </c>
    </row>
    <row r="2597" spans="1:4" x14ac:dyDescent="0.3">
      <c r="A2597" s="88" t="s">
        <v>193</v>
      </c>
      <c r="B2597" s="88"/>
      <c r="C2597" s="16">
        <v>46235</v>
      </c>
      <c r="D2597" s="79">
        <v>0</v>
      </c>
    </row>
    <row r="2598" spans="1:4" x14ac:dyDescent="0.3">
      <c r="A2598" s="88" t="s">
        <v>214</v>
      </c>
      <c r="B2598" s="88"/>
      <c r="C2598" s="16">
        <v>46235</v>
      </c>
      <c r="D2598" s="79">
        <v>0</v>
      </c>
    </row>
    <row r="2599" spans="1:4" x14ac:dyDescent="0.3">
      <c r="A2599" s="88" t="s">
        <v>194</v>
      </c>
      <c r="B2599" s="88"/>
      <c r="C2599" s="16">
        <v>46235</v>
      </c>
      <c r="D2599" s="79">
        <v>0</v>
      </c>
    </row>
    <row r="2600" spans="1:4" x14ac:dyDescent="0.3">
      <c r="A2600" s="88" t="s">
        <v>195</v>
      </c>
      <c r="B2600" s="88"/>
      <c r="C2600" s="16">
        <v>46235</v>
      </c>
      <c r="D2600" s="79">
        <v>0</v>
      </c>
    </row>
    <row r="2601" spans="1:4" x14ac:dyDescent="0.3">
      <c r="A2601" s="88" t="s">
        <v>196</v>
      </c>
      <c r="B2601" s="88"/>
      <c r="C2601" s="16">
        <v>46235</v>
      </c>
      <c r="D2601" s="79">
        <v>0</v>
      </c>
    </row>
    <row r="2602" spans="1:4" x14ac:dyDescent="0.3">
      <c r="A2602" s="88" t="s">
        <v>197</v>
      </c>
      <c r="B2602" s="88"/>
      <c r="C2602" s="16">
        <v>46235</v>
      </c>
      <c r="D2602" s="79">
        <v>0</v>
      </c>
    </row>
    <row r="2603" spans="1:4" x14ac:dyDescent="0.3">
      <c r="A2603" s="88" t="s">
        <v>212</v>
      </c>
      <c r="B2603" s="88"/>
      <c r="C2603" s="16">
        <v>46235</v>
      </c>
      <c r="D2603" s="79">
        <v>0</v>
      </c>
    </row>
    <row r="2604" spans="1:4" x14ac:dyDescent="0.3">
      <c r="A2604" s="88" t="s">
        <v>199</v>
      </c>
      <c r="B2604" s="88"/>
      <c r="C2604" s="16">
        <v>46235</v>
      </c>
      <c r="D2604" s="79">
        <v>0</v>
      </c>
    </row>
    <row r="2605" spans="1:4" x14ac:dyDescent="0.3">
      <c r="A2605" s="88" t="s">
        <v>217</v>
      </c>
      <c r="B2605" s="88"/>
      <c r="C2605" s="16">
        <v>46235</v>
      </c>
      <c r="D2605" s="79">
        <v>0</v>
      </c>
    </row>
    <row r="2606" spans="1:4" x14ac:dyDescent="0.3">
      <c r="A2606" s="88" t="s">
        <v>17</v>
      </c>
      <c r="B2606" s="88"/>
      <c r="C2606" s="16">
        <v>46236</v>
      </c>
      <c r="D2606" s="79">
        <v>2468032.08</v>
      </c>
    </row>
    <row r="2607" spans="1:4" x14ac:dyDescent="0.3">
      <c r="A2607" s="88" t="s">
        <v>18</v>
      </c>
      <c r="B2607" s="88"/>
      <c r="C2607" s="16">
        <v>46236</v>
      </c>
      <c r="D2607" s="79">
        <v>83211.250000000175</v>
      </c>
    </row>
    <row r="2608" spans="1:4" x14ac:dyDescent="0.3">
      <c r="A2608" s="88" t="s">
        <v>19</v>
      </c>
      <c r="B2608" s="88"/>
      <c r="C2608" s="16">
        <v>46236</v>
      </c>
      <c r="D2608" s="79">
        <v>1669.89</v>
      </c>
    </row>
    <row r="2609" spans="1:4" x14ac:dyDescent="0.3">
      <c r="A2609" s="88" t="s">
        <v>20</v>
      </c>
      <c r="B2609" s="88"/>
      <c r="C2609" s="16">
        <v>46236</v>
      </c>
      <c r="D2609" s="79">
        <v>1458426.0399999998</v>
      </c>
    </row>
    <row r="2610" spans="1:4" x14ac:dyDescent="0.3">
      <c r="A2610" s="88" t="s">
        <v>21</v>
      </c>
      <c r="B2610" s="88"/>
      <c r="C2610" s="16">
        <v>46236</v>
      </c>
      <c r="D2610" s="79">
        <v>1514477.1199999996</v>
      </c>
    </row>
    <row r="2611" spans="1:4" x14ac:dyDescent="0.3">
      <c r="A2611" s="88" t="s">
        <v>22</v>
      </c>
      <c r="B2611" s="88"/>
      <c r="C2611" s="16">
        <v>46236</v>
      </c>
      <c r="D2611" s="79">
        <v>190496.38</v>
      </c>
    </row>
    <row r="2612" spans="1:4" x14ac:dyDescent="0.3">
      <c r="A2612" s="88" t="s">
        <v>23</v>
      </c>
      <c r="B2612" s="88"/>
      <c r="C2612" s="16">
        <v>46236</v>
      </c>
      <c r="D2612" s="79">
        <v>207605.45</v>
      </c>
    </row>
    <row r="2613" spans="1:4" x14ac:dyDescent="0.3">
      <c r="A2613" s="88" t="s">
        <v>24</v>
      </c>
      <c r="B2613" s="88"/>
      <c r="C2613" s="16">
        <v>46236</v>
      </c>
      <c r="D2613" s="79">
        <v>14580.45</v>
      </c>
    </row>
    <row r="2614" spans="1:4" x14ac:dyDescent="0.3">
      <c r="A2614" s="88" t="s">
        <v>25</v>
      </c>
      <c r="B2614" s="88"/>
      <c r="C2614" s="16">
        <v>46236</v>
      </c>
      <c r="D2614" s="79">
        <v>54.400000000000006</v>
      </c>
    </row>
    <row r="2615" spans="1:4" x14ac:dyDescent="0.3">
      <c r="A2615" s="88" t="s">
        <v>26</v>
      </c>
      <c r="B2615" s="88"/>
      <c r="C2615" s="16">
        <v>46236</v>
      </c>
      <c r="D2615" s="79">
        <v>2207.8200000000002</v>
      </c>
    </row>
    <row r="2616" spans="1:4" x14ac:dyDescent="0.3">
      <c r="A2616" s="88" t="s">
        <v>27</v>
      </c>
      <c r="B2616" s="88"/>
      <c r="C2616" s="16">
        <v>46236</v>
      </c>
      <c r="D2616" s="79">
        <v>1454589.72</v>
      </c>
    </row>
    <row r="2617" spans="1:4" x14ac:dyDescent="0.3">
      <c r="A2617" s="88" t="s">
        <v>28</v>
      </c>
      <c r="B2617" s="88"/>
      <c r="C2617" s="16">
        <v>46236</v>
      </c>
      <c r="D2617" s="79">
        <v>1968.99</v>
      </c>
    </row>
    <row r="2618" spans="1:4" x14ac:dyDescent="0.3">
      <c r="A2618" s="88" t="s">
        <v>29</v>
      </c>
      <c r="B2618" s="88"/>
      <c r="C2618" s="16">
        <v>46236</v>
      </c>
      <c r="D2618" s="79">
        <v>901.34</v>
      </c>
    </row>
    <row r="2619" spans="1:4" x14ac:dyDescent="0.3">
      <c r="A2619" s="88" t="s">
        <v>30</v>
      </c>
      <c r="B2619" s="88"/>
      <c r="C2619" s="16">
        <v>46236</v>
      </c>
      <c r="D2619" s="79">
        <v>1412.08</v>
      </c>
    </row>
    <row r="2620" spans="1:4" x14ac:dyDescent="0.3">
      <c r="A2620" s="88" t="s">
        <v>31</v>
      </c>
      <c r="B2620" s="88"/>
      <c r="C2620" s="16">
        <v>46236</v>
      </c>
      <c r="D2620" s="79">
        <v>22347.56999999996</v>
      </c>
    </row>
    <row r="2621" spans="1:4" x14ac:dyDescent="0.3">
      <c r="A2621" s="88" t="s">
        <v>32</v>
      </c>
      <c r="B2621" s="88"/>
      <c r="C2621" s="16">
        <v>46236</v>
      </c>
      <c r="D2621" s="79">
        <v>18522.800000000003</v>
      </c>
    </row>
    <row r="2622" spans="1:4" x14ac:dyDescent="0.3">
      <c r="A2622" s="88" t="s">
        <v>33</v>
      </c>
      <c r="B2622" s="88"/>
      <c r="C2622" s="16">
        <v>46236</v>
      </c>
      <c r="D2622" s="79">
        <v>28485.559999999998</v>
      </c>
    </row>
    <row r="2623" spans="1:4" x14ac:dyDescent="0.3">
      <c r="A2623" s="88" t="s">
        <v>34</v>
      </c>
      <c r="B2623" s="88"/>
      <c r="C2623" s="16">
        <v>46236</v>
      </c>
      <c r="D2623" s="79">
        <v>345</v>
      </c>
    </row>
    <row r="2624" spans="1:4" x14ac:dyDescent="0.3">
      <c r="A2624" s="88" t="s">
        <v>35</v>
      </c>
      <c r="B2624" s="88"/>
      <c r="C2624" s="16">
        <v>46236</v>
      </c>
      <c r="D2624" s="79">
        <v>11634.930000000004</v>
      </c>
    </row>
    <row r="2625" spans="1:4" x14ac:dyDescent="0.3">
      <c r="A2625" s="88" t="s">
        <v>193</v>
      </c>
      <c r="B2625" s="88"/>
      <c r="C2625" s="16">
        <v>46236</v>
      </c>
      <c r="D2625" s="79">
        <v>0</v>
      </c>
    </row>
    <row r="2626" spans="1:4" x14ac:dyDescent="0.3">
      <c r="A2626" s="88" t="s">
        <v>214</v>
      </c>
      <c r="B2626" s="88"/>
      <c r="C2626" s="16">
        <v>46236</v>
      </c>
      <c r="D2626" s="79">
        <v>0</v>
      </c>
    </row>
    <row r="2627" spans="1:4" x14ac:dyDescent="0.3">
      <c r="A2627" s="88" t="s">
        <v>194</v>
      </c>
      <c r="B2627" s="88"/>
      <c r="C2627" s="16">
        <v>46236</v>
      </c>
      <c r="D2627" s="79">
        <v>0</v>
      </c>
    </row>
    <row r="2628" spans="1:4" x14ac:dyDescent="0.3">
      <c r="A2628" s="88" t="s">
        <v>195</v>
      </c>
      <c r="B2628" s="88"/>
      <c r="C2628" s="16">
        <v>46236</v>
      </c>
      <c r="D2628" s="79">
        <v>0</v>
      </c>
    </row>
    <row r="2629" spans="1:4" x14ac:dyDescent="0.3">
      <c r="A2629" s="88" t="s">
        <v>196</v>
      </c>
      <c r="B2629" s="88"/>
      <c r="C2629" s="16">
        <v>46236</v>
      </c>
      <c r="D2629" s="79">
        <v>0</v>
      </c>
    </row>
    <row r="2630" spans="1:4" x14ac:dyDescent="0.3">
      <c r="A2630" s="88" t="s">
        <v>197</v>
      </c>
      <c r="B2630" s="88"/>
      <c r="C2630" s="16">
        <v>46236</v>
      </c>
      <c r="D2630" s="79">
        <v>0</v>
      </c>
    </row>
    <row r="2631" spans="1:4" x14ac:dyDescent="0.3">
      <c r="A2631" s="88" t="s">
        <v>212</v>
      </c>
      <c r="B2631" s="88"/>
      <c r="C2631" s="16">
        <v>46236</v>
      </c>
      <c r="D2631" s="79">
        <v>0</v>
      </c>
    </row>
    <row r="2632" spans="1:4" x14ac:dyDescent="0.3">
      <c r="A2632" s="88" t="s">
        <v>199</v>
      </c>
      <c r="B2632" s="88"/>
      <c r="C2632" s="16">
        <v>46236</v>
      </c>
      <c r="D2632" s="79">
        <v>0</v>
      </c>
    </row>
    <row r="2633" spans="1:4" x14ac:dyDescent="0.3">
      <c r="A2633" s="88" t="s">
        <v>217</v>
      </c>
      <c r="B2633" s="88"/>
      <c r="C2633" s="16">
        <v>46236</v>
      </c>
      <c r="D2633" s="79">
        <v>0</v>
      </c>
    </row>
    <row r="2634" spans="1:4" x14ac:dyDescent="0.3">
      <c r="A2634" s="88" t="s">
        <v>17</v>
      </c>
      <c r="B2634" s="88"/>
      <c r="C2634" s="16">
        <v>46237</v>
      </c>
      <c r="D2634" s="79">
        <v>2468032.08</v>
      </c>
    </row>
    <row r="2635" spans="1:4" x14ac:dyDescent="0.3">
      <c r="A2635" s="88" t="s">
        <v>18</v>
      </c>
      <c r="B2635" s="88"/>
      <c r="C2635" s="16">
        <v>46237</v>
      </c>
      <c r="D2635" s="79">
        <v>83211.250000000175</v>
      </c>
    </row>
    <row r="2636" spans="1:4" x14ac:dyDescent="0.3">
      <c r="A2636" s="88" t="s">
        <v>19</v>
      </c>
      <c r="B2636" s="88"/>
      <c r="C2636" s="16">
        <v>46237</v>
      </c>
      <c r="D2636" s="79">
        <v>1669.89</v>
      </c>
    </row>
    <row r="2637" spans="1:4" x14ac:dyDescent="0.3">
      <c r="A2637" s="88" t="s">
        <v>20</v>
      </c>
      <c r="B2637" s="88"/>
      <c r="C2637" s="16">
        <v>46237</v>
      </c>
      <c r="D2637" s="79">
        <v>1458426.0399999998</v>
      </c>
    </row>
    <row r="2638" spans="1:4" x14ac:dyDescent="0.3">
      <c r="A2638" s="88" t="s">
        <v>21</v>
      </c>
      <c r="B2638" s="88"/>
      <c r="C2638" s="16">
        <v>46237</v>
      </c>
      <c r="D2638" s="79">
        <v>1514477.1199999996</v>
      </c>
    </row>
    <row r="2639" spans="1:4" x14ac:dyDescent="0.3">
      <c r="A2639" s="88" t="s">
        <v>22</v>
      </c>
      <c r="B2639" s="88"/>
      <c r="C2639" s="16">
        <v>46237</v>
      </c>
      <c r="D2639" s="79">
        <v>190496.38</v>
      </c>
    </row>
    <row r="2640" spans="1:4" x14ac:dyDescent="0.3">
      <c r="A2640" s="88" t="s">
        <v>23</v>
      </c>
      <c r="B2640" s="88"/>
      <c r="C2640" s="16">
        <v>46237</v>
      </c>
      <c r="D2640" s="79">
        <v>207605.45</v>
      </c>
    </row>
    <row r="2641" spans="1:4" x14ac:dyDescent="0.3">
      <c r="A2641" s="88" t="s">
        <v>24</v>
      </c>
      <c r="B2641" s="88"/>
      <c r="C2641" s="16">
        <v>46237</v>
      </c>
      <c r="D2641" s="79">
        <v>14580.45</v>
      </c>
    </row>
    <row r="2642" spans="1:4" x14ac:dyDescent="0.3">
      <c r="A2642" s="88" t="s">
        <v>25</v>
      </c>
      <c r="B2642" s="88"/>
      <c r="C2642" s="16">
        <v>46237</v>
      </c>
      <c r="D2642" s="79">
        <v>24.450000000000003</v>
      </c>
    </row>
    <row r="2643" spans="1:4" x14ac:dyDescent="0.3">
      <c r="A2643" s="88" t="s">
        <v>26</v>
      </c>
      <c r="B2643" s="88"/>
      <c r="C2643" s="16">
        <v>46237</v>
      </c>
      <c r="D2643" s="79">
        <v>2177.87</v>
      </c>
    </row>
    <row r="2644" spans="1:4" x14ac:dyDescent="0.3">
      <c r="A2644" s="88" t="s">
        <v>27</v>
      </c>
      <c r="B2644" s="88"/>
      <c r="C2644" s="16">
        <v>46237</v>
      </c>
      <c r="D2644" s="79">
        <v>1454589.72</v>
      </c>
    </row>
    <row r="2645" spans="1:4" x14ac:dyDescent="0.3">
      <c r="A2645" s="88" t="s">
        <v>28</v>
      </c>
      <c r="B2645" s="88"/>
      <c r="C2645" s="16">
        <v>46237</v>
      </c>
      <c r="D2645" s="79">
        <v>1968.99</v>
      </c>
    </row>
    <row r="2646" spans="1:4" x14ac:dyDescent="0.3">
      <c r="A2646" s="88" t="s">
        <v>29</v>
      </c>
      <c r="B2646" s="88"/>
      <c r="C2646" s="16">
        <v>46237</v>
      </c>
      <c r="D2646" s="79">
        <v>901.34</v>
      </c>
    </row>
    <row r="2647" spans="1:4" x14ac:dyDescent="0.3">
      <c r="A2647" s="88" t="s">
        <v>30</v>
      </c>
      <c r="B2647" s="88"/>
      <c r="C2647" s="16">
        <v>46237</v>
      </c>
      <c r="D2647" s="79">
        <v>1396.08</v>
      </c>
    </row>
    <row r="2648" spans="1:4" x14ac:dyDescent="0.3">
      <c r="A2648" s="88" t="s">
        <v>31</v>
      </c>
      <c r="B2648" s="88"/>
      <c r="C2648" s="16">
        <v>46237</v>
      </c>
      <c r="D2648" s="79">
        <v>13804.239999999962</v>
      </c>
    </row>
    <row r="2649" spans="1:4" x14ac:dyDescent="0.3">
      <c r="A2649" s="88" t="s">
        <v>32</v>
      </c>
      <c r="B2649" s="88"/>
      <c r="C2649" s="16">
        <v>46237</v>
      </c>
      <c r="D2649" s="79">
        <v>8724.1700000000037</v>
      </c>
    </row>
    <row r="2650" spans="1:4" x14ac:dyDescent="0.3">
      <c r="A2650" s="88" t="s">
        <v>33</v>
      </c>
      <c r="B2650" s="88"/>
      <c r="C2650" s="16">
        <v>46237</v>
      </c>
      <c r="D2650" s="79">
        <v>15106.099999999997</v>
      </c>
    </row>
    <row r="2651" spans="1:4" x14ac:dyDescent="0.3">
      <c r="A2651" s="88" t="s">
        <v>34</v>
      </c>
      <c r="B2651" s="88"/>
      <c r="C2651" s="16">
        <v>46237</v>
      </c>
      <c r="D2651" s="79">
        <v>345</v>
      </c>
    </row>
    <row r="2652" spans="1:4" x14ac:dyDescent="0.3">
      <c r="A2652" s="88" t="s">
        <v>35</v>
      </c>
      <c r="B2652" s="88"/>
      <c r="C2652" s="16">
        <v>46237</v>
      </c>
      <c r="D2652" s="79">
        <v>8270.3500000000022</v>
      </c>
    </row>
    <row r="2653" spans="1:4" x14ac:dyDescent="0.3">
      <c r="A2653" s="88" t="s">
        <v>193</v>
      </c>
      <c r="B2653" s="88"/>
      <c r="C2653" s="16">
        <v>46237</v>
      </c>
      <c r="D2653" s="79">
        <v>0</v>
      </c>
    </row>
    <row r="2654" spans="1:4" x14ac:dyDescent="0.3">
      <c r="A2654" s="88" t="s">
        <v>214</v>
      </c>
      <c r="B2654" s="88"/>
      <c r="C2654" s="16">
        <v>46237</v>
      </c>
      <c r="D2654" s="79">
        <v>0</v>
      </c>
    </row>
    <row r="2655" spans="1:4" x14ac:dyDescent="0.3">
      <c r="A2655" s="88" t="s">
        <v>194</v>
      </c>
      <c r="B2655" s="88"/>
      <c r="C2655" s="16">
        <v>46237</v>
      </c>
      <c r="D2655" s="79">
        <v>0</v>
      </c>
    </row>
    <row r="2656" spans="1:4" x14ac:dyDescent="0.3">
      <c r="A2656" s="88" t="s">
        <v>195</v>
      </c>
      <c r="B2656" s="88"/>
      <c r="C2656" s="16">
        <v>46237</v>
      </c>
      <c r="D2656" s="79">
        <v>0</v>
      </c>
    </row>
    <row r="2657" spans="1:4" x14ac:dyDescent="0.3">
      <c r="A2657" s="88" t="s">
        <v>196</v>
      </c>
      <c r="B2657" s="88"/>
      <c r="C2657" s="16">
        <v>46237</v>
      </c>
      <c r="D2657" s="79">
        <v>0</v>
      </c>
    </row>
    <row r="2658" spans="1:4" x14ac:dyDescent="0.3">
      <c r="A2658" s="88" t="s">
        <v>197</v>
      </c>
      <c r="B2658" s="88"/>
      <c r="C2658" s="16">
        <v>46237</v>
      </c>
      <c r="D2658" s="79">
        <v>0</v>
      </c>
    </row>
    <row r="2659" spans="1:4" x14ac:dyDescent="0.3">
      <c r="A2659" s="88" t="s">
        <v>212</v>
      </c>
      <c r="B2659" s="88"/>
      <c r="C2659" s="16">
        <v>46237</v>
      </c>
      <c r="D2659" s="79">
        <v>0</v>
      </c>
    </row>
    <row r="2660" spans="1:4" x14ac:dyDescent="0.3">
      <c r="A2660" s="88" t="s">
        <v>199</v>
      </c>
      <c r="B2660" s="88"/>
      <c r="C2660" s="16">
        <v>46237</v>
      </c>
      <c r="D2660" s="79">
        <v>0</v>
      </c>
    </row>
    <row r="2661" spans="1:4" x14ac:dyDescent="0.3">
      <c r="A2661" s="88" t="s">
        <v>217</v>
      </c>
      <c r="B2661" s="88"/>
      <c r="C2661" s="16">
        <v>46237</v>
      </c>
      <c r="D2661" s="79">
        <v>0</v>
      </c>
    </row>
    <row r="2662" spans="1:4" x14ac:dyDescent="0.3">
      <c r="A2662" s="88" t="s">
        <v>17</v>
      </c>
      <c r="B2662" s="88"/>
      <c r="C2662" s="16">
        <v>46238</v>
      </c>
      <c r="D2662" s="79">
        <v>2468032.08</v>
      </c>
    </row>
    <row r="2663" spans="1:4" x14ac:dyDescent="0.3">
      <c r="A2663" s="88" t="s">
        <v>18</v>
      </c>
      <c r="B2663" s="88"/>
      <c r="C2663" s="16">
        <v>46238</v>
      </c>
      <c r="D2663" s="79">
        <v>83211.250000000175</v>
      </c>
    </row>
    <row r="2664" spans="1:4" x14ac:dyDescent="0.3">
      <c r="A2664" s="88" t="s">
        <v>19</v>
      </c>
      <c r="B2664" s="88"/>
      <c r="C2664" s="16">
        <v>46238</v>
      </c>
      <c r="D2664" s="79">
        <v>1669.89</v>
      </c>
    </row>
    <row r="2665" spans="1:4" x14ac:dyDescent="0.3">
      <c r="A2665" s="88" t="s">
        <v>20</v>
      </c>
      <c r="B2665" s="88"/>
      <c r="C2665" s="16">
        <v>46238</v>
      </c>
      <c r="D2665" s="79">
        <v>1458426.0399999998</v>
      </c>
    </row>
    <row r="2666" spans="1:4" x14ac:dyDescent="0.3">
      <c r="A2666" s="88" t="s">
        <v>21</v>
      </c>
      <c r="B2666" s="88"/>
      <c r="C2666" s="16">
        <v>46238</v>
      </c>
      <c r="D2666" s="79">
        <v>1513867.4199999995</v>
      </c>
    </row>
    <row r="2667" spans="1:4" x14ac:dyDescent="0.3">
      <c r="A2667" s="88" t="s">
        <v>22</v>
      </c>
      <c r="B2667" s="88"/>
      <c r="C2667" s="16">
        <v>46238</v>
      </c>
      <c r="D2667" s="79">
        <v>184496.38</v>
      </c>
    </row>
    <row r="2668" spans="1:4" x14ac:dyDescent="0.3">
      <c r="A2668" s="88" t="s">
        <v>23</v>
      </c>
      <c r="B2668" s="88"/>
      <c r="C2668" s="16">
        <v>46238</v>
      </c>
      <c r="D2668" s="79">
        <v>207605.45</v>
      </c>
    </row>
    <row r="2669" spans="1:4" x14ac:dyDescent="0.3">
      <c r="A2669" s="88" t="s">
        <v>24</v>
      </c>
      <c r="B2669" s="88"/>
      <c r="C2669" s="16">
        <v>46238</v>
      </c>
      <c r="D2669" s="79">
        <v>14580.45</v>
      </c>
    </row>
    <row r="2670" spans="1:4" x14ac:dyDescent="0.3">
      <c r="A2670" s="88" t="s">
        <v>25</v>
      </c>
      <c r="B2670" s="88"/>
      <c r="C2670" s="16">
        <v>46238</v>
      </c>
      <c r="D2670" s="79">
        <v>24.450000000000003</v>
      </c>
    </row>
    <row r="2671" spans="1:4" x14ac:dyDescent="0.3">
      <c r="A2671" s="88" t="s">
        <v>26</v>
      </c>
      <c r="B2671" s="88"/>
      <c r="C2671" s="16">
        <v>46238</v>
      </c>
      <c r="D2671" s="79">
        <v>2177.87</v>
      </c>
    </row>
    <row r="2672" spans="1:4" x14ac:dyDescent="0.3">
      <c r="A2672" s="88" t="s">
        <v>27</v>
      </c>
      <c r="B2672" s="88"/>
      <c r="C2672" s="16">
        <v>46238</v>
      </c>
      <c r="D2672" s="79">
        <v>1454589.72</v>
      </c>
    </row>
    <row r="2673" spans="1:4" x14ac:dyDescent="0.3">
      <c r="A2673" s="88" t="s">
        <v>28</v>
      </c>
      <c r="B2673" s="88"/>
      <c r="C2673" s="16">
        <v>46238</v>
      </c>
      <c r="D2673" s="79">
        <v>1968.99</v>
      </c>
    </row>
    <row r="2674" spans="1:4" x14ac:dyDescent="0.3">
      <c r="A2674" s="88" t="s">
        <v>29</v>
      </c>
      <c r="B2674" s="88"/>
      <c r="C2674" s="16">
        <v>46238</v>
      </c>
      <c r="D2674" s="79">
        <v>901.34</v>
      </c>
    </row>
    <row r="2675" spans="1:4" x14ac:dyDescent="0.3">
      <c r="A2675" s="88" t="s">
        <v>30</v>
      </c>
      <c r="B2675" s="88"/>
      <c r="C2675" s="16">
        <v>46238</v>
      </c>
      <c r="D2675" s="79">
        <v>1396.08</v>
      </c>
    </row>
    <row r="2676" spans="1:4" x14ac:dyDescent="0.3">
      <c r="A2676" s="88" t="s">
        <v>31</v>
      </c>
      <c r="B2676" s="88"/>
      <c r="C2676" s="16">
        <v>46238</v>
      </c>
      <c r="D2676" s="79">
        <v>13804.239999999962</v>
      </c>
    </row>
    <row r="2677" spans="1:4" x14ac:dyDescent="0.3">
      <c r="A2677" s="88" t="s">
        <v>32</v>
      </c>
      <c r="B2677" s="88"/>
      <c r="C2677" s="16">
        <v>46238</v>
      </c>
      <c r="D2677" s="79">
        <v>8724.1700000000037</v>
      </c>
    </row>
    <row r="2678" spans="1:4" x14ac:dyDescent="0.3">
      <c r="A2678" s="88" t="s">
        <v>33</v>
      </c>
      <c r="B2678" s="88"/>
      <c r="C2678" s="16">
        <v>46238</v>
      </c>
      <c r="D2678" s="79">
        <v>15106.099999999997</v>
      </c>
    </row>
    <row r="2679" spans="1:4" x14ac:dyDescent="0.3">
      <c r="A2679" s="88" t="s">
        <v>34</v>
      </c>
      <c r="B2679" s="88"/>
      <c r="C2679" s="16">
        <v>46238</v>
      </c>
      <c r="D2679" s="79">
        <v>345</v>
      </c>
    </row>
    <row r="2680" spans="1:4" x14ac:dyDescent="0.3">
      <c r="A2680" s="88" t="s">
        <v>35</v>
      </c>
      <c r="B2680" s="88"/>
      <c r="C2680" s="16">
        <v>46238</v>
      </c>
      <c r="D2680" s="79">
        <v>7879.4200000000019</v>
      </c>
    </row>
    <row r="2681" spans="1:4" x14ac:dyDescent="0.3">
      <c r="A2681" s="88" t="s">
        <v>193</v>
      </c>
      <c r="B2681" s="88"/>
      <c r="C2681" s="16">
        <v>46238</v>
      </c>
      <c r="D2681" s="79">
        <v>0</v>
      </c>
    </row>
    <row r="2682" spans="1:4" x14ac:dyDescent="0.3">
      <c r="A2682" s="88" t="s">
        <v>214</v>
      </c>
      <c r="B2682" s="88"/>
      <c r="C2682" s="16">
        <v>46238</v>
      </c>
      <c r="D2682" s="79">
        <v>0</v>
      </c>
    </row>
    <row r="2683" spans="1:4" x14ac:dyDescent="0.3">
      <c r="A2683" s="88" t="s">
        <v>194</v>
      </c>
      <c r="B2683" s="88"/>
      <c r="C2683" s="16">
        <v>46238</v>
      </c>
      <c r="D2683" s="79">
        <v>0</v>
      </c>
    </row>
    <row r="2684" spans="1:4" x14ac:dyDescent="0.3">
      <c r="A2684" s="88" t="s">
        <v>195</v>
      </c>
      <c r="B2684" s="88"/>
      <c r="C2684" s="16">
        <v>46238</v>
      </c>
      <c r="D2684" s="79">
        <v>0</v>
      </c>
    </row>
    <row r="2685" spans="1:4" x14ac:dyDescent="0.3">
      <c r="A2685" s="88" t="s">
        <v>196</v>
      </c>
      <c r="B2685" s="88"/>
      <c r="C2685" s="16">
        <v>46238</v>
      </c>
      <c r="D2685" s="79">
        <v>0</v>
      </c>
    </row>
    <row r="2686" spans="1:4" x14ac:dyDescent="0.3">
      <c r="A2686" s="88" t="s">
        <v>197</v>
      </c>
      <c r="B2686" s="88"/>
      <c r="C2686" s="16">
        <v>46238</v>
      </c>
      <c r="D2686" s="79">
        <v>0</v>
      </c>
    </row>
    <row r="2687" spans="1:4" x14ac:dyDescent="0.3">
      <c r="A2687" s="88" t="s">
        <v>212</v>
      </c>
      <c r="B2687" s="88"/>
      <c r="C2687" s="16">
        <v>46238</v>
      </c>
      <c r="D2687" s="79">
        <v>0</v>
      </c>
    </row>
    <row r="2688" spans="1:4" x14ac:dyDescent="0.3">
      <c r="A2688" s="88" t="s">
        <v>199</v>
      </c>
      <c r="B2688" s="88"/>
      <c r="C2688" s="16">
        <v>46238</v>
      </c>
      <c r="D2688" s="79">
        <v>0</v>
      </c>
    </row>
    <row r="2689" spans="1:4" x14ac:dyDescent="0.3">
      <c r="A2689" s="88" t="s">
        <v>217</v>
      </c>
      <c r="B2689" s="88"/>
      <c r="C2689" s="16">
        <v>46238</v>
      </c>
      <c r="D2689" s="79">
        <v>0</v>
      </c>
    </row>
    <row r="2690" spans="1:4" x14ac:dyDescent="0.3">
      <c r="A2690" s="88" t="s">
        <v>17</v>
      </c>
      <c r="B2690" s="88"/>
      <c r="C2690" s="16">
        <v>46239</v>
      </c>
      <c r="D2690" s="79">
        <v>2468032.08</v>
      </c>
    </row>
    <row r="2691" spans="1:4" x14ac:dyDescent="0.3">
      <c r="A2691" s="88" t="s">
        <v>18</v>
      </c>
      <c r="B2691" s="88"/>
      <c r="C2691" s="16">
        <v>46239</v>
      </c>
      <c r="D2691" s="79">
        <v>83211.250000000175</v>
      </c>
    </row>
    <row r="2692" spans="1:4" x14ac:dyDescent="0.3">
      <c r="A2692" s="88" t="s">
        <v>19</v>
      </c>
      <c r="B2692" s="88"/>
      <c r="C2692" s="16">
        <v>46239</v>
      </c>
      <c r="D2692" s="79">
        <v>1669.89</v>
      </c>
    </row>
    <row r="2693" spans="1:4" x14ac:dyDescent="0.3">
      <c r="A2693" s="88" t="s">
        <v>20</v>
      </c>
      <c r="B2693" s="88"/>
      <c r="C2693" s="16">
        <v>46239</v>
      </c>
      <c r="D2693" s="79">
        <v>1452426.0399999998</v>
      </c>
    </row>
    <row r="2694" spans="1:4" x14ac:dyDescent="0.3">
      <c r="A2694" s="88" t="s">
        <v>21</v>
      </c>
      <c r="B2694" s="88"/>
      <c r="C2694" s="16">
        <v>46239</v>
      </c>
      <c r="D2694" s="79">
        <v>1512187.6399999997</v>
      </c>
    </row>
    <row r="2695" spans="1:4" x14ac:dyDescent="0.3">
      <c r="A2695" s="88" t="s">
        <v>22</v>
      </c>
      <c r="B2695" s="88"/>
      <c r="C2695" s="16">
        <v>46239</v>
      </c>
      <c r="D2695" s="79">
        <v>184496.38</v>
      </c>
    </row>
    <row r="2696" spans="1:4" x14ac:dyDescent="0.3">
      <c r="A2696" s="88" t="s">
        <v>23</v>
      </c>
      <c r="B2696" s="88"/>
      <c r="C2696" s="16">
        <v>46239</v>
      </c>
      <c r="D2696" s="79">
        <v>207605.45</v>
      </c>
    </row>
    <row r="2697" spans="1:4" x14ac:dyDescent="0.3">
      <c r="A2697" s="88" t="s">
        <v>24</v>
      </c>
      <c r="B2697" s="88"/>
      <c r="C2697" s="16">
        <v>46239</v>
      </c>
      <c r="D2697" s="79">
        <v>14540.45</v>
      </c>
    </row>
    <row r="2698" spans="1:4" x14ac:dyDescent="0.3">
      <c r="A2698" s="88" t="s">
        <v>25</v>
      </c>
      <c r="B2698" s="88"/>
      <c r="C2698" s="16">
        <v>46239</v>
      </c>
      <c r="D2698" s="79">
        <v>24.450000000000003</v>
      </c>
    </row>
    <row r="2699" spans="1:4" x14ac:dyDescent="0.3">
      <c r="A2699" s="88" t="s">
        <v>26</v>
      </c>
      <c r="B2699" s="88"/>
      <c r="C2699" s="16">
        <v>46239</v>
      </c>
      <c r="D2699" s="79">
        <v>2177.87</v>
      </c>
    </row>
    <row r="2700" spans="1:4" x14ac:dyDescent="0.3">
      <c r="A2700" s="88" t="s">
        <v>27</v>
      </c>
      <c r="B2700" s="88"/>
      <c r="C2700" s="16">
        <v>46239</v>
      </c>
      <c r="D2700" s="79">
        <v>1454589.72</v>
      </c>
    </row>
    <row r="2701" spans="1:4" x14ac:dyDescent="0.3">
      <c r="A2701" s="88" t="s">
        <v>28</v>
      </c>
      <c r="B2701" s="88"/>
      <c r="C2701" s="16">
        <v>46239</v>
      </c>
      <c r="D2701" s="79">
        <v>1968.99</v>
      </c>
    </row>
    <row r="2702" spans="1:4" x14ac:dyDescent="0.3">
      <c r="A2702" s="88" t="s">
        <v>29</v>
      </c>
      <c r="B2702" s="88"/>
      <c r="C2702" s="16">
        <v>46239</v>
      </c>
      <c r="D2702" s="79">
        <v>901.34</v>
      </c>
    </row>
    <row r="2703" spans="1:4" x14ac:dyDescent="0.3">
      <c r="A2703" s="88" t="s">
        <v>30</v>
      </c>
      <c r="B2703" s="88"/>
      <c r="C2703" s="16">
        <v>46239</v>
      </c>
      <c r="D2703" s="79">
        <v>1396.08</v>
      </c>
    </row>
    <row r="2704" spans="1:4" x14ac:dyDescent="0.3">
      <c r="A2704" s="88" t="s">
        <v>31</v>
      </c>
      <c r="B2704" s="88"/>
      <c r="C2704" s="16">
        <v>46239</v>
      </c>
      <c r="D2704" s="79">
        <v>13804.239999999962</v>
      </c>
    </row>
    <row r="2705" spans="1:4" x14ac:dyDescent="0.3">
      <c r="A2705" s="88" t="s">
        <v>32</v>
      </c>
      <c r="B2705" s="88"/>
      <c r="C2705" s="16">
        <v>46239</v>
      </c>
      <c r="D2705" s="79">
        <v>8724.1700000000037</v>
      </c>
    </row>
    <row r="2706" spans="1:4" x14ac:dyDescent="0.3">
      <c r="A2706" s="88" t="s">
        <v>33</v>
      </c>
      <c r="B2706" s="88"/>
      <c r="C2706" s="16">
        <v>46239</v>
      </c>
      <c r="D2706" s="79">
        <v>15106.099999999997</v>
      </c>
    </row>
    <row r="2707" spans="1:4" x14ac:dyDescent="0.3">
      <c r="A2707" s="88" t="s">
        <v>34</v>
      </c>
      <c r="B2707" s="88"/>
      <c r="C2707" s="16">
        <v>46239</v>
      </c>
      <c r="D2707" s="79">
        <v>345</v>
      </c>
    </row>
    <row r="2708" spans="1:4" x14ac:dyDescent="0.3">
      <c r="A2708" s="88" t="s">
        <v>35</v>
      </c>
      <c r="B2708" s="88"/>
      <c r="C2708" s="16">
        <v>46239</v>
      </c>
      <c r="D2708" s="79">
        <v>7879.4200000000019</v>
      </c>
    </row>
    <row r="2709" spans="1:4" x14ac:dyDescent="0.3">
      <c r="A2709" s="88" t="s">
        <v>193</v>
      </c>
      <c r="B2709" s="88"/>
      <c r="C2709" s="16">
        <v>46239</v>
      </c>
      <c r="D2709" s="79">
        <v>0</v>
      </c>
    </row>
    <row r="2710" spans="1:4" x14ac:dyDescent="0.3">
      <c r="A2710" s="88" t="s">
        <v>214</v>
      </c>
      <c r="B2710" s="88"/>
      <c r="C2710" s="16">
        <v>46239</v>
      </c>
      <c r="D2710" s="79">
        <v>0</v>
      </c>
    </row>
    <row r="2711" spans="1:4" x14ac:dyDescent="0.3">
      <c r="A2711" s="88" t="s">
        <v>194</v>
      </c>
      <c r="B2711" s="88"/>
      <c r="C2711" s="16">
        <v>46239</v>
      </c>
      <c r="D2711" s="79">
        <v>0</v>
      </c>
    </row>
    <row r="2712" spans="1:4" x14ac:dyDescent="0.3">
      <c r="A2712" s="88" t="s">
        <v>195</v>
      </c>
      <c r="B2712" s="88"/>
      <c r="C2712" s="16">
        <v>46239</v>
      </c>
      <c r="D2712" s="79">
        <v>0</v>
      </c>
    </row>
    <row r="2713" spans="1:4" x14ac:dyDescent="0.3">
      <c r="A2713" s="88" t="s">
        <v>196</v>
      </c>
      <c r="B2713" s="88"/>
      <c r="C2713" s="16">
        <v>46239</v>
      </c>
      <c r="D2713" s="79">
        <v>0</v>
      </c>
    </row>
    <row r="2714" spans="1:4" x14ac:dyDescent="0.3">
      <c r="A2714" s="88" t="s">
        <v>197</v>
      </c>
      <c r="B2714" s="88"/>
      <c r="C2714" s="16">
        <v>46239</v>
      </c>
      <c r="D2714" s="79">
        <v>0</v>
      </c>
    </row>
    <row r="2715" spans="1:4" x14ac:dyDescent="0.3">
      <c r="A2715" s="88" t="s">
        <v>212</v>
      </c>
      <c r="B2715" s="88"/>
      <c r="C2715" s="16">
        <v>46239</v>
      </c>
      <c r="D2715" s="79">
        <v>0</v>
      </c>
    </row>
    <row r="2716" spans="1:4" x14ac:dyDescent="0.3">
      <c r="A2716" s="88" t="s">
        <v>199</v>
      </c>
      <c r="B2716" s="88"/>
      <c r="C2716" s="16">
        <v>46239</v>
      </c>
      <c r="D2716" s="79">
        <v>0</v>
      </c>
    </row>
    <row r="2717" spans="1:4" x14ac:dyDescent="0.3">
      <c r="A2717" s="88" t="s">
        <v>217</v>
      </c>
      <c r="B2717" s="88"/>
      <c r="C2717" s="16">
        <v>46239</v>
      </c>
      <c r="D2717" s="79">
        <v>0</v>
      </c>
    </row>
    <row r="2718" spans="1:4" x14ac:dyDescent="0.3">
      <c r="A2718" s="88" t="s">
        <v>17</v>
      </c>
      <c r="B2718" s="88"/>
      <c r="C2718" s="16">
        <v>46240</v>
      </c>
      <c r="D2718" s="79">
        <v>1153390.4100000001</v>
      </c>
    </row>
    <row r="2719" spans="1:4" x14ac:dyDescent="0.3">
      <c r="A2719" s="88" t="s">
        <v>18</v>
      </c>
      <c r="B2719" s="88"/>
      <c r="C2719" s="16">
        <v>46240</v>
      </c>
      <c r="D2719" s="79">
        <v>83211.250000000175</v>
      </c>
    </row>
    <row r="2720" spans="1:4" x14ac:dyDescent="0.3">
      <c r="A2720" s="88" t="s">
        <v>19</v>
      </c>
      <c r="B2720" s="88"/>
      <c r="C2720" s="16">
        <v>46240</v>
      </c>
      <c r="D2720" s="79">
        <v>1669.89</v>
      </c>
    </row>
    <row r="2721" spans="1:4" x14ac:dyDescent="0.3">
      <c r="A2721" s="88" t="s">
        <v>20</v>
      </c>
      <c r="B2721" s="88"/>
      <c r="C2721" s="16">
        <v>46240</v>
      </c>
      <c r="D2721" s="79">
        <v>1349451.94</v>
      </c>
    </row>
    <row r="2722" spans="1:4" x14ac:dyDescent="0.3">
      <c r="A2722" s="88" t="s">
        <v>21</v>
      </c>
      <c r="B2722" s="88"/>
      <c r="C2722" s="16">
        <v>46240</v>
      </c>
      <c r="D2722" s="79">
        <v>2102073.7899999996</v>
      </c>
    </row>
    <row r="2723" spans="1:4" x14ac:dyDescent="0.3">
      <c r="A2723" s="88" t="s">
        <v>22</v>
      </c>
      <c r="B2723" s="88"/>
      <c r="C2723" s="16">
        <v>46240</v>
      </c>
      <c r="D2723" s="79">
        <v>171496.38</v>
      </c>
    </row>
    <row r="2724" spans="1:4" x14ac:dyDescent="0.3">
      <c r="A2724" s="88" t="s">
        <v>23</v>
      </c>
      <c r="B2724" s="88"/>
      <c r="C2724" s="16">
        <v>46240</v>
      </c>
      <c r="D2724" s="79">
        <v>207582.47</v>
      </c>
    </row>
    <row r="2725" spans="1:4" x14ac:dyDescent="0.3">
      <c r="A2725" s="88" t="s">
        <v>24</v>
      </c>
      <c r="B2725" s="88"/>
      <c r="C2725" s="16">
        <v>46240</v>
      </c>
      <c r="D2725" s="79">
        <v>13270.02</v>
      </c>
    </row>
    <row r="2726" spans="1:4" x14ac:dyDescent="0.3">
      <c r="A2726" s="88" t="s">
        <v>25</v>
      </c>
      <c r="B2726" s="88"/>
      <c r="C2726" s="16">
        <v>46240</v>
      </c>
      <c r="D2726" s="79">
        <v>24.450000000000003</v>
      </c>
    </row>
    <row r="2727" spans="1:4" x14ac:dyDescent="0.3">
      <c r="A2727" s="88" t="s">
        <v>26</v>
      </c>
      <c r="B2727" s="88"/>
      <c r="C2727" s="16">
        <v>46240</v>
      </c>
      <c r="D2727" s="79">
        <v>2177.87</v>
      </c>
    </row>
    <row r="2728" spans="1:4" x14ac:dyDescent="0.3">
      <c r="A2728" s="88" t="s">
        <v>27</v>
      </c>
      <c r="B2728" s="88"/>
      <c r="C2728" s="16">
        <v>46240</v>
      </c>
      <c r="D2728" s="79">
        <v>1454589.72</v>
      </c>
    </row>
    <row r="2729" spans="1:4" x14ac:dyDescent="0.3">
      <c r="A2729" s="88" t="s">
        <v>28</v>
      </c>
      <c r="B2729" s="88"/>
      <c r="C2729" s="16">
        <v>46240</v>
      </c>
      <c r="D2729" s="79">
        <v>1968.99</v>
      </c>
    </row>
    <row r="2730" spans="1:4" x14ac:dyDescent="0.3">
      <c r="A2730" s="88" t="s">
        <v>29</v>
      </c>
      <c r="B2730" s="88"/>
      <c r="C2730" s="16">
        <v>46240</v>
      </c>
      <c r="D2730" s="79">
        <v>901.34</v>
      </c>
    </row>
    <row r="2731" spans="1:4" x14ac:dyDescent="0.3">
      <c r="A2731" s="88" t="s">
        <v>30</v>
      </c>
      <c r="B2731" s="88"/>
      <c r="C2731" s="16">
        <v>46240</v>
      </c>
      <c r="D2731" s="79">
        <v>1396.08</v>
      </c>
    </row>
    <row r="2732" spans="1:4" x14ac:dyDescent="0.3">
      <c r="A2732" s="88" t="s">
        <v>31</v>
      </c>
      <c r="B2732" s="88"/>
      <c r="C2732" s="16">
        <v>46240</v>
      </c>
      <c r="D2732" s="79">
        <v>13804.239999999962</v>
      </c>
    </row>
    <row r="2733" spans="1:4" x14ac:dyDescent="0.3">
      <c r="A2733" s="88" t="s">
        <v>32</v>
      </c>
      <c r="B2733" s="88"/>
      <c r="C2733" s="16">
        <v>46240</v>
      </c>
      <c r="D2733" s="79">
        <v>8724.1700000000037</v>
      </c>
    </row>
    <row r="2734" spans="1:4" x14ac:dyDescent="0.3">
      <c r="A2734" s="88" t="s">
        <v>33</v>
      </c>
      <c r="B2734" s="88"/>
      <c r="C2734" s="16">
        <v>46240</v>
      </c>
      <c r="D2734" s="79">
        <v>15106.099999999997</v>
      </c>
    </row>
    <row r="2735" spans="1:4" x14ac:dyDescent="0.3">
      <c r="A2735" s="88" t="s">
        <v>34</v>
      </c>
      <c r="B2735" s="88"/>
      <c r="C2735" s="16">
        <v>46240</v>
      </c>
      <c r="D2735" s="79">
        <v>345</v>
      </c>
    </row>
    <row r="2736" spans="1:4" x14ac:dyDescent="0.3">
      <c r="A2736" s="88" t="s">
        <v>35</v>
      </c>
      <c r="B2736" s="88"/>
      <c r="C2736" s="16">
        <v>46240</v>
      </c>
      <c r="D2736" s="79">
        <v>12470.040000000003</v>
      </c>
    </row>
    <row r="2737" spans="1:4" x14ac:dyDescent="0.3">
      <c r="A2737" s="88" t="s">
        <v>193</v>
      </c>
      <c r="B2737" s="88"/>
      <c r="C2737" s="16">
        <v>46240</v>
      </c>
      <c r="D2737" s="79">
        <v>0</v>
      </c>
    </row>
    <row r="2738" spans="1:4" x14ac:dyDescent="0.3">
      <c r="A2738" s="88" t="s">
        <v>214</v>
      </c>
      <c r="B2738" s="88"/>
      <c r="C2738" s="16">
        <v>46240</v>
      </c>
      <c r="D2738" s="79">
        <v>0</v>
      </c>
    </row>
    <row r="2739" spans="1:4" x14ac:dyDescent="0.3">
      <c r="A2739" s="88" t="s">
        <v>194</v>
      </c>
      <c r="B2739" s="88"/>
      <c r="C2739" s="16">
        <v>46240</v>
      </c>
      <c r="D2739" s="79">
        <v>0</v>
      </c>
    </row>
    <row r="2740" spans="1:4" x14ac:dyDescent="0.3">
      <c r="A2740" s="88" t="s">
        <v>195</v>
      </c>
      <c r="B2740" s="88"/>
      <c r="C2740" s="16">
        <v>46240</v>
      </c>
      <c r="D2740" s="79">
        <v>0</v>
      </c>
    </row>
    <row r="2741" spans="1:4" x14ac:dyDescent="0.3">
      <c r="A2741" s="88" t="s">
        <v>196</v>
      </c>
      <c r="B2741" s="88"/>
      <c r="C2741" s="16">
        <v>46240</v>
      </c>
      <c r="D2741" s="79">
        <v>0</v>
      </c>
    </row>
    <row r="2742" spans="1:4" x14ac:dyDescent="0.3">
      <c r="A2742" s="88" t="s">
        <v>197</v>
      </c>
      <c r="B2742" s="88"/>
      <c r="C2742" s="16">
        <v>46240</v>
      </c>
      <c r="D2742" s="79">
        <v>0</v>
      </c>
    </row>
    <row r="2743" spans="1:4" x14ac:dyDescent="0.3">
      <c r="A2743" s="88" t="s">
        <v>212</v>
      </c>
      <c r="B2743" s="88"/>
      <c r="C2743" s="16">
        <v>46240</v>
      </c>
      <c r="D2743" s="79">
        <v>0</v>
      </c>
    </row>
    <row r="2744" spans="1:4" x14ac:dyDescent="0.3">
      <c r="A2744" s="88" t="s">
        <v>199</v>
      </c>
      <c r="B2744" s="88"/>
      <c r="C2744" s="16">
        <v>46240</v>
      </c>
      <c r="D2744" s="79">
        <v>0</v>
      </c>
    </row>
    <row r="2745" spans="1:4" x14ac:dyDescent="0.3">
      <c r="A2745" s="88" t="s">
        <v>217</v>
      </c>
      <c r="B2745" s="88"/>
      <c r="C2745" s="16">
        <v>46240</v>
      </c>
      <c r="D2745" s="79">
        <v>0</v>
      </c>
    </row>
    <row r="2746" spans="1:4" x14ac:dyDescent="0.3">
      <c r="A2746" s="88" t="s">
        <v>17</v>
      </c>
      <c r="B2746" s="88"/>
      <c r="C2746" s="16">
        <v>46241</v>
      </c>
      <c r="D2746" s="79">
        <v>1153390.4100000001</v>
      </c>
    </row>
    <row r="2747" spans="1:4" x14ac:dyDescent="0.3">
      <c r="A2747" s="88" t="s">
        <v>18</v>
      </c>
      <c r="B2747" s="88"/>
      <c r="C2747" s="16">
        <v>46241</v>
      </c>
      <c r="D2747" s="79">
        <v>83211.250000000175</v>
      </c>
    </row>
    <row r="2748" spans="1:4" x14ac:dyDescent="0.3">
      <c r="A2748" s="88" t="s">
        <v>19</v>
      </c>
      <c r="B2748" s="88"/>
      <c r="C2748" s="16">
        <v>46241</v>
      </c>
      <c r="D2748" s="79">
        <v>1669.89</v>
      </c>
    </row>
    <row r="2749" spans="1:4" x14ac:dyDescent="0.3">
      <c r="A2749" s="88" t="s">
        <v>20</v>
      </c>
      <c r="B2749" s="88"/>
      <c r="C2749" s="16">
        <v>46241</v>
      </c>
      <c r="D2749" s="79">
        <v>1349451.94</v>
      </c>
    </row>
    <row r="2750" spans="1:4" x14ac:dyDescent="0.3">
      <c r="A2750" s="88" t="s">
        <v>21</v>
      </c>
      <c r="B2750" s="88"/>
      <c r="C2750" s="16">
        <v>46241</v>
      </c>
      <c r="D2750" s="79">
        <v>2102073.7899999996</v>
      </c>
    </row>
    <row r="2751" spans="1:4" x14ac:dyDescent="0.3">
      <c r="A2751" s="88" t="s">
        <v>22</v>
      </c>
      <c r="B2751" s="88"/>
      <c r="C2751" s="16">
        <v>46241</v>
      </c>
      <c r="D2751" s="79">
        <v>171496.38</v>
      </c>
    </row>
    <row r="2752" spans="1:4" x14ac:dyDescent="0.3">
      <c r="A2752" s="88" t="s">
        <v>23</v>
      </c>
      <c r="B2752" s="88"/>
      <c r="C2752" s="16">
        <v>46241</v>
      </c>
      <c r="D2752" s="79">
        <v>207582.47</v>
      </c>
    </row>
    <row r="2753" spans="1:4" x14ac:dyDescent="0.3">
      <c r="A2753" s="88" t="s">
        <v>24</v>
      </c>
      <c r="B2753" s="88"/>
      <c r="C2753" s="16">
        <v>46241</v>
      </c>
      <c r="D2753" s="79">
        <v>13270.02</v>
      </c>
    </row>
    <row r="2754" spans="1:4" x14ac:dyDescent="0.3">
      <c r="A2754" s="88" t="s">
        <v>25</v>
      </c>
      <c r="B2754" s="88"/>
      <c r="C2754" s="16">
        <v>46241</v>
      </c>
      <c r="D2754" s="79">
        <v>24.450000000000003</v>
      </c>
    </row>
    <row r="2755" spans="1:4" x14ac:dyDescent="0.3">
      <c r="A2755" s="88" t="s">
        <v>26</v>
      </c>
      <c r="B2755" s="88"/>
      <c r="C2755" s="16">
        <v>46241</v>
      </c>
      <c r="D2755" s="79">
        <v>2177.87</v>
      </c>
    </row>
    <row r="2756" spans="1:4" x14ac:dyDescent="0.3">
      <c r="A2756" s="88" t="s">
        <v>27</v>
      </c>
      <c r="B2756" s="88"/>
      <c r="C2756" s="16">
        <v>46241</v>
      </c>
      <c r="D2756" s="79">
        <v>1454589.72</v>
      </c>
    </row>
    <row r="2757" spans="1:4" x14ac:dyDescent="0.3">
      <c r="A2757" s="88" t="s">
        <v>28</v>
      </c>
      <c r="B2757" s="88"/>
      <c r="C2757" s="16">
        <v>46241</v>
      </c>
      <c r="D2757" s="79">
        <v>1968.99</v>
      </c>
    </row>
    <row r="2758" spans="1:4" x14ac:dyDescent="0.3">
      <c r="A2758" s="88" t="s">
        <v>29</v>
      </c>
      <c r="B2758" s="88"/>
      <c r="C2758" s="16">
        <v>46241</v>
      </c>
      <c r="D2758" s="79">
        <v>901.34</v>
      </c>
    </row>
    <row r="2759" spans="1:4" x14ac:dyDescent="0.3">
      <c r="A2759" s="88" t="s">
        <v>30</v>
      </c>
      <c r="B2759" s="88"/>
      <c r="C2759" s="16">
        <v>46241</v>
      </c>
      <c r="D2759" s="79">
        <v>1396.08</v>
      </c>
    </row>
    <row r="2760" spans="1:4" x14ac:dyDescent="0.3">
      <c r="A2760" s="88" t="s">
        <v>31</v>
      </c>
      <c r="B2760" s="88"/>
      <c r="C2760" s="16">
        <v>46241</v>
      </c>
      <c r="D2760" s="79">
        <v>11259.639999999961</v>
      </c>
    </row>
    <row r="2761" spans="1:4" x14ac:dyDescent="0.3">
      <c r="A2761" s="88" t="s">
        <v>32</v>
      </c>
      <c r="B2761" s="88"/>
      <c r="C2761" s="16">
        <v>46241</v>
      </c>
      <c r="D2761" s="79">
        <v>8724.1700000000037</v>
      </c>
    </row>
    <row r="2762" spans="1:4" x14ac:dyDescent="0.3">
      <c r="A2762" s="88" t="s">
        <v>33</v>
      </c>
      <c r="B2762" s="88"/>
      <c r="C2762" s="16">
        <v>46241</v>
      </c>
      <c r="D2762" s="79">
        <v>20106.099999999999</v>
      </c>
    </row>
    <row r="2763" spans="1:4" x14ac:dyDescent="0.3">
      <c r="A2763" s="88" t="s">
        <v>34</v>
      </c>
      <c r="B2763" s="88"/>
      <c r="C2763" s="16">
        <v>46241</v>
      </c>
      <c r="D2763" s="79">
        <v>345</v>
      </c>
    </row>
    <row r="2764" spans="1:4" x14ac:dyDescent="0.3">
      <c r="A2764" s="88" t="s">
        <v>35</v>
      </c>
      <c r="B2764" s="88"/>
      <c r="C2764" s="16">
        <v>46241</v>
      </c>
      <c r="D2764" s="79">
        <v>12470.040000000003</v>
      </c>
    </row>
    <row r="2765" spans="1:4" x14ac:dyDescent="0.3">
      <c r="A2765" s="88" t="s">
        <v>193</v>
      </c>
      <c r="B2765" s="88"/>
      <c r="C2765" s="16">
        <v>46241</v>
      </c>
      <c r="D2765" s="79">
        <v>0</v>
      </c>
    </row>
    <row r="2766" spans="1:4" x14ac:dyDescent="0.3">
      <c r="A2766" s="88" t="s">
        <v>214</v>
      </c>
      <c r="B2766" s="88"/>
      <c r="C2766" s="16">
        <v>46241</v>
      </c>
      <c r="D2766" s="79">
        <v>0</v>
      </c>
    </row>
    <row r="2767" spans="1:4" x14ac:dyDescent="0.3">
      <c r="A2767" s="88" t="s">
        <v>194</v>
      </c>
      <c r="B2767" s="88"/>
      <c r="C2767" s="16">
        <v>46241</v>
      </c>
      <c r="D2767" s="79">
        <v>0</v>
      </c>
    </row>
    <row r="2768" spans="1:4" x14ac:dyDescent="0.3">
      <c r="A2768" s="88" t="s">
        <v>195</v>
      </c>
      <c r="B2768" s="88"/>
      <c r="C2768" s="16">
        <v>46241</v>
      </c>
      <c r="D2768" s="79">
        <v>0</v>
      </c>
    </row>
    <row r="2769" spans="1:4" x14ac:dyDescent="0.3">
      <c r="A2769" s="88" t="s">
        <v>196</v>
      </c>
      <c r="B2769" s="88"/>
      <c r="C2769" s="16">
        <v>46241</v>
      </c>
      <c r="D2769" s="79">
        <v>0</v>
      </c>
    </row>
    <row r="2770" spans="1:4" x14ac:dyDescent="0.3">
      <c r="A2770" s="88" t="s">
        <v>197</v>
      </c>
      <c r="B2770" s="88"/>
      <c r="C2770" s="16">
        <v>46241</v>
      </c>
      <c r="D2770" s="79">
        <v>0</v>
      </c>
    </row>
    <row r="2771" spans="1:4" x14ac:dyDescent="0.3">
      <c r="A2771" s="88" t="s">
        <v>212</v>
      </c>
      <c r="B2771" s="88"/>
      <c r="C2771" s="16">
        <v>46241</v>
      </c>
      <c r="D2771" s="79">
        <v>0</v>
      </c>
    </row>
    <row r="2772" spans="1:4" x14ac:dyDescent="0.3">
      <c r="A2772" s="88" t="s">
        <v>199</v>
      </c>
      <c r="B2772" s="88"/>
      <c r="C2772" s="16">
        <v>46241</v>
      </c>
      <c r="D2772" s="79">
        <v>0</v>
      </c>
    </row>
    <row r="2773" spans="1:4" x14ac:dyDescent="0.3">
      <c r="A2773" s="88" t="s">
        <v>217</v>
      </c>
      <c r="B2773" s="88"/>
      <c r="C2773" s="16">
        <v>46241</v>
      </c>
      <c r="D2773" s="79">
        <v>0</v>
      </c>
    </row>
    <row r="2774" spans="1:4" x14ac:dyDescent="0.3">
      <c r="A2774" s="88" t="s">
        <v>17</v>
      </c>
      <c r="B2774" s="88"/>
      <c r="C2774" s="16">
        <v>46242</v>
      </c>
      <c r="D2774" s="79">
        <v>1153390.4100000001</v>
      </c>
    </row>
    <row r="2775" spans="1:4" x14ac:dyDescent="0.3">
      <c r="A2775" s="88" t="s">
        <v>18</v>
      </c>
      <c r="B2775" s="88"/>
      <c r="C2775" s="16">
        <v>46242</v>
      </c>
      <c r="D2775" s="79">
        <v>83211.250000000175</v>
      </c>
    </row>
    <row r="2776" spans="1:4" x14ac:dyDescent="0.3">
      <c r="A2776" s="88" t="s">
        <v>19</v>
      </c>
      <c r="B2776" s="88"/>
      <c r="C2776" s="16">
        <v>46242</v>
      </c>
      <c r="D2776" s="79">
        <v>1669.89</v>
      </c>
    </row>
    <row r="2777" spans="1:4" x14ac:dyDescent="0.3">
      <c r="A2777" s="88" t="s">
        <v>20</v>
      </c>
      <c r="B2777" s="88"/>
      <c r="C2777" s="16">
        <v>46242</v>
      </c>
      <c r="D2777" s="79">
        <v>1349451.94</v>
      </c>
    </row>
    <row r="2778" spans="1:4" x14ac:dyDescent="0.3">
      <c r="A2778" s="88" t="s">
        <v>21</v>
      </c>
      <c r="B2778" s="88"/>
      <c r="C2778" s="16">
        <v>46242</v>
      </c>
      <c r="D2778" s="79">
        <v>2102073.7899999996</v>
      </c>
    </row>
    <row r="2779" spans="1:4" x14ac:dyDescent="0.3">
      <c r="A2779" s="88" t="s">
        <v>22</v>
      </c>
      <c r="B2779" s="88"/>
      <c r="C2779" s="16">
        <v>46242</v>
      </c>
      <c r="D2779" s="79">
        <v>171496.38</v>
      </c>
    </row>
    <row r="2780" spans="1:4" x14ac:dyDescent="0.3">
      <c r="A2780" s="88" t="s">
        <v>23</v>
      </c>
      <c r="B2780" s="88"/>
      <c r="C2780" s="16">
        <v>46242</v>
      </c>
      <c r="D2780" s="79">
        <v>207582.47</v>
      </c>
    </row>
    <row r="2781" spans="1:4" x14ac:dyDescent="0.3">
      <c r="A2781" s="88" t="s">
        <v>24</v>
      </c>
      <c r="B2781" s="88"/>
      <c r="C2781" s="16">
        <v>46242</v>
      </c>
      <c r="D2781" s="79">
        <v>13270.02</v>
      </c>
    </row>
    <row r="2782" spans="1:4" x14ac:dyDescent="0.3">
      <c r="A2782" s="88" t="s">
        <v>25</v>
      </c>
      <c r="B2782" s="88"/>
      <c r="C2782" s="16">
        <v>46242</v>
      </c>
      <c r="D2782" s="79">
        <v>24.450000000000003</v>
      </c>
    </row>
    <row r="2783" spans="1:4" x14ac:dyDescent="0.3">
      <c r="A2783" s="88" t="s">
        <v>26</v>
      </c>
      <c r="B2783" s="88"/>
      <c r="C2783" s="16">
        <v>46242</v>
      </c>
      <c r="D2783" s="79">
        <v>2177.87</v>
      </c>
    </row>
    <row r="2784" spans="1:4" x14ac:dyDescent="0.3">
      <c r="A2784" s="88" t="s">
        <v>27</v>
      </c>
      <c r="B2784" s="88"/>
      <c r="C2784" s="16">
        <v>46242</v>
      </c>
      <c r="D2784" s="79">
        <v>1454589.72</v>
      </c>
    </row>
    <row r="2785" spans="1:4" x14ac:dyDescent="0.3">
      <c r="A2785" s="88" t="s">
        <v>28</v>
      </c>
      <c r="B2785" s="88"/>
      <c r="C2785" s="16">
        <v>46242</v>
      </c>
      <c r="D2785" s="79">
        <v>1968.99</v>
      </c>
    </row>
    <row r="2786" spans="1:4" x14ac:dyDescent="0.3">
      <c r="A2786" s="88" t="s">
        <v>29</v>
      </c>
      <c r="B2786" s="88"/>
      <c r="C2786" s="16">
        <v>46242</v>
      </c>
      <c r="D2786" s="79">
        <v>901.34</v>
      </c>
    </row>
    <row r="2787" spans="1:4" x14ac:dyDescent="0.3">
      <c r="A2787" s="88" t="s">
        <v>30</v>
      </c>
      <c r="B2787" s="88"/>
      <c r="C2787" s="16">
        <v>46242</v>
      </c>
      <c r="D2787" s="79">
        <v>1396.08</v>
      </c>
    </row>
    <row r="2788" spans="1:4" x14ac:dyDescent="0.3">
      <c r="A2788" s="88" t="s">
        <v>31</v>
      </c>
      <c r="B2788" s="88"/>
      <c r="C2788" s="16">
        <v>46242</v>
      </c>
      <c r="D2788" s="79">
        <v>11259.639999999961</v>
      </c>
    </row>
    <row r="2789" spans="1:4" x14ac:dyDescent="0.3">
      <c r="A2789" s="88" t="s">
        <v>32</v>
      </c>
      <c r="B2789" s="88"/>
      <c r="C2789" s="16">
        <v>46242</v>
      </c>
      <c r="D2789" s="79">
        <v>8724.1700000000037</v>
      </c>
    </row>
    <row r="2790" spans="1:4" x14ac:dyDescent="0.3">
      <c r="A2790" s="88" t="s">
        <v>33</v>
      </c>
      <c r="B2790" s="88"/>
      <c r="C2790" s="16">
        <v>46242</v>
      </c>
      <c r="D2790" s="79">
        <v>20106.099999999999</v>
      </c>
    </row>
    <row r="2791" spans="1:4" x14ac:dyDescent="0.3">
      <c r="A2791" s="88" t="s">
        <v>34</v>
      </c>
      <c r="B2791" s="88"/>
      <c r="C2791" s="16">
        <v>46242</v>
      </c>
      <c r="D2791" s="79">
        <v>345</v>
      </c>
    </row>
    <row r="2792" spans="1:4" x14ac:dyDescent="0.3">
      <c r="A2792" s="88" t="s">
        <v>35</v>
      </c>
      <c r="B2792" s="88"/>
      <c r="C2792" s="16">
        <v>46242</v>
      </c>
      <c r="D2792" s="79">
        <v>12470.040000000003</v>
      </c>
    </row>
    <row r="2793" spans="1:4" x14ac:dyDescent="0.3">
      <c r="A2793" s="88" t="s">
        <v>193</v>
      </c>
      <c r="B2793" s="88"/>
      <c r="C2793" s="16">
        <v>46242</v>
      </c>
      <c r="D2793" s="79">
        <v>0</v>
      </c>
    </row>
    <row r="2794" spans="1:4" x14ac:dyDescent="0.3">
      <c r="A2794" s="88" t="s">
        <v>214</v>
      </c>
      <c r="B2794" s="88"/>
      <c r="C2794" s="16">
        <v>46242</v>
      </c>
      <c r="D2794" s="79">
        <v>0</v>
      </c>
    </row>
    <row r="2795" spans="1:4" x14ac:dyDescent="0.3">
      <c r="A2795" s="88" t="s">
        <v>194</v>
      </c>
      <c r="B2795" s="88"/>
      <c r="C2795" s="16">
        <v>46242</v>
      </c>
      <c r="D2795" s="79">
        <v>0</v>
      </c>
    </row>
    <row r="2796" spans="1:4" x14ac:dyDescent="0.3">
      <c r="A2796" s="88" t="s">
        <v>195</v>
      </c>
      <c r="B2796" s="88"/>
      <c r="C2796" s="16">
        <v>46242</v>
      </c>
      <c r="D2796" s="79">
        <v>0</v>
      </c>
    </row>
    <row r="2797" spans="1:4" x14ac:dyDescent="0.3">
      <c r="A2797" s="88" t="s">
        <v>196</v>
      </c>
      <c r="B2797" s="88"/>
      <c r="C2797" s="16">
        <v>46242</v>
      </c>
      <c r="D2797" s="79">
        <v>0</v>
      </c>
    </row>
    <row r="2798" spans="1:4" x14ac:dyDescent="0.3">
      <c r="A2798" s="88" t="s">
        <v>197</v>
      </c>
      <c r="B2798" s="88"/>
      <c r="C2798" s="16">
        <v>46242</v>
      </c>
      <c r="D2798" s="79">
        <v>0</v>
      </c>
    </row>
    <row r="2799" spans="1:4" x14ac:dyDescent="0.3">
      <c r="A2799" s="88" t="s">
        <v>212</v>
      </c>
      <c r="B2799" s="88"/>
      <c r="C2799" s="16">
        <v>46242</v>
      </c>
      <c r="D2799" s="79">
        <v>0</v>
      </c>
    </row>
    <row r="2800" spans="1:4" x14ac:dyDescent="0.3">
      <c r="A2800" s="88" t="s">
        <v>199</v>
      </c>
      <c r="B2800" s="88"/>
      <c r="C2800" s="16">
        <v>46242</v>
      </c>
      <c r="D2800" s="79">
        <v>0</v>
      </c>
    </row>
    <row r="2801" spans="1:4" x14ac:dyDescent="0.3">
      <c r="A2801" s="88" t="s">
        <v>217</v>
      </c>
      <c r="B2801" s="88"/>
      <c r="C2801" s="16">
        <v>46242</v>
      </c>
      <c r="D2801" s="79">
        <v>0</v>
      </c>
    </row>
    <row r="2802" spans="1:4" x14ac:dyDescent="0.3">
      <c r="A2802" s="88" t="s">
        <v>17</v>
      </c>
      <c r="B2802" s="88"/>
      <c r="C2802" s="16">
        <v>46243</v>
      </c>
      <c r="D2802" s="79">
        <v>1153390.4100000001</v>
      </c>
    </row>
    <row r="2803" spans="1:4" x14ac:dyDescent="0.3">
      <c r="A2803" s="88" t="s">
        <v>18</v>
      </c>
      <c r="B2803" s="88"/>
      <c r="C2803" s="16">
        <v>46243</v>
      </c>
      <c r="D2803" s="79">
        <v>83211.250000000175</v>
      </c>
    </row>
    <row r="2804" spans="1:4" x14ac:dyDescent="0.3">
      <c r="A2804" s="88" t="s">
        <v>19</v>
      </c>
      <c r="B2804" s="88"/>
      <c r="C2804" s="16">
        <v>46243</v>
      </c>
      <c r="D2804" s="79">
        <v>1669.89</v>
      </c>
    </row>
    <row r="2805" spans="1:4" x14ac:dyDescent="0.3">
      <c r="A2805" s="88" t="s">
        <v>20</v>
      </c>
      <c r="B2805" s="88"/>
      <c r="C2805" s="16">
        <v>46243</v>
      </c>
      <c r="D2805" s="79">
        <v>1349451.94</v>
      </c>
    </row>
    <row r="2806" spans="1:4" x14ac:dyDescent="0.3">
      <c r="A2806" s="88" t="s">
        <v>21</v>
      </c>
      <c r="B2806" s="88"/>
      <c r="C2806" s="16">
        <v>46243</v>
      </c>
      <c r="D2806" s="79">
        <v>2102073.7899999996</v>
      </c>
    </row>
    <row r="2807" spans="1:4" x14ac:dyDescent="0.3">
      <c r="A2807" s="88" t="s">
        <v>22</v>
      </c>
      <c r="B2807" s="88"/>
      <c r="C2807" s="16">
        <v>46243</v>
      </c>
      <c r="D2807" s="79">
        <v>171496.38</v>
      </c>
    </row>
    <row r="2808" spans="1:4" x14ac:dyDescent="0.3">
      <c r="A2808" s="88" t="s">
        <v>23</v>
      </c>
      <c r="B2808" s="88"/>
      <c r="C2808" s="16">
        <v>46243</v>
      </c>
      <c r="D2808" s="79">
        <v>207582.47</v>
      </c>
    </row>
    <row r="2809" spans="1:4" x14ac:dyDescent="0.3">
      <c r="A2809" s="88" t="s">
        <v>24</v>
      </c>
      <c r="B2809" s="88"/>
      <c r="C2809" s="16">
        <v>46243</v>
      </c>
      <c r="D2809" s="79">
        <v>13270.02</v>
      </c>
    </row>
    <row r="2810" spans="1:4" x14ac:dyDescent="0.3">
      <c r="A2810" s="88" t="s">
        <v>25</v>
      </c>
      <c r="B2810" s="88"/>
      <c r="C2810" s="16">
        <v>46243</v>
      </c>
      <c r="D2810" s="79">
        <v>24.450000000000003</v>
      </c>
    </row>
    <row r="2811" spans="1:4" x14ac:dyDescent="0.3">
      <c r="A2811" s="88" t="s">
        <v>26</v>
      </c>
      <c r="B2811" s="88"/>
      <c r="C2811" s="16">
        <v>46243</v>
      </c>
      <c r="D2811" s="79">
        <v>2177.87</v>
      </c>
    </row>
    <row r="2812" spans="1:4" x14ac:dyDescent="0.3">
      <c r="A2812" s="88" t="s">
        <v>27</v>
      </c>
      <c r="B2812" s="88"/>
      <c r="C2812" s="16">
        <v>46243</v>
      </c>
      <c r="D2812" s="79">
        <v>1454589.72</v>
      </c>
    </row>
    <row r="2813" spans="1:4" x14ac:dyDescent="0.3">
      <c r="A2813" s="88" t="s">
        <v>28</v>
      </c>
      <c r="B2813" s="88"/>
      <c r="C2813" s="16">
        <v>46243</v>
      </c>
      <c r="D2813" s="79">
        <v>1968.99</v>
      </c>
    </row>
    <row r="2814" spans="1:4" x14ac:dyDescent="0.3">
      <c r="A2814" s="88" t="s">
        <v>29</v>
      </c>
      <c r="B2814" s="88"/>
      <c r="C2814" s="16">
        <v>46243</v>
      </c>
      <c r="D2814" s="79">
        <v>901.34</v>
      </c>
    </row>
    <row r="2815" spans="1:4" x14ac:dyDescent="0.3">
      <c r="A2815" s="88" t="s">
        <v>30</v>
      </c>
      <c r="B2815" s="88"/>
      <c r="C2815" s="16">
        <v>46243</v>
      </c>
      <c r="D2815" s="79">
        <v>1396.08</v>
      </c>
    </row>
    <row r="2816" spans="1:4" x14ac:dyDescent="0.3">
      <c r="A2816" s="88" t="s">
        <v>31</v>
      </c>
      <c r="B2816" s="88"/>
      <c r="C2816" s="16">
        <v>46243</v>
      </c>
      <c r="D2816" s="79">
        <v>11259.639999999961</v>
      </c>
    </row>
    <row r="2817" spans="1:4" x14ac:dyDescent="0.3">
      <c r="A2817" s="88" t="s">
        <v>32</v>
      </c>
      <c r="B2817" s="88"/>
      <c r="C2817" s="16">
        <v>46243</v>
      </c>
      <c r="D2817" s="79">
        <v>8724.1700000000037</v>
      </c>
    </row>
    <row r="2818" spans="1:4" x14ac:dyDescent="0.3">
      <c r="A2818" s="88" t="s">
        <v>33</v>
      </c>
      <c r="B2818" s="88"/>
      <c r="C2818" s="16">
        <v>46243</v>
      </c>
      <c r="D2818" s="79">
        <v>20106.099999999999</v>
      </c>
    </row>
    <row r="2819" spans="1:4" x14ac:dyDescent="0.3">
      <c r="A2819" s="88" t="s">
        <v>34</v>
      </c>
      <c r="B2819" s="88"/>
      <c r="C2819" s="16">
        <v>46243</v>
      </c>
      <c r="D2819" s="79">
        <v>345</v>
      </c>
    </row>
    <row r="2820" spans="1:4" x14ac:dyDescent="0.3">
      <c r="A2820" s="88" t="s">
        <v>35</v>
      </c>
      <c r="B2820" s="88"/>
      <c r="C2820" s="16">
        <v>46243</v>
      </c>
      <c r="D2820" s="79">
        <v>12470.040000000003</v>
      </c>
    </row>
    <row r="2821" spans="1:4" x14ac:dyDescent="0.3">
      <c r="A2821" s="88" t="s">
        <v>193</v>
      </c>
      <c r="B2821" s="88"/>
      <c r="C2821" s="16">
        <v>46243</v>
      </c>
      <c r="D2821" s="79">
        <v>0</v>
      </c>
    </row>
    <row r="2822" spans="1:4" x14ac:dyDescent="0.3">
      <c r="A2822" s="88" t="s">
        <v>214</v>
      </c>
      <c r="B2822" s="88"/>
      <c r="C2822" s="16">
        <v>46243</v>
      </c>
      <c r="D2822" s="79">
        <v>0</v>
      </c>
    </row>
    <row r="2823" spans="1:4" x14ac:dyDescent="0.3">
      <c r="A2823" s="88" t="s">
        <v>194</v>
      </c>
      <c r="B2823" s="88"/>
      <c r="C2823" s="16">
        <v>46243</v>
      </c>
      <c r="D2823" s="79">
        <v>0</v>
      </c>
    </row>
    <row r="2824" spans="1:4" x14ac:dyDescent="0.3">
      <c r="A2824" s="88" t="s">
        <v>195</v>
      </c>
      <c r="B2824" s="88"/>
      <c r="C2824" s="16">
        <v>46243</v>
      </c>
      <c r="D2824" s="79">
        <v>0</v>
      </c>
    </row>
    <row r="2825" spans="1:4" x14ac:dyDescent="0.3">
      <c r="A2825" s="88" t="s">
        <v>196</v>
      </c>
      <c r="B2825" s="88"/>
      <c r="C2825" s="16">
        <v>46243</v>
      </c>
      <c r="D2825" s="79">
        <v>0</v>
      </c>
    </row>
    <row r="2826" spans="1:4" x14ac:dyDescent="0.3">
      <c r="A2826" s="88" t="s">
        <v>197</v>
      </c>
      <c r="B2826" s="88"/>
      <c r="C2826" s="16">
        <v>46243</v>
      </c>
      <c r="D2826" s="79">
        <v>0</v>
      </c>
    </row>
    <row r="2827" spans="1:4" x14ac:dyDescent="0.3">
      <c r="A2827" s="88" t="s">
        <v>212</v>
      </c>
      <c r="B2827" s="88"/>
      <c r="C2827" s="16">
        <v>46243</v>
      </c>
      <c r="D2827" s="79">
        <v>0</v>
      </c>
    </row>
    <row r="2828" spans="1:4" x14ac:dyDescent="0.3">
      <c r="A2828" s="88" t="s">
        <v>199</v>
      </c>
      <c r="B2828" s="88"/>
      <c r="C2828" s="16">
        <v>46243</v>
      </c>
      <c r="D2828" s="79">
        <v>0</v>
      </c>
    </row>
    <row r="2829" spans="1:4" x14ac:dyDescent="0.3">
      <c r="A2829" s="88" t="s">
        <v>217</v>
      </c>
      <c r="B2829" s="88"/>
      <c r="C2829" s="16">
        <v>46243</v>
      </c>
      <c r="D2829" s="79">
        <v>0</v>
      </c>
    </row>
    <row r="2830" spans="1:4" x14ac:dyDescent="0.3">
      <c r="A2830" s="88" t="s">
        <v>17</v>
      </c>
      <c r="B2830" s="88"/>
      <c r="C2830" s="16">
        <v>46244</v>
      </c>
      <c r="D2830" s="79">
        <v>1260076.9800000002</v>
      </c>
    </row>
    <row r="2831" spans="1:4" x14ac:dyDescent="0.3">
      <c r="A2831" s="88" t="s">
        <v>18</v>
      </c>
      <c r="B2831" s="88"/>
      <c r="C2831" s="16">
        <v>46244</v>
      </c>
      <c r="D2831" s="79">
        <v>83211.250000000175</v>
      </c>
    </row>
    <row r="2832" spans="1:4" x14ac:dyDescent="0.3">
      <c r="A2832" s="88" t="s">
        <v>19</v>
      </c>
      <c r="B2832" s="88"/>
      <c r="C2832" s="16">
        <v>46244</v>
      </c>
      <c r="D2832" s="79">
        <v>1669.89</v>
      </c>
    </row>
    <row r="2833" spans="1:4" x14ac:dyDescent="0.3">
      <c r="A2833" s="88" t="s">
        <v>20</v>
      </c>
      <c r="B2833" s="88"/>
      <c r="C2833" s="16">
        <v>46244</v>
      </c>
      <c r="D2833" s="79">
        <v>1349451.94</v>
      </c>
    </row>
    <row r="2834" spans="1:4" x14ac:dyDescent="0.3">
      <c r="A2834" s="88" t="s">
        <v>21</v>
      </c>
      <c r="B2834" s="88"/>
      <c r="C2834" s="16">
        <v>46244</v>
      </c>
      <c r="D2834" s="79">
        <v>2098801.8999999994</v>
      </c>
    </row>
    <row r="2835" spans="1:4" x14ac:dyDescent="0.3">
      <c r="A2835" s="88" t="s">
        <v>22</v>
      </c>
      <c r="B2835" s="88"/>
      <c r="C2835" s="16">
        <v>46244</v>
      </c>
      <c r="D2835" s="79">
        <v>171496.38</v>
      </c>
    </row>
    <row r="2836" spans="1:4" x14ac:dyDescent="0.3">
      <c r="A2836" s="88" t="s">
        <v>23</v>
      </c>
      <c r="B2836" s="88"/>
      <c r="C2836" s="16">
        <v>46244</v>
      </c>
      <c r="D2836" s="79">
        <v>207582.47</v>
      </c>
    </row>
    <row r="2837" spans="1:4" x14ac:dyDescent="0.3">
      <c r="A2837" s="88" t="s">
        <v>24</v>
      </c>
      <c r="B2837" s="88"/>
      <c r="C2837" s="16">
        <v>46244</v>
      </c>
      <c r="D2837" s="79">
        <v>13270.02</v>
      </c>
    </row>
    <row r="2838" spans="1:4" x14ac:dyDescent="0.3">
      <c r="A2838" s="88" t="s">
        <v>25</v>
      </c>
      <c r="B2838" s="88"/>
      <c r="C2838" s="16">
        <v>46244</v>
      </c>
      <c r="D2838" s="79">
        <v>24.450000000000003</v>
      </c>
    </row>
    <row r="2839" spans="1:4" x14ac:dyDescent="0.3">
      <c r="A2839" s="88" t="s">
        <v>26</v>
      </c>
      <c r="B2839" s="88"/>
      <c r="C2839" s="16">
        <v>46244</v>
      </c>
      <c r="D2839" s="79">
        <v>2177.87</v>
      </c>
    </row>
    <row r="2840" spans="1:4" x14ac:dyDescent="0.3">
      <c r="A2840" s="88" t="s">
        <v>27</v>
      </c>
      <c r="B2840" s="88"/>
      <c r="C2840" s="16">
        <v>46244</v>
      </c>
      <c r="D2840" s="79">
        <v>1454589.72</v>
      </c>
    </row>
    <row r="2841" spans="1:4" x14ac:dyDescent="0.3">
      <c r="A2841" s="88" t="s">
        <v>28</v>
      </c>
      <c r="B2841" s="88"/>
      <c r="C2841" s="16">
        <v>46244</v>
      </c>
      <c r="D2841" s="79">
        <v>1968.99</v>
      </c>
    </row>
    <row r="2842" spans="1:4" x14ac:dyDescent="0.3">
      <c r="A2842" s="88" t="s">
        <v>29</v>
      </c>
      <c r="B2842" s="88"/>
      <c r="C2842" s="16">
        <v>46244</v>
      </c>
      <c r="D2842" s="79">
        <v>901.34</v>
      </c>
    </row>
    <row r="2843" spans="1:4" x14ac:dyDescent="0.3">
      <c r="A2843" s="88" t="s">
        <v>30</v>
      </c>
      <c r="B2843" s="88"/>
      <c r="C2843" s="16">
        <v>46244</v>
      </c>
      <c r="D2843" s="79">
        <v>1396.08</v>
      </c>
    </row>
    <row r="2844" spans="1:4" x14ac:dyDescent="0.3">
      <c r="A2844" s="88" t="s">
        <v>31</v>
      </c>
      <c r="B2844" s="88"/>
      <c r="C2844" s="16">
        <v>46244</v>
      </c>
      <c r="D2844" s="79">
        <v>3700.7099999999591</v>
      </c>
    </row>
    <row r="2845" spans="1:4" x14ac:dyDescent="0.3">
      <c r="A2845" s="88" t="s">
        <v>32</v>
      </c>
      <c r="B2845" s="88"/>
      <c r="C2845" s="16">
        <v>46244</v>
      </c>
      <c r="D2845" s="79">
        <v>8724.1700000000037</v>
      </c>
    </row>
    <row r="2846" spans="1:4" x14ac:dyDescent="0.3">
      <c r="A2846" s="88" t="s">
        <v>33</v>
      </c>
      <c r="B2846" s="88"/>
      <c r="C2846" s="16">
        <v>46244</v>
      </c>
      <c r="D2846" s="79">
        <v>20106.099999999999</v>
      </c>
    </row>
    <row r="2847" spans="1:4" x14ac:dyDescent="0.3">
      <c r="A2847" s="88" t="s">
        <v>34</v>
      </c>
      <c r="B2847" s="88"/>
      <c r="C2847" s="16">
        <v>46244</v>
      </c>
      <c r="D2847" s="79">
        <v>345</v>
      </c>
    </row>
    <row r="2848" spans="1:4" x14ac:dyDescent="0.3">
      <c r="A2848" s="88" t="s">
        <v>35</v>
      </c>
      <c r="B2848" s="88"/>
      <c r="C2848" s="16">
        <v>46244</v>
      </c>
      <c r="D2848" s="79">
        <v>12470.040000000003</v>
      </c>
    </row>
    <row r="2849" spans="1:4" x14ac:dyDescent="0.3">
      <c r="A2849" s="88" t="s">
        <v>193</v>
      </c>
      <c r="B2849" s="88"/>
      <c r="C2849" s="16">
        <v>46244</v>
      </c>
      <c r="D2849" s="79">
        <v>0</v>
      </c>
    </row>
    <row r="2850" spans="1:4" x14ac:dyDescent="0.3">
      <c r="A2850" s="88" t="s">
        <v>214</v>
      </c>
      <c r="B2850" s="88"/>
      <c r="C2850" s="16">
        <v>46244</v>
      </c>
      <c r="D2850" s="79">
        <v>0</v>
      </c>
    </row>
    <row r="2851" spans="1:4" x14ac:dyDescent="0.3">
      <c r="A2851" s="88" t="s">
        <v>194</v>
      </c>
      <c r="B2851" s="88"/>
      <c r="C2851" s="16">
        <v>46244</v>
      </c>
      <c r="D2851" s="79">
        <v>0</v>
      </c>
    </row>
    <row r="2852" spans="1:4" x14ac:dyDescent="0.3">
      <c r="A2852" s="88" t="s">
        <v>195</v>
      </c>
      <c r="B2852" s="88"/>
      <c r="C2852" s="16">
        <v>46244</v>
      </c>
      <c r="D2852" s="79">
        <v>0</v>
      </c>
    </row>
    <row r="2853" spans="1:4" x14ac:dyDescent="0.3">
      <c r="A2853" s="88" t="s">
        <v>196</v>
      </c>
      <c r="B2853" s="88"/>
      <c r="C2853" s="16">
        <v>46244</v>
      </c>
      <c r="D2853" s="79">
        <v>0</v>
      </c>
    </row>
    <row r="2854" spans="1:4" x14ac:dyDescent="0.3">
      <c r="A2854" s="88" t="s">
        <v>197</v>
      </c>
      <c r="B2854" s="88"/>
      <c r="C2854" s="16">
        <v>46244</v>
      </c>
      <c r="D2854" s="79">
        <v>0</v>
      </c>
    </row>
    <row r="2855" spans="1:4" x14ac:dyDescent="0.3">
      <c r="A2855" s="88" t="s">
        <v>212</v>
      </c>
      <c r="B2855" s="88"/>
      <c r="C2855" s="16">
        <v>46244</v>
      </c>
      <c r="D2855" s="79">
        <v>0</v>
      </c>
    </row>
    <row r="2856" spans="1:4" x14ac:dyDescent="0.3">
      <c r="A2856" s="88" t="s">
        <v>199</v>
      </c>
      <c r="B2856" s="88"/>
      <c r="C2856" s="16">
        <v>46244</v>
      </c>
      <c r="D2856" s="79">
        <v>0</v>
      </c>
    </row>
    <row r="2857" spans="1:4" x14ac:dyDescent="0.3">
      <c r="A2857" s="88" t="s">
        <v>217</v>
      </c>
      <c r="B2857" s="88"/>
      <c r="C2857" s="16">
        <v>46244</v>
      </c>
      <c r="D2857" s="79">
        <v>0</v>
      </c>
    </row>
    <row r="2858" spans="1:4" x14ac:dyDescent="0.3">
      <c r="A2858" s="88" t="s">
        <v>17</v>
      </c>
      <c r="B2858" s="88"/>
      <c r="C2858" s="16">
        <v>46245</v>
      </c>
      <c r="D2858" s="79">
        <v>1260076.9800000002</v>
      </c>
    </row>
    <row r="2859" spans="1:4" x14ac:dyDescent="0.3">
      <c r="A2859" s="88" t="s">
        <v>18</v>
      </c>
      <c r="B2859" s="88"/>
      <c r="C2859" s="16">
        <v>46245</v>
      </c>
      <c r="D2859" s="79">
        <v>83211.250000000175</v>
      </c>
    </row>
    <row r="2860" spans="1:4" x14ac:dyDescent="0.3">
      <c r="A2860" s="88" t="s">
        <v>19</v>
      </c>
      <c r="B2860" s="88"/>
      <c r="C2860" s="16">
        <v>46245</v>
      </c>
      <c r="D2860" s="79">
        <v>1669.89</v>
      </c>
    </row>
    <row r="2861" spans="1:4" x14ac:dyDescent="0.3">
      <c r="A2861" s="88" t="s">
        <v>20</v>
      </c>
      <c r="B2861" s="88"/>
      <c r="C2861" s="16">
        <v>46245</v>
      </c>
      <c r="D2861" s="79">
        <v>1349451.94</v>
      </c>
    </row>
    <row r="2862" spans="1:4" x14ac:dyDescent="0.3">
      <c r="A2862" s="88" t="s">
        <v>21</v>
      </c>
      <c r="B2862" s="88"/>
      <c r="C2862" s="16">
        <v>46245</v>
      </c>
      <c r="D2862" s="79">
        <v>1622920.8199999996</v>
      </c>
    </row>
    <row r="2863" spans="1:4" x14ac:dyDescent="0.3">
      <c r="A2863" s="88" t="s">
        <v>22</v>
      </c>
      <c r="B2863" s="88"/>
      <c r="C2863" s="16">
        <v>46245</v>
      </c>
      <c r="D2863" s="79">
        <v>171496.38</v>
      </c>
    </row>
    <row r="2864" spans="1:4" x14ac:dyDescent="0.3">
      <c r="A2864" s="88" t="s">
        <v>23</v>
      </c>
      <c r="B2864" s="88"/>
      <c r="C2864" s="16">
        <v>46245</v>
      </c>
      <c r="D2864" s="79">
        <v>207582.47</v>
      </c>
    </row>
    <row r="2865" spans="1:4" x14ac:dyDescent="0.3">
      <c r="A2865" s="88" t="s">
        <v>24</v>
      </c>
      <c r="B2865" s="88"/>
      <c r="C2865" s="16">
        <v>46245</v>
      </c>
      <c r="D2865" s="79">
        <v>13270.02</v>
      </c>
    </row>
    <row r="2866" spans="1:4" x14ac:dyDescent="0.3">
      <c r="A2866" s="88" t="s">
        <v>25</v>
      </c>
      <c r="B2866" s="88"/>
      <c r="C2866" s="16">
        <v>46245</v>
      </c>
      <c r="D2866" s="79">
        <v>24.450000000000003</v>
      </c>
    </row>
    <row r="2867" spans="1:4" x14ac:dyDescent="0.3">
      <c r="A2867" s="88" t="s">
        <v>26</v>
      </c>
      <c r="B2867" s="88"/>
      <c r="C2867" s="16">
        <v>46245</v>
      </c>
      <c r="D2867" s="79">
        <v>2177.87</v>
      </c>
    </row>
    <row r="2868" spans="1:4" x14ac:dyDescent="0.3">
      <c r="A2868" s="88" t="s">
        <v>27</v>
      </c>
      <c r="B2868" s="88"/>
      <c r="C2868" s="16">
        <v>46245</v>
      </c>
      <c r="D2868" s="79">
        <v>1454589.72</v>
      </c>
    </row>
    <row r="2869" spans="1:4" x14ac:dyDescent="0.3">
      <c r="A2869" s="88" t="s">
        <v>28</v>
      </c>
      <c r="B2869" s="88"/>
      <c r="C2869" s="16">
        <v>46245</v>
      </c>
      <c r="D2869" s="79">
        <v>1968.99</v>
      </c>
    </row>
    <row r="2870" spans="1:4" x14ac:dyDescent="0.3">
      <c r="A2870" s="88" t="s">
        <v>29</v>
      </c>
      <c r="B2870" s="88"/>
      <c r="C2870" s="16">
        <v>46245</v>
      </c>
      <c r="D2870" s="79">
        <v>901.34</v>
      </c>
    </row>
    <row r="2871" spans="1:4" x14ac:dyDescent="0.3">
      <c r="A2871" s="88" t="s">
        <v>30</v>
      </c>
      <c r="B2871" s="88"/>
      <c r="C2871" s="16">
        <v>46245</v>
      </c>
      <c r="D2871" s="79">
        <v>1396.08</v>
      </c>
    </row>
    <row r="2872" spans="1:4" x14ac:dyDescent="0.3">
      <c r="A2872" s="88" t="s">
        <v>31</v>
      </c>
      <c r="B2872" s="88"/>
      <c r="C2872" s="16">
        <v>46245</v>
      </c>
      <c r="D2872" s="79">
        <v>3700.7099999999591</v>
      </c>
    </row>
    <row r="2873" spans="1:4" x14ac:dyDescent="0.3">
      <c r="A2873" s="88" t="s">
        <v>32</v>
      </c>
      <c r="B2873" s="88"/>
      <c r="C2873" s="16">
        <v>46245</v>
      </c>
      <c r="D2873" s="79">
        <v>8724.1700000000037</v>
      </c>
    </row>
    <row r="2874" spans="1:4" x14ac:dyDescent="0.3">
      <c r="A2874" s="88" t="s">
        <v>33</v>
      </c>
      <c r="B2874" s="88"/>
      <c r="C2874" s="16">
        <v>46245</v>
      </c>
      <c r="D2874" s="79">
        <v>19442.439999999995</v>
      </c>
    </row>
    <row r="2875" spans="1:4" x14ac:dyDescent="0.3">
      <c r="A2875" s="88" t="s">
        <v>34</v>
      </c>
      <c r="B2875" s="88"/>
      <c r="C2875" s="16">
        <v>46245</v>
      </c>
      <c r="D2875" s="79">
        <v>345</v>
      </c>
    </row>
    <row r="2876" spans="1:4" x14ac:dyDescent="0.3">
      <c r="A2876" s="88" t="s">
        <v>35</v>
      </c>
      <c r="B2876" s="88"/>
      <c r="C2876" s="16">
        <v>46245</v>
      </c>
      <c r="D2876" s="79">
        <v>12470.040000000003</v>
      </c>
    </row>
    <row r="2877" spans="1:4" x14ac:dyDescent="0.3">
      <c r="A2877" s="88" t="s">
        <v>193</v>
      </c>
      <c r="B2877" s="88"/>
      <c r="C2877" s="16">
        <v>46245</v>
      </c>
      <c r="D2877" s="79">
        <v>0</v>
      </c>
    </row>
    <row r="2878" spans="1:4" x14ac:dyDescent="0.3">
      <c r="A2878" s="88" t="s">
        <v>214</v>
      </c>
      <c r="B2878" s="88"/>
      <c r="C2878" s="16">
        <v>46245</v>
      </c>
      <c r="D2878" s="79">
        <v>0</v>
      </c>
    </row>
    <row r="2879" spans="1:4" x14ac:dyDescent="0.3">
      <c r="A2879" s="88" t="s">
        <v>194</v>
      </c>
      <c r="B2879" s="88"/>
      <c r="C2879" s="16">
        <v>46245</v>
      </c>
      <c r="D2879" s="79">
        <v>0</v>
      </c>
    </row>
    <row r="2880" spans="1:4" x14ac:dyDescent="0.3">
      <c r="A2880" s="88" t="s">
        <v>195</v>
      </c>
      <c r="B2880" s="88"/>
      <c r="C2880" s="16">
        <v>46245</v>
      </c>
      <c r="D2880" s="79">
        <v>0</v>
      </c>
    </row>
    <row r="2881" spans="1:4" x14ac:dyDescent="0.3">
      <c r="A2881" s="88" t="s">
        <v>196</v>
      </c>
      <c r="B2881" s="88"/>
      <c r="C2881" s="16">
        <v>46245</v>
      </c>
      <c r="D2881" s="79">
        <v>0</v>
      </c>
    </row>
    <row r="2882" spans="1:4" x14ac:dyDescent="0.3">
      <c r="A2882" s="88" t="s">
        <v>197</v>
      </c>
      <c r="B2882" s="88"/>
      <c r="C2882" s="16">
        <v>46245</v>
      </c>
      <c r="D2882" s="79">
        <v>0</v>
      </c>
    </row>
    <row r="2883" spans="1:4" x14ac:dyDescent="0.3">
      <c r="A2883" s="88" t="s">
        <v>212</v>
      </c>
      <c r="B2883" s="88"/>
      <c r="C2883" s="16">
        <v>46245</v>
      </c>
      <c r="D2883" s="79">
        <v>0</v>
      </c>
    </row>
    <row r="2884" spans="1:4" x14ac:dyDescent="0.3">
      <c r="A2884" s="88" t="s">
        <v>199</v>
      </c>
      <c r="B2884" s="88"/>
      <c r="C2884" s="16">
        <v>46245</v>
      </c>
      <c r="D2884" s="79">
        <v>0</v>
      </c>
    </row>
    <row r="2885" spans="1:4" x14ac:dyDescent="0.3">
      <c r="A2885" s="88" t="s">
        <v>217</v>
      </c>
      <c r="B2885" s="88"/>
      <c r="C2885" s="16">
        <v>46245</v>
      </c>
      <c r="D2885" s="79">
        <v>0</v>
      </c>
    </row>
    <row r="2886" spans="1:4" x14ac:dyDescent="0.3">
      <c r="A2886" s="88" t="s">
        <v>17</v>
      </c>
      <c r="B2886" s="88"/>
      <c r="C2886" s="16">
        <v>46246</v>
      </c>
      <c r="D2886" s="79">
        <v>1260076.9800000002</v>
      </c>
    </row>
    <row r="2887" spans="1:4" x14ac:dyDescent="0.3">
      <c r="A2887" s="88" t="s">
        <v>18</v>
      </c>
      <c r="B2887" s="88"/>
      <c r="C2887" s="16">
        <v>46246</v>
      </c>
      <c r="D2887" s="79">
        <v>83211.250000000175</v>
      </c>
    </row>
    <row r="2888" spans="1:4" x14ac:dyDescent="0.3">
      <c r="A2888" s="88" t="s">
        <v>19</v>
      </c>
      <c r="B2888" s="88"/>
      <c r="C2888" s="16">
        <v>46246</v>
      </c>
      <c r="D2888" s="79">
        <v>1669.89</v>
      </c>
    </row>
    <row r="2889" spans="1:4" x14ac:dyDescent="0.3">
      <c r="A2889" s="88" t="s">
        <v>20</v>
      </c>
      <c r="B2889" s="88"/>
      <c r="C2889" s="16">
        <v>46246</v>
      </c>
      <c r="D2889" s="79">
        <v>1349451.94</v>
      </c>
    </row>
    <row r="2890" spans="1:4" x14ac:dyDescent="0.3">
      <c r="A2890" s="88" t="s">
        <v>21</v>
      </c>
      <c r="B2890" s="88"/>
      <c r="C2890" s="16">
        <v>46246</v>
      </c>
      <c r="D2890" s="79">
        <v>1622914.8199999996</v>
      </c>
    </row>
    <row r="2891" spans="1:4" x14ac:dyDescent="0.3">
      <c r="A2891" s="88" t="s">
        <v>22</v>
      </c>
      <c r="B2891" s="88"/>
      <c r="C2891" s="16">
        <v>46246</v>
      </c>
      <c r="D2891" s="79">
        <v>731496.38</v>
      </c>
    </row>
    <row r="2892" spans="1:4" x14ac:dyDescent="0.3">
      <c r="A2892" s="88" t="s">
        <v>23</v>
      </c>
      <c r="B2892" s="88"/>
      <c r="C2892" s="16">
        <v>46246</v>
      </c>
      <c r="D2892" s="79">
        <v>277582.47000000003</v>
      </c>
    </row>
    <row r="2893" spans="1:4" x14ac:dyDescent="0.3">
      <c r="A2893" s="88" t="s">
        <v>24</v>
      </c>
      <c r="B2893" s="88"/>
      <c r="C2893" s="16">
        <v>46246</v>
      </c>
      <c r="D2893" s="79">
        <v>13270.02</v>
      </c>
    </row>
    <row r="2894" spans="1:4" x14ac:dyDescent="0.3">
      <c r="A2894" s="88" t="s">
        <v>25</v>
      </c>
      <c r="B2894" s="88"/>
      <c r="C2894" s="16">
        <v>46246</v>
      </c>
      <c r="D2894" s="79">
        <v>24.450000000000003</v>
      </c>
    </row>
    <row r="2895" spans="1:4" x14ac:dyDescent="0.3">
      <c r="A2895" s="88" t="s">
        <v>26</v>
      </c>
      <c r="B2895" s="88"/>
      <c r="C2895" s="16">
        <v>46246</v>
      </c>
      <c r="D2895" s="79">
        <v>2177.87</v>
      </c>
    </row>
    <row r="2896" spans="1:4" x14ac:dyDescent="0.3">
      <c r="A2896" s="88" t="s">
        <v>27</v>
      </c>
      <c r="B2896" s="88"/>
      <c r="C2896" s="16">
        <v>46246</v>
      </c>
      <c r="D2896" s="79">
        <v>754424.72</v>
      </c>
    </row>
    <row r="2897" spans="1:4" x14ac:dyDescent="0.3">
      <c r="A2897" s="88" t="s">
        <v>28</v>
      </c>
      <c r="B2897" s="88"/>
      <c r="C2897" s="16">
        <v>46246</v>
      </c>
      <c r="D2897" s="79">
        <v>1968.99</v>
      </c>
    </row>
    <row r="2898" spans="1:4" x14ac:dyDescent="0.3">
      <c r="A2898" s="88" t="s">
        <v>29</v>
      </c>
      <c r="B2898" s="88"/>
      <c r="C2898" s="16">
        <v>46246</v>
      </c>
      <c r="D2898" s="79">
        <v>901.34</v>
      </c>
    </row>
    <row r="2899" spans="1:4" x14ac:dyDescent="0.3">
      <c r="A2899" s="88" t="s">
        <v>30</v>
      </c>
      <c r="B2899" s="88"/>
      <c r="C2899" s="16">
        <v>46246</v>
      </c>
      <c r="D2899" s="79">
        <v>1396.08</v>
      </c>
    </row>
    <row r="2900" spans="1:4" x14ac:dyDescent="0.3">
      <c r="A2900" s="88" t="s">
        <v>31</v>
      </c>
      <c r="B2900" s="88"/>
      <c r="C2900" s="16">
        <v>46246</v>
      </c>
      <c r="D2900" s="79">
        <v>3700.7099999999591</v>
      </c>
    </row>
    <row r="2901" spans="1:4" x14ac:dyDescent="0.3">
      <c r="A2901" s="88" t="s">
        <v>32</v>
      </c>
      <c r="B2901" s="88"/>
      <c r="C2901" s="16">
        <v>46246</v>
      </c>
      <c r="D2901" s="79">
        <v>8724.1700000000037</v>
      </c>
    </row>
    <row r="2902" spans="1:4" x14ac:dyDescent="0.3">
      <c r="A2902" s="88" t="s">
        <v>33</v>
      </c>
      <c r="B2902" s="88"/>
      <c r="C2902" s="16">
        <v>46246</v>
      </c>
      <c r="D2902" s="79">
        <v>19336.039999999997</v>
      </c>
    </row>
    <row r="2903" spans="1:4" x14ac:dyDescent="0.3">
      <c r="A2903" s="88" t="s">
        <v>34</v>
      </c>
      <c r="B2903" s="88"/>
      <c r="C2903" s="16">
        <v>46246</v>
      </c>
      <c r="D2903" s="79">
        <v>345</v>
      </c>
    </row>
    <row r="2904" spans="1:4" x14ac:dyDescent="0.3">
      <c r="A2904" s="88" t="s">
        <v>35</v>
      </c>
      <c r="B2904" s="88"/>
      <c r="C2904" s="16">
        <v>46246</v>
      </c>
      <c r="D2904" s="79">
        <v>12470.040000000003</v>
      </c>
    </row>
    <row r="2905" spans="1:4" x14ac:dyDescent="0.3">
      <c r="A2905" s="88" t="s">
        <v>193</v>
      </c>
      <c r="B2905" s="88"/>
      <c r="C2905" s="16">
        <v>46246</v>
      </c>
      <c r="D2905" s="79">
        <v>0</v>
      </c>
    </row>
    <row r="2906" spans="1:4" x14ac:dyDescent="0.3">
      <c r="A2906" s="88" t="s">
        <v>214</v>
      </c>
      <c r="B2906" s="88"/>
      <c r="C2906" s="16">
        <v>46246</v>
      </c>
      <c r="D2906" s="79">
        <v>0</v>
      </c>
    </row>
    <row r="2907" spans="1:4" x14ac:dyDescent="0.3">
      <c r="A2907" s="88" t="s">
        <v>194</v>
      </c>
      <c r="B2907" s="88"/>
      <c r="C2907" s="16">
        <v>46246</v>
      </c>
      <c r="D2907" s="79">
        <v>0</v>
      </c>
    </row>
    <row r="2908" spans="1:4" x14ac:dyDescent="0.3">
      <c r="A2908" s="88" t="s">
        <v>195</v>
      </c>
      <c r="B2908" s="88"/>
      <c r="C2908" s="16">
        <v>46246</v>
      </c>
      <c r="D2908" s="79">
        <v>0</v>
      </c>
    </row>
    <row r="2909" spans="1:4" x14ac:dyDescent="0.3">
      <c r="A2909" s="88" t="s">
        <v>196</v>
      </c>
      <c r="B2909" s="88"/>
      <c r="C2909" s="16">
        <v>46246</v>
      </c>
      <c r="D2909" s="79">
        <v>0</v>
      </c>
    </row>
    <row r="2910" spans="1:4" x14ac:dyDescent="0.3">
      <c r="A2910" s="88" t="s">
        <v>197</v>
      </c>
      <c r="B2910" s="88"/>
      <c r="C2910" s="16">
        <v>46246</v>
      </c>
      <c r="D2910" s="79">
        <v>0</v>
      </c>
    </row>
    <row r="2911" spans="1:4" x14ac:dyDescent="0.3">
      <c r="A2911" s="88" t="s">
        <v>212</v>
      </c>
      <c r="B2911" s="88"/>
      <c r="C2911" s="16">
        <v>46246</v>
      </c>
      <c r="D2911" s="79">
        <v>0</v>
      </c>
    </row>
    <row r="2912" spans="1:4" x14ac:dyDescent="0.3">
      <c r="A2912" s="88" t="s">
        <v>199</v>
      </c>
      <c r="B2912" s="88"/>
      <c r="C2912" s="16">
        <v>46246</v>
      </c>
      <c r="D2912" s="79">
        <v>0</v>
      </c>
    </row>
    <row r="2913" spans="1:4" x14ac:dyDescent="0.3">
      <c r="A2913" s="88" t="s">
        <v>217</v>
      </c>
      <c r="B2913" s="88"/>
      <c r="C2913" s="16">
        <v>46246</v>
      </c>
      <c r="D2913" s="79">
        <v>0</v>
      </c>
    </row>
    <row r="2914" spans="1:4" x14ac:dyDescent="0.3">
      <c r="A2914" s="88" t="s">
        <v>17</v>
      </c>
      <c r="B2914" s="88"/>
      <c r="C2914" s="16">
        <v>46247</v>
      </c>
      <c r="D2914" s="79">
        <v>1041223.5800000004</v>
      </c>
    </row>
    <row r="2915" spans="1:4" x14ac:dyDescent="0.3">
      <c r="A2915" s="88" t="s">
        <v>18</v>
      </c>
      <c r="B2915" s="88"/>
      <c r="C2915" s="16">
        <v>46247</v>
      </c>
      <c r="D2915" s="79">
        <v>83211.250000000175</v>
      </c>
    </row>
    <row r="2916" spans="1:4" x14ac:dyDescent="0.3">
      <c r="A2916" s="88" t="s">
        <v>19</v>
      </c>
      <c r="B2916" s="88"/>
      <c r="C2916" s="16">
        <v>46247</v>
      </c>
      <c r="D2916" s="79">
        <v>1669.89</v>
      </c>
    </row>
    <row r="2917" spans="1:4" x14ac:dyDescent="0.3">
      <c r="A2917" s="88" t="s">
        <v>20</v>
      </c>
      <c r="B2917" s="88"/>
      <c r="C2917" s="16">
        <v>46247</v>
      </c>
      <c r="D2917" s="79">
        <v>1289451.94</v>
      </c>
    </row>
    <row r="2918" spans="1:4" x14ac:dyDescent="0.3">
      <c r="A2918" s="88" t="s">
        <v>21</v>
      </c>
      <c r="B2918" s="88"/>
      <c r="C2918" s="16">
        <v>46247</v>
      </c>
      <c r="D2918" s="79">
        <v>1418808.6399999997</v>
      </c>
    </row>
    <row r="2919" spans="1:4" x14ac:dyDescent="0.3">
      <c r="A2919" s="88" t="s">
        <v>22</v>
      </c>
      <c r="B2919" s="88"/>
      <c r="C2919" s="16">
        <v>46247</v>
      </c>
      <c r="D2919" s="79">
        <v>221496.38</v>
      </c>
    </row>
    <row r="2920" spans="1:4" x14ac:dyDescent="0.3">
      <c r="A2920" s="88" t="s">
        <v>23</v>
      </c>
      <c r="B2920" s="88"/>
      <c r="C2920" s="16">
        <v>46247</v>
      </c>
      <c r="D2920" s="79">
        <v>277582.47000000003</v>
      </c>
    </row>
    <row r="2921" spans="1:4" x14ac:dyDescent="0.3">
      <c r="A2921" s="88" t="s">
        <v>24</v>
      </c>
      <c r="B2921" s="88"/>
      <c r="C2921" s="16">
        <v>46247</v>
      </c>
      <c r="D2921" s="79">
        <v>13270.02</v>
      </c>
    </row>
    <row r="2922" spans="1:4" x14ac:dyDescent="0.3">
      <c r="A2922" s="88" t="s">
        <v>25</v>
      </c>
      <c r="B2922" s="88"/>
      <c r="C2922" s="16">
        <v>46247</v>
      </c>
      <c r="D2922" s="79">
        <v>24.450000000000003</v>
      </c>
    </row>
    <row r="2923" spans="1:4" x14ac:dyDescent="0.3">
      <c r="A2923" s="88" t="s">
        <v>26</v>
      </c>
      <c r="B2923" s="88"/>
      <c r="C2923" s="16">
        <v>46247</v>
      </c>
      <c r="D2923" s="79">
        <v>2177.87</v>
      </c>
    </row>
    <row r="2924" spans="1:4" x14ac:dyDescent="0.3">
      <c r="A2924" s="88" t="s">
        <v>27</v>
      </c>
      <c r="B2924" s="88"/>
      <c r="C2924" s="16">
        <v>46247</v>
      </c>
      <c r="D2924" s="79">
        <v>754424.72</v>
      </c>
    </row>
    <row r="2925" spans="1:4" x14ac:dyDescent="0.3">
      <c r="A2925" s="88" t="s">
        <v>28</v>
      </c>
      <c r="B2925" s="88"/>
      <c r="C2925" s="16">
        <v>46247</v>
      </c>
      <c r="D2925" s="79">
        <v>1968.99</v>
      </c>
    </row>
    <row r="2926" spans="1:4" x14ac:dyDescent="0.3">
      <c r="A2926" s="88" t="s">
        <v>29</v>
      </c>
      <c r="B2926" s="88"/>
      <c r="C2926" s="16">
        <v>46247</v>
      </c>
      <c r="D2926" s="79">
        <v>901.34</v>
      </c>
    </row>
    <row r="2927" spans="1:4" x14ac:dyDescent="0.3">
      <c r="A2927" s="88" t="s">
        <v>30</v>
      </c>
      <c r="B2927" s="88"/>
      <c r="C2927" s="16">
        <v>46247</v>
      </c>
      <c r="D2927" s="79">
        <v>1396.08</v>
      </c>
    </row>
    <row r="2928" spans="1:4" x14ac:dyDescent="0.3">
      <c r="A2928" s="88" t="s">
        <v>31</v>
      </c>
      <c r="B2928" s="88"/>
      <c r="C2928" s="16">
        <v>46247</v>
      </c>
      <c r="D2928" s="79">
        <v>13700.709999999959</v>
      </c>
    </row>
    <row r="2929" spans="1:4" x14ac:dyDescent="0.3">
      <c r="A2929" s="88" t="s">
        <v>32</v>
      </c>
      <c r="B2929" s="88"/>
      <c r="C2929" s="16">
        <v>46247</v>
      </c>
      <c r="D2929" s="79">
        <v>8724.1700000000037</v>
      </c>
    </row>
    <row r="2930" spans="1:4" x14ac:dyDescent="0.3">
      <c r="A2930" s="88" t="s">
        <v>33</v>
      </c>
      <c r="B2930" s="88"/>
      <c r="C2930" s="16">
        <v>46247</v>
      </c>
      <c r="D2930" s="79">
        <v>19336.039999999997</v>
      </c>
    </row>
    <row r="2931" spans="1:4" x14ac:dyDescent="0.3">
      <c r="A2931" s="88" t="s">
        <v>34</v>
      </c>
      <c r="B2931" s="88"/>
      <c r="C2931" s="16">
        <v>46247</v>
      </c>
      <c r="D2931" s="79">
        <v>345</v>
      </c>
    </row>
    <row r="2932" spans="1:4" x14ac:dyDescent="0.3">
      <c r="A2932" s="88" t="s">
        <v>35</v>
      </c>
      <c r="B2932" s="88"/>
      <c r="C2932" s="16">
        <v>46247</v>
      </c>
      <c r="D2932" s="79">
        <v>14740.900000000001</v>
      </c>
    </row>
    <row r="2933" spans="1:4" x14ac:dyDescent="0.3">
      <c r="A2933" s="88" t="s">
        <v>193</v>
      </c>
      <c r="B2933" s="88"/>
      <c r="C2933" s="16">
        <v>46247</v>
      </c>
      <c r="D2933" s="79">
        <v>0</v>
      </c>
    </row>
    <row r="2934" spans="1:4" x14ac:dyDescent="0.3">
      <c r="A2934" s="88" t="s">
        <v>214</v>
      </c>
      <c r="B2934" s="88"/>
      <c r="C2934" s="16">
        <v>46247</v>
      </c>
      <c r="D2934" s="79">
        <v>0</v>
      </c>
    </row>
    <row r="2935" spans="1:4" x14ac:dyDescent="0.3">
      <c r="A2935" s="88" t="s">
        <v>194</v>
      </c>
      <c r="B2935" s="88"/>
      <c r="C2935" s="16">
        <v>46247</v>
      </c>
      <c r="D2935" s="79">
        <v>0</v>
      </c>
    </row>
    <row r="2936" spans="1:4" x14ac:dyDescent="0.3">
      <c r="A2936" s="88" t="s">
        <v>195</v>
      </c>
      <c r="B2936" s="88"/>
      <c r="C2936" s="16">
        <v>46247</v>
      </c>
      <c r="D2936" s="79">
        <v>0</v>
      </c>
    </row>
    <row r="2937" spans="1:4" x14ac:dyDescent="0.3">
      <c r="A2937" s="88" t="s">
        <v>196</v>
      </c>
      <c r="B2937" s="88"/>
      <c r="C2937" s="16">
        <v>46247</v>
      </c>
      <c r="D2937" s="79">
        <v>0</v>
      </c>
    </row>
    <row r="2938" spans="1:4" x14ac:dyDescent="0.3">
      <c r="A2938" s="88" t="s">
        <v>197</v>
      </c>
      <c r="B2938" s="88"/>
      <c r="C2938" s="16">
        <v>46247</v>
      </c>
      <c r="D2938" s="79">
        <v>0</v>
      </c>
    </row>
    <row r="2939" spans="1:4" x14ac:dyDescent="0.3">
      <c r="A2939" s="88" t="s">
        <v>212</v>
      </c>
      <c r="B2939" s="88"/>
      <c r="C2939" s="16">
        <v>46247</v>
      </c>
      <c r="D2939" s="79">
        <v>0</v>
      </c>
    </row>
    <row r="2940" spans="1:4" x14ac:dyDescent="0.3">
      <c r="A2940" s="88" t="s">
        <v>199</v>
      </c>
      <c r="B2940" s="88"/>
      <c r="C2940" s="16">
        <v>46247</v>
      </c>
      <c r="D2940" s="79">
        <v>0</v>
      </c>
    </row>
    <row r="2941" spans="1:4" x14ac:dyDescent="0.3">
      <c r="A2941" s="88" t="s">
        <v>217</v>
      </c>
      <c r="B2941" s="88"/>
      <c r="C2941" s="16">
        <v>46247</v>
      </c>
      <c r="D2941" s="79">
        <v>0</v>
      </c>
    </row>
    <row r="2942" spans="1:4" x14ac:dyDescent="0.3">
      <c r="A2942" s="88" t="s">
        <v>17</v>
      </c>
      <c r="B2942" s="88"/>
      <c r="C2942" s="16">
        <v>46248</v>
      </c>
      <c r="D2942" s="79">
        <v>941223.58000000042</v>
      </c>
    </row>
    <row r="2943" spans="1:4" x14ac:dyDescent="0.3">
      <c r="A2943" s="88" t="s">
        <v>18</v>
      </c>
      <c r="B2943" s="88"/>
      <c r="C2943" s="16">
        <v>46248</v>
      </c>
      <c r="D2943" s="79">
        <v>83211.250000000175</v>
      </c>
    </row>
    <row r="2944" spans="1:4" x14ac:dyDescent="0.3">
      <c r="A2944" s="88" t="s">
        <v>19</v>
      </c>
      <c r="B2944" s="88"/>
      <c r="C2944" s="16">
        <v>46248</v>
      </c>
      <c r="D2944" s="79">
        <v>1669.89</v>
      </c>
    </row>
    <row r="2945" spans="1:4" x14ac:dyDescent="0.3">
      <c r="A2945" s="88" t="s">
        <v>20</v>
      </c>
      <c r="B2945" s="88"/>
      <c r="C2945" s="16">
        <v>46248</v>
      </c>
      <c r="D2945" s="79">
        <v>1289451.94</v>
      </c>
    </row>
    <row r="2946" spans="1:4" x14ac:dyDescent="0.3">
      <c r="A2946" s="88" t="s">
        <v>21</v>
      </c>
      <c r="B2946" s="88"/>
      <c r="C2946" s="16">
        <v>46248</v>
      </c>
      <c r="D2946" s="79">
        <v>1418808.6399999997</v>
      </c>
    </row>
    <row r="2947" spans="1:4" x14ac:dyDescent="0.3">
      <c r="A2947" s="88" t="s">
        <v>22</v>
      </c>
      <c r="B2947" s="88"/>
      <c r="C2947" s="16">
        <v>46248</v>
      </c>
      <c r="D2947" s="79">
        <v>221496.38</v>
      </c>
    </row>
    <row r="2948" spans="1:4" x14ac:dyDescent="0.3">
      <c r="A2948" s="88" t="s">
        <v>23</v>
      </c>
      <c r="B2948" s="88"/>
      <c r="C2948" s="16">
        <v>46248</v>
      </c>
      <c r="D2948" s="79">
        <v>277586.34000000003</v>
      </c>
    </row>
    <row r="2949" spans="1:4" x14ac:dyDescent="0.3">
      <c r="A2949" s="88" t="s">
        <v>24</v>
      </c>
      <c r="B2949" s="88"/>
      <c r="C2949" s="16">
        <v>46248</v>
      </c>
      <c r="D2949" s="79">
        <v>13270.02</v>
      </c>
    </row>
    <row r="2950" spans="1:4" x14ac:dyDescent="0.3">
      <c r="A2950" s="88" t="s">
        <v>25</v>
      </c>
      <c r="B2950" s="88"/>
      <c r="C2950" s="16">
        <v>46248</v>
      </c>
      <c r="D2950" s="79">
        <v>24.450000000000003</v>
      </c>
    </row>
    <row r="2951" spans="1:4" x14ac:dyDescent="0.3">
      <c r="A2951" s="88" t="s">
        <v>26</v>
      </c>
      <c r="B2951" s="88"/>
      <c r="C2951" s="16">
        <v>46248</v>
      </c>
      <c r="D2951" s="79">
        <v>2177.87</v>
      </c>
    </row>
    <row r="2952" spans="1:4" x14ac:dyDescent="0.3">
      <c r="A2952" s="88" t="s">
        <v>27</v>
      </c>
      <c r="B2952" s="88"/>
      <c r="C2952" s="16">
        <v>46248</v>
      </c>
      <c r="D2952" s="79">
        <v>754424.72</v>
      </c>
    </row>
    <row r="2953" spans="1:4" x14ac:dyDescent="0.3">
      <c r="A2953" s="88" t="s">
        <v>28</v>
      </c>
      <c r="B2953" s="88"/>
      <c r="C2953" s="16">
        <v>46248</v>
      </c>
      <c r="D2953" s="79">
        <v>1968.99</v>
      </c>
    </row>
    <row r="2954" spans="1:4" x14ac:dyDescent="0.3">
      <c r="A2954" s="88" t="s">
        <v>29</v>
      </c>
      <c r="B2954" s="88"/>
      <c r="C2954" s="16">
        <v>46248</v>
      </c>
      <c r="D2954" s="79">
        <v>901.34</v>
      </c>
    </row>
    <row r="2955" spans="1:4" x14ac:dyDescent="0.3">
      <c r="A2955" s="88" t="s">
        <v>30</v>
      </c>
      <c r="B2955" s="88"/>
      <c r="C2955" s="16">
        <v>46248</v>
      </c>
      <c r="D2955" s="79">
        <v>1396.08</v>
      </c>
    </row>
    <row r="2956" spans="1:4" x14ac:dyDescent="0.3">
      <c r="A2956" s="88" t="s">
        <v>31</v>
      </c>
      <c r="B2956" s="88"/>
      <c r="C2956" s="16">
        <v>46248</v>
      </c>
      <c r="D2956" s="79">
        <v>13685.709999999959</v>
      </c>
    </row>
    <row r="2957" spans="1:4" x14ac:dyDescent="0.3">
      <c r="A2957" s="88" t="s">
        <v>32</v>
      </c>
      <c r="B2957" s="88"/>
      <c r="C2957" s="16">
        <v>46248</v>
      </c>
      <c r="D2957" s="79">
        <v>8724.1700000000037</v>
      </c>
    </row>
    <row r="2958" spans="1:4" x14ac:dyDescent="0.3">
      <c r="A2958" s="88" t="s">
        <v>33</v>
      </c>
      <c r="B2958" s="88"/>
      <c r="C2958" s="16">
        <v>46248</v>
      </c>
      <c r="D2958" s="79">
        <v>19336.039999999997</v>
      </c>
    </row>
    <row r="2959" spans="1:4" x14ac:dyDescent="0.3">
      <c r="A2959" s="88" t="s">
        <v>34</v>
      </c>
      <c r="B2959" s="88"/>
      <c r="C2959" s="16">
        <v>46248</v>
      </c>
      <c r="D2959" s="79">
        <v>345</v>
      </c>
    </row>
    <row r="2960" spans="1:4" x14ac:dyDescent="0.3">
      <c r="A2960" s="88" t="s">
        <v>35</v>
      </c>
      <c r="B2960" s="88"/>
      <c r="C2960" s="16">
        <v>46248</v>
      </c>
      <c r="D2960" s="79">
        <v>14740.900000000001</v>
      </c>
    </row>
    <row r="2961" spans="1:4" x14ac:dyDescent="0.3">
      <c r="A2961" s="88" t="s">
        <v>193</v>
      </c>
      <c r="B2961" s="88"/>
      <c r="C2961" s="16">
        <v>46248</v>
      </c>
      <c r="D2961" s="79">
        <v>0</v>
      </c>
    </row>
    <row r="2962" spans="1:4" x14ac:dyDescent="0.3">
      <c r="A2962" s="88" t="s">
        <v>214</v>
      </c>
      <c r="B2962" s="88"/>
      <c r="C2962" s="16">
        <v>46248</v>
      </c>
      <c r="D2962" s="79">
        <v>0</v>
      </c>
    </row>
    <row r="2963" spans="1:4" x14ac:dyDescent="0.3">
      <c r="A2963" s="88" t="s">
        <v>194</v>
      </c>
      <c r="B2963" s="88"/>
      <c r="C2963" s="16">
        <v>46248</v>
      </c>
      <c r="D2963" s="79">
        <v>0</v>
      </c>
    </row>
    <row r="2964" spans="1:4" x14ac:dyDescent="0.3">
      <c r="A2964" s="88" t="s">
        <v>195</v>
      </c>
      <c r="B2964" s="88"/>
      <c r="C2964" s="16">
        <v>46248</v>
      </c>
      <c r="D2964" s="79">
        <v>0</v>
      </c>
    </row>
    <row r="2965" spans="1:4" x14ac:dyDescent="0.3">
      <c r="A2965" s="88" t="s">
        <v>196</v>
      </c>
      <c r="B2965" s="88"/>
      <c r="C2965" s="16">
        <v>46248</v>
      </c>
      <c r="D2965" s="79">
        <v>0</v>
      </c>
    </row>
    <row r="2966" spans="1:4" x14ac:dyDescent="0.3">
      <c r="A2966" s="88" t="s">
        <v>197</v>
      </c>
      <c r="B2966" s="88"/>
      <c r="C2966" s="16">
        <v>46248</v>
      </c>
      <c r="D2966" s="79">
        <v>0</v>
      </c>
    </row>
    <row r="2967" spans="1:4" x14ac:dyDescent="0.3">
      <c r="A2967" s="88" t="s">
        <v>212</v>
      </c>
      <c r="B2967" s="88"/>
      <c r="C2967" s="16">
        <v>46248</v>
      </c>
      <c r="D2967" s="79">
        <v>0</v>
      </c>
    </row>
    <row r="2968" spans="1:4" x14ac:dyDescent="0.3">
      <c r="A2968" s="88" t="s">
        <v>199</v>
      </c>
      <c r="B2968" s="88"/>
      <c r="C2968" s="16">
        <v>46248</v>
      </c>
      <c r="D2968" s="79">
        <v>0</v>
      </c>
    </row>
    <row r="2969" spans="1:4" x14ac:dyDescent="0.3">
      <c r="A2969" s="88" t="s">
        <v>217</v>
      </c>
      <c r="B2969" s="88"/>
      <c r="C2969" s="16">
        <v>46248</v>
      </c>
      <c r="D2969" s="79">
        <v>0</v>
      </c>
    </row>
    <row r="2970" spans="1:4" x14ac:dyDescent="0.3">
      <c r="A2970" s="88" t="s">
        <v>17</v>
      </c>
      <c r="B2970" s="88"/>
      <c r="C2970" s="16">
        <v>46249</v>
      </c>
      <c r="D2970" s="79">
        <v>941223.58000000042</v>
      </c>
    </row>
    <row r="2971" spans="1:4" x14ac:dyDescent="0.3">
      <c r="A2971" s="88" t="s">
        <v>18</v>
      </c>
      <c r="B2971" s="88"/>
      <c r="C2971" s="16">
        <v>46249</v>
      </c>
      <c r="D2971" s="79">
        <v>83211.250000000175</v>
      </c>
    </row>
    <row r="2972" spans="1:4" x14ac:dyDescent="0.3">
      <c r="A2972" s="88" t="s">
        <v>19</v>
      </c>
      <c r="B2972" s="88"/>
      <c r="C2972" s="16">
        <v>46249</v>
      </c>
      <c r="D2972" s="79">
        <v>1669.89</v>
      </c>
    </row>
    <row r="2973" spans="1:4" x14ac:dyDescent="0.3">
      <c r="A2973" s="88" t="s">
        <v>20</v>
      </c>
      <c r="B2973" s="88"/>
      <c r="C2973" s="16">
        <v>46249</v>
      </c>
      <c r="D2973" s="79">
        <v>1289451.94</v>
      </c>
    </row>
    <row r="2974" spans="1:4" x14ac:dyDescent="0.3">
      <c r="A2974" s="88" t="s">
        <v>21</v>
      </c>
      <c r="B2974" s="88"/>
      <c r="C2974" s="16">
        <v>46249</v>
      </c>
      <c r="D2974" s="79">
        <v>1418808.6399999997</v>
      </c>
    </row>
    <row r="2975" spans="1:4" x14ac:dyDescent="0.3">
      <c r="A2975" s="88" t="s">
        <v>22</v>
      </c>
      <c r="B2975" s="88"/>
      <c r="C2975" s="16">
        <v>46249</v>
      </c>
      <c r="D2975" s="79">
        <v>221496.38</v>
      </c>
    </row>
    <row r="2976" spans="1:4" x14ac:dyDescent="0.3">
      <c r="A2976" s="88" t="s">
        <v>23</v>
      </c>
      <c r="B2976" s="88"/>
      <c r="C2976" s="16">
        <v>46249</v>
      </c>
      <c r="D2976" s="79">
        <v>277586.34000000003</v>
      </c>
    </row>
    <row r="2977" spans="1:4" x14ac:dyDescent="0.3">
      <c r="A2977" s="88" t="s">
        <v>24</v>
      </c>
      <c r="B2977" s="88"/>
      <c r="C2977" s="16">
        <v>46249</v>
      </c>
      <c r="D2977" s="79">
        <v>13270.02</v>
      </c>
    </row>
    <row r="2978" spans="1:4" x14ac:dyDescent="0.3">
      <c r="A2978" s="88" t="s">
        <v>25</v>
      </c>
      <c r="B2978" s="88"/>
      <c r="C2978" s="16">
        <v>46249</v>
      </c>
      <c r="D2978" s="79">
        <v>24.450000000000003</v>
      </c>
    </row>
    <row r="2979" spans="1:4" x14ac:dyDescent="0.3">
      <c r="A2979" s="88" t="s">
        <v>26</v>
      </c>
      <c r="B2979" s="88"/>
      <c r="C2979" s="16">
        <v>46249</v>
      </c>
      <c r="D2979" s="79">
        <v>2177.87</v>
      </c>
    </row>
    <row r="2980" spans="1:4" x14ac:dyDescent="0.3">
      <c r="A2980" s="88" t="s">
        <v>27</v>
      </c>
      <c r="B2980" s="88"/>
      <c r="C2980" s="16">
        <v>46249</v>
      </c>
      <c r="D2980" s="79">
        <v>754424.72</v>
      </c>
    </row>
    <row r="2981" spans="1:4" x14ac:dyDescent="0.3">
      <c r="A2981" s="88" t="s">
        <v>28</v>
      </c>
      <c r="B2981" s="88"/>
      <c r="C2981" s="16">
        <v>46249</v>
      </c>
      <c r="D2981" s="79">
        <v>1968.99</v>
      </c>
    </row>
    <row r="2982" spans="1:4" x14ac:dyDescent="0.3">
      <c r="A2982" s="88" t="s">
        <v>29</v>
      </c>
      <c r="B2982" s="88"/>
      <c r="C2982" s="16">
        <v>46249</v>
      </c>
      <c r="D2982" s="79">
        <v>901.34</v>
      </c>
    </row>
    <row r="2983" spans="1:4" x14ac:dyDescent="0.3">
      <c r="A2983" s="88" t="s">
        <v>30</v>
      </c>
      <c r="B2983" s="88"/>
      <c r="C2983" s="16">
        <v>46249</v>
      </c>
      <c r="D2983" s="79">
        <v>1396.08</v>
      </c>
    </row>
    <row r="2984" spans="1:4" x14ac:dyDescent="0.3">
      <c r="A2984" s="88" t="s">
        <v>31</v>
      </c>
      <c r="B2984" s="88"/>
      <c r="C2984" s="16">
        <v>46249</v>
      </c>
      <c r="D2984" s="79">
        <v>13685.709999999959</v>
      </c>
    </row>
    <row r="2985" spans="1:4" x14ac:dyDescent="0.3">
      <c r="A2985" s="88" t="s">
        <v>32</v>
      </c>
      <c r="B2985" s="88"/>
      <c r="C2985" s="16">
        <v>46249</v>
      </c>
      <c r="D2985" s="79">
        <v>8724.1700000000037</v>
      </c>
    </row>
    <row r="2986" spans="1:4" x14ac:dyDescent="0.3">
      <c r="A2986" s="88" t="s">
        <v>33</v>
      </c>
      <c r="B2986" s="88"/>
      <c r="C2986" s="16">
        <v>46249</v>
      </c>
      <c r="D2986" s="79">
        <v>19336.039999999997</v>
      </c>
    </row>
    <row r="2987" spans="1:4" x14ac:dyDescent="0.3">
      <c r="A2987" s="88" t="s">
        <v>34</v>
      </c>
      <c r="B2987" s="88"/>
      <c r="C2987" s="16">
        <v>46249</v>
      </c>
      <c r="D2987" s="79">
        <v>345</v>
      </c>
    </row>
    <row r="2988" spans="1:4" x14ac:dyDescent="0.3">
      <c r="A2988" s="88" t="s">
        <v>35</v>
      </c>
      <c r="B2988" s="88"/>
      <c r="C2988" s="16">
        <v>46249</v>
      </c>
      <c r="D2988" s="79">
        <v>14740.900000000001</v>
      </c>
    </row>
    <row r="2989" spans="1:4" x14ac:dyDescent="0.3">
      <c r="A2989" s="88" t="s">
        <v>193</v>
      </c>
      <c r="B2989" s="88"/>
      <c r="C2989" s="16">
        <v>46249</v>
      </c>
      <c r="D2989" s="79">
        <v>0</v>
      </c>
    </row>
    <row r="2990" spans="1:4" x14ac:dyDescent="0.3">
      <c r="A2990" s="88" t="s">
        <v>214</v>
      </c>
      <c r="B2990" s="88"/>
      <c r="C2990" s="16">
        <v>46249</v>
      </c>
      <c r="D2990" s="79">
        <v>0</v>
      </c>
    </row>
    <row r="2991" spans="1:4" x14ac:dyDescent="0.3">
      <c r="A2991" s="88" t="s">
        <v>194</v>
      </c>
      <c r="B2991" s="88"/>
      <c r="C2991" s="16">
        <v>46249</v>
      </c>
      <c r="D2991" s="79">
        <v>0</v>
      </c>
    </row>
    <row r="2992" spans="1:4" x14ac:dyDescent="0.3">
      <c r="A2992" s="88" t="s">
        <v>195</v>
      </c>
      <c r="B2992" s="88"/>
      <c r="C2992" s="16">
        <v>46249</v>
      </c>
      <c r="D2992" s="79">
        <v>0</v>
      </c>
    </row>
    <row r="2993" spans="1:4" x14ac:dyDescent="0.3">
      <c r="A2993" s="88" t="s">
        <v>196</v>
      </c>
      <c r="B2993" s="88"/>
      <c r="C2993" s="16">
        <v>46249</v>
      </c>
      <c r="D2993" s="79">
        <v>0</v>
      </c>
    </row>
    <row r="2994" spans="1:4" x14ac:dyDescent="0.3">
      <c r="A2994" s="88" t="s">
        <v>197</v>
      </c>
      <c r="B2994" s="88"/>
      <c r="C2994" s="16">
        <v>46249</v>
      </c>
      <c r="D2994" s="79">
        <v>0</v>
      </c>
    </row>
    <row r="2995" spans="1:4" x14ac:dyDescent="0.3">
      <c r="A2995" s="88" t="s">
        <v>212</v>
      </c>
      <c r="B2995" s="88"/>
      <c r="C2995" s="16">
        <v>46249</v>
      </c>
      <c r="D2995" s="79">
        <v>0</v>
      </c>
    </row>
    <row r="2996" spans="1:4" x14ac:dyDescent="0.3">
      <c r="A2996" s="88" t="s">
        <v>199</v>
      </c>
      <c r="B2996" s="88"/>
      <c r="C2996" s="16">
        <v>46249</v>
      </c>
      <c r="D2996" s="79">
        <v>0</v>
      </c>
    </row>
    <row r="2997" spans="1:4" x14ac:dyDescent="0.3">
      <c r="A2997" s="88" t="s">
        <v>217</v>
      </c>
      <c r="B2997" s="88"/>
      <c r="C2997" s="16">
        <v>46249</v>
      </c>
      <c r="D2997" s="79">
        <v>0</v>
      </c>
    </row>
    <row r="2998" spans="1:4" x14ac:dyDescent="0.3">
      <c r="A2998" s="88" t="s">
        <v>17</v>
      </c>
      <c r="B2998" s="88"/>
      <c r="C2998" s="16">
        <v>46250</v>
      </c>
      <c r="D2998" s="79">
        <v>941223.58000000042</v>
      </c>
    </row>
    <row r="2999" spans="1:4" x14ac:dyDescent="0.3">
      <c r="A2999" s="88" t="s">
        <v>18</v>
      </c>
      <c r="B2999" s="88"/>
      <c r="C2999" s="16">
        <v>46250</v>
      </c>
      <c r="D2999" s="79">
        <v>83211.250000000175</v>
      </c>
    </row>
    <row r="3000" spans="1:4" x14ac:dyDescent="0.3">
      <c r="A3000" s="88" t="s">
        <v>19</v>
      </c>
      <c r="B3000" s="88"/>
      <c r="C3000" s="16">
        <v>46250</v>
      </c>
      <c r="D3000" s="79">
        <v>1669.89</v>
      </c>
    </row>
    <row r="3001" spans="1:4" x14ac:dyDescent="0.3">
      <c r="A3001" s="88" t="s">
        <v>20</v>
      </c>
      <c r="B3001" s="88"/>
      <c r="C3001" s="16">
        <v>46250</v>
      </c>
      <c r="D3001" s="79">
        <v>1289451.94</v>
      </c>
    </row>
    <row r="3002" spans="1:4" x14ac:dyDescent="0.3">
      <c r="A3002" s="88" t="s">
        <v>21</v>
      </c>
      <c r="B3002" s="88"/>
      <c r="C3002" s="16">
        <v>46250</v>
      </c>
      <c r="D3002" s="79">
        <v>1418808.6399999997</v>
      </c>
    </row>
    <row r="3003" spans="1:4" x14ac:dyDescent="0.3">
      <c r="A3003" s="88" t="s">
        <v>22</v>
      </c>
      <c r="B3003" s="88"/>
      <c r="C3003" s="16">
        <v>46250</v>
      </c>
      <c r="D3003" s="79">
        <v>221496.38</v>
      </c>
    </row>
    <row r="3004" spans="1:4" x14ac:dyDescent="0.3">
      <c r="A3004" s="88" t="s">
        <v>23</v>
      </c>
      <c r="B3004" s="88"/>
      <c r="C3004" s="16">
        <v>46250</v>
      </c>
      <c r="D3004" s="79">
        <v>277586.34000000003</v>
      </c>
    </row>
    <row r="3005" spans="1:4" x14ac:dyDescent="0.3">
      <c r="A3005" s="88" t="s">
        <v>24</v>
      </c>
      <c r="B3005" s="88"/>
      <c r="C3005" s="16">
        <v>46250</v>
      </c>
      <c r="D3005" s="79">
        <v>13270.02</v>
      </c>
    </row>
    <row r="3006" spans="1:4" x14ac:dyDescent="0.3">
      <c r="A3006" s="88" t="s">
        <v>25</v>
      </c>
      <c r="B3006" s="88"/>
      <c r="C3006" s="16">
        <v>46250</v>
      </c>
      <c r="D3006" s="79">
        <v>24.450000000000003</v>
      </c>
    </row>
    <row r="3007" spans="1:4" x14ac:dyDescent="0.3">
      <c r="A3007" s="88" t="s">
        <v>26</v>
      </c>
      <c r="B3007" s="88"/>
      <c r="C3007" s="16">
        <v>46250</v>
      </c>
      <c r="D3007" s="79">
        <v>2177.87</v>
      </c>
    </row>
    <row r="3008" spans="1:4" x14ac:dyDescent="0.3">
      <c r="A3008" s="88" t="s">
        <v>27</v>
      </c>
      <c r="B3008" s="88"/>
      <c r="C3008" s="16">
        <v>46250</v>
      </c>
      <c r="D3008" s="79">
        <v>754424.72</v>
      </c>
    </row>
    <row r="3009" spans="1:4" x14ac:dyDescent="0.3">
      <c r="A3009" s="88" t="s">
        <v>28</v>
      </c>
      <c r="B3009" s="88"/>
      <c r="C3009" s="16">
        <v>46250</v>
      </c>
      <c r="D3009" s="79">
        <v>1968.99</v>
      </c>
    </row>
    <row r="3010" spans="1:4" x14ac:dyDescent="0.3">
      <c r="A3010" s="88" t="s">
        <v>29</v>
      </c>
      <c r="B3010" s="88"/>
      <c r="C3010" s="16">
        <v>46250</v>
      </c>
      <c r="D3010" s="79">
        <v>901.34</v>
      </c>
    </row>
    <row r="3011" spans="1:4" x14ac:dyDescent="0.3">
      <c r="A3011" s="88" t="s">
        <v>30</v>
      </c>
      <c r="B3011" s="88"/>
      <c r="C3011" s="16">
        <v>46250</v>
      </c>
      <c r="D3011" s="79">
        <v>1396.08</v>
      </c>
    </row>
    <row r="3012" spans="1:4" x14ac:dyDescent="0.3">
      <c r="A3012" s="88" t="s">
        <v>31</v>
      </c>
      <c r="B3012" s="88"/>
      <c r="C3012" s="16">
        <v>46250</v>
      </c>
      <c r="D3012" s="79">
        <v>13685.709999999959</v>
      </c>
    </row>
    <row r="3013" spans="1:4" x14ac:dyDescent="0.3">
      <c r="A3013" s="88" t="s">
        <v>32</v>
      </c>
      <c r="B3013" s="88"/>
      <c r="C3013" s="16">
        <v>46250</v>
      </c>
      <c r="D3013" s="79">
        <v>8724.1700000000037</v>
      </c>
    </row>
    <row r="3014" spans="1:4" x14ac:dyDescent="0.3">
      <c r="A3014" s="88" t="s">
        <v>33</v>
      </c>
      <c r="B3014" s="88"/>
      <c r="C3014" s="16">
        <v>46250</v>
      </c>
      <c r="D3014" s="79">
        <v>19336.039999999997</v>
      </c>
    </row>
    <row r="3015" spans="1:4" x14ac:dyDescent="0.3">
      <c r="A3015" s="88" t="s">
        <v>34</v>
      </c>
      <c r="B3015" s="88"/>
      <c r="C3015" s="16">
        <v>46250</v>
      </c>
      <c r="D3015" s="79">
        <v>345</v>
      </c>
    </row>
    <row r="3016" spans="1:4" x14ac:dyDescent="0.3">
      <c r="A3016" s="88" t="s">
        <v>35</v>
      </c>
      <c r="B3016" s="88"/>
      <c r="C3016" s="16">
        <v>46250</v>
      </c>
      <c r="D3016" s="79">
        <v>14740.900000000001</v>
      </c>
    </row>
    <row r="3017" spans="1:4" x14ac:dyDescent="0.3">
      <c r="A3017" s="88" t="s">
        <v>193</v>
      </c>
      <c r="B3017" s="88"/>
      <c r="C3017" s="16">
        <v>46250</v>
      </c>
      <c r="D3017" s="79">
        <v>0</v>
      </c>
    </row>
    <row r="3018" spans="1:4" x14ac:dyDescent="0.3">
      <c r="A3018" s="88" t="s">
        <v>214</v>
      </c>
      <c r="B3018" s="88"/>
      <c r="C3018" s="16">
        <v>46250</v>
      </c>
      <c r="D3018" s="79">
        <v>0</v>
      </c>
    </row>
    <row r="3019" spans="1:4" x14ac:dyDescent="0.3">
      <c r="A3019" s="88" t="s">
        <v>194</v>
      </c>
      <c r="B3019" s="88"/>
      <c r="C3019" s="16">
        <v>46250</v>
      </c>
      <c r="D3019" s="79">
        <v>0</v>
      </c>
    </row>
    <row r="3020" spans="1:4" x14ac:dyDescent="0.3">
      <c r="A3020" s="88" t="s">
        <v>195</v>
      </c>
      <c r="B3020" s="88"/>
      <c r="C3020" s="16">
        <v>46250</v>
      </c>
      <c r="D3020" s="79">
        <v>0</v>
      </c>
    </row>
    <row r="3021" spans="1:4" x14ac:dyDescent="0.3">
      <c r="A3021" s="88" t="s">
        <v>196</v>
      </c>
      <c r="B3021" s="88"/>
      <c r="C3021" s="16">
        <v>46250</v>
      </c>
      <c r="D3021" s="79">
        <v>0</v>
      </c>
    </row>
    <row r="3022" spans="1:4" x14ac:dyDescent="0.3">
      <c r="A3022" s="88" t="s">
        <v>197</v>
      </c>
      <c r="B3022" s="88"/>
      <c r="C3022" s="16">
        <v>46250</v>
      </c>
      <c r="D3022" s="79">
        <v>0</v>
      </c>
    </row>
    <row r="3023" spans="1:4" x14ac:dyDescent="0.3">
      <c r="A3023" s="88" t="s">
        <v>212</v>
      </c>
      <c r="B3023" s="88"/>
      <c r="C3023" s="16">
        <v>46250</v>
      </c>
      <c r="D3023" s="79">
        <v>0</v>
      </c>
    </row>
    <row r="3024" spans="1:4" x14ac:dyDescent="0.3">
      <c r="A3024" s="88" t="s">
        <v>199</v>
      </c>
      <c r="B3024" s="88"/>
      <c r="C3024" s="16">
        <v>46250</v>
      </c>
      <c r="D3024" s="79">
        <v>0</v>
      </c>
    </row>
    <row r="3025" spans="1:4" x14ac:dyDescent="0.3">
      <c r="A3025" s="88" t="s">
        <v>217</v>
      </c>
      <c r="B3025" s="88"/>
      <c r="C3025" s="16">
        <v>46250</v>
      </c>
      <c r="D3025" s="79">
        <v>0</v>
      </c>
    </row>
    <row r="3026" spans="1:4" x14ac:dyDescent="0.3">
      <c r="A3026" s="88" t="s">
        <v>17</v>
      </c>
      <c r="B3026" s="88"/>
      <c r="C3026" s="16">
        <v>46251</v>
      </c>
      <c r="D3026" s="79">
        <v>941223.58000000042</v>
      </c>
    </row>
    <row r="3027" spans="1:4" x14ac:dyDescent="0.3">
      <c r="A3027" s="88" t="s">
        <v>18</v>
      </c>
      <c r="B3027" s="88"/>
      <c r="C3027" s="16">
        <v>46251</v>
      </c>
      <c r="D3027" s="79">
        <v>83211.250000000175</v>
      </c>
    </row>
    <row r="3028" spans="1:4" x14ac:dyDescent="0.3">
      <c r="A3028" s="88" t="s">
        <v>19</v>
      </c>
      <c r="B3028" s="88"/>
      <c r="C3028" s="16">
        <v>46251</v>
      </c>
      <c r="D3028" s="79">
        <v>1669.89</v>
      </c>
    </row>
    <row r="3029" spans="1:4" x14ac:dyDescent="0.3">
      <c r="A3029" s="88" t="s">
        <v>20</v>
      </c>
      <c r="B3029" s="88"/>
      <c r="C3029" s="16">
        <v>46251</v>
      </c>
      <c r="D3029" s="79">
        <v>1289031.3399999999</v>
      </c>
    </row>
    <row r="3030" spans="1:4" x14ac:dyDescent="0.3">
      <c r="A3030" s="88" t="s">
        <v>21</v>
      </c>
      <c r="B3030" s="88"/>
      <c r="C3030" s="16">
        <v>46251</v>
      </c>
      <c r="D3030" s="79">
        <v>1383977.5499999996</v>
      </c>
    </row>
    <row r="3031" spans="1:4" x14ac:dyDescent="0.3">
      <c r="A3031" s="88" t="s">
        <v>22</v>
      </c>
      <c r="B3031" s="88"/>
      <c r="C3031" s="16">
        <v>46251</v>
      </c>
      <c r="D3031" s="79">
        <v>221496.38</v>
      </c>
    </row>
    <row r="3032" spans="1:4" x14ac:dyDescent="0.3">
      <c r="A3032" s="88" t="s">
        <v>23</v>
      </c>
      <c r="B3032" s="88"/>
      <c r="C3032" s="16">
        <v>46251</v>
      </c>
      <c r="D3032" s="79">
        <v>277586.34000000003</v>
      </c>
    </row>
    <row r="3033" spans="1:4" x14ac:dyDescent="0.3">
      <c r="A3033" s="88" t="s">
        <v>24</v>
      </c>
      <c r="B3033" s="88"/>
      <c r="C3033" s="16">
        <v>46251</v>
      </c>
      <c r="D3033" s="79">
        <v>13270.02</v>
      </c>
    </row>
    <row r="3034" spans="1:4" x14ac:dyDescent="0.3">
      <c r="A3034" s="88" t="s">
        <v>25</v>
      </c>
      <c r="B3034" s="88"/>
      <c r="C3034" s="16">
        <v>46251</v>
      </c>
      <c r="D3034" s="79">
        <v>24.450000000000003</v>
      </c>
    </row>
    <row r="3035" spans="1:4" x14ac:dyDescent="0.3">
      <c r="A3035" s="88" t="s">
        <v>26</v>
      </c>
      <c r="B3035" s="88"/>
      <c r="C3035" s="16">
        <v>46251</v>
      </c>
      <c r="D3035" s="79">
        <v>2177.87</v>
      </c>
    </row>
    <row r="3036" spans="1:4" x14ac:dyDescent="0.3">
      <c r="A3036" s="88" t="s">
        <v>27</v>
      </c>
      <c r="B3036" s="88"/>
      <c r="C3036" s="16">
        <v>46251</v>
      </c>
      <c r="D3036" s="79">
        <v>754424.72</v>
      </c>
    </row>
    <row r="3037" spans="1:4" x14ac:dyDescent="0.3">
      <c r="A3037" s="88" t="s">
        <v>28</v>
      </c>
      <c r="B3037" s="88"/>
      <c r="C3037" s="16">
        <v>46251</v>
      </c>
      <c r="D3037" s="79">
        <v>1968.99</v>
      </c>
    </row>
    <row r="3038" spans="1:4" x14ac:dyDescent="0.3">
      <c r="A3038" s="88" t="s">
        <v>29</v>
      </c>
      <c r="B3038" s="88"/>
      <c r="C3038" s="16">
        <v>46251</v>
      </c>
      <c r="D3038" s="79">
        <v>901.34</v>
      </c>
    </row>
    <row r="3039" spans="1:4" x14ac:dyDescent="0.3">
      <c r="A3039" s="88" t="s">
        <v>30</v>
      </c>
      <c r="B3039" s="88"/>
      <c r="C3039" s="16">
        <v>46251</v>
      </c>
      <c r="D3039" s="79">
        <v>1396.08</v>
      </c>
    </row>
    <row r="3040" spans="1:4" x14ac:dyDescent="0.3">
      <c r="A3040" s="88" t="s">
        <v>31</v>
      </c>
      <c r="B3040" s="88"/>
      <c r="C3040" s="16">
        <v>46251</v>
      </c>
      <c r="D3040" s="79">
        <v>13685.709999999959</v>
      </c>
    </row>
    <row r="3041" spans="1:4" x14ac:dyDescent="0.3">
      <c r="A3041" s="88" t="s">
        <v>32</v>
      </c>
      <c r="B3041" s="88"/>
      <c r="C3041" s="16">
        <v>46251</v>
      </c>
      <c r="D3041" s="79">
        <v>8724.1700000000037</v>
      </c>
    </row>
    <row r="3042" spans="1:4" x14ac:dyDescent="0.3">
      <c r="A3042" s="88" t="s">
        <v>33</v>
      </c>
      <c r="B3042" s="88"/>
      <c r="C3042" s="16">
        <v>46251</v>
      </c>
      <c r="D3042" s="79">
        <v>19336.039999999997</v>
      </c>
    </row>
    <row r="3043" spans="1:4" x14ac:dyDescent="0.3">
      <c r="A3043" s="88" t="s">
        <v>34</v>
      </c>
      <c r="B3043" s="88"/>
      <c r="C3043" s="16">
        <v>46251</v>
      </c>
      <c r="D3043" s="79">
        <v>345</v>
      </c>
    </row>
    <row r="3044" spans="1:4" x14ac:dyDescent="0.3">
      <c r="A3044" s="88" t="s">
        <v>35</v>
      </c>
      <c r="B3044" s="88"/>
      <c r="C3044" s="16">
        <v>46251</v>
      </c>
      <c r="D3044" s="79">
        <v>14565.900000000001</v>
      </c>
    </row>
    <row r="3045" spans="1:4" x14ac:dyDescent="0.3">
      <c r="A3045" s="88" t="s">
        <v>193</v>
      </c>
      <c r="B3045" s="88"/>
      <c r="C3045" s="16">
        <v>46251</v>
      </c>
      <c r="D3045" s="79">
        <v>0</v>
      </c>
    </row>
    <row r="3046" spans="1:4" x14ac:dyDescent="0.3">
      <c r="A3046" s="88" t="s">
        <v>214</v>
      </c>
      <c r="B3046" s="88"/>
      <c r="C3046" s="16">
        <v>46251</v>
      </c>
      <c r="D3046" s="79">
        <v>0</v>
      </c>
    </row>
    <row r="3047" spans="1:4" x14ac:dyDescent="0.3">
      <c r="A3047" s="88" t="s">
        <v>194</v>
      </c>
      <c r="B3047" s="88"/>
      <c r="C3047" s="16">
        <v>46251</v>
      </c>
      <c r="D3047" s="79">
        <v>0</v>
      </c>
    </row>
    <row r="3048" spans="1:4" x14ac:dyDescent="0.3">
      <c r="A3048" s="88" t="s">
        <v>195</v>
      </c>
      <c r="B3048" s="88"/>
      <c r="C3048" s="16">
        <v>46251</v>
      </c>
      <c r="D3048" s="79">
        <v>0</v>
      </c>
    </row>
    <row r="3049" spans="1:4" x14ac:dyDescent="0.3">
      <c r="A3049" s="88" t="s">
        <v>196</v>
      </c>
      <c r="B3049" s="88"/>
      <c r="C3049" s="16">
        <v>46251</v>
      </c>
      <c r="D3049" s="79">
        <v>0</v>
      </c>
    </row>
    <row r="3050" spans="1:4" x14ac:dyDescent="0.3">
      <c r="A3050" s="88" t="s">
        <v>197</v>
      </c>
      <c r="B3050" s="88"/>
      <c r="C3050" s="16">
        <v>46251</v>
      </c>
      <c r="D3050" s="79">
        <v>0</v>
      </c>
    </row>
    <row r="3051" spans="1:4" x14ac:dyDescent="0.3">
      <c r="A3051" s="88" t="s">
        <v>212</v>
      </c>
      <c r="B3051" s="88"/>
      <c r="C3051" s="16">
        <v>46251</v>
      </c>
      <c r="D3051" s="79">
        <v>0</v>
      </c>
    </row>
    <row r="3052" spans="1:4" x14ac:dyDescent="0.3">
      <c r="A3052" s="88" t="s">
        <v>199</v>
      </c>
      <c r="B3052" s="88"/>
      <c r="C3052" s="16">
        <v>46251</v>
      </c>
      <c r="D3052" s="79">
        <v>0</v>
      </c>
    </row>
    <row r="3053" spans="1:4" x14ac:dyDescent="0.3">
      <c r="A3053" s="88" t="s">
        <v>217</v>
      </c>
      <c r="B3053" s="88"/>
      <c r="C3053" s="16">
        <v>46251</v>
      </c>
      <c r="D3053" s="79">
        <v>0</v>
      </c>
    </row>
    <row r="3054" spans="1:4" x14ac:dyDescent="0.3">
      <c r="A3054" s="88" t="s">
        <v>17</v>
      </c>
      <c r="B3054" s="88"/>
      <c r="C3054" s="16">
        <v>46252</v>
      </c>
      <c r="D3054" s="79">
        <v>1047085.3600000005</v>
      </c>
    </row>
    <row r="3055" spans="1:4" x14ac:dyDescent="0.3">
      <c r="A3055" s="88" t="s">
        <v>18</v>
      </c>
      <c r="B3055" s="88"/>
      <c r="C3055" s="16">
        <v>46252</v>
      </c>
      <c r="D3055" s="79">
        <v>83211.250000000175</v>
      </c>
    </row>
    <row r="3056" spans="1:4" x14ac:dyDescent="0.3">
      <c r="A3056" s="88" t="s">
        <v>19</v>
      </c>
      <c r="B3056" s="88"/>
      <c r="C3056" s="16">
        <v>46252</v>
      </c>
      <c r="D3056" s="79">
        <v>1669.89</v>
      </c>
    </row>
    <row r="3057" spans="1:4" x14ac:dyDescent="0.3">
      <c r="A3057" s="88" t="s">
        <v>20</v>
      </c>
      <c r="B3057" s="88"/>
      <c r="C3057" s="16">
        <v>46252</v>
      </c>
      <c r="D3057" s="79">
        <v>1289031.3399999999</v>
      </c>
    </row>
    <row r="3058" spans="1:4" x14ac:dyDescent="0.3">
      <c r="A3058" s="88" t="s">
        <v>21</v>
      </c>
      <c r="B3058" s="88"/>
      <c r="C3058" s="16">
        <v>46252</v>
      </c>
      <c r="D3058" s="79">
        <v>1381487.1899999995</v>
      </c>
    </row>
    <row r="3059" spans="1:4" x14ac:dyDescent="0.3">
      <c r="A3059" s="88" t="s">
        <v>22</v>
      </c>
      <c r="B3059" s="88"/>
      <c r="C3059" s="16">
        <v>46252</v>
      </c>
      <c r="D3059" s="79">
        <v>221496.38</v>
      </c>
    </row>
    <row r="3060" spans="1:4" x14ac:dyDescent="0.3">
      <c r="A3060" s="88" t="s">
        <v>23</v>
      </c>
      <c r="B3060" s="88"/>
      <c r="C3060" s="16">
        <v>46252</v>
      </c>
      <c r="D3060" s="79">
        <v>277586.34000000003</v>
      </c>
    </row>
    <row r="3061" spans="1:4" x14ac:dyDescent="0.3">
      <c r="A3061" s="88" t="s">
        <v>24</v>
      </c>
      <c r="B3061" s="88"/>
      <c r="C3061" s="16">
        <v>46252</v>
      </c>
      <c r="D3061" s="79">
        <v>13270.02</v>
      </c>
    </row>
    <row r="3062" spans="1:4" x14ac:dyDescent="0.3">
      <c r="A3062" s="88" t="s">
        <v>25</v>
      </c>
      <c r="B3062" s="88"/>
      <c r="C3062" s="16">
        <v>46252</v>
      </c>
      <c r="D3062" s="79">
        <v>24.450000000000003</v>
      </c>
    </row>
    <row r="3063" spans="1:4" x14ac:dyDescent="0.3">
      <c r="A3063" s="88" t="s">
        <v>26</v>
      </c>
      <c r="B3063" s="88"/>
      <c r="C3063" s="16">
        <v>46252</v>
      </c>
      <c r="D3063" s="79">
        <v>2177.87</v>
      </c>
    </row>
    <row r="3064" spans="1:4" x14ac:dyDescent="0.3">
      <c r="A3064" s="88" t="s">
        <v>27</v>
      </c>
      <c r="B3064" s="88"/>
      <c r="C3064" s="16">
        <v>46252</v>
      </c>
      <c r="D3064" s="79">
        <v>754424.72</v>
      </c>
    </row>
    <row r="3065" spans="1:4" x14ac:dyDescent="0.3">
      <c r="A3065" s="88" t="s">
        <v>28</v>
      </c>
      <c r="B3065" s="88"/>
      <c r="C3065" s="16">
        <v>46252</v>
      </c>
      <c r="D3065" s="79">
        <v>1968.99</v>
      </c>
    </row>
    <row r="3066" spans="1:4" x14ac:dyDescent="0.3">
      <c r="A3066" s="88" t="s">
        <v>29</v>
      </c>
      <c r="B3066" s="88"/>
      <c r="C3066" s="16">
        <v>46252</v>
      </c>
      <c r="D3066" s="79">
        <v>901.34</v>
      </c>
    </row>
    <row r="3067" spans="1:4" x14ac:dyDescent="0.3">
      <c r="A3067" s="88" t="s">
        <v>30</v>
      </c>
      <c r="B3067" s="88"/>
      <c r="C3067" s="16">
        <v>46252</v>
      </c>
      <c r="D3067" s="79">
        <v>1396.08</v>
      </c>
    </row>
    <row r="3068" spans="1:4" x14ac:dyDescent="0.3">
      <c r="A3068" s="88" t="s">
        <v>31</v>
      </c>
      <c r="B3068" s="88"/>
      <c r="C3068" s="16">
        <v>46252</v>
      </c>
      <c r="D3068" s="79">
        <v>13685.709999999959</v>
      </c>
    </row>
    <row r="3069" spans="1:4" x14ac:dyDescent="0.3">
      <c r="A3069" s="88" t="s">
        <v>32</v>
      </c>
      <c r="B3069" s="88"/>
      <c r="C3069" s="16">
        <v>46252</v>
      </c>
      <c r="D3069" s="79">
        <v>8724.1700000000037</v>
      </c>
    </row>
    <row r="3070" spans="1:4" x14ac:dyDescent="0.3">
      <c r="A3070" s="88" t="s">
        <v>33</v>
      </c>
      <c r="B3070" s="88"/>
      <c r="C3070" s="16">
        <v>46252</v>
      </c>
      <c r="D3070" s="79">
        <v>19336.039999999997</v>
      </c>
    </row>
    <row r="3071" spans="1:4" x14ac:dyDescent="0.3">
      <c r="A3071" s="88" t="s">
        <v>34</v>
      </c>
      <c r="B3071" s="88"/>
      <c r="C3071" s="16">
        <v>46252</v>
      </c>
      <c r="D3071" s="79">
        <v>345</v>
      </c>
    </row>
    <row r="3072" spans="1:4" x14ac:dyDescent="0.3">
      <c r="A3072" s="88" t="s">
        <v>35</v>
      </c>
      <c r="B3072" s="88"/>
      <c r="C3072" s="16">
        <v>46252</v>
      </c>
      <c r="D3072" s="79">
        <v>14565.900000000001</v>
      </c>
    </row>
    <row r="3073" spans="1:4" x14ac:dyDescent="0.3">
      <c r="A3073" s="88" t="s">
        <v>193</v>
      </c>
      <c r="B3073" s="88"/>
      <c r="C3073" s="16">
        <v>46252</v>
      </c>
      <c r="D3073" s="79">
        <v>0</v>
      </c>
    </row>
    <row r="3074" spans="1:4" x14ac:dyDescent="0.3">
      <c r="A3074" s="88" t="s">
        <v>214</v>
      </c>
      <c r="B3074" s="88"/>
      <c r="C3074" s="16">
        <v>46252</v>
      </c>
      <c r="D3074" s="79">
        <v>0</v>
      </c>
    </row>
    <row r="3075" spans="1:4" x14ac:dyDescent="0.3">
      <c r="A3075" s="88" t="s">
        <v>194</v>
      </c>
      <c r="B3075" s="88"/>
      <c r="C3075" s="16">
        <v>46252</v>
      </c>
      <c r="D3075" s="79">
        <v>0</v>
      </c>
    </row>
    <row r="3076" spans="1:4" x14ac:dyDescent="0.3">
      <c r="A3076" s="88" t="s">
        <v>195</v>
      </c>
      <c r="B3076" s="88"/>
      <c r="C3076" s="16">
        <v>46252</v>
      </c>
      <c r="D3076" s="79">
        <v>0</v>
      </c>
    </row>
    <row r="3077" spans="1:4" x14ac:dyDescent="0.3">
      <c r="A3077" s="88" t="s">
        <v>196</v>
      </c>
      <c r="B3077" s="88"/>
      <c r="C3077" s="16">
        <v>46252</v>
      </c>
      <c r="D3077" s="79">
        <v>0</v>
      </c>
    </row>
    <row r="3078" spans="1:4" x14ac:dyDescent="0.3">
      <c r="A3078" s="88" t="s">
        <v>197</v>
      </c>
      <c r="B3078" s="88"/>
      <c r="C3078" s="16">
        <v>46252</v>
      </c>
      <c r="D3078" s="79">
        <v>0</v>
      </c>
    </row>
    <row r="3079" spans="1:4" x14ac:dyDescent="0.3">
      <c r="A3079" s="88" t="s">
        <v>212</v>
      </c>
      <c r="B3079" s="88"/>
      <c r="C3079" s="16">
        <v>46252</v>
      </c>
      <c r="D3079" s="79">
        <v>0</v>
      </c>
    </row>
    <row r="3080" spans="1:4" x14ac:dyDescent="0.3">
      <c r="A3080" s="88" t="s">
        <v>199</v>
      </c>
      <c r="B3080" s="88"/>
      <c r="C3080" s="16">
        <v>46252</v>
      </c>
      <c r="D3080" s="79">
        <v>0</v>
      </c>
    </row>
    <row r="3081" spans="1:4" x14ac:dyDescent="0.3">
      <c r="A3081" s="88" t="s">
        <v>217</v>
      </c>
      <c r="B3081" s="88"/>
      <c r="C3081" s="16">
        <v>46252</v>
      </c>
      <c r="D3081" s="79">
        <v>0</v>
      </c>
    </row>
    <row r="3082" spans="1:4" x14ac:dyDescent="0.3">
      <c r="A3082" s="88" t="s">
        <v>17</v>
      </c>
      <c r="B3082" s="88"/>
      <c r="C3082" s="16">
        <v>46253</v>
      </c>
      <c r="D3082" s="79">
        <v>1047085.3600000005</v>
      </c>
    </row>
    <row r="3083" spans="1:4" x14ac:dyDescent="0.3">
      <c r="A3083" s="88" t="s">
        <v>18</v>
      </c>
      <c r="B3083" s="88"/>
      <c r="C3083" s="16">
        <v>46253</v>
      </c>
      <c r="D3083" s="79">
        <v>83211.250000000175</v>
      </c>
    </row>
    <row r="3084" spans="1:4" x14ac:dyDescent="0.3">
      <c r="A3084" s="88" t="s">
        <v>19</v>
      </c>
      <c r="B3084" s="88"/>
      <c r="C3084" s="16">
        <v>46253</v>
      </c>
      <c r="D3084" s="79">
        <v>1669.89</v>
      </c>
    </row>
    <row r="3085" spans="1:4" x14ac:dyDescent="0.3">
      <c r="A3085" s="88" t="s">
        <v>20</v>
      </c>
      <c r="B3085" s="88"/>
      <c r="C3085" s="16">
        <v>46253</v>
      </c>
      <c r="D3085" s="79">
        <v>1289031.3399999999</v>
      </c>
    </row>
    <row r="3086" spans="1:4" x14ac:dyDescent="0.3">
      <c r="A3086" s="88" t="s">
        <v>21</v>
      </c>
      <c r="B3086" s="88"/>
      <c r="C3086" s="16">
        <v>46253</v>
      </c>
      <c r="D3086" s="79">
        <v>1880583.4899999998</v>
      </c>
    </row>
    <row r="3087" spans="1:4" x14ac:dyDescent="0.3">
      <c r="A3087" s="88" t="s">
        <v>22</v>
      </c>
      <c r="B3087" s="88"/>
      <c r="C3087" s="16">
        <v>46253</v>
      </c>
      <c r="D3087" s="79">
        <v>221496.38</v>
      </c>
    </row>
    <row r="3088" spans="1:4" x14ac:dyDescent="0.3">
      <c r="A3088" s="88" t="s">
        <v>23</v>
      </c>
      <c r="B3088" s="88"/>
      <c r="C3088" s="16">
        <v>46253</v>
      </c>
      <c r="D3088" s="79">
        <v>277586.34000000003</v>
      </c>
    </row>
    <row r="3089" spans="1:4" x14ac:dyDescent="0.3">
      <c r="A3089" s="88" t="s">
        <v>24</v>
      </c>
      <c r="B3089" s="88"/>
      <c r="C3089" s="16">
        <v>46253</v>
      </c>
      <c r="D3089" s="79">
        <v>13270.02</v>
      </c>
    </row>
    <row r="3090" spans="1:4" x14ac:dyDescent="0.3">
      <c r="A3090" s="88" t="s">
        <v>25</v>
      </c>
      <c r="B3090" s="88"/>
      <c r="C3090" s="16">
        <v>46253</v>
      </c>
      <c r="D3090" s="79">
        <v>24.450000000000003</v>
      </c>
    </row>
    <row r="3091" spans="1:4" x14ac:dyDescent="0.3">
      <c r="A3091" s="88" t="s">
        <v>26</v>
      </c>
      <c r="B3091" s="88"/>
      <c r="C3091" s="16">
        <v>46253</v>
      </c>
      <c r="D3091" s="79">
        <v>2177.87</v>
      </c>
    </row>
    <row r="3092" spans="1:4" x14ac:dyDescent="0.3">
      <c r="A3092" s="88" t="s">
        <v>27</v>
      </c>
      <c r="B3092" s="88"/>
      <c r="C3092" s="16">
        <v>46253</v>
      </c>
      <c r="D3092" s="79">
        <v>754424.72</v>
      </c>
    </row>
    <row r="3093" spans="1:4" x14ac:dyDescent="0.3">
      <c r="A3093" s="88" t="s">
        <v>28</v>
      </c>
      <c r="B3093" s="88"/>
      <c r="C3093" s="16">
        <v>46253</v>
      </c>
      <c r="D3093" s="79">
        <v>1968.99</v>
      </c>
    </row>
    <row r="3094" spans="1:4" x14ac:dyDescent="0.3">
      <c r="A3094" s="88" t="s">
        <v>29</v>
      </c>
      <c r="B3094" s="88"/>
      <c r="C3094" s="16">
        <v>46253</v>
      </c>
      <c r="D3094" s="79">
        <v>901.34</v>
      </c>
    </row>
    <row r="3095" spans="1:4" x14ac:dyDescent="0.3">
      <c r="A3095" s="88" t="s">
        <v>30</v>
      </c>
      <c r="B3095" s="88"/>
      <c r="C3095" s="16">
        <v>46253</v>
      </c>
      <c r="D3095" s="79">
        <v>1396.08</v>
      </c>
    </row>
    <row r="3096" spans="1:4" x14ac:dyDescent="0.3">
      <c r="A3096" s="88" t="s">
        <v>31</v>
      </c>
      <c r="B3096" s="88"/>
      <c r="C3096" s="16">
        <v>46253</v>
      </c>
      <c r="D3096" s="79">
        <v>13685.709999999959</v>
      </c>
    </row>
    <row r="3097" spans="1:4" x14ac:dyDescent="0.3">
      <c r="A3097" s="88" t="s">
        <v>32</v>
      </c>
      <c r="B3097" s="88"/>
      <c r="C3097" s="16">
        <v>46253</v>
      </c>
      <c r="D3097" s="79">
        <v>8724.1700000000037</v>
      </c>
    </row>
    <row r="3098" spans="1:4" x14ac:dyDescent="0.3">
      <c r="A3098" s="88" t="s">
        <v>33</v>
      </c>
      <c r="B3098" s="88"/>
      <c r="C3098" s="16">
        <v>46253</v>
      </c>
      <c r="D3098" s="79">
        <v>19336.039999999997</v>
      </c>
    </row>
    <row r="3099" spans="1:4" x14ac:dyDescent="0.3">
      <c r="A3099" s="88" t="s">
        <v>34</v>
      </c>
      <c r="B3099" s="88"/>
      <c r="C3099" s="16">
        <v>46253</v>
      </c>
      <c r="D3099" s="79">
        <v>345</v>
      </c>
    </row>
    <row r="3100" spans="1:4" x14ac:dyDescent="0.3">
      <c r="A3100" s="88" t="s">
        <v>35</v>
      </c>
      <c r="B3100" s="88"/>
      <c r="C3100" s="16">
        <v>46253</v>
      </c>
      <c r="D3100" s="79">
        <v>14565.900000000001</v>
      </c>
    </row>
    <row r="3101" spans="1:4" x14ac:dyDescent="0.3">
      <c r="A3101" s="88" t="s">
        <v>193</v>
      </c>
      <c r="B3101" s="88"/>
      <c r="C3101" s="16">
        <v>46253</v>
      </c>
      <c r="D3101" s="79">
        <v>0</v>
      </c>
    </row>
    <row r="3102" spans="1:4" x14ac:dyDescent="0.3">
      <c r="A3102" s="88" t="s">
        <v>214</v>
      </c>
      <c r="B3102" s="88"/>
      <c r="C3102" s="16">
        <v>46253</v>
      </c>
      <c r="D3102" s="79">
        <v>0</v>
      </c>
    </row>
    <row r="3103" spans="1:4" x14ac:dyDescent="0.3">
      <c r="A3103" s="88" t="s">
        <v>194</v>
      </c>
      <c r="B3103" s="88"/>
      <c r="C3103" s="16">
        <v>46253</v>
      </c>
      <c r="D3103" s="79">
        <v>0</v>
      </c>
    </row>
    <row r="3104" spans="1:4" x14ac:dyDescent="0.3">
      <c r="A3104" s="88" t="s">
        <v>195</v>
      </c>
      <c r="B3104" s="88"/>
      <c r="C3104" s="16">
        <v>46253</v>
      </c>
      <c r="D3104" s="79">
        <v>0</v>
      </c>
    </row>
    <row r="3105" spans="1:4" x14ac:dyDescent="0.3">
      <c r="A3105" s="88" t="s">
        <v>196</v>
      </c>
      <c r="B3105" s="88"/>
      <c r="C3105" s="16">
        <v>46253</v>
      </c>
      <c r="D3105" s="79">
        <v>0</v>
      </c>
    </row>
    <row r="3106" spans="1:4" x14ac:dyDescent="0.3">
      <c r="A3106" s="88" t="s">
        <v>197</v>
      </c>
      <c r="B3106" s="88"/>
      <c r="C3106" s="16">
        <v>46253</v>
      </c>
      <c r="D3106" s="79">
        <v>0</v>
      </c>
    </row>
    <row r="3107" spans="1:4" x14ac:dyDescent="0.3">
      <c r="A3107" s="88" t="s">
        <v>212</v>
      </c>
      <c r="B3107" s="88"/>
      <c r="C3107" s="16">
        <v>46253</v>
      </c>
      <c r="D3107" s="79">
        <v>0</v>
      </c>
    </row>
    <row r="3108" spans="1:4" x14ac:dyDescent="0.3">
      <c r="A3108" s="88" t="s">
        <v>199</v>
      </c>
      <c r="B3108" s="88"/>
      <c r="C3108" s="16">
        <v>46253</v>
      </c>
      <c r="D3108" s="79">
        <v>0</v>
      </c>
    </row>
    <row r="3109" spans="1:4" x14ac:dyDescent="0.3">
      <c r="A3109" s="88" t="s">
        <v>217</v>
      </c>
      <c r="B3109" s="88"/>
      <c r="C3109" s="16">
        <v>46253</v>
      </c>
      <c r="D3109" s="79">
        <v>0</v>
      </c>
    </row>
    <row r="3110" spans="1:4" x14ac:dyDescent="0.3">
      <c r="A3110" s="88" t="s">
        <v>17</v>
      </c>
      <c r="B3110" s="88"/>
      <c r="C3110" s="16">
        <v>46254</v>
      </c>
      <c r="D3110" s="79">
        <v>702210.36000000045</v>
      </c>
    </row>
    <row r="3111" spans="1:4" x14ac:dyDescent="0.3">
      <c r="A3111" s="88" t="s">
        <v>18</v>
      </c>
      <c r="B3111" s="88"/>
      <c r="C3111" s="16">
        <v>46254</v>
      </c>
      <c r="D3111" s="79">
        <v>83211.250000000175</v>
      </c>
    </row>
    <row r="3112" spans="1:4" x14ac:dyDescent="0.3">
      <c r="A3112" s="88" t="s">
        <v>19</v>
      </c>
      <c r="B3112" s="88"/>
      <c r="C3112" s="16">
        <v>46254</v>
      </c>
      <c r="D3112" s="79">
        <v>1669.89</v>
      </c>
    </row>
    <row r="3113" spans="1:4" x14ac:dyDescent="0.3">
      <c r="A3113" s="88" t="s">
        <v>20</v>
      </c>
      <c r="B3113" s="88"/>
      <c r="C3113" s="16">
        <v>46254</v>
      </c>
      <c r="D3113" s="79">
        <v>1229031.3399999999</v>
      </c>
    </row>
    <row r="3114" spans="1:4" x14ac:dyDescent="0.3">
      <c r="A3114" s="88" t="s">
        <v>21</v>
      </c>
      <c r="B3114" s="88"/>
      <c r="C3114" s="16">
        <v>46254</v>
      </c>
      <c r="D3114" s="79">
        <v>1744052.5799999996</v>
      </c>
    </row>
    <row r="3115" spans="1:4" x14ac:dyDescent="0.3">
      <c r="A3115" s="88" t="s">
        <v>22</v>
      </c>
      <c r="B3115" s="88"/>
      <c r="C3115" s="16">
        <v>46254</v>
      </c>
      <c r="D3115" s="79">
        <v>221496.38</v>
      </c>
    </row>
    <row r="3116" spans="1:4" x14ac:dyDescent="0.3">
      <c r="A3116" s="88" t="s">
        <v>23</v>
      </c>
      <c r="B3116" s="88"/>
      <c r="C3116" s="16">
        <v>46254</v>
      </c>
      <c r="D3116" s="79">
        <v>277586.34000000003</v>
      </c>
    </row>
    <row r="3117" spans="1:4" x14ac:dyDescent="0.3">
      <c r="A3117" s="88" t="s">
        <v>24</v>
      </c>
      <c r="B3117" s="88"/>
      <c r="C3117" s="16">
        <v>46254</v>
      </c>
      <c r="D3117" s="79">
        <v>13270.02</v>
      </c>
    </row>
    <row r="3118" spans="1:4" x14ac:dyDescent="0.3">
      <c r="A3118" s="88" t="s">
        <v>25</v>
      </c>
      <c r="B3118" s="88"/>
      <c r="C3118" s="16">
        <v>46254</v>
      </c>
      <c r="D3118" s="79">
        <v>24.450000000000003</v>
      </c>
    </row>
    <row r="3119" spans="1:4" x14ac:dyDescent="0.3">
      <c r="A3119" s="88" t="s">
        <v>26</v>
      </c>
      <c r="B3119" s="88"/>
      <c r="C3119" s="16">
        <v>46254</v>
      </c>
      <c r="D3119" s="79">
        <v>2177.87</v>
      </c>
    </row>
    <row r="3120" spans="1:4" x14ac:dyDescent="0.3">
      <c r="A3120" s="88" t="s">
        <v>27</v>
      </c>
      <c r="B3120" s="88"/>
      <c r="C3120" s="16">
        <v>46254</v>
      </c>
      <c r="D3120" s="79">
        <v>754424.72</v>
      </c>
    </row>
    <row r="3121" spans="1:4" x14ac:dyDescent="0.3">
      <c r="A3121" s="88" t="s">
        <v>28</v>
      </c>
      <c r="B3121" s="88"/>
      <c r="C3121" s="16">
        <v>46254</v>
      </c>
      <c r="D3121" s="79">
        <v>1968.99</v>
      </c>
    </row>
    <row r="3122" spans="1:4" x14ac:dyDescent="0.3">
      <c r="A3122" s="88" t="s">
        <v>29</v>
      </c>
      <c r="B3122" s="88"/>
      <c r="C3122" s="16">
        <v>46254</v>
      </c>
      <c r="D3122" s="79">
        <v>901.34</v>
      </c>
    </row>
    <row r="3123" spans="1:4" x14ac:dyDescent="0.3">
      <c r="A3123" s="88" t="s">
        <v>30</v>
      </c>
      <c r="B3123" s="88"/>
      <c r="C3123" s="16">
        <v>46254</v>
      </c>
      <c r="D3123" s="79">
        <v>1396.08</v>
      </c>
    </row>
    <row r="3124" spans="1:4" x14ac:dyDescent="0.3">
      <c r="A3124" s="88" t="s">
        <v>31</v>
      </c>
      <c r="B3124" s="88"/>
      <c r="C3124" s="16">
        <v>46254</v>
      </c>
      <c r="D3124" s="79">
        <v>13685.709999999959</v>
      </c>
    </row>
    <row r="3125" spans="1:4" x14ac:dyDescent="0.3">
      <c r="A3125" s="88" t="s">
        <v>32</v>
      </c>
      <c r="B3125" s="88"/>
      <c r="C3125" s="16">
        <v>46254</v>
      </c>
      <c r="D3125" s="79">
        <v>8724.1700000000037</v>
      </c>
    </row>
    <row r="3126" spans="1:4" x14ac:dyDescent="0.3">
      <c r="A3126" s="88" t="s">
        <v>33</v>
      </c>
      <c r="B3126" s="88"/>
      <c r="C3126" s="16">
        <v>46254</v>
      </c>
      <c r="D3126" s="79">
        <v>19336.039999999997</v>
      </c>
    </row>
    <row r="3127" spans="1:4" x14ac:dyDescent="0.3">
      <c r="A3127" s="88" t="s">
        <v>34</v>
      </c>
      <c r="B3127" s="88"/>
      <c r="C3127" s="16">
        <v>46254</v>
      </c>
      <c r="D3127" s="79">
        <v>345</v>
      </c>
    </row>
    <row r="3128" spans="1:4" x14ac:dyDescent="0.3">
      <c r="A3128" s="88" t="s">
        <v>35</v>
      </c>
      <c r="B3128" s="88"/>
      <c r="C3128" s="16">
        <v>46254</v>
      </c>
      <c r="D3128" s="79">
        <v>12741.780000000002</v>
      </c>
    </row>
    <row r="3129" spans="1:4" x14ac:dyDescent="0.3">
      <c r="A3129" s="88" t="s">
        <v>193</v>
      </c>
      <c r="B3129" s="88"/>
      <c r="C3129" s="16">
        <v>46254</v>
      </c>
      <c r="D3129" s="79">
        <v>0</v>
      </c>
    </row>
    <row r="3130" spans="1:4" x14ac:dyDescent="0.3">
      <c r="A3130" s="88" t="s">
        <v>214</v>
      </c>
      <c r="B3130" s="88"/>
      <c r="C3130" s="16">
        <v>46254</v>
      </c>
      <c r="D3130" s="79">
        <v>0</v>
      </c>
    </row>
    <row r="3131" spans="1:4" x14ac:dyDescent="0.3">
      <c r="A3131" s="88" t="s">
        <v>194</v>
      </c>
      <c r="B3131" s="88"/>
      <c r="C3131" s="16">
        <v>46254</v>
      </c>
      <c r="D3131" s="79">
        <v>0</v>
      </c>
    </row>
    <row r="3132" spans="1:4" x14ac:dyDescent="0.3">
      <c r="A3132" s="88" t="s">
        <v>195</v>
      </c>
      <c r="B3132" s="88"/>
      <c r="C3132" s="16">
        <v>46254</v>
      </c>
      <c r="D3132" s="79">
        <v>0</v>
      </c>
    </row>
    <row r="3133" spans="1:4" x14ac:dyDescent="0.3">
      <c r="A3133" s="88" t="s">
        <v>196</v>
      </c>
      <c r="B3133" s="88"/>
      <c r="C3133" s="16">
        <v>46254</v>
      </c>
      <c r="D3133" s="79">
        <v>0</v>
      </c>
    </row>
    <row r="3134" spans="1:4" x14ac:dyDescent="0.3">
      <c r="A3134" s="88" t="s">
        <v>197</v>
      </c>
      <c r="B3134" s="88"/>
      <c r="C3134" s="16">
        <v>46254</v>
      </c>
      <c r="D3134" s="79">
        <v>0</v>
      </c>
    </row>
    <row r="3135" spans="1:4" x14ac:dyDescent="0.3">
      <c r="A3135" s="88" t="s">
        <v>212</v>
      </c>
      <c r="B3135" s="88"/>
      <c r="C3135" s="16">
        <v>46254</v>
      </c>
      <c r="D3135" s="79">
        <v>0</v>
      </c>
    </row>
    <row r="3136" spans="1:4" x14ac:dyDescent="0.3">
      <c r="A3136" s="88" t="s">
        <v>199</v>
      </c>
      <c r="B3136" s="88"/>
      <c r="C3136" s="16">
        <v>46254</v>
      </c>
      <c r="D3136" s="79">
        <v>0</v>
      </c>
    </row>
    <row r="3137" spans="1:4" x14ac:dyDescent="0.3">
      <c r="A3137" s="88" t="s">
        <v>217</v>
      </c>
      <c r="B3137" s="88"/>
      <c r="C3137" s="16">
        <v>46254</v>
      </c>
      <c r="D3137" s="79">
        <v>0</v>
      </c>
    </row>
    <row r="3138" spans="1:4" x14ac:dyDescent="0.3">
      <c r="A3138" s="88" t="s">
        <v>17</v>
      </c>
      <c r="B3138" s="88"/>
      <c r="C3138" s="16">
        <v>46255</v>
      </c>
      <c r="D3138" s="79">
        <v>702210.36000000045</v>
      </c>
    </row>
    <row r="3139" spans="1:4" x14ac:dyDescent="0.3">
      <c r="A3139" s="88" t="s">
        <v>18</v>
      </c>
      <c r="B3139" s="88"/>
      <c r="C3139" s="16">
        <v>46255</v>
      </c>
      <c r="D3139" s="79">
        <v>83211.250000000175</v>
      </c>
    </row>
    <row r="3140" spans="1:4" x14ac:dyDescent="0.3">
      <c r="A3140" s="88" t="s">
        <v>19</v>
      </c>
      <c r="B3140" s="88"/>
      <c r="C3140" s="16">
        <v>46255</v>
      </c>
      <c r="D3140" s="79">
        <v>1669.89</v>
      </c>
    </row>
    <row r="3141" spans="1:4" x14ac:dyDescent="0.3">
      <c r="A3141" s="88" t="s">
        <v>20</v>
      </c>
      <c r="B3141" s="88"/>
      <c r="C3141" s="16">
        <v>46255</v>
      </c>
      <c r="D3141" s="79">
        <v>1229031.3399999999</v>
      </c>
    </row>
    <row r="3142" spans="1:4" x14ac:dyDescent="0.3">
      <c r="A3142" s="88" t="s">
        <v>21</v>
      </c>
      <c r="B3142" s="88"/>
      <c r="C3142" s="16">
        <v>46255</v>
      </c>
      <c r="D3142" s="79">
        <v>1744052.5799999996</v>
      </c>
    </row>
    <row r="3143" spans="1:4" x14ac:dyDescent="0.3">
      <c r="A3143" s="88" t="s">
        <v>22</v>
      </c>
      <c r="B3143" s="88"/>
      <c r="C3143" s="16">
        <v>46255</v>
      </c>
      <c r="D3143" s="79">
        <v>221496.38</v>
      </c>
    </row>
    <row r="3144" spans="1:4" x14ac:dyDescent="0.3">
      <c r="A3144" s="88" t="s">
        <v>23</v>
      </c>
      <c r="B3144" s="88"/>
      <c r="C3144" s="16">
        <v>46255</v>
      </c>
      <c r="D3144" s="79">
        <v>277586.34000000003</v>
      </c>
    </row>
    <row r="3145" spans="1:4" x14ac:dyDescent="0.3">
      <c r="A3145" s="88" t="s">
        <v>24</v>
      </c>
      <c r="B3145" s="88"/>
      <c r="C3145" s="16">
        <v>46255</v>
      </c>
      <c r="D3145" s="79">
        <v>13270.02</v>
      </c>
    </row>
    <row r="3146" spans="1:4" x14ac:dyDescent="0.3">
      <c r="A3146" s="88" t="s">
        <v>25</v>
      </c>
      <c r="B3146" s="88"/>
      <c r="C3146" s="16">
        <v>46255</v>
      </c>
      <c r="D3146" s="79">
        <v>24.450000000000003</v>
      </c>
    </row>
    <row r="3147" spans="1:4" x14ac:dyDescent="0.3">
      <c r="A3147" s="88" t="s">
        <v>26</v>
      </c>
      <c r="B3147" s="88"/>
      <c r="C3147" s="16">
        <v>46255</v>
      </c>
      <c r="D3147" s="79">
        <v>2177.87</v>
      </c>
    </row>
    <row r="3148" spans="1:4" x14ac:dyDescent="0.3">
      <c r="A3148" s="88" t="s">
        <v>27</v>
      </c>
      <c r="B3148" s="88"/>
      <c r="C3148" s="16">
        <v>46255</v>
      </c>
      <c r="D3148" s="79">
        <v>754424.72</v>
      </c>
    </row>
    <row r="3149" spans="1:4" x14ac:dyDescent="0.3">
      <c r="A3149" s="88" t="s">
        <v>28</v>
      </c>
      <c r="B3149" s="88"/>
      <c r="C3149" s="16">
        <v>46255</v>
      </c>
      <c r="D3149" s="79">
        <v>1968.99</v>
      </c>
    </row>
    <row r="3150" spans="1:4" x14ac:dyDescent="0.3">
      <c r="A3150" s="88" t="s">
        <v>29</v>
      </c>
      <c r="B3150" s="88"/>
      <c r="C3150" s="16">
        <v>46255</v>
      </c>
      <c r="D3150" s="79">
        <v>901.34</v>
      </c>
    </row>
    <row r="3151" spans="1:4" x14ac:dyDescent="0.3">
      <c r="A3151" s="88" t="s">
        <v>30</v>
      </c>
      <c r="B3151" s="88"/>
      <c r="C3151" s="16">
        <v>46255</v>
      </c>
      <c r="D3151" s="79">
        <v>1396.08</v>
      </c>
    </row>
    <row r="3152" spans="1:4" x14ac:dyDescent="0.3">
      <c r="A3152" s="88" t="s">
        <v>31</v>
      </c>
      <c r="B3152" s="88"/>
      <c r="C3152" s="16">
        <v>46255</v>
      </c>
      <c r="D3152" s="79">
        <v>13685.709999999959</v>
      </c>
    </row>
    <row r="3153" spans="1:4" x14ac:dyDescent="0.3">
      <c r="A3153" s="88" t="s">
        <v>32</v>
      </c>
      <c r="B3153" s="88"/>
      <c r="C3153" s="16">
        <v>46255</v>
      </c>
      <c r="D3153" s="79">
        <v>8724.1700000000037</v>
      </c>
    </row>
    <row r="3154" spans="1:4" x14ac:dyDescent="0.3">
      <c r="A3154" s="88" t="s">
        <v>33</v>
      </c>
      <c r="B3154" s="88"/>
      <c r="C3154" s="16">
        <v>46255</v>
      </c>
      <c r="D3154" s="79">
        <v>19336.039999999997</v>
      </c>
    </row>
    <row r="3155" spans="1:4" x14ac:dyDescent="0.3">
      <c r="A3155" s="88" t="s">
        <v>34</v>
      </c>
      <c r="B3155" s="88"/>
      <c r="C3155" s="16">
        <v>46255</v>
      </c>
      <c r="D3155" s="79">
        <v>345</v>
      </c>
    </row>
    <row r="3156" spans="1:4" x14ac:dyDescent="0.3">
      <c r="A3156" s="88" t="s">
        <v>35</v>
      </c>
      <c r="B3156" s="88"/>
      <c r="C3156" s="16">
        <v>46255</v>
      </c>
      <c r="D3156" s="79">
        <v>12541.790000000003</v>
      </c>
    </row>
    <row r="3157" spans="1:4" x14ac:dyDescent="0.3">
      <c r="A3157" s="88" t="s">
        <v>193</v>
      </c>
      <c r="B3157" s="88"/>
      <c r="C3157" s="16">
        <v>46255</v>
      </c>
      <c r="D3157" s="79">
        <v>0</v>
      </c>
    </row>
    <row r="3158" spans="1:4" x14ac:dyDescent="0.3">
      <c r="A3158" s="88" t="s">
        <v>214</v>
      </c>
      <c r="B3158" s="88"/>
      <c r="C3158" s="16">
        <v>46255</v>
      </c>
      <c r="D3158" s="79">
        <v>0</v>
      </c>
    </row>
    <row r="3159" spans="1:4" x14ac:dyDescent="0.3">
      <c r="A3159" s="88" t="s">
        <v>194</v>
      </c>
      <c r="B3159" s="88"/>
      <c r="C3159" s="16">
        <v>46255</v>
      </c>
      <c r="D3159" s="79">
        <v>0</v>
      </c>
    </row>
    <row r="3160" spans="1:4" x14ac:dyDescent="0.3">
      <c r="A3160" s="88" t="s">
        <v>195</v>
      </c>
      <c r="B3160" s="88"/>
      <c r="C3160" s="16">
        <v>46255</v>
      </c>
      <c r="D3160" s="79">
        <v>0</v>
      </c>
    </row>
    <row r="3161" spans="1:4" x14ac:dyDescent="0.3">
      <c r="A3161" s="88" t="s">
        <v>196</v>
      </c>
      <c r="B3161" s="88"/>
      <c r="C3161" s="16">
        <v>46255</v>
      </c>
      <c r="D3161" s="79">
        <v>0</v>
      </c>
    </row>
    <row r="3162" spans="1:4" x14ac:dyDescent="0.3">
      <c r="A3162" s="88" t="s">
        <v>197</v>
      </c>
      <c r="B3162" s="88"/>
      <c r="C3162" s="16">
        <v>46255</v>
      </c>
      <c r="D3162" s="79">
        <v>0</v>
      </c>
    </row>
    <row r="3163" spans="1:4" x14ac:dyDescent="0.3">
      <c r="A3163" s="88" t="s">
        <v>212</v>
      </c>
      <c r="B3163" s="88"/>
      <c r="C3163" s="16">
        <v>46255</v>
      </c>
      <c r="D3163" s="79">
        <v>0</v>
      </c>
    </row>
    <row r="3164" spans="1:4" x14ac:dyDescent="0.3">
      <c r="A3164" s="88" t="s">
        <v>199</v>
      </c>
      <c r="B3164" s="88"/>
      <c r="C3164" s="16">
        <v>46255</v>
      </c>
      <c r="D3164" s="79">
        <v>0</v>
      </c>
    </row>
    <row r="3165" spans="1:4" x14ac:dyDescent="0.3">
      <c r="A3165" s="88" t="s">
        <v>217</v>
      </c>
      <c r="B3165" s="88"/>
      <c r="C3165" s="16">
        <v>46255</v>
      </c>
      <c r="D3165" s="79">
        <v>0</v>
      </c>
    </row>
    <row r="3166" spans="1:4" x14ac:dyDescent="0.3">
      <c r="A3166" s="88" t="s">
        <v>17</v>
      </c>
      <c r="B3166" s="88"/>
      <c r="C3166" s="16">
        <v>46256</v>
      </c>
      <c r="D3166" s="79">
        <v>702210.36000000045</v>
      </c>
    </row>
    <row r="3167" spans="1:4" x14ac:dyDescent="0.3">
      <c r="A3167" s="88" t="s">
        <v>18</v>
      </c>
      <c r="B3167" s="88"/>
      <c r="C3167" s="16">
        <v>46256</v>
      </c>
      <c r="D3167" s="79">
        <v>83211.250000000175</v>
      </c>
    </row>
    <row r="3168" spans="1:4" x14ac:dyDescent="0.3">
      <c r="A3168" s="88" t="s">
        <v>19</v>
      </c>
      <c r="B3168" s="88"/>
      <c r="C3168" s="16">
        <v>46256</v>
      </c>
      <c r="D3168" s="79">
        <v>1669.89</v>
      </c>
    </row>
    <row r="3169" spans="1:4" x14ac:dyDescent="0.3">
      <c r="A3169" s="88" t="s">
        <v>20</v>
      </c>
      <c r="B3169" s="88"/>
      <c r="C3169" s="16">
        <v>46256</v>
      </c>
      <c r="D3169" s="79">
        <v>1229031.3399999999</v>
      </c>
    </row>
    <row r="3170" spans="1:4" x14ac:dyDescent="0.3">
      <c r="A3170" s="88" t="s">
        <v>21</v>
      </c>
      <c r="B3170" s="88"/>
      <c r="C3170" s="16">
        <v>46256</v>
      </c>
      <c r="D3170" s="79">
        <v>1744052.5799999996</v>
      </c>
    </row>
    <row r="3171" spans="1:4" x14ac:dyDescent="0.3">
      <c r="A3171" s="88" t="s">
        <v>22</v>
      </c>
      <c r="B3171" s="88"/>
      <c r="C3171" s="16">
        <v>46256</v>
      </c>
      <c r="D3171" s="79">
        <v>221496.38</v>
      </c>
    </row>
    <row r="3172" spans="1:4" x14ac:dyDescent="0.3">
      <c r="A3172" s="88" t="s">
        <v>23</v>
      </c>
      <c r="B3172" s="88"/>
      <c r="C3172" s="16">
        <v>46256</v>
      </c>
      <c r="D3172" s="79">
        <v>277586.34000000003</v>
      </c>
    </row>
    <row r="3173" spans="1:4" x14ac:dyDescent="0.3">
      <c r="A3173" s="88" t="s">
        <v>24</v>
      </c>
      <c r="B3173" s="88"/>
      <c r="C3173" s="16">
        <v>46256</v>
      </c>
      <c r="D3173" s="79">
        <v>13270.02</v>
      </c>
    </row>
    <row r="3174" spans="1:4" x14ac:dyDescent="0.3">
      <c r="A3174" s="88" t="s">
        <v>25</v>
      </c>
      <c r="B3174" s="88"/>
      <c r="C3174" s="16">
        <v>46256</v>
      </c>
      <c r="D3174" s="79">
        <v>24.450000000000003</v>
      </c>
    </row>
    <row r="3175" spans="1:4" x14ac:dyDescent="0.3">
      <c r="A3175" s="88" t="s">
        <v>26</v>
      </c>
      <c r="B3175" s="88"/>
      <c r="C3175" s="16">
        <v>46256</v>
      </c>
      <c r="D3175" s="79">
        <v>2177.87</v>
      </c>
    </row>
    <row r="3176" spans="1:4" x14ac:dyDescent="0.3">
      <c r="A3176" s="88" t="s">
        <v>27</v>
      </c>
      <c r="B3176" s="88"/>
      <c r="C3176" s="16">
        <v>46256</v>
      </c>
      <c r="D3176" s="79">
        <v>754424.72</v>
      </c>
    </row>
    <row r="3177" spans="1:4" x14ac:dyDescent="0.3">
      <c r="A3177" s="88" t="s">
        <v>28</v>
      </c>
      <c r="B3177" s="88"/>
      <c r="C3177" s="16">
        <v>46256</v>
      </c>
      <c r="D3177" s="79">
        <v>1968.99</v>
      </c>
    </row>
    <row r="3178" spans="1:4" x14ac:dyDescent="0.3">
      <c r="A3178" s="88" t="s">
        <v>29</v>
      </c>
      <c r="B3178" s="88"/>
      <c r="C3178" s="16">
        <v>46256</v>
      </c>
      <c r="D3178" s="79">
        <v>901.34</v>
      </c>
    </row>
    <row r="3179" spans="1:4" x14ac:dyDescent="0.3">
      <c r="A3179" s="88" t="s">
        <v>30</v>
      </c>
      <c r="B3179" s="88"/>
      <c r="C3179" s="16">
        <v>46256</v>
      </c>
      <c r="D3179" s="79">
        <v>1396.08</v>
      </c>
    </row>
    <row r="3180" spans="1:4" x14ac:dyDescent="0.3">
      <c r="A3180" s="88" t="s">
        <v>31</v>
      </c>
      <c r="B3180" s="88"/>
      <c r="C3180" s="16">
        <v>46256</v>
      </c>
      <c r="D3180" s="79">
        <v>13685.709999999959</v>
      </c>
    </row>
    <row r="3181" spans="1:4" x14ac:dyDescent="0.3">
      <c r="A3181" s="88" t="s">
        <v>32</v>
      </c>
      <c r="B3181" s="88"/>
      <c r="C3181" s="16">
        <v>46256</v>
      </c>
      <c r="D3181" s="79">
        <v>8724.1700000000037</v>
      </c>
    </row>
    <row r="3182" spans="1:4" x14ac:dyDescent="0.3">
      <c r="A3182" s="88" t="s">
        <v>33</v>
      </c>
      <c r="B3182" s="88"/>
      <c r="C3182" s="16">
        <v>46256</v>
      </c>
      <c r="D3182" s="79">
        <v>19336.039999999997</v>
      </c>
    </row>
    <row r="3183" spans="1:4" x14ac:dyDescent="0.3">
      <c r="A3183" s="88" t="s">
        <v>34</v>
      </c>
      <c r="B3183" s="88"/>
      <c r="C3183" s="16">
        <v>46256</v>
      </c>
      <c r="D3183" s="79">
        <v>345</v>
      </c>
    </row>
    <row r="3184" spans="1:4" x14ac:dyDescent="0.3">
      <c r="A3184" s="88" t="s">
        <v>35</v>
      </c>
      <c r="B3184" s="88"/>
      <c r="C3184" s="16">
        <v>46256</v>
      </c>
      <c r="D3184" s="79">
        <v>12541.790000000003</v>
      </c>
    </row>
    <row r="3185" spans="1:4" x14ac:dyDescent="0.3">
      <c r="A3185" s="88" t="s">
        <v>193</v>
      </c>
      <c r="B3185" s="88"/>
      <c r="C3185" s="16">
        <v>46256</v>
      </c>
      <c r="D3185" s="79">
        <v>0</v>
      </c>
    </row>
    <row r="3186" spans="1:4" x14ac:dyDescent="0.3">
      <c r="A3186" s="88" t="s">
        <v>214</v>
      </c>
      <c r="B3186" s="88"/>
      <c r="C3186" s="16">
        <v>46256</v>
      </c>
      <c r="D3186" s="79">
        <v>0</v>
      </c>
    </row>
    <row r="3187" spans="1:4" x14ac:dyDescent="0.3">
      <c r="A3187" s="88" t="s">
        <v>194</v>
      </c>
      <c r="B3187" s="88"/>
      <c r="C3187" s="16">
        <v>46256</v>
      </c>
      <c r="D3187" s="79">
        <v>0</v>
      </c>
    </row>
    <row r="3188" spans="1:4" x14ac:dyDescent="0.3">
      <c r="A3188" s="88" t="s">
        <v>195</v>
      </c>
      <c r="B3188" s="88"/>
      <c r="C3188" s="16">
        <v>46256</v>
      </c>
      <c r="D3188" s="79">
        <v>0</v>
      </c>
    </row>
    <row r="3189" spans="1:4" x14ac:dyDescent="0.3">
      <c r="A3189" s="88" t="s">
        <v>196</v>
      </c>
      <c r="B3189" s="88"/>
      <c r="C3189" s="16">
        <v>46256</v>
      </c>
      <c r="D3189" s="79">
        <v>0</v>
      </c>
    </row>
    <row r="3190" spans="1:4" x14ac:dyDescent="0.3">
      <c r="A3190" s="88" t="s">
        <v>197</v>
      </c>
      <c r="B3190" s="88"/>
      <c r="C3190" s="16">
        <v>46256</v>
      </c>
      <c r="D3190" s="79">
        <v>0</v>
      </c>
    </row>
    <row r="3191" spans="1:4" x14ac:dyDescent="0.3">
      <c r="A3191" s="88" t="s">
        <v>212</v>
      </c>
      <c r="B3191" s="88"/>
      <c r="C3191" s="16">
        <v>46256</v>
      </c>
      <c r="D3191" s="79">
        <v>0</v>
      </c>
    </row>
    <row r="3192" spans="1:4" x14ac:dyDescent="0.3">
      <c r="A3192" s="88" t="s">
        <v>199</v>
      </c>
      <c r="B3192" s="88"/>
      <c r="C3192" s="16">
        <v>46256</v>
      </c>
      <c r="D3192" s="79">
        <v>0</v>
      </c>
    </row>
    <row r="3193" spans="1:4" x14ac:dyDescent="0.3">
      <c r="A3193" s="88" t="s">
        <v>217</v>
      </c>
      <c r="B3193" s="88"/>
      <c r="C3193" s="16">
        <v>46256</v>
      </c>
      <c r="D3193" s="79">
        <v>0</v>
      </c>
    </row>
    <row r="3194" spans="1:4" x14ac:dyDescent="0.3">
      <c r="A3194" s="88" t="s">
        <v>17</v>
      </c>
      <c r="B3194" s="88"/>
      <c r="C3194" s="16">
        <v>46257</v>
      </c>
      <c r="D3194" s="79">
        <v>702210.36000000045</v>
      </c>
    </row>
    <row r="3195" spans="1:4" x14ac:dyDescent="0.3">
      <c r="A3195" s="88" t="s">
        <v>18</v>
      </c>
      <c r="B3195" s="88"/>
      <c r="C3195" s="16">
        <v>46257</v>
      </c>
      <c r="D3195" s="79">
        <v>83211.250000000175</v>
      </c>
    </row>
    <row r="3196" spans="1:4" x14ac:dyDescent="0.3">
      <c r="A3196" s="88" t="s">
        <v>19</v>
      </c>
      <c r="B3196" s="88"/>
      <c r="C3196" s="16">
        <v>46257</v>
      </c>
      <c r="D3196" s="79">
        <v>1669.89</v>
      </c>
    </row>
    <row r="3197" spans="1:4" x14ac:dyDescent="0.3">
      <c r="A3197" s="88" t="s">
        <v>20</v>
      </c>
      <c r="B3197" s="88"/>
      <c r="C3197" s="16">
        <v>46257</v>
      </c>
      <c r="D3197" s="79">
        <v>1229031.3399999999</v>
      </c>
    </row>
    <row r="3198" spans="1:4" x14ac:dyDescent="0.3">
      <c r="A3198" s="88" t="s">
        <v>21</v>
      </c>
      <c r="B3198" s="88"/>
      <c r="C3198" s="16">
        <v>46257</v>
      </c>
      <c r="D3198" s="79">
        <v>1744052.5799999996</v>
      </c>
    </row>
    <row r="3199" spans="1:4" x14ac:dyDescent="0.3">
      <c r="A3199" s="88" t="s">
        <v>22</v>
      </c>
      <c r="B3199" s="88"/>
      <c r="C3199" s="16">
        <v>46257</v>
      </c>
      <c r="D3199" s="79">
        <v>221496.38</v>
      </c>
    </row>
    <row r="3200" spans="1:4" x14ac:dyDescent="0.3">
      <c r="A3200" s="88" t="s">
        <v>23</v>
      </c>
      <c r="B3200" s="88"/>
      <c r="C3200" s="16">
        <v>46257</v>
      </c>
      <c r="D3200" s="79">
        <v>277586.34000000003</v>
      </c>
    </row>
    <row r="3201" spans="1:4" x14ac:dyDescent="0.3">
      <c r="A3201" s="88" t="s">
        <v>24</v>
      </c>
      <c r="B3201" s="88"/>
      <c r="C3201" s="16">
        <v>46257</v>
      </c>
      <c r="D3201" s="79">
        <v>13270.02</v>
      </c>
    </row>
    <row r="3202" spans="1:4" x14ac:dyDescent="0.3">
      <c r="A3202" s="88" t="s">
        <v>25</v>
      </c>
      <c r="B3202" s="88"/>
      <c r="C3202" s="16">
        <v>46257</v>
      </c>
      <c r="D3202" s="79">
        <v>24.450000000000003</v>
      </c>
    </row>
    <row r="3203" spans="1:4" x14ac:dyDescent="0.3">
      <c r="A3203" s="88" t="s">
        <v>26</v>
      </c>
      <c r="B3203" s="88"/>
      <c r="C3203" s="16">
        <v>46257</v>
      </c>
      <c r="D3203" s="79">
        <v>2177.87</v>
      </c>
    </row>
    <row r="3204" spans="1:4" x14ac:dyDescent="0.3">
      <c r="A3204" s="88" t="s">
        <v>27</v>
      </c>
      <c r="B3204" s="88"/>
      <c r="C3204" s="16">
        <v>46257</v>
      </c>
      <c r="D3204" s="79">
        <v>754424.72</v>
      </c>
    </row>
    <row r="3205" spans="1:4" x14ac:dyDescent="0.3">
      <c r="A3205" s="88" t="s">
        <v>28</v>
      </c>
      <c r="B3205" s="88"/>
      <c r="C3205" s="16">
        <v>46257</v>
      </c>
      <c r="D3205" s="79">
        <v>1968.99</v>
      </c>
    </row>
    <row r="3206" spans="1:4" x14ac:dyDescent="0.3">
      <c r="A3206" s="88" t="s">
        <v>29</v>
      </c>
      <c r="B3206" s="88"/>
      <c r="C3206" s="16">
        <v>46257</v>
      </c>
      <c r="D3206" s="79">
        <v>901.34</v>
      </c>
    </row>
    <row r="3207" spans="1:4" x14ac:dyDescent="0.3">
      <c r="A3207" s="88" t="s">
        <v>30</v>
      </c>
      <c r="B3207" s="88"/>
      <c r="C3207" s="16">
        <v>46257</v>
      </c>
      <c r="D3207" s="79">
        <v>1396.08</v>
      </c>
    </row>
    <row r="3208" spans="1:4" x14ac:dyDescent="0.3">
      <c r="A3208" s="88" t="s">
        <v>31</v>
      </c>
      <c r="B3208" s="88"/>
      <c r="C3208" s="16">
        <v>46257</v>
      </c>
      <c r="D3208" s="79">
        <v>13685.709999999959</v>
      </c>
    </row>
    <row r="3209" spans="1:4" x14ac:dyDescent="0.3">
      <c r="A3209" s="88" t="s">
        <v>32</v>
      </c>
      <c r="B3209" s="88"/>
      <c r="C3209" s="16">
        <v>46257</v>
      </c>
      <c r="D3209" s="79">
        <v>8724.1700000000037</v>
      </c>
    </row>
    <row r="3210" spans="1:4" x14ac:dyDescent="0.3">
      <c r="A3210" s="88" t="s">
        <v>33</v>
      </c>
      <c r="B3210" s="88"/>
      <c r="C3210" s="16">
        <v>46257</v>
      </c>
      <c r="D3210" s="79">
        <v>19336.039999999997</v>
      </c>
    </row>
    <row r="3211" spans="1:4" x14ac:dyDescent="0.3">
      <c r="A3211" s="88" t="s">
        <v>34</v>
      </c>
      <c r="B3211" s="88"/>
      <c r="C3211" s="16">
        <v>46257</v>
      </c>
      <c r="D3211" s="79">
        <v>345</v>
      </c>
    </row>
    <row r="3212" spans="1:4" x14ac:dyDescent="0.3">
      <c r="A3212" s="88" t="s">
        <v>35</v>
      </c>
      <c r="B3212" s="88"/>
      <c r="C3212" s="16">
        <v>46257</v>
      </c>
      <c r="D3212" s="79">
        <v>12541.790000000003</v>
      </c>
    </row>
    <row r="3213" spans="1:4" x14ac:dyDescent="0.3">
      <c r="A3213" s="88" t="s">
        <v>193</v>
      </c>
      <c r="B3213" s="88"/>
      <c r="C3213" s="16">
        <v>46257</v>
      </c>
      <c r="D3213" s="79">
        <v>0</v>
      </c>
    </row>
    <row r="3214" spans="1:4" x14ac:dyDescent="0.3">
      <c r="A3214" s="88" t="s">
        <v>214</v>
      </c>
      <c r="B3214" s="88"/>
      <c r="C3214" s="16">
        <v>46257</v>
      </c>
      <c r="D3214" s="79">
        <v>0</v>
      </c>
    </row>
    <row r="3215" spans="1:4" x14ac:dyDescent="0.3">
      <c r="A3215" s="88" t="s">
        <v>194</v>
      </c>
      <c r="B3215" s="88"/>
      <c r="C3215" s="16">
        <v>46257</v>
      </c>
      <c r="D3215" s="79">
        <v>0</v>
      </c>
    </row>
    <row r="3216" spans="1:4" x14ac:dyDescent="0.3">
      <c r="A3216" s="88" t="s">
        <v>195</v>
      </c>
      <c r="B3216" s="88"/>
      <c r="C3216" s="16">
        <v>46257</v>
      </c>
      <c r="D3216" s="79">
        <v>0</v>
      </c>
    </row>
    <row r="3217" spans="1:4" x14ac:dyDescent="0.3">
      <c r="A3217" s="88" t="s">
        <v>196</v>
      </c>
      <c r="B3217" s="88"/>
      <c r="C3217" s="16">
        <v>46257</v>
      </c>
      <c r="D3217" s="79">
        <v>0</v>
      </c>
    </row>
    <row r="3218" spans="1:4" x14ac:dyDescent="0.3">
      <c r="A3218" s="88" t="s">
        <v>197</v>
      </c>
      <c r="B3218" s="88"/>
      <c r="C3218" s="16">
        <v>46257</v>
      </c>
      <c r="D3218" s="79">
        <v>0</v>
      </c>
    </row>
    <row r="3219" spans="1:4" x14ac:dyDescent="0.3">
      <c r="A3219" s="88" t="s">
        <v>212</v>
      </c>
      <c r="B3219" s="88"/>
      <c r="C3219" s="16">
        <v>46257</v>
      </c>
      <c r="D3219" s="79">
        <v>0</v>
      </c>
    </row>
    <row r="3220" spans="1:4" x14ac:dyDescent="0.3">
      <c r="A3220" s="88" t="s">
        <v>199</v>
      </c>
      <c r="B3220" s="88"/>
      <c r="C3220" s="16">
        <v>46257</v>
      </c>
      <c r="D3220" s="79">
        <v>0</v>
      </c>
    </row>
    <row r="3221" spans="1:4" x14ac:dyDescent="0.3">
      <c r="A3221" s="88" t="s">
        <v>217</v>
      </c>
      <c r="B3221" s="88"/>
      <c r="C3221" s="16">
        <v>46257</v>
      </c>
      <c r="D3221" s="79">
        <v>0</v>
      </c>
    </row>
    <row r="3222" spans="1:4" x14ac:dyDescent="0.3">
      <c r="A3222" s="88" t="s">
        <v>17</v>
      </c>
      <c r="B3222" s="88"/>
      <c r="C3222" s="16">
        <v>46258</v>
      </c>
      <c r="D3222" s="79">
        <v>372210.36000000045</v>
      </c>
    </row>
    <row r="3223" spans="1:4" x14ac:dyDescent="0.3">
      <c r="A3223" s="88" t="s">
        <v>18</v>
      </c>
      <c r="B3223" s="88"/>
      <c r="C3223" s="16">
        <v>46258</v>
      </c>
      <c r="D3223" s="79">
        <v>83668.990000000165</v>
      </c>
    </row>
    <row r="3224" spans="1:4" x14ac:dyDescent="0.3">
      <c r="A3224" s="88" t="s">
        <v>19</v>
      </c>
      <c r="B3224" s="88"/>
      <c r="C3224" s="16">
        <v>46258</v>
      </c>
      <c r="D3224" s="79">
        <v>1669.89</v>
      </c>
    </row>
    <row r="3225" spans="1:4" x14ac:dyDescent="0.3">
      <c r="A3225" s="88" t="s">
        <v>20</v>
      </c>
      <c r="B3225" s="88"/>
      <c r="C3225" s="16">
        <v>46258</v>
      </c>
      <c r="D3225" s="79">
        <v>1234763.3299999998</v>
      </c>
    </row>
    <row r="3226" spans="1:4" x14ac:dyDescent="0.3">
      <c r="A3226" s="88" t="s">
        <v>21</v>
      </c>
      <c r="B3226" s="88"/>
      <c r="C3226" s="16">
        <v>46258</v>
      </c>
      <c r="D3226" s="79">
        <v>1743289.5899999996</v>
      </c>
    </row>
    <row r="3227" spans="1:4" x14ac:dyDescent="0.3">
      <c r="A3227" s="88" t="s">
        <v>22</v>
      </c>
      <c r="B3227" s="88"/>
      <c r="C3227" s="16">
        <v>46258</v>
      </c>
      <c r="D3227" s="79">
        <v>221496.38</v>
      </c>
    </row>
    <row r="3228" spans="1:4" x14ac:dyDescent="0.3">
      <c r="A3228" s="88" t="s">
        <v>23</v>
      </c>
      <c r="B3228" s="88"/>
      <c r="C3228" s="16">
        <v>46258</v>
      </c>
      <c r="D3228" s="79">
        <v>277586.34000000003</v>
      </c>
    </row>
    <row r="3229" spans="1:4" x14ac:dyDescent="0.3">
      <c r="A3229" s="88" t="s">
        <v>24</v>
      </c>
      <c r="B3229" s="88"/>
      <c r="C3229" s="16">
        <v>46258</v>
      </c>
      <c r="D3229" s="79">
        <v>13270.02</v>
      </c>
    </row>
    <row r="3230" spans="1:4" x14ac:dyDescent="0.3">
      <c r="A3230" s="88" t="s">
        <v>25</v>
      </c>
      <c r="B3230" s="88"/>
      <c r="C3230" s="16">
        <v>46258</v>
      </c>
      <c r="D3230" s="79">
        <v>24.450000000000003</v>
      </c>
    </row>
    <row r="3231" spans="1:4" x14ac:dyDescent="0.3">
      <c r="A3231" s="88" t="s">
        <v>26</v>
      </c>
      <c r="B3231" s="88"/>
      <c r="C3231" s="16">
        <v>46258</v>
      </c>
      <c r="D3231" s="79">
        <v>2177.87</v>
      </c>
    </row>
    <row r="3232" spans="1:4" x14ac:dyDescent="0.3">
      <c r="A3232" s="88" t="s">
        <v>27</v>
      </c>
      <c r="B3232" s="88"/>
      <c r="C3232" s="16">
        <v>46258</v>
      </c>
      <c r="D3232" s="79">
        <v>754424.72</v>
      </c>
    </row>
    <row r="3233" spans="1:4" x14ac:dyDescent="0.3">
      <c r="A3233" s="88" t="s">
        <v>28</v>
      </c>
      <c r="B3233" s="88"/>
      <c r="C3233" s="16">
        <v>46258</v>
      </c>
      <c r="D3233" s="79">
        <v>1968.99</v>
      </c>
    </row>
    <row r="3234" spans="1:4" x14ac:dyDescent="0.3">
      <c r="A3234" s="88" t="s">
        <v>29</v>
      </c>
      <c r="B3234" s="88"/>
      <c r="C3234" s="16">
        <v>46258</v>
      </c>
      <c r="D3234" s="79">
        <v>901.34</v>
      </c>
    </row>
    <row r="3235" spans="1:4" x14ac:dyDescent="0.3">
      <c r="A3235" s="88" t="s">
        <v>30</v>
      </c>
      <c r="B3235" s="88"/>
      <c r="C3235" s="16">
        <v>46258</v>
      </c>
      <c r="D3235" s="79">
        <v>1396.08</v>
      </c>
    </row>
    <row r="3236" spans="1:4" x14ac:dyDescent="0.3">
      <c r="A3236" s="88" t="s">
        <v>31</v>
      </c>
      <c r="B3236" s="88"/>
      <c r="C3236" s="16">
        <v>46258</v>
      </c>
      <c r="D3236" s="79">
        <v>13685.709999999959</v>
      </c>
    </row>
    <row r="3237" spans="1:4" x14ac:dyDescent="0.3">
      <c r="A3237" s="88" t="s">
        <v>32</v>
      </c>
      <c r="B3237" s="88"/>
      <c r="C3237" s="16">
        <v>46258</v>
      </c>
      <c r="D3237" s="79">
        <v>8724.1700000000037</v>
      </c>
    </row>
    <row r="3238" spans="1:4" x14ac:dyDescent="0.3">
      <c r="A3238" s="88" t="s">
        <v>33</v>
      </c>
      <c r="B3238" s="88"/>
      <c r="C3238" s="16">
        <v>46258</v>
      </c>
      <c r="D3238" s="79">
        <v>19336.039999999997</v>
      </c>
    </row>
    <row r="3239" spans="1:4" x14ac:dyDescent="0.3">
      <c r="A3239" s="88" t="s">
        <v>34</v>
      </c>
      <c r="B3239" s="88"/>
      <c r="C3239" s="16">
        <v>46258</v>
      </c>
      <c r="D3239" s="79">
        <v>345</v>
      </c>
    </row>
    <row r="3240" spans="1:4" x14ac:dyDescent="0.3">
      <c r="A3240" s="88" t="s">
        <v>35</v>
      </c>
      <c r="B3240" s="88"/>
      <c r="C3240" s="16">
        <v>46258</v>
      </c>
      <c r="D3240" s="79">
        <v>12519.840000000004</v>
      </c>
    </row>
    <row r="3241" spans="1:4" x14ac:dyDescent="0.3">
      <c r="A3241" s="88" t="s">
        <v>193</v>
      </c>
      <c r="B3241" s="88"/>
      <c r="C3241" s="16">
        <v>46258</v>
      </c>
      <c r="D3241" s="79">
        <v>0</v>
      </c>
    </row>
    <row r="3242" spans="1:4" x14ac:dyDescent="0.3">
      <c r="A3242" s="88" t="s">
        <v>214</v>
      </c>
      <c r="B3242" s="88"/>
      <c r="C3242" s="16">
        <v>46258</v>
      </c>
      <c r="D3242" s="79">
        <v>0</v>
      </c>
    </row>
    <row r="3243" spans="1:4" x14ac:dyDescent="0.3">
      <c r="A3243" s="88" t="s">
        <v>194</v>
      </c>
      <c r="B3243" s="88"/>
      <c r="C3243" s="16">
        <v>46258</v>
      </c>
      <c r="D3243" s="79">
        <v>0</v>
      </c>
    </row>
    <row r="3244" spans="1:4" x14ac:dyDescent="0.3">
      <c r="A3244" s="88" t="s">
        <v>195</v>
      </c>
      <c r="B3244" s="88"/>
      <c r="C3244" s="16">
        <v>46258</v>
      </c>
      <c r="D3244" s="79">
        <v>0</v>
      </c>
    </row>
    <row r="3245" spans="1:4" x14ac:dyDescent="0.3">
      <c r="A3245" s="88" t="s">
        <v>196</v>
      </c>
      <c r="B3245" s="88"/>
      <c r="C3245" s="16">
        <v>46258</v>
      </c>
      <c r="D3245" s="79">
        <v>0</v>
      </c>
    </row>
    <row r="3246" spans="1:4" x14ac:dyDescent="0.3">
      <c r="A3246" s="88" t="s">
        <v>197</v>
      </c>
      <c r="B3246" s="88"/>
      <c r="C3246" s="16">
        <v>46258</v>
      </c>
      <c r="D3246" s="79">
        <v>0</v>
      </c>
    </row>
    <row r="3247" spans="1:4" x14ac:dyDescent="0.3">
      <c r="A3247" s="88" t="s">
        <v>212</v>
      </c>
      <c r="B3247" s="88"/>
      <c r="C3247" s="16">
        <v>46258</v>
      </c>
      <c r="D3247" s="79">
        <v>0</v>
      </c>
    </row>
    <row r="3248" spans="1:4" x14ac:dyDescent="0.3">
      <c r="A3248" s="88" t="s">
        <v>199</v>
      </c>
      <c r="B3248" s="88"/>
      <c r="C3248" s="16">
        <v>46258</v>
      </c>
      <c r="D3248" s="79">
        <v>0</v>
      </c>
    </row>
    <row r="3249" spans="1:4" x14ac:dyDescent="0.3">
      <c r="A3249" s="88" t="s">
        <v>217</v>
      </c>
      <c r="B3249" s="88"/>
      <c r="C3249" s="16">
        <v>46258</v>
      </c>
      <c r="D3249" s="79">
        <v>0</v>
      </c>
    </row>
    <row r="3250" spans="1:4" x14ac:dyDescent="0.3">
      <c r="A3250" s="88" t="s">
        <v>17</v>
      </c>
      <c r="B3250" s="88"/>
      <c r="C3250" s="16">
        <v>46259</v>
      </c>
      <c r="D3250" s="79">
        <v>526096.53000000049</v>
      </c>
    </row>
    <row r="3251" spans="1:4" x14ac:dyDescent="0.3">
      <c r="A3251" s="88" t="s">
        <v>18</v>
      </c>
      <c r="B3251" s="88"/>
      <c r="C3251" s="16">
        <v>46259</v>
      </c>
      <c r="D3251" s="79">
        <v>90643.10000000018</v>
      </c>
    </row>
    <row r="3252" spans="1:4" x14ac:dyDescent="0.3">
      <c r="A3252" s="88" t="s">
        <v>19</v>
      </c>
      <c r="B3252" s="88"/>
      <c r="C3252" s="16">
        <v>46259</v>
      </c>
      <c r="D3252" s="79">
        <v>1669.89</v>
      </c>
    </row>
    <row r="3253" spans="1:4" x14ac:dyDescent="0.3">
      <c r="A3253" s="88" t="s">
        <v>20</v>
      </c>
      <c r="B3253" s="88"/>
      <c r="C3253" s="16">
        <v>46259</v>
      </c>
      <c r="D3253" s="79">
        <v>1252108.94</v>
      </c>
    </row>
    <row r="3254" spans="1:4" x14ac:dyDescent="0.3">
      <c r="A3254" s="88" t="s">
        <v>21</v>
      </c>
      <c r="B3254" s="88"/>
      <c r="C3254" s="16">
        <v>46259</v>
      </c>
      <c r="D3254" s="79">
        <v>1743289.5899999996</v>
      </c>
    </row>
    <row r="3255" spans="1:4" x14ac:dyDescent="0.3">
      <c r="A3255" s="88" t="s">
        <v>22</v>
      </c>
      <c r="B3255" s="88"/>
      <c r="C3255" s="16">
        <v>46259</v>
      </c>
      <c r="D3255" s="79">
        <v>221496.38</v>
      </c>
    </row>
    <row r="3256" spans="1:4" x14ac:dyDescent="0.3">
      <c r="A3256" s="88" t="s">
        <v>23</v>
      </c>
      <c r="B3256" s="88"/>
      <c r="C3256" s="16">
        <v>46259</v>
      </c>
      <c r="D3256" s="79">
        <v>277586.34000000003</v>
      </c>
    </row>
    <row r="3257" spans="1:4" x14ac:dyDescent="0.3">
      <c r="A3257" s="88" t="s">
        <v>24</v>
      </c>
      <c r="B3257" s="88"/>
      <c r="C3257" s="16">
        <v>46259</v>
      </c>
      <c r="D3257" s="79">
        <v>13270.02</v>
      </c>
    </row>
    <row r="3258" spans="1:4" x14ac:dyDescent="0.3">
      <c r="A3258" s="88" t="s">
        <v>25</v>
      </c>
      <c r="B3258" s="88"/>
      <c r="C3258" s="16">
        <v>46259</v>
      </c>
      <c r="D3258" s="79">
        <v>24.450000000000003</v>
      </c>
    </row>
    <row r="3259" spans="1:4" x14ac:dyDescent="0.3">
      <c r="A3259" s="88" t="s">
        <v>26</v>
      </c>
      <c r="B3259" s="88"/>
      <c r="C3259" s="16">
        <v>46259</v>
      </c>
      <c r="D3259" s="79">
        <v>2177.87</v>
      </c>
    </row>
    <row r="3260" spans="1:4" x14ac:dyDescent="0.3">
      <c r="A3260" s="88" t="s">
        <v>27</v>
      </c>
      <c r="B3260" s="88"/>
      <c r="C3260" s="16">
        <v>46259</v>
      </c>
      <c r="D3260" s="79">
        <v>754424.72</v>
      </c>
    </row>
    <row r="3261" spans="1:4" x14ac:dyDescent="0.3">
      <c r="A3261" s="88" t="s">
        <v>28</v>
      </c>
      <c r="B3261" s="88"/>
      <c r="C3261" s="16">
        <v>46259</v>
      </c>
      <c r="D3261" s="79">
        <v>1968.99</v>
      </c>
    </row>
    <row r="3262" spans="1:4" x14ac:dyDescent="0.3">
      <c r="A3262" s="88" t="s">
        <v>29</v>
      </c>
      <c r="B3262" s="88"/>
      <c r="C3262" s="16">
        <v>46259</v>
      </c>
      <c r="D3262" s="79">
        <v>901.34</v>
      </c>
    </row>
    <row r="3263" spans="1:4" x14ac:dyDescent="0.3">
      <c r="A3263" s="88" t="s">
        <v>30</v>
      </c>
      <c r="B3263" s="88"/>
      <c r="C3263" s="16">
        <v>46259</v>
      </c>
      <c r="D3263" s="79">
        <v>1396.08</v>
      </c>
    </row>
    <row r="3264" spans="1:4" x14ac:dyDescent="0.3">
      <c r="A3264" s="88" t="s">
        <v>31</v>
      </c>
      <c r="B3264" s="88"/>
      <c r="C3264" s="16">
        <v>46259</v>
      </c>
      <c r="D3264" s="79">
        <v>13685.709999999959</v>
      </c>
    </row>
    <row r="3265" spans="1:4" x14ac:dyDescent="0.3">
      <c r="A3265" s="88" t="s">
        <v>32</v>
      </c>
      <c r="B3265" s="88"/>
      <c r="C3265" s="16">
        <v>46259</v>
      </c>
      <c r="D3265" s="79">
        <v>8724.1700000000037</v>
      </c>
    </row>
    <row r="3266" spans="1:4" x14ac:dyDescent="0.3">
      <c r="A3266" s="88" t="s">
        <v>33</v>
      </c>
      <c r="B3266" s="88"/>
      <c r="C3266" s="16">
        <v>46259</v>
      </c>
      <c r="D3266" s="79">
        <v>19336.039999999997</v>
      </c>
    </row>
    <row r="3267" spans="1:4" x14ac:dyDescent="0.3">
      <c r="A3267" s="88" t="s">
        <v>34</v>
      </c>
      <c r="B3267" s="88"/>
      <c r="C3267" s="16">
        <v>46259</v>
      </c>
      <c r="D3267" s="79">
        <v>345</v>
      </c>
    </row>
    <row r="3268" spans="1:4" x14ac:dyDescent="0.3">
      <c r="A3268" s="88" t="s">
        <v>35</v>
      </c>
      <c r="B3268" s="88"/>
      <c r="C3268" s="16">
        <v>46259</v>
      </c>
      <c r="D3268" s="79">
        <v>12519.840000000004</v>
      </c>
    </row>
    <row r="3269" spans="1:4" x14ac:dyDescent="0.3">
      <c r="A3269" s="88" t="s">
        <v>193</v>
      </c>
      <c r="B3269" s="88"/>
      <c r="C3269" s="16">
        <v>46259</v>
      </c>
      <c r="D3269" s="79">
        <v>0</v>
      </c>
    </row>
    <row r="3270" spans="1:4" x14ac:dyDescent="0.3">
      <c r="A3270" s="88" t="s">
        <v>214</v>
      </c>
      <c r="B3270" s="88"/>
      <c r="C3270" s="16">
        <v>46259</v>
      </c>
      <c r="D3270" s="79">
        <v>0</v>
      </c>
    </row>
    <row r="3271" spans="1:4" x14ac:dyDescent="0.3">
      <c r="A3271" s="88" t="s">
        <v>194</v>
      </c>
      <c r="B3271" s="88"/>
      <c r="C3271" s="16">
        <v>46259</v>
      </c>
      <c r="D3271" s="79">
        <v>0</v>
      </c>
    </row>
    <row r="3272" spans="1:4" x14ac:dyDescent="0.3">
      <c r="A3272" s="88" t="s">
        <v>195</v>
      </c>
      <c r="B3272" s="88"/>
      <c r="C3272" s="16">
        <v>46259</v>
      </c>
      <c r="D3272" s="79">
        <v>0</v>
      </c>
    </row>
    <row r="3273" spans="1:4" x14ac:dyDescent="0.3">
      <c r="A3273" s="88" t="s">
        <v>196</v>
      </c>
      <c r="B3273" s="88"/>
      <c r="C3273" s="16">
        <v>46259</v>
      </c>
      <c r="D3273" s="79">
        <v>0</v>
      </c>
    </row>
    <row r="3274" spans="1:4" x14ac:dyDescent="0.3">
      <c r="A3274" s="88" t="s">
        <v>197</v>
      </c>
      <c r="B3274" s="88"/>
      <c r="C3274" s="16">
        <v>46259</v>
      </c>
      <c r="D3274" s="79">
        <v>0</v>
      </c>
    </row>
    <row r="3275" spans="1:4" x14ac:dyDescent="0.3">
      <c r="A3275" s="88" t="s">
        <v>212</v>
      </c>
      <c r="B3275" s="88"/>
      <c r="C3275" s="16">
        <v>46259</v>
      </c>
      <c r="D3275" s="79">
        <v>0</v>
      </c>
    </row>
    <row r="3276" spans="1:4" x14ac:dyDescent="0.3">
      <c r="A3276" s="88" t="s">
        <v>199</v>
      </c>
      <c r="B3276" s="88"/>
      <c r="C3276" s="16">
        <v>46259</v>
      </c>
      <c r="D3276" s="79">
        <v>0</v>
      </c>
    </row>
    <row r="3277" spans="1:4" x14ac:dyDescent="0.3">
      <c r="A3277" s="88" t="s">
        <v>217</v>
      </c>
      <c r="B3277" s="88"/>
      <c r="C3277" s="16">
        <v>46259</v>
      </c>
      <c r="D3277" s="79">
        <v>0</v>
      </c>
    </row>
    <row r="3278" spans="1:4" x14ac:dyDescent="0.3">
      <c r="A3278" s="88" t="s">
        <v>17</v>
      </c>
      <c r="B3278" s="88"/>
      <c r="C3278" s="16">
        <v>46260</v>
      </c>
      <c r="D3278" s="79">
        <v>526096.53000000049</v>
      </c>
    </row>
    <row r="3279" spans="1:4" x14ac:dyDescent="0.3">
      <c r="A3279" s="88" t="s">
        <v>18</v>
      </c>
      <c r="B3279" s="88"/>
      <c r="C3279" s="16">
        <v>46260</v>
      </c>
      <c r="D3279" s="79">
        <v>90643.10000000018</v>
      </c>
    </row>
    <row r="3280" spans="1:4" x14ac:dyDescent="0.3">
      <c r="A3280" s="88" t="s">
        <v>19</v>
      </c>
      <c r="B3280" s="88"/>
      <c r="C3280" s="16">
        <v>46260</v>
      </c>
      <c r="D3280" s="79">
        <v>1669.89</v>
      </c>
    </row>
    <row r="3281" spans="1:4" x14ac:dyDescent="0.3">
      <c r="A3281" s="88" t="s">
        <v>20</v>
      </c>
      <c r="B3281" s="88"/>
      <c r="C3281" s="16">
        <v>46260</v>
      </c>
      <c r="D3281" s="79">
        <v>1269654.47</v>
      </c>
    </row>
    <row r="3282" spans="1:4" x14ac:dyDescent="0.3">
      <c r="A3282" s="88" t="s">
        <v>21</v>
      </c>
      <c r="B3282" s="88"/>
      <c r="C3282" s="16">
        <v>46260</v>
      </c>
      <c r="D3282" s="79">
        <v>1743289.5899999996</v>
      </c>
    </row>
    <row r="3283" spans="1:4" x14ac:dyDescent="0.3">
      <c r="A3283" s="88" t="s">
        <v>22</v>
      </c>
      <c r="B3283" s="88"/>
      <c r="C3283" s="16">
        <v>46260</v>
      </c>
      <c r="D3283" s="79">
        <v>221496.38</v>
      </c>
    </row>
    <row r="3284" spans="1:4" x14ac:dyDescent="0.3">
      <c r="A3284" s="88" t="s">
        <v>23</v>
      </c>
      <c r="B3284" s="88"/>
      <c r="C3284" s="16">
        <v>46260</v>
      </c>
      <c r="D3284" s="79">
        <v>277586.34000000003</v>
      </c>
    </row>
    <row r="3285" spans="1:4" x14ac:dyDescent="0.3">
      <c r="A3285" s="88" t="s">
        <v>24</v>
      </c>
      <c r="B3285" s="88"/>
      <c r="C3285" s="16">
        <v>46260</v>
      </c>
      <c r="D3285" s="79">
        <v>13270.02</v>
      </c>
    </row>
    <row r="3286" spans="1:4" x14ac:dyDescent="0.3">
      <c r="A3286" s="88" t="s">
        <v>25</v>
      </c>
      <c r="B3286" s="88"/>
      <c r="C3286" s="16">
        <v>46260</v>
      </c>
      <c r="D3286" s="79">
        <v>24.450000000000003</v>
      </c>
    </row>
    <row r="3287" spans="1:4" x14ac:dyDescent="0.3">
      <c r="A3287" s="88" t="s">
        <v>26</v>
      </c>
      <c r="B3287" s="88"/>
      <c r="C3287" s="16">
        <v>46260</v>
      </c>
      <c r="D3287" s="79">
        <v>2177.87</v>
      </c>
    </row>
    <row r="3288" spans="1:4" x14ac:dyDescent="0.3">
      <c r="A3288" s="88" t="s">
        <v>27</v>
      </c>
      <c r="B3288" s="88"/>
      <c r="C3288" s="16">
        <v>46260</v>
      </c>
      <c r="D3288" s="79">
        <v>754424.72</v>
      </c>
    </row>
    <row r="3289" spans="1:4" x14ac:dyDescent="0.3">
      <c r="A3289" s="88" t="s">
        <v>28</v>
      </c>
      <c r="B3289" s="88"/>
      <c r="C3289" s="16">
        <v>46260</v>
      </c>
      <c r="D3289" s="79">
        <v>1968.99</v>
      </c>
    </row>
    <row r="3290" spans="1:4" x14ac:dyDescent="0.3">
      <c r="A3290" s="88" t="s">
        <v>29</v>
      </c>
      <c r="B3290" s="88"/>
      <c r="C3290" s="16">
        <v>46260</v>
      </c>
      <c r="D3290" s="79">
        <v>901.34</v>
      </c>
    </row>
    <row r="3291" spans="1:4" x14ac:dyDescent="0.3">
      <c r="A3291" s="88" t="s">
        <v>30</v>
      </c>
      <c r="B3291" s="88"/>
      <c r="C3291" s="16">
        <v>46260</v>
      </c>
      <c r="D3291" s="79">
        <v>1396.08</v>
      </c>
    </row>
    <row r="3292" spans="1:4" x14ac:dyDescent="0.3">
      <c r="A3292" s="88" t="s">
        <v>31</v>
      </c>
      <c r="B3292" s="88"/>
      <c r="C3292" s="16">
        <v>46260</v>
      </c>
      <c r="D3292" s="79">
        <v>13685.709999999959</v>
      </c>
    </row>
    <row r="3293" spans="1:4" x14ac:dyDescent="0.3">
      <c r="A3293" s="88" t="s">
        <v>32</v>
      </c>
      <c r="B3293" s="88"/>
      <c r="C3293" s="16">
        <v>46260</v>
      </c>
      <c r="D3293" s="79">
        <v>8724.1700000000037</v>
      </c>
    </row>
    <row r="3294" spans="1:4" x14ac:dyDescent="0.3">
      <c r="A3294" s="88" t="s">
        <v>33</v>
      </c>
      <c r="B3294" s="88"/>
      <c r="C3294" s="16">
        <v>46260</v>
      </c>
      <c r="D3294" s="79">
        <v>19336.039999999997</v>
      </c>
    </row>
    <row r="3295" spans="1:4" x14ac:dyDescent="0.3">
      <c r="A3295" s="88" t="s">
        <v>34</v>
      </c>
      <c r="B3295" s="88"/>
      <c r="C3295" s="16">
        <v>46260</v>
      </c>
      <c r="D3295" s="79">
        <v>345</v>
      </c>
    </row>
    <row r="3296" spans="1:4" x14ac:dyDescent="0.3">
      <c r="A3296" s="88" t="s">
        <v>35</v>
      </c>
      <c r="B3296" s="88"/>
      <c r="C3296" s="16">
        <v>46260</v>
      </c>
      <c r="D3296" s="79">
        <v>12519.840000000004</v>
      </c>
    </row>
    <row r="3297" spans="1:4" x14ac:dyDescent="0.3">
      <c r="A3297" s="88" t="s">
        <v>193</v>
      </c>
      <c r="B3297" s="88"/>
      <c r="C3297" s="16">
        <v>46260</v>
      </c>
      <c r="D3297" s="79">
        <v>0</v>
      </c>
    </row>
    <row r="3298" spans="1:4" x14ac:dyDescent="0.3">
      <c r="A3298" s="88" t="s">
        <v>214</v>
      </c>
      <c r="B3298" s="88"/>
      <c r="C3298" s="16">
        <v>46260</v>
      </c>
      <c r="D3298" s="79">
        <v>0</v>
      </c>
    </row>
    <row r="3299" spans="1:4" x14ac:dyDescent="0.3">
      <c r="A3299" s="88" t="s">
        <v>194</v>
      </c>
      <c r="B3299" s="88"/>
      <c r="C3299" s="16">
        <v>46260</v>
      </c>
      <c r="D3299" s="79">
        <v>0</v>
      </c>
    </row>
    <row r="3300" spans="1:4" x14ac:dyDescent="0.3">
      <c r="A3300" s="88" t="s">
        <v>195</v>
      </c>
      <c r="B3300" s="88"/>
      <c r="C3300" s="16">
        <v>46260</v>
      </c>
      <c r="D3300" s="79">
        <v>0</v>
      </c>
    </row>
    <row r="3301" spans="1:4" x14ac:dyDescent="0.3">
      <c r="A3301" s="88" t="s">
        <v>196</v>
      </c>
      <c r="B3301" s="88"/>
      <c r="C3301" s="16">
        <v>46260</v>
      </c>
      <c r="D3301" s="79">
        <v>0</v>
      </c>
    </row>
    <row r="3302" spans="1:4" x14ac:dyDescent="0.3">
      <c r="A3302" s="88" t="s">
        <v>197</v>
      </c>
      <c r="B3302" s="88"/>
      <c r="C3302" s="16">
        <v>46260</v>
      </c>
      <c r="D3302" s="79">
        <v>0</v>
      </c>
    </row>
    <row r="3303" spans="1:4" x14ac:dyDescent="0.3">
      <c r="A3303" s="88" t="s">
        <v>212</v>
      </c>
      <c r="B3303" s="88"/>
      <c r="C3303" s="16">
        <v>46260</v>
      </c>
      <c r="D3303" s="79">
        <v>0</v>
      </c>
    </row>
    <row r="3304" spans="1:4" x14ac:dyDescent="0.3">
      <c r="A3304" s="88" t="s">
        <v>199</v>
      </c>
      <c r="B3304" s="88"/>
      <c r="C3304" s="16">
        <v>46260</v>
      </c>
      <c r="D3304" s="79">
        <v>0</v>
      </c>
    </row>
    <row r="3305" spans="1:4" x14ac:dyDescent="0.3">
      <c r="A3305" s="88" t="s">
        <v>217</v>
      </c>
      <c r="B3305" s="88"/>
      <c r="C3305" s="16">
        <v>46260</v>
      </c>
      <c r="D3305" s="79">
        <v>0</v>
      </c>
    </row>
    <row r="3306" spans="1:4" x14ac:dyDescent="0.3">
      <c r="A3306" s="88" t="s">
        <v>17</v>
      </c>
      <c r="B3306" s="88"/>
      <c r="C3306" s="16">
        <v>46261</v>
      </c>
      <c r="D3306" s="79">
        <v>578093.59000000043</v>
      </c>
    </row>
    <row r="3307" spans="1:4" x14ac:dyDescent="0.3">
      <c r="A3307" s="88" t="s">
        <v>18</v>
      </c>
      <c r="B3307" s="88"/>
      <c r="C3307" s="16">
        <v>46261</v>
      </c>
      <c r="D3307" s="79">
        <v>90643.10000000018</v>
      </c>
    </row>
    <row r="3308" spans="1:4" x14ac:dyDescent="0.3">
      <c r="A3308" s="88" t="s">
        <v>19</v>
      </c>
      <c r="B3308" s="88"/>
      <c r="C3308" s="16">
        <v>46261</v>
      </c>
      <c r="D3308" s="79">
        <v>1669.89</v>
      </c>
    </row>
    <row r="3309" spans="1:4" x14ac:dyDescent="0.3">
      <c r="A3309" s="88" t="s">
        <v>20</v>
      </c>
      <c r="B3309" s="88"/>
      <c r="C3309" s="16">
        <v>46261</v>
      </c>
      <c r="D3309" s="79">
        <v>1394654.47</v>
      </c>
    </row>
    <row r="3310" spans="1:4" x14ac:dyDescent="0.3">
      <c r="A3310" s="88" t="s">
        <v>21</v>
      </c>
      <c r="B3310" s="88"/>
      <c r="C3310" s="16">
        <v>46261</v>
      </c>
      <c r="D3310" s="79">
        <v>1719364.7199999997</v>
      </c>
    </row>
    <row r="3311" spans="1:4" x14ac:dyDescent="0.3">
      <c r="A3311" s="88" t="s">
        <v>22</v>
      </c>
      <c r="B3311" s="88"/>
      <c r="C3311" s="16">
        <v>46261</v>
      </c>
      <c r="D3311" s="79">
        <v>221496.38</v>
      </c>
    </row>
    <row r="3312" spans="1:4" x14ac:dyDescent="0.3">
      <c r="A3312" s="88" t="s">
        <v>23</v>
      </c>
      <c r="B3312" s="88"/>
      <c r="C3312" s="16">
        <v>46261</v>
      </c>
      <c r="D3312" s="79">
        <v>277586.34000000003</v>
      </c>
    </row>
    <row r="3313" spans="1:4" x14ac:dyDescent="0.3">
      <c r="A3313" s="88" t="s">
        <v>24</v>
      </c>
      <c r="B3313" s="88"/>
      <c r="C3313" s="16">
        <v>46261</v>
      </c>
      <c r="D3313" s="79">
        <v>13270.02</v>
      </c>
    </row>
    <row r="3314" spans="1:4" x14ac:dyDescent="0.3">
      <c r="A3314" s="88" t="s">
        <v>25</v>
      </c>
      <c r="B3314" s="88"/>
      <c r="C3314" s="16">
        <v>46261</v>
      </c>
      <c r="D3314" s="79">
        <v>124.45</v>
      </c>
    </row>
    <row r="3315" spans="1:4" x14ac:dyDescent="0.3">
      <c r="A3315" s="88" t="s">
        <v>26</v>
      </c>
      <c r="B3315" s="88"/>
      <c r="C3315" s="16">
        <v>46261</v>
      </c>
      <c r="D3315" s="79">
        <v>2177.87</v>
      </c>
    </row>
    <row r="3316" spans="1:4" x14ac:dyDescent="0.3">
      <c r="A3316" s="88" t="s">
        <v>27</v>
      </c>
      <c r="B3316" s="88"/>
      <c r="C3316" s="16">
        <v>46261</v>
      </c>
      <c r="D3316" s="79">
        <v>754424.72</v>
      </c>
    </row>
    <row r="3317" spans="1:4" x14ac:dyDescent="0.3">
      <c r="A3317" s="88" t="s">
        <v>28</v>
      </c>
      <c r="B3317" s="88"/>
      <c r="C3317" s="16">
        <v>46261</v>
      </c>
      <c r="D3317" s="79">
        <v>1968.99</v>
      </c>
    </row>
    <row r="3318" spans="1:4" x14ac:dyDescent="0.3">
      <c r="A3318" s="88" t="s">
        <v>29</v>
      </c>
      <c r="B3318" s="88"/>
      <c r="C3318" s="16">
        <v>46261</v>
      </c>
      <c r="D3318" s="79">
        <v>901.34</v>
      </c>
    </row>
    <row r="3319" spans="1:4" x14ac:dyDescent="0.3">
      <c r="A3319" s="88" t="s">
        <v>30</v>
      </c>
      <c r="B3319" s="88"/>
      <c r="C3319" s="16">
        <v>46261</v>
      </c>
      <c r="D3319" s="79">
        <v>1396.08</v>
      </c>
    </row>
    <row r="3320" spans="1:4" x14ac:dyDescent="0.3">
      <c r="A3320" s="88" t="s">
        <v>31</v>
      </c>
      <c r="B3320" s="88"/>
      <c r="C3320" s="16">
        <v>46261</v>
      </c>
      <c r="D3320" s="79">
        <v>33685.709999999963</v>
      </c>
    </row>
    <row r="3321" spans="1:4" x14ac:dyDescent="0.3">
      <c r="A3321" s="88" t="s">
        <v>32</v>
      </c>
      <c r="B3321" s="88"/>
      <c r="C3321" s="16">
        <v>46261</v>
      </c>
      <c r="D3321" s="79">
        <v>29724.170000000006</v>
      </c>
    </row>
    <row r="3322" spans="1:4" x14ac:dyDescent="0.3">
      <c r="A3322" s="88" t="s">
        <v>33</v>
      </c>
      <c r="B3322" s="88"/>
      <c r="C3322" s="16">
        <v>46261</v>
      </c>
      <c r="D3322" s="79">
        <v>19336.039999999997</v>
      </c>
    </row>
    <row r="3323" spans="1:4" x14ac:dyDescent="0.3">
      <c r="A3323" s="88" t="s">
        <v>34</v>
      </c>
      <c r="B3323" s="88"/>
      <c r="C3323" s="16">
        <v>46261</v>
      </c>
      <c r="D3323" s="79">
        <v>345</v>
      </c>
    </row>
    <row r="3324" spans="1:4" x14ac:dyDescent="0.3">
      <c r="A3324" s="88" t="s">
        <v>35</v>
      </c>
      <c r="B3324" s="88"/>
      <c r="C3324" s="16">
        <v>46261</v>
      </c>
      <c r="D3324" s="79">
        <v>9608.7000000000025</v>
      </c>
    </row>
    <row r="3325" spans="1:4" x14ac:dyDescent="0.3">
      <c r="A3325" s="88" t="s">
        <v>193</v>
      </c>
      <c r="B3325" s="88"/>
      <c r="C3325" s="16">
        <v>46261</v>
      </c>
      <c r="D3325" s="79">
        <v>0</v>
      </c>
    </row>
    <row r="3326" spans="1:4" x14ac:dyDescent="0.3">
      <c r="A3326" s="88" t="s">
        <v>214</v>
      </c>
      <c r="B3326" s="88"/>
      <c r="C3326" s="16">
        <v>46261</v>
      </c>
      <c r="D3326" s="79">
        <v>0</v>
      </c>
    </row>
    <row r="3327" spans="1:4" x14ac:dyDescent="0.3">
      <c r="A3327" s="88" t="s">
        <v>194</v>
      </c>
      <c r="B3327" s="88"/>
      <c r="C3327" s="16">
        <v>46261</v>
      </c>
      <c r="D3327" s="79">
        <v>0</v>
      </c>
    </row>
    <row r="3328" spans="1:4" x14ac:dyDescent="0.3">
      <c r="A3328" s="88" t="s">
        <v>195</v>
      </c>
      <c r="B3328" s="88"/>
      <c r="C3328" s="16">
        <v>46261</v>
      </c>
      <c r="D3328" s="79">
        <v>0</v>
      </c>
    </row>
    <row r="3329" spans="1:4" x14ac:dyDescent="0.3">
      <c r="A3329" s="88" t="s">
        <v>196</v>
      </c>
      <c r="B3329" s="88"/>
      <c r="C3329" s="16">
        <v>46261</v>
      </c>
      <c r="D3329" s="79">
        <v>0</v>
      </c>
    </row>
    <row r="3330" spans="1:4" x14ac:dyDescent="0.3">
      <c r="A3330" s="88" t="s">
        <v>197</v>
      </c>
      <c r="B3330" s="88"/>
      <c r="C3330" s="16">
        <v>46261</v>
      </c>
      <c r="D3330" s="79">
        <v>0</v>
      </c>
    </row>
    <row r="3331" spans="1:4" x14ac:dyDescent="0.3">
      <c r="A3331" s="88" t="s">
        <v>212</v>
      </c>
      <c r="B3331" s="88"/>
      <c r="C3331" s="16">
        <v>46261</v>
      </c>
      <c r="D3331" s="79">
        <v>0</v>
      </c>
    </row>
    <row r="3332" spans="1:4" x14ac:dyDescent="0.3">
      <c r="A3332" s="88" t="s">
        <v>199</v>
      </c>
      <c r="B3332" s="88"/>
      <c r="C3332" s="16">
        <v>46261</v>
      </c>
      <c r="D3332" s="79">
        <v>0</v>
      </c>
    </row>
    <row r="3333" spans="1:4" x14ac:dyDescent="0.3">
      <c r="A3333" s="88" t="s">
        <v>217</v>
      </c>
      <c r="B3333" s="88"/>
      <c r="C3333" s="16">
        <v>46261</v>
      </c>
      <c r="D3333" s="79">
        <v>0</v>
      </c>
    </row>
    <row r="3334" spans="1:4" x14ac:dyDescent="0.3">
      <c r="A3334" s="88" t="s">
        <v>17</v>
      </c>
      <c r="B3334" s="88"/>
      <c r="C3334" s="16">
        <v>46262</v>
      </c>
      <c r="D3334" s="79">
        <v>743430.83000000054</v>
      </c>
    </row>
    <row r="3335" spans="1:4" x14ac:dyDescent="0.3">
      <c r="A3335" s="88" t="s">
        <v>18</v>
      </c>
      <c r="B3335" s="88"/>
      <c r="C3335" s="16">
        <v>46262</v>
      </c>
      <c r="D3335" s="79">
        <v>93280.230000000171</v>
      </c>
    </row>
    <row r="3336" spans="1:4" x14ac:dyDescent="0.3">
      <c r="A3336" s="88" t="s">
        <v>19</v>
      </c>
      <c r="B3336" s="88"/>
      <c r="C3336" s="16">
        <v>46262</v>
      </c>
      <c r="D3336" s="79">
        <v>1669.89</v>
      </c>
    </row>
    <row r="3337" spans="1:4" x14ac:dyDescent="0.3">
      <c r="A3337" s="88" t="s">
        <v>20</v>
      </c>
      <c r="B3337" s="88"/>
      <c r="C3337" s="16">
        <v>46262</v>
      </c>
      <c r="D3337" s="79">
        <v>1418445.91</v>
      </c>
    </row>
    <row r="3338" spans="1:4" x14ac:dyDescent="0.3">
      <c r="A3338" s="88" t="s">
        <v>21</v>
      </c>
      <c r="B3338" s="88"/>
      <c r="C3338" s="16">
        <v>46262</v>
      </c>
      <c r="D3338" s="79">
        <v>1553167.1899999995</v>
      </c>
    </row>
    <row r="3339" spans="1:4" x14ac:dyDescent="0.3">
      <c r="A3339" s="88" t="s">
        <v>22</v>
      </c>
      <c r="B3339" s="88"/>
      <c r="C3339" s="16">
        <v>46262</v>
      </c>
      <c r="D3339" s="79">
        <v>221496.38</v>
      </c>
    </row>
    <row r="3340" spans="1:4" x14ac:dyDescent="0.3">
      <c r="A3340" s="88" t="s">
        <v>23</v>
      </c>
      <c r="B3340" s="88"/>
      <c r="C3340" s="16">
        <v>46262</v>
      </c>
      <c r="D3340" s="79">
        <v>217684.34</v>
      </c>
    </row>
    <row r="3341" spans="1:4" x14ac:dyDescent="0.3">
      <c r="A3341" s="88" t="s">
        <v>24</v>
      </c>
      <c r="B3341" s="88"/>
      <c r="C3341" s="16">
        <v>46262</v>
      </c>
      <c r="D3341" s="79">
        <v>13270.02</v>
      </c>
    </row>
    <row r="3342" spans="1:4" x14ac:dyDescent="0.3">
      <c r="A3342" s="88" t="s">
        <v>25</v>
      </c>
      <c r="B3342" s="88"/>
      <c r="C3342" s="16">
        <v>46262</v>
      </c>
      <c r="D3342" s="79">
        <v>124.45</v>
      </c>
    </row>
    <row r="3343" spans="1:4" x14ac:dyDescent="0.3">
      <c r="A3343" s="88" t="s">
        <v>26</v>
      </c>
      <c r="B3343" s="88"/>
      <c r="C3343" s="16">
        <v>46262</v>
      </c>
      <c r="D3343" s="79">
        <v>2177.87</v>
      </c>
    </row>
    <row r="3344" spans="1:4" x14ac:dyDescent="0.3">
      <c r="A3344" s="88" t="s">
        <v>27</v>
      </c>
      <c r="B3344" s="88"/>
      <c r="C3344" s="16">
        <v>46262</v>
      </c>
      <c r="D3344" s="79">
        <v>754424.72</v>
      </c>
    </row>
    <row r="3345" spans="1:4" x14ac:dyDescent="0.3">
      <c r="A3345" s="88" t="s">
        <v>28</v>
      </c>
      <c r="B3345" s="88"/>
      <c r="C3345" s="16">
        <v>46262</v>
      </c>
      <c r="D3345" s="79">
        <v>1968.99</v>
      </c>
    </row>
    <row r="3346" spans="1:4" x14ac:dyDescent="0.3">
      <c r="A3346" s="88" t="s">
        <v>29</v>
      </c>
      <c r="B3346" s="88"/>
      <c r="C3346" s="16">
        <v>46262</v>
      </c>
      <c r="D3346" s="79">
        <v>901.34</v>
      </c>
    </row>
    <row r="3347" spans="1:4" x14ac:dyDescent="0.3">
      <c r="A3347" s="88" t="s">
        <v>30</v>
      </c>
      <c r="B3347" s="88"/>
      <c r="C3347" s="16">
        <v>46262</v>
      </c>
      <c r="D3347" s="79">
        <v>1396.08</v>
      </c>
    </row>
    <row r="3348" spans="1:4" x14ac:dyDescent="0.3">
      <c r="A3348" s="88" t="s">
        <v>31</v>
      </c>
      <c r="B3348" s="88"/>
      <c r="C3348" s="16">
        <v>46262</v>
      </c>
      <c r="D3348" s="79">
        <v>33670.709999999963</v>
      </c>
    </row>
    <row r="3349" spans="1:4" x14ac:dyDescent="0.3">
      <c r="A3349" s="88" t="s">
        <v>32</v>
      </c>
      <c r="B3349" s="88"/>
      <c r="C3349" s="16">
        <v>46262</v>
      </c>
      <c r="D3349" s="79">
        <v>29709.170000000006</v>
      </c>
    </row>
    <row r="3350" spans="1:4" x14ac:dyDescent="0.3">
      <c r="A3350" s="88" t="s">
        <v>33</v>
      </c>
      <c r="B3350" s="88"/>
      <c r="C3350" s="16">
        <v>46262</v>
      </c>
      <c r="D3350" s="79">
        <v>19336.039999999997</v>
      </c>
    </row>
    <row r="3351" spans="1:4" x14ac:dyDescent="0.3">
      <c r="A3351" s="88" t="s">
        <v>34</v>
      </c>
      <c r="B3351" s="88"/>
      <c r="C3351" s="16">
        <v>46262</v>
      </c>
      <c r="D3351" s="79">
        <v>345</v>
      </c>
    </row>
    <row r="3352" spans="1:4" x14ac:dyDescent="0.3">
      <c r="A3352" s="88" t="s">
        <v>35</v>
      </c>
      <c r="B3352" s="88"/>
      <c r="C3352" s="16">
        <v>46262</v>
      </c>
      <c r="D3352" s="79">
        <v>9560.0000000000018</v>
      </c>
    </row>
    <row r="3353" spans="1:4" x14ac:dyDescent="0.3">
      <c r="A3353" s="88" t="s">
        <v>193</v>
      </c>
      <c r="B3353" s="88"/>
      <c r="C3353" s="16">
        <v>46262</v>
      </c>
      <c r="D3353" s="79">
        <v>0</v>
      </c>
    </row>
    <row r="3354" spans="1:4" x14ac:dyDescent="0.3">
      <c r="A3354" s="88" t="s">
        <v>214</v>
      </c>
      <c r="B3354" s="88"/>
      <c r="C3354" s="16">
        <v>46262</v>
      </c>
      <c r="D3354" s="79">
        <v>0</v>
      </c>
    </row>
    <row r="3355" spans="1:4" x14ac:dyDescent="0.3">
      <c r="A3355" s="88" t="s">
        <v>194</v>
      </c>
      <c r="B3355" s="88"/>
      <c r="C3355" s="16">
        <v>46262</v>
      </c>
      <c r="D3355" s="79">
        <v>0</v>
      </c>
    </row>
    <row r="3356" spans="1:4" x14ac:dyDescent="0.3">
      <c r="A3356" s="88" t="s">
        <v>195</v>
      </c>
      <c r="B3356" s="88"/>
      <c r="C3356" s="16">
        <v>46262</v>
      </c>
      <c r="D3356" s="79">
        <v>0</v>
      </c>
    </row>
    <row r="3357" spans="1:4" x14ac:dyDescent="0.3">
      <c r="A3357" s="88" t="s">
        <v>196</v>
      </c>
      <c r="B3357" s="88"/>
      <c r="C3357" s="16">
        <v>46262</v>
      </c>
      <c r="D3357" s="79">
        <v>0</v>
      </c>
    </row>
    <row r="3358" spans="1:4" x14ac:dyDescent="0.3">
      <c r="A3358" s="88" t="s">
        <v>197</v>
      </c>
      <c r="B3358" s="88"/>
      <c r="C3358" s="16">
        <v>46262</v>
      </c>
      <c r="D3358" s="79">
        <v>0</v>
      </c>
    </row>
    <row r="3359" spans="1:4" x14ac:dyDescent="0.3">
      <c r="A3359" s="88" t="s">
        <v>212</v>
      </c>
      <c r="B3359" s="88"/>
      <c r="C3359" s="16">
        <v>46262</v>
      </c>
      <c r="D3359" s="79">
        <v>0</v>
      </c>
    </row>
    <row r="3360" spans="1:4" x14ac:dyDescent="0.3">
      <c r="A3360" s="88" t="s">
        <v>199</v>
      </c>
      <c r="B3360" s="88"/>
      <c r="C3360" s="16">
        <v>46262</v>
      </c>
      <c r="D3360" s="79">
        <v>0</v>
      </c>
    </row>
    <row r="3361" spans="1:4" x14ac:dyDescent="0.3">
      <c r="A3361" s="88" t="s">
        <v>217</v>
      </c>
      <c r="B3361" s="88"/>
      <c r="C3361" s="16">
        <v>46262</v>
      </c>
      <c r="D3361" s="79">
        <v>0</v>
      </c>
    </row>
    <row r="3362" spans="1:4" x14ac:dyDescent="0.3">
      <c r="A3362" s="88" t="s">
        <v>17</v>
      </c>
      <c r="B3362" s="88"/>
      <c r="C3362" s="16">
        <v>46263</v>
      </c>
      <c r="D3362" s="79">
        <v>743430.83000000054</v>
      </c>
    </row>
    <row r="3363" spans="1:4" x14ac:dyDescent="0.3">
      <c r="A3363" s="88" t="s">
        <v>18</v>
      </c>
      <c r="B3363" s="88"/>
      <c r="C3363" s="16">
        <v>46263</v>
      </c>
      <c r="D3363" s="79">
        <v>93280.230000000171</v>
      </c>
    </row>
    <row r="3364" spans="1:4" x14ac:dyDescent="0.3">
      <c r="A3364" s="88" t="s">
        <v>19</v>
      </c>
      <c r="B3364" s="88"/>
      <c r="C3364" s="16">
        <v>46263</v>
      </c>
      <c r="D3364" s="79">
        <v>1669.89</v>
      </c>
    </row>
    <row r="3365" spans="1:4" x14ac:dyDescent="0.3">
      <c r="A3365" s="88" t="s">
        <v>20</v>
      </c>
      <c r="B3365" s="88"/>
      <c r="C3365" s="16">
        <v>46263</v>
      </c>
      <c r="D3365" s="79">
        <v>1418445.91</v>
      </c>
    </row>
    <row r="3366" spans="1:4" x14ac:dyDescent="0.3">
      <c r="A3366" s="88" t="s">
        <v>21</v>
      </c>
      <c r="B3366" s="88"/>
      <c r="C3366" s="16">
        <v>46263</v>
      </c>
      <c r="D3366" s="79">
        <v>1553167.1899999995</v>
      </c>
    </row>
    <row r="3367" spans="1:4" x14ac:dyDescent="0.3">
      <c r="A3367" s="88" t="s">
        <v>22</v>
      </c>
      <c r="B3367" s="88"/>
      <c r="C3367" s="16">
        <v>46263</v>
      </c>
      <c r="D3367" s="79">
        <v>221496.38</v>
      </c>
    </row>
    <row r="3368" spans="1:4" x14ac:dyDescent="0.3">
      <c r="A3368" s="88" t="s">
        <v>23</v>
      </c>
      <c r="B3368" s="88"/>
      <c r="C3368" s="16">
        <v>46263</v>
      </c>
      <c r="D3368" s="79">
        <v>217684.34</v>
      </c>
    </row>
    <row r="3369" spans="1:4" x14ac:dyDescent="0.3">
      <c r="A3369" s="88" t="s">
        <v>24</v>
      </c>
      <c r="B3369" s="88"/>
      <c r="C3369" s="16">
        <v>46263</v>
      </c>
      <c r="D3369" s="79">
        <v>13270.02</v>
      </c>
    </row>
    <row r="3370" spans="1:4" x14ac:dyDescent="0.3">
      <c r="A3370" s="88" t="s">
        <v>25</v>
      </c>
      <c r="B3370" s="88"/>
      <c r="C3370" s="16">
        <v>46263</v>
      </c>
      <c r="D3370" s="79">
        <v>124.45</v>
      </c>
    </row>
    <row r="3371" spans="1:4" x14ac:dyDescent="0.3">
      <c r="A3371" s="88" t="s">
        <v>26</v>
      </c>
      <c r="B3371" s="88"/>
      <c r="C3371" s="16">
        <v>46263</v>
      </c>
      <c r="D3371" s="79">
        <v>2177.87</v>
      </c>
    </row>
    <row r="3372" spans="1:4" x14ac:dyDescent="0.3">
      <c r="A3372" s="88" t="s">
        <v>27</v>
      </c>
      <c r="B3372" s="88"/>
      <c r="C3372" s="16">
        <v>46263</v>
      </c>
      <c r="D3372" s="79">
        <v>754424.72</v>
      </c>
    </row>
    <row r="3373" spans="1:4" x14ac:dyDescent="0.3">
      <c r="A3373" s="88" t="s">
        <v>28</v>
      </c>
      <c r="B3373" s="88"/>
      <c r="C3373" s="16">
        <v>46263</v>
      </c>
      <c r="D3373" s="79">
        <v>1968.99</v>
      </c>
    </row>
    <row r="3374" spans="1:4" x14ac:dyDescent="0.3">
      <c r="A3374" s="88" t="s">
        <v>29</v>
      </c>
      <c r="B3374" s="88"/>
      <c r="C3374" s="16">
        <v>46263</v>
      </c>
      <c r="D3374" s="79">
        <v>901.34</v>
      </c>
    </row>
    <row r="3375" spans="1:4" x14ac:dyDescent="0.3">
      <c r="A3375" s="88" t="s">
        <v>30</v>
      </c>
      <c r="B3375" s="88"/>
      <c r="C3375" s="16">
        <v>46263</v>
      </c>
      <c r="D3375" s="79">
        <v>1396.08</v>
      </c>
    </row>
    <row r="3376" spans="1:4" x14ac:dyDescent="0.3">
      <c r="A3376" s="88" t="s">
        <v>31</v>
      </c>
      <c r="B3376" s="88"/>
      <c r="C3376" s="16">
        <v>46263</v>
      </c>
      <c r="D3376" s="79">
        <v>33670.709999999963</v>
      </c>
    </row>
    <row r="3377" spans="1:4" x14ac:dyDescent="0.3">
      <c r="A3377" s="88" t="s">
        <v>32</v>
      </c>
      <c r="B3377" s="88"/>
      <c r="C3377" s="16">
        <v>46263</v>
      </c>
      <c r="D3377" s="79">
        <v>29709.170000000006</v>
      </c>
    </row>
    <row r="3378" spans="1:4" x14ac:dyDescent="0.3">
      <c r="A3378" s="88" t="s">
        <v>33</v>
      </c>
      <c r="B3378" s="88"/>
      <c r="C3378" s="16">
        <v>46263</v>
      </c>
      <c r="D3378" s="79">
        <v>19336.039999999997</v>
      </c>
    </row>
    <row r="3379" spans="1:4" x14ac:dyDescent="0.3">
      <c r="A3379" s="88" t="s">
        <v>34</v>
      </c>
      <c r="B3379" s="88"/>
      <c r="C3379" s="16">
        <v>46263</v>
      </c>
      <c r="D3379" s="79">
        <v>345</v>
      </c>
    </row>
    <row r="3380" spans="1:4" x14ac:dyDescent="0.3">
      <c r="A3380" s="88" t="s">
        <v>35</v>
      </c>
      <c r="B3380" s="88"/>
      <c r="C3380" s="16">
        <v>46263</v>
      </c>
      <c r="D3380" s="79">
        <v>9560.0000000000018</v>
      </c>
    </row>
    <row r="3381" spans="1:4" x14ac:dyDescent="0.3">
      <c r="A3381" s="88" t="s">
        <v>193</v>
      </c>
      <c r="B3381" s="88"/>
      <c r="C3381" s="16">
        <v>46263</v>
      </c>
      <c r="D3381" s="79">
        <v>0</v>
      </c>
    </row>
    <row r="3382" spans="1:4" x14ac:dyDescent="0.3">
      <c r="A3382" s="88" t="s">
        <v>214</v>
      </c>
      <c r="B3382" s="88"/>
      <c r="C3382" s="16">
        <v>46263</v>
      </c>
      <c r="D3382" s="79">
        <v>0</v>
      </c>
    </row>
    <row r="3383" spans="1:4" x14ac:dyDescent="0.3">
      <c r="A3383" s="88" t="s">
        <v>194</v>
      </c>
      <c r="B3383" s="88"/>
      <c r="C3383" s="16">
        <v>46263</v>
      </c>
      <c r="D3383" s="79">
        <v>0</v>
      </c>
    </row>
    <row r="3384" spans="1:4" x14ac:dyDescent="0.3">
      <c r="A3384" s="88" t="s">
        <v>195</v>
      </c>
      <c r="B3384" s="88"/>
      <c r="C3384" s="16">
        <v>46263</v>
      </c>
      <c r="D3384" s="79">
        <v>0</v>
      </c>
    </row>
    <row r="3385" spans="1:4" x14ac:dyDescent="0.3">
      <c r="A3385" s="88" t="s">
        <v>196</v>
      </c>
      <c r="B3385" s="88"/>
      <c r="C3385" s="16">
        <v>46263</v>
      </c>
      <c r="D3385" s="79">
        <v>0</v>
      </c>
    </row>
    <row r="3386" spans="1:4" x14ac:dyDescent="0.3">
      <c r="A3386" s="88" t="s">
        <v>197</v>
      </c>
      <c r="B3386" s="88"/>
      <c r="C3386" s="16">
        <v>46263</v>
      </c>
      <c r="D3386" s="79">
        <v>0</v>
      </c>
    </row>
    <row r="3387" spans="1:4" x14ac:dyDescent="0.3">
      <c r="A3387" s="88" t="s">
        <v>212</v>
      </c>
      <c r="B3387" s="88"/>
      <c r="C3387" s="16">
        <v>46263</v>
      </c>
      <c r="D3387" s="79">
        <v>0</v>
      </c>
    </row>
    <row r="3388" spans="1:4" x14ac:dyDescent="0.3">
      <c r="A3388" s="88" t="s">
        <v>199</v>
      </c>
      <c r="B3388" s="88"/>
      <c r="C3388" s="16">
        <v>46263</v>
      </c>
      <c r="D3388" s="79">
        <v>0</v>
      </c>
    </row>
    <row r="3389" spans="1:4" x14ac:dyDescent="0.3">
      <c r="A3389" s="88" t="s">
        <v>217</v>
      </c>
      <c r="B3389" s="88"/>
      <c r="C3389" s="16">
        <v>46263</v>
      </c>
      <c r="D3389" s="79">
        <v>0</v>
      </c>
    </row>
    <row r="3390" spans="1:4" x14ac:dyDescent="0.3">
      <c r="A3390" s="88" t="s">
        <v>17</v>
      </c>
      <c r="B3390" s="88"/>
      <c r="C3390" s="16">
        <v>46264</v>
      </c>
      <c r="D3390" s="79">
        <v>743430.83000000054</v>
      </c>
    </row>
    <row r="3391" spans="1:4" x14ac:dyDescent="0.3">
      <c r="A3391" s="88" t="s">
        <v>18</v>
      </c>
      <c r="B3391" s="88"/>
      <c r="C3391" s="16">
        <v>46264</v>
      </c>
      <c r="D3391" s="79">
        <v>93280.230000000171</v>
      </c>
    </row>
    <row r="3392" spans="1:4" x14ac:dyDescent="0.3">
      <c r="A3392" s="88" t="s">
        <v>19</v>
      </c>
      <c r="B3392" s="88"/>
      <c r="C3392" s="16">
        <v>46264</v>
      </c>
      <c r="D3392" s="79">
        <v>1669.89</v>
      </c>
    </row>
    <row r="3393" spans="1:4" x14ac:dyDescent="0.3">
      <c r="A3393" s="88" t="s">
        <v>20</v>
      </c>
      <c r="B3393" s="88"/>
      <c r="C3393" s="16">
        <v>46264</v>
      </c>
      <c r="D3393" s="79">
        <v>1418445.91</v>
      </c>
    </row>
    <row r="3394" spans="1:4" x14ac:dyDescent="0.3">
      <c r="A3394" s="88" t="s">
        <v>21</v>
      </c>
      <c r="B3394" s="88"/>
      <c r="C3394" s="16">
        <v>46264</v>
      </c>
      <c r="D3394" s="79">
        <v>1553167.1899999995</v>
      </c>
    </row>
    <row r="3395" spans="1:4" x14ac:dyDescent="0.3">
      <c r="A3395" s="88" t="s">
        <v>22</v>
      </c>
      <c r="B3395" s="88"/>
      <c r="C3395" s="16">
        <v>46264</v>
      </c>
      <c r="D3395" s="79">
        <v>221496.38</v>
      </c>
    </row>
    <row r="3396" spans="1:4" x14ac:dyDescent="0.3">
      <c r="A3396" s="88" t="s">
        <v>23</v>
      </c>
      <c r="B3396" s="88"/>
      <c r="C3396" s="16">
        <v>46264</v>
      </c>
      <c r="D3396" s="79">
        <v>217684.34</v>
      </c>
    </row>
    <row r="3397" spans="1:4" x14ac:dyDescent="0.3">
      <c r="A3397" s="88" t="s">
        <v>24</v>
      </c>
      <c r="B3397" s="88"/>
      <c r="C3397" s="16">
        <v>46264</v>
      </c>
      <c r="D3397" s="79">
        <v>13270.02</v>
      </c>
    </row>
    <row r="3398" spans="1:4" x14ac:dyDescent="0.3">
      <c r="A3398" s="88" t="s">
        <v>25</v>
      </c>
      <c r="B3398" s="88"/>
      <c r="C3398" s="16">
        <v>46264</v>
      </c>
      <c r="D3398" s="79">
        <v>124.45</v>
      </c>
    </row>
    <row r="3399" spans="1:4" x14ac:dyDescent="0.3">
      <c r="A3399" s="88" t="s">
        <v>26</v>
      </c>
      <c r="B3399" s="88"/>
      <c r="C3399" s="16">
        <v>46264</v>
      </c>
      <c r="D3399" s="79">
        <v>2177.87</v>
      </c>
    </row>
    <row r="3400" spans="1:4" x14ac:dyDescent="0.3">
      <c r="A3400" s="88" t="s">
        <v>27</v>
      </c>
      <c r="B3400" s="88"/>
      <c r="C3400" s="16">
        <v>46264</v>
      </c>
      <c r="D3400" s="79">
        <v>754424.72</v>
      </c>
    </row>
    <row r="3401" spans="1:4" x14ac:dyDescent="0.3">
      <c r="A3401" s="88" t="s">
        <v>28</v>
      </c>
      <c r="B3401" s="88"/>
      <c r="C3401" s="16">
        <v>46264</v>
      </c>
      <c r="D3401" s="79">
        <v>1968.99</v>
      </c>
    </row>
    <row r="3402" spans="1:4" x14ac:dyDescent="0.3">
      <c r="A3402" s="88" t="s">
        <v>29</v>
      </c>
      <c r="B3402" s="88"/>
      <c r="C3402" s="16">
        <v>46264</v>
      </c>
      <c r="D3402" s="79">
        <v>901.34</v>
      </c>
    </row>
    <row r="3403" spans="1:4" x14ac:dyDescent="0.3">
      <c r="A3403" s="88" t="s">
        <v>30</v>
      </c>
      <c r="B3403" s="88"/>
      <c r="C3403" s="16">
        <v>46264</v>
      </c>
      <c r="D3403" s="79">
        <v>1396.08</v>
      </c>
    </row>
    <row r="3404" spans="1:4" x14ac:dyDescent="0.3">
      <c r="A3404" s="88" t="s">
        <v>31</v>
      </c>
      <c r="B3404" s="88"/>
      <c r="C3404" s="16">
        <v>46264</v>
      </c>
      <c r="D3404" s="79">
        <v>33670.709999999963</v>
      </c>
    </row>
    <row r="3405" spans="1:4" x14ac:dyDescent="0.3">
      <c r="A3405" s="88" t="s">
        <v>32</v>
      </c>
      <c r="B3405" s="88"/>
      <c r="C3405" s="16">
        <v>46264</v>
      </c>
      <c r="D3405" s="79">
        <v>29709.170000000006</v>
      </c>
    </row>
    <row r="3406" spans="1:4" x14ac:dyDescent="0.3">
      <c r="A3406" s="88" t="s">
        <v>33</v>
      </c>
      <c r="B3406" s="88"/>
      <c r="C3406" s="16">
        <v>46264</v>
      </c>
      <c r="D3406" s="79">
        <v>19336.039999999997</v>
      </c>
    </row>
    <row r="3407" spans="1:4" x14ac:dyDescent="0.3">
      <c r="A3407" s="88" t="s">
        <v>34</v>
      </c>
      <c r="B3407" s="88"/>
      <c r="C3407" s="16">
        <v>46264</v>
      </c>
      <c r="D3407" s="79">
        <v>345</v>
      </c>
    </row>
    <row r="3408" spans="1:4" x14ac:dyDescent="0.3">
      <c r="A3408" s="88" t="s">
        <v>35</v>
      </c>
      <c r="B3408" s="88"/>
      <c r="C3408" s="16">
        <v>46264</v>
      </c>
      <c r="D3408" s="79">
        <v>9560.0000000000018</v>
      </c>
    </row>
    <row r="3409" spans="1:4" x14ac:dyDescent="0.3">
      <c r="A3409" s="88" t="s">
        <v>193</v>
      </c>
      <c r="B3409" s="88"/>
      <c r="C3409" s="16">
        <v>46264</v>
      </c>
      <c r="D3409" s="79">
        <v>0</v>
      </c>
    </row>
    <row r="3410" spans="1:4" x14ac:dyDescent="0.3">
      <c r="A3410" s="88" t="s">
        <v>214</v>
      </c>
      <c r="B3410" s="88"/>
      <c r="C3410" s="16">
        <v>46264</v>
      </c>
      <c r="D3410" s="79">
        <v>0</v>
      </c>
    </row>
    <row r="3411" spans="1:4" x14ac:dyDescent="0.3">
      <c r="A3411" s="88" t="s">
        <v>194</v>
      </c>
      <c r="B3411" s="88"/>
      <c r="C3411" s="16">
        <v>46264</v>
      </c>
      <c r="D3411" s="79">
        <v>0</v>
      </c>
    </row>
    <row r="3412" spans="1:4" x14ac:dyDescent="0.3">
      <c r="A3412" s="88" t="s">
        <v>195</v>
      </c>
      <c r="B3412" s="88"/>
      <c r="C3412" s="16">
        <v>46264</v>
      </c>
      <c r="D3412" s="79">
        <v>0</v>
      </c>
    </row>
    <row r="3413" spans="1:4" x14ac:dyDescent="0.3">
      <c r="A3413" s="88" t="s">
        <v>196</v>
      </c>
      <c r="B3413" s="88"/>
      <c r="C3413" s="16">
        <v>46264</v>
      </c>
      <c r="D3413" s="79">
        <v>0</v>
      </c>
    </row>
    <row r="3414" spans="1:4" x14ac:dyDescent="0.3">
      <c r="A3414" s="88" t="s">
        <v>197</v>
      </c>
      <c r="B3414" s="88"/>
      <c r="C3414" s="16">
        <v>46264</v>
      </c>
      <c r="D3414" s="79">
        <v>0</v>
      </c>
    </row>
    <row r="3415" spans="1:4" x14ac:dyDescent="0.3">
      <c r="A3415" s="88" t="s">
        <v>212</v>
      </c>
      <c r="B3415" s="88"/>
      <c r="C3415" s="16">
        <v>46264</v>
      </c>
      <c r="D3415" s="79">
        <v>0</v>
      </c>
    </row>
    <row r="3416" spans="1:4" x14ac:dyDescent="0.3">
      <c r="A3416" s="88" t="s">
        <v>199</v>
      </c>
      <c r="B3416" s="88"/>
      <c r="C3416" s="16">
        <v>46264</v>
      </c>
      <c r="D3416" s="79">
        <v>0</v>
      </c>
    </row>
    <row r="3417" spans="1:4" x14ac:dyDescent="0.3">
      <c r="A3417" s="88" t="s">
        <v>217</v>
      </c>
      <c r="B3417" s="88"/>
      <c r="C3417" s="16">
        <v>46264</v>
      </c>
      <c r="D3417" s="79">
        <v>0</v>
      </c>
    </row>
    <row r="3418" spans="1:4" x14ac:dyDescent="0.3">
      <c r="A3418" s="88" t="s">
        <v>17</v>
      </c>
      <c r="B3418" s="88"/>
      <c r="C3418" s="16">
        <v>46265</v>
      </c>
      <c r="D3418" s="79">
        <v>740452.88000000059</v>
      </c>
    </row>
    <row r="3419" spans="1:4" x14ac:dyDescent="0.3">
      <c r="A3419" s="88" t="s">
        <v>18</v>
      </c>
      <c r="B3419" s="88"/>
      <c r="C3419" s="16">
        <v>46265</v>
      </c>
      <c r="D3419" s="79">
        <v>93280.230000000171</v>
      </c>
    </row>
    <row r="3420" spans="1:4" x14ac:dyDescent="0.3">
      <c r="A3420" s="88" t="s">
        <v>19</v>
      </c>
      <c r="B3420" s="88"/>
      <c r="C3420" s="16">
        <v>46265</v>
      </c>
      <c r="D3420" s="79">
        <v>1669.89</v>
      </c>
    </row>
    <row r="3421" spans="1:4" x14ac:dyDescent="0.3">
      <c r="A3421" s="88" t="s">
        <v>20</v>
      </c>
      <c r="B3421" s="88"/>
      <c r="C3421" s="16">
        <v>46265</v>
      </c>
      <c r="D3421" s="79">
        <v>1419898.24</v>
      </c>
    </row>
    <row r="3422" spans="1:4" x14ac:dyDescent="0.3">
      <c r="A3422" s="88" t="s">
        <v>21</v>
      </c>
      <c r="B3422" s="88"/>
      <c r="C3422" s="16">
        <v>46265</v>
      </c>
      <c r="D3422" s="79">
        <v>1555601.2099999995</v>
      </c>
    </row>
    <row r="3423" spans="1:4" x14ac:dyDescent="0.3">
      <c r="A3423" s="88" t="s">
        <v>22</v>
      </c>
      <c r="B3423" s="88"/>
      <c r="C3423" s="16">
        <v>46265</v>
      </c>
      <c r="D3423" s="79">
        <v>221496.38</v>
      </c>
    </row>
    <row r="3424" spans="1:4" x14ac:dyDescent="0.3">
      <c r="A3424" s="88" t="s">
        <v>23</v>
      </c>
      <c r="B3424" s="88"/>
      <c r="C3424" s="16">
        <v>46265</v>
      </c>
      <c r="D3424" s="79">
        <v>217684.34</v>
      </c>
    </row>
    <row r="3425" spans="1:4" x14ac:dyDescent="0.3">
      <c r="A3425" s="88" t="s">
        <v>24</v>
      </c>
      <c r="B3425" s="88"/>
      <c r="C3425" s="16">
        <v>46265</v>
      </c>
      <c r="D3425" s="79">
        <v>13270.02</v>
      </c>
    </row>
    <row r="3426" spans="1:4" x14ac:dyDescent="0.3">
      <c r="A3426" s="88" t="s">
        <v>25</v>
      </c>
      <c r="B3426" s="88"/>
      <c r="C3426" s="16">
        <v>46265</v>
      </c>
      <c r="D3426" s="79">
        <v>124.45</v>
      </c>
    </row>
    <row r="3427" spans="1:4" x14ac:dyDescent="0.3">
      <c r="A3427" s="88" t="s">
        <v>26</v>
      </c>
      <c r="B3427" s="88"/>
      <c r="C3427" s="16">
        <v>46265</v>
      </c>
      <c r="D3427" s="79">
        <v>2177.87</v>
      </c>
    </row>
    <row r="3428" spans="1:4" x14ac:dyDescent="0.3">
      <c r="A3428" s="88" t="s">
        <v>27</v>
      </c>
      <c r="B3428" s="88"/>
      <c r="C3428" s="16">
        <v>46265</v>
      </c>
      <c r="D3428" s="79">
        <v>754424.72</v>
      </c>
    </row>
    <row r="3429" spans="1:4" x14ac:dyDescent="0.3">
      <c r="A3429" s="88" t="s">
        <v>28</v>
      </c>
      <c r="B3429" s="88"/>
      <c r="C3429" s="16">
        <v>46265</v>
      </c>
      <c r="D3429" s="79">
        <v>1968.99</v>
      </c>
    </row>
    <row r="3430" spans="1:4" x14ac:dyDescent="0.3">
      <c r="A3430" s="88" t="s">
        <v>29</v>
      </c>
      <c r="B3430" s="88"/>
      <c r="C3430" s="16">
        <v>46265</v>
      </c>
      <c r="D3430" s="79">
        <v>901.34</v>
      </c>
    </row>
    <row r="3431" spans="1:4" x14ac:dyDescent="0.3">
      <c r="A3431" s="88" t="s">
        <v>30</v>
      </c>
      <c r="B3431" s="88"/>
      <c r="C3431" s="16">
        <v>46265</v>
      </c>
      <c r="D3431" s="79">
        <v>1396.08</v>
      </c>
    </row>
    <row r="3432" spans="1:4" x14ac:dyDescent="0.3">
      <c r="A3432" s="88" t="s">
        <v>31</v>
      </c>
      <c r="B3432" s="88"/>
      <c r="C3432" s="16">
        <v>46265</v>
      </c>
      <c r="D3432" s="79">
        <v>33570.709999999963</v>
      </c>
    </row>
    <row r="3433" spans="1:4" x14ac:dyDescent="0.3">
      <c r="A3433" s="88" t="s">
        <v>32</v>
      </c>
      <c r="B3433" s="88"/>
      <c r="C3433" s="16">
        <v>46265</v>
      </c>
      <c r="D3433" s="79">
        <v>26559.170000000006</v>
      </c>
    </row>
    <row r="3434" spans="1:4" x14ac:dyDescent="0.3">
      <c r="A3434" s="88" t="s">
        <v>33</v>
      </c>
      <c r="B3434" s="88"/>
      <c r="C3434" s="16">
        <v>46265</v>
      </c>
      <c r="D3434" s="79">
        <v>23736.039999999997</v>
      </c>
    </row>
    <row r="3435" spans="1:4" x14ac:dyDescent="0.3">
      <c r="A3435" s="88" t="s">
        <v>34</v>
      </c>
      <c r="B3435" s="88"/>
      <c r="C3435" s="16">
        <v>46265</v>
      </c>
      <c r="D3435" s="79">
        <v>345</v>
      </c>
    </row>
    <row r="3436" spans="1:4" x14ac:dyDescent="0.3">
      <c r="A3436" s="88" t="s">
        <v>35</v>
      </c>
      <c r="B3436" s="88"/>
      <c r="C3436" s="16">
        <v>46265</v>
      </c>
      <c r="D3436" s="79">
        <v>9560.0000000000018</v>
      </c>
    </row>
    <row r="3437" spans="1:4" x14ac:dyDescent="0.3">
      <c r="A3437" s="88" t="s">
        <v>193</v>
      </c>
      <c r="B3437" s="88"/>
      <c r="C3437" s="16">
        <v>46265</v>
      </c>
      <c r="D3437" s="79">
        <v>0</v>
      </c>
    </row>
    <row r="3438" spans="1:4" x14ac:dyDescent="0.3">
      <c r="A3438" s="88" t="s">
        <v>214</v>
      </c>
      <c r="B3438" s="88"/>
      <c r="C3438" s="16">
        <v>46265</v>
      </c>
      <c r="D3438" s="79">
        <v>0</v>
      </c>
    </row>
    <row r="3439" spans="1:4" x14ac:dyDescent="0.3">
      <c r="A3439" s="88" t="s">
        <v>194</v>
      </c>
      <c r="B3439" s="88"/>
      <c r="C3439" s="16">
        <v>46265</v>
      </c>
      <c r="D3439" s="79">
        <v>0</v>
      </c>
    </row>
    <row r="3440" spans="1:4" x14ac:dyDescent="0.3">
      <c r="A3440" s="88" t="s">
        <v>195</v>
      </c>
      <c r="B3440" s="88"/>
      <c r="C3440" s="16">
        <v>46265</v>
      </c>
      <c r="D3440" s="79">
        <v>0</v>
      </c>
    </row>
    <row r="3441" spans="1:4" x14ac:dyDescent="0.3">
      <c r="A3441" s="88" t="s">
        <v>196</v>
      </c>
      <c r="B3441" s="88"/>
      <c r="C3441" s="16">
        <v>46265</v>
      </c>
      <c r="D3441" s="79">
        <v>0</v>
      </c>
    </row>
    <row r="3442" spans="1:4" x14ac:dyDescent="0.3">
      <c r="A3442" s="88" t="s">
        <v>197</v>
      </c>
      <c r="B3442" s="88"/>
      <c r="C3442" s="16">
        <v>46265</v>
      </c>
      <c r="D3442" s="79">
        <v>0</v>
      </c>
    </row>
    <row r="3443" spans="1:4" x14ac:dyDescent="0.3">
      <c r="A3443" s="88" t="s">
        <v>212</v>
      </c>
      <c r="B3443" s="88"/>
      <c r="C3443" s="16">
        <v>46265</v>
      </c>
      <c r="D3443" s="79">
        <v>0</v>
      </c>
    </row>
    <row r="3444" spans="1:4" x14ac:dyDescent="0.3">
      <c r="A3444" s="88" t="s">
        <v>199</v>
      </c>
      <c r="B3444" s="88"/>
      <c r="C3444" s="16">
        <v>46265</v>
      </c>
      <c r="D3444" s="79">
        <v>0</v>
      </c>
    </row>
    <row r="3445" spans="1:4" x14ac:dyDescent="0.3">
      <c r="A3445" s="88" t="s">
        <v>217</v>
      </c>
      <c r="B3445" s="88"/>
      <c r="C3445" s="16">
        <v>46265</v>
      </c>
      <c r="D3445" s="79">
        <v>0</v>
      </c>
    </row>
    <row r="3446" spans="1:4" x14ac:dyDescent="0.3">
      <c r="A3446" s="88" t="s">
        <v>17</v>
      </c>
      <c r="B3446" s="88"/>
      <c r="C3446" s="16">
        <v>46266</v>
      </c>
      <c r="D3446" s="79">
        <v>757677.3900000006</v>
      </c>
    </row>
    <row r="3447" spans="1:4" x14ac:dyDescent="0.3">
      <c r="A3447" s="88" t="s">
        <v>18</v>
      </c>
      <c r="B3447" s="88"/>
      <c r="C3447" s="16">
        <v>46266</v>
      </c>
      <c r="D3447" s="79">
        <v>93280.230000000171</v>
      </c>
    </row>
    <row r="3448" spans="1:4" x14ac:dyDescent="0.3">
      <c r="A3448" s="88" t="s">
        <v>19</v>
      </c>
      <c r="B3448" s="88"/>
      <c r="C3448" s="16">
        <v>46266</v>
      </c>
      <c r="D3448" s="79">
        <v>1669.89</v>
      </c>
    </row>
    <row r="3449" spans="1:4" x14ac:dyDescent="0.3">
      <c r="A3449" s="88" t="s">
        <v>20</v>
      </c>
      <c r="B3449" s="88"/>
      <c r="C3449" s="16">
        <v>46266</v>
      </c>
      <c r="D3449" s="79">
        <v>1419898.24</v>
      </c>
    </row>
    <row r="3450" spans="1:4" x14ac:dyDescent="0.3">
      <c r="A3450" s="88" t="s">
        <v>21</v>
      </c>
      <c r="B3450" s="88"/>
      <c r="C3450" s="16">
        <v>46266</v>
      </c>
      <c r="D3450" s="79">
        <v>1484962.6199999996</v>
      </c>
    </row>
    <row r="3451" spans="1:4" x14ac:dyDescent="0.3">
      <c r="A3451" s="88" t="s">
        <v>22</v>
      </c>
      <c r="B3451" s="88"/>
      <c r="C3451" s="16">
        <v>46266</v>
      </c>
      <c r="D3451" s="79">
        <v>215496.38</v>
      </c>
    </row>
    <row r="3452" spans="1:4" x14ac:dyDescent="0.3">
      <c r="A3452" s="88" t="s">
        <v>23</v>
      </c>
      <c r="B3452" s="88"/>
      <c r="C3452" s="16">
        <v>46266</v>
      </c>
      <c r="D3452" s="79">
        <v>217684.34</v>
      </c>
    </row>
    <row r="3453" spans="1:4" x14ac:dyDescent="0.3">
      <c r="A3453" s="88" t="s">
        <v>24</v>
      </c>
      <c r="B3453" s="88"/>
      <c r="C3453" s="16">
        <v>46266</v>
      </c>
      <c r="D3453" s="79">
        <v>13054.880000000001</v>
      </c>
    </row>
    <row r="3454" spans="1:4" x14ac:dyDescent="0.3">
      <c r="A3454" s="88" t="s">
        <v>25</v>
      </c>
      <c r="B3454" s="88"/>
      <c r="C3454" s="16">
        <v>46266</v>
      </c>
      <c r="D3454" s="79">
        <v>94.5</v>
      </c>
    </row>
    <row r="3455" spans="1:4" x14ac:dyDescent="0.3">
      <c r="A3455" s="88" t="s">
        <v>26</v>
      </c>
      <c r="B3455" s="88"/>
      <c r="C3455" s="16">
        <v>46266</v>
      </c>
      <c r="D3455" s="79">
        <v>2147.92</v>
      </c>
    </row>
    <row r="3456" spans="1:4" x14ac:dyDescent="0.3">
      <c r="A3456" s="88" t="s">
        <v>27</v>
      </c>
      <c r="B3456" s="88"/>
      <c r="C3456" s="16">
        <v>46266</v>
      </c>
      <c r="D3456" s="79">
        <v>754424.72</v>
      </c>
    </row>
    <row r="3457" spans="1:4" x14ac:dyDescent="0.3">
      <c r="A3457" s="88" t="s">
        <v>28</v>
      </c>
      <c r="B3457" s="88"/>
      <c r="C3457" s="16">
        <v>46266</v>
      </c>
      <c r="D3457" s="79">
        <v>1968.99</v>
      </c>
    </row>
    <row r="3458" spans="1:4" x14ac:dyDescent="0.3">
      <c r="A3458" s="88" t="s">
        <v>29</v>
      </c>
      <c r="B3458" s="88"/>
      <c r="C3458" s="16">
        <v>46266</v>
      </c>
      <c r="D3458" s="79">
        <v>901.34</v>
      </c>
    </row>
    <row r="3459" spans="1:4" x14ac:dyDescent="0.3">
      <c r="A3459" s="88" t="s">
        <v>30</v>
      </c>
      <c r="B3459" s="88"/>
      <c r="C3459" s="16">
        <v>46266</v>
      </c>
      <c r="D3459" s="79">
        <v>1380.08</v>
      </c>
    </row>
    <row r="3460" spans="1:4" x14ac:dyDescent="0.3">
      <c r="A3460" s="88" t="s">
        <v>31</v>
      </c>
      <c r="B3460" s="88"/>
      <c r="C3460" s="16">
        <v>46266</v>
      </c>
      <c r="D3460" s="79">
        <v>25027.379999999961</v>
      </c>
    </row>
    <row r="3461" spans="1:4" x14ac:dyDescent="0.3">
      <c r="A3461" s="88" t="s">
        <v>32</v>
      </c>
      <c r="B3461" s="88"/>
      <c r="C3461" s="16">
        <v>46266</v>
      </c>
      <c r="D3461" s="79">
        <v>16760.540000000008</v>
      </c>
    </row>
    <row r="3462" spans="1:4" x14ac:dyDescent="0.3">
      <c r="A3462" s="88" t="s">
        <v>33</v>
      </c>
      <c r="B3462" s="88"/>
      <c r="C3462" s="16">
        <v>46266</v>
      </c>
      <c r="D3462" s="79">
        <v>14962.999999999996</v>
      </c>
    </row>
    <row r="3463" spans="1:4" x14ac:dyDescent="0.3">
      <c r="A3463" s="88" t="s">
        <v>34</v>
      </c>
      <c r="B3463" s="88"/>
      <c r="C3463" s="16">
        <v>46266</v>
      </c>
      <c r="D3463" s="79">
        <v>345</v>
      </c>
    </row>
    <row r="3464" spans="1:4" x14ac:dyDescent="0.3">
      <c r="A3464" s="88" t="s">
        <v>35</v>
      </c>
      <c r="B3464" s="88"/>
      <c r="C3464" s="16">
        <v>46266</v>
      </c>
      <c r="D3464" s="79">
        <v>9549.7500000000018</v>
      </c>
    </row>
    <row r="3465" spans="1:4" x14ac:dyDescent="0.3">
      <c r="A3465" s="88" t="s">
        <v>193</v>
      </c>
      <c r="B3465" s="88"/>
      <c r="C3465" s="16">
        <v>46266</v>
      </c>
      <c r="D3465" s="79">
        <v>301167.45</v>
      </c>
    </row>
    <row r="3466" spans="1:4" x14ac:dyDescent="0.3">
      <c r="A3466" s="88" t="s">
        <v>214</v>
      </c>
      <c r="B3466" s="88"/>
      <c r="C3466" s="16">
        <v>46266</v>
      </c>
      <c r="D3466" s="79">
        <v>20642.07</v>
      </c>
    </row>
    <row r="3467" spans="1:4" x14ac:dyDescent="0.3">
      <c r="A3467" s="88" t="s">
        <v>194</v>
      </c>
      <c r="B3467" s="88"/>
      <c r="C3467" s="16">
        <v>46266</v>
      </c>
      <c r="D3467" s="79">
        <v>3631.96</v>
      </c>
    </row>
    <row r="3468" spans="1:4" x14ac:dyDescent="0.3">
      <c r="A3468" s="88" t="s">
        <v>195</v>
      </c>
      <c r="B3468" s="88"/>
      <c r="C3468" s="16">
        <v>46266</v>
      </c>
      <c r="D3468" s="79">
        <v>2303.4300000000003</v>
      </c>
    </row>
    <row r="3469" spans="1:4" x14ac:dyDescent="0.3">
      <c r="A3469" s="88" t="s">
        <v>196</v>
      </c>
      <c r="B3469" s="88"/>
      <c r="C3469" s="16">
        <v>46266</v>
      </c>
      <c r="D3469" s="79">
        <v>92112.919999999969</v>
      </c>
    </row>
    <row r="3470" spans="1:4" x14ac:dyDescent="0.3">
      <c r="A3470" s="88" t="s">
        <v>197</v>
      </c>
      <c r="B3470" s="88"/>
      <c r="C3470" s="16">
        <v>46266</v>
      </c>
      <c r="D3470" s="79">
        <v>794.01</v>
      </c>
    </row>
    <row r="3471" spans="1:4" x14ac:dyDescent="0.3">
      <c r="A3471" s="88" t="s">
        <v>212</v>
      </c>
      <c r="B3471" s="88"/>
      <c r="C3471" s="16">
        <v>46266</v>
      </c>
      <c r="D3471" s="79">
        <v>5445.57</v>
      </c>
    </row>
    <row r="3472" spans="1:4" x14ac:dyDescent="0.3">
      <c r="A3472" s="88" t="s">
        <v>199</v>
      </c>
      <c r="B3472" s="88"/>
      <c r="C3472" s="16">
        <v>46266</v>
      </c>
      <c r="D3472" s="79">
        <v>241343.93999999997</v>
      </c>
    </row>
    <row r="3473" spans="1:4" x14ac:dyDescent="0.3">
      <c r="A3473" s="88" t="s">
        <v>217</v>
      </c>
      <c r="B3473" s="88"/>
      <c r="C3473" s="16">
        <v>46266</v>
      </c>
      <c r="D3473" s="79">
        <v>303874.71999999997</v>
      </c>
    </row>
    <row r="3474" spans="1:4" x14ac:dyDescent="0.3">
      <c r="A3474" s="88" t="s">
        <v>17</v>
      </c>
      <c r="B3474" s="88"/>
      <c r="C3474" s="16">
        <v>46267</v>
      </c>
      <c r="D3474" s="79">
        <v>1468396.1200000006</v>
      </c>
    </row>
    <row r="3475" spans="1:4" x14ac:dyDescent="0.3">
      <c r="A3475" s="88" t="s">
        <v>18</v>
      </c>
      <c r="B3475" s="88"/>
      <c r="C3475" s="16">
        <v>46267</v>
      </c>
      <c r="D3475" s="79">
        <v>93280.230000000171</v>
      </c>
    </row>
    <row r="3476" spans="1:4" x14ac:dyDescent="0.3">
      <c r="A3476" s="88" t="s">
        <v>19</v>
      </c>
      <c r="B3476" s="88"/>
      <c r="C3476" s="16">
        <v>46267</v>
      </c>
      <c r="D3476" s="79">
        <v>1669.89</v>
      </c>
    </row>
    <row r="3477" spans="1:4" x14ac:dyDescent="0.3">
      <c r="A3477" s="88" t="s">
        <v>20</v>
      </c>
      <c r="B3477" s="88"/>
      <c r="C3477" s="16">
        <v>46267</v>
      </c>
      <c r="D3477" s="79">
        <v>1419898.24</v>
      </c>
    </row>
    <row r="3478" spans="1:4" x14ac:dyDescent="0.3">
      <c r="A3478" s="88" t="s">
        <v>21</v>
      </c>
      <c r="B3478" s="88"/>
      <c r="C3478" s="16">
        <v>46267</v>
      </c>
      <c r="D3478" s="79">
        <v>1484962.6199999996</v>
      </c>
    </row>
    <row r="3479" spans="1:4" x14ac:dyDescent="0.3">
      <c r="A3479" s="88" t="s">
        <v>22</v>
      </c>
      <c r="B3479" s="88"/>
      <c r="C3479" s="16">
        <v>46267</v>
      </c>
      <c r="D3479" s="79">
        <v>249778.14</v>
      </c>
    </row>
    <row r="3480" spans="1:4" x14ac:dyDescent="0.3">
      <c r="A3480" s="88" t="s">
        <v>23</v>
      </c>
      <c r="B3480" s="88"/>
      <c r="C3480" s="16">
        <v>46267</v>
      </c>
      <c r="D3480" s="79">
        <v>217684.34</v>
      </c>
    </row>
    <row r="3481" spans="1:4" x14ac:dyDescent="0.3">
      <c r="A3481" s="88" t="s">
        <v>24</v>
      </c>
      <c r="B3481" s="88"/>
      <c r="C3481" s="16">
        <v>46267</v>
      </c>
      <c r="D3481" s="79">
        <v>13054.880000000001</v>
      </c>
    </row>
    <row r="3482" spans="1:4" x14ac:dyDescent="0.3">
      <c r="A3482" s="88" t="s">
        <v>25</v>
      </c>
      <c r="B3482" s="88"/>
      <c r="C3482" s="16">
        <v>46267</v>
      </c>
      <c r="D3482" s="79">
        <v>94.5</v>
      </c>
    </row>
    <row r="3483" spans="1:4" x14ac:dyDescent="0.3">
      <c r="A3483" s="88" t="s">
        <v>26</v>
      </c>
      <c r="B3483" s="88"/>
      <c r="C3483" s="16">
        <v>46267</v>
      </c>
      <c r="D3483" s="79">
        <v>2147.92</v>
      </c>
    </row>
    <row r="3484" spans="1:4" x14ac:dyDescent="0.3">
      <c r="A3484" s="88" t="s">
        <v>27</v>
      </c>
      <c r="B3484" s="88"/>
      <c r="C3484" s="16">
        <v>46267</v>
      </c>
      <c r="D3484" s="79">
        <v>17895.290000000015</v>
      </c>
    </row>
    <row r="3485" spans="1:4" x14ac:dyDescent="0.3">
      <c r="A3485" s="88" t="s">
        <v>28</v>
      </c>
      <c r="B3485" s="88"/>
      <c r="C3485" s="16">
        <v>46267</v>
      </c>
      <c r="D3485" s="79">
        <v>1968.99</v>
      </c>
    </row>
    <row r="3486" spans="1:4" x14ac:dyDescent="0.3">
      <c r="A3486" s="88" t="s">
        <v>29</v>
      </c>
      <c r="B3486" s="88"/>
      <c r="C3486" s="16">
        <v>46267</v>
      </c>
      <c r="D3486" s="79">
        <v>901.34</v>
      </c>
    </row>
    <row r="3487" spans="1:4" x14ac:dyDescent="0.3">
      <c r="A3487" s="88" t="s">
        <v>30</v>
      </c>
      <c r="B3487" s="88"/>
      <c r="C3487" s="16">
        <v>46267</v>
      </c>
      <c r="D3487" s="79">
        <v>1380.08</v>
      </c>
    </row>
    <row r="3488" spans="1:4" x14ac:dyDescent="0.3">
      <c r="A3488" s="88" t="s">
        <v>31</v>
      </c>
      <c r="B3488" s="88"/>
      <c r="C3488" s="16">
        <v>46267</v>
      </c>
      <c r="D3488" s="79">
        <v>25027.379999999961</v>
      </c>
    </row>
    <row r="3489" spans="1:4" x14ac:dyDescent="0.3">
      <c r="A3489" s="88" t="s">
        <v>32</v>
      </c>
      <c r="B3489" s="88"/>
      <c r="C3489" s="16">
        <v>46267</v>
      </c>
      <c r="D3489" s="79">
        <v>16760.540000000008</v>
      </c>
    </row>
    <row r="3490" spans="1:4" x14ac:dyDescent="0.3">
      <c r="A3490" s="88" t="s">
        <v>33</v>
      </c>
      <c r="B3490" s="88"/>
      <c r="C3490" s="16">
        <v>46267</v>
      </c>
      <c r="D3490" s="79">
        <v>14162.999999999996</v>
      </c>
    </row>
    <row r="3491" spans="1:4" x14ac:dyDescent="0.3">
      <c r="A3491" s="88" t="s">
        <v>34</v>
      </c>
      <c r="B3491" s="88"/>
      <c r="C3491" s="16">
        <v>46267</v>
      </c>
      <c r="D3491" s="79">
        <v>345</v>
      </c>
    </row>
    <row r="3492" spans="1:4" x14ac:dyDescent="0.3">
      <c r="A3492" s="88" t="s">
        <v>35</v>
      </c>
      <c r="B3492" s="88"/>
      <c r="C3492" s="16">
        <v>46267</v>
      </c>
      <c r="D3492" s="79">
        <v>5861.1200000000026</v>
      </c>
    </row>
    <row r="3493" spans="1:4" x14ac:dyDescent="0.3">
      <c r="A3493" s="88" t="s">
        <v>193</v>
      </c>
      <c r="B3493" s="88"/>
      <c r="C3493" s="16">
        <v>46267</v>
      </c>
      <c r="D3493" s="79">
        <v>301167.45</v>
      </c>
    </row>
    <row r="3494" spans="1:4" x14ac:dyDescent="0.3">
      <c r="A3494" s="88" t="s">
        <v>214</v>
      </c>
      <c r="B3494" s="88"/>
      <c r="C3494" s="16">
        <v>46267</v>
      </c>
      <c r="D3494" s="79">
        <v>20642.07</v>
      </c>
    </row>
    <row r="3495" spans="1:4" x14ac:dyDescent="0.3">
      <c r="A3495" s="88" t="s">
        <v>194</v>
      </c>
      <c r="B3495" s="88"/>
      <c r="C3495" s="16">
        <v>46267</v>
      </c>
      <c r="D3495" s="79">
        <v>3631.96</v>
      </c>
    </row>
    <row r="3496" spans="1:4" x14ac:dyDescent="0.3">
      <c r="A3496" s="88" t="s">
        <v>195</v>
      </c>
      <c r="B3496" s="88"/>
      <c r="C3496" s="16">
        <v>46267</v>
      </c>
      <c r="D3496" s="79">
        <v>2303.4300000000003</v>
      </c>
    </row>
    <row r="3497" spans="1:4" x14ac:dyDescent="0.3">
      <c r="A3497" s="88" t="s">
        <v>196</v>
      </c>
      <c r="B3497" s="88"/>
      <c r="C3497" s="16">
        <v>46267</v>
      </c>
      <c r="D3497" s="79">
        <v>92112.919999999969</v>
      </c>
    </row>
    <row r="3498" spans="1:4" x14ac:dyDescent="0.3">
      <c r="A3498" s="88" t="s">
        <v>197</v>
      </c>
      <c r="B3498" s="88"/>
      <c r="C3498" s="16">
        <v>46267</v>
      </c>
      <c r="D3498" s="79">
        <v>794.01</v>
      </c>
    </row>
    <row r="3499" spans="1:4" x14ac:dyDescent="0.3">
      <c r="A3499" s="88" t="s">
        <v>212</v>
      </c>
      <c r="B3499" s="88"/>
      <c r="C3499" s="16">
        <v>46267</v>
      </c>
      <c r="D3499" s="79">
        <v>5445.57</v>
      </c>
    </row>
    <row r="3500" spans="1:4" x14ac:dyDescent="0.3">
      <c r="A3500" s="88" t="s">
        <v>199</v>
      </c>
      <c r="B3500" s="88"/>
      <c r="C3500" s="16">
        <v>46267</v>
      </c>
      <c r="D3500" s="79">
        <v>241675.31</v>
      </c>
    </row>
    <row r="3501" spans="1:4" x14ac:dyDescent="0.3">
      <c r="A3501" s="88" t="s">
        <v>217</v>
      </c>
      <c r="B3501" s="88"/>
      <c r="C3501" s="16">
        <v>46267</v>
      </c>
      <c r="D3501" s="79">
        <v>303874.71999999997</v>
      </c>
    </row>
    <row r="3502" spans="1:4" x14ac:dyDescent="0.3">
      <c r="A3502" s="88" t="s">
        <v>17</v>
      </c>
      <c r="B3502" s="88"/>
      <c r="C3502" s="16">
        <v>46268</v>
      </c>
      <c r="D3502" s="79">
        <v>1053254.4500000007</v>
      </c>
    </row>
    <row r="3503" spans="1:4" x14ac:dyDescent="0.3">
      <c r="A3503" s="88" t="s">
        <v>18</v>
      </c>
      <c r="B3503" s="88"/>
      <c r="C3503" s="16">
        <v>46268</v>
      </c>
      <c r="D3503" s="79">
        <v>93280.230000000171</v>
      </c>
    </row>
    <row r="3504" spans="1:4" x14ac:dyDescent="0.3">
      <c r="A3504" s="88" t="s">
        <v>19</v>
      </c>
      <c r="B3504" s="88"/>
      <c r="C3504" s="16">
        <v>46268</v>
      </c>
      <c r="D3504" s="79">
        <v>1669.89</v>
      </c>
    </row>
    <row r="3505" spans="1:4" x14ac:dyDescent="0.3">
      <c r="A3505" s="88" t="s">
        <v>20</v>
      </c>
      <c r="B3505" s="88"/>
      <c r="C3505" s="16">
        <v>46268</v>
      </c>
      <c r="D3505" s="79">
        <v>1250938</v>
      </c>
    </row>
    <row r="3506" spans="1:4" x14ac:dyDescent="0.3">
      <c r="A3506" s="88" t="s">
        <v>21</v>
      </c>
      <c r="B3506" s="88"/>
      <c r="C3506" s="16">
        <v>46268</v>
      </c>
      <c r="D3506" s="79">
        <v>1500228.9099999997</v>
      </c>
    </row>
    <row r="3507" spans="1:4" x14ac:dyDescent="0.3">
      <c r="A3507" s="88" t="s">
        <v>22</v>
      </c>
      <c r="B3507" s="88"/>
      <c r="C3507" s="16">
        <v>46268</v>
      </c>
      <c r="D3507" s="79">
        <v>249778.14</v>
      </c>
    </row>
    <row r="3508" spans="1:4" x14ac:dyDescent="0.3">
      <c r="A3508" s="88" t="s">
        <v>23</v>
      </c>
      <c r="B3508" s="88"/>
      <c r="C3508" s="16">
        <v>46268</v>
      </c>
      <c r="D3508" s="79">
        <v>217684.34</v>
      </c>
    </row>
    <row r="3509" spans="1:4" x14ac:dyDescent="0.3">
      <c r="A3509" s="88" t="s">
        <v>24</v>
      </c>
      <c r="B3509" s="88"/>
      <c r="C3509" s="16">
        <v>46268</v>
      </c>
      <c r="D3509" s="79">
        <v>13014.880000000001</v>
      </c>
    </row>
    <row r="3510" spans="1:4" x14ac:dyDescent="0.3">
      <c r="A3510" s="88" t="s">
        <v>25</v>
      </c>
      <c r="B3510" s="88"/>
      <c r="C3510" s="16">
        <v>46268</v>
      </c>
      <c r="D3510" s="79">
        <v>94.5</v>
      </c>
    </row>
    <row r="3511" spans="1:4" x14ac:dyDescent="0.3">
      <c r="A3511" s="88" t="s">
        <v>26</v>
      </c>
      <c r="B3511" s="88"/>
      <c r="C3511" s="16">
        <v>46268</v>
      </c>
      <c r="D3511" s="79">
        <v>2147.92</v>
      </c>
    </row>
    <row r="3512" spans="1:4" x14ac:dyDescent="0.3">
      <c r="A3512" s="88" t="s">
        <v>27</v>
      </c>
      <c r="B3512" s="88"/>
      <c r="C3512" s="16">
        <v>46268</v>
      </c>
      <c r="D3512" s="79">
        <v>17895.290000000015</v>
      </c>
    </row>
    <row r="3513" spans="1:4" x14ac:dyDescent="0.3">
      <c r="A3513" s="88" t="s">
        <v>28</v>
      </c>
      <c r="B3513" s="88"/>
      <c r="C3513" s="16">
        <v>46268</v>
      </c>
      <c r="D3513" s="79">
        <v>1968.99</v>
      </c>
    </row>
    <row r="3514" spans="1:4" x14ac:dyDescent="0.3">
      <c r="A3514" s="88" t="s">
        <v>29</v>
      </c>
      <c r="B3514" s="88"/>
      <c r="C3514" s="16">
        <v>46268</v>
      </c>
      <c r="D3514" s="79">
        <v>901.34</v>
      </c>
    </row>
    <row r="3515" spans="1:4" x14ac:dyDescent="0.3">
      <c r="A3515" s="88" t="s">
        <v>30</v>
      </c>
      <c r="B3515" s="88"/>
      <c r="C3515" s="16">
        <v>46268</v>
      </c>
      <c r="D3515" s="79">
        <v>1380.08</v>
      </c>
    </row>
    <row r="3516" spans="1:4" x14ac:dyDescent="0.3">
      <c r="A3516" s="88" t="s">
        <v>31</v>
      </c>
      <c r="B3516" s="88"/>
      <c r="C3516" s="16">
        <v>46268</v>
      </c>
      <c r="D3516" s="79">
        <v>25027.379999999961</v>
      </c>
    </row>
    <row r="3517" spans="1:4" x14ac:dyDescent="0.3">
      <c r="A3517" s="88" t="s">
        <v>32</v>
      </c>
      <c r="B3517" s="88"/>
      <c r="C3517" s="16">
        <v>46268</v>
      </c>
      <c r="D3517" s="79">
        <v>16760.540000000008</v>
      </c>
    </row>
    <row r="3518" spans="1:4" x14ac:dyDescent="0.3">
      <c r="A3518" s="88" t="s">
        <v>33</v>
      </c>
      <c r="B3518" s="88"/>
      <c r="C3518" s="16">
        <v>46268</v>
      </c>
      <c r="D3518" s="79">
        <v>14162.999999999996</v>
      </c>
    </row>
    <row r="3519" spans="1:4" x14ac:dyDescent="0.3">
      <c r="A3519" s="88" t="s">
        <v>34</v>
      </c>
      <c r="B3519" s="88"/>
      <c r="C3519" s="16">
        <v>46268</v>
      </c>
      <c r="D3519" s="79">
        <v>345</v>
      </c>
    </row>
    <row r="3520" spans="1:4" x14ac:dyDescent="0.3">
      <c r="A3520" s="88" t="s">
        <v>35</v>
      </c>
      <c r="B3520" s="88"/>
      <c r="C3520" s="16">
        <v>46268</v>
      </c>
      <c r="D3520" s="79">
        <v>5861.1200000000026</v>
      </c>
    </row>
    <row r="3521" spans="1:4" x14ac:dyDescent="0.3">
      <c r="A3521" s="88" t="s">
        <v>193</v>
      </c>
      <c r="B3521" s="88"/>
      <c r="C3521" s="16">
        <v>46268</v>
      </c>
      <c r="D3521" s="79">
        <v>299174.44</v>
      </c>
    </row>
    <row r="3522" spans="1:4" x14ac:dyDescent="0.3">
      <c r="A3522" s="88" t="s">
        <v>214</v>
      </c>
      <c r="B3522" s="88"/>
      <c r="C3522" s="16">
        <v>46268</v>
      </c>
      <c r="D3522" s="79">
        <v>20547.07</v>
      </c>
    </row>
    <row r="3523" spans="1:4" x14ac:dyDescent="0.3">
      <c r="A3523" s="88" t="s">
        <v>194</v>
      </c>
      <c r="B3523" s="88"/>
      <c r="C3523" s="16">
        <v>46268</v>
      </c>
      <c r="D3523" s="79">
        <v>3631.96</v>
      </c>
    </row>
    <row r="3524" spans="1:4" x14ac:dyDescent="0.3">
      <c r="A3524" s="88" t="s">
        <v>195</v>
      </c>
      <c r="B3524" s="88"/>
      <c r="C3524" s="16">
        <v>46268</v>
      </c>
      <c r="D3524" s="79">
        <v>604.80000000000018</v>
      </c>
    </row>
    <row r="3525" spans="1:4" x14ac:dyDescent="0.3">
      <c r="A3525" s="88" t="s">
        <v>196</v>
      </c>
      <c r="B3525" s="88"/>
      <c r="C3525" s="16">
        <v>46268</v>
      </c>
      <c r="D3525" s="79">
        <v>92112.919999999969</v>
      </c>
    </row>
    <row r="3526" spans="1:4" x14ac:dyDescent="0.3">
      <c r="A3526" s="88" t="s">
        <v>197</v>
      </c>
      <c r="B3526" s="88"/>
      <c r="C3526" s="16">
        <v>46268</v>
      </c>
      <c r="D3526" s="79">
        <v>794.01</v>
      </c>
    </row>
    <row r="3527" spans="1:4" x14ac:dyDescent="0.3">
      <c r="A3527" s="88" t="s">
        <v>212</v>
      </c>
      <c r="B3527" s="88"/>
      <c r="C3527" s="16">
        <v>46268</v>
      </c>
      <c r="D3527" s="79">
        <v>5445.57</v>
      </c>
    </row>
    <row r="3528" spans="1:4" x14ac:dyDescent="0.3">
      <c r="A3528" s="88" t="s">
        <v>199</v>
      </c>
      <c r="B3528" s="88"/>
      <c r="C3528" s="16">
        <v>46268</v>
      </c>
      <c r="D3528" s="79">
        <v>241820.31</v>
      </c>
    </row>
    <row r="3529" spans="1:4" x14ac:dyDescent="0.3">
      <c r="A3529" s="88" t="s">
        <v>217</v>
      </c>
      <c r="B3529" s="88"/>
      <c r="C3529" s="16">
        <v>46268</v>
      </c>
      <c r="D3529" s="79">
        <v>303874.71999999997</v>
      </c>
    </row>
    <row r="3530" spans="1:4" x14ac:dyDescent="0.3">
      <c r="A3530" s="88" t="s">
        <v>17</v>
      </c>
      <c r="B3530" s="88"/>
      <c r="C3530" s="16">
        <v>46269</v>
      </c>
      <c r="D3530" s="79">
        <v>1549729.4500000007</v>
      </c>
    </row>
    <row r="3531" spans="1:4" x14ac:dyDescent="0.3">
      <c r="A3531" s="88" t="s">
        <v>18</v>
      </c>
      <c r="B3531" s="88"/>
      <c r="C3531" s="16">
        <v>46269</v>
      </c>
      <c r="D3531" s="79">
        <v>93280.230000000171</v>
      </c>
    </row>
    <row r="3532" spans="1:4" x14ac:dyDescent="0.3">
      <c r="A3532" s="88" t="s">
        <v>19</v>
      </c>
      <c r="B3532" s="88"/>
      <c r="C3532" s="16">
        <v>46269</v>
      </c>
      <c r="D3532" s="79">
        <v>1669.89</v>
      </c>
    </row>
    <row r="3533" spans="1:4" x14ac:dyDescent="0.3">
      <c r="A3533" s="88" t="s">
        <v>20</v>
      </c>
      <c r="B3533" s="88"/>
      <c r="C3533" s="16">
        <v>46269</v>
      </c>
      <c r="D3533" s="79">
        <v>1250938</v>
      </c>
    </row>
    <row r="3534" spans="1:4" x14ac:dyDescent="0.3">
      <c r="A3534" s="88" t="s">
        <v>21</v>
      </c>
      <c r="B3534" s="88"/>
      <c r="C3534" s="16">
        <v>46269</v>
      </c>
      <c r="D3534" s="79">
        <v>1499204.7399999998</v>
      </c>
    </row>
    <row r="3535" spans="1:4" x14ac:dyDescent="0.3">
      <c r="A3535" s="88" t="s">
        <v>22</v>
      </c>
      <c r="B3535" s="88"/>
      <c r="C3535" s="16">
        <v>46269</v>
      </c>
      <c r="D3535" s="79">
        <v>249778.14</v>
      </c>
    </row>
    <row r="3536" spans="1:4" x14ac:dyDescent="0.3">
      <c r="A3536" s="88" t="s">
        <v>23</v>
      </c>
      <c r="B3536" s="88"/>
      <c r="C3536" s="16">
        <v>46269</v>
      </c>
      <c r="D3536" s="79">
        <v>217684.34</v>
      </c>
    </row>
    <row r="3537" spans="1:4" x14ac:dyDescent="0.3">
      <c r="A3537" s="88" t="s">
        <v>24</v>
      </c>
      <c r="B3537" s="88"/>
      <c r="C3537" s="16">
        <v>46269</v>
      </c>
      <c r="D3537" s="79">
        <v>13014.880000000001</v>
      </c>
    </row>
    <row r="3538" spans="1:4" x14ac:dyDescent="0.3">
      <c r="A3538" s="88" t="s">
        <v>25</v>
      </c>
      <c r="B3538" s="88"/>
      <c r="C3538" s="16">
        <v>46269</v>
      </c>
      <c r="D3538" s="79">
        <v>94.5</v>
      </c>
    </row>
    <row r="3539" spans="1:4" x14ac:dyDescent="0.3">
      <c r="A3539" s="88" t="s">
        <v>26</v>
      </c>
      <c r="B3539" s="88"/>
      <c r="C3539" s="16">
        <v>46269</v>
      </c>
      <c r="D3539" s="79">
        <v>2147.92</v>
      </c>
    </row>
    <row r="3540" spans="1:4" x14ac:dyDescent="0.3">
      <c r="A3540" s="88" t="s">
        <v>27</v>
      </c>
      <c r="B3540" s="88"/>
      <c r="C3540" s="16">
        <v>46269</v>
      </c>
      <c r="D3540" s="79">
        <v>17895.290000000015</v>
      </c>
    </row>
    <row r="3541" spans="1:4" x14ac:dyDescent="0.3">
      <c r="A3541" s="88" t="s">
        <v>28</v>
      </c>
      <c r="B3541" s="88"/>
      <c r="C3541" s="16">
        <v>46269</v>
      </c>
      <c r="D3541" s="79">
        <v>1968.99</v>
      </c>
    </row>
    <row r="3542" spans="1:4" x14ac:dyDescent="0.3">
      <c r="A3542" s="88" t="s">
        <v>29</v>
      </c>
      <c r="B3542" s="88"/>
      <c r="C3542" s="16">
        <v>46269</v>
      </c>
      <c r="D3542" s="79">
        <v>901.34</v>
      </c>
    </row>
    <row r="3543" spans="1:4" x14ac:dyDescent="0.3">
      <c r="A3543" s="88" t="s">
        <v>30</v>
      </c>
      <c r="B3543" s="88"/>
      <c r="C3543" s="16">
        <v>46269</v>
      </c>
      <c r="D3543" s="79">
        <v>1380.08</v>
      </c>
    </row>
    <row r="3544" spans="1:4" x14ac:dyDescent="0.3">
      <c r="A3544" s="88" t="s">
        <v>31</v>
      </c>
      <c r="B3544" s="88"/>
      <c r="C3544" s="16">
        <v>46269</v>
      </c>
      <c r="D3544" s="79">
        <v>25027.379999999961</v>
      </c>
    </row>
    <row r="3545" spans="1:4" x14ac:dyDescent="0.3">
      <c r="A3545" s="88" t="s">
        <v>32</v>
      </c>
      <c r="B3545" s="88"/>
      <c r="C3545" s="16">
        <v>46269</v>
      </c>
      <c r="D3545" s="79">
        <v>16760.540000000008</v>
      </c>
    </row>
    <row r="3546" spans="1:4" x14ac:dyDescent="0.3">
      <c r="A3546" s="88" t="s">
        <v>33</v>
      </c>
      <c r="B3546" s="88"/>
      <c r="C3546" s="16">
        <v>46269</v>
      </c>
      <c r="D3546" s="79">
        <v>14162.999999999996</v>
      </c>
    </row>
    <row r="3547" spans="1:4" x14ac:dyDescent="0.3">
      <c r="A3547" s="88" t="s">
        <v>34</v>
      </c>
      <c r="B3547" s="88"/>
      <c r="C3547" s="16">
        <v>46269</v>
      </c>
      <c r="D3547" s="79">
        <v>345</v>
      </c>
    </row>
    <row r="3548" spans="1:4" x14ac:dyDescent="0.3">
      <c r="A3548" s="88" t="s">
        <v>35</v>
      </c>
      <c r="B3548" s="88"/>
      <c r="C3548" s="16">
        <v>46269</v>
      </c>
      <c r="D3548" s="79">
        <v>5861.1200000000026</v>
      </c>
    </row>
    <row r="3549" spans="1:4" x14ac:dyDescent="0.3">
      <c r="A3549" s="88" t="s">
        <v>193</v>
      </c>
      <c r="B3549" s="88"/>
      <c r="C3549" s="16">
        <v>46269</v>
      </c>
      <c r="D3549" s="79">
        <v>299174.44</v>
      </c>
    </row>
    <row r="3550" spans="1:4" x14ac:dyDescent="0.3">
      <c r="A3550" s="88" t="s">
        <v>214</v>
      </c>
      <c r="B3550" s="88"/>
      <c r="C3550" s="16">
        <v>46269</v>
      </c>
      <c r="D3550" s="79">
        <v>20467.07</v>
      </c>
    </row>
    <row r="3551" spans="1:4" x14ac:dyDescent="0.3">
      <c r="A3551" s="88" t="s">
        <v>194</v>
      </c>
      <c r="B3551" s="88"/>
      <c r="C3551" s="16">
        <v>46269</v>
      </c>
      <c r="D3551" s="79">
        <v>3631.96</v>
      </c>
    </row>
    <row r="3552" spans="1:4" x14ac:dyDescent="0.3">
      <c r="A3552" s="88" t="s">
        <v>195</v>
      </c>
      <c r="B3552" s="88"/>
      <c r="C3552" s="16">
        <v>46269</v>
      </c>
      <c r="D3552" s="79">
        <v>604.80000000000018</v>
      </c>
    </row>
    <row r="3553" spans="1:4" x14ac:dyDescent="0.3">
      <c r="A3553" s="88" t="s">
        <v>196</v>
      </c>
      <c r="B3553" s="88"/>
      <c r="C3553" s="16">
        <v>46269</v>
      </c>
      <c r="D3553" s="79">
        <v>32112.919999999976</v>
      </c>
    </row>
    <row r="3554" spans="1:4" x14ac:dyDescent="0.3">
      <c r="A3554" s="88" t="s">
        <v>197</v>
      </c>
      <c r="B3554" s="88"/>
      <c r="C3554" s="16">
        <v>46269</v>
      </c>
      <c r="D3554" s="79">
        <v>794.01</v>
      </c>
    </row>
    <row r="3555" spans="1:4" x14ac:dyDescent="0.3">
      <c r="A3555" s="88" t="s">
        <v>212</v>
      </c>
      <c r="B3555" s="88"/>
      <c r="C3555" s="16">
        <v>46269</v>
      </c>
      <c r="D3555" s="79">
        <v>5445.57</v>
      </c>
    </row>
    <row r="3556" spans="1:4" x14ac:dyDescent="0.3">
      <c r="A3556" s="88" t="s">
        <v>199</v>
      </c>
      <c r="B3556" s="88"/>
      <c r="C3556" s="16">
        <v>46269</v>
      </c>
      <c r="D3556" s="79">
        <v>242035.31</v>
      </c>
    </row>
    <row r="3557" spans="1:4" x14ac:dyDescent="0.3">
      <c r="A3557" s="88" t="s">
        <v>217</v>
      </c>
      <c r="B3557" s="88"/>
      <c r="C3557" s="16">
        <v>46269</v>
      </c>
      <c r="D3557" s="79">
        <v>303874.71999999997</v>
      </c>
    </row>
    <row r="3558" spans="1:4" x14ac:dyDescent="0.3">
      <c r="A3558" s="88" t="s">
        <v>17</v>
      </c>
      <c r="B3558" s="88"/>
      <c r="C3558" s="16">
        <v>46270</v>
      </c>
      <c r="D3558" s="79">
        <v>1549729.4500000007</v>
      </c>
    </row>
    <row r="3559" spans="1:4" x14ac:dyDescent="0.3">
      <c r="A3559" s="88" t="s">
        <v>18</v>
      </c>
      <c r="B3559" s="88"/>
      <c r="C3559" s="16">
        <v>46270</v>
      </c>
      <c r="D3559" s="79">
        <v>93280.230000000171</v>
      </c>
    </row>
    <row r="3560" spans="1:4" x14ac:dyDescent="0.3">
      <c r="A3560" s="88" t="s">
        <v>19</v>
      </c>
      <c r="B3560" s="88"/>
      <c r="C3560" s="16">
        <v>46270</v>
      </c>
      <c r="D3560" s="79">
        <v>1669.89</v>
      </c>
    </row>
    <row r="3561" spans="1:4" x14ac:dyDescent="0.3">
      <c r="A3561" s="88" t="s">
        <v>20</v>
      </c>
      <c r="B3561" s="88"/>
      <c r="C3561" s="16">
        <v>46270</v>
      </c>
      <c r="D3561" s="79">
        <v>1250938</v>
      </c>
    </row>
    <row r="3562" spans="1:4" x14ac:dyDescent="0.3">
      <c r="A3562" s="88" t="s">
        <v>21</v>
      </c>
      <c r="B3562" s="88"/>
      <c r="C3562" s="16">
        <v>46270</v>
      </c>
      <c r="D3562" s="79">
        <v>1499204.7399999998</v>
      </c>
    </row>
    <row r="3563" spans="1:4" x14ac:dyDescent="0.3">
      <c r="A3563" s="88" t="s">
        <v>22</v>
      </c>
      <c r="B3563" s="88"/>
      <c r="C3563" s="16">
        <v>46270</v>
      </c>
      <c r="D3563" s="79">
        <v>249778.14</v>
      </c>
    </row>
    <row r="3564" spans="1:4" x14ac:dyDescent="0.3">
      <c r="A3564" s="88" t="s">
        <v>23</v>
      </c>
      <c r="B3564" s="88"/>
      <c r="C3564" s="16">
        <v>46270</v>
      </c>
      <c r="D3564" s="79">
        <v>217684.34</v>
      </c>
    </row>
    <row r="3565" spans="1:4" x14ac:dyDescent="0.3">
      <c r="A3565" s="88" t="s">
        <v>24</v>
      </c>
      <c r="B3565" s="88"/>
      <c r="C3565" s="16">
        <v>46270</v>
      </c>
      <c r="D3565" s="79">
        <v>13014.880000000001</v>
      </c>
    </row>
    <row r="3566" spans="1:4" x14ac:dyDescent="0.3">
      <c r="A3566" s="88" t="s">
        <v>25</v>
      </c>
      <c r="B3566" s="88"/>
      <c r="C3566" s="16">
        <v>46270</v>
      </c>
      <c r="D3566" s="79">
        <v>94.5</v>
      </c>
    </row>
    <row r="3567" spans="1:4" x14ac:dyDescent="0.3">
      <c r="A3567" s="88" t="s">
        <v>26</v>
      </c>
      <c r="B3567" s="88"/>
      <c r="C3567" s="16">
        <v>46270</v>
      </c>
      <c r="D3567" s="79">
        <v>2147.92</v>
      </c>
    </row>
    <row r="3568" spans="1:4" x14ac:dyDescent="0.3">
      <c r="A3568" s="88" t="s">
        <v>27</v>
      </c>
      <c r="B3568" s="88"/>
      <c r="C3568" s="16">
        <v>46270</v>
      </c>
      <c r="D3568" s="79">
        <v>17895.290000000015</v>
      </c>
    </row>
    <row r="3569" spans="1:4" x14ac:dyDescent="0.3">
      <c r="A3569" s="88" t="s">
        <v>28</v>
      </c>
      <c r="B3569" s="88"/>
      <c r="C3569" s="16">
        <v>46270</v>
      </c>
      <c r="D3569" s="79">
        <v>1968.99</v>
      </c>
    </row>
    <row r="3570" spans="1:4" x14ac:dyDescent="0.3">
      <c r="A3570" s="88" t="s">
        <v>29</v>
      </c>
      <c r="B3570" s="88"/>
      <c r="C3570" s="16">
        <v>46270</v>
      </c>
      <c r="D3570" s="79">
        <v>901.34</v>
      </c>
    </row>
    <row r="3571" spans="1:4" x14ac:dyDescent="0.3">
      <c r="A3571" s="88" t="s">
        <v>30</v>
      </c>
      <c r="B3571" s="88"/>
      <c r="C3571" s="16">
        <v>46270</v>
      </c>
      <c r="D3571" s="79">
        <v>1380.08</v>
      </c>
    </row>
    <row r="3572" spans="1:4" x14ac:dyDescent="0.3">
      <c r="A3572" s="88" t="s">
        <v>31</v>
      </c>
      <c r="B3572" s="88"/>
      <c r="C3572" s="16">
        <v>46270</v>
      </c>
      <c r="D3572" s="79">
        <v>25027.379999999961</v>
      </c>
    </row>
    <row r="3573" spans="1:4" x14ac:dyDescent="0.3">
      <c r="A3573" s="88" t="s">
        <v>32</v>
      </c>
      <c r="B3573" s="88"/>
      <c r="C3573" s="16">
        <v>46270</v>
      </c>
      <c r="D3573" s="79">
        <v>16760.540000000008</v>
      </c>
    </row>
    <row r="3574" spans="1:4" x14ac:dyDescent="0.3">
      <c r="A3574" s="88" t="s">
        <v>33</v>
      </c>
      <c r="B3574" s="88"/>
      <c r="C3574" s="16">
        <v>46270</v>
      </c>
      <c r="D3574" s="79">
        <v>14162.999999999996</v>
      </c>
    </row>
    <row r="3575" spans="1:4" x14ac:dyDescent="0.3">
      <c r="A3575" s="88" t="s">
        <v>34</v>
      </c>
      <c r="B3575" s="88"/>
      <c r="C3575" s="16">
        <v>46270</v>
      </c>
      <c r="D3575" s="79">
        <v>345</v>
      </c>
    </row>
    <row r="3576" spans="1:4" x14ac:dyDescent="0.3">
      <c r="A3576" s="88" t="s">
        <v>35</v>
      </c>
      <c r="B3576" s="88"/>
      <c r="C3576" s="16">
        <v>46270</v>
      </c>
      <c r="D3576" s="79">
        <v>5861.1200000000026</v>
      </c>
    </row>
    <row r="3577" spans="1:4" x14ac:dyDescent="0.3">
      <c r="A3577" s="88" t="s">
        <v>193</v>
      </c>
      <c r="B3577" s="88"/>
      <c r="C3577" s="16">
        <v>46270</v>
      </c>
      <c r="D3577" s="79">
        <v>299174.44</v>
      </c>
    </row>
    <row r="3578" spans="1:4" x14ac:dyDescent="0.3">
      <c r="A3578" s="88" t="s">
        <v>214</v>
      </c>
      <c r="B3578" s="88"/>
      <c r="C3578" s="16">
        <v>46270</v>
      </c>
      <c r="D3578" s="79">
        <v>20467.07</v>
      </c>
    </row>
    <row r="3579" spans="1:4" x14ac:dyDescent="0.3">
      <c r="A3579" s="88" t="s">
        <v>194</v>
      </c>
      <c r="B3579" s="88"/>
      <c r="C3579" s="16">
        <v>46270</v>
      </c>
      <c r="D3579" s="79">
        <v>3631.96</v>
      </c>
    </row>
    <row r="3580" spans="1:4" x14ac:dyDescent="0.3">
      <c r="A3580" s="88" t="s">
        <v>195</v>
      </c>
      <c r="B3580" s="88"/>
      <c r="C3580" s="16">
        <v>46270</v>
      </c>
      <c r="D3580" s="79">
        <v>604.80000000000018</v>
      </c>
    </row>
    <row r="3581" spans="1:4" x14ac:dyDescent="0.3">
      <c r="A3581" s="88" t="s">
        <v>196</v>
      </c>
      <c r="B3581" s="88"/>
      <c r="C3581" s="16">
        <v>46270</v>
      </c>
      <c r="D3581" s="79">
        <v>32112.919999999976</v>
      </c>
    </row>
    <row r="3582" spans="1:4" x14ac:dyDescent="0.3">
      <c r="A3582" s="88" t="s">
        <v>197</v>
      </c>
      <c r="B3582" s="88"/>
      <c r="C3582" s="16">
        <v>46270</v>
      </c>
      <c r="D3582" s="79">
        <v>794.01</v>
      </c>
    </row>
    <row r="3583" spans="1:4" x14ac:dyDescent="0.3">
      <c r="A3583" s="88" t="s">
        <v>212</v>
      </c>
      <c r="B3583" s="88"/>
      <c r="C3583" s="16">
        <v>46270</v>
      </c>
      <c r="D3583" s="79">
        <v>5445.57</v>
      </c>
    </row>
    <row r="3584" spans="1:4" x14ac:dyDescent="0.3">
      <c r="A3584" s="88" t="s">
        <v>199</v>
      </c>
      <c r="B3584" s="88"/>
      <c r="C3584" s="16">
        <v>46270</v>
      </c>
      <c r="D3584" s="79">
        <v>242035.31</v>
      </c>
    </row>
    <row r="3585" spans="1:4" x14ac:dyDescent="0.3">
      <c r="A3585" s="88" t="s">
        <v>217</v>
      </c>
      <c r="B3585" s="88"/>
      <c r="C3585" s="16">
        <v>46270</v>
      </c>
      <c r="D3585" s="79">
        <v>303874.71999999997</v>
      </c>
    </row>
    <row r="3586" spans="1:4" x14ac:dyDescent="0.3">
      <c r="A3586" s="88" t="s">
        <v>17</v>
      </c>
      <c r="B3586" s="88"/>
      <c r="C3586" s="16">
        <v>46271</v>
      </c>
      <c r="D3586" s="79">
        <v>1549729.4500000007</v>
      </c>
    </row>
    <row r="3587" spans="1:4" x14ac:dyDescent="0.3">
      <c r="A3587" s="88" t="s">
        <v>18</v>
      </c>
      <c r="B3587" s="88"/>
      <c r="C3587" s="16">
        <v>46271</v>
      </c>
      <c r="D3587" s="79">
        <v>93280.230000000171</v>
      </c>
    </row>
    <row r="3588" spans="1:4" x14ac:dyDescent="0.3">
      <c r="A3588" s="88" t="s">
        <v>19</v>
      </c>
      <c r="B3588" s="88"/>
      <c r="C3588" s="16">
        <v>46271</v>
      </c>
      <c r="D3588" s="79">
        <v>1669.89</v>
      </c>
    </row>
    <row r="3589" spans="1:4" x14ac:dyDescent="0.3">
      <c r="A3589" s="88" t="s">
        <v>20</v>
      </c>
      <c r="B3589" s="88"/>
      <c r="C3589" s="16">
        <v>46271</v>
      </c>
      <c r="D3589" s="79">
        <v>1250938</v>
      </c>
    </row>
    <row r="3590" spans="1:4" x14ac:dyDescent="0.3">
      <c r="A3590" s="88" t="s">
        <v>21</v>
      </c>
      <c r="B3590" s="88"/>
      <c r="C3590" s="16">
        <v>46271</v>
      </c>
      <c r="D3590" s="79">
        <v>1499204.7399999998</v>
      </c>
    </row>
    <row r="3591" spans="1:4" x14ac:dyDescent="0.3">
      <c r="A3591" s="88" t="s">
        <v>22</v>
      </c>
      <c r="B3591" s="88"/>
      <c r="C3591" s="16">
        <v>46271</v>
      </c>
      <c r="D3591" s="79">
        <v>249778.14</v>
      </c>
    </row>
    <row r="3592" spans="1:4" x14ac:dyDescent="0.3">
      <c r="A3592" s="88" t="s">
        <v>23</v>
      </c>
      <c r="B3592" s="88"/>
      <c r="C3592" s="16">
        <v>46271</v>
      </c>
      <c r="D3592" s="79">
        <v>217684.34</v>
      </c>
    </row>
    <row r="3593" spans="1:4" x14ac:dyDescent="0.3">
      <c r="A3593" s="88" t="s">
        <v>24</v>
      </c>
      <c r="B3593" s="88"/>
      <c r="C3593" s="16">
        <v>46271</v>
      </c>
      <c r="D3593" s="79">
        <v>13014.880000000001</v>
      </c>
    </row>
    <row r="3594" spans="1:4" x14ac:dyDescent="0.3">
      <c r="A3594" s="88" t="s">
        <v>25</v>
      </c>
      <c r="B3594" s="88"/>
      <c r="C3594" s="16">
        <v>46271</v>
      </c>
      <c r="D3594" s="79">
        <v>94.5</v>
      </c>
    </row>
    <row r="3595" spans="1:4" x14ac:dyDescent="0.3">
      <c r="A3595" s="88" t="s">
        <v>26</v>
      </c>
      <c r="B3595" s="88"/>
      <c r="C3595" s="16">
        <v>46271</v>
      </c>
      <c r="D3595" s="79">
        <v>2147.92</v>
      </c>
    </row>
    <row r="3596" spans="1:4" x14ac:dyDescent="0.3">
      <c r="A3596" s="88" t="s">
        <v>27</v>
      </c>
      <c r="B3596" s="88"/>
      <c r="C3596" s="16">
        <v>46271</v>
      </c>
      <c r="D3596" s="79">
        <v>17895.290000000015</v>
      </c>
    </row>
    <row r="3597" spans="1:4" x14ac:dyDescent="0.3">
      <c r="A3597" s="88" t="s">
        <v>28</v>
      </c>
      <c r="B3597" s="88"/>
      <c r="C3597" s="16">
        <v>46271</v>
      </c>
      <c r="D3597" s="79">
        <v>1968.99</v>
      </c>
    </row>
    <row r="3598" spans="1:4" x14ac:dyDescent="0.3">
      <c r="A3598" s="88" t="s">
        <v>29</v>
      </c>
      <c r="B3598" s="88"/>
      <c r="C3598" s="16">
        <v>46271</v>
      </c>
      <c r="D3598" s="79">
        <v>901.34</v>
      </c>
    </row>
    <row r="3599" spans="1:4" x14ac:dyDescent="0.3">
      <c r="A3599" s="88" t="s">
        <v>30</v>
      </c>
      <c r="B3599" s="88"/>
      <c r="C3599" s="16">
        <v>46271</v>
      </c>
      <c r="D3599" s="79">
        <v>1380.08</v>
      </c>
    </row>
    <row r="3600" spans="1:4" x14ac:dyDescent="0.3">
      <c r="A3600" s="88" t="s">
        <v>31</v>
      </c>
      <c r="B3600" s="88"/>
      <c r="C3600" s="16">
        <v>46271</v>
      </c>
      <c r="D3600" s="79">
        <v>25027.379999999961</v>
      </c>
    </row>
    <row r="3601" spans="1:4" x14ac:dyDescent="0.3">
      <c r="A3601" s="88" t="s">
        <v>32</v>
      </c>
      <c r="B3601" s="88"/>
      <c r="C3601" s="16">
        <v>46271</v>
      </c>
      <c r="D3601" s="79">
        <v>16760.540000000008</v>
      </c>
    </row>
    <row r="3602" spans="1:4" x14ac:dyDescent="0.3">
      <c r="A3602" s="88" t="s">
        <v>33</v>
      </c>
      <c r="B3602" s="88"/>
      <c r="C3602" s="16">
        <v>46271</v>
      </c>
      <c r="D3602" s="79">
        <v>14162.999999999996</v>
      </c>
    </row>
    <row r="3603" spans="1:4" x14ac:dyDescent="0.3">
      <c r="A3603" s="88" t="s">
        <v>34</v>
      </c>
      <c r="B3603" s="88"/>
      <c r="C3603" s="16">
        <v>46271</v>
      </c>
      <c r="D3603" s="79">
        <v>345</v>
      </c>
    </row>
    <row r="3604" spans="1:4" x14ac:dyDescent="0.3">
      <c r="A3604" s="88" t="s">
        <v>35</v>
      </c>
      <c r="B3604" s="88"/>
      <c r="C3604" s="16">
        <v>46271</v>
      </c>
      <c r="D3604" s="79">
        <v>5861.1200000000026</v>
      </c>
    </row>
    <row r="3605" spans="1:4" x14ac:dyDescent="0.3">
      <c r="A3605" s="88" t="s">
        <v>193</v>
      </c>
      <c r="B3605" s="88"/>
      <c r="C3605" s="16">
        <v>46271</v>
      </c>
      <c r="D3605" s="79">
        <v>299174.44</v>
      </c>
    </row>
    <row r="3606" spans="1:4" x14ac:dyDescent="0.3">
      <c r="A3606" s="88" t="s">
        <v>214</v>
      </c>
      <c r="B3606" s="88"/>
      <c r="C3606" s="16">
        <v>46271</v>
      </c>
      <c r="D3606" s="79">
        <v>20467.07</v>
      </c>
    </row>
    <row r="3607" spans="1:4" x14ac:dyDescent="0.3">
      <c r="A3607" s="88" t="s">
        <v>194</v>
      </c>
      <c r="B3607" s="88"/>
      <c r="C3607" s="16">
        <v>46271</v>
      </c>
      <c r="D3607" s="79">
        <v>3631.96</v>
      </c>
    </row>
    <row r="3608" spans="1:4" x14ac:dyDescent="0.3">
      <c r="A3608" s="88" t="s">
        <v>195</v>
      </c>
      <c r="B3608" s="88"/>
      <c r="C3608" s="16">
        <v>46271</v>
      </c>
      <c r="D3608" s="79">
        <v>604.80000000000018</v>
      </c>
    </row>
    <row r="3609" spans="1:4" x14ac:dyDescent="0.3">
      <c r="A3609" s="88" t="s">
        <v>196</v>
      </c>
      <c r="B3609" s="88"/>
      <c r="C3609" s="16">
        <v>46271</v>
      </c>
      <c r="D3609" s="79">
        <v>32112.919999999976</v>
      </c>
    </row>
    <row r="3610" spans="1:4" x14ac:dyDescent="0.3">
      <c r="A3610" s="88" t="s">
        <v>197</v>
      </c>
      <c r="B3610" s="88"/>
      <c r="C3610" s="16">
        <v>46271</v>
      </c>
      <c r="D3610" s="79">
        <v>794.01</v>
      </c>
    </row>
    <row r="3611" spans="1:4" x14ac:dyDescent="0.3">
      <c r="A3611" s="88" t="s">
        <v>212</v>
      </c>
      <c r="B3611" s="88"/>
      <c r="C3611" s="16">
        <v>46271</v>
      </c>
      <c r="D3611" s="79">
        <v>5445.57</v>
      </c>
    </row>
    <row r="3612" spans="1:4" x14ac:dyDescent="0.3">
      <c r="A3612" s="88" t="s">
        <v>199</v>
      </c>
      <c r="B3612" s="88"/>
      <c r="C3612" s="16">
        <v>46271</v>
      </c>
      <c r="D3612" s="79">
        <v>242035.31</v>
      </c>
    </row>
    <row r="3613" spans="1:4" x14ac:dyDescent="0.3">
      <c r="A3613" s="88" t="s">
        <v>217</v>
      </c>
      <c r="B3613" s="88"/>
      <c r="C3613" s="16">
        <v>46271</v>
      </c>
      <c r="D3613" s="79">
        <v>303874.71999999997</v>
      </c>
    </row>
    <row r="3614" spans="1:4" x14ac:dyDescent="0.3">
      <c r="A3614" s="88" t="s">
        <v>17</v>
      </c>
      <c r="B3614" s="88"/>
      <c r="C3614" s="16">
        <v>46272</v>
      </c>
      <c r="D3614" s="79">
        <v>1549729.4500000007</v>
      </c>
    </row>
    <row r="3615" spans="1:4" x14ac:dyDescent="0.3">
      <c r="A3615" s="88" t="s">
        <v>18</v>
      </c>
      <c r="B3615" s="88"/>
      <c r="C3615" s="16">
        <v>46272</v>
      </c>
      <c r="D3615" s="79">
        <v>93280.230000000171</v>
      </c>
    </row>
    <row r="3616" spans="1:4" x14ac:dyDescent="0.3">
      <c r="A3616" s="88" t="s">
        <v>19</v>
      </c>
      <c r="B3616" s="88"/>
      <c r="C3616" s="16">
        <v>46272</v>
      </c>
      <c r="D3616" s="79">
        <v>1669.89</v>
      </c>
    </row>
    <row r="3617" spans="1:4" x14ac:dyDescent="0.3">
      <c r="A3617" s="88" t="s">
        <v>20</v>
      </c>
      <c r="B3617" s="88"/>
      <c r="C3617" s="16">
        <v>46272</v>
      </c>
      <c r="D3617" s="79">
        <v>1250938</v>
      </c>
    </row>
    <row r="3618" spans="1:4" x14ac:dyDescent="0.3">
      <c r="A3618" s="88" t="s">
        <v>21</v>
      </c>
      <c r="B3618" s="88"/>
      <c r="C3618" s="16">
        <v>46272</v>
      </c>
      <c r="D3618" s="79">
        <v>1499204.7399999998</v>
      </c>
    </row>
    <row r="3619" spans="1:4" x14ac:dyDescent="0.3">
      <c r="A3619" s="88" t="s">
        <v>22</v>
      </c>
      <c r="B3619" s="88"/>
      <c r="C3619" s="16">
        <v>46272</v>
      </c>
      <c r="D3619" s="79">
        <v>249778.14</v>
      </c>
    </row>
    <row r="3620" spans="1:4" x14ac:dyDescent="0.3">
      <c r="A3620" s="88" t="s">
        <v>23</v>
      </c>
      <c r="B3620" s="88"/>
      <c r="C3620" s="16">
        <v>46272</v>
      </c>
      <c r="D3620" s="79">
        <v>217684.34</v>
      </c>
    </row>
    <row r="3621" spans="1:4" x14ac:dyDescent="0.3">
      <c r="A3621" s="88" t="s">
        <v>24</v>
      </c>
      <c r="B3621" s="88"/>
      <c r="C3621" s="16">
        <v>46272</v>
      </c>
      <c r="D3621" s="79">
        <v>13014.880000000001</v>
      </c>
    </row>
    <row r="3622" spans="1:4" x14ac:dyDescent="0.3">
      <c r="A3622" s="88" t="s">
        <v>25</v>
      </c>
      <c r="B3622" s="88"/>
      <c r="C3622" s="16">
        <v>46272</v>
      </c>
      <c r="D3622" s="79">
        <v>94.5</v>
      </c>
    </row>
    <row r="3623" spans="1:4" x14ac:dyDescent="0.3">
      <c r="A3623" s="88" t="s">
        <v>26</v>
      </c>
      <c r="B3623" s="88"/>
      <c r="C3623" s="16">
        <v>46272</v>
      </c>
      <c r="D3623" s="79">
        <v>2147.92</v>
      </c>
    </row>
    <row r="3624" spans="1:4" x14ac:dyDescent="0.3">
      <c r="A3624" s="88" t="s">
        <v>27</v>
      </c>
      <c r="B3624" s="88"/>
      <c r="C3624" s="16">
        <v>46272</v>
      </c>
      <c r="D3624" s="79">
        <v>17895.290000000015</v>
      </c>
    </row>
    <row r="3625" spans="1:4" x14ac:dyDescent="0.3">
      <c r="A3625" s="88" t="s">
        <v>28</v>
      </c>
      <c r="B3625" s="88"/>
      <c r="C3625" s="16">
        <v>46272</v>
      </c>
      <c r="D3625" s="79">
        <v>1968.99</v>
      </c>
    </row>
    <row r="3626" spans="1:4" x14ac:dyDescent="0.3">
      <c r="A3626" s="88" t="s">
        <v>29</v>
      </c>
      <c r="B3626" s="88"/>
      <c r="C3626" s="16">
        <v>46272</v>
      </c>
      <c r="D3626" s="79">
        <v>901.34</v>
      </c>
    </row>
    <row r="3627" spans="1:4" x14ac:dyDescent="0.3">
      <c r="A3627" s="88" t="s">
        <v>30</v>
      </c>
      <c r="B3627" s="88"/>
      <c r="C3627" s="16">
        <v>46272</v>
      </c>
      <c r="D3627" s="79">
        <v>1380.08</v>
      </c>
    </row>
    <row r="3628" spans="1:4" x14ac:dyDescent="0.3">
      <c r="A3628" s="88" t="s">
        <v>31</v>
      </c>
      <c r="B3628" s="88"/>
      <c r="C3628" s="16">
        <v>46272</v>
      </c>
      <c r="D3628" s="79">
        <v>25027.379999999961</v>
      </c>
    </row>
    <row r="3629" spans="1:4" x14ac:dyDescent="0.3">
      <c r="A3629" s="88" t="s">
        <v>32</v>
      </c>
      <c r="B3629" s="88"/>
      <c r="C3629" s="16">
        <v>46272</v>
      </c>
      <c r="D3629" s="79">
        <v>16760.540000000008</v>
      </c>
    </row>
    <row r="3630" spans="1:4" x14ac:dyDescent="0.3">
      <c r="A3630" s="88" t="s">
        <v>33</v>
      </c>
      <c r="B3630" s="88"/>
      <c r="C3630" s="16">
        <v>46272</v>
      </c>
      <c r="D3630" s="79">
        <v>14162.999999999996</v>
      </c>
    </row>
    <row r="3631" spans="1:4" x14ac:dyDescent="0.3">
      <c r="A3631" s="88" t="s">
        <v>34</v>
      </c>
      <c r="B3631" s="88"/>
      <c r="C3631" s="16">
        <v>46272</v>
      </c>
      <c r="D3631" s="79">
        <v>345</v>
      </c>
    </row>
    <row r="3632" spans="1:4" x14ac:dyDescent="0.3">
      <c r="A3632" s="88" t="s">
        <v>35</v>
      </c>
      <c r="B3632" s="88"/>
      <c r="C3632" s="16">
        <v>46272</v>
      </c>
      <c r="D3632" s="79">
        <v>5861.1200000000026</v>
      </c>
    </row>
    <row r="3633" spans="1:4" x14ac:dyDescent="0.3">
      <c r="A3633" s="88" t="s">
        <v>193</v>
      </c>
      <c r="B3633" s="88"/>
      <c r="C3633" s="16">
        <v>46272</v>
      </c>
      <c r="D3633" s="79">
        <v>299174.44</v>
      </c>
    </row>
    <row r="3634" spans="1:4" x14ac:dyDescent="0.3">
      <c r="A3634" s="88" t="s">
        <v>214</v>
      </c>
      <c r="B3634" s="88"/>
      <c r="C3634" s="16">
        <v>46272</v>
      </c>
      <c r="D3634" s="79">
        <v>20467.07</v>
      </c>
    </row>
    <row r="3635" spans="1:4" x14ac:dyDescent="0.3">
      <c r="A3635" s="88" t="s">
        <v>194</v>
      </c>
      <c r="B3635" s="88"/>
      <c r="C3635" s="16">
        <v>46272</v>
      </c>
      <c r="D3635" s="79">
        <v>3631.96</v>
      </c>
    </row>
    <row r="3636" spans="1:4" x14ac:dyDescent="0.3">
      <c r="A3636" s="88" t="s">
        <v>195</v>
      </c>
      <c r="B3636" s="88"/>
      <c r="C3636" s="16">
        <v>46272</v>
      </c>
      <c r="D3636" s="79">
        <v>604.80000000000018</v>
      </c>
    </row>
    <row r="3637" spans="1:4" x14ac:dyDescent="0.3">
      <c r="A3637" s="88" t="s">
        <v>196</v>
      </c>
      <c r="B3637" s="88"/>
      <c r="C3637" s="16">
        <v>46272</v>
      </c>
      <c r="D3637" s="79">
        <v>32112.919999999976</v>
      </c>
    </row>
    <row r="3638" spans="1:4" x14ac:dyDescent="0.3">
      <c r="A3638" s="88" t="s">
        <v>197</v>
      </c>
      <c r="B3638" s="88"/>
      <c r="C3638" s="16">
        <v>46272</v>
      </c>
      <c r="D3638" s="79">
        <v>794.01</v>
      </c>
    </row>
    <row r="3639" spans="1:4" x14ac:dyDescent="0.3">
      <c r="A3639" s="88" t="s">
        <v>212</v>
      </c>
      <c r="B3639" s="88"/>
      <c r="C3639" s="16">
        <v>46272</v>
      </c>
      <c r="D3639" s="79">
        <v>5445.57</v>
      </c>
    </row>
    <row r="3640" spans="1:4" x14ac:dyDescent="0.3">
      <c r="A3640" s="88" t="s">
        <v>199</v>
      </c>
      <c r="B3640" s="88"/>
      <c r="C3640" s="16">
        <v>46272</v>
      </c>
      <c r="D3640" s="79">
        <v>242035.31</v>
      </c>
    </row>
    <row r="3641" spans="1:4" x14ac:dyDescent="0.3">
      <c r="A3641" s="88" t="s">
        <v>217</v>
      </c>
      <c r="B3641" s="88"/>
      <c r="C3641" s="16">
        <v>46272</v>
      </c>
      <c r="D3641" s="79">
        <v>303874.71999999997</v>
      </c>
    </row>
    <row r="3642" spans="1:4" x14ac:dyDescent="0.3">
      <c r="A3642" s="88" t="s">
        <v>17</v>
      </c>
      <c r="B3642" s="88"/>
      <c r="C3642" s="16">
        <v>46273</v>
      </c>
      <c r="D3642" s="79">
        <v>1805955.2800000007</v>
      </c>
    </row>
    <row r="3643" spans="1:4" x14ac:dyDescent="0.3">
      <c r="A3643" s="88" t="s">
        <v>18</v>
      </c>
      <c r="B3643" s="88"/>
      <c r="C3643" s="16">
        <v>46273</v>
      </c>
      <c r="D3643" s="79">
        <v>93737.970000000176</v>
      </c>
    </row>
    <row r="3644" spans="1:4" x14ac:dyDescent="0.3">
      <c r="A3644" s="88" t="s">
        <v>19</v>
      </c>
      <c r="B3644" s="88"/>
      <c r="C3644" s="16">
        <v>46273</v>
      </c>
      <c r="D3644" s="79">
        <v>1669.89</v>
      </c>
    </row>
    <row r="3645" spans="1:4" x14ac:dyDescent="0.3">
      <c r="A3645" s="88" t="s">
        <v>20</v>
      </c>
      <c r="B3645" s="88"/>
      <c r="C3645" s="16">
        <v>46273</v>
      </c>
      <c r="D3645" s="79">
        <v>1256669.99</v>
      </c>
    </row>
    <row r="3646" spans="1:4" x14ac:dyDescent="0.3">
      <c r="A3646" s="88" t="s">
        <v>21</v>
      </c>
      <c r="B3646" s="88"/>
      <c r="C3646" s="16">
        <v>46273</v>
      </c>
      <c r="D3646" s="79">
        <v>1490233.3099999996</v>
      </c>
    </row>
    <row r="3647" spans="1:4" x14ac:dyDescent="0.3">
      <c r="A3647" s="88" t="s">
        <v>22</v>
      </c>
      <c r="B3647" s="88"/>
      <c r="C3647" s="16">
        <v>46273</v>
      </c>
      <c r="D3647" s="79">
        <v>249778.14</v>
      </c>
    </row>
    <row r="3648" spans="1:4" x14ac:dyDescent="0.3">
      <c r="A3648" s="88" t="s">
        <v>23</v>
      </c>
      <c r="B3648" s="88"/>
      <c r="C3648" s="16">
        <v>46273</v>
      </c>
      <c r="D3648" s="79">
        <v>217684.34</v>
      </c>
    </row>
    <row r="3649" spans="1:4" x14ac:dyDescent="0.3">
      <c r="A3649" s="88" t="s">
        <v>24</v>
      </c>
      <c r="B3649" s="88"/>
      <c r="C3649" s="16">
        <v>46273</v>
      </c>
      <c r="D3649" s="79">
        <v>11744.75</v>
      </c>
    </row>
    <row r="3650" spans="1:4" x14ac:dyDescent="0.3">
      <c r="A3650" s="88" t="s">
        <v>25</v>
      </c>
      <c r="B3650" s="88"/>
      <c r="C3650" s="16">
        <v>46273</v>
      </c>
      <c r="D3650" s="79">
        <v>94.5</v>
      </c>
    </row>
    <row r="3651" spans="1:4" x14ac:dyDescent="0.3">
      <c r="A3651" s="88" t="s">
        <v>26</v>
      </c>
      <c r="B3651" s="88"/>
      <c r="C3651" s="16">
        <v>46273</v>
      </c>
      <c r="D3651" s="79">
        <v>2147.92</v>
      </c>
    </row>
    <row r="3652" spans="1:4" x14ac:dyDescent="0.3">
      <c r="A3652" s="88" t="s">
        <v>27</v>
      </c>
      <c r="B3652" s="88"/>
      <c r="C3652" s="16">
        <v>46273</v>
      </c>
      <c r="D3652" s="79">
        <v>17895.290000000015</v>
      </c>
    </row>
    <row r="3653" spans="1:4" x14ac:dyDescent="0.3">
      <c r="A3653" s="88" t="s">
        <v>28</v>
      </c>
      <c r="B3653" s="88"/>
      <c r="C3653" s="16">
        <v>46273</v>
      </c>
      <c r="D3653" s="79">
        <v>1968.99</v>
      </c>
    </row>
    <row r="3654" spans="1:4" x14ac:dyDescent="0.3">
      <c r="A3654" s="88" t="s">
        <v>29</v>
      </c>
      <c r="B3654" s="88"/>
      <c r="C3654" s="16">
        <v>46273</v>
      </c>
      <c r="D3654" s="79">
        <v>901.34</v>
      </c>
    </row>
    <row r="3655" spans="1:4" x14ac:dyDescent="0.3">
      <c r="A3655" s="88" t="s">
        <v>30</v>
      </c>
      <c r="B3655" s="88"/>
      <c r="C3655" s="16">
        <v>46273</v>
      </c>
      <c r="D3655" s="79">
        <v>1380.08</v>
      </c>
    </row>
    <row r="3656" spans="1:4" x14ac:dyDescent="0.3">
      <c r="A3656" s="88" t="s">
        <v>31</v>
      </c>
      <c r="B3656" s="88"/>
      <c r="C3656" s="16">
        <v>46273</v>
      </c>
      <c r="D3656" s="79">
        <v>25027.379999999961</v>
      </c>
    </row>
    <row r="3657" spans="1:4" x14ac:dyDescent="0.3">
      <c r="A3657" s="88" t="s">
        <v>32</v>
      </c>
      <c r="B3657" s="88"/>
      <c r="C3657" s="16">
        <v>46273</v>
      </c>
      <c r="D3657" s="79">
        <v>16760.540000000008</v>
      </c>
    </row>
    <row r="3658" spans="1:4" x14ac:dyDescent="0.3">
      <c r="A3658" s="88" t="s">
        <v>33</v>
      </c>
      <c r="B3658" s="88"/>
      <c r="C3658" s="16">
        <v>46273</v>
      </c>
      <c r="D3658" s="79">
        <v>14162.999999999996</v>
      </c>
    </row>
    <row r="3659" spans="1:4" x14ac:dyDescent="0.3">
      <c r="A3659" s="88" t="s">
        <v>34</v>
      </c>
      <c r="B3659" s="88"/>
      <c r="C3659" s="16">
        <v>46273</v>
      </c>
      <c r="D3659" s="79">
        <v>345</v>
      </c>
    </row>
    <row r="3660" spans="1:4" x14ac:dyDescent="0.3">
      <c r="A3660" s="88" t="s">
        <v>35</v>
      </c>
      <c r="B3660" s="88"/>
      <c r="C3660" s="16">
        <v>46273</v>
      </c>
      <c r="D3660" s="79">
        <v>5861.1200000000026</v>
      </c>
    </row>
    <row r="3661" spans="1:4" x14ac:dyDescent="0.3">
      <c r="A3661" s="88" t="s">
        <v>193</v>
      </c>
      <c r="B3661" s="88"/>
      <c r="C3661" s="16">
        <v>46273</v>
      </c>
      <c r="D3661" s="79">
        <v>298843.33</v>
      </c>
    </row>
    <row r="3662" spans="1:4" x14ac:dyDescent="0.3">
      <c r="A3662" s="88" t="s">
        <v>214</v>
      </c>
      <c r="B3662" s="88"/>
      <c r="C3662" s="16">
        <v>46273</v>
      </c>
      <c r="D3662" s="79">
        <v>19563.12</v>
      </c>
    </row>
    <row r="3663" spans="1:4" x14ac:dyDescent="0.3">
      <c r="A3663" s="88" t="s">
        <v>194</v>
      </c>
      <c r="B3663" s="88"/>
      <c r="C3663" s="16">
        <v>46273</v>
      </c>
      <c r="D3663" s="79">
        <v>3631.96</v>
      </c>
    </row>
    <row r="3664" spans="1:4" x14ac:dyDescent="0.3">
      <c r="A3664" s="88" t="s">
        <v>195</v>
      </c>
      <c r="B3664" s="88"/>
      <c r="C3664" s="16">
        <v>46273</v>
      </c>
      <c r="D3664" s="79">
        <v>604.80000000000018</v>
      </c>
    </row>
    <row r="3665" spans="1:4" x14ac:dyDescent="0.3">
      <c r="A3665" s="88" t="s">
        <v>196</v>
      </c>
      <c r="B3665" s="88"/>
      <c r="C3665" s="16">
        <v>46273</v>
      </c>
      <c r="D3665" s="79">
        <v>32112.919999999976</v>
      </c>
    </row>
    <row r="3666" spans="1:4" x14ac:dyDescent="0.3">
      <c r="A3666" s="88" t="s">
        <v>197</v>
      </c>
      <c r="B3666" s="88"/>
      <c r="C3666" s="16">
        <v>46273</v>
      </c>
      <c r="D3666" s="79">
        <v>794.01</v>
      </c>
    </row>
    <row r="3667" spans="1:4" x14ac:dyDescent="0.3">
      <c r="A3667" s="88" t="s">
        <v>212</v>
      </c>
      <c r="B3667" s="88"/>
      <c r="C3667" s="16">
        <v>46273</v>
      </c>
      <c r="D3667" s="79">
        <v>5445.57</v>
      </c>
    </row>
    <row r="3668" spans="1:4" x14ac:dyDescent="0.3">
      <c r="A3668" s="88" t="s">
        <v>199</v>
      </c>
      <c r="B3668" s="88"/>
      <c r="C3668" s="16">
        <v>46273</v>
      </c>
      <c r="D3668" s="79">
        <v>241988.24999999997</v>
      </c>
    </row>
    <row r="3669" spans="1:4" x14ac:dyDescent="0.3">
      <c r="A3669" s="88" t="s">
        <v>217</v>
      </c>
      <c r="B3669" s="88"/>
      <c r="C3669" s="16">
        <v>46273</v>
      </c>
      <c r="D3669" s="79">
        <v>303874.71999999997</v>
      </c>
    </row>
    <row r="3670" spans="1:4" x14ac:dyDescent="0.3">
      <c r="A3670" s="88" t="s">
        <v>17</v>
      </c>
      <c r="B3670" s="88"/>
      <c r="C3670" s="16">
        <v>46274</v>
      </c>
      <c r="D3670" s="79">
        <v>1805355.2800000007</v>
      </c>
    </row>
    <row r="3671" spans="1:4" x14ac:dyDescent="0.3">
      <c r="A3671" s="88" t="s">
        <v>18</v>
      </c>
      <c r="B3671" s="88"/>
      <c r="C3671" s="16">
        <v>46274</v>
      </c>
      <c r="D3671" s="79">
        <v>93737.970000000176</v>
      </c>
    </row>
    <row r="3672" spans="1:4" x14ac:dyDescent="0.3">
      <c r="A3672" s="88" t="s">
        <v>19</v>
      </c>
      <c r="B3672" s="88"/>
      <c r="C3672" s="16">
        <v>46274</v>
      </c>
      <c r="D3672" s="79">
        <v>1669.89</v>
      </c>
    </row>
    <row r="3673" spans="1:4" x14ac:dyDescent="0.3">
      <c r="A3673" s="88" t="s">
        <v>20</v>
      </c>
      <c r="B3673" s="88"/>
      <c r="C3673" s="16">
        <v>46274</v>
      </c>
      <c r="D3673" s="79">
        <v>1256669.99</v>
      </c>
    </row>
    <row r="3674" spans="1:4" x14ac:dyDescent="0.3">
      <c r="A3674" s="88" t="s">
        <v>21</v>
      </c>
      <c r="B3674" s="88"/>
      <c r="C3674" s="16">
        <v>46274</v>
      </c>
      <c r="D3674" s="79">
        <v>1487787.1299999997</v>
      </c>
    </row>
    <row r="3675" spans="1:4" x14ac:dyDescent="0.3">
      <c r="A3675" s="88" t="s">
        <v>22</v>
      </c>
      <c r="B3675" s="88"/>
      <c r="C3675" s="16">
        <v>46274</v>
      </c>
      <c r="D3675" s="79">
        <v>229778.14</v>
      </c>
    </row>
    <row r="3676" spans="1:4" x14ac:dyDescent="0.3">
      <c r="A3676" s="88" t="s">
        <v>23</v>
      </c>
      <c r="B3676" s="88"/>
      <c r="C3676" s="16">
        <v>46274</v>
      </c>
      <c r="D3676" s="79">
        <v>217684.34</v>
      </c>
    </row>
    <row r="3677" spans="1:4" x14ac:dyDescent="0.3">
      <c r="A3677" s="88" t="s">
        <v>24</v>
      </c>
      <c r="B3677" s="88"/>
      <c r="C3677" s="16">
        <v>46274</v>
      </c>
      <c r="D3677" s="79">
        <v>11744.75</v>
      </c>
    </row>
    <row r="3678" spans="1:4" x14ac:dyDescent="0.3">
      <c r="A3678" s="88" t="s">
        <v>25</v>
      </c>
      <c r="B3678" s="88"/>
      <c r="C3678" s="16">
        <v>46274</v>
      </c>
      <c r="D3678" s="79">
        <v>94.5</v>
      </c>
    </row>
    <row r="3679" spans="1:4" x14ac:dyDescent="0.3">
      <c r="A3679" s="88" t="s">
        <v>26</v>
      </c>
      <c r="B3679" s="88"/>
      <c r="C3679" s="16">
        <v>46274</v>
      </c>
      <c r="D3679" s="79">
        <v>2147.92</v>
      </c>
    </row>
    <row r="3680" spans="1:4" x14ac:dyDescent="0.3">
      <c r="A3680" s="88" t="s">
        <v>27</v>
      </c>
      <c r="B3680" s="88"/>
      <c r="C3680" s="16">
        <v>46274</v>
      </c>
      <c r="D3680" s="79">
        <v>17895.290000000015</v>
      </c>
    </row>
    <row r="3681" spans="1:4" x14ac:dyDescent="0.3">
      <c r="A3681" s="88" t="s">
        <v>28</v>
      </c>
      <c r="B3681" s="88"/>
      <c r="C3681" s="16">
        <v>46274</v>
      </c>
      <c r="D3681" s="79">
        <v>1968.99</v>
      </c>
    </row>
    <row r="3682" spans="1:4" x14ac:dyDescent="0.3">
      <c r="A3682" s="88" t="s">
        <v>29</v>
      </c>
      <c r="B3682" s="88"/>
      <c r="C3682" s="16">
        <v>46274</v>
      </c>
      <c r="D3682" s="79">
        <v>901.34</v>
      </c>
    </row>
    <row r="3683" spans="1:4" x14ac:dyDescent="0.3">
      <c r="A3683" s="88" t="s">
        <v>30</v>
      </c>
      <c r="B3683" s="88"/>
      <c r="C3683" s="16">
        <v>46274</v>
      </c>
      <c r="D3683" s="79">
        <v>1380.08</v>
      </c>
    </row>
    <row r="3684" spans="1:4" x14ac:dyDescent="0.3">
      <c r="A3684" s="88" t="s">
        <v>31</v>
      </c>
      <c r="B3684" s="88"/>
      <c r="C3684" s="16">
        <v>46274</v>
      </c>
      <c r="D3684" s="79">
        <v>25027.379999999961</v>
      </c>
    </row>
    <row r="3685" spans="1:4" x14ac:dyDescent="0.3">
      <c r="A3685" s="88" t="s">
        <v>32</v>
      </c>
      <c r="B3685" s="88"/>
      <c r="C3685" s="16">
        <v>46274</v>
      </c>
      <c r="D3685" s="79">
        <v>16760.540000000008</v>
      </c>
    </row>
    <row r="3686" spans="1:4" x14ac:dyDescent="0.3">
      <c r="A3686" s="88" t="s">
        <v>33</v>
      </c>
      <c r="B3686" s="88"/>
      <c r="C3686" s="16">
        <v>46274</v>
      </c>
      <c r="D3686" s="79">
        <v>14162.999999999996</v>
      </c>
    </row>
    <row r="3687" spans="1:4" x14ac:dyDescent="0.3">
      <c r="A3687" s="88" t="s">
        <v>34</v>
      </c>
      <c r="B3687" s="88"/>
      <c r="C3687" s="16">
        <v>46274</v>
      </c>
      <c r="D3687" s="79">
        <v>345</v>
      </c>
    </row>
    <row r="3688" spans="1:4" x14ac:dyDescent="0.3">
      <c r="A3688" s="88" t="s">
        <v>35</v>
      </c>
      <c r="B3688" s="88"/>
      <c r="C3688" s="16">
        <v>46274</v>
      </c>
      <c r="D3688" s="79">
        <v>25812.570000000003</v>
      </c>
    </row>
    <row r="3689" spans="1:4" x14ac:dyDescent="0.3">
      <c r="A3689" s="88" t="s">
        <v>193</v>
      </c>
      <c r="B3689" s="88"/>
      <c r="C3689" s="16">
        <v>46274</v>
      </c>
      <c r="D3689" s="79">
        <v>298792.34000000003</v>
      </c>
    </row>
    <row r="3690" spans="1:4" x14ac:dyDescent="0.3">
      <c r="A3690" s="88" t="s">
        <v>214</v>
      </c>
      <c r="B3690" s="88"/>
      <c r="C3690" s="16">
        <v>46274</v>
      </c>
      <c r="D3690" s="79">
        <v>18649.980000000003</v>
      </c>
    </row>
    <row r="3691" spans="1:4" x14ac:dyDescent="0.3">
      <c r="A3691" s="88" t="s">
        <v>194</v>
      </c>
      <c r="B3691" s="88"/>
      <c r="C3691" s="16">
        <v>46274</v>
      </c>
      <c r="D3691" s="79">
        <v>3631.96</v>
      </c>
    </row>
    <row r="3692" spans="1:4" x14ac:dyDescent="0.3">
      <c r="A3692" s="88" t="s">
        <v>195</v>
      </c>
      <c r="B3692" s="88"/>
      <c r="C3692" s="16">
        <v>46274</v>
      </c>
      <c r="D3692" s="79">
        <v>604.80000000000018</v>
      </c>
    </row>
    <row r="3693" spans="1:4" x14ac:dyDescent="0.3">
      <c r="A3693" s="88" t="s">
        <v>196</v>
      </c>
      <c r="B3693" s="88"/>
      <c r="C3693" s="16">
        <v>46274</v>
      </c>
      <c r="D3693" s="79">
        <v>32112.919999999976</v>
      </c>
    </row>
    <row r="3694" spans="1:4" x14ac:dyDescent="0.3">
      <c r="A3694" s="88" t="s">
        <v>197</v>
      </c>
      <c r="B3694" s="88"/>
      <c r="C3694" s="16">
        <v>46274</v>
      </c>
      <c r="D3694" s="79">
        <v>794.01</v>
      </c>
    </row>
    <row r="3695" spans="1:4" x14ac:dyDescent="0.3">
      <c r="A3695" s="88" t="s">
        <v>212</v>
      </c>
      <c r="B3695" s="88"/>
      <c r="C3695" s="16">
        <v>46274</v>
      </c>
      <c r="D3695" s="79">
        <v>5445.57</v>
      </c>
    </row>
    <row r="3696" spans="1:4" x14ac:dyDescent="0.3">
      <c r="A3696" s="88" t="s">
        <v>199</v>
      </c>
      <c r="B3696" s="88"/>
      <c r="C3696" s="16">
        <v>46274</v>
      </c>
      <c r="D3696" s="79">
        <v>241988.24999999997</v>
      </c>
    </row>
    <row r="3697" spans="1:4" x14ac:dyDescent="0.3">
      <c r="A3697" s="88" t="s">
        <v>217</v>
      </c>
      <c r="B3697" s="88"/>
      <c r="C3697" s="16">
        <v>46274</v>
      </c>
      <c r="D3697" s="79">
        <v>303874.71999999997</v>
      </c>
    </row>
    <row r="3698" spans="1:4" x14ac:dyDescent="0.3">
      <c r="A3698" s="88" t="s">
        <v>17</v>
      </c>
      <c r="B3698" s="88"/>
      <c r="C3698" s="16">
        <v>46275</v>
      </c>
      <c r="D3698" s="79">
        <v>1338116.3900000008</v>
      </c>
    </row>
    <row r="3699" spans="1:4" x14ac:dyDescent="0.3">
      <c r="A3699" s="88" t="s">
        <v>18</v>
      </c>
      <c r="B3699" s="88"/>
      <c r="C3699" s="16">
        <v>46275</v>
      </c>
      <c r="D3699" s="79">
        <v>93737.970000000176</v>
      </c>
    </row>
    <row r="3700" spans="1:4" x14ac:dyDescent="0.3">
      <c r="A3700" s="88" t="s">
        <v>19</v>
      </c>
      <c r="B3700" s="88"/>
      <c r="C3700" s="16">
        <v>46275</v>
      </c>
      <c r="D3700" s="79">
        <v>1669.89</v>
      </c>
    </row>
    <row r="3701" spans="1:4" x14ac:dyDescent="0.3">
      <c r="A3701" s="88" t="s">
        <v>20</v>
      </c>
      <c r="B3701" s="88"/>
      <c r="C3701" s="16">
        <v>46275</v>
      </c>
      <c r="D3701" s="79">
        <v>1089169.99</v>
      </c>
    </row>
    <row r="3702" spans="1:4" x14ac:dyDescent="0.3">
      <c r="A3702" s="88" t="s">
        <v>21</v>
      </c>
      <c r="B3702" s="88"/>
      <c r="C3702" s="16">
        <v>46275</v>
      </c>
      <c r="D3702" s="79">
        <v>1233789.9099999997</v>
      </c>
    </row>
    <row r="3703" spans="1:4" x14ac:dyDescent="0.3">
      <c r="A3703" s="88" t="s">
        <v>22</v>
      </c>
      <c r="B3703" s="88"/>
      <c r="C3703" s="16">
        <v>46275</v>
      </c>
      <c r="D3703" s="79">
        <v>229778.14</v>
      </c>
    </row>
    <row r="3704" spans="1:4" x14ac:dyDescent="0.3">
      <c r="A3704" s="88" t="s">
        <v>23</v>
      </c>
      <c r="B3704" s="88"/>
      <c r="C3704" s="16">
        <v>46275</v>
      </c>
      <c r="D3704" s="79">
        <v>217684.34</v>
      </c>
    </row>
    <row r="3705" spans="1:4" x14ac:dyDescent="0.3">
      <c r="A3705" s="88" t="s">
        <v>24</v>
      </c>
      <c r="B3705" s="88"/>
      <c r="C3705" s="16">
        <v>46275</v>
      </c>
      <c r="D3705" s="79">
        <v>11744.75</v>
      </c>
    </row>
    <row r="3706" spans="1:4" x14ac:dyDescent="0.3">
      <c r="A3706" s="88" t="s">
        <v>25</v>
      </c>
      <c r="B3706" s="88"/>
      <c r="C3706" s="16">
        <v>46275</v>
      </c>
      <c r="D3706" s="79">
        <v>94.5</v>
      </c>
    </row>
    <row r="3707" spans="1:4" x14ac:dyDescent="0.3">
      <c r="A3707" s="88" t="s">
        <v>26</v>
      </c>
      <c r="B3707" s="88"/>
      <c r="C3707" s="16">
        <v>46275</v>
      </c>
      <c r="D3707" s="79">
        <v>2147.92</v>
      </c>
    </row>
    <row r="3708" spans="1:4" x14ac:dyDescent="0.3">
      <c r="A3708" s="88" t="s">
        <v>27</v>
      </c>
      <c r="B3708" s="88"/>
      <c r="C3708" s="16">
        <v>46275</v>
      </c>
      <c r="D3708" s="79">
        <v>17895.290000000015</v>
      </c>
    </row>
    <row r="3709" spans="1:4" x14ac:dyDescent="0.3">
      <c r="A3709" s="88" t="s">
        <v>28</v>
      </c>
      <c r="B3709" s="88"/>
      <c r="C3709" s="16">
        <v>46275</v>
      </c>
      <c r="D3709" s="79">
        <v>1968.99</v>
      </c>
    </row>
    <row r="3710" spans="1:4" x14ac:dyDescent="0.3">
      <c r="A3710" s="88" t="s">
        <v>29</v>
      </c>
      <c r="B3710" s="88"/>
      <c r="C3710" s="16">
        <v>46275</v>
      </c>
      <c r="D3710" s="79">
        <v>901.34</v>
      </c>
    </row>
    <row r="3711" spans="1:4" x14ac:dyDescent="0.3">
      <c r="A3711" s="88" t="s">
        <v>30</v>
      </c>
      <c r="B3711" s="88"/>
      <c r="C3711" s="16">
        <v>46275</v>
      </c>
      <c r="D3711" s="79">
        <v>1380.08</v>
      </c>
    </row>
    <row r="3712" spans="1:4" x14ac:dyDescent="0.3">
      <c r="A3712" s="88" t="s">
        <v>31</v>
      </c>
      <c r="B3712" s="88"/>
      <c r="C3712" s="16">
        <v>46275</v>
      </c>
      <c r="D3712" s="79">
        <v>25027.379999999961</v>
      </c>
    </row>
    <row r="3713" spans="1:4" x14ac:dyDescent="0.3">
      <c r="A3713" s="88" t="s">
        <v>32</v>
      </c>
      <c r="B3713" s="88"/>
      <c r="C3713" s="16">
        <v>46275</v>
      </c>
      <c r="D3713" s="79">
        <v>16760.540000000008</v>
      </c>
    </row>
    <row r="3714" spans="1:4" x14ac:dyDescent="0.3">
      <c r="A3714" s="88" t="s">
        <v>33</v>
      </c>
      <c r="B3714" s="88"/>
      <c r="C3714" s="16">
        <v>46275</v>
      </c>
      <c r="D3714" s="79">
        <v>14162.999999999996</v>
      </c>
    </row>
    <row r="3715" spans="1:4" x14ac:dyDescent="0.3">
      <c r="A3715" s="88" t="s">
        <v>34</v>
      </c>
      <c r="B3715" s="88"/>
      <c r="C3715" s="16">
        <v>46275</v>
      </c>
      <c r="D3715" s="79">
        <v>345</v>
      </c>
    </row>
    <row r="3716" spans="1:4" x14ac:dyDescent="0.3">
      <c r="A3716" s="88" t="s">
        <v>35</v>
      </c>
      <c r="B3716" s="88"/>
      <c r="C3716" s="16">
        <v>46275</v>
      </c>
      <c r="D3716" s="79">
        <v>23159.510000000002</v>
      </c>
    </row>
    <row r="3717" spans="1:4" x14ac:dyDescent="0.3">
      <c r="A3717" s="88" t="s">
        <v>193</v>
      </c>
      <c r="B3717" s="88"/>
      <c r="C3717" s="16">
        <v>46275</v>
      </c>
      <c r="D3717" s="79">
        <v>298792.34000000003</v>
      </c>
    </row>
    <row r="3718" spans="1:4" x14ac:dyDescent="0.3">
      <c r="A3718" s="88" t="s">
        <v>214</v>
      </c>
      <c r="B3718" s="88"/>
      <c r="C3718" s="16">
        <v>46275</v>
      </c>
      <c r="D3718" s="79">
        <v>28004.970000000005</v>
      </c>
    </row>
    <row r="3719" spans="1:4" x14ac:dyDescent="0.3">
      <c r="A3719" s="88" t="s">
        <v>194</v>
      </c>
      <c r="B3719" s="88"/>
      <c r="C3719" s="16">
        <v>46275</v>
      </c>
      <c r="D3719" s="79">
        <v>3631.96</v>
      </c>
    </row>
    <row r="3720" spans="1:4" x14ac:dyDescent="0.3">
      <c r="A3720" s="88" t="s">
        <v>195</v>
      </c>
      <c r="B3720" s="88"/>
      <c r="C3720" s="16">
        <v>46275</v>
      </c>
      <c r="D3720" s="79">
        <v>604.80000000000018</v>
      </c>
    </row>
    <row r="3721" spans="1:4" x14ac:dyDescent="0.3">
      <c r="A3721" s="88" t="s">
        <v>196</v>
      </c>
      <c r="B3721" s="88"/>
      <c r="C3721" s="16">
        <v>46275</v>
      </c>
      <c r="D3721" s="79">
        <v>32112.919999999976</v>
      </c>
    </row>
    <row r="3722" spans="1:4" x14ac:dyDescent="0.3">
      <c r="A3722" s="88" t="s">
        <v>197</v>
      </c>
      <c r="B3722" s="88"/>
      <c r="C3722" s="16">
        <v>46275</v>
      </c>
      <c r="D3722" s="79">
        <v>794.01</v>
      </c>
    </row>
    <row r="3723" spans="1:4" x14ac:dyDescent="0.3">
      <c r="A3723" s="88" t="s">
        <v>212</v>
      </c>
      <c r="B3723" s="88"/>
      <c r="C3723" s="16">
        <v>46275</v>
      </c>
      <c r="D3723" s="79">
        <v>5445.57</v>
      </c>
    </row>
    <row r="3724" spans="1:4" x14ac:dyDescent="0.3">
      <c r="A3724" s="88" t="s">
        <v>199</v>
      </c>
      <c r="B3724" s="88"/>
      <c r="C3724" s="16">
        <v>46275</v>
      </c>
      <c r="D3724" s="79">
        <v>241890.40999999997</v>
      </c>
    </row>
    <row r="3725" spans="1:4" x14ac:dyDescent="0.3">
      <c r="A3725" s="88" t="s">
        <v>217</v>
      </c>
      <c r="B3725" s="88"/>
      <c r="C3725" s="16">
        <v>46275</v>
      </c>
      <c r="D3725" s="79">
        <v>327985.82999999996</v>
      </c>
    </row>
    <row r="3726" spans="1:4" x14ac:dyDescent="0.3">
      <c r="A3726" s="88" t="s">
        <v>17</v>
      </c>
      <c r="B3726" s="88"/>
      <c r="C3726" s="16">
        <v>46276</v>
      </c>
      <c r="D3726" s="79">
        <v>1892948.5900000008</v>
      </c>
    </row>
    <row r="3727" spans="1:4" x14ac:dyDescent="0.3">
      <c r="A3727" s="88" t="s">
        <v>18</v>
      </c>
      <c r="B3727" s="88"/>
      <c r="C3727" s="16">
        <v>46276</v>
      </c>
      <c r="D3727" s="79">
        <v>93737.970000000176</v>
      </c>
    </row>
    <row r="3728" spans="1:4" x14ac:dyDescent="0.3">
      <c r="A3728" s="88" t="s">
        <v>19</v>
      </c>
      <c r="B3728" s="88"/>
      <c r="C3728" s="16">
        <v>46276</v>
      </c>
      <c r="D3728" s="79">
        <v>1669.89</v>
      </c>
    </row>
    <row r="3729" spans="1:4" x14ac:dyDescent="0.3">
      <c r="A3729" s="88" t="s">
        <v>20</v>
      </c>
      <c r="B3729" s="88"/>
      <c r="C3729" s="16">
        <v>46276</v>
      </c>
      <c r="D3729" s="79">
        <v>1089124.99</v>
      </c>
    </row>
    <row r="3730" spans="1:4" x14ac:dyDescent="0.3">
      <c r="A3730" s="88" t="s">
        <v>21</v>
      </c>
      <c r="B3730" s="88"/>
      <c r="C3730" s="16">
        <v>46276</v>
      </c>
      <c r="D3730" s="79">
        <v>1233680.9399999995</v>
      </c>
    </row>
    <row r="3731" spans="1:4" x14ac:dyDescent="0.3">
      <c r="A3731" s="88" t="s">
        <v>22</v>
      </c>
      <c r="B3731" s="88"/>
      <c r="C3731" s="16">
        <v>46276</v>
      </c>
      <c r="D3731" s="79">
        <v>229778.14</v>
      </c>
    </row>
    <row r="3732" spans="1:4" x14ac:dyDescent="0.3">
      <c r="A3732" s="88" t="s">
        <v>23</v>
      </c>
      <c r="B3732" s="88"/>
      <c r="C3732" s="16">
        <v>46276</v>
      </c>
      <c r="D3732" s="79">
        <v>217684.34</v>
      </c>
    </row>
    <row r="3733" spans="1:4" x14ac:dyDescent="0.3">
      <c r="A3733" s="88" t="s">
        <v>24</v>
      </c>
      <c r="B3733" s="88"/>
      <c r="C3733" s="16">
        <v>46276</v>
      </c>
      <c r="D3733" s="79">
        <v>11744.75</v>
      </c>
    </row>
    <row r="3734" spans="1:4" x14ac:dyDescent="0.3">
      <c r="A3734" s="88" t="s">
        <v>25</v>
      </c>
      <c r="B3734" s="88"/>
      <c r="C3734" s="16">
        <v>46276</v>
      </c>
      <c r="D3734" s="79">
        <v>94.5</v>
      </c>
    </row>
    <row r="3735" spans="1:4" x14ac:dyDescent="0.3">
      <c r="A3735" s="88" t="s">
        <v>26</v>
      </c>
      <c r="B3735" s="88"/>
      <c r="C3735" s="16">
        <v>46276</v>
      </c>
      <c r="D3735" s="79">
        <v>2147.92</v>
      </c>
    </row>
    <row r="3736" spans="1:4" x14ac:dyDescent="0.3">
      <c r="A3736" s="88" t="s">
        <v>27</v>
      </c>
      <c r="B3736" s="88"/>
      <c r="C3736" s="16">
        <v>46276</v>
      </c>
      <c r="D3736" s="79">
        <v>17895.290000000015</v>
      </c>
    </row>
    <row r="3737" spans="1:4" x14ac:dyDescent="0.3">
      <c r="A3737" s="88" t="s">
        <v>28</v>
      </c>
      <c r="B3737" s="88"/>
      <c r="C3737" s="16">
        <v>46276</v>
      </c>
      <c r="D3737" s="79">
        <v>1968.99</v>
      </c>
    </row>
    <row r="3738" spans="1:4" x14ac:dyDescent="0.3">
      <c r="A3738" s="88" t="s">
        <v>29</v>
      </c>
      <c r="B3738" s="88"/>
      <c r="C3738" s="16">
        <v>46276</v>
      </c>
      <c r="D3738" s="79">
        <v>901.34</v>
      </c>
    </row>
    <row r="3739" spans="1:4" x14ac:dyDescent="0.3">
      <c r="A3739" s="88" t="s">
        <v>30</v>
      </c>
      <c r="B3739" s="88"/>
      <c r="C3739" s="16">
        <v>46276</v>
      </c>
      <c r="D3739" s="79">
        <v>1380.08</v>
      </c>
    </row>
    <row r="3740" spans="1:4" x14ac:dyDescent="0.3">
      <c r="A3740" s="88" t="s">
        <v>31</v>
      </c>
      <c r="B3740" s="88"/>
      <c r="C3740" s="16">
        <v>46276</v>
      </c>
      <c r="D3740" s="79">
        <v>25027.379999999961</v>
      </c>
    </row>
    <row r="3741" spans="1:4" x14ac:dyDescent="0.3">
      <c r="A3741" s="88" t="s">
        <v>32</v>
      </c>
      <c r="B3741" s="88"/>
      <c r="C3741" s="16">
        <v>46276</v>
      </c>
      <c r="D3741" s="79">
        <v>16282.630000000006</v>
      </c>
    </row>
    <row r="3742" spans="1:4" x14ac:dyDescent="0.3">
      <c r="A3742" s="88" t="s">
        <v>33</v>
      </c>
      <c r="B3742" s="88"/>
      <c r="C3742" s="16">
        <v>46276</v>
      </c>
      <c r="D3742" s="79">
        <v>13339.389999999996</v>
      </c>
    </row>
    <row r="3743" spans="1:4" x14ac:dyDescent="0.3">
      <c r="A3743" s="88" t="s">
        <v>34</v>
      </c>
      <c r="B3743" s="88"/>
      <c r="C3743" s="16">
        <v>46276</v>
      </c>
      <c r="D3743" s="79">
        <v>345</v>
      </c>
    </row>
    <row r="3744" spans="1:4" x14ac:dyDescent="0.3">
      <c r="A3744" s="88" t="s">
        <v>35</v>
      </c>
      <c r="B3744" s="88"/>
      <c r="C3744" s="16">
        <v>46276</v>
      </c>
      <c r="D3744" s="79">
        <v>23057.24</v>
      </c>
    </row>
    <row r="3745" spans="1:4" x14ac:dyDescent="0.3">
      <c r="A3745" s="88" t="s">
        <v>193</v>
      </c>
      <c r="B3745" s="88"/>
      <c r="C3745" s="16">
        <v>46276</v>
      </c>
      <c r="D3745" s="79">
        <v>298792.34000000003</v>
      </c>
    </row>
    <row r="3746" spans="1:4" x14ac:dyDescent="0.3">
      <c r="A3746" s="88" t="s">
        <v>214</v>
      </c>
      <c r="B3746" s="88"/>
      <c r="C3746" s="16">
        <v>46276</v>
      </c>
      <c r="D3746" s="79">
        <v>28004.970000000005</v>
      </c>
    </row>
    <row r="3747" spans="1:4" x14ac:dyDescent="0.3">
      <c r="A3747" s="88" t="s">
        <v>194</v>
      </c>
      <c r="B3747" s="88"/>
      <c r="C3747" s="16">
        <v>46276</v>
      </c>
      <c r="D3747" s="79">
        <v>3631.96</v>
      </c>
    </row>
    <row r="3748" spans="1:4" x14ac:dyDescent="0.3">
      <c r="A3748" s="88" t="s">
        <v>195</v>
      </c>
      <c r="B3748" s="88"/>
      <c r="C3748" s="16">
        <v>46276</v>
      </c>
      <c r="D3748" s="79">
        <v>604.80000000000018</v>
      </c>
    </row>
    <row r="3749" spans="1:4" x14ac:dyDescent="0.3">
      <c r="A3749" s="88" t="s">
        <v>196</v>
      </c>
      <c r="B3749" s="88"/>
      <c r="C3749" s="16">
        <v>46276</v>
      </c>
      <c r="D3749" s="79">
        <v>31621.50999999998</v>
      </c>
    </row>
    <row r="3750" spans="1:4" x14ac:dyDescent="0.3">
      <c r="A3750" s="88" t="s">
        <v>197</v>
      </c>
      <c r="B3750" s="88"/>
      <c r="C3750" s="16">
        <v>46276</v>
      </c>
      <c r="D3750" s="79">
        <v>794.01</v>
      </c>
    </row>
    <row r="3751" spans="1:4" x14ac:dyDescent="0.3">
      <c r="A3751" s="88" t="s">
        <v>212</v>
      </c>
      <c r="B3751" s="88"/>
      <c r="C3751" s="16">
        <v>46276</v>
      </c>
      <c r="D3751" s="79">
        <v>5445.57</v>
      </c>
    </row>
    <row r="3752" spans="1:4" x14ac:dyDescent="0.3">
      <c r="A3752" s="88" t="s">
        <v>199</v>
      </c>
      <c r="B3752" s="88"/>
      <c r="C3752" s="16">
        <v>46276</v>
      </c>
      <c r="D3752" s="79">
        <v>240459.24999999997</v>
      </c>
    </row>
    <row r="3753" spans="1:4" x14ac:dyDescent="0.3">
      <c r="A3753" s="88" t="s">
        <v>217</v>
      </c>
      <c r="B3753" s="88"/>
      <c r="C3753" s="16">
        <v>46276</v>
      </c>
      <c r="D3753" s="79">
        <v>327985.82999999996</v>
      </c>
    </row>
    <row r="3754" spans="1:4" x14ac:dyDescent="0.3">
      <c r="A3754" s="88" t="s">
        <v>17</v>
      </c>
      <c r="B3754" s="88"/>
      <c r="C3754" s="16">
        <v>46277</v>
      </c>
      <c r="D3754" s="79">
        <v>1892948.5900000008</v>
      </c>
    </row>
    <row r="3755" spans="1:4" x14ac:dyDescent="0.3">
      <c r="A3755" s="88" t="s">
        <v>18</v>
      </c>
      <c r="B3755" s="88"/>
      <c r="C3755" s="16">
        <v>46277</v>
      </c>
      <c r="D3755" s="79">
        <v>93737.970000000176</v>
      </c>
    </row>
    <row r="3756" spans="1:4" x14ac:dyDescent="0.3">
      <c r="A3756" s="88" t="s">
        <v>19</v>
      </c>
      <c r="B3756" s="88"/>
      <c r="C3756" s="16">
        <v>46277</v>
      </c>
      <c r="D3756" s="79">
        <v>1669.89</v>
      </c>
    </row>
    <row r="3757" spans="1:4" x14ac:dyDescent="0.3">
      <c r="A3757" s="88" t="s">
        <v>20</v>
      </c>
      <c r="B3757" s="88"/>
      <c r="C3757" s="16">
        <v>46277</v>
      </c>
      <c r="D3757" s="79">
        <v>1089124.99</v>
      </c>
    </row>
    <row r="3758" spans="1:4" x14ac:dyDescent="0.3">
      <c r="A3758" s="88" t="s">
        <v>21</v>
      </c>
      <c r="B3758" s="88"/>
      <c r="C3758" s="16">
        <v>46277</v>
      </c>
      <c r="D3758" s="79">
        <v>1233680.9399999995</v>
      </c>
    </row>
    <row r="3759" spans="1:4" x14ac:dyDescent="0.3">
      <c r="A3759" s="88" t="s">
        <v>22</v>
      </c>
      <c r="B3759" s="88"/>
      <c r="C3759" s="16">
        <v>46277</v>
      </c>
      <c r="D3759" s="79">
        <v>229778.14</v>
      </c>
    </row>
    <row r="3760" spans="1:4" x14ac:dyDescent="0.3">
      <c r="A3760" s="88" t="s">
        <v>23</v>
      </c>
      <c r="B3760" s="88"/>
      <c r="C3760" s="16">
        <v>46277</v>
      </c>
      <c r="D3760" s="79">
        <v>217684.34</v>
      </c>
    </row>
    <row r="3761" spans="1:4" x14ac:dyDescent="0.3">
      <c r="A3761" s="88" t="s">
        <v>24</v>
      </c>
      <c r="B3761" s="88"/>
      <c r="C3761" s="16">
        <v>46277</v>
      </c>
      <c r="D3761" s="79">
        <v>11744.75</v>
      </c>
    </row>
    <row r="3762" spans="1:4" x14ac:dyDescent="0.3">
      <c r="A3762" s="88" t="s">
        <v>25</v>
      </c>
      <c r="B3762" s="88"/>
      <c r="C3762" s="16">
        <v>46277</v>
      </c>
      <c r="D3762" s="79">
        <v>94.5</v>
      </c>
    </row>
    <row r="3763" spans="1:4" x14ac:dyDescent="0.3">
      <c r="A3763" s="88" t="s">
        <v>26</v>
      </c>
      <c r="B3763" s="88"/>
      <c r="C3763" s="16">
        <v>46277</v>
      </c>
      <c r="D3763" s="79">
        <v>2147.92</v>
      </c>
    </row>
    <row r="3764" spans="1:4" x14ac:dyDescent="0.3">
      <c r="A3764" s="88" t="s">
        <v>27</v>
      </c>
      <c r="B3764" s="88"/>
      <c r="C3764" s="16">
        <v>46277</v>
      </c>
      <c r="D3764" s="79">
        <v>17895.290000000015</v>
      </c>
    </row>
    <row r="3765" spans="1:4" x14ac:dyDescent="0.3">
      <c r="A3765" s="88" t="s">
        <v>28</v>
      </c>
      <c r="B3765" s="88"/>
      <c r="C3765" s="16">
        <v>46277</v>
      </c>
      <c r="D3765" s="79">
        <v>1968.99</v>
      </c>
    </row>
    <row r="3766" spans="1:4" x14ac:dyDescent="0.3">
      <c r="A3766" s="88" t="s">
        <v>29</v>
      </c>
      <c r="B3766" s="88"/>
      <c r="C3766" s="16">
        <v>46277</v>
      </c>
      <c r="D3766" s="79">
        <v>901.34</v>
      </c>
    </row>
    <row r="3767" spans="1:4" x14ac:dyDescent="0.3">
      <c r="A3767" s="88" t="s">
        <v>30</v>
      </c>
      <c r="B3767" s="88"/>
      <c r="C3767" s="16">
        <v>46277</v>
      </c>
      <c r="D3767" s="79">
        <v>1380.08</v>
      </c>
    </row>
    <row r="3768" spans="1:4" x14ac:dyDescent="0.3">
      <c r="A3768" s="88" t="s">
        <v>31</v>
      </c>
      <c r="B3768" s="88"/>
      <c r="C3768" s="16">
        <v>46277</v>
      </c>
      <c r="D3768" s="79">
        <v>25027.379999999961</v>
      </c>
    </row>
    <row r="3769" spans="1:4" x14ac:dyDescent="0.3">
      <c r="A3769" s="88" t="s">
        <v>32</v>
      </c>
      <c r="B3769" s="88"/>
      <c r="C3769" s="16">
        <v>46277</v>
      </c>
      <c r="D3769" s="79">
        <v>16282.630000000006</v>
      </c>
    </row>
    <row r="3770" spans="1:4" x14ac:dyDescent="0.3">
      <c r="A3770" s="88" t="s">
        <v>33</v>
      </c>
      <c r="B3770" s="88"/>
      <c r="C3770" s="16">
        <v>46277</v>
      </c>
      <c r="D3770" s="79">
        <v>13339.389999999996</v>
      </c>
    </row>
    <row r="3771" spans="1:4" x14ac:dyDescent="0.3">
      <c r="A3771" s="88" t="s">
        <v>34</v>
      </c>
      <c r="B3771" s="88"/>
      <c r="C3771" s="16">
        <v>46277</v>
      </c>
      <c r="D3771" s="79">
        <v>345</v>
      </c>
    </row>
    <row r="3772" spans="1:4" x14ac:dyDescent="0.3">
      <c r="A3772" s="88" t="s">
        <v>35</v>
      </c>
      <c r="B3772" s="88"/>
      <c r="C3772" s="16">
        <v>46277</v>
      </c>
      <c r="D3772" s="79">
        <v>23057.24</v>
      </c>
    </row>
    <row r="3773" spans="1:4" x14ac:dyDescent="0.3">
      <c r="A3773" s="88" t="s">
        <v>193</v>
      </c>
      <c r="B3773" s="88"/>
      <c r="C3773" s="16">
        <v>46277</v>
      </c>
      <c r="D3773" s="79">
        <v>298792.34000000003</v>
      </c>
    </row>
    <row r="3774" spans="1:4" x14ac:dyDescent="0.3">
      <c r="A3774" s="88" t="s">
        <v>214</v>
      </c>
      <c r="B3774" s="88"/>
      <c r="C3774" s="16">
        <v>46277</v>
      </c>
      <c r="D3774" s="79">
        <v>28004.970000000005</v>
      </c>
    </row>
    <row r="3775" spans="1:4" x14ac:dyDescent="0.3">
      <c r="A3775" s="88" t="s">
        <v>194</v>
      </c>
      <c r="B3775" s="88"/>
      <c r="C3775" s="16">
        <v>46277</v>
      </c>
      <c r="D3775" s="79">
        <v>3631.96</v>
      </c>
    </row>
    <row r="3776" spans="1:4" x14ac:dyDescent="0.3">
      <c r="A3776" s="88" t="s">
        <v>195</v>
      </c>
      <c r="B3776" s="88"/>
      <c r="C3776" s="16">
        <v>46277</v>
      </c>
      <c r="D3776" s="79">
        <v>604.80000000000018</v>
      </c>
    </row>
    <row r="3777" spans="1:4" x14ac:dyDescent="0.3">
      <c r="A3777" s="88" t="s">
        <v>196</v>
      </c>
      <c r="B3777" s="88"/>
      <c r="C3777" s="16">
        <v>46277</v>
      </c>
      <c r="D3777" s="79">
        <v>31621.50999999998</v>
      </c>
    </row>
    <row r="3778" spans="1:4" x14ac:dyDescent="0.3">
      <c r="A3778" s="88" t="s">
        <v>197</v>
      </c>
      <c r="B3778" s="88"/>
      <c r="C3778" s="16">
        <v>46277</v>
      </c>
      <c r="D3778" s="79">
        <v>794.01</v>
      </c>
    </row>
    <row r="3779" spans="1:4" x14ac:dyDescent="0.3">
      <c r="A3779" s="88" t="s">
        <v>212</v>
      </c>
      <c r="B3779" s="88"/>
      <c r="C3779" s="16">
        <v>46277</v>
      </c>
      <c r="D3779" s="79">
        <v>5445.57</v>
      </c>
    </row>
    <row r="3780" spans="1:4" x14ac:dyDescent="0.3">
      <c r="A3780" s="88" t="s">
        <v>199</v>
      </c>
      <c r="B3780" s="88"/>
      <c r="C3780" s="16">
        <v>46277</v>
      </c>
      <c r="D3780" s="79">
        <v>240459.24999999997</v>
      </c>
    </row>
    <row r="3781" spans="1:4" x14ac:dyDescent="0.3">
      <c r="A3781" s="88" t="s">
        <v>217</v>
      </c>
      <c r="B3781" s="88"/>
      <c r="C3781" s="16">
        <v>46277</v>
      </c>
      <c r="D3781" s="79">
        <v>327985.82999999996</v>
      </c>
    </row>
    <row r="3782" spans="1:4" x14ac:dyDescent="0.3">
      <c r="A3782" s="88" t="s">
        <v>17</v>
      </c>
      <c r="B3782" s="88"/>
      <c r="C3782" s="16">
        <v>46278</v>
      </c>
      <c r="D3782" s="79">
        <v>1892948.5900000008</v>
      </c>
    </row>
    <row r="3783" spans="1:4" x14ac:dyDescent="0.3">
      <c r="A3783" s="88" t="s">
        <v>18</v>
      </c>
      <c r="B3783" s="88"/>
      <c r="C3783" s="16">
        <v>46278</v>
      </c>
      <c r="D3783" s="79">
        <v>93737.970000000176</v>
      </c>
    </row>
    <row r="3784" spans="1:4" x14ac:dyDescent="0.3">
      <c r="A3784" s="88" t="s">
        <v>19</v>
      </c>
      <c r="B3784" s="88"/>
      <c r="C3784" s="16">
        <v>46278</v>
      </c>
      <c r="D3784" s="79">
        <v>1669.89</v>
      </c>
    </row>
    <row r="3785" spans="1:4" x14ac:dyDescent="0.3">
      <c r="A3785" s="88" t="s">
        <v>20</v>
      </c>
      <c r="B3785" s="88"/>
      <c r="C3785" s="16">
        <v>46278</v>
      </c>
      <c r="D3785" s="79">
        <v>1089124.99</v>
      </c>
    </row>
    <row r="3786" spans="1:4" x14ac:dyDescent="0.3">
      <c r="A3786" s="88" t="s">
        <v>21</v>
      </c>
      <c r="B3786" s="88"/>
      <c r="C3786" s="16">
        <v>46278</v>
      </c>
      <c r="D3786" s="79">
        <v>1233680.9399999995</v>
      </c>
    </row>
    <row r="3787" spans="1:4" x14ac:dyDescent="0.3">
      <c r="A3787" s="88" t="s">
        <v>22</v>
      </c>
      <c r="B3787" s="88"/>
      <c r="C3787" s="16">
        <v>46278</v>
      </c>
      <c r="D3787" s="79">
        <v>229778.14</v>
      </c>
    </row>
    <row r="3788" spans="1:4" x14ac:dyDescent="0.3">
      <c r="A3788" s="88" t="s">
        <v>23</v>
      </c>
      <c r="B3788" s="88"/>
      <c r="C3788" s="16">
        <v>46278</v>
      </c>
      <c r="D3788" s="79">
        <v>217684.34</v>
      </c>
    </row>
    <row r="3789" spans="1:4" x14ac:dyDescent="0.3">
      <c r="A3789" s="88" t="s">
        <v>24</v>
      </c>
      <c r="B3789" s="88"/>
      <c r="C3789" s="16">
        <v>46278</v>
      </c>
      <c r="D3789" s="79">
        <v>11744.75</v>
      </c>
    </row>
    <row r="3790" spans="1:4" x14ac:dyDescent="0.3">
      <c r="A3790" s="88" t="s">
        <v>25</v>
      </c>
      <c r="B3790" s="88"/>
      <c r="C3790" s="16">
        <v>46278</v>
      </c>
      <c r="D3790" s="79">
        <v>94.5</v>
      </c>
    </row>
    <row r="3791" spans="1:4" x14ac:dyDescent="0.3">
      <c r="A3791" s="88" t="s">
        <v>26</v>
      </c>
      <c r="B3791" s="88"/>
      <c r="C3791" s="16">
        <v>46278</v>
      </c>
      <c r="D3791" s="79">
        <v>2147.92</v>
      </c>
    </row>
    <row r="3792" spans="1:4" x14ac:dyDescent="0.3">
      <c r="A3792" s="88" t="s">
        <v>27</v>
      </c>
      <c r="B3792" s="88"/>
      <c r="C3792" s="16">
        <v>46278</v>
      </c>
      <c r="D3792" s="79">
        <v>17895.290000000015</v>
      </c>
    </row>
    <row r="3793" spans="1:4" x14ac:dyDescent="0.3">
      <c r="A3793" s="88" t="s">
        <v>28</v>
      </c>
      <c r="B3793" s="88"/>
      <c r="C3793" s="16">
        <v>46278</v>
      </c>
      <c r="D3793" s="79">
        <v>1968.99</v>
      </c>
    </row>
    <row r="3794" spans="1:4" x14ac:dyDescent="0.3">
      <c r="A3794" s="88" t="s">
        <v>29</v>
      </c>
      <c r="B3794" s="88"/>
      <c r="C3794" s="16">
        <v>46278</v>
      </c>
      <c r="D3794" s="79">
        <v>901.34</v>
      </c>
    </row>
    <row r="3795" spans="1:4" x14ac:dyDescent="0.3">
      <c r="A3795" s="88" t="s">
        <v>30</v>
      </c>
      <c r="B3795" s="88"/>
      <c r="C3795" s="16">
        <v>46278</v>
      </c>
      <c r="D3795" s="79">
        <v>1380.08</v>
      </c>
    </row>
    <row r="3796" spans="1:4" x14ac:dyDescent="0.3">
      <c r="A3796" s="88" t="s">
        <v>31</v>
      </c>
      <c r="B3796" s="88"/>
      <c r="C3796" s="16">
        <v>46278</v>
      </c>
      <c r="D3796" s="79">
        <v>25027.379999999961</v>
      </c>
    </row>
    <row r="3797" spans="1:4" x14ac:dyDescent="0.3">
      <c r="A3797" s="88" t="s">
        <v>32</v>
      </c>
      <c r="B3797" s="88"/>
      <c r="C3797" s="16">
        <v>46278</v>
      </c>
      <c r="D3797" s="79">
        <v>16282.630000000006</v>
      </c>
    </row>
    <row r="3798" spans="1:4" x14ac:dyDescent="0.3">
      <c r="A3798" s="88" t="s">
        <v>33</v>
      </c>
      <c r="B3798" s="88"/>
      <c r="C3798" s="16">
        <v>46278</v>
      </c>
      <c r="D3798" s="79">
        <v>13339.389999999996</v>
      </c>
    </row>
    <row r="3799" spans="1:4" x14ac:dyDescent="0.3">
      <c r="A3799" s="88" t="s">
        <v>34</v>
      </c>
      <c r="B3799" s="88"/>
      <c r="C3799" s="16">
        <v>46278</v>
      </c>
      <c r="D3799" s="79">
        <v>345</v>
      </c>
    </row>
    <row r="3800" spans="1:4" x14ac:dyDescent="0.3">
      <c r="A3800" s="88" t="s">
        <v>35</v>
      </c>
      <c r="B3800" s="88"/>
      <c r="C3800" s="16">
        <v>46278</v>
      </c>
      <c r="D3800" s="79">
        <v>23057.24</v>
      </c>
    </row>
    <row r="3801" spans="1:4" x14ac:dyDescent="0.3">
      <c r="A3801" s="88" t="s">
        <v>193</v>
      </c>
      <c r="B3801" s="88"/>
      <c r="C3801" s="16">
        <v>46278</v>
      </c>
      <c r="D3801" s="79">
        <v>298792.34000000003</v>
      </c>
    </row>
    <row r="3802" spans="1:4" x14ac:dyDescent="0.3">
      <c r="A3802" s="88" t="s">
        <v>214</v>
      </c>
      <c r="B3802" s="88"/>
      <c r="C3802" s="16">
        <v>46278</v>
      </c>
      <c r="D3802" s="79">
        <v>28004.970000000005</v>
      </c>
    </row>
    <row r="3803" spans="1:4" x14ac:dyDescent="0.3">
      <c r="A3803" s="88" t="s">
        <v>194</v>
      </c>
      <c r="B3803" s="88"/>
      <c r="C3803" s="16">
        <v>46278</v>
      </c>
      <c r="D3803" s="79">
        <v>3631.96</v>
      </c>
    </row>
    <row r="3804" spans="1:4" x14ac:dyDescent="0.3">
      <c r="A3804" s="88" t="s">
        <v>195</v>
      </c>
      <c r="B3804" s="88"/>
      <c r="C3804" s="16">
        <v>46278</v>
      </c>
      <c r="D3804" s="79">
        <v>604.80000000000018</v>
      </c>
    </row>
    <row r="3805" spans="1:4" x14ac:dyDescent="0.3">
      <c r="A3805" s="88" t="s">
        <v>196</v>
      </c>
      <c r="B3805" s="88"/>
      <c r="C3805" s="16">
        <v>46278</v>
      </c>
      <c r="D3805" s="79">
        <v>31621.50999999998</v>
      </c>
    </row>
    <row r="3806" spans="1:4" x14ac:dyDescent="0.3">
      <c r="A3806" s="88" t="s">
        <v>197</v>
      </c>
      <c r="B3806" s="88"/>
      <c r="C3806" s="16">
        <v>46278</v>
      </c>
      <c r="D3806" s="79">
        <v>794.01</v>
      </c>
    </row>
    <row r="3807" spans="1:4" x14ac:dyDescent="0.3">
      <c r="A3807" s="88" t="s">
        <v>212</v>
      </c>
      <c r="B3807" s="88"/>
      <c r="C3807" s="16">
        <v>46278</v>
      </c>
      <c r="D3807" s="79">
        <v>5445.57</v>
      </c>
    </row>
    <row r="3808" spans="1:4" x14ac:dyDescent="0.3">
      <c r="A3808" s="88" t="s">
        <v>199</v>
      </c>
      <c r="B3808" s="88"/>
      <c r="C3808" s="16">
        <v>46278</v>
      </c>
      <c r="D3808" s="79">
        <v>240459.24999999997</v>
      </c>
    </row>
    <row r="3809" spans="1:4" x14ac:dyDescent="0.3">
      <c r="A3809" s="88" t="s">
        <v>217</v>
      </c>
      <c r="B3809" s="88"/>
      <c r="C3809" s="16">
        <v>46278</v>
      </c>
      <c r="D3809" s="79">
        <v>327985.82999999996</v>
      </c>
    </row>
    <row r="3810" spans="1:4" x14ac:dyDescent="0.3">
      <c r="A3810" s="88" t="s">
        <v>17</v>
      </c>
      <c r="B3810" s="88"/>
      <c r="C3810" s="16">
        <v>46279</v>
      </c>
      <c r="D3810" s="79">
        <v>2042948.5900000008</v>
      </c>
    </row>
    <row r="3811" spans="1:4" x14ac:dyDescent="0.3">
      <c r="A3811" s="88" t="s">
        <v>18</v>
      </c>
      <c r="B3811" s="88"/>
      <c r="C3811" s="16">
        <v>46279</v>
      </c>
      <c r="D3811" s="79">
        <v>93737.970000000176</v>
      </c>
    </row>
    <row r="3812" spans="1:4" x14ac:dyDescent="0.3">
      <c r="A3812" s="88" t="s">
        <v>19</v>
      </c>
      <c r="B3812" s="88"/>
      <c r="C3812" s="16">
        <v>46279</v>
      </c>
      <c r="D3812" s="79">
        <v>1669.89</v>
      </c>
    </row>
    <row r="3813" spans="1:4" x14ac:dyDescent="0.3">
      <c r="A3813" s="88" t="s">
        <v>20</v>
      </c>
      <c r="B3813" s="88"/>
      <c r="C3813" s="16">
        <v>46279</v>
      </c>
      <c r="D3813" s="79">
        <v>1105910.26</v>
      </c>
    </row>
    <row r="3814" spans="1:4" x14ac:dyDescent="0.3">
      <c r="A3814" s="88" t="s">
        <v>21</v>
      </c>
      <c r="B3814" s="88"/>
      <c r="C3814" s="16">
        <v>46279</v>
      </c>
      <c r="D3814" s="79">
        <v>1191956.6299999997</v>
      </c>
    </row>
    <row r="3815" spans="1:4" x14ac:dyDescent="0.3">
      <c r="A3815" s="88" t="s">
        <v>22</v>
      </c>
      <c r="B3815" s="88"/>
      <c r="C3815" s="16">
        <v>46279</v>
      </c>
      <c r="D3815" s="79">
        <v>229778.14</v>
      </c>
    </row>
    <row r="3816" spans="1:4" x14ac:dyDescent="0.3">
      <c r="A3816" s="88" t="s">
        <v>23</v>
      </c>
      <c r="B3816" s="88"/>
      <c r="C3816" s="16">
        <v>46279</v>
      </c>
      <c r="D3816" s="79">
        <v>217684.34</v>
      </c>
    </row>
    <row r="3817" spans="1:4" x14ac:dyDescent="0.3">
      <c r="A3817" s="88" t="s">
        <v>24</v>
      </c>
      <c r="B3817" s="88"/>
      <c r="C3817" s="16">
        <v>46279</v>
      </c>
      <c r="D3817" s="79">
        <v>11744.75</v>
      </c>
    </row>
    <row r="3818" spans="1:4" x14ac:dyDescent="0.3">
      <c r="A3818" s="88" t="s">
        <v>25</v>
      </c>
      <c r="B3818" s="88"/>
      <c r="C3818" s="16">
        <v>46279</v>
      </c>
      <c r="D3818" s="79">
        <v>94.5</v>
      </c>
    </row>
    <row r="3819" spans="1:4" x14ac:dyDescent="0.3">
      <c r="A3819" s="88" t="s">
        <v>26</v>
      </c>
      <c r="B3819" s="88"/>
      <c r="C3819" s="16">
        <v>46279</v>
      </c>
      <c r="D3819" s="79">
        <v>2147.92</v>
      </c>
    </row>
    <row r="3820" spans="1:4" x14ac:dyDescent="0.3">
      <c r="A3820" s="88" t="s">
        <v>27</v>
      </c>
      <c r="B3820" s="88"/>
      <c r="C3820" s="16">
        <v>46279</v>
      </c>
      <c r="D3820" s="79">
        <v>17895.290000000015</v>
      </c>
    </row>
    <row r="3821" spans="1:4" x14ac:dyDescent="0.3">
      <c r="A3821" s="88" t="s">
        <v>28</v>
      </c>
      <c r="B3821" s="88"/>
      <c r="C3821" s="16">
        <v>46279</v>
      </c>
      <c r="D3821" s="79">
        <v>1968.99</v>
      </c>
    </row>
    <row r="3822" spans="1:4" x14ac:dyDescent="0.3">
      <c r="A3822" s="88" t="s">
        <v>29</v>
      </c>
      <c r="B3822" s="88"/>
      <c r="C3822" s="16">
        <v>46279</v>
      </c>
      <c r="D3822" s="79">
        <v>901.34</v>
      </c>
    </row>
    <row r="3823" spans="1:4" x14ac:dyDescent="0.3">
      <c r="A3823" s="88" t="s">
        <v>30</v>
      </c>
      <c r="B3823" s="88"/>
      <c r="C3823" s="16">
        <v>46279</v>
      </c>
      <c r="D3823" s="79">
        <v>1380.08</v>
      </c>
    </row>
    <row r="3824" spans="1:4" x14ac:dyDescent="0.3">
      <c r="A3824" s="88" t="s">
        <v>31</v>
      </c>
      <c r="B3824" s="88"/>
      <c r="C3824" s="16">
        <v>46279</v>
      </c>
      <c r="D3824" s="79">
        <v>25027.379999999961</v>
      </c>
    </row>
    <row r="3825" spans="1:4" x14ac:dyDescent="0.3">
      <c r="A3825" s="88" t="s">
        <v>32</v>
      </c>
      <c r="B3825" s="88"/>
      <c r="C3825" s="16">
        <v>46279</v>
      </c>
      <c r="D3825" s="79">
        <v>16282.630000000006</v>
      </c>
    </row>
    <row r="3826" spans="1:4" x14ac:dyDescent="0.3">
      <c r="A3826" s="88" t="s">
        <v>33</v>
      </c>
      <c r="B3826" s="88"/>
      <c r="C3826" s="16">
        <v>46279</v>
      </c>
      <c r="D3826" s="79">
        <v>13685.999999999996</v>
      </c>
    </row>
    <row r="3827" spans="1:4" x14ac:dyDescent="0.3">
      <c r="A3827" s="88" t="s">
        <v>34</v>
      </c>
      <c r="B3827" s="88"/>
      <c r="C3827" s="16">
        <v>46279</v>
      </c>
      <c r="D3827" s="79">
        <v>345</v>
      </c>
    </row>
    <row r="3828" spans="1:4" x14ac:dyDescent="0.3">
      <c r="A3828" s="88" t="s">
        <v>35</v>
      </c>
      <c r="B3828" s="88"/>
      <c r="C3828" s="16">
        <v>46279</v>
      </c>
      <c r="D3828" s="79">
        <v>16762.45</v>
      </c>
    </row>
    <row r="3829" spans="1:4" x14ac:dyDescent="0.3">
      <c r="A3829" s="88" t="s">
        <v>193</v>
      </c>
      <c r="B3829" s="88"/>
      <c r="C3829" s="16">
        <v>46279</v>
      </c>
      <c r="D3829" s="79">
        <v>298792.34000000003</v>
      </c>
    </row>
    <row r="3830" spans="1:4" x14ac:dyDescent="0.3">
      <c r="A3830" s="88" t="s">
        <v>214</v>
      </c>
      <c r="B3830" s="88"/>
      <c r="C3830" s="16">
        <v>46279</v>
      </c>
      <c r="D3830" s="79">
        <v>26893.080000000005</v>
      </c>
    </row>
    <row r="3831" spans="1:4" x14ac:dyDescent="0.3">
      <c r="A3831" s="88" t="s">
        <v>194</v>
      </c>
      <c r="B3831" s="88"/>
      <c r="C3831" s="16">
        <v>46279</v>
      </c>
      <c r="D3831" s="79">
        <v>3631.96</v>
      </c>
    </row>
    <row r="3832" spans="1:4" x14ac:dyDescent="0.3">
      <c r="A3832" s="88" t="s">
        <v>195</v>
      </c>
      <c r="B3832" s="88"/>
      <c r="C3832" s="16">
        <v>46279</v>
      </c>
      <c r="D3832" s="79">
        <v>604.80000000000018</v>
      </c>
    </row>
    <row r="3833" spans="1:4" x14ac:dyDescent="0.3">
      <c r="A3833" s="88" t="s">
        <v>196</v>
      </c>
      <c r="B3833" s="88"/>
      <c r="C3833" s="16">
        <v>46279</v>
      </c>
      <c r="D3833" s="79">
        <v>31107.189999999981</v>
      </c>
    </row>
    <row r="3834" spans="1:4" x14ac:dyDescent="0.3">
      <c r="A3834" s="88" t="s">
        <v>197</v>
      </c>
      <c r="B3834" s="88"/>
      <c r="C3834" s="16">
        <v>46279</v>
      </c>
      <c r="D3834" s="79">
        <v>794.01</v>
      </c>
    </row>
    <row r="3835" spans="1:4" x14ac:dyDescent="0.3">
      <c r="A3835" s="88" t="s">
        <v>212</v>
      </c>
      <c r="B3835" s="88"/>
      <c r="C3835" s="16">
        <v>46279</v>
      </c>
      <c r="D3835" s="79">
        <v>5445.57</v>
      </c>
    </row>
    <row r="3836" spans="1:4" x14ac:dyDescent="0.3">
      <c r="A3836" s="88" t="s">
        <v>199</v>
      </c>
      <c r="B3836" s="88"/>
      <c r="C3836" s="16">
        <v>46279</v>
      </c>
      <c r="D3836" s="79">
        <v>240357.59999999998</v>
      </c>
    </row>
    <row r="3837" spans="1:4" x14ac:dyDescent="0.3">
      <c r="A3837" s="88" t="s">
        <v>217</v>
      </c>
      <c r="B3837" s="88"/>
      <c r="C3837" s="16">
        <v>46279</v>
      </c>
      <c r="D3837" s="79">
        <v>327985.82999999996</v>
      </c>
    </row>
    <row r="3838" spans="1:4" x14ac:dyDescent="0.3">
      <c r="A3838" s="88" t="s">
        <v>17</v>
      </c>
      <c r="B3838" s="88"/>
      <c r="C3838" s="16">
        <v>46280</v>
      </c>
      <c r="D3838" s="79">
        <v>2042948.5900000008</v>
      </c>
    </row>
    <row r="3839" spans="1:4" x14ac:dyDescent="0.3">
      <c r="A3839" s="88" t="s">
        <v>18</v>
      </c>
      <c r="B3839" s="88"/>
      <c r="C3839" s="16">
        <v>46280</v>
      </c>
      <c r="D3839" s="79">
        <v>100486.46000000017</v>
      </c>
    </row>
    <row r="3840" spans="1:4" x14ac:dyDescent="0.3">
      <c r="A3840" s="88" t="s">
        <v>19</v>
      </c>
      <c r="B3840" s="88"/>
      <c r="C3840" s="16">
        <v>46280</v>
      </c>
      <c r="D3840" s="79">
        <v>1669.89</v>
      </c>
    </row>
    <row r="3841" spans="1:4" x14ac:dyDescent="0.3">
      <c r="A3841" s="88" t="s">
        <v>20</v>
      </c>
      <c r="B3841" s="88"/>
      <c r="C3841" s="16">
        <v>46280</v>
      </c>
      <c r="D3841" s="79">
        <v>1105534.6399999999</v>
      </c>
    </row>
    <row r="3842" spans="1:4" x14ac:dyDescent="0.3">
      <c r="A3842" s="88" t="s">
        <v>21</v>
      </c>
      <c r="B3842" s="88"/>
      <c r="C3842" s="16">
        <v>46280</v>
      </c>
      <c r="D3842" s="79">
        <v>1191927.2199999995</v>
      </c>
    </row>
    <row r="3843" spans="1:4" x14ac:dyDescent="0.3">
      <c r="A3843" s="88" t="s">
        <v>22</v>
      </c>
      <c r="B3843" s="88"/>
      <c r="C3843" s="16">
        <v>46280</v>
      </c>
      <c r="D3843" s="79">
        <v>229778.14</v>
      </c>
    </row>
    <row r="3844" spans="1:4" x14ac:dyDescent="0.3">
      <c r="A3844" s="88" t="s">
        <v>23</v>
      </c>
      <c r="B3844" s="88"/>
      <c r="C3844" s="16">
        <v>46280</v>
      </c>
      <c r="D3844" s="79">
        <v>217688.58</v>
      </c>
    </row>
    <row r="3845" spans="1:4" x14ac:dyDescent="0.3">
      <c r="A3845" s="88" t="s">
        <v>24</v>
      </c>
      <c r="B3845" s="88"/>
      <c r="C3845" s="16">
        <v>46280</v>
      </c>
      <c r="D3845" s="79">
        <v>11744.75</v>
      </c>
    </row>
    <row r="3846" spans="1:4" x14ac:dyDescent="0.3">
      <c r="A3846" s="88" t="s">
        <v>25</v>
      </c>
      <c r="B3846" s="88"/>
      <c r="C3846" s="16">
        <v>46280</v>
      </c>
      <c r="D3846" s="79">
        <v>94.5</v>
      </c>
    </row>
    <row r="3847" spans="1:4" x14ac:dyDescent="0.3">
      <c r="A3847" s="88" t="s">
        <v>26</v>
      </c>
      <c r="B3847" s="88"/>
      <c r="C3847" s="16">
        <v>46280</v>
      </c>
      <c r="D3847" s="79">
        <v>2147.92</v>
      </c>
    </row>
    <row r="3848" spans="1:4" x14ac:dyDescent="0.3">
      <c r="A3848" s="88" t="s">
        <v>27</v>
      </c>
      <c r="B3848" s="88"/>
      <c r="C3848" s="16">
        <v>46280</v>
      </c>
      <c r="D3848" s="79">
        <v>17895.290000000015</v>
      </c>
    </row>
    <row r="3849" spans="1:4" x14ac:dyDescent="0.3">
      <c r="A3849" s="88" t="s">
        <v>28</v>
      </c>
      <c r="B3849" s="88"/>
      <c r="C3849" s="16">
        <v>46280</v>
      </c>
      <c r="D3849" s="79">
        <v>1968.99</v>
      </c>
    </row>
    <row r="3850" spans="1:4" x14ac:dyDescent="0.3">
      <c r="A3850" s="88" t="s">
        <v>29</v>
      </c>
      <c r="B3850" s="88"/>
      <c r="C3850" s="16">
        <v>46280</v>
      </c>
      <c r="D3850" s="79">
        <v>901.34</v>
      </c>
    </row>
    <row r="3851" spans="1:4" x14ac:dyDescent="0.3">
      <c r="A3851" s="88" t="s">
        <v>30</v>
      </c>
      <c r="B3851" s="88"/>
      <c r="C3851" s="16">
        <v>46280</v>
      </c>
      <c r="D3851" s="79">
        <v>1380.08</v>
      </c>
    </row>
    <row r="3852" spans="1:4" x14ac:dyDescent="0.3">
      <c r="A3852" s="88" t="s">
        <v>31</v>
      </c>
      <c r="B3852" s="88"/>
      <c r="C3852" s="16">
        <v>46280</v>
      </c>
      <c r="D3852" s="79">
        <v>25027.379999999961</v>
      </c>
    </row>
    <row r="3853" spans="1:4" x14ac:dyDescent="0.3">
      <c r="A3853" s="88" t="s">
        <v>32</v>
      </c>
      <c r="B3853" s="88"/>
      <c r="C3853" s="16">
        <v>46280</v>
      </c>
      <c r="D3853" s="79">
        <v>16282.630000000006</v>
      </c>
    </row>
    <row r="3854" spans="1:4" x14ac:dyDescent="0.3">
      <c r="A3854" s="88" t="s">
        <v>33</v>
      </c>
      <c r="B3854" s="88"/>
      <c r="C3854" s="16">
        <v>46280</v>
      </c>
      <c r="D3854" s="79">
        <v>13685.999999999996</v>
      </c>
    </row>
    <row r="3855" spans="1:4" x14ac:dyDescent="0.3">
      <c r="A3855" s="88" t="s">
        <v>34</v>
      </c>
      <c r="B3855" s="88"/>
      <c r="C3855" s="16">
        <v>46280</v>
      </c>
      <c r="D3855" s="79">
        <v>345</v>
      </c>
    </row>
    <row r="3856" spans="1:4" x14ac:dyDescent="0.3">
      <c r="A3856" s="88" t="s">
        <v>35</v>
      </c>
      <c r="B3856" s="88"/>
      <c r="C3856" s="16">
        <v>46280</v>
      </c>
      <c r="D3856" s="79">
        <v>16587.45</v>
      </c>
    </row>
    <row r="3857" spans="1:4" x14ac:dyDescent="0.3">
      <c r="A3857" s="88" t="s">
        <v>193</v>
      </c>
      <c r="B3857" s="88"/>
      <c r="C3857" s="16">
        <v>46280</v>
      </c>
      <c r="D3857" s="79">
        <v>298792.34000000003</v>
      </c>
    </row>
    <row r="3858" spans="1:4" x14ac:dyDescent="0.3">
      <c r="A3858" s="88" t="s">
        <v>214</v>
      </c>
      <c r="B3858" s="88"/>
      <c r="C3858" s="16">
        <v>46280</v>
      </c>
      <c r="D3858" s="79">
        <v>26893.080000000005</v>
      </c>
    </row>
    <row r="3859" spans="1:4" x14ac:dyDescent="0.3">
      <c r="A3859" s="88" t="s">
        <v>194</v>
      </c>
      <c r="B3859" s="88"/>
      <c r="C3859" s="16">
        <v>46280</v>
      </c>
      <c r="D3859" s="79">
        <v>3631.96</v>
      </c>
    </row>
    <row r="3860" spans="1:4" x14ac:dyDescent="0.3">
      <c r="A3860" s="88" t="s">
        <v>195</v>
      </c>
      <c r="B3860" s="88"/>
      <c r="C3860" s="16">
        <v>46280</v>
      </c>
      <c r="D3860" s="79">
        <v>604.80000000000018</v>
      </c>
    </row>
    <row r="3861" spans="1:4" x14ac:dyDescent="0.3">
      <c r="A3861" s="88" t="s">
        <v>196</v>
      </c>
      <c r="B3861" s="88"/>
      <c r="C3861" s="16">
        <v>46280</v>
      </c>
      <c r="D3861" s="79">
        <v>30592.869999999981</v>
      </c>
    </row>
    <row r="3862" spans="1:4" x14ac:dyDescent="0.3">
      <c r="A3862" s="88" t="s">
        <v>197</v>
      </c>
      <c r="B3862" s="88"/>
      <c r="C3862" s="16">
        <v>46280</v>
      </c>
      <c r="D3862" s="79">
        <v>794.01</v>
      </c>
    </row>
    <row r="3863" spans="1:4" x14ac:dyDescent="0.3">
      <c r="A3863" s="88" t="s">
        <v>212</v>
      </c>
      <c r="B3863" s="88"/>
      <c r="C3863" s="16">
        <v>46280</v>
      </c>
      <c r="D3863" s="79">
        <v>5445.57</v>
      </c>
    </row>
    <row r="3864" spans="1:4" x14ac:dyDescent="0.3">
      <c r="A3864" s="88" t="s">
        <v>199</v>
      </c>
      <c r="B3864" s="88"/>
      <c r="C3864" s="16">
        <v>46280</v>
      </c>
      <c r="D3864" s="79">
        <v>240357.59999999998</v>
      </c>
    </row>
    <row r="3865" spans="1:4" x14ac:dyDescent="0.3">
      <c r="A3865" s="88" t="s">
        <v>217</v>
      </c>
      <c r="B3865" s="88"/>
      <c r="C3865" s="16">
        <v>46280</v>
      </c>
      <c r="D3865" s="79">
        <v>327985.82999999996</v>
      </c>
    </row>
    <row r="3866" spans="1:4" x14ac:dyDescent="0.3">
      <c r="A3866" s="88" t="s">
        <v>17</v>
      </c>
      <c r="B3866" s="88"/>
      <c r="C3866" s="16">
        <v>46281</v>
      </c>
      <c r="D3866" s="79">
        <v>2042948.5900000008</v>
      </c>
    </row>
    <row r="3867" spans="1:4" x14ac:dyDescent="0.3">
      <c r="A3867" s="88" t="s">
        <v>18</v>
      </c>
      <c r="B3867" s="88"/>
      <c r="C3867" s="16">
        <v>46281</v>
      </c>
      <c r="D3867" s="79">
        <v>100486.46000000017</v>
      </c>
    </row>
    <row r="3868" spans="1:4" x14ac:dyDescent="0.3">
      <c r="A3868" s="88" t="s">
        <v>19</v>
      </c>
      <c r="B3868" s="88"/>
      <c r="C3868" s="16">
        <v>46281</v>
      </c>
      <c r="D3868" s="79">
        <v>1669.89</v>
      </c>
    </row>
    <row r="3869" spans="1:4" x14ac:dyDescent="0.3">
      <c r="A3869" s="88" t="s">
        <v>20</v>
      </c>
      <c r="B3869" s="88"/>
      <c r="C3869" s="16">
        <v>46281</v>
      </c>
      <c r="D3869" s="79">
        <v>1105534.6399999999</v>
      </c>
    </row>
    <row r="3870" spans="1:4" x14ac:dyDescent="0.3">
      <c r="A3870" s="88" t="s">
        <v>21</v>
      </c>
      <c r="B3870" s="88"/>
      <c r="C3870" s="16">
        <v>46281</v>
      </c>
      <c r="D3870" s="79">
        <v>1189436.8599999996</v>
      </c>
    </row>
    <row r="3871" spans="1:4" x14ac:dyDescent="0.3">
      <c r="A3871" s="88" t="s">
        <v>22</v>
      </c>
      <c r="B3871" s="88"/>
      <c r="C3871" s="16">
        <v>46281</v>
      </c>
      <c r="D3871" s="79">
        <v>229778.14</v>
      </c>
    </row>
    <row r="3872" spans="1:4" x14ac:dyDescent="0.3">
      <c r="A3872" s="88" t="s">
        <v>23</v>
      </c>
      <c r="B3872" s="88"/>
      <c r="C3872" s="16">
        <v>46281</v>
      </c>
      <c r="D3872" s="79">
        <v>217688.58</v>
      </c>
    </row>
    <row r="3873" spans="1:4" x14ac:dyDescent="0.3">
      <c r="A3873" s="88" t="s">
        <v>24</v>
      </c>
      <c r="B3873" s="88"/>
      <c r="C3873" s="16">
        <v>46281</v>
      </c>
      <c r="D3873" s="79">
        <v>11744.75</v>
      </c>
    </row>
    <row r="3874" spans="1:4" x14ac:dyDescent="0.3">
      <c r="A3874" s="88" t="s">
        <v>25</v>
      </c>
      <c r="B3874" s="88"/>
      <c r="C3874" s="16">
        <v>46281</v>
      </c>
      <c r="D3874" s="79">
        <v>94.5</v>
      </c>
    </row>
    <row r="3875" spans="1:4" x14ac:dyDescent="0.3">
      <c r="A3875" s="88" t="s">
        <v>26</v>
      </c>
      <c r="B3875" s="88"/>
      <c r="C3875" s="16">
        <v>46281</v>
      </c>
      <c r="D3875" s="79">
        <v>2147.92</v>
      </c>
    </row>
    <row r="3876" spans="1:4" x14ac:dyDescent="0.3">
      <c r="A3876" s="88" t="s">
        <v>27</v>
      </c>
      <c r="B3876" s="88"/>
      <c r="C3876" s="16">
        <v>46281</v>
      </c>
      <c r="D3876" s="79">
        <v>17895.290000000015</v>
      </c>
    </row>
    <row r="3877" spans="1:4" x14ac:dyDescent="0.3">
      <c r="A3877" s="88" t="s">
        <v>28</v>
      </c>
      <c r="B3877" s="88"/>
      <c r="C3877" s="16">
        <v>46281</v>
      </c>
      <c r="D3877" s="79">
        <v>1968.99</v>
      </c>
    </row>
    <row r="3878" spans="1:4" x14ac:dyDescent="0.3">
      <c r="A3878" s="88" t="s">
        <v>29</v>
      </c>
      <c r="B3878" s="88"/>
      <c r="C3878" s="16">
        <v>46281</v>
      </c>
      <c r="D3878" s="79">
        <v>901.34</v>
      </c>
    </row>
    <row r="3879" spans="1:4" x14ac:dyDescent="0.3">
      <c r="A3879" s="88" t="s">
        <v>30</v>
      </c>
      <c r="B3879" s="88"/>
      <c r="C3879" s="16">
        <v>46281</v>
      </c>
      <c r="D3879" s="79">
        <v>1380.08</v>
      </c>
    </row>
    <row r="3880" spans="1:4" x14ac:dyDescent="0.3">
      <c r="A3880" s="88" t="s">
        <v>31</v>
      </c>
      <c r="B3880" s="88"/>
      <c r="C3880" s="16">
        <v>46281</v>
      </c>
      <c r="D3880" s="79">
        <v>25027.379999999961</v>
      </c>
    </row>
    <row r="3881" spans="1:4" x14ac:dyDescent="0.3">
      <c r="A3881" s="88" t="s">
        <v>32</v>
      </c>
      <c r="B3881" s="88"/>
      <c r="C3881" s="16">
        <v>46281</v>
      </c>
      <c r="D3881" s="79">
        <v>16282.630000000006</v>
      </c>
    </row>
    <row r="3882" spans="1:4" x14ac:dyDescent="0.3">
      <c r="A3882" s="88" t="s">
        <v>33</v>
      </c>
      <c r="B3882" s="88"/>
      <c r="C3882" s="16">
        <v>46281</v>
      </c>
      <c r="D3882" s="79">
        <v>13685.999999999996</v>
      </c>
    </row>
    <row r="3883" spans="1:4" x14ac:dyDescent="0.3">
      <c r="A3883" s="88" t="s">
        <v>34</v>
      </c>
      <c r="B3883" s="88"/>
      <c r="C3883" s="16">
        <v>46281</v>
      </c>
      <c r="D3883" s="79">
        <v>345</v>
      </c>
    </row>
    <row r="3884" spans="1:4" x14ac:dyDescent="0.3">
      <c r="A3884" s="88" t="s">
        <v>35</v>
      </c>
      <c r="B3884" s="88"/>
      <c r="C3884" s="16">
        <v>46281</v>
      </c>
      <c r="D3884" s="79">
        <v>16384.45</v>
      </c>
    </row>
    <row r="3885" spans="1:4" x14ac:dyDescent="0.3">
      <c r="A3885" s="88" t="s">
        <v>193</v>
      </c>
      <c r="B3885" s="88"/>
      <c r="C3885" s="16">
        <v>46281</v>
      </c>
      <c r="D3885" s="79">
        <v>298792.34000000003</v>
      </c>
    </row>
    <row r="3886" spans="1:4" x14ac:dyDescent="0.3">
      <c r="A3886" s="88" t="s">
        <v>214</v>
      </c>
      <c r="B3886" s="88"/>
      <c r="C3886" s="16">
        <v>46281</v>
      </c>
      <c r="D3886" s="79">
        <v>26893.080000000005</v>
      </c>
    </row>
    <row r="3887" spans="1:4" x14ac:dyDescent="0.3">
      <c r="A3887" s="88" t="s">
        <v>194</v>
      </c>
      <c r="B3887" s="88"/>
      <c r="C3887" s="16">
        <v>46281</v>
      </c>
      <c r="D3887" s="79">
        <v>3631.96</v>
      </c>
    </row>
    <row r="3888" spans="1:4" x14ac:dyDescent="0.3">
      <c r="A3888" s="88" t="s">
        <v>195</v>
      </c>
      <c r="B3888" s="88"/>
      <c r="C3888" s="16">
        <v>46281</v>
      </c>
      <c r="D3888" s="79">
        <v>604.80000000000018</v>
      </c>
    </row>
    <row r="3889" spans="1:4" x14ac:dyDescent="0.3">
      <c r="A3889" s="88" t="s">
        <v>196</v>
      </c>
      <c r="B3889" s="88"/>
      <c r="C3889" s="16">
        <v>46281</v>
      </c>
      <c r="D3889" s="79">
        <v>29877.869999999981</v>
      </c>
    </row>
    <row r="3890" spans="1:4" x14ac:dyDescent="0.3">
      <c r="A3890" s="88" t="s">
        <v>197</v>
      </c>
      <c r="B3890" s="88"/>
      <c r="C3890" s="16">
        <v>46281</v>
      </c>
      <c r="D3890" s="79">
        <v>794.01</v>
      </c>
    </row>
    <row r="3891" spans="1:4" x14ac:dyDescent="0.3">
      <c r="A3891" s="88" t="s">
        <v>212</v>
      </c>
      <c r="B3891" s="88"/>
      <c r="C3891" s="16">
        <v>46281</v>
      </c>
      <c r="D3891" s="79">
        <v>5445.57</v>
      </c>
    </row>
    <row r="3892" spans="1:4" x14ac:dyDescent="0.3">
      <c r="A3892" s="88" t="s">
        <v>199</v>
      </c>
      <c r="B3892" s="88"/>
      <c r="C3892" s="16">
        <v>46281</v>
      </c>
      <c r="D3892" s="79">
        <v>240357.59999999998</v>
      </c>
    </row>
    <row r="3893" spans="1:4" x14ac:dyDescent="0.3">
      <c r="A3893" s="88" t="s">
        <v>217</v>
      </c>
      <c r="B3893" s="88"/>
      <c r="C3893" s="16">
        <v>46281</v>
      </c>
      <c r="D3893" s="79">
        <v>327985.82999999996</v>
      </c>
    </row>
    <row r="3894" spans="1:4" x14ac:dyDescent="0.3">
      <c r="A3894" s="88" t="s">
        <v>17</v>
      </c>
      <c r="B3894" s="88"/>
      <c r="C3894" s="16">
        <v>46282</v>
      </c>
      <c r="D3894" s="79">
        <v>1912320.2500000007</v>
      </c>
    </row>
    <row r="3895" spans="1:4" x14ac:dyDescent="0.3">
      <c r="A3895" s="88" t="s">
        <v>18</v>
      </c>
      <c r="B3895" s="88"/>
      <c r="C3895" s="16">
        <v>46282</v>
      </c>
      <c r="D3895" s="79">
        <v>100486.46000000017</v>
      </c>
    </row>
    <row r="3896" spans="1:4" x14ac:dyDescent="0.3">
      <c r="A3896" s="88" t="s">
        <v>19</v>
      </c>
      <c r="B3896" s="88"/>
      <c r="C3896" s="16">
        <v>46282</v>
      </c>
      <c r="D3896" s="79">
        <v>1669.89</v>
      </c>
    </row>
    <row r="3897" spans="1:4" x14ac:dyDescent="0.3">
      <c r="A3897" s="88" t="s">
        <v>20</v>
      </c>
      <c r="B3897" s="88"/>
      <c r="C3897" s="16">
        <v>46282</v>
      </c>
      <c r="D3897" s="79">
        <v>975534.6399999999</v>
      </c>
    </row>
    <row r="3898" spans="1:4" x14ac:dyDescent="0.3">
      <c r="A3898" s="88" t="s">
        <v>21</v>
      </c>
      <c r="B3898" s="88"/>
      <c r="C3898" s="16">
        <v>46282</v>
      </c>
      <c r="D3898" s="79">
        <v>1070645.1899999995</v>
      </c>
    </row>
    <row r="3899" spans="1:4" x14ac:dyDescent="0.3">
      <c r="A3899" s="88" t="s">
        <v>22</v>
      </c>
      <c r="B3899" s="88"/>
      <c r="C3899" s="16">
        <v>46282</v>
      </c>
      <c r="D3899" s="79">
        <v>229778.14</v>
      </c>
    </row>
    <row r="3900" spans="1:4" x14ac:dyDescent="0.3">
      <c r="A3900" s="88" t="s">
        <v>23</v>
      </c>
      <c r="B3900" s="88"/>
      <c r="C3900" s="16">
        <v>46282</v>
      </c>
      <c r="D3900" s="79">
        <v>217688.58</v>
      </c>
    </row>
    <row r="3901" spans="1:4" x14ac:dyDescent="0.3">
      <c r="A3901" s="88" t="s">
        <v>24</v>
      </c>
      <c r="B3901" s="88"/>
      <c r="C3901" s="16">
        <v>46282</v>
      </c>
      <c r="D3901" s="79">
        <v>11744.75</v>
      </c>
    </row>
    <row r="3902" spans="1:4" x14ac:dyDescent="0.3">
      <c r="A3902" s="88" t="s">
        <v>25</v>
      </c>
      <c r="B3902" s="88"/>
      <c r="C3902" s="16">
        <v>46282</v>
      </c>
      <c r="D3902" s="79">
        <v>94.5</v>
      </c>
    </row>
    <row r="3903" spans="1:4" x14ac:dyDescent="0.3">
      <c r="A3903" s="88" t="s">
        <v>26</v>
      </c>
      <c r="B3903" s="88"/>
      <c r="C3903" s="16">
        <v>46282</v>
      </c>
      <c r="D3903" s="79">
        <v>2147.92</v>
      </c>
    </row>
    <row r="3904" spans="1:4" x14ac:dyDescent="0.3">
      <c r="A3904" s="88" t="s">
        <v>27</v>
      </c>
      <c r="B3904" s="88"/>
      <c r="C3904" s="16">
        <v>46282</v>
      </c>
      <c r="D3904" s="79">
        <v>17895.290000000015</v>
      </c>
    </row>
    <row r="3905" spans="1:4" x14ac:dyDescent="0.3">
      <c r="A3905" s="88" t="s">
        <v>28</v>
      </c>
      <c r="B3905" s="88"/>
      <c r="C3905" s="16">
        <v>46282</v>
      </c>
      <c r="D3905" s="79">
        <v>1968.99</v>
      </c>
    </row>
    <row r="3906" spans="1:4" x14ac:dyDescent="0.3">
      <c r="A3906" s="88" t="s">
        <v>29</v>
      </c>
      <c r="B3906" s="88"/>
      <c r="C3906" s="16">
        <v>46282</v>
      </c>
      <c r="D3906" s="79">
        <v>901.34</v>
      </c>
    </row>
    <row r="3907" spans="1:4" x14ac:dyDescent="0.3">
      <c r="A3907" s="88" t="s">
        <v>30</v>
      </c>
      <c r="B3907" s="88"/>
      <c r="C3907" s="16">
        <v>46282</v>
      </c>
      <c r="D3907" s="79">
        <v>1380.08</v>
      </c>
    </row>
    <row r="3908" spans="1:4" x14ac:dyDescent="0.3">
      <c r="A3908" s="88" t="s">
        <v>31</v>
      </c>
      <c r="B3908" s="88"/>
      <c r="C3908" s="16">
        <v>46282</v>
      </c>
      <c r="D3908" s="79">
        <v>25027.379999999961</v>
      </c>
    </row>
    <row r="3909" spans="1:4" x14ac:dyDescent="0.3">
      <c r="A3909" s="88" t="s">
        <v>32</v>
      </c>
      <c r="B3909" s="88"/>
      <c r="C3909" s="16">
        <v>46282</v>
      </c>
      <c r="D3909" s="79">
        <v>16282.630000000006</v>
      </c>
    </row>
    <row r="3910" spans="1:4" x14ac:dyDescent="0.3">
      <c r="A3910" s="88" t="s">
        <v>33</v>
      </c>
      <c r="B3910" s="88"/>
      <c r="C3910" s="16">
        <v>46282</v>
      </c>
      <c r="D3910" s="79">
        <v>13685.999999999996</v>
      </c>
    </row>
    <row r="3911" spans="1:4" x14ac:dyDescent="0.3">
      <c r="A3911" s="88" t="s">
        <v>34</v>
      </c>
      <c r="B3911" s="88"/>
      <c r="C3911" s="16">
        <v>46282</v>
      </c>
      <c r="D3911" s="79">
        <v>345</v>
      </c>
    </row>
    <row r="3912" spans="1:4" x14ac:dyDescent="0.3">
      <c r="A3912" s="88" t="s">
        <v>35</v>
      </c>
      <c r="B3912" s="88"/>
      <c r="C3912" s="16">
        <v>46282</v>
      </c>
      <c r="D3912" s="79">
        <v>16164.440000000002</v>
      </c>
    </row>
    <row r="3913" spans="1:4" x14ac:dyDescent="0.3">
      <c r="A3913" s="88" t="s">
        <v>193</v>
      </c>
      <c r="B3913" s="88"/>
      <c r="C3913" s="16">
        <v>46282</v>
      </c>
      <c r="D3913" s="79">
        <v>312415.12000000005</v>
      </c>
    </row>
    <row r="3914" spans="1:4" x14ac:dyDescent="0.3">
      <c r="A3914" s="88" t="s">
        <v>214</v>
      </c>
      <c r="B3914" s="88"/>
      <c r="C3914" s="16">
        <v>46282</v>
      </c>
      <c r="D3914" s="79">
        <v>17125.350000000006</v>
      </c>
    </row>
    <row r="3915" spans="1:4" x14ac:dyDescent="0.3">
      <c r="A3915" s="88" t="s">
        <v>194</v>
      </c>
      <c r="B3915" s="88"/>
      <c r="C3915" s="16">
        <v>46282</v>
      </c>
      <c r="D3915" s="79">
        <v>3631.96</v>
      </c>
    </row>
    <row r="3916" spans="1:4" x14ac:dyDescent="0.3">
      <c r="A3916" s="88" t="s">
        <v>195</v>
      </c>
      <c r="B3916" s="88"/>
      <c r="C3916" s="16">
        <v>46282</v>
      </c>
      <c r="D3916" s="79">
        <v>604.80000000000018</v>
      </c>
    </row>
    <row r="3917" spans="1:4" x14ac:dyDescent="0.3">
      <c r="A3917" s="88" t="s">
        <v>196</v>
      </c>
      <c r="B3917" s="88"/>
      <c r="C3917" s="16">
        <v>46282</v>
      </c>
      <c r="D3917" s="79">
        <v>26755.729999999981</v>
      </c>
    </row>
    <row r="3918" spans="1:4" x14ac:dyDescent="0.3">
      <c r="A3918" s="88" t="s">
        <v>197</v>
      </c>
      <c r="B3918" s="88"/>
      <c r="C3918" s="16">
        <v>46282</v>
      </c>
      <c r="D3918" s="79">
        <v>794.01</v>
      </c>
    </row>
    <row r="3919" spans="1:4" x14ac:dyDescent="0.3">
      <c r="A3919" s="88" t="s">
        <v>212</v>
      </c>
      <c r="B3919" s="88"/>
      <c r="C3919" s="16">
        <v>46282</v>
      </c>
      <c r="D3919" s="79">
        <v>5445.57</v>
      </c>
    </row>
    <row r="3920" spans="1:4" x14ac:dyDescent="0.3">
      <c r="A3920" s="88" t="s">
        <v>199</v>
      </c>
      <c r="B3920" s="88"/>
      <c r="C3920" s="16">
        <v>46282</v>
      </c>
      <c r="D3920" s="79">
        <v>240357.59999999998</v>
      </c>
    </row>
    <row r="3921" spans="1:4" x14ac:dyDescent="0.3">
      <c r="A3921" s="88" t="s">
        <v>217</v>
      </c>
      <c r="B3921" s="88"/>
      <c r="C3921" s="16">
        <v>46282</v>
      </c>
      <c r="D3921" s="79">
        <v>327985.82999999996</v>
      </c>
    </row>
    <row r="3922" spans="1:4" x14ac:dyDescent="0.3">
      <c r="A3922" s="88" t="s">
        <v>17</v>
      </c>
      <c r="B3922" s="88"/>
      <c r="C3922" s="16">
        <v>46283</v>
      </c>
      <c r="D3922" s="79">
        <v>2322320.2500000005</v>
      </c>
    </row>
    <row r="3923" spans="1:4" x14ac:dyDescent="0.3">
      <c r="A3923" s="88" t="s">
        <v>18</v>
      </c>
      <c r="B3923" s="88"/>
      <c r="C3923" s="16">
        <v>46283</v>
      </c>
      <c r="D3923" s="79">
        <v>100486.46000000017</v>
      </c>
    </row>
    <row r="3924" spans="1:4" x14ac:dyDescent="0.3">
      <c r="A3924" s="88" t="s">
        <v>19</v>
      </c>
      <c r="B3924" s="88"/>
      <c r="C3924" s="16">
        <v>46283</v>
      </c>
      <c r="D3924" s="79">
        <v>1669.89</v>
      </c>
    </row>
    <row r="3925" spans="1:4" x14ac:dyDescent="0.3">
      <c r="A3925" s="88" t="s">
        <v>20</v>
      </c>
      <c r="B3925" s="88"/>
      <c r="C3925" s="16">
        <v>46283</v>
      </c>
      <c r="D3925" s="79">
        <v>1425534.64</v>
      </c>
    </row>
    <row r="3926" spans="1:4" x14ac:dyDescent="0.3">
      <c r="A3926" s="88" t="s">
        <v>21</v>
      </c>
      <c r="B3926" s="88"/>
      <c r="C3926" s="16">
        <v>46283</v>
      </c>
      <c r="D3926" s="79">
        <v>1070478.5299999996</v>
      </c>
    </row>
    <row r="3927" spans="1:4" x14ac:dyDescent="0.3">
      <c r="A3927" s="88" t="s">
        <v>22</v>
      </c>
      <c r="B3927" s="88"/>
      <c r="C3927" s="16">
        <v>46283</v>
      </c>
      <c r="D3927" s="79">
        <v>229778.14</v>
      </c>
    </row>
    <row r="3928" spans="1:4" x14ac:dyDescent="0.3">
      <c r="A3928" s="88" t="s">
        <v>23</v>
      </c>
      <c r="B3928" s="88"/>
      <c r="C3928" s="16">
        <v>46283</v>
      </c>
      <c r="D3928" s="79">
        <v>217688.58</v>
      </c>
    </row>
    <row r="3929" spans="1:4" x14ac:dyDescent="0.3">
      <c r="A3929" s="88" t="s">
        <v>24</v>
      </c>
      <c r="B3929" s="88"/>
      <c r="C3929" s="16">
        <v>46283</v>
      </c>
      <c r="D3929" s="79">
        <v>11744.75</v>
      </c>
    </row>
    <row r="3930" spans="1:4" x14ac:dyDescent="0.3">
      <c r="A3930" s="88" t="s">
        <v>25</v>
      </c>
      <c r="B3930" s="88"/>
      <c r="C3930" s="16">
        <v>46283</v>
      </c>
      <c r="D3930" s="79">
        <v>94.5</v>
      </c>
    </row>
    <row r="3931" spans="1:4" x14ac:dyDescent="0.3">
      <c r="A3931" s="88" t="s">
        <v>26</v>
      </c>
      <c r="B3931" s="88"/>
      <c r="C3931" s="16">
        <v>46283</v>
      </c>
      <c r="D3931" s="79">
        <v>2147.92</v>
      </c>
    </row>
    <row r="3932" spans="1:4" x14ac:dyDescent="0.3">
      <c r="A3932" s="88" t="s">
        <v>27</v>
      </c>
      <c r="B3932" s="88"/>
      <c r="C3932" s="16">
        <v>46283</v>
      </c>
      <c r="D3932" s="79">
        <v>17895.290000000015</v>
      </c>
    </row>
    <row r="3933" spans="1:4" x14ac:dyDescent="0.3">
      <c r="A3933" s="88" t="s">
        <v>28</v>
      </c>
      <c r="B3933" s="88"/>
      <c r="C3933" s="16">
        <v>46283</v>
      </c>
      <c r="D3933" s="79">
        <v>1968.99</v>
      </c>
    </row>
    <row r="3934" spans="1:4" x14ac:dyDescent="0.3">
      <c r="A3934" s="88" t="s">
        <v>29</v>
      </c>
      <c r="B3934" s="88"/>
      <c r="C3934" s="16">
        <v>46283</v>
      </c>
      <c r="D3934" s="79">
        <v>901.34</v>
      </c>
    </row>
    <row r="3935" spans="1:4" x14ac:dyDescent="0.3">
      <c r="A3935" s="88" t="s">
        <v>30</v>
      </c>
      <c r="B3935" s="88"/>
      <c r="C3935" s="16">
        <v>46283</v>
      </c>
      <c r="D3935" s="79">
        <v>1380.08</v>
      </c>
    </row>
    <row r="3936" spans="1:4" x14ac:dyDescent="0.3">
      <c r="A3936" s="88" t="s">
        <v>31</v>
      </c>
      <c r="B3936" s="88"/>
      <c r="C3936" s="16">
        <v>46283</v>
      </c>
      <c r="D3936" s="79">
        <v>30277.379999999961</v>
      </c>
    </row>
    <row r="3937" spans="1:4" x14ac:dyDescent="0.3">
      <c r="A3937" s="88" t="s">
        <v>32</v>
      </c>
      <c r="B3937" s="88"/>
      <c r="C3937" s="16">
        <v>46283</v>
      </c>
      <c r="D3937" s="79">
        <v>16282.630000000006</v>
      </c>
    </row>
    <row r="3938" spans="1:4" x14ac:dyDescent="0.3">
      <c r="A3938" s="88" t="s">
        <v>33</v>
      </c>
      <c r="B3938" s="88"/>
      <c r="C3938" s="16">
        <v>46283</v>
      </c>
      <c r="D3938" s="79">
        <v>13685.999999999996</v>
      </c>
    </row>
    <row r="3939" spans="1:4" x14ac:dyDescent="0.3">
      <c r="A3939" s="88" t="s">
        <v>34</v>
      </c>
      <c r="B3939" s="88"/>
      <c r="C3939" s="16">
        <v>46283</v>
      </c>
      <c r="D3939" s="79">
        <v>345</v>
      </c>
    </row>
    <row r="3940" spans="1:4" x14ac:dyDescent="0.3">
      <c r="A3940" s="88" t="s">
        <v>35</v>
      </c>
      <c r="B3940" s="88"/>
      <c r="C3940" s="16">
        <v>46283</v>
      </c>
      <c r="D3940" s="79">
        <v>16120.660000000002</v>
      </c>
    </row>
    <row r="3941" spans="1:4" x14ac:dyDescent="0.3">
      <c r="A3941" s="88" t="s">
        <v>193</v>
      </c>
      <c r="B3941" s="88"/>
      <c r="C3941" s="16">
        <v>46283</v>
      </c>
      <c r="D3941" s="79">
        <v>312415.12000000005</v>
      </c>
    </row>
    <row r="3942" spans="1:4" x14ac:dyDescent="0.3">
      <c r="A3942" s="88" t="s">
        <v>214</v>
      </c>
      <c r="B3942" s="88"/>
      <c r="C3942" s="16">
        <v>46283</v>
      </c>
      <c r="D3942" s="79">
        <v>103560.93000000001</v>
      </c>
    </row>
    <row r="3943" spans="1:4" x14ac:dyDescent="0.3">
      <c r="A3943" s="88" t="s">
        <v>194</v>
      </c>
      <c r="B3943" s="88"/>
      <c r="C3943" s="16">
        <v>46283</v>
      </c>
      <c r="D3943" s="79">
        <v>3631.96</v>
      </c>
    </row>
    <row r="3944" spans="1:4" x14ac:dyDescent="0.3">
      <c r="A3944" s="88" t="s">
        <v>195</v>
      </c>
      <c r="B3944" s="88"/>
      <c r="C3944" s="16">
        <v>46283</v>
      </c>
      <c r="D3944" s="79">
        <v>604.80000000000018</v>
      </c>
    </row>
    <row r="3945" spans="1:4" x14ac:dyDescent="0.3">
      <c r="A3945" s="88" t="s">
        <v>196</v>
      </c>
      <c r="B3945" s="88"/>
      <c r="C3945" s="16">
        <v>46283</v>
      </c>
      <c r="D3945" s="79">
        <v>26755.729999999981</v>
      </c>
    </row>
    <row r="3946" spans="1:4" x14ac:dyDescent="0.3">
      <c r="A3946" s="88" t="s">
        <v>197</v>
      </c>
      <c r="B3946" s="88"/>
      <c r="C3946" s="16">
        <v>46283</v>
      </c>
      <c r="D3946" s="79">
        <v>794.01</v>
      </c>
    </row>
    <row r="3947" spans="1:4" x14ac:dyDescent="0.3">
      <c r="A3947" s="88" t="s">
        <v>212</v>
      </c>
      <c r="B3947" s="88"/>
      <c r="C3947" s="16">
        <v>46283</v>
      </c>
      <c r="D3947" s="79">
        <v>5445.57</v>
      </c>
    </row>
    <row r="3948" spans="1:4" x14ac:dyDescent="0.3">
      <c r="A3948" s="88" t="s">
        <v>199</v>
      </c>
      <c r="B3948" s="88"/>
      <c r="C3948" s="16">
        <v>46283</v>
      </c>
      <c r="D3948" s="79">
        <v>240357.59999999998</v>
      </c>
    </row>
    <row r="3949" spans="1:4" x14ac:dyDescent="0.3">
      <c r="A3949" s="88" t="s">
        <v>217</v>
      </c>
      <c r="B3949" s="88"/>
      <c r="C3949" s="16">
        <v>46283</v>
      </c>
      <c r="D3949" s="79">
        <v>327985.82999999996</v>
      </c>
    </row>
    <row r="3950" spans="1:4" x14ac:dyDescent="0.3">
      <c r="A3950" s="88" t="s">
        <v>17</v>
      </c>
      <c r="B3950" s="88"/>
      <c r="C3950" s="16">
        <v>46284</v>
      </c>
      <c r="D3950" s="79">
        <v>2322320.2500000005</v>
      </c>
    </row>
    <row r="3951" spans="1:4" x14ac:dyDescent="0.3">
      <c r="A3951" s="88" t="s">
        <v>18</v>
      </c>
      <c r="B3951" s="88"/>
      <c r="C3951" s="16">
        <v>46284</v>
      </c>
      <c r="D3951" s="79">
        <v>100486.46000000017</v>
      </c>
    </row>
    <row r="3952" spans="1:4" x14ac:dyDescent="0.3">
      <c r="A3952" s="88" t="s">
        <v>19</v>
      </c>
      <c r="B3952" s="88"/>
      <c r="C3952" s="16">
        <v>46284</v>
      </c>
      <c r="D3952" s="79">
        <v>1669.89</v>
      </c>
    </row>
    <row r="3953" spans="1:4" x14ac:dyDescent="0.3">
      <c r="A3953" s="88" t="s">
        <v>20</v>
      </c>
      <c r="B3953" s="88"/>
      <c r="C3953" s="16">
        <v>46284</v>
      </c>
      <c r="D3953" s="79">
        <v>1425534.64</v>
      </c>
    </row>
    <row r="3954" spans="1:4" x14ac:dyDescent="0.3">
      <c r="A3954" s="88" t="s">
        <v>21</v>
      </c>
      <c r="B3954" s="88"/>
      <c r="C3954" s="16">
        <v>46284</v>
      </c>
      <c r="D3954" s="79">
        <v>1070478.5299999996</v>
      </c>
    </row>
    <row r="3955" spans="1:4" x14ac:dyDescent="0.3">
      <c r="A3955" s="88" t="s">
        <v>22</v>
      </c>
      <c r="B3955" s="88"/>
      <c r="C3955" s="16">
        <v>46284</v>
      </c>
      <c r="D3955" s="79">
        <v>229778.14</v>
      </c>
    </row>
    <row r="3956" spans="1:4" x14ac:dyDescent="0.3">
      <c r="A3956" s="88" t="s">
        <v>23</v>
      </c>
      <c r="B3956" s="88"/>
      <c r="C3956" s="16">
        <v>46284</v>
      </c>
      <c r="D3956" s="79">
        <v>217688.58</v>
      </c>
    </row>
    <row r="3957" spans="1:4" x14ac:dyDescent="0.3">
      <c r="A3957" s="88" t="s">
        <v>24</v>
      </c>
      <c r="B3957" s="88"/>
      <c r="C3957" s="16">
        <v>46284</v>
      </c>
      <c r="D3957" s="79">
        <v>11744.75</v>
      </c>
    </row>
    <row r="3958" spans="1:4" x14ac:dyDescent="0.3">
      <c r="A3958" s="88" t="s">
        <v>25</v>
      </c>
      <c r="B3958" s="88"/>
      <c r="C3958" s="16">
        <v>46284</v>
      </c>
      <c r="D3958" s="79">
        <v>94.5</v>
      </c>
    </row>
    <row r="3959" spans="1:4" x14ac:dyDescent="0.3">
      <c r="A3959" s="88" t="s">
        <v>26</v>
      </c>
      <c r="B3959" s="88"/>
      <c r="C3959" s="16">
        <v>46284</v>
      </c>
      <c r="D3959" s="79">
        <v>2147.92</v>
      </c>
    </row>
    <row r="3960" spans="1:4" x14ac:dyDescent="0.3">
      <c r="A3960" s="88" t="s">
        <v>27</v>
      </c>
      <c r="B3960" s="88"/>
      <c r="C3960" s="16">
        <v>46284</v>
      </c>
      <c r="D3960" s="79">
        <v>17895.290000000015</v>
      </c>
    </row>
    <row r="3961" spans="1:4" x14ac:dyDescent="0.3">
      <c r="A3961" s="88" t="s">
        <v>28</v>
      </c>
      <c r="B3961" s="88"/>
      <c r="C3961" s="16">
        <v>46284</v>
      </c>
      <c r="D3961" s="79">
        <v>1968.99</v>
      </c>
    </row>
    <row r="3962" spans="1:4" x14ac:dyDescent="0.3">
      <c r="A3962" s="88" t="s">
        <v>29</v>
      </c>
      <c r="B3962" s="88"/>
      <c r="C3962" s="16">
        <v>46284</v>
      </c>
      <c r="D3962" s="79">
        <v>901.34</v>
      </c>
    </row>
    <row r="3963" spans="1:4" x14ac:dyDescent="0.3">
      <c r="A3963" s="88" t="s">
        <v>30</v>
      </c>
      <c r="B3963" s="88"/>
      <c r="C3963" s="16">
        <v>46284</v>
      </c>
      <c r="D3963" s="79">
        <v>1380.08</v>
      </c>
    </row>
    <row r="3964" spans="1:4" x14ac:dyDescent="0.3">
      <c r="A3964" s="88" t="s">
        <v>31</v>
      </c>
      <c r="B3964" s="88"/>
      <c r="C3964" s="16">
        <v>46284</v>
      </c>
      <c r="D3964" s="79">
        <v>30277.379999999961</v>
      </c>
    </row>
    <row r="3965" spans="1:4" x14ac:dyDescent="0.3">
      <c r="A3965" s="88" t="s">
        <v>32</v>
      </c>
      <c r="B3965" s="88"/>
      <c r="C3965" s="16">
        <v>46284</v>
      </c>
      <c r="D3965" s="79">
        <v>16282.630000000006</v>
      </c>
    </row>
    <row r="3966" spans="1:4" x14ac:dyDescent="0.3">
      <c r="A3966" s="88" t="s">
        <v>33</v>
      </c>
      <c r="B3966" s="88"/>
      <c r="C3966" s="16">
        <v>46284</v>
      </c>
      <c r="D3966" s="79">
        <v>13685.999999999996</v>
      </c>
    </row>
    <row r="3967" spans="1:4" x14ac:dyDescent="0.3">
      <c r="A3967" s="88" t="s">
        <v>34</v>
      </c>
      <c r="B3967" s="88"/>
      <c r="C3967" s="16">
        <v>46284</v>
      </c>
      <c r="D3967" s="79">
        <v>345</v>
      </c>
    </row>
    <row r="3968" spans="1:4" x14ac:dyDescent="0.3">
      <c r="A3968" s="88" t="s">
        <v>35</v>
      </c>
      <c r="B3968" s="88"/>
      <c r="C3968" s="16">
        <v>46284</v>
      </c>
      <c r="D3968" s="79">
        <v>16120.660000000002</v>
      </c>
    </row>
    <row r="3969" spans="1:4" x14ac:dyDescent="0.3">
      <c r="A3969" s="88" t="s">
        <v>193</v>
      </c>
      <c r="B3969" s="88"/>
      <c r="C3969" s="16">
        <v>46284</v>
      </c>
      <c r="D3969" s="79">
        <v>312415.12000000005</v>
      </c>
    </row>
    <row r="3970" spans="1:4" x14ac:dyDescent="0.3">
      <c r="A3970" s="88" t="s">
        <v>214</v>
      </c>
      <c r="B3970" s="88"/>
      <c r="C3970" s="16">
        <v>46284</v>
      </c>
      <c r="D3970" s="79">
        <v>103560.93000000001</v>
      </c>
    </row>
    <row r="3971" spans="1:4" x14ac:dyDescent="0.3">
      <c r="A3971" s="88" t="s">
        <v>194</v>
      </c>
      <c r="B3971" s="88"/>
      <c r="C3971" s="16">
        <v>46284</v>
      </c>
      <c r="D3971" s="79">
        <v>3631.96</v>
      </c>
    </row>
    <row r="3972" spans="1:4" x14ac:dyDescent="0.3">
      <c r="A3972" s="88" t="s">
        <v>195</v>
      </c>
      <c r="B3972" s="88"/>
      <c r="C3972" s="16">
        <v>46284</v>
      </c>
      <c r="D3972" s="79">
        <v>604.80000000000018</v>
      </c>
    </row>
    <row r="3973" spans="1:4" x14ac:dyDescent="0.3">
      <c r="A3973" s="88" t="s">
        <v>196</v>
      </c>
      <c r="B3973" s="88"/>
      <c r="C3973" s="16">
        <v>46284</v>
      </c>
      <c r="D3973" s="79">
        <v>26755.729999999981</v>
      </c>
    </row>
    <row r="3974" spans="1:4" x14ac:dyDescent="0.3">
      <c r="A3974" s="88" t="s">
        <v>197</v>
      </c>
      <c r="B3974" s="88"/>
      <c r="C3974" s="16">
        <v>46284</v>
      </c>
      <c r="D3974" s="79">
        <v>794.01</v>
      </c>
    </row>
    <row r="3975" spans="1:4" x14ac:dyDescent="0.3">
      <c r="A3975" s="88" t="s">
        <v>212</v>
      </c>
      <c r="B3975" s="88"/>
      <c r="C3975" s="16">
        <v>46284</v>
      </c>
      <c r="D3975" s="79">
        <v>5445.57</v>
      </c>
    </row>
    <row r="3976" spans="1:4" x14ac:dyDescent="0.3">
      <c r="A3976" s="88" t="s">
        <v>199</v>
      </c>
      <c r="B3976" s="88"/>
      <c r="C3976" s="16">
        <v>46284</v>
      </c>
      <c r="D3976" s="79">
        <v>240357.59999999998</v>
      </c>
    </row>
    <row r="3977" spans="1:4" x14ac:dyDescent="0.3">
      <c r="A3977" s="88" t="s">
        <v>217</v>
      </c>
      <c r="B3977" s="88"/>
      <c r="C3977" s="16">
        <v>46284</v>
      </c>
      <c r="D3977" s="79">
        <v>327985.82999999996</v>
      </c>
    </row>
    <row r="3978" spans="1:4" x14ac:dyDescent="0.3">
      <c r="A3978" s="88" t="s">
        <v>17</v>
      </c>
      <c r="B3978" s="88"/>
      <c r="C3978" s="16">
        <v>46285</v>
      </c>
      <c r="D3978" s="79">
        <v>2322320.2500000005</v>
      </c>
    </row>
    <row r="3979" spans="1:4" x14ac:dyDescent="0.3">
      <c r="A3979" s="88" t="s">
        <v>18</v>
      </c>
      <c r="B3979" s="88"/>
      <c r="C3979" s="16">
        <v>46285</v>
      </c>
      <c r="D3979" s="79">
        <v>100486.46000000017</v>
      </c>
    </row>
    <row r="3980" spans="1:4" x14ac:dyDescent="0.3">
      <c r="A3980" s="88" t="s">
        <v>19</v>
      </c>
      <c r="B3980" s="88"/>
      <c r="C3980" s="16">
        <v>46285</v>
      </c>
      <c r="D3980" s="79">
        <v>1669.89</v>
      </c>
    </row>
    <row r="3981" spans="1:4" x14ac:dyDescent="0.3">
      <c r="A3981" s="88" t="s">
        <v>20</v>
      </c>
      <c r="B3981" s="88"/>
      <c r="C3981" s="16">
        <v>46285</v>
      </c>
      <c r="D3981" s="79">
        <v>1425534.64</v>
      </c>
    </row>
    <row r="3982" spans="1:4" x14ac:dyDescent="0.3">
      <c r="A3982" s="88" t="s">
        <v>21</v>
      </c>
      <c r="B3982" s="88"/>
      <c r="C3982" s="16">
        <v>46285</v>
      </c>
      <c r="D3982" s="79">
        <v>1070478.5299999996</v>
      </c>
    </row>
    <row r="3983" spans="1:4" x14ac:dyDescent="0.3">
      <c r="A3983" s="88" t="s">
        <v>22</v>
      </c>
      <c r="B3983" s="88"/>
      <c r="C3983" s="16">
        <v>46285</v>
      </c>
      <c r="D3983" s="79">
        <v>229778.14</v>
      </c>
    </row>
    <row r="3984" spans="1:4" x14ac:dyDescent="0.3">
      <c r="A3984" s="88" t="s">
        <v>23</v>
      </c>
      <c r="B3984" s="88"/>
      <c r="C3984" s="16">
        <v>46285</v>
      </c>
      <c r="D3984" s="79">
        <v>217688.58</v>
      </c>
    </row>
    <row r="3985" spans="1:4" x14ac:dyDescent="0.3">
      <c r="A3985" s="88" t="s">
        <v>24</v>
      </c>
      <c r="B3985" s="88"/>
      <c r="C3985" s="16">
        <v>46285</v>
      </c>
      <c r="D3985" s="79">
        <v>11744.75</v>
      </c>
    </row>
    <row r="3986" spans="1:4" x14ac:dyDescent="0.3">
      <c r="A3986" s="88" t="s">
        <v>25</v>
      </c>
      <c r="B3986" s="88"/>
      <c r="C3986" s="16">
        <v>46285</v>
      </c>
      <c r="D3986" s="79">
        <v>94.5</v>
      </c>
    </row>
    <row r="3987" spans="1:4" x14ac:dyDescent="0.3">
      <c r="A3987" s="88" t="s">
        <v>26</v>
      </c>
      <c r="B3987" s="88"/>
      <c r="C3987" s="16">
        <v>46285</v>
      </c>
      <c r="D3987" s="79">
        <v>2147.92</v>
      </c>
    </row>
    <row r="3988" spans="1:4" x14ac:dyDescent="0.3">
      <c r="A3988" s="88" t="s">
        <v>27</v>
      </c>
      <c r="B3988" s="88"/>
      <c r="C3988" s="16">
        <v>46285</v>
      </c>
      <c r="D3988" s="79">
        <v>17895.290000000015</v>
      </c>
    </row>
    <row r="3989" spans="1:4" x14ac:dyDescent="0.3">
      <c r="A3989" s="88" t="s">
        <v>28</v>
      </c>
      <c r="B3989" s="88"/>
      <c r="C3989" s="16">
        <v>46285</v>
      </c>
      <c r="D3989" s="79">
        <v>1968.99</v>
      </c>
    </row>
    <row r="3990" spans="1:4" x14ac:dyDescent="0.3">
      <c r="A3990" s="88" t="s">
        <v>29</v>
      </c>
      <c r="B3990" s="88"/>
      <c r="C3990" s="16">
        <v>46285</v>
      </c>
      <c r="D3990" s="79">
        <v>901.34</v>
      </c>
    </row>
    <row r="3991" spans="1:4" x14ac:dyDescent="0.3">
      <c r="A3991" s="88" t="s">
        <v>30</v>
      </c>
      <c r="B3991" s="88"/>
      <c r="C3991" s="16">
        <v>46285</v>
      </c>
      <c r="D3991" s="79">
        <v>1380.08</v>
      </c>
    </row>
    <row r="3992" spans="1:4" x14ac:dyDescent="0.3">
      <c r="A3992" s="88" t="s">
        <v>31</v>
      </c>
      <c r="B3992" s="88"/>
      <c r="C3992" s="16">
        <v>46285</v>
      </c>
      <c r="D3992" s="79">
        <v>30277.379999999961</v>
      </c>
    </row>
    <row r="3993" spans="1:4" x14ac:dyDescent="0.3">
      <c r="A3993" s="88" t="s">
        <v>32</v>
      </c>
      <c r="B3993" s="88"/>
      <c r="C3993" s="16">
        <v>46285</v>
      </c>
      <c r="D3993" s="79">
        <v>16282.630000000006</v>
      </c>
    </row>
    <row r="3994" spans="1:4" x14ac:dyDescent="0.3">
      <c r="A3994" s="88" t="s">
        <v>33</v>
      </c>
      <c r="B3994" s="88"/>
      <c r="C3994" s="16">
        <v>46285</v>
      </c>
      <c r="D3994" s="79">
        <v>13685.999999999996</v>
      </c>
    </row>
    <row r="3995" spans="1:4" x14ac:dyDescent="0.3">
      <c r="A3995" s="88" t="s">
        <v>34</v>
      </c>
      <c r="B3995" s="88"/>
      <c r="C3995" s="16">
        <v>46285</v>
      </c>
      <c r="D3995" s="79">
        <v>345</v>
      </c>
    </row>
    <row r="3996" spans="1:4" x14ac:dyDescent="0.3">
      <c r="A3996" s="88" t="s">
        <v>35</v>
      </c>
      <c r="B3996" s="88"/>
      <c r="C3996" s="16">
        <v>46285</v>
      </c>
      <c r="D3996" s="79">
        <v>16120.660000000002</v>
      </c>
    </row>
    <row r="3997" spans="1:4" x14ac:dyDescent="0.3">
      <c r="A3997" s="88" t="s">
        <v>193</v>
      </c>
      <c r="B3997" s="88"/>
      <c r="C3997" s="16">
        <v>46285</v>
      </c>
      <c r="D3997" s="79">
        <v>312415.12000000005</v>
      </c>
    </row>
    <row r="3998" spans="1:4" x14ac:dyDescent="0.3">
      <c r="A3998" s="88" t="s">
        <v>214</v>
      </c>
      <c r="B3998" s="88"/>
      <c r="C3998" s="16">
        <v>46285</v>
      </c>
      <c r="D3998" s="79">
        <v>103560.93000000001</v>
      </c>
    </row>
    <row r="3999" spans="1:4" x14ac:dyDescent="0.3">
      <c r="A3999" s="88" t="s">
        <v>194</v>
      </c>
      <c r="B3999" s="88"/>
      <c r="C3999" s="16">
        <v>46285</v>
      </c>
      <c r="D3999" s="79">
        <v>3631.96</v>
      </c>
    </row>
    <row r="4000" spans="1:4" x14ac:dyDescent="0.3">
      <c r="A4000" s="88" t="s">
        <v>195</v>
      </c>
      <c r="B4000" s="88"/>
      <c r="C4000" s="16">
        <v>46285</v>
      </c>
      <c r="D4000" s="79">
        <v>604.80000000000018</v>
      </c>
    </row>
    <row r="4001" spans="1:4" x14ac:dyDescent="0.3">
      <c r="A4001" s="88" t="s">
        <v>196</v>
      </c>
      <c r="B4001" s="88"/>
      <c r="C4001" s="16">
        <v>46285</v>
      </c>
      <c r="D4001" s="79">
        <v>26755.729999999981</v>
      </c>
    </row>
    <row r="4002" spans="1:4" x14ac:dyDescent="0.3">
      <c r="A4002" s="88" t="s">
        <v>197</v>
      </c>
      <c r="B4002" s="88"/>
      <c r="C4002" s="16">
        <v>46285</v>
      </c>
      <c r="D4002" s="79">
        <v>794.01</v>
      </c>
    </row>
    <row r="4003" spans="1:4" x14ac:dyDescent="0.3">
      <c r="A4003" s="88" t="s">
        <v>212</v>
      </c>
      <c r="B4003" s="88"/>
      <c r="C4003" s="16">
        <v>46285</v>
      </c>
      <c r="D4003" s="79">
        <v>5445.57</v>
      </c>
    </row>
    <row r="4004" spans="1:4" x14ac:dyDescent="0.3">
      <c r="A4004" s="88" t="s">
        <v>199</v>
      </c>
      <c r="B4004" s="88"/>
      <c r="C4004" s="16">
        <v>46285</v>
      </c>
      <c r="D4004" s="79">
        <v>240357.59999999998</v>
      </c>
    </row>
    <row r="4005" spans="1:4" x14ac:dyDescent="0.3">
      <c r="A4005" s="88" t="s">
        <v>217</v>
      </c>
      <c r="B4005" s="88"/>
      <c r="C4005" s="16">
        <v>46285</v>
      </c>
      <c r="D4005" s="79">
        <v>327985.82999999996</v>
      </c>
    </row>
    <row r="4006" spans="1:4" x14ac:dyDescent="0.3">
      <c r="A4006" s="88" t="s">
        <v>17</v>
      </c>
      <c r="B4006" s="88"/>
      <c r="C4006" s="16">
        <v>46286</v>
      </c>
      <c r="D4006" s="79">
        <v>2322320.2500000005</v>
      </c>
    </row>
    <row r="4007" spans="1:4" x14ac:dyDescent="0.3">
      <c r="A4007" s="88" t="s">
        <v>18</v>
      </c>
      <c r="B4007" s="88"/>
      <c r="C4007" s="16">
        <v>46286</v>
      </c>
      <c r="D4007" s="79">
        <v>100486.46000000017</v>
      </c>
    </row>
    <row r="4008" spans="1:4" x14ac:dyDescent="0.3">
      <c r="A4008" s="88" t="s">
        <v>19</v>
      </c>
      <c r="B4008" s="88"/>
      <c r="C4008" s="16">
        <v>46286</v>
      </c>
      <c r="D4008" s="79">
        <v>1669.89</v>
      </c>
    </row>
    <row r="4009" spans="1:4" x14ac:dyDescent="0.3">
      <c r="A4009" s="88" t="s">
        <v>20</v>
      </c>
      <c r="B4009" s="88"/>
      <c r="C4009" s="16">
        <v>46286</v>
      </c>
      <c r="D4009" s="79">
        <v>1453603.3599999999</v>
      </c>
    </row>
    <row r="4010" spans="1:4" x14ac:dyDescent="0.3">
      <c r="A4010" s="88" t="s">
        <v>21</v>
      </c>
      <c r="B4010" s="88"/>
      <c r="C4010" s="16">
        <v>46286</v>
      </c>
      <c r="D4010" s="79">
        <v>1066496.7899999996</v>
      </c>
    </row>
    <row r="4011" spans="1:4" x14ac:dyDescent="0.3">
      <c r="A4011" s="88" t="s">
        <v>22</v>
      </c>
      <c r="B4011" s="88"/>
      <c r="C4011" s="16">
        <v>46286</v>
      </c>
      <c r="D4011" s="79">
        <v>229778.14</v>
      </c>
    </row>
    <row r="4012" spans="1:4" x14ac:dyDescent="0.3">
      <c r="A4012" s="88" t="s">
        <v>23</v>
      </c>
      <c r="B4012" s="88"/>
      <c r="C4012" s="16">
        <v>46286</v>
      </c>
      <c r="D4012" s="79">
        <v>217688.58</v>
      </c>
    </row>
    <row r="4013" spans="1:4" x14ac:dyDescent="0.3">
      <c r="A4013" s="88" t="s">
        <v>24</v>
      </c>
      <c r="B4013" s="88"/>
      <c r="C4013" s="16">
        <v>46286</v>
      </c>
      <c r="D4013" s="79">
        <v>11744.75</v>
      </c>
    </row>
    <row r="4014" spans="1:4" x14ac:dyDescent="0.3">
      <c r="A4014" s="88" t="s">
        <v>25</v>
      </c>
      <c r="B4014" s="88"/>
      <c r="C4014" s="16">
        <v>46286</v>
      </c>
      <c r="D4014" s="79">
        <v>94.5</v>
      </c>
    </row>
    <row r="4015" spans="1:4" x14ac:dyDescent="0.3">
      <c r="A4015" s="88" t="s">
        <v>26</v>
      </c>
      <c r="B4015" s="88"/>
      <c r="C4015" s="16">
        <v>46286</v>
      </c>
      <c r="D4015" s="79">
        <v>2147.92</v>
      </c>
    </row>
    <row r="4016" spans="1:4" x14ac:dyDescent="0.3">
      <c r="A4016" s="88" t="s">
        <v>27</v>
      </c>
      <c r="B4016" s="88"/>
      <c r="C4016" s="16">
        <v>46286</v>
      </c>
      <c r="D4016" s="79">
        <v>17895.290000000015</v>
      </c>
    </row>
    <row r="4017" spans="1:4" x14ac:dyDescent="0.3">
      <c r="A4017" s="88" t="s">
        <v>28</v>
      </c>
      <c r="B4017" s="88"/>
      <c r="C4017" s="16">
        <v>46286</v>
      </c>
      <c r="D4017" s="79">
        <v>1968.99</v>
      </c>
    </row>
    <row r="4018" spans="1:4" x14ac:dyDescent="0.3">
      <c r="A4018" s="88" t="s">
        <v>29</v>
      </c>
      <c r="B4018" s="88"/>
      <c r="C4018" s="16">
        <v>46286</v>
      </c>
      <c r="D4018" s="79">
        <v>901.34</v>
      </c>
    </row>
    <row r="4019" spans="1:4" x14ac:dyDescent="0.3">
      <c r="A4019" s="88" t="s">
        <v>30</v>
      </c>
      <c r="B4019" s="88"/>
      <c r="C4019" s="16">
        <v>46286</v>
      </c>
      <c r="D4019" s="79">
        <v>1380.08</v>
      </c>
    </row>
    <row r="4020" spans="1:4" x14ac:dyDescent="0.3">
      <c r="A4020" s="88" t="s">
        <v>31</v>
      </c>
      <c r="B4020" s="88"/>
      <c r="C4020" s="16">
        <v>46286</v>
      </c>
      <c r="D4020" s="79">
        <v>30277.379999999961</v>
      </c>
    </row>
    <row r="4021" spans="1:4" x14ac:dyDescent="0.3">
      <c r="A4021" s="88" t="s">
        <v>32</v>
      </c>
      <c r="B4021" s="88"/>
      <c r="C4021" s="16">
        <v>46286</v>
      </c>
      <c r="D4021" s="79">
        <v>16282.630000000006</v>
      </c>
    </row>
    <row r="4022" spans="1:4" x14ac:dyDescent="0.3">
      <c r="A4022" s="88" t="s">
        <v>33</v>
      </c>
      <c r="B4022" s="88"/>
      <c r="C4022" s="16">
        <v>46286</v>
      </c>
      <c r="D4022" s="79">
        <v>13685.999999999996</v>
      </c>
    </row>
    <row r="4023" spans="1:4" x14ac:dyDescent="0.3">
      <c r="A4023" s="88" t="s">
        <v>34</v>
      </c>
      <c r="B4023" s="88"/>
      <c r="C4023" s="16">
        <v>46286</v>
      </c>
      <c r="D4023" s="79">
        <v>345</v>
      </c>
    </row>
    <row r="4024" spans="1:4" x14ac:dyDescent="0.3">
      <c r="A4024" s="88" t="s">
        <v>35</v>
      </c>
      <c r="B4024" s="88"/>
      <c r="C4024" s="16">
        <v>46286</v>
      </c>
      <c r="D4024" s="79">
        <v>15349.190000000002</v>
      </c>
    </row>
    <row r="4025" spans="1:4" x14ac:dyDescent="0.3">
      <c r="A4025" s="88" t="s">
        <v>193</v>
      </c>
      <c r="B4025" s="88"/>
      <c r="C4025" s="16">
        <v>46286</v>
      </c>
      <c r="D4025" s="79">
        <v>312415.12000000005</v>
      </c>
    </row>
    <row r="4026" spans="1:4" x14ac:dyDescent="0.3">
      <c r="A4026" s="88" t="s">
        <v>214</v>
      </c>
      <c r="B4026" s="88"/>
      <c r="C4026" s="16">
        <v>46286</v>
      </c>
      <c r="D4026" s="79">
        <v>103560.93000000001</v>
      </c>
    </row>
    <row r="4027" spans="1:4" x14ac:dyDescent="0.3">
      <c r="A4027" s="88" t="s">
        <v>194</v>
      </c>
      <c r="B4027" s="88"/>
      <c r="C4027" s="16">
        <v>46286</v>
      </c>
      <c r="D4027" s="79">
        <v>3631.96</v>
      </c>
    </row>
    <row r="4028" spans="1:4" x14ac:dyDescent="0.3">
      <c r="A4028" s="88" t="s">
        <v>195</v>
      </c>
      <c r="B4028" s="88"/>
      <c r="C4028" s="16">
        <v>46286</v>
      </c>
      <c r="D4028" s="79">
        <v>604.80000000000018</v>
      </c>
    </row>
    <row r="4029" spans="1:4" x14ac:dyDescent="0.3">
      <c r="A4029" s="88" t="s">
        <v>196</v>
      </c>
      <c r="B4029" s="88"/>
      <c r="C4029" s="16">
        <v>46286</v>
      </c>
      <c r="D4029" s="79">
        <v>25507.15999999996</v>
      </c>
    </row>
    <row r="4030" spans="1:4" x14ac:dyDescent="0.3">
      <c r="A4030" s="88" t="s">
        <v>197</v>
      </c>
      <c r="B4030" s="88"/>
      <c r="C4030" s="16">
        <v>46286</v>
      </c>
      <c r="D4030" s="79">
        <v>794.01</v>
      </c>
    </row>
    <row r="4031" spans="1:4" x14ac:dyDescent="0.3">
      <c r="A4031" s="88" t="s">
        <v>212</v>
      </c>
      <c r="B4031" s="88"/>
      <c r="C4031" s="16">
        <v>46286</v>
      </c>
      <c r="D4031" s="79">
        <v>5445.57</v>
      </c>
    </row>
    <row r="4032" spans="1:4" x14ac:dyDescent="0.3">
      <c r="A4032" s="88" t="s">
        <v>199</v>
      </c>
      <c r="B4032" s="88"/>
      <c r="C4032" s="16">
        <v>46286</v>
      </c>
      <c r="D4032" s="79">
        <v>239951.86</v>
      </c>
    </row>
    <row r="4033" spans="1:4" x14ac:dyDescent="0.3">
      <c r="A4033" s="88" t="s">
        <v>217</v>
      </c>
      <c r="B4033" s="88"/>
      <c r="C4033" s="16">
        <v>46286</v>
      </c>
      <c r="D4033" s="79">
        <v>327985.82999999996</v>
      </c>
    </row>
    <row r="4034" spans="1:4" x14ac:dyDescent="0.3">
      <c r="A4034" s="88" t="s">
        <v>17</v>
      </c>
      <c r="B4034" s="88"/>
      <c r="C4034" s="16">
        <v>46287</v>
      </c>
      <c r="D4034" s="79">
        <v>2322320.2500000005</v>
      </c>
    </row>
    <row r="4035" spans="1:4" x14ac:dyDescent="0.3">
      <c r="A4035" s="88" t="s">
        <v>18</v>
      </c>
      <c r="B4035" s="88"/>
      <c r="C4035" s="16">
        <v>46287</v>
      </c>
      <c r="D4035" s="79">
        <v>100486.46000000017</v>
      </c>
    </row>
    <row r="4036" spans="1:4" x14ac:dyDescent="0.3">
      <c r="A4036" s="88" t="s">
        <v>19</v>
      </c>
      <c r="B4036" s="88"/>
      <c r="C4036" s="16">
        <v>46287</v>
      </c>
      <c r="D4036" s="79">
        <v>1669.89</v>
      </c>
    </row>
    <row r="4037" spans="1:4" x14ac:dyDescent="0.3">
      <c r="A4037" s="88" t="s">
        <v>20</v>
      </c>
      <c r="B4037" s="88"/>
      <c r="C4037" s="16">
        <v>46287</v>
      </c>
      <c r="D4037" s="79">
        <v>1453603.3599999999</v>
      </c>
    </row>
    <row r="4038" spans="1:4" x14ac:dyDescent="0.3">
      <c r="A4038" s="88" t="s">
        <v>21</v>
      </c>
      <c r="B4038" s="88"/>
      <c r="C4038" s="16">
        <v>46287</v>
      </c>
      <c r="D4038" s="79">
        <v>1065733.7999999996</v>
      </c>
    </row>
    <row r="4039" spans="1:4" x14ac:dyDescent="0.3">
      <c r="A4039" s="88" t="s">
        <v>22</v>
      </c>
      <c r="B4039" s="88"/>
      <c r="C4039" s="16">
        <v>46287</v>
      </c>
      <c r="D4039" s="79">
        <v>229778.14</v>
      </c>
    </row>
    <row r="4040" spans="1:4" x14ac:dyDescent="0.3">
      <c r="A4040" s="88" t="s">
        <v>23</v>
      </c>
      <c r="B4040" s="88"/>
      <c r="C4040" s="16">
        <v>46287</v>
      </c>
      <c r="D4040" s="79">
        <v>217688.58</v>
      </c>
    </row>
    <row r="4041" spans="1:4" x14ac:dyDescent="0.3">
      <c r="A4041" s="88" t="s">
        <v>24</v>
      </c>
      <c r="B4041" s="88"/>
      <c r="C4041" s="16">
        <v>46287</v>
      </c>
      <c r="D4041" s="79">
        <v>11744.75</v>
      </c>
    </row>
    <row r="4042" spans="1:4" x14ac:dyDescent="0.3">
      <c r="A4042" s="88" t="s">
        <v>25</v>
      </c>
      <c r="B4042" s="88"/>
      <c r="C4042" s="16">
        <v>46287</v>
      </c>
      <c r="D4042" s="79">
        <v>94.5</v>
      </c>
    </row>
    <row r="4043" spans="1:4" x14ac:dyDescent="0.3">
      <c r="A4043" s="88" t="s">
        <v>26</v>
      </c>
      <c r="B4043" s="88"/>
      <c r="C4043" s="16">
        <v>46287</v>
      </c>
      <c r="D4043" s="79">
        <v>2147.92</v>
      </c>
    </row>
    <row r="4044" spans="1:4" x14ac:dyDescent="0.3">
      <c r="A4044" s="88" t="s">
        <v>27</v>
      </c>
      <c r="B4044" s="88"/>
      <c r="C4044" s="16">
        <v>46287</v>
      </c>
      <c r="D4044" s="79">
        <v>17895.290000000015</v>
      </c>
    </row>
    <row r="4045" spans="1:4" x14ac:dyDescent="0.3">
      <c r="A4045" s="88" t="s">
        <v>28</v>
      </c>
      <c r="B4045" s="88"/>
      <c r="C4045" s="16">
        <v>46287</v>
      </c>
      <c r="D4045" s="79">
        <v>1968.99</v>
      </c>
    </row>
    <row r="4046" spans="1:4" x14ac:dyDescent="0.3">
      <c r="A4046" s="88" t="s">
        <v>29</v>
      </c>
      <c r="B4046" s="88"/>
      <c r="C4046" s="16">
        <v>46287</v>
      </c>
      <c r="D4046" s="79">
        <v>901.34</v>
      </c>
    </row>
    <row r="4047" spans="1:4" x14ac:dyDescent="0.3">
      <c r="A4047" s="88" t="s">
        <v>30</v>
      </c>
      <c r="B4047" s="88"/>
      <c r="C4047" s="16">
        <v>46287</v>
      </c>
      <c r="D4047" s="79">
        <v>1380.08</v>
      </c>
    </row>
    <row r="4048" spans="1:4" x14ac:dyDescent="0.3">
      <c r="A4048" s="88" t="s">
        <v>31</v>
      </c>
      <c r="B4048" s="88"/>
      <c r="C4048" s="16">
        <v>46287</v>
      </c>
      <c r="D4048" s="79">
        <v>28714.879999999961</v>
      </c>
    </row>
    <row r="4049" spans="1:4" x14ac:dyDescent="0.3">
      <c r="A4049" s="88" t="s">
        <v>32</v>
      </c>
      <c r="B4049" s="88"/>
      <c r="C4049" s="16">
        <v>46287</v>
      </c>
      <c r="D4049" s="79">
        <v>15162.600000000006</v>
      </c>
    </row>
    <row r="4050" spans="1:4" x14ac:dyDescent="0.3">
      <c r="A4050" s="88" t="s">
        <v>33</v>
      </c>
      <c r="B4050" s="88"/>
      <c r="C4050" s="16">
        <v>46287</v>
      </c>
      <c r="D4050" s="79">
        <v>12937.859999999997</v>
      </c>
    </row>
    <row r="4051" spans="1:4" x14ac:dyDescent="0.3">
      <c r="A4051" s="88" t="s">
        <v>34</v>
      </c>
      <c r="B4051" s="88"/>
      <c r="C4051" s="16">
        <v>46287</v>
      </c>
      <c r="D4051" s="79">
        <v>345</v>
      </c>
    </row>
    <row r="4052" spans="1:4" x14ac:dyDescent="0.3">
      <c r="A4052" s="88" t="s">
        <v>35</v>
      </c>
      <c r="B4052" s="88"/>
      <c r="C4052" s="16">
        <v>46287</v>
      </c>
      <c r="D4052" s="79">
        <v>15349.190000000002</v>
      </c>
    </row>
    <row r="4053" spans="1:4" x14ac:dyDescent="0.3">
      <c r="A4053" s="88" t="s">
        <v>193</v>
      </c>
      <c r="B4053" s="88"/>
      <c r="C4053" s="16">
        <v>46287</v>
      </c>
      <c r="D4053" s="79">
        <v>312415.12000000005</v>
      </c>
    </row>
    <row r="4054" spans="1:4" x14ac:dyDescent="0.3">
      <c r="A4054" s="88" t="s">
        <v>214</v>
      </c>
      <c r="B4054" s="88"/>
      <c r="C4054" s="16">
        <v>46287</v>
      </c>
      <c r="D4054" s="79">
        <v>103560.93000000001</v>
      </c>
    </row>
    <row r="4055" spans="1:4" x14ac:dyDescent="0.3">
      <c r="A4055" s="88" t="s">
        <v>194</v>
      </c>
      <c r="B4055" s="88"/>
      <c r="C4055" s="16">
        <v>46287</v>
      </c>
      <c r="D4055" s="79">
        <v>3631.96</v>
      </c>
    </row>
    <row r="4056" spans="1:4" x14ac:dyDescent="0.3">
      <c r="A4056" s="88" t="s">
        <v>195</v>
      </c>
      <c r="B4056" s="88"/>
      <c r="C4056" s="16">
        <v>46287</v>
      </c>
      <c r="D4056" s="79">
        <v>604.80000000000018</v>
      </c>
    </row>
    <row r="4057" spans="1:4" x14ac:dyDescent="0.3">
      <c r="A4057" s="88" t="s">
        <v>196</v>
      </c>
      <c r="B4057" s="88"/>
      <c r="C4057" s="16">
        <v>46287</v>
      </c>
      <c r="D4057" s="79">
        <v>24944.219999999972</v>
      </c>
    </row>
    <row r="4058" spans="1:4" x14ac:dyDescent="0.3">
      <c r="A4058" s="88" t="s">
        <v>197</v>
      </c>
      <c r="B4058" s="88"/>
      <c r="C4058" s="16">
        <v>46287</v>
      </c>
      <c r="D4058" s="79">
        <v>794.01</v>
      </c>
    </row>
    <row r="4059" spans="1:4" x14ac:dyDescent="0.3">
      <c r="A4059" s="88" t="s">
        <v>212</v>
      </c>
      <c r="B4059" s="88"/>
      <c r="C4059" s="16">
        <v>46287</v>
      </c>
      <c r="D4059" s="79">
        <v>5445.57</v>
      </c>
    </row>
    <row r="4060" spans="1:4" x14ac:dyDescent="0.3">
      <c r="A4060" s="88" t="s">
        <v>199</v>
      </c>
      <c r="B4060" s="88"/>
      <c r="C4060" s="16">
        <v>46287</v>
      </c>
      <c r="D4060" s="79">
        <v>234194.18999999997</v>
      </c>
    </row>
    <row r="4061" spans="1:4" x14ac:dyDescent="0.3">
      <c r="A4061" s="88" t="s">
        <v>217</v>
      </c>
      <c r="B4061" s="88"/>
      <c r="C4061" s="16">
        <v>46287</v>
      </c>
      <c r="D4061" s="79">
        <v>327985.82999999996</v>
      </c>
    </row>
    <row r="4062" spans="1:4" x14ac:dyDescent="0.3">
      <c r="A4062" s="88" t="s">
        <v>17</v>
      </c>
      <c r="B4062" s="88"/>
      <c r="C4062" s="16">
        <v>46288</v>
      </c>
      <c r="D4062" s="79">
        <v>2322320.2500000005</v>
      </c>
    </row>
    <row r="4063" spans="1:4" x14ac:dyDescent="0.3">
      <c r="A4063" s="88" t="s">
        <v>18</v>
      </c>
      <c r="B4063" s="88"/>
      <c r="C4063" s="16">
        <v>46288</v>
      </c>
      <c r="D4063" s="79">
        <v>100486.46000000017</v>
      </c>
    </row>
    <row r="4064" spans="1:4" x14ac:dyDescent="0.3">
      <c r="A4064" s="88" t="s">
        <v>19</v>
      </c>
      <c r="B4064" s="88"/>
      <c r="C4064" s="16">
        <v>46288</v>
      </c>
      <c r="D4064" s="79">
        <v>1669.89</v>
      </c>
    </row>
    <row r="4065" spans="1:4" x14ac:dyDescent="0.3">
      <c r="A4065" s="88" t="s">
        <v>20</v>
      </c>
      <c r="B4065" s="88"/>
      <c r="C4065" s="16">
        <v>46288</v>
      </c>
      <c r="D4065" s="79">
        <v>1453603.3599999999</v>
      </c>
    </row>
    <row r="4066" spans="1:4" x14ac:dyDescent="0.3">
      <c r="A4066" s="88" t="s">
        <v>21</v>
      </c>
      <c r="B4066" s="88"/>
      <c r="C4066" s="16">
        <v>46288</v>
      </c>
      <c r="D4066" s="79">
        <v>1065733.7999999996</v>
      </c>
    </row>
    <row r="4067" spans="1:4" x14ac:dyDescent="0.3">
      <c r="A4067" s="88" t="s">
        <v>22</v>
      </c>
      <c r="B4067" s="88"/>
      <c r="C4067" s="16">
        <v>46288</v>
      </c>
      <c r="D4067" s="79">
        <v>229778.14</v>
      </c>
    </row>
    <row r="4068" spans="1:4" x14ac:dyDescent="0.3">
      <c r="A4068" s="88" t="s">
        <v>23</v>
      </c>
      <c r="B4068" s="88"/>
      <c r="C4068" s="16">
        <v>46288</v>
      </c>
      <c r="D4068" s="79">
        <v>217688.58</v>
      </c>
    </row>
    <row r="4069" spans="1:4" x14ac:dyDescent="0.3">
      <c r="A4069" s="88" t="s">
        <v>24</v>
      </c>
      <c r="B4069" s="88"/>
      <c r="C4069" s="16">
        <v>46288</v>
      </c>
      <c r="D4069" s="79">
        <v>11744.75</v>
      </c>
    </row>
    <row r="4070" spans="1:4" x14ac:dyDescent="0.3">
      <c r="A4070" s="88" t="s">
        <v>25</v>
      </c>
      <c r="B4070" s="88"/>
      <c r="C4070" s="16">
        <v>46288</v>
      </c>
      <c r="D4070" s="79">
        <v>94.5</v>
      </c>
    </row>
    <row r="4071" spans="1:4" x14ac:dyDescent="0.3">
      <c r="A4071" s="88" t="s">
        <v>26</v>
      </c>
      <c r="B4071" s="88"/>
      <c r="C4071" s="16">
        <v>46288</v>
      </c>
      <c r="D4071" s="79">
        <v>2147.92</v>
      </c>
    </row>
    <row r="4072" spans="1:4" x14ac:dyDescent="0.3">
      <c r="A4072" s="88" t="s">
        <v>27</v>
      </c>
      <c r="B4072" s="88"/>
      <c r="C4072" s="16">
        <v>46288</v>
      </c>
      <c r="D4072" s="79">
        <v>17895.290000000015</v>
      </c>
    </row>
    <row r="4073" spans="1:4" x14ac:dyDescent="0.3">
      <c r="A4073" s="88" t="s">
        <v>28</v>
      </c>
      <c r="B4073" s="88"/>
      <c r="C4073" s="16">
        <v>46288</v>
      </c>
      <c r="D4073" s="79">
        <v>1968.99</v>
      </c>
    </row>
    <row r="4074" spans="1:4" x14ac:dyDescent="0.3">
      <c r="A4074" s="88" t="s">
        <v>29</v>
      </c>
      <c r="B4074" s="88"/>
      <c r="C4074" s="16">
        <v>46288</v>
      </c>
      <c r="D4074" s="79">
        <v>901.34</v>
      </c>
    </row>
    <row r="4075" spans="1:4" x14ac:dyDescent="0.3">
      <c r="A4075" s="88" t="s">
        <v>30</v>
      </c>
      <c r="B4075" s="88"/>
      <c r="C4075" s="16">
        <v>46288</v>
      </c>
      <c r="D4075" s="79">
        <v>1380.08</v>
      </c>
    </row>
    <row r="4076" spans="1:4" x14ac:dyDescent="0.3">
      <c r="A4076" s="88" t="s">
        <v>31</v>
      </c>
      <c r="B4076" s="88"/>
      <c r="C4076" s="16">
        <v>46288</v>
      </c>
      <c r="D4076" s="79">
        <v>28714.879999999961</v>
      </c>
    </row>
    <row r="4077" spans="1:4" x14ac:dyDescent="0.3">
      <c r="A4077" s="88" t="s">
        <v>32</v>
      </c>
      <c r="B4077" s="88"/>
      <c r="C4077" s="16">
        <v>46288</v>
      </c>
      <c r="D4077" s="79">
        <v>15162.600000000006</v>
      </c>
    </row>
    <row r="4078" spans="1:4" x14ac:dyDescent="0.3">
      <c r="A4078" s="88" t="s">
        <v>33</v>
      </c>
      <c r="B4078" s="88"/>
      <c r="C4078" s="16">
        <v>46288</v>
      </c>
      <c r="D4078" s="79">
        <v>12937.859999999997</v>
      </c>
    </row>
    <row r="4079" spans="1:4" x14ac:dyDescent="0.3">
      <c r="A4079" s="88" t="s">
        <v>34</v>
      </c>
      <c r="B4079" s="88"/>
      <c r="C4079" s="16">
        <v>46288</v>
      </c>
      <c r="D4079" s="79">
        <v>345</v>
      </c>
    </row>
    <row r="4080" spans="1:4" x14ac:dyDescent="0.3">
      <c r="A4080" s="88" t="s">
        <v>35</v>
      </c>
      <c r="B4080" s="88"/>
      <c r="C4080" s="16">
        <v>46288</v>
      </c>
      <c r="D4080" s="79">
        <v>15349.190000000002</v>
      </c>
    </row>
    <row r="4081" spans="1:4" x14ac:dyDescent="0.3">
      <c r="A4081" s="88" t="s">
        <v>193</v>
      </c>
      <c r="B4081" s="88"/>
      <c r="C4081" s="16">
        <v>46288</v>
      </c>
      <c r="D4081" s="79">
        <v>312415.12000000005</v>
      </c>
    </row>
    <row r="4082" spans="1:4" x14ac:dyDescent="0.3">
      <c r="A4082" s="88" t="s">
        <v>214</v>
      </c>
      <c r="B4082" s="88"/>
      <c r="C4082" s="16">
        <v>46288</v>
      </c>
      <c r="D4082" s="79">
        <v>103560.93000000001</v>
      </c>
    </row>
    <row r="4083" spans="1:4" x14ac:dyDescent="0.3">
      <c r="A4083" s="88" t="s">
        <v>194</v>
      </c>
      <c r="B4083" s="88"/>
      <c r="C4083" s="16">
        <v>46288</v>
      </c>
      <c r="D4083" s="79">
        <v>3631.96</v>
      </c>
    </row>
    <row r="4084" spans="1:4" x14ac:dyDescent="0.3">
      <c r="A4084" s="88" t="s">
        <v>195</v>
      </c>
      <c r="B4084" s="88"/>
      <c r="C4084" s="16">
        <v>46288</v>
      </c>
      <c r="D4084" s="79">
        <v>604.80000000000018</v>
      </c>
    </row>
    <row r="4085" spans="1:4" x14ac:dyDescent="0.3">
      <c r="A4085" s="88" t="s">
        <v>196</v>
      </c>
      <c r="B4085" s="88"/>
      <c r="C4085" s="16">
        <v>46288</v>
      </c>
      <c r="D4085" s="79">
        <v>24944.219999999972</v>
      </c>
    </row>
    <row r="4086" spans="1:4" x14ac:dyDescent="0.3">
      <c r="A4086" s="88" t="s">
        <v>197</v>
      </c>
      <c r="B4086" s="88"/>
      <c r="C4086" s="16">
        <v>46288</v>
      </c>
      <c r="D4086" s="79">
        <v>794.01</v>
      </c>
    </row>
    <row r="4087" spans="1:4" x14ac:dyDescent="0.3">
      <c r="A4087" s="88" t="s">
        <v>212</v>
      </c>
      <c r="B4087" s="88"/>
      <c r="C4087" s="16">
        <v>46288</v>
      </c>
      <c r="D4087" s="79">
        <v>5445.57</v>
      </c>
    </row>
    <row r="4088" spans="1:4" x14ac:dyDescent="0.3">
      <c r="A4088" s="88" t="s">
        <v>199</v>
      </c>
      <c r="B4088" s="88"/>
      <c r="C4088" s="16">
        <v>46288</v>
      </c>
      <c r="D4088" s="79">
        <v>236094.18999999997</v>
      </c>
    </row>
    <row r="4089" spans="1:4" x14ac:dyDescent="0.3">
      <c r="A4089" s="88" t="s">
        <v>217</v>
      </c>
      <c r="B4089" s="88"/>
      <c r="C4089" s="16">
        <v>46288</v>
      </c>
      <c r="D4089" s="79">
        <v>327985.82999999996</v>
      </c>
    </row>
    <row r="4090" spans="1:4" x14ac:dyDescent="0.3">
      <c r="A4090" s="88" t="s">
        <v>17</v>
      </c>
      <c r="B4090" s="88"/>
      <c r="C4090" s="16">
        <v>46289</v>
      </c>
      <c r="D4090" s="79">
        <v>2322320.2500000005</v>
      </c>
    </row>
    <row r="4091" spans="1:4" x14ac:dyDescent="0.3">
      <c r="A4091" s="88" t="s">
        <v>18</v>
      </c>
      <c r="B4091" s="88"/>
      <c r="C4091" s="16">
        <v>46289</v>
      </c>
      <c r="D4091" s="79">
        <v>100486.46000000017</v>
      </c>
    </row>
    <row r="4092" spans="1:4" x14ac:dyDescent="0.3">
      <c r="A4092" s="88" t="s">
        <v>19</v>
      </c>
      <c r="B4092" s="88"/>
      <c r="C4092" s="16">
        <v>46289</v>
      </c>
      <c r="D4092" s="79">
        <v>1669.89</v>
      </c>
    </row>
    <row r="4093" spans="1:4" x14ac:dyDescent="0.3">
      <c r="A4093" s="88" t="s">
        <v>20</v>
      </c>
      <c r="B4093" s="88"/>
      <c r="C4093" s="16">
        <v>46289</v>
      </c>
      <c r="D4093" s="79">
        <v>1453603.3599999999</v>
      </c>
    </row>
    <row r="4094" spans="1:4" x14ac:dyDescent="0.3">
      <c r="A4094" s="88" t="s">
        <v>21</v>
      </c>
      <c r="B4094" s="88"/>
      <c r="C4094" s="16">
        <v>46289</v>
      </c>
      <c r="D4094" s="79">
        <v>1065733.7999999996</v>
      </c>
    </row>
    <row r="4095" spans="1:4" x14ac:dyDescent="0.3">
      <c r="A4095" s="88" t="s">
        <v>22</v>
      </c>
      <c r="B4095" s="88"/>
      <c r="C4095" s="16">
        <v>46289</v>
      </c>
      <c r="D4095" s="79">
        <v>229778.14</v>
      </c>
    </row>
    <row r="4096" spans="1:4" x14ac:dyDescent="0.3">
      <c r="A4096" s="88" t="s">
        <v>23</v>
      </c>
      <c r="B4096" s="88"/>
      <c r="C4096" s="16">
        <v>46289</v>
      </c>
      <c r="D4096" s="79">
        <v>217688.58</v>
      </c>
    </row>
    <row r="4097" spans="1:4" x14ac:dyDescent="0.3">
      <c r="A4097" s="88" t="s">
        <v>24</v>
      </c>
      <c r="B4097" s="88"/>
      <c r="C4097" s="16">
        <v>46289</v>
      </c>
      <c r="D4097" s="79">
        <v>11744.75</v>
      </c>
    </row>
    <row r="4098" spans="1:4" x14ac:dyDescent="0.3">
      <c r="A4098" s="88" t="s">
        <v>25</v>
      </c>
      <c r="B4098" s="88"/>
      <c r="C4098" s="16">
        <v>46289</v>
      </c>
      <c r="D4098" s="79">
        <v>94.5</v>
      </c>
    </row>
    <row r="4099" spans="1:4" x14ac:dyDescent="0.3">
      <c r="A4099" s="88" t="s">
        <v>26</v>
      </c>
      <c r="B4099" s="88"/>
      <c r="C4099" s="16">
        <v>46289</v>
      </c>
      <c r="D4099" s="79">
        <v>2147.92</v>
      </c>
    </row>
    <row r="4100" spans="1:4" x14ac:dyDescent="0.3">
      <c r="A4100" s="88" t="s">
        <v>27</v>
      </c>
      <c r="B4100" s="88"/>
      <c r="C4100" s="16">
        <v>46289</v>
      </c>
      <c r="D4100" s="79">
        <v>17895.290000000015</v>
      </c>
    </row>
    <row r="4101" spans="1:4" x14ac:dyDescent="0.3">
      <c r="A4101" s="88" t="s">
        <v>28</v>
      </c>
      <c r="B4101" s="88"/>
      <c r="C4101" s="16">
        <v>46289</v>
      </c>
      <c r="D4101" s="79">
        <v>1968.99</v>
      </c>
    </row>
    <row r="4102" spans="1:4" x14ac:dyDescent="0.3">
      <c r="A4102" s="88" t="s">
        <v>29</v>
      </c>
      <c r="B4102" s="88"/>
      <c r="C4102" s="16">
        <v>46289</v>
      </c>
      <c r="D4102" s="79">
        <v>901.34</v>
      </c>
    </row>
    <row r="4103" spans="1:4" x14ac:dyDescent="0.3">
      <c r="A4103" s="88" t="s">
        <v>30</v>
      </c>
      <c r="B4103" s="88"/>
      <c r="C4103" s="16">
        <v>46289</v>
      </c>
      <c r="D4103" s="79">
        <v>1380.08</v>
      </c>
    </row>
    <row r="4104" spans="1:4" x14ac:dyDescent="0.3">
      <c r="A4104" s="88" t="s">
        <v>31</v>
      </c>
      <c r="B4104" s="88"/>
      <c r="C4104" s="16">
        <v>46289</v>
      </c>
      <c r="D4104" s="79">
        <v>28714.879999999961</v>
      </c>
    </row>
    <row r="4105" spans="1:4" x14ac:dyDescent="0.3">
      <c r="A4105" s="88" t="s">
        <v>32</v>
      </c>
      <c r="B4105" s="88"/>
      <c r="C4105" s="16">
        <v>46289</v>
      </c>
      <c r="D4105" s="79">
        <v>15162.600000000006</v>
      </c>
    </row>
    <row r="4106" spans="1:4" x14ac:dyDescent="0.3">
      <c r="A4106" s="88" t="s">
        <v>33</v>
      </c>
      <c r="B4106" s="88"/>
      <c r="C4106" s="16">
        <v>46289</v>
      </c>
      <c r="D4106" s="79">
        <v>12937.859999999997</v>
      </c>
    </row>
    <row r="4107" spans="1:4" x14ac:dyDescent="0.3">
      <c r="A4107" s="88" t="s">
        <v>34</v>
      </c>
      <c r="B4107" s="88"/>
      <c r="C4107" s="16">
        <v>46289</v>
      </c>
      <c r="D4107" s="79">
        <v>345</v>
      </c>
    </row>
    <row r="4108" spans="1:4" x14ac:dyDescent="0.3">
      <c r="A4108" s="88" t="s">
        <v>35</v>
      </c>
      <c r="B4108" s="88"/>
      <c r="C4108" s="16">
        <v>46289</v>
      </c>
      <c r="D4108" s="79">
        <v>15349.190000000002</v>
      </c>
    </row>
    <row r="4109" spans="1:4" x14ac:dyDescent="0.3">
      <c r="A4109" s="88" t="s">
        <v>193</v>
      </c>
      <c r="B4109" s="88"/>
      <c r="C4109" s="16">
        <v>46289</v>
      </c>
      <c r="D4109" s="79">
        <v>312415.12000000005</v>
      </c>
    </row>
    <row r="4110" spans="1:4" x14ac:dyDescent="0.3">
      <c r="A4110" s="88" t="s">
        <v>214</v>
      </c>
      <c r="B4110" s="88"/>
      <c r="C4110" s="16">
        <v>46289</v>
      </c>
      <c r="D4110" s="79">
        <v>103560.93000000001</v>
      </c>
    </row>
    <row r="4111" spans="1:4" x14ac:dyDescent="0.3">
      <c r="A4111" s="88" t="s">
        <v>194</v>
      </c>
      <c r="B4111" s="88"/>
      <c r="C4111" s="16">
        <v>46289</v>
      </c>
      <c r="D4111" s="79">
        <v>3631.96</v>
      </c>
    </row>
    <row r="4112" spans="1:4" x14ac:dyDescent="0.3">
      <c r="A4112" s="88" t="s">
        <v>195</v>
      </c>
      <c r="B4112" s="88"/>
      <c r="C4112" s="16">
        <v>46289</v>
      </c>
      <c r="D4112" s="79">
        <v>604.80000000000018</v>
      </c>
    </row>
    <row r="4113" spans="1:4" x14ac:dyDescent="0.3">
      <c r="A4113" s="88" t="s">
        <v>196</v>
      </c>
      <c r="B4113" s="88"/>
      <c r="C4113" s="16">
        <v>46289</v>
      </c>
      <c r="D4113" s="79">
        <v>24430.749999999971</v>
      </c>
    </row>
    <row r="4114" spans="1:4" x14ac:dyDescent="0.3">
      <c r="A4114" s="88" t="s">
        <v>197</v>
      </c>
      <c r="B4114" s="88"/>
      <c r="C4114" s="16">
        <v>46289</v>
      </c>
      <c r="D4114" s="79">
        <v>794.01</v>
      </c>
    </row>
    <row r="4115" spans="1:4" x14ac:dyDescent="0.3">
      <c r="A4115" s="88" t="s">
        <v>212</v>
      </c>
      <c r="B4115" s="88"/>
      <c r="C4115" s="16">
        <v>46289</v>
      </c>
      <c r="D4115" s="79">
        <v>5445.57</v>
      </c>
    </row>
    <row r="4116" spans="1:4" x14ac:dyDescent="0.3">
      <c r="A4116" s="88" t="s">
        <v>199</v>
      </c>
      <c r="B4116" s="88"/>
      <c r="C4116" s="16">
        <v>46289</v>
      </c>
      <c r="D4116" s="79">
        <v>236094.18999999997</v>
      </c>
    </row>
    <row r="4117" spans="1:4" x14ac:dyDescent="0.3">
      <c r="A4117" s="88" t="s">
        <v>217</v>
      </c>
      <c r="B4117" s="88"/>
      <c r="C4117" s="16">
        <v>46289</v>
      </c>
      <c r="D4117" s="79">
        <v>327985.82999999996</v>
      </c>
    </row>
    <row r="4118" spans="1:4" x14ac:dyDescent="0.3">
      <c r="A4118" s="88" t="s">
        <v>17</v>
      </c>
      <c r="B4118" s="88"/>
      <c r="C4118" s="16">
        <v>46290</v>
      </c>
      <c r="D4118" s="79">
        <v>1835826.1700000004</v>
      </c>
    </row>
    <row r="4119" spans="1:4" x14ac:dyDescent="0.3">
      <c r="A4119" s="88" t="s">
        <v>18</v>
      </c>
      <c r="B4119" s="88"/>
      <c r="C4119" s="16">
        <v>46290</v>
      </c>
      <c r="D4119" s="79">
        <v>100486.46000000017</v>
      </c>
    </row>
    <row r="4120" spans="1:4" x14ac:dyDescent="0.3">
      <c r="A4120" s="88" t="s">
        <v>19</v>
      </c>
      <c r="B4120" s="88"/>
      <c r="C4120" s="16">
        <v>46290</v>
      </c>
      <c r="D4120" s="79">
        <v>1669.89</v>
      </c>
    </row>
    <row r="4121" spans="1:4" x14ac:dyDescent="0.3">
      <c r="A4121" s="88" t="s">
        <v>20</v>
      </c>
      <c r="B4121" s="88"/>
      <c r="C4121" s="16">
        <v>46290</v>
      </c>
      <c r="D4121" s="79">
        <v>1313603.3599999999</v>
      </c>
    </row>
    <row r="4122" spans="1:4" x14ac:dyDescent="0.3">
      <c r="A4122" s="88" t="s">
        <v>21</v>
      </c>
      <c r="B4122" s="88"/>
      <c r="C4122" s="16">
        <v>46290</v>
      </c>
      <c r="D4122" s="79">
        <v>1350091.6599999997</v>
      </c>
    </row>
    <row r="4123" spans="1:4" x14ac:dyDescent="0.3">
      <c r="A4123" s="88" t="s">
        <v>22</v>
      </c>
      <c r="B4123" s="88"/>
      <c r="C4123" s="16">
        <v>46290</v>
      </c>
      <c r="D4123" s="79">
        <v>229778.14</v>
      </c>
    </row>
    <row r="4124" spans="1:4" x14ac:dyDescent="0.3">
      <c r="A4124" s="88" t="s">
        <v>23</v>
      </c>
      <c r="B4124" s="88"/>
      <c r="C4124" s="16">
        <v>46290</v>
      </c>
      <c r="D4124" s="79">
        <v>217688.58</v>
      </c>
    </row>
    <row r="4125" spans="1:4" x14ac:dyDescent="0.3">
      <c r="A4125" s="88" t="s">
        <v>24</v>
      </c>
      <c r="B4125" s="88"/>
      <c r="C4125" s="16">
        <v>46290</v>
      </c>
      <c r="D4125" s="79">
        <v>11744.75</v>
      </c>
    </row>
    <row r="4126" spans="1:4" x14ac:dyDescent="0.3">
      <c r="A4126" s="88" t="s">
        <v>25</v>
      </c>
      <c r="B4126" s="88"/>
      <c r="C4126" s="16">
        <v>46290</v>
      </c>
      <c r="D4126" s="79">
        <v>94.5</v>
      </c>
    </row>
    <row r="4127" spans="1:4" x14ac:dyDescent="0.3">
      <c r="A4127" s="88" t="s">
        <v>26</v>
      </c>
      <c r="B4127" s="88"/>
      <c r="C4127" s="16">
        <v>46290</v>
      </c>
      <c r="D4127" s="79">
        <v>2147.92</v>
      </c>
    </row>
    <row r="4128" spans="1:4" x14ac:dyDescent="0.3">
      <c r="A4128" s="88" t="s">
        <v>27</v>
      </c>
      <c r="B4128" s="88"/>
      <c r="C4128" s="16">
        <v>46290</v>
      </c>
      <c r="D4128" s="79">
        <v>17895.290000000015</v>
      </c>
    </row>
    <row r="4129" spans="1:4" x14ac:dyDescent="0.3">
      <c r="A4129" s="88" t="s">
        <v>28</v>
      </c>
      <c r="B4129" s="88"/>
      <c r="C4129" s="16">
        <v>46290</v>
      </c>
      <c r="D4129" s="79">
        <v>1968.99</v>
      </c>
    </row>
    <row r="4130" spans="1:4" x14ac:dyDescent="0.3">
      <c r="A4130" s="88" t="s">
        <v>29</v>
      </c>
      <c r="B4130" s="88"/>
      <c r="C4130" s="16">
        <v>46290</v>
      </c>
      <c r="D4130" s="79">
        <v>901.34</v>
      </c>
    </row>
    <row r="4131" spans="1:4" x14ac:dyDescent="0.3">
      <c r="A4131" s="88" t="s">
        <v>30</v>
      </c>
      <c r="B4131" s="88"/>
      <c r="C4131" s="16">
        <v>46290</v>
      </c>
      <c r="D4131" s="79">
        <v>1380.08</v>
      </c>
    </row>
    <row r="4132" spans="1:4" x14ac:dyDescent="0.3">
      <c r="A4132" s="88" t="s">
        <v>31</v>
      </c>
      <c r="B4132" s="88"/>
      <c r="C4132" s="16">
        <v>46290</v>
      </c>
      <c r="D4132" s="79">
        <v>28714.879999999961</v>
      </c>
    </row>
    <row r="4133" spans="1:4" x14ac:dyDescent="0.3">
      <c r="A4133" s="88" t="s">
        <v>32</v>
      </c>
      <c r="B4133" s="88"/>
      <c r="C4133" s="16">
        <v>46290</v>
      </c>
      <c r="D4133" s="79">
        <v>23389.690000000006</v>
      </c>
    </row>
    <row r="4134" spans="1:4" x14ac:dyDescent="0.3">
      <c r="A4134" s="88" t="s">
        <v>33</v>
      </c>
      <c r="B4134" s="88"/>
      <c r="C4134" s="16">
        <v>46290</v>
      </c>
      <c r="D4134" s="79">
        <v>16896.059999999998</v>
      </c>
    </row>
    <row r="4135" spans="1:4" x14ac:dyDescent="0.3">
      <c r="A4135" s="88" t="s">
        <v>34</v>
      </c>
      <c r="B4135" s="88"/>
      <c r="C4135" s="16">
        <v>46290</v>
      </c>
      <c r="D4135" s="79">
        <v>345</v>
      </c>
    </row>
    <row r="4136" spans="1:4" x14ac:dyDescent="0.3">
      <c r="A4136" s="88" t="s">
        <v>35</v>
      </c>
      <c r="B4136" s="88"/>
      <c r="C4136" s="16">
        <v>46290</v>
      </c>
      <c r="D4136" s="79">
        <v>12209.190000000002</v>
      </c>
    </row>
    <row r="4137" spans="1:4" x14ac:dyDescent="0.3">
      <c r="A4137" s="88" t="s">
        <v>193</v>
      </c>
      <c r="B4137" s="88"/>
      <c r="C4137" s="16">
        <v>46290</v>
      </c>
      <c r="D4137" s="79">
        <v>312314.37000000005</v>
      </c>
    </row>
    <row r="4138" spans="1:4" x14ac:dyDescent="0.3">
      <c r="A4138" s="88" t="s">
        <v>214</v>
      </c>
      <c r="B4138" s="88"/>
      <c r="C4138" s="16">
        <v>46290</v>
      </c>
      <c r="D4138" s="79">
        <v>103560.93000000001</v>
      </c>
    </row>
    <row r="4139" spans="1:4" x14ac:dyDescent="0.3">
      <c r="A4139" s="88" t="s">
        <v>194</v>
      </c>
      <c r="B4139" s="88"/>
      <c r="C4139" s="16">
        <v>46290</v>
      </c>
      <c r="D4139" s="79">
        <v>3631.96</v>
      </c>
    </row>
    <row r="4140" spans="1:4" x14ac:dyDescent="0.3">
      <c r="A4140" s="88" t="s">
        <v>195</v>
      </c>
      <c r="B4140" s="88"/>
      <c r="C4140" s="16">
        <v>46290</v>
      </c>
      <c r="D4140" s="79">
        <v>604.80000000000018</v>
      </c>
    </row>
    <row r="4141" spans="1:4" x14ac:dyDescent="0.3">
      <c r="A4141" s="88" t="s">
        <v>196</v>
      </c>
      <c r="B4141" s="88"/>
      <c r="C4141" s="16">
        <v>46290</v>
      </c>
      <c r="D4141" s="79">
        <v>22961.869999999966</v>
      </c>
    </row>
    <row r="4142" spans="1:4" x14ac:dyDescent="0.3">
      <c r="A4142" s="88" t="s">
        <v>197</v>
      </c>
      <c r="B4142" s="88"/>
      <c r="C4142" s="16">
        <v>46290</v>
      </c>
      <c r="D4142" s="79">
        <v>794.01</v>
      </c>
    </row>
    <row r="4143" spans="1:4" x14ac:dyDescent="0.3">
      <c r="A4143" s="88" t="s">
        <v>212</v>
      </c>
      <c r="B4143" s="88"/>
      <c r="C4143" s="16">
        <v>46290</v>
      </c>
      <c r="D4143" s="79">
        <v>5445.57</v>
      </c>
    </row>
    <row r="4144" spans="1:4" x14ac:dyDescent="0.3">
      <c r="A4144" s="88" t="s">
        <v>199</v>
      </c>
      <c r="B4144" s="88"/>
      <c r="C4144" s="16">
        <v>46290</v>
      </c>
      <c r="D4144" s="79">
        <v>236034.18999999997</v>
      </c>
    </row>
    <row r="4145" spans="1:4" x14ac:dyDescent="0.3">
      <c r="A4145" s="88" t="s">
        <v>217</v>
      </c>
      <c r="B4145" s="88"/>
      <c r="C4145" s="16">
        <v>46290</v>
      </c>
      <c r="D4145" s="79">
        <v>327985.82999999996</v>
      </c>
    </row>
    <row r="4146" spans="1:4" x14ac:dyDescent="0.3">
      <c r="A4146" s="88" t="s">
        <v>17</v>
      </c>
      <c r="B4146" s="88"/>
      <c r="C4146" s="16">
        <v>46291</v>
      </c>
      <c r="D4146" s="79">
        <v>1835826.1700000004</v>
      </c>
    </row>
    <row r="4147" spans="1:4" x14ac:dyDescent="0.3">
      <c r="A4147" s="88" t="s">
        <v>18</v>
      </c>
      <c r="B4147" s="88"/>
      <c r="C4147" s="16">
        <v>46291</v>
      </c>
      <c r="D4147" s="79">
        <v>100486.46000000017</v>
      </c>
    </row>
    <row r="4148" spans="1:4" x14ac:dyDescent="0.3">
      <c r="A4148" s="88" t="s">
        <v>19</v>
      </c>
      <c r="B4148" s="88"/>
      <c r="C4148" s="16">
        <v>46291</v>
      </c>
      <c r="D4148" s="79">
        <v>1669.89</v>
      </c>
    </row>
    <row r="4149" spans="1:4" x14ac:dyDescent="0.3">
      <c r="A4149" s="88" t="s">
        <v>20</v>
      </c>
      <c r="B4149" s="88"/>
      <c r="C4149" s="16">
        <v>46291</v>
      </c>
      <c r="D4149" s="79">
        <v>1313603.3599999999</v>
      </c>
    </row>
    <row r="4150" spans="1:4" x14ac:dyDescent="0.3">
      <c r="A4150" s="88" t="s">
        <v>21</v>
      </c>
      <c r="B4150" s="88"/>
      <c r="C4150" s="16">
        <v>46291</v>
      </c>
      <c r="D4150" s="79">
        <v>1350091.6599999997</v>
      </c>
    </row>
    <row r="4151" spans="1:4" x14ac:dyDescent="0.3">
      <c r="A4151" s="88" t="s">
        <v>22</v>
      </c>
      <c r="B4151" s="88"/>
      <c r="C4151" s="16">
        <v>46291</v>
      </c>
      <c r="D4151" s="79">
        <v>229778.14</v>
      </c>
    </row>
    <row r="4152" spans="1:4" x14ac:dyDescent="0.3">
      <c r="A4152" s="88" t="s">
        <v>23</v>
      </c>
      <c r="B4152" s="88"/>
      <c r="C4152" s="16">
        <v>46291</v>
      </c>
      <c r="D4152" s="79">
        <v>217688.58</v>
      </c>
    </row>
    <row r="4153" spans="1:4" x14ac:dyDescent="0.3">
      <c r="A4153" s="88" t="s">
        <v>24</v>
      </c>
      <c r="B4153" s="88"/>
      <c r="C4153" s="16">
        <v>46291</v>
      </c>
      <c r="D4153" s="79">
        <v>11744.75</v>
      </c>
    </row>
    <row r="4154" spans="1:4" x14ac:dyDescent="0.3">
      <c r="A4154" s="88" t="s">
        <v>25</v>
      </c>
      <c r="B4154" s="88"/>
      <c r="C4154" s="16">
        <v>46291</v>
      </c>
      <c r="D4154" s="79">
        <v>94.5</v>
      </c>
    </row>
    <row r="4155" spans="1:4" x14ac:dyDescent="0.3">
      <c r="A4155" s="88" t="s">
        <v>26</v>
      </c>
      <c r="B4155" s="88"/>
      <c r="C4155" s="16">
        <v>46291</v>
      </c>
      <c r="D4155" s="79">
        <v>2147.92</v>
      </c>
    </row>
    <row r="4156" spans="1:4" x14ac:dyDescent="0.3">
      <c r="A4156" s="88" t="s">
        <v>27</v>
      </c>
      <c r="B4156" s="88"/>
      <c r="C4156" s="16">
        <v>46291</v>
      </c>
      <c r="D4156" s="79">
        <v>17895.290000000015</v>
      </c>
    </row>
    <row r="4157" spans="1:4" x14ac:dyDescent="0.3">
      <c r="A4157" s="88" t="s">
        <v>28</v>
      </c>
      <c r="B4157" s="88"/>
      <c r="C4157" s="16">
        <v>46291</v>
      </c>
      <c r="D4157" s="79">
        <v>1968.99</v>
      </c>
    </row>
    <row r="4158" spans="1:4" x14ac:dyDescent="0.3">
      <c r="A4158" s="88" t="s">
        <v>29</v>
      </c>
      <c r="B4158" s="88"/>
      <c r="C4158" s="16">
        <v>46291</v>
      </c>
      <c r="D4158" s="79">
        <v>901.34</v>
      </c>
    </row>
    <row r="4159" spans="1:4" x14ac:dyDescent="0.3">
      <c r="A4159" s="88" t="s">
        <v>30</v>
      </c>
      <c r="B4159" s="88"/>
      <c r="C4159" s="16">
        <v>46291</v>
      </c>
      <c r="D4159" s="79">
        <v>1380.08</v>
      </c>
    </row>
    <row r="4160" spans="1:4" x14ac:dyDescent="0.3">
      <c r="A4160" s="88" t="s">
        <v>31</v>
      </c>
      <c r="B4160" s="88"/>
      <c r="C4160" s="16">
        <v>46291</v>
      </c>
      <c r="D4160" s="79">
        <v>28714.879999999961</v>
      </c>
    </row>
    <row r="4161" spans="1:4" x14ac:dyDescent="0.3">
      <c r="A4161" s="88" t="s">
        <v>32</v>
      </c>
      <c r="B4161" s="88"/>
      <c r="C4161" s="16">
        <v>46291</v>
      </c>
      <c r="D4161" s="79">
        <v>23389.690000000006</v>
      </c>
    </row>
    <row r="4162" spans="1:4" x14ac:dyDescent="0.3">
      <c r="A4162" s="88" t="s">
        <v>33</v>
      </c>
      <c r="B4162" s="88"/>
      <c r="C4162" s="16">
        <v>46291</v>
      </c>
      <c r="D4162" s="79">
        <v>16896.059999999998</v>
      </c>
    </row>
    <row r="4163" spans="1:4" x14ac:dyDescent="0.3">
      <c r="A4163" s="88" t="s">
        <v>34</v>
      </c>
      <c r="B4163" s="88"/>
      <c r="C4163" s="16">
        <v>46291</v>
      </c>
      <c r="D4163" s="79">
        <v>345</v>
      </c>
    </row>
    <row r="4164" spans="1:4" x14ac:dyDescent="0.3">
      <c r="A4164" s="88" t="s">
        <v>35</v>
      </c>
      <c r="B4164" s="88"/>
      <c r="C4164" s="16">
        <v>46291</v>
      </c>
      <c r="D4164" s="79">
        <v>12209.190000000002</v>
      </c>
    </row>
    <row r="4165" spans="1:4" x14ac:dyDescent="0.3">
      <c r="A4165" s="88" t="s">
        <v>193</v>
      </c>
      <c r="B4165" s="88"/>
      <c r="C4165" s="16">
        <v>46291</v>
      </c>
      <c r="D4165" s="79">
        <v>312314.37000000005</v>
      </c>
    </row>
    <row r="4166" spans="1:4" x14ac:dyDescent="0.3">
      <c r="A4166" s="88" t="s">
        <v>214</v>
      </c>
      <c r="B4166" s="88"/>
      <c r="C4166" s="16">
        <v>46291</v>
      </c>
      <c r="D4166" s="79">
        <v>103560.93000000001</v>
      </c>
    </row>
    <row r="4167" spans="1:4" x14ac:dyDescent="0.3">
      <c r="A4167" s="88" t="s">
        <v>194</v>
      </c>
      <c r="B4167" s="88"/>
      <c r="C4167" s="16">
        <v>46291</v>
      </c>
      <c r="D4167" s="79">
        <v>3631.96</v>
      </c>
    </row>
    <row r="4168" spans="1:4" x14ac:dyDescent="0.3">
      <c r="A4168" s="88" t="s">
        <v>195</v>
      </c>
      <c r="B4168" s="88"/>
      <c r="C4168" s="16">
        <v>46291</v>
      </c>
      <c r="D4168" s="79">
        <v>604.80000000000018</v>
      </c>
    </row>
    <row r="4169" spans="1:4" x14ac:dyDescent="0.3">
      <c r="A4169" s="88" t="s">
        <v>196</v>
      </c>
      <c r="B4169" s="88"/>
      <c r="C4169" s="16">
        <v>46291</v>
      </c>
      <c r="D4169" s="79">
        <v>22961.869999999966</v>
      </c>
    </row>
    <row r="4170" spans="1:4" x14ac:dyDescent="0.3">
      <c r="A4170" s="88" t="s">
        <v>197</v>
      </c>
      <c r="B4170" s="88"/>
      <c r="C4170" s="16">
        <v>46291</v>
      </c>
      <c r="D4170" s="79">
        <v>794.01</v>
      </c>
    </row>
    <row r="4171" spans="1:4" x14ac:dyDescent="0.3">
      <c r="A4171" s="88" t="s">
        <v>212</v>
      </c>
      <c r="B4171" s="88"/>
      <c r="C4171" s="16">
        <v>46291</v>
      </c>
      <c r="D4171" s="79">
        <v>5445.57</v>
      </c>
    </row>
    <row r="4172" spans="1:4" x14ac:dyDescent="0.3">
      <c r="A4172" s="88" t="s">
        <v>199</v>
      </c>
      <c r="B4172" s="88"/>
      <c r="C4172" s="16">
        <v>46291</v>
      </c>
      <c r="D4172" s="79">
        <v>236034.18999999997</v>
      </c>
    </row>
    <row r="4173" spans="1:4" x14ac:dyDescent="0.3">
      <c r="A4173" s="88" t="s">
        <v>217</v>
      </c>
      <c r="B4173" s="88"/>
      <c r="C4173" s="16">
        <v>46291</v>
      </c>
      <c r="D4173" s="79">
        <v>327985.82999999996</v>
      </c>
    </row>
    <row r="4174" spans="1:4" x14ac:dyDescent="0.3">
      <c r="A4174" s="88" t="s">
        <v>17</v>
      </c>
      <c r="B4174" s="88"/>
      <c r="C4174" s="16">
        <v>46292</v>
      </c>
      <c r="D4174" s="79">
        <v>1835826.1700000004</v>
      </c>
    </row>
    <row r="4175" spans="1:4" x14ac:dyDescent="0.3">
      <c r="A4175" s="88" t="s">
        <v>18</v>
      </c>
      <c r="B4175" s="88"/>
      <c r="C4175" s="16">
        <v>46292</v>
      </c>
      <c r="D4175" s="79">
        <v>100486.46000000017</v>
      </c>
    </row>
    <row r="4176" spans="1:4" x14ac:dyDescent="0.3">
      <c r="A4176" s="88" t="s">
        <v>19</v>
      </c>
      <c r="B4176" s="88"/>
      <c r="C4176" s="16">
        <v>46292</v>
      </c>
      <c r="D4176" s="79">
        <v>1669.89</v>
      </c>
    </row>
    <row r="4177" spans="1:4" x14ac:dyDescent="0.3">
      <c r="A4177" s="88" t="s">
        <v>20</v>
      </c>
      <c r="B4177" s="88"/>
      <c r="C4177" s="16">
        <v>46292</v>
      </c>
      <c r="D4177" s="79">
        <v>1313603.3599999999</v>
      </c>
    </row>
    <row r="4178" spans="1:4" x14ac:dyDescent="0.3">
      <c r="A4178" s="88" t="s">
        <v>21</v>
      </c>
      <c r="B4178" s="88"/>
      <c r="C4178" s="16">
        <v>46292</v>
      </c>
      <c r="D4178" s="79">
        <v>1350091.6599999997</v>
      </c>
    </row>
    <row r="4179" spans="1:4" x14ac:dyDescent="0.3">
      <c r="A4179" s="88" t="s">
        <v>22</v>
      </c>
      <c r="B4179" s="88"/>
      <c r="C4179" s="16">
        <v>46292</v>
      </c>
      <c r="D4179" s="79">
        <v>229778.14</v>
      </c>
    </row>
    <row r="4180" spans="1:4" x14ac:dyDescent="0.3">
      <c r="A4180" s="88" t="s">
        <v>23</v>
      </c>
      <c r="B4180" s="88"/>
      <c r="C4180" s="16">
        <v>46292</v>
      </c>
      <c r="D4180" s="79">
        <v>217688.58</v>
      </c>
    </row>
    <row r="4181" spans="1:4" x14ac:dyDescent="0.3">
      <c r="A4181" s="88" t="s">
        <v>24</v>
      </c>
      <c r="B4181" s="88"/>
      <c r="C4181" s="16">
        <v>46292</v>
      </c>
      <c r="D4181" s="79">
        <v>11744.75</v>
      </c>
    </row>
    <row r="4182" spans="1:4" x14ac:dyDescent="0.3">
      <c r="A4182" s="88" t="s">
        <v>25</v>
      </c>
      <c r="B4182" s="88"/>
      <c r="C4182" s="16">
        <v>46292</v>
      </c>
      <c r="D4182" s="79">
        <v>94.5</v>
      </c>
    </row>
    <row r="4183" spans="1:4" x14ac:dyDescent="0.3">
      <c r="A4183" s="88" t="s">
        <v>26</v>
      </c>
      <c r="B4183" s="88"/>
      <c r="C4183" s="16">
        <v>46292</v>
      </c>
      <c r="D4183" s="79">
        <v>2147.92</v>
      </c>
    </row>
    <row r="4184" spans="1:4" x14ac:dyDescent="0.3">
      <c r="A4184" s="88" t="s">
        <v>27</v>
      </c>
      <c r="B4184" s="88"/>
      <c r="C4184" s="16">
        <v>46292</v>
      </c>
      <c r="D4184" s="79">
        <v>17895.290000000015</v>
      </c>
    </row>
    <row r="4185" spans="1:4" x14ac:dyDescent="0.3">
      <c r="A4185" s="88" t="s">
        <v>28</v>
      </c>
      <c r="B4185" s="88"/>
      <c r="C4185" s="16">
        <v>46292</v>
      </c>
      <c r="D4185" s="79">
        <v>1968.99</v>
      </c>
    </row>
    <row r="4186" spans="1:4" x14ac:dyDescent="0.3">
      <c r="A4186" s="88" t="s">
        <v>29</v>
      </c>
      <c r="B4186" s="88"/>
      <c r="C4186" s="16">
        <v>46292</v>
      </c>
      <c r="D4186" s="79">
        <v>901.34</v>
      </c>
    </row>
    <row r="4187" spans="1:4" x14ac:dyDescent="0.3">
      <c r="A4187" s="88" t="s">
        <v>30</v>
      </c>
      <c r="B4187" s="88"/>
      <c r="C4187" s="16">
        <v>46292</v>
      </c>
      <c r="D4187" s="79">
        <v>1380.08</v>
      </c>
    </row>
    <row r="4188" spans="1:4" x14ac:dyDescent="0.3">
      <c r="A4188" s="88" t="s">
        <v>31</v>
      </c>
      <c r="B4188" s="88"/>
      <c r="C4188" s="16">
        <v>46292</v>
      </c>
      <c r="D4188" s="79">
        <v>28714.879999999961</v>
      </c>
    </row>
    <row r="4189" spans="1:4" x14ac:dyDescent="0.3">
      <c r="A4189" s="88" t="s">
        <v>32</v>
      </c>
      <c r="B4189" s="88"/>
      <c r="C4189" s="16">
        <v>46292</v>
      </c>
      <c r="D4189" s="79">
        <v>23389.690000000006</v>
      </c>
    </row>
    <row r="4190" spans="1:4" x14ac:dyDescent="0.3">
      <c r="A4190" s="88" t="s">
        <v>33</v>
      </c>
      <c r="B4190" s="88"/>
      <c r="C4190" s="16">
        <v>46292</v>
      </c>
      <c r="D4190" s="79">
        <v>16896.059999999998</v>
      </c>
    </row>
    <row r="4191" spans="1:4" x14ac:dyDescent="0.3">
      <c r="A4191" s="88" t="s">
        <v>34</v>
      </c>
      <c r="B4191" s="88"/>
      <c r="C4191" s="16">
        <v>46292</v>
      </c>
      <c r="D4191" s="79">
        <v>345</v>
      </c>
    </row>
    <row r="4192" spans="1:4" x14ac:dyDescent="0.3">
      <c r="A4192" s="88" t="s">
        <v>35</v>
      </c>
      <c r="B4192" s="88"/>
      <c r="C4192" s="16">
        <v>46292</v>
      </c>
      <c r="D4192" s="79">
        <v>12209.190000000002</v>
      </c>
    </row>
    <row r="4193" spans="1:4" x14ac:dyDescent="0.3">
      <c r="A4193" s="88" t="s">
        <v>193</v>
      </c>
      <c r="B4193" s="88"/>
      <c r="C4193" s="16">
        <v>46292</v>
      </c>
      <c r="D4193" s="79">
        <v>312314.37000000005</v>
      </c>
    </row>
    <row r="4194" spans="1:4" x14ac:dyDescent="0.3">
      <c r="A4194" s="88" t="s">
        <v>214</v>
      </c>
      <c r="B4194" s="88"/>
      <c r="C4194" s="16">
        <v>46292</v>
      </c>
      <c r="D4194" s="79">
        <v>103560.93000000001</v>
      </c>
    </row>
    <row r="4195" spans="1:4" x14ac:dyDescent="0.3">
      <c r="A4195" s="88" t="s">
        <v>194</v>
      </c>
      <c r="B4195" s="88"/>
      <c r="C4195" s="16">
        <v>46292</v>
      </c>
      <c r="D4195" s="79">
        <v>3631.96</v>
      </c>
    </row>
    <row r="4196" spans="1:4" x14ac:dyDescent="0.3">
      <c r="A4196" s="88" t="s">
        <v>195</v>
      </c>
      <c r="B4196" s="88"/>
      <c r="C4196" s="16">
        <v>46292</v>
      </c>
      <c r="D4196" s="79">
        <v>604.80000000000018</v>
      </c>
    </row>
    <row r="4197" spans="1:4" x14ac:dyDescent="0.3">
      <c r="A4197" s="88" t="s">
        <v>196</v>
      </c>
      <c r="B4197" s="88"/>
      <c r="C4197" s="16">
        <v>46292</v>
      </c>
      <c r="D4197" s="79">
        <v>22961.869999999966</v>
      </c>
    </row>
    <row r="4198" spans="1:4" x14ac:dyDescent="0.3">
      <c r="A4198" s="88" t="s">
        <v>197</v>
      </c>
      <c r="B4198" s="88"/>
      <c r="C4198" s="16">
        <v>46292</v>
      </c>
      <c r="D4198" s="79">
        <v>794.01</v>
      </c>
    </row>
    <row r="4199" spans="1:4" x14ac:dyDescent="0.3">
      <c r="A4199" s="88" t="s">
        <v>212</v>
      </c>
      <c r="B4199" s="88"/>
      <c r="C4199" s="16">
        <v>46292</v>
      </c>
      <c r="D4199" s="79">
        <v>5445.57</v>
      </c>
    </row>
    <row r="4200" spans="1:4" x14ac:dyDescent="0.3">
      <c r="A4200" s="88" t="s">
        <v>199</v>
      </c>
      <c r="B4200" s="88"/>
      <c r="C4200" s="16">
        <v>46292</v>
      </c>
      <c r="D4200" s="79">
        <v>236034.18999999997</v>
      </c>
    </row>
    <row r="4201" spans="1:4" x14ac:dyDescent="0.3">
      <c r="A4201" s="88" t="s">
        <v>217</v>
      </c>
      <c r="B4201" s="88"/>
      <c r="C4201" s="16">
        <v>46292</v>
      </c>
      <c r="D4201" s="79">
        <v>327985.82999999996</v>
      </c>
    </row>
    <row r="4202" spans="1:4" x14ac:dyDescent="0.3">
      <c r="A4202" s="88" t="s">
        <v>17</v>
      </c>
      <c r="B4202" s="88"/>
      <c r="C4202" s="16">
        <v>46293</v>
      </c>
      <c r="D4202" s="79">
        <v>1843622.6700000004</v>
      </c>
    </row>
    <row r="4203" spans="1:4" x14ac:dyDescent="0.3">
      <c r="A4203" s="88" t="s">
        <v>18</v>
      </c>
      <c r="B4203" s="88"/>
      <c r="C4203" s="16">
        <v>46293</v>
      </c>
      <c r="D4203" s="79">
        <v>100486.46000000017</v>
      </c>
    </row>
    <row r="4204" spans="1:4" x14ac:dyDescent="0.3">
      <c r="A4204" s="88" t="s">
        <v>19</v>
      </c>
      <c r="B4204" s="88"/>
      <c r="C4204" s="16">
        <v>46293</v>
      </c>
      <c r="D4204" s="79">
        <v>1669.89</v>
      </c>
    </row>
    <row r="4205" spans="1:4" x14ac:dyDescent="0.3">
      <c r="A4205" s="88" t="s">
        <v>20</v>
      </c>
      <c r="B4205" s="88"/>
      <c r="C4205" s="16">
        <v>46293</v>
      </c>
      <c r="D4205" s="79">
        <v>1330582.2599999998</v>
      </c>
    </row>
    <row r="4206" spans="1:4" x14ac:dyDescent="0.3">
      <c r="A4206" s="88" t="s">
        <v>21</v>
      </c>
      <c r="B4206" s="88"/>
      <c r="C4206" s="16">
        <v>46293</v>
      </c>
      <c r="D4206" s="79">
        <v>1350091.6599999997</v>
      </c>
    </row>
    <row r="4207" spans="1:4" x14ac:dyDescent="0.3">
      <c r="A4207" s="88" t="s">
        <v>22</v>
      </c>
      <c r="B4207" s="88"/>
      <c r="C4207" s="16">
        <v>46293</v>
      </c>
      <c r="D4207" s="79">
        <v>229778.14</v>
      </c>
    </row>
    <row r="4208" spans="1:4" x14ac:dyDescent="0.3">
      <c r="A4208" s="88" t="s">
        <v>23</v>
      </c>
      <c r="B4208" s="88"/>
      <c r="C4208" s="16">
        <v>46293</v>
      </c>
      <c r="D4208" s="79">
        <v>217688.58</v>
      </c>
    </row>
    <row r="4209" spans="1:4" x14ac:dyDescent="0.3">
      <c r="A4209" s="88" t="s">
        <v>24</v>
      </c>
      <c r="B4209" s="88"/>
      <c r="C4209" s="16">
        <v>46293</v>
      </c>
      <c r="D4209" s="79">
        <v>11744.75</v>
      </c>
    </row>
    <row r="4210" spans="1:4" x14ac:dyDescent="0.3">
      <c r="A4210" s="88" t="s">
        <v>25</v>
      </c>
      <c r="B4210" s="88"/>
      <c r="C4210" s="16">
        <v>46293</v>
      </c>
      <c r="D4210" s="79">
        <v>94.5</v>
      </c>
    </row>
    <row r="4211" spans="1:4" x14ac:dyDescent="0.3">
      <c r="A4211" s="88" t="s">
        <v>26</v>
      </c>
      <c r="B4211" s="88"/>
      <c r="C4211" s="16">
        <v>46293</v>
      </c>
      <c r="D4211" s="79">
        <v>2147.92</v>
      </c>
    </row>
    <row r="4212" spans="1:4" x14ac:dyDescent="0.3">
      <c r="A4212" s="88" t="s">
        <v>27</v>
      </c>
      <c r="B4212" s="88"/>
      <c r="C4212" s="16">
        <v>46293</v>
      </c>
      <c r="D4212" s="79">
        <v>17895.290000000015</v>
      </c>
    </row>
    <row r="4213" spans="1:4" x14ac:dyDescent="0.3">
      <c r="A4213" s="88" t="s">
        <v>28</v>
      </c>
      <c r="B4213" s="88"/>
      <c r="C4213" s="16">
        <v>46293</v>
      </c>
      <c r="D4213" s="79">
        <v>1968.99</v>
      </c>
    </row>
    <row r="4214" spans="1:4" x14ac:dyDescent="0.3">
      <c r="A4214" s="88" t="s">
        <v>29</v>
      </c>
      <c r="B4214" s="88"/>
      <c r="C4214" s="16">
        <v>46293</v>
      </c>
      <c r="D4214" s="79">
        <v>901.34</v>
      </c>
    </row>
    <row r="4215" spans="1:4" x14ac:dyDescent="0.3">
      <c r="A4215" s="88" t="s">
        <v>30</v>
      </c>
      <c r="B4215" s="88"/>
      <c r="C4215" s="16">
        <v>46293</v>
      </c>
      <c r="D4215" s="79">
        <v>1380.08</v>
      </c>
    </row>
    <row r="4216" spans="1:4" x14ac:dyDescent="0.3">
      <c r="A4216" s="88" t="s">
        <v>31</v>
      </c>
      <c r="B4216" s="88"/>
      <c r="C4216" s="16">
        <v>46293</v>
      </c>
      <c r="D4216" s="79">
        <v>28714.879999999961</v>
      </c>
    </row>
    <row r="4217" spans="1:4" x14ac:dyDescent="0.3">
      <c r="A4217" s="88" t="s">
        <v>32</v>
      </c>
      <c r="B4217" s="88"/>
      <c r="C4217" s="16">
        <v>46293</v>
      </c>
      <c r="D4217" s="79">
        <v>23374.690000000006</v>
      </c>
    </row>
    <row r="4218" spans="1:4" x14ac:dyDescent="0.3">
      <c r="A4218" s="88" t="s">
        <v>33</v>
      </c>
      <c r="B4218" s="88"/>
      <c r="C4218" s="16">
        <v>46293</v>
      </c>
      <c r="D4218" s="79">
        <v>16266.809999999998</v>
      </c>
    </row>
    <row r="4219" spans="1:4" x14ac:dyDescent="0.3">
      <c r="A4219" s="88" t="s">
        <v>34</v>
      </c>
      <c r="B4219" s="88"/>
      <c r="C4219" s="16">
        <v>46293</v>
      </c>
      <c r="D4219" s="79">
        <v>345</v>
      </c>
    </row>
    <row r="4220" spans="1:4" x14ac:dyDescent="0.3">
      <c r="A4220" s="88" t="s">
        <v>35</v>
      </c>
      <c r="B4220" s="88"/>
      <c r="C4220" s="16">
        <v>46293</v>
      </c>
      <c r="D4220" s="79">
        <v>12209.190000000002</v>
      </c>
    </row>
    <row r="4221" spans="1:4" x14ac:dyDescent="0.3">
      <c r="A4221" s="88" t="s">
        <v>193</v>
      </c>
      <c r="B4221" s="88"/>
      <c r="C4221" s="16">
        <v>46293</v>
      </c>
      <c r="D4221" s="79">
        <v>312314.37000000005</v>
      </c>
    </row>
    <row r="4222" spans="1:4" x14ac:dyDescent="0.3">
      <c r="A4222" s="88" t="s">
        <v>214</v>
      </c>
      <c r="B4222" s="88"/>
      <c r="C4222" s="16">
        <v>46293</v>
      </c>
      <c r="D4222" s="79">
        <v>103560.93000000001</v>
      </c>
    </row>
    <row r="4223" spans="1:4" x14ac:dyDescent="0.3">
      <c r="A4223" s="88" t="s">
        <v>194</v>
      </c>
      <c r="B4223" s="88"/>
      <c r="C4223" s="16">
        <v>46293</v>
      </c>
      <c r="D4223" s="79">
        <v>3631.96</v>
      </c>
    </row>
    <row r="4224" spans="1:4" x14ac:dyDescent="0.3">
      <c r="A4224" s="88" t="s">
        <v>195</v>
      </c>
      <c r="B4224" s="88"/>
      <c r="C4224" s="16">
        <v>46293</v>
      </c>
      <c r="D4224" s="79">
        <v>604.80000000000018</v>
      </c>
    </row>
    <row r="4225" spans="1:4" x14ac:dyDescent="0.3">
      <c r="A4225" s="88" t="s">
        <v>196</v>
      </c>
      <c r="B4225" s="88"/>
      <c r="C4225" s="16">
        <v>46293</v>
      </c>
      <c r="D4225" s="79">
        <v>22456.779999999955</v>
      </c>
    </row>
    <row r="4226" spans="1:4" x14ac:dyDescent="0.3">
      <c r="A4226" s="88" t="s">
        <v>197</v>
      </c>
      <c r="B4226" s="88"/>
      <c r="C4226" s="16">
        <v>46293</v>
      </c>
      <c r="D4226" s="79">
        <v>794.01</v>
      </c>
    </row>
    <row r="4227" spans="1:4" x14ac:dyDescent="0.3">
      <c r="A4227" s="88" t="s">
        <v>212</v>
      </c>
      <c r="B4227" s="88"/>
      <c r="C4227" s="16">
        <v>46293</v>
      </c>
      <c r="D4227" s="79">
        <v>5445.57</v>
      </c>
    </row>
    <row r="4228" spans="1:4" x14ac:dyDescent="0.3">
      <c r="A4228" s="88" t="s">
        <v>199</v>
      </c>
      <c r="B4228" s="88"/>
      <c r="C4228" s="16">
        <v>46293</v>
      </c>
      <c r="D4228" s="79">
        <v>237884.18999999997</v>
      </c>
    </row>
    <row r="4229" spans="1:4" x14ac:dyDescent="0.3">
      <c r="A4229" s="88" t="s">
        <v>217</v>
      </c>
      <c r="B4229" s="88"/>
      <c r="C4229" s="16">
        <v>46293</v>
      </c>
      <c r="D4229" s="79">
        <v>327985.82999999996</v>
      </c>
    </row>
    <row r="4230" spans="1:4" x14ac:dyDescent="0.3">
      <c r="A4230" s="88" t="s">
        <v>17</v>
      </c>
      <c r="B4230" s="88"/>
      <c r="C4230" s="16">
        <v>46294</v>
      </c>
      <c r="D4230" s="79">
        <v>1840829.6400000004</v>
      </c>
    </row>
    <row r="4231" spans="1:4" x14ac:dyDescent="0.3">
      <c r="A4231" s="88" t="s">
        <v>18</v>
      </c>
      <c r="B4231" s="88"/>
      <c r="C4231" s="16">
        <v>46294</v>
      </c>
      <c r="D4231" s="79">
        <v>100486.46000000017</v>
      </c>
    </row>
    <row r="4232" spans="1:4" x14ac:dyDescent="0.3">
      <c r="A4232" s="88" t="s">
        <v>19</v>
      </c>
      <c r="B4232" s="88"/>
      <c r="C4232" s="16">
        <v>46294</v>
      </c>
      <c r="D4232" s="79">
        <v>1669.89</v>
      </c>
    </row>
    <row r="4233" spans="1:4" x14ac:dyDescent="0.3">
      <c r="A4233" s="88" t="s">
        <v>20</v>
      </c>
      <c r="B4233" s="88"/>
      <c r="C4233" s="16">
        <v>46294</v>
      </c>
      <c r="D4233" s="79">
        <v>1330582.2599999998</v>
      </c>
    </row>
    <row r="4234" spans="1:4" x14ac:dyDescent="0.3">
      <c r="A4234" s="88" t="s">
        <v>21</v>
      </c>
      <c r="B4234" s="88"/>
      <c r="C4234" s="16">
        <v>46294</v>
      </c>
      <c r="D4234" s="79">
        <v>1180932.1499999997</v>
      </c>
    </row>
    <row r="4235" spans="1:4" x14ac:dyDescent="0.3">
      <c r="A4235" s="88" t="s">
        <v>22</v>
      </c>
      <c r="B4235" s="88"/>
      <c r="C4235" s="16">
        <v>46294</v>
      </c>
      <c r="D4235" s="79">
        <v>229778.14</v>
      </c>
    </row>
    <row r="4236" spans="1:4" x14ac:dyDescent="0.3">
      <c r="A4236" s="88" t="s">
        <v>23</v>
      </c>
      <c r="B4236" s="88"/>
      <c r="C4236" s="16">
        <v>46294</v>
      </c>
      <c r="D4236" s="79">
        <v>217688.58</v>
      </c>
    </row>
    <row r="4237" spans="1:4" x14ac:dyDescent="0.3">
      <c r="A4237" s="88" t="s">
        <v>24</v>
      </c>
      <c r="B4237" s="88"/>
      <c r="C4237" s="16">
        <v>46294</v>
      </c>
      <c r="D4237" s="79">
        <v>10474.32</v>
      </c>
    </row>
    <row r="4238" spans="1:4" x14ac:dyDescent="0.3">
      <c r="A4238" s="88" t="s">
        <v>25</v>
      </c>
      <c r="B4238" s="88"/>
      <c r="C4238" s="16">
        <v>46294</v>
      </c>
      <c r="D4238" s="79">
        <v>94.5</v>
      </c>
    </row>
    <row r="4239" spans="1:4" x14ac:dyDescent="0.3">
      <c r="A4239" s="88" t="s">
        <v>26</v>
      </c>
      <c r="B4239" s="88"/>
      <c r="C4239" s="16">
        <v>46294</v>
      </c>
      <c r="D4239" s="79">
        <v>2147.92</v>
      </c>
    </row>
    <row r="4240" spans="1:4" x14ac:dyDescent="0.3">
      <c r="A4240" s="88" t="s">
        <v>27</v>
      </c>
      <c r="B4240" s="88"/>
      <c r="C4240" s="16">
        <v>46294</v>
      </c>
      <c r="D4240" s="79">
        <v>17895.290000000015</v>
      </c>
    </row>
    <row r="4241" spans="1:4" x14ac:dyDescent="0.3">
      <c r="A4241" s="88" t="s">
        <v>28</v>
      </c>
      <c r="B4241" s="88"/>
      <c r="C4241" s="16">
        <v>46294</v>
      </c>
      <c r="D4241" s="79">
        <v>1968.99</v>
      </c>
    </row>
    <row r="4242" spans="1:4" x14ac:dyDescent="0.3">
      <c r="A4242" s="88" t="s">
        <v>29</v>
      </c>
      <c r="B4242" s="88"/>
      <c r="C4242" s="16">
        <v>46294</v>
      </c>
      <c r="D4242" s="79">
        <v>901.34</v>
      </c>
    </row>
    <row r="4243" spans="1:4" x14ac:dyDescent="0.3">
      <c r="A4243" s="88" t="s">
        <v>30</v>
      </c>
      <c r="B4243" s="88"/>
      <c r="C4243" s="16">
        <v>46294</v>
      </c>
      <c r="D4243" s="79">
        <v>1380.08</v>
      </c>
    </row>
    <row r="4244" spans="1:4" x14ac:dyDescent="0.3">
      <c r="A4244" s="88" t="s">
        <v>31</v>
      </c>
      <c r="B4244" s="88"/>
      <c r="C4244" s="16">
        <v>46294</v>
      </c>
      <c r="D4244" s="79">
        <v>28714.879999999961</v>
      </c>
    </row>
    <row r="4245" spans="1:4" x14ac:dyDescent="0.3">
      <c r="A4245" s="88" t="s">
        <v>32</v>
      </c>
      <c r="B4245" s="88"/>
      <c r="C4245" s="16">
        <v>46294</v>
      </c>
      <c r="D4245" s="79">
        <v>23374.690000000006</v>
      </c>
    </row>
    <row r="4246" spans="1:4" x14ac:dyDescent="0.3">
      <c r="A4246" s="88" t="s">
        <v>33</v>
      </c>
      <c r="B4246" s="88"/>
      <c r="C4246" s="16">
        <v>46294</v>
      </c>
      <c r="D4246" s="79">
        <v>19266.809999999998</v>
      </c>
    </row>
    <row r="4247" spans="1:4" x14ac:dyDescent="0.3">
      <c r="A4247" s="88" t="s">
        <v>34</v>
      </c>
      <c r="B4247" s="88"/>
      <c r="C4247" s="16">
        <v>46294</v>
      </c>
      <c r="D4247" s="79">
        <v>345</v>
      </c>
    </row>
    <row r="4248" spans="1:4" x14ac:dyDescent="0.3">
      <c r="A4248" s="88" t="s">
        <v>35</v>
      </c>
      <c r="B4248" s="88"/>
      <c r="C4248" s="16">
        <v>46294</v>
      </c>
      <c r="D4248" s="79">
        <v>12209.190000000002</v>
      </c>
    </row>
    <row r="4249" spans="1:4" x14ac:dyDescent="0.3">
      <c r="A4249" s="88" t="s">
        <v>193</v>
      </c>
      <c r="B4249" s="88"/>
      <c r="C4249" s="16">
        <v>46294</v>
      </c>
      <c r="D4249" s="79">
        <v>312314.37000000005</v>
      </c>
    </row>
    <row r="4250" spans="1:4" x14ac:dyDescent="0.3">
      <c r="A4250" s="88" t="s">
        <v>214</v>
      </c>
      <c r="B4250" s="88"/>
      <c r="C4250" s="16">
        <v>46294</v>
      </c>
      <c r="D4250" s="79">
        <v>102394.01000000001</v>
      </c>
    </row>
    <row r="4251" spans="1:4" x14ac:dyDescent="0.3">
      <c r="A4251" s="88" t="s">
        <v>194</v>
      </c>
      <c r="B4251" s="88"/>
      <c r="C4251" s="16">
        <v>46294</v>
      </c>
      <c r="D4251" s="79">
        <v>3631.96</v>
      </c>
    </row>
    <row r="4252" spans="1:4" x14ac:dyDescent="0.3">
      <c r="A4252" s="88" t="s">
        <v>195</v>
      </c>
      <c r="B4252" s="88"/>
      <c r="C4252" s="16">
        <v>46294</v>
      </c>
      <c r="D4252" s="79">
        <v>604.80000000000018</v>
      </c>
    </row>
    <row r="4253" spans="1:4" x14ac:dyDescent="0.3">
      <c r="A4253" s="88" t="s">
        <v>196</v>
      </c>
      <c r="B4253" s="88"/>
      <c r="C4253" s="16">
        <v>46294</v>
      </c>
      <c r="D4253" s="79">
        <v>22456.779999999955</v>
      </c>
    </row>
    <row r="4254" spans="1:4" x14ac:dyDescent="0.3">
      <c r="A4254" s="88" t="s">
        <v>197</v>
      </c>
      <c r="B4254" s="88"/>
      <c r="C4254" s="16">
        <v>46294</v>
      </c>
      <c r="D4254" s="79">
        <v>794.01</v>
      </c>
    </row>
    <row r="4255" spans="1:4" x14ac:dyDescent="0.3">
      <c r="A4255" s="88" t="s">
        <v>212</v>
      </c>
      <c r="B4255" s="88"/>
      <c r="C4255" s="16">
        <v>46294</v>
      </c>
      <c r="D4255" s="79">
        <v>5445.57</v>
      </c>
    </row>
    <row r="4256" spans="1:4" x14ac:dyDescent="0.3">
      <c r="A4256" s="88" t="s">
        <v>199</v>
      </c>
      <c r="B4256" s="88"/>
      <c r="C4256" s="16">
        <v>46294</v>
      </c>
      <c r="D4256" s="79">
        <v>239524.18999999997</v>
      </c>
    </row>
    <row r="4257" spans="1:4" x14ac:dyDescent="0.3">
      <c r="A4257" s="88" t="s">
        <v>217</v>
      </c>
      <c r="B4257" s="88"/>
      <c r="C4257" s="16">
        <v>46294</v>
      </c>
      <c r="D4257" s="79">
        <v>327985.82999999996</v>
      </c>
    </row>
    <row r="4258" spans="1:4" x14ac:dyDescent="0.3">
      <c r="A4258" s="88" t="s">
        <v>17</v>
      </c>
      <c r="B4258" s="88"/>
      <c r="C4258" s="16">
        <v>46295</v>
      </c>
      <c r="D4258" s="79">
        <v>1926823.6500000004</v>
      </c>
    </row>
    <row r="4259" spans="1:4" x14ac:dyDescent="0.3">
      <c r="A4259" s="88" t="s">
        <v>18</v>
      </c>
      <c r="B4259" s="88"/>
      <c r="C4259" s="16">
        <v>46295</v>
      </c>
      <c r="D4259" s="79">
        <v>103123.59000000017</v>
      </c>
    </row>
    <row r="4260" spans="1:4" x14ac:dyDescent="0.3">
      <c r="A4260" s="88" t="s">
        <v>19</v>
      </c>
      <c r="B4260" s="88"/>
      <c r="C4260" s="16">
        <v>46295</v>
      </c>
      <c r="D4260" s="79">
        <v>1669.89</v>
      </c>
    </row>
    <row r="4261" spans="1:4" x14ac:dyDescent="0.3">
      <c r="A4261" s="88" t="s">
        <v>20</v>
      </c>
      <c r="B4261" s="88"/>
      <c r="C4261" s="16">
        <v>46295</v>
      </c>
      <c r="D4261" s="79">
        <v>1355779.1799999997</v>
      </c>
    </row>
    <row r="4262" spans="1:4" x14ac:dyDescent="0.3">
      <c r="A4262" s="88" t="s">
        <v>21</v>
      </c>
      <c r="B4262" s="88"/>
      <c r="C4262" s="16">
        <v>46295</v>
      </c>
      <c r="D4262" s="79">
        <v>1111163.6899999995</v>
      </c>
    </row>
    <row r="4263" spans="1:4" x14ac:dyDescent="0.3">
      <c r="A4263" s="88" t="s">
        <v>22</v>
      </c>
      <c r="B4263" s="88"/>
      <c r="C4263" s="16">
        <v>46295</v>
      </c>
      <c r="D4263" s="79">
        <v>229778.14</v>
      </c>
    </row>
    <row r="4264" spans="1:4" x14ac:dyDescent="0.3">
      <c r="A4264" s="88" t="s">
        <v>23</v>
      </c>
      <c r="B4264" s="88"/>
      <c r="C4264" s="16">
        <v>46295</v>
      </c>
      <c r="D4264" s="79">
        <v>80533.579999999987</v>
      </c>
    </row>
    <row r="4265" spans="1:4" x14ac:dyDescent="0.3">
      <c r="A4265" s="88" t="s">
        <v>24</v>
      </c>
      <c r="B4265" s="88"/>
      <c r="C4265" s="16">
        <v>46295</v>
      </c>
      <c r="D4265" s="79">
        <v>10259.18</v>
      </c>
    </row>
    <row r="4266" spans="1:4" x14ac:dyDescent="0.3">
      <c r="A4266" s="88" t="s">
        <v>25</v>
      </c>
      <c r="B4266" s="88"/>
      <c r="C4266" s="16">
        <v>46295</v>
      </c>
      <c r="D4266" s="79">
        <v>94.5</v>
      </c>
    </row>
    <row r="4267" spans="1:4" x14ac:dyDescent="0.3">
      <c r="A4267" s="88" t="s">
        <v>26</v>
      </c>
      <c r="B4267" s="88"/>
      <c r="C4267" s="16">
        <v>46295</v>
      </c>
      <c r="D4267" s="79">
        <v>2147.92</v>
      </c>
    </row>
    <row r="4268" spans="1:4" x14ac:dyDescent="0.3">
      <c r="A4268" s="88" t="s">
        <v>27</v>
      </c>
      <c r="B4268" s="88"/>
      <c r="C4268" s="16">
        <v>46295</v>
      </c>
      <c r="D4268" s="79">
        <v>17895.290000000015</v>
      </c>
    </row>
    <row r="4269" spans="1:4" x14ac:dyDescent="0.3">
      <c r="A4269" s="88" t="s">
        <v>28</v>
      </c>
      <c r="B4269" s="88"/>
      <c r="C4269" s="16">
        <v>46295</v>
      </c>
      <c r="D4269" s="79">
        <v>1968.99</v>
      </c>
    </row>
    <row r="4270" spans="1:4" x14ac:dyDescent="0.3">
      <c r="A4270" s="88" t="s">
        <v>29</v>
      </c>
      <c r="B4270" s="88"/>
      <c r="C4270" s="16">
        <v>46295</v>
      </c>
      <c r="D4270" s="79">
        <v>901.34</v>
      </c>
    </row>
    <row r="4271" spans="1:4" x14ac:dyDescent="0.3">
      <c r="A4271" s="88" t="s">
        <v>30</v>
      </c>
      <c r="B4271" s="88"/>
      <c r="C4271" s="16">
        <v>46295</v>
      </c>
      <c r="D4271" s="79">
        <v>1380.08</v>
      </c>
    </row>
    <row r="4272" spans="1:4" x14ac:dyDescent="0.3">
      <c r="A4272" s="88" t="s">
        <v>31</v>
      </c>
      <c r="B4272" s="88"/>
      <c r="C4272" s="16">
        <v>46295</v>
      </c>
      <c r="D4272" s="79">
        <v>28714.879999999961</v>
      </c>
    </row>
    <row r="4273" spans="1:4" x14ac:dyDescent="0.3">
      <c r="A4273" s="88" t="s">
        <v>32</v>
      </c>
      <c r="B4273" s="88"/>
      <c r="C4273" s="16">
        <v>46295</v>
      </c>
      <c r="D4273" s="79">
        <v>23374.690000000006</v>
      </c>
    </row>
    <row r="4274" spans="1:4" x14ac:dyDescent="0.3">
      <c r="A4274" s="88" t="s">
        <v>33</v>
      </c>
      <c r="B4274" s="88"/>
      <c r="C4274" s="16">
        <v>46295</v>
      </c>
      <c r="D4274" s="79">
        <v>19266.809999999998</v>
      </c>
    </row>
    <row r="4275" spans="1:4" x14ac:dyDescent="0.3">
      <c r="A4275" s="88" t="s">
        <v>34</v>
      </c>
      <c r="B4275" s="88"/>
      <c r="C4275" s="16">
        <v>46295</v>
      </c>
      <c r="D4275" s="79">
        <v>345</v>
      </c>
    </row>
    <row r="4276" spans="1:4" x14ac:dyDescent="0.3">
      <c r="A4276" s="88" t="s">
        <v>35</v>
      </c>
      <c r="B4276" s="88"/>
      <c r="C4276" s="16">
        <v>46295</v>
      </c>
      <c r="D4276" s="79">
        <v>12209.190000000002</v>
      </c>
    </row>
    <row r="4277" spans="1:4" x14ac:dyDescent="0.3">
      <c r="A4277" s="88" t="s">
        <v>193</v>
      </c>
      <c r="B4277" s="88"/>
      <c r="C4277" s="16">
        <v>46295</v>
      </c>
      <c r="D4277" s="79">
        <v>313178.98000000004</v>
      </c>
    </row>
    <row r="4278" spans="1:4" x14ac:dyDescent="0.3">
      <c r="A4278" s="88" t="s">
        <v>214</v>
      </c>
      <c r="B4278" s="88"/>
      <c r="C4278" s="16">
        <v>46295</v>
      </c>
      <c r="D4278" s="79">
        <v>102344.01000000001</v>
      </c>
    </row>
    <row r="4279" spans="1:4" x14ac:dyDescent="0.3">
      <c r="A4279" s="88" t="s">
        <v>194</v>
      </c>
      <c r="B4279" s="88"/>
      <c r="C4279" s="16">
        <v>46295</v>
      </c>
      <c r="D4279" s="79">
        <v>3631.96</v>
      </c>
    </row>
    <row r="4280" spans="1:4" x14ac:dyDescent="0.3">
      <c r="A4280" s="88" t="s">
        <v>195</v>
      </c>
      <c r="B4280" s="88"/>
      <c r="C4280" s="16">
        <v>46295</v>
      </c>
      <c r="D4280" s="79">
        <v>604.80000000000018</v>
      </c>
    </row>
    <row r="4281" spans="1:4" x14ac:dyDescent="0.3">
      <c r="A4281" s="88" t="s">
        <v>196</v>
      </c>
      <c r="B4281" s="88"/>
      <c r="C4281" s="16">
        <v>46295</v>
      </c>
      <c r="D4281" s="79">
        <v>21964.799999999959</v>
      </c>
    </row>
    <row r="4282" spans="1:4" x14ac:dyDescent="0.3">
      <c r="A4282" s="88" t="s">
        <v>197</v>
      </c>
      <c r="B4282" s="88"/>
      <c r="C4282" s="16">
        <v>46295</v>
      </c>
      <c r="D4282" s="79">
        <v>794.01</v>
      </c>
    </row>
    <row r="4283" spans="1:4" x14ac:dyDescent="0.3">
      <c r="A4283" s="88" t="s">
        <v>212</v>
      </c>
      <c r="B4283" s="88"/>
      <c r="C4283" s="16">
        <v>46295</v>
      </c>
      <c r="D4283" s="79">
        <v>5445.57</v>
      </c>
    </row>
    <row r="4284" spans="1:4" x14ac:dyDescent="0.3">
      <c r="A4284" s="88" t="s">
        <v>199</v>
      </c>
      <c r="B4284" s="88"/>
      <c r="C4284" s="16">
        <v>46295</v>
      </c>
      <c r="D4284" s="79">
        <v>239524.18999999997</v>
      </c>
    </row>
    <row r="4285" spans="1:4" x14ac:dyDescent="0.3">
      <c r="A4285" s="88" t="s">
        <v>217</v>
      </c>
      <c r="B4285" s="88"/>
      <c r="C4285" s="16">
        <v>46295</v>
      </c>
      <c r="D4285" s="79">
        <v>327985.82999999996</v>
      </c>
    </row>
    <row r="4286" spans="1:4" x14ac:dyDescent="0.3">
      <c r="A4286" s="88" t="s">
        <v>17</v>
      </c>
      <c r="B4286" s="88"/>
      <c r="C4286" s="16">
        <v>46296</v>
      </c>
      <c r="D4286" s="79">
        <v>3099831.9800000004</v>
      </c>
    </row>
    <row r="4287" spans="1:4" x14ac:dyDescent="0.3">
      <c r="A4287" s="88" t="s">
        <v>18</v>
      </c>
      <c r="B4287" s="88"/>
      <c r="C4287" s="16">
        <v>46296</v>
      </c>
      <c r="D4287" s="79">
        <v>103123.59000000017</v>
      </c>
    </row>
    <row r="4288" spans="1:4" x14ac:dyDescent="0.3">
      <c r="A4288" s="88" t="s">
        <v>19</v>
      </c>
      <c r="B4288" s="88"/>
      <c r="C4288" s="16">
        <v>46296</v>
      </c>
      <c r="D4288" s="79">
        <v>1669.89</v>
      </c>
    </row>
    <row r="4289" spans="1:4" x14ac:dyDescent="0.3">
      <c r="A4289" s="88" t="s">
        <v>20</v>
      </c>
      <c r="B4289" s="88"/>
      <c r="C4289" s="16">
        <v>46296</v>
      </c>
      <c r="D4289" s="79">
        <v>1200526.7499999995</v>
      </c>
    </row>
    <row r="4290" spans="1:4" x14ac:dyDescent="0.3">
      <c r="A4290" s="88" t="s">
        <v>21</v>
      </c>
      <c r="B4290" s="88"/>
      <c r="C4290" s="16">
        <v>46296</v>
      </c>
      <c r="D4290" s="79">
        <v>1586416.1199999996</v>
      </c>
    </row>
    <row r="4291" spans="1:4" x14ac:dyDescent="0.3">
      <c r="A4291" s="88" t="s">
        <v>22</v>
      </c>
      <c r="B4291" s="88"/>
      <c r="C4291" s="16">
        <v>46296</v>
      </c>
      <c r="D4291" s="79">
        <v>208778.14</v>
      </c>
    </row>
    <row r="4292" spans="1:4" x14ac:dyDescent="0.3">
      <c r="A4292" s="88" t="s">
        <v>23</v>
      </c>
      <c r="B4292" s="88"/>
      <c r="C4292" s="16">
        <v>46296</v>
      </c>
      <c r="D4292" s="79">
        <v>80533.579999999987</v>
      </c>
    </row>
    <row r="4293" spans="1:4" x14ac:dyDescent="0.3">
      <c r="A4293" s="88" t="s">
        <v>24</v>
      </c>
      <c r="B4293" s="88"/>
      <c r="C4293" s="16">
        <v>46296</v>
      </c>
      <c r="D4293" s="79">
        <v>10259.18</v>
      </c>
    </row>
    <row r="4294" spans="1:4" x14ac:dyDescent="0.3">
      <c r="A4294" s="88" t="s">
        <v>25</v>
      </c>
      <c r="B4294" s="88"/>
      <c r="C4294" s="16">
        <v>46296</v>
      </c>
      <c r="D4294" s="79">
        <v>64.55</v>
      </c>
    </row>
    <row r="4295" spans="1:4" x14ac:dyDescent="0.3">
      <c r="A4295" s="88" t="s">
        <v>26</v>
      </c>
      <c r="B4295" s="88"/>
      <c r="C4295" s="16">
        <v>46296</v>
      </c>
      <c r="D4295" s="79">
        <v>2117.9700000000003</v>
      </c>
    </row>
    <row r="4296" spans="1:4" x14ac:dyDescent="0.3">
      <c r="A4296" s="88" t="s">
        <v>27</v>
      </c>
      <c r="B4296" s="88"/>
      <c r="C4296" s="16">
        <v>46296</v>
      </c>
      <c r="D4296" s="79">
        <v>17895.290000000015</v>
      </c>
    </row>
    <row r="4297" spans="1:4" x14ac:dyDescent="0.3">
      <c r="A4297" s="88" t="s">
        <v>28</v>
      </c>
      <c r="B4297" s="88"/>
      <c r="C4297" s="16">
        <v>46296</v>
      </c>
      <c r="D4297" s="79">
        <v>1968.99</v>
      </c>
    </row>
    <row r="4298" spans="1:4" x14ac:dyDescent="0.3">
      <c r="A4298" s="88" t="s">
        <v>29</v>
      </c>
      <c r="B4298" s="88"/>
      <c r="C4298" s="16">
        <v>46296</v>
      </c>
      <c r="D4298" s="79">
        <v>901.34</v>
      </c>
    </row>
    <row r="4299" spans="1:4" x14ac:dyDescent="0.3">
      <c r="A4299" s="88" t="s">
        <v>30</v>
      </c>
      <c r="B4299" s="88"/>
      <c r="C4299" s="16">
        <v>46296</v>
      </c>
      <c r="D4299" s="79">
        <v>1364.08</v>
      </c>
    </row>
    <row r="4300" spans="1:4" x14ac:dyDescent="0.3">
      <c r="A4300" s="88" t="s">
        <v>31</v>
      </c>
      <c r="B4300" s="88"/>
      <c r="C4300" s="16">
        <v>46296</v>
      </c>
      <c r="D4300" s="79">
        <v>20171.549999999959</v>
      </c>
    </row>
    <row r="4301" spans="1:4" x14ac:dyDescent="0.3">
      <c r="A4301" s="88" t="s">
        <v>32</v>
      </c>
      <c r="B4301" s="88"/>
      <c r="C4301" s="16">
        <v>46296</v>
      </c>
      <c r="D4301" s="79">
        <v>13576.060000000007</v>
      </c>
    </row>
    <row r="4302" spans="1:4" x14ac:dyDescent="0.3">
      <c r="A4302" s="88" t="s">
        <v>33</v>
      </c>
      <c r="B4302" s="88"/>
      <c r="C4302" s="16">
        <v>46296</v>
      </c>
      <c r="D4302" s="79">
        <v>16893.769999999997</v>
      </c>
    </row>
    <row r="4303" spans="1:4" x14ac:dyDescent="0.3">
      <c r="A4303" s="88" t="s">
        <v>34</v>
      </c>
      <c r="B4303" s="88"/>
      <c r="C4303" s="16">
        <v>46296</v>
      </c>
      <c r="D4303" s="79">
        <v>345</v>
      </c>
    </row>
    <row r="4304" spans="1:4" x14ac:dyDescent="0.3">
      <c r="A4304" s="88" t="s">
        <v>35</v>
      </c>
      <c r="B4304" s="88"/>
      <c r="C4304" s="16">
        <v>46296</v>
      </c>
      <c r="D4304" s="79">
        <v>26842.190000000002</v>
      </c>
    </row>
    <row r="4305" spans="1:4" x14ac:dyDescent="0.3">
      <c r="A4305" s="88" t="s">
        <v>193</v>
      </c>
      <c r="B4305" s="88"/>
      <c r="C4305" s="16">
        <v>46296</v>
      </c>
      <c r="D4305" s="79">
        <v>313178.98000000004</v>
      </c>
    </row>
    <row r="4306" spans="1:4" x14ac:dyDescent="0.3">
      <c r="A4306" s="88" t="s">
        <v>214</v>
      </c>
      <c r="B4306" s="88"/>
      <c r="C4306" s="16">
        <v>46296</v>
      </c>
      <c r="D4306" s="79">
        <v>102344.01000000001</v>
      </c>
    </row>
    <row r="4307" spans="1:4" x14ac:dyDescent="0.3">
      <c r="A4307" s="88" t="s">
        <v>194</v>
      </c>
      <c r="B4307" s="88"/>
      <c r="C4307" s="16">
        <v>46296</v>
      </c>
      <c r="D4307" s="79">
        <v>100631.96</v>
      </c>
    </row>
    <row r="4308" spans="1:4" x14ac:dyDescent="0.3">
      <c r="A4308" s="88" t="s">
        <v>195</v>
      </c>
      <c r="B4308" s="88"/>
      <c r="C4308" s="16">
        <v>46296</v>
      </c>
      <c r="D4308" s="79">
        <v>5604.8</v>
      </c>
    </row>
    <row r="4309" spans="1:4" x14ac:dyDescent="0.3">
      <c r="A4309" s="88" t="s">
        <v>196</v>
      </c>
      <c r="B4309" s="88"/>
      <c r="C4309" s="16">
        <v>46296</v>
      </c>
      <c r="D4309" s="79">
        <v>21964.799999999959</v>
      </c>
    </row>
    <row r="4310" spans="1:4" x14ac:dyDescent="0.3">
      <c r="A4310" s="88" t="s">
        <v>197</v>
      </c>
      <c r="B4310" s="88"/>
      <c r="C4310" s="16">
        <v>46296</v>
      </c>
      <c r="D4310" s="79">
        <v>794.01</v>
      </c>
    </row>
    <row r="4311" spans="1:4" x14ac:dyDescent="0.3">
      <c r="A4311" s="88" t="s">
        <v>212</v>
      </c>
      <c r="B4311" s="88"/>
      <c r="C4311" s="16">
        <v>46296</v>
      </c>
      <c r="D4311" s="79">
        <v>5445.57</v>
      </c>
    </row>
    <row r="4312" spans="1:4" x14ac:dyDescent="0.3">
      <c r="A4312" s="88" t="s">
        <v>199</v>
      </c>
      <c r="B4312" s="88"/>
      <c r="C4312" s="16">
        <v>46296</v>
      </c>
      <c r="D4312" s="79">
        <v>244424.18999999997</v>
      </c>
    </row>
    <row r="4313" spans="1:4" x14ac:dyDescent="0.3">
      <c r="A4313" s="88" t="s">
        <v>217</v>
      </c>
      <c r="B4313" s="88"/>
      <c r="C4313" s="16">
        <v>46296</v>
      </c>
      <c r="D4313" s="79">
        <v>327985.82999999996</v>
      </c>
    </row>
    <row r="4314" spans="1:4" x14ac:dyDescent="0.3">
      <c r="A4314" s="88" t="s">
        <v>17</v>
      </c>
      <c r="B4314" s="88"/>
      <c r="C4314" s="16">
        <v>46297</v>
      </c>
      <c r="D4314" s="79">
        <v>3099831.9800000004</v>
      </c>
    </row>
    <row r="4315" spans="1:4" x14ac:dyDescent="0.3">
      <c r="A4315" s="88" t="s">
        <v>18</v>
      </c>
      <c r="B4315" s="88"/>
      <c r="C4315" s="16">
        <v>46297</v>
      </c>
      <c r="D4315" s="79">
        <v>103123.59000000017</v>
      </c>
    </row>
    <row r="4316" spans="1:4" x14ac:dyDescent="0.3">
      <c r="A4316" s="88" t="s">
        <v>19</v>
      </c>
      <c r="B4316" s="88"/>
      <c r="C4316" s="16">
        <v>46297</v>
      </c>
      <c r="D4316" s="79">
        <v>1669.89</v>
      </c>
    </row>
    <row r="4317" spans="1:4" x14ac:dyDescent="0.3">
      <c r="A4317" s="88" t="s">
        <v>20</v>
      </c>
      <c r="B4317" s="88"/>
      <c r="C4317" s="16">
        <v>46297</v>
      </c>
      <c r="D4317" s="79">
        <v>1200526.7499999995</v>
      </c>
    </row>
    <row r="4318" spans="1:4" x14ac:dyDescent="0.3">
      <c r="A4318" s="88" t="s">
        <v>21</v>
      </c>
      <c r="B4318" s="88"/>
      <c r="C4318" s="16">
        <v>46297</v>
      </c>
      <c r="D4318" s="79">
        <v>1586416.1199999996</v>
      </c>
    </row>
    <row r="4319" spans="1:4" x14ac:dyDescent="0.3">
      <c r="A4319" s="88" t="s">
        <v>22</v>
      </c>
      <c r="B4319" s="88"/>
      <c r="C4319" s="16">
        <v>46297</v>
      </c>
      <c r="D4319" s="79">
        <v>208778.14</v>
      </c>
    </row>
    <row r="4320" spans="1:4" x14ac:dyDescent="0.3">
      <c r="A4320" s="88" t="s">
        <v>23</v>
      </c>
      <c r="B4320" s="88"/>
      <c r="C4320" s="16">
        <v>46297</v>
      </c>
      <c r="D4320" s="79">
        <v>80533.579999999987</v>
      </c>
    </row>
    <row r="4321" spans="1:4" x14ac:dyDescent="0.3">
      <c r="A4321" s="88" t="s">
        <v>24</v>
      </c>
      <c r="B4321" s="88"/>
      <c r="C4321" s="16">
        <v>46297</v>
      </c>
      <c r="D4321" s="79">
        <v>10259.18</v>
      </c>
    </row>
    <row r="4322" spans="1:4" x14ac:dyDescent="0.3">
      <c r="A4322" s="88" t="s">
        <v>25</v>
      </c>
      <c r="B4322" s="88"/>
      <c r="C4322" s="16">
        <v>46297</v>
      </c>
      <c r="D4322" s="79">
        <v>64.55</v>
      </c>
    </row>
    <row r="4323" spans="1:4" x14ac:dyDescent="0.3">
      <c r="A4323" s="88" t="s">
        <v>26</v>
      </c>
      <c r="B4323" s="88"/>
      <c r="C4323" s="16">
        <v>46297</v>
      </c>
      <c r="D4323" s="79">
        <v>2117.9700000000003</v>
      </c>
    </row>
    <row r="4324" spans="1:4" x14ac:dyDescent="0.3">
      <c r="A4324" s="88" t="s">
        <v>27</v>
      </c>
      <c r="B4324" s="88"/>
      <c r="C4324" s="16">
        <v>46297</v>
      </c>
      <c r="D4324" s="79">
        <v>17895.290000000015</v>
      </c>
    </row>
    <row r="4325" spans="1:4" x14ac:dyDescent="0.3">
      <c r="A4325" s="88" t="s">
        <v>28</v>
      </c>
      <c r="B4325" s="88"/>
      <c r="C4325" s="16">
        <v>46297</v>
      </c>
      <c r="D4325" s="79">
        <v>1968.99</v>
      </c>
    </row>
    <row r="4326" spans="1:4" x14ac:dyDescent="0.3">
      <c r="A4326" s="88" t="s">
        <v>29</v>
      </c>
      <c r="B4326" s="88"/>
      <c r="C4326" s="16">
        <v>46297</v>
      </c>
      <c r="D4326" s="79">
        <v>901.34</v>
      </c>
    </row>
    <row r="4327" spans="1:4" x14ac:dyDescent="0.3">
      <c r="A4327" s="88" t="s">
        <v>30</v>
      </c>
      <c r="B4327" s="88"/>
      <c r="C4327" s="16">
        <v>46297</v>
      </c>
      <c r="D4327" s="79">
        <v>1364.08</v>
      </c>
    </row>
    <row r="4328" spans="1:4" x14ac:dyDescent="0.3">
      <c r="A4328" s="88" t="s">
        <v>31</v>
      </c>
      <c r="B4328" s="88"/>
      <c r="C4328" s="16">
        <v>46297</v>
      </c>
      <c r="D4328" s="79">
        <v>20171.549999999959</v>
      </c>
    </row>
    <row r="4329" spans="1:4" x14ac:dyDescent="0.3">
      <c r="A4329" s="88" t="s">
        <v>32</v>
      </c>
      <c r="B4329" s="88"/>
      <c r="C4329" s="16">
        <v>46297</v>
      </c>
      <c r="D4329" s="79">
        <v>13576.060000000007</v>
      </c>
    </row>
    <row r="4330" spans="1:4" x14ac:dyDescent="0.3">
      <c r="A4330" s="88" t="s">
        <v>33</v>
      </c>
      <c r="B4330" s="88"/>
      <c r="C4330" s="16">
        <v>46297</v>
      </c>
      <c r="D4330" s="79">
        <v>16893.769999999997</v>
      </c>
    </row>
    <row r="4331" spans="1:4" x14ac:dyDescent="0.3">
      <c r="A4331" s="88" t="s">
        <v>34</v>
      </c>
      <c r="B4331" s="88"/>
      <c r="C4331" s="16">
        <v>46297</v>
      </c>
      <c r="D4331" s="79">
        <v>345</v>
      </c>
    </row>
    <row r="4332" spans="1:4" x14ac:dyDescent="0.3">
      <c r="A4332" s="88" t="s">
        <v>35</v>
      </c>
      <c r="B4332" s="88"/>
      <c r="C4332" s="16">
        <v>46297</v>
      </c>
      <c r="D4332" s="79">
        <v>23028.850000000002</v>
      </c>
    </row>
    <row r="4333" spans="1:4" x14ac:dyDescent="0.3">
      <c r="A4333" s="88" t="s">
        <v>193</v>
      </c>
      <c r="B4333" s="88"/>
      <c r="C4333" s="16">
        <v>46297</v>
      </c>
      <c r="D4333" s="79">
        <v>313178.98000000004</v>
      </c>
    </row>
    <row r="4334" spans="1:4" x14ac:dyDescent="0.3">
      <c r="A4334" s="88" t="s">
        <v>214</v>
      </c>
      <c r="B4334" s="88"/>
      <c r="C4334" s="16">
        <v>46297</v>
      </c>
      <c r="D4334" s="79">
        <v>102232.04000000001</v>
      </c>
    </row>
    <row r="4335" spans="1:4" x14ac:dyDescent="0.3">
      <c r="A4335" s="88" t="s">
        <v>194</v>
      </c>
      <c r="B4335" s="88"/>
      <c r="C4335" s="16">
        <v>46297</v>
      </c>
      <c r="D4335" s="79">
        <v>100631.96</v>
      </c>
    </row>
    <row r="4336" spans="1:4" x14ac:dyDescent="0.3">
      <c r="A4336" s="88" t="s">
        <v>195</v>
      </c>
      <c r="B4336" s="88"/>
      <c r="C4336" s="16">
        <v>46297</v>
      </c>
      <c r="D4336" s="79">
        <v>5604.8</v>
      </c>
    </row>
    <row r="4337" spans="1:4" x14ac:dyDescent="0.3">
      <c r="A4337" s="88" t="s">
        <v>196</v>
      </c>
      <c r="B4337" s="88"/>
      <c r="C4337" s="16">
        <v>46297</v>
      </c>
      <c r="D4337" s="79">
        <v>21434.939999999973</v>
      </c>
    </row>
    <row r="4338" spans="1:4" x14ac:dyDescent="0.3">
      <c r="A4338" s="88" t="s">
        <v>197</v>
      </c>
      <c r="B4338" s="88"/>
      <c r="C4338" s="16">
        <v>46297</v>
      </c>
      <c r="D4338" s="79">
        <v>794.01</v>
      </c>
    </row>
    <row r="4339" spans="1:4" x14ac:dyDescent="0.3">
      <c r="A4339" s="88" t="s">
        <v>212</v>
      </c>
      <c r="B4339" s="88"/>
      <c r="C4339" s="16">
        <v>46297</v>
      </c>
      <c r="D4339" s="79">
        <v>5445.57</v>
      </c>
    </row>
    <row r="4340" spans="1:4" x14ac:dyDescent="0.3">
      <c r="A4340" s="88" t="s">
        <v>199</v>
      </c>
      <c r="B4340" s="88"/>
      <c r="C4340" s="16">
        <v>46297</v>
      </c>
      <c r="D4340" s="79">
        <v>246324.18999999997</v>
      </c>
    </row>
    <row r="4341" spans="1:4" x14ac:dyDescent="0.3">
      <c r="A4341" s="88" t="s">
        <v>217</v>
      </c>
      <c r="B4341" s="88"/>
      <c r="C4341" s="16">
        <v>46297</v>
      </c>
      <c r="D4341" s="79">
        <v>327985.82999999996</v>
      </c>
    </row>
    <row r="4342" spans="1:4" x14ac:dyDescent="0.3">
      <c r="A4342" s="88" t="s">
        <v>17</v>
      </c>
      <c r="B4342" s="88"/>
      <c r="C4342" s="16">
        <v>46298</v>
      </c>
      <c r="D4342" s="79">
        <v>3099831.9800000004</v>
      </c>
    </row>
    <row r="4343" spans="1:4" x14ac:dyDescent="0.3">
      <c r="A4343" s="88" t="s">
        <v>18</v>
      </c>
      <c r="B4343" s="88"/>
      <c r="C4343" s="16">
        <v>46298</v>
      </c>
      <c r="D4343" s="79">
        <v>103123.59000000017</v>
      </c>
    </row>
    <row r="4344" spans="1:4" x14ac:dyDescent="0.3">
      <c r="A4344" s="88" t="s">
        <v>19</v>
      </c>
      <c r="B4344" s="88"/>
      <c r="C4344" s="16">
        <v>46298</v>
      </c>
      <c r="D4344" s="79">
        <v>1669.89</v>
      </c>
    </row>
    <row r="4345" spans="1:4" x14ac:dyDescent="0.3">
      <c r="A4345" s="88" t="s">
        <v>20</v>
      </c>
      <c r="B4345" s="88"/>
      <c r="C4345" s="16">
        <v>46298</v>
      </c>
      <c r="D4345" s="79">
        <v>1200526.7499999995</v>
      </c>
    </row>
    <row r="4346" spans="1:4" x14ac:dyDescent="0.3">
      <c r="A4346" s="88" t="s">
        <v>21</v>
      </c>
      <c r="B4346" s="88"/>
      <c r="C4346" s="16">
        <v>46298</v>
      </c>
      <c r="D4346" s="79">
        <v>1586416.1199999996</v>
      </c>
    </row>
    <row r="4347" spans="1:4" x14ac:dyDescent="0.3">
      <c r="A4347" s="88" t="s">
        <v>22</v>
      </c>
      <c r="B4347" s="88"/>
      <c r="C4347" s="16">
        <v>46298</v>
      </c>
      <c r="D4347" s="79">
        <v>208778.14</v>
      </c>
    </row>
    <row r="4348" spans="1:4" x14ac:dyDescent="0.3">
      <c r="A4348" s="88" t="s">
        <v>23</v>
      </c>
      <c r="B4348" s="88"/>
      <c r="C4348" s="16">
        <v>46298</v>
      </c>
      <c r="D4348" s="79">
        <v>80533.579999999987</v>
      </c>
    </row>
    <row r="4349" spans="1:4" x14ac:dyDescent="0.3">
      <c r="A4349" s="88" t="s">
        <v>24</v>
      </c>
      <c r="B4349" s="88"/>
      <c r="C4349" s="16">
        <v>46298</v>
      </c>
      <c r="D4349" s="79">
        <v>10259.18</v>
      </c>
    </row>
    <row r="4350" spans="1:4" x14ac:dyDescent="0.3">
      <c r="A4350" s="88" t="s">
        <v>25</v>
      </c>
      <c r="B4350" s="88"/>
      <c r="C4350" s="16">
        <v>46298</v>
      </c>
      <c r="D4350" s="79">
        <v>64.55</v>
      </c>
    </row>
    <row r="4351" spans="1:4" x14ac:dyDescent="0.3">
      <c r="A4351" s="88" t="s">
        <v>26</v>
      </c>
      <c r="B4351" s="88"/>
      <c r="C4351" s="16">
        <v>46298</v>
      </c>
      <c r="D4351" s="79">
        <v>2117.9700000000003</v>
      </c>
    </row>
    <row r="4352" spans="1:4" x14ac:dyDescent="0.3">
      <c r="A4352" s="88" t="s">
        <v>27</v>
      </c>
      <c r="B4352" s="88"/>
      <c r="C4352" s="16">
        <v>46298</v>
      </c>
      <c r="D4352" s="79">
        <v>17895.290000000015</v>
      </c>
    </row>
    <row r="4353" spans="1:4" x14ac:dyDescent="0.3">
      <c r="A4353" s="88" t="s">
        <v>28</v>
      </c>
      <c r="B4353" s="88"/>
      <c r="C4353" s="16">
        <v>46298</v>
      </c>
      <c r="D4353" s="79">
        <v>1968.99</v>
      </c>
    </row>
    <row r="4354" spans="1:4" x14ac:dyDescent="0.3">
      <c r="A4354" s="88" t="s">
        <v>29</v>
      </c>
      <c r="B4354" s="88"/>
      <c r="C4354" s="16">
        <v>46298</v>
      </c>
      <c r="D4354" s="79">
        <v>901.34</v>
      </c>
    </row>
    <row r="4355" spans="1:4" x14ac:dyDescent="0.3">
      <c r="A4355" s="88" t="s">
        <v>30</v>
      </c>
      <c r="B4355" s="88"/>
      <c r="C4355" s="16">
        <v>46298</v>
      </c>
      <c r="D4355" s="79">
        <v>1364.08</v>
      </c>
    </row>
    <row r="4356" spans="1:4" x14ac:dyDescent="0.3">
      <c r="A4356" s="88" t="s">
        <v>31</v>
      </c>
      <c r="B4356" s="88"/>
      <c r="C4356" s="16">
        <v>46298</v>
      </c>
      <c r="D4356" s="79">
        <v>20171.549999999959</v>
      </c>
    </row>
    <row r="4357" spans="1:4" x14ac:dyDescent="0.3">
      <c r="A4357" s="88" t="s">
        <v>32</v>
      </c>
      <c r="B4357" s="88"/>
      <c r="C4357" s="16">
        <v>46298</v>
      </c>
      <c r="D4357" s="79">
        <v>13576.060000000007</v>
      </c>
    </row>
    <row r="4358" spans="1:4" x14ac:dyDescent="0.3">
      <c r="A4358" s="88" t="s">
        <v>33</v>
      </c>
      <c r="B4358" s="88"/>
      <c r="C4358" s="16">
        <v>46298</v>
      </c>
      <c r="D4358" s="79">
        <v>16893.769999999997</v>
      </c>
    </row>
    <row r="4359" spans="1:4" x14ac:dyDescent="0.3">
      <c r="A4359" s="88" t="s">
        <v>34</v>
      </c>
      <c r="B4359" s="88"/>
      <c r="C4359" s="16">
        <v>46298</v>
      </c>
      <c r="D4359" s="79">
        <v>345</v>
      </c>
    </row>
    <row r="4360" spans="1:4" x14ac:dyDescent="0.3">
      <c r="A4360" s="88" t="s">
        <v>35</v>
      </c>
      <c r="B4360" s="88"/>
      <c r="C4360" s="16">
        <v>46298</v>
      </c>
      <c r="D4360" s="79">
        <v>23028.850000000002</v>
      </c>
    </row>
    <row r="4361" spans="1:4" x14ac:dyDescent="0.3">
      <c r="A4361" s="88" t="s">
        <v>193</v>
      </c>
      <c r="B4361" s="88"/>
      <c r="C4361" s="16">
        <v>46298</v>
      </c>
      <c r="D4361" s="79">
        <v>313178.98000000004</v>
      </c>
    </row>
    <row r="4362" spans="1:4" x14ac:dyDescent="0.3">
      <c r="A4362" s="88" t="s">
        <v>214</v>
      </c>
      <c r="B4362" s="88"/>
      <c r="C4362" s="16">
        <v>46298</v>
      </c>
      <c r="D4362" s="79">
        <v>102232.04000000001</v>
      </c>
    </row>
    <row r="4363" spans="1:4" x14ac:dyDescent="0.3">
      <c r="A4363" s="88" t="s">
        <v>194</v>
      </c>
      <c r="B4363" s="88"/>
      <c r="C4363" s="16">
        <v>46298</v>
      </c>
      <c r="D4363" s="79">
        <v>100631.96</v>
      </c>
    </row>
    <row r="4364" spans="1:4" x14ac:dyDescent="0.3">
      <c r="A4364" s="88" t="s">
        <v>195</v>
      </c>
      <c r="B4364" s="88"/>
      <c r="C4364" s="16">
        <v>46298</v>
      </c>
      <c r="D4364" s="79">
        <v>5604.8</v>
      </c>
    </row>
    <row r="4365" spans="1:4" x14ac:dyDescent="0.3">
      <c r="A4365" s="88" t="s">
        <v>196</v>
      </c>
      <c r="B4365" s="88"/>
      <c r="C4365" s="16">
        <v>46298</v>
      </c>
      <c r="D4365" s="79">
        <v>21434.939999999973</v>
      </c>
    </row>
    <row r="4366" spans="1:4" x14ac:dyDescent="0.3">
      <c r="A4366" s="88" t="s">
        <v>197</v>
      </c>
      <c r="B4366" s="88"/>
      <c r="C4366" s="16">
        <v>46298</v>
      </c>
      <c r="D4366" s="79">
        <v>794.01</v>
      </c>
    </row>
    <row r="4367" spans="1:4" x14ac:dyDescent="0.3">
      <c r="A4367" s="88" t="s">
        <v>212</v>
      </c>
      <c r="B4367" s="88"/>
      <c r="C4367" s="16">
        <v>46298</v>
      </c>
      <c r="D4367" s="79">
        <v>5445.57</v>
      </c>
    </row>
    <row r="4368" spans="1:4" x14ac:dyDescent="0.3">
      <c r="A4368" s="88" t="s">
        <v>199</v>
      </c>
      <c r="B4368" s="88"/>
      <c r="C4368" s="16">
        <v>46298</v>
      </c>
      <c r="D4368" s="79">
        <v>246324.18999999997</v>
      </c>
    </row>
    <row r="4369" spans="1:4" x14ac:dyDescent="0.3">
      <c r="A4369" s="88" t="s">
        <v>217</v>
      </c>
      <c r="B4369" s="88"/>
      <c r="C4369" s="16">
        <v>46298</v>
      </c>
      <c r="D4369" s="79">
        <v>327985.82999999996</v>
      </c>
    </row>
    <row r="4370" spans="1:4" x14ac:dyDescent="0.3">
      <c r="A4370" s="88" t="s">
        <v>17</v>
      </c>
      <c r="B4370" s="88"/>
      <c r="C4370" s="16">
        <v>46299</v>
      </c>
      <c r="D4370" s="79">
        <v>3099831.9800000004</v>
      </c>
    </row>
    <row r="4371" spans="1:4" x14ac:dyDescent="0.3">
      <c r="A4371" s="88" t="s">
        <v>18</v>
      </c>
      <c r="B4371" s="88"/>
      <c r="C4371" s="16">
        <v>46299</v>
      </c>
      <c r="D4371" s="79">
        <v>103123.59000000017</v>
      </c>
    </row>
    <row r="4372" spans="1:4" x14ac:dyDescent="0.3">
      <c r="A4372" s="88" t="s">
        <v>19</v>
      </c>
      <c r="B4372" s="88"/>
      <c r="C4372" s="16">
        <v>46299</v>
      </c>
      <c r="D4372" s="79">
        <v>1669.89</v>
      </c>
    </row>
    <row r="4373" spans="1:4" x14ac:dyDescent="0.3">
      <c r="A4373" s="88" t="s">
        <v>20</v>
      </c>
      <c r="B4373" s="88"/>
      <c r="C4373" s="16">
        <v>46299</v>
      </c>
      <c r="D4373" s="79">
        <v>1200526.7499999995</v>
      </c>
    </row>
    <row r="4374" spans="1:4" x14ac:dyDescent="0.3">
      <c r="A4374" s="88" t="s">
        <v>21</v>
      </c>
      <c r="B4374" s="88"/>
      <c r="C4374" s="16">
        <v>46299</v>
      </c>
      <c r="D4374" s="79">
        <v>1586416.1199999996</v>
      </c>
    </row>
    <row r="4375" spans="1:4" x14ac:dyDescent="0.3">
      <c r="A4375" s="88" t="s">
        <v>22</v>
      </c>
      <c r="B4375" s="88"/>
      <c r="C4375" s="16">
        <v>46299</v>
      </c>
      <c r="D4375" s="79">
        <v>208778.14</v>
      </c>
    </row>
    <row r="4376" spans="1:4" x14ac:dyDescent="0.3">
      <c r="A4376" s="88" t="s">
        <v>23</v>
      </c>
      <c r="B4376" s="88"/>
      <c r="C4376" s="16">
        <v>46299</v>
      </c>
      <c r="D4376" s="79">
        <v>80533.579999999987</v>
      </c>
    </row>
    <row r="4377" spans="1:4" x14ac:dyDescent="0.3">
      <c r="A4377" s="88" t="s">
        <v>24</v>
      </c>
      <c r="B4377" s="88"/>
      <c r="C4377" s="16">
        <v>46299</v>
      </c>
      <c r="D4377" s="79">
        <v>10259.18</v>
      </c>
    </row>
    <row r="4378" spans="1:4" x14ac:dyDescent="0.3">
      <c r="A4378" s="88" t="s">
        <v>25</v>
      </c>
      <c r="B4378" s="88"/>
      <c r="C4378" s="16">
        <v>46299</v>
      </c>
      <c r="D4378" s="79">
        <v>64.55</v>
      </c>
    </row>
    <row r="4379" spans="1:4" x14ac:dyDescent="0.3">
      <c r="A4379" s="88" t="s">
        <v>26</v>
      </c>
      <c r="B4379" s="88"/>
      <c r="C4379" s="16">
        <v>46299</v>
      </c>
      <c r="D4379" s="79">
        <v>2117.9700000000003</v>
      </c>
    </row>
    <row r="4380" spans="1:4" x14ac:dyDescent="0.3">
      <c r="A4380" s="88" t="s">
        <v>27</v>
      </c>
      <c r="B4380" s="88"/>
      <c r="C4380" s="16">
        <v>46299</v>
      </c>
      <c r="D4380" s="79">
        <v>17895.290000000015</v>
      </c>
    </row>
    <row r="4381" spans="1:4" x14ac:dyDescent="0.3">
      <c r="A4381" s="88" t="s">
        <v>28</v>
      </c>
      <c r="B4381" s="88"/>
      <c r="C4381" s="16">
        <v>46299</v>
      </c>
      <c r="D4381" s="79">
        <v>1968.99</v>
      </c>
    </row>
    <row r="4382" spans="1:4" x14ac:dyDescent="0.3">
      <c r="A4382" s="88" t="s">
        <v>29</v>
      </c>
      <c r="B4382" s="88"/>
      <c r="C4382" s="16">
        <v>46299</v>
      </c>
      <c r="D4382" s="79">
        <v>901.34</v>
      </c>
    </row>
    <row r="4383" spans="1:4" x14ac:dyDescent="0.3">
      <c r="A4383" s="88" t="s">
        <v>30</v>
      </c>
      <c r="B4383" s="88"/>
      <c r="C4383" s="16">
        <v>46299</v>
      </c>
      <c r="D4383" s="79">
        <v>1364.08</v>
      </c>
    </row>
    <row r="4384" spans="1:4" x14ac:dyDescent="0.3">
      <c r="A4384" s="88" t="s">
        <v>31</v>
      </c>
      <c r="B4384" s="88"/>
      <c r="C4384" s="16">
        <v>46299</v>
      </c>
      <c r="D4384" s="79">
        <v>20171.549999999959</v>
      </c>
    </row>
    <row r="4385" spans="1:4" x14ac:dyDescent="0.3">
      <c r="A4385" s="88" t="s">
        <v>32</v>
      </c>
      <c r="B4385" s="88"/>
      <c r="C4385" s="16">
        <v>46299</v>
      </c>
      <c r="D4385" s="79">
        <v>13576.060000000007</v>
      </c>
    </row>
    <row r="4386" spans="1:4" x14ac:dyDescent="0.3">
      <c r="A4386" s="88" t="s">
        <v>33</v>
      </c>
      <c r="B4386" s="88"/>
      <c r="C4386" s="16">
        <v>46299</v>
      </c>
      <c r="D4386" s="79">
        <v>16893.769999999997</v>
      </c>
    </row>
    <row r="4387" spans="1:4" x14ac:dyDescent="0.3">
      <c r="A4387" s="88" t="s">
        <v>34</v>
      </c>
      <c r="B4387" s="88"/>
      <c r="C4387" s="16">
        <v>46299</v>
      </c>
      <c r="D4387" s="79">
        <v>345</v>
      </c>
    </row>
    <row r="4388" spans="1:4" x14ac:dyDescent="0.3">
      <c r="A4388" s="88" t="s">
        <v>35</v>
      </c>
      <c r="B4388" s="88"/>
      <c r="C4388" s="16">
        <v>46299</v>
      </c>
      <c r="D4388" s="79">
        <v>23028.850000000002</v>
      </c>
    </row>
    <row r="4389" spans="1:4" x14ac:dyDescent="0.3">
      <c r="A4389" s="88" t="s">
        <v>193</v>
      </c>
      <c r="B4389" s="88"/>
      <c r="C4389" s="16">
        <v>46299</v>
      </c>
      <c r="D4389" s="79">
        <v>313178.98000000004</v>
      </c>
    </row>
    <row r="4390" spans="1:4" x14ac:dyDescent="0.3">
      <c r="A4390" s="88" t="s">
        <v>214</v>
      </c>
      <c r="B4390" s="88"/>
      <c r="C4390" s="16">
        <v>46299</v>
      </c>
      <c r="D4390" s="79">
        <v>102232.04000000001</v>
      </c>
    </row>
    <row r="4391" spans="1:4" x14ac:dyDescent="0.3">
      <c r="A4391" s="88" t="s">
        <v>194</v>
      </c>
      <c r="B4391" s="88"/>
      <c r="C4391" s="16">
        <v>46299</v>
      </c>
      <c r="D4391" s="79">
        <v>100631.96</v>
      </c>
    </row>
    <row r="4392" spans="1:4" x14ac:dyDescent="0.3">
      <c r="A4392" s="88" t="s">
        <v>195</v>
      </c>
      <c r="B4392" s="88"/>
      <c r="C4392" s="16">
        <v>46299</v>
      </c>
      <c r="D4392" s="79">
        <v>5604.8</v>
      </c>
    </row>
    <row r="4393" spans="1:4" x14ac:dyDescent="0.3">
      <c r="A4393" s="88" t="s">
        <v>196</v>
      </c>
      <c r="B4393" s="88"/>
      <c r="C4393" s="16">
        <v>46299</v>
      </c>
      <c r="D4393" s="79">
        <v>21434.939999999973</v>
      </c>
    </row>
    <row r="4394" spans="1:4" x14ac:dyDescent="0.3">
      <c r="A4394" s="88" t="s">
        <v>197</v>
      </c>
      <c r="B4394" s="88"/>
      <c r="C4394" s="16">
        <v>46299</v>
      </c>
      <c r="D4394" s="79">
        <v>794.01</v>
      </c>
    </row>
    <row r="4395" spans="1:4" x14ac:dyDescent="0.3">
      <c r="A4395" s="88" t="s">
        <v>212</v>
      </c>
      <c r="B4395" s="88"/>
      <c r="C4395" s="16">
        <v>46299</v>
      </c>
      <c r="D4395" s="79">
        <v>5445.57</v>
      </c>
    </row>
    <row r="4396" spans="1:4" x14ac:dyDescent="0.3">
      <c r="A4396" s="88" t="s">
        <v>199</v>
      </c>
      <c r="B4396" s="88"/>
      <c r="C4396" s="16">
        <v>46299</v>
      </c>
      <c r="D4396" s="79">
        <v>246324.18999999997</v>
      </c>
    </row>
    <row r="4397" spans="1:4" x14ac:dyDescent="0.3">
      <c r="A4397" s="88" t="s">
        <v>217</v>
      </c>
      <c r="B4397" s="88"/>
      <c r="C4397" s="16">
        <v>46299</v>
      </c>
      <c r="D4397" s="79">
        <v>327985.82999999996</v>
      </c>
    </row>
    <row r="4398" spans="1:4" x14ac:dyDescent="0.3">
      <c r="A4398" s="88" t="s">
        <v>17</v>
      </c>
      <c r="B4398" s="88"/>
      <c r="C4398" s="16">
        <v>46300</v>
      </c>
      <c r="D4398" s="79">
        <v>3099831.9800000004</v>
      </c>
    </row>
    <row r="4399" spans="1:4" x14ac:dyDescent="0.3">
      <c r="A4399" s="88" t="s">
        <v>18</v>
      </c>
      <c r="B4399" s="88"/>
      <c r="C4399" s="16">
        <v>46300</v>
      </c>
      <c r="D4399" s="79">
        <v>103123.59000000017</v>
      </c>
    </row>
    <row r="4400" spans="1:4" x14ac:dyDescent="0.3">
      <c r="A4400" s="88" t="s">
        <v>19</v>
      </c>
      <c r="B4400" s="88"/>
      <c r="C4400" s="16">
        <v>46300</v>
      </c>
      <c r="D4400" s="79">
        <v>1669.89</v>
      </c>
    </row>
    <row r="4401" spans="1:4" x14ac:dyDescent="0.3">
      <c r="A4401" s="88" t="s">
        <v>20</v>
      </c>
      <c r="B4401" s="88"/>
      <c r="C4401" s="16">
        <v>46300</v>
      </c>
      <c r="D4401" s="79">
        <v>1200526.7499999995</v>
      </c>
    </row>
    <row r="4402" spans="1:4" x14ac:dyDescent="0.3">
      <c r="A4402" s="88" t="s">
        <v>21</v>
      </c>
      <c r="B4402" s="88"/>
      <c r="C4402" s="16">
        <v>46300</v>
      </c>
      <c r="D4402" s="79">
        <v>1585767.3599999994</v>
      </c>
    </row>
    <row r="4403" spans="1:4" x14ac:dyDescent="0.3">
      <c r="A4403" s="88" t="s">
        <v>22</v>
      </c>
      <c r="B4403" s="88"/>
      <c r="C4403" s="16">
        <v>46300</v>
      </c>
      <c r="D4403" s="79">
        <v>181778.14</v>
      </c>
    </row>
    <row r="4404" spans="1:4" x14ac:dyDescent="0.3">
      <c r="A4404" s="88" t="s">
        <v>23</v>
      </c>
      <c r="B4404" s="88"/>
      <c r="C4404" s="16">
        <v>46300</v>
      </c>
      <c r="D4404" s="79">
        <v>80533.579999999987</v>
      </c>
    </row>
    <row r="4405" spans="1:4" x14ac:dyDescent="0.3">
      <c r="A4405" s="88" t="s">
        <v>24</v>
      </c>
      <c r="B4405" s="88"/>
      <c r="C4405" s="16">
        <v>46300</v>
      </c>
      <c r="D4405" s="79">
        <v>10259.18</v>
      </c>
    </row>
    <row r="4406" spans="1:4" x14ac:dyDescent="0.3">
      <c r="A4406" s="88" t="s">
        <v>25</v>
      </c>
      <c r="B4406" s="88"/>
      <c r="C4406" s="16">
        <v>46300</v>
      </c>
      <c r="D4406" s="79">
        <v>64.55</v>
      </c>
    </row>
    <row r="4407" spans="1:4" x14ac:dyDescent="0.3">
      <c r="A4407" s="88" t="s">
        <v>26</v>
      </c>
      <c r="B4407" s="88"/>
      <c r="C4407" s="16">
        <v>46300</v>
      </c>
      <c r="D4407" s="79">
        <v>2117.9700000000003</v>
      </c>
    </row>
    <row r="4408" spans="1:4" x14ac:dyDescent="0.3">
      <c r="A4408" s="88" t="s">
        <v>27</v>
      </c>
      <c r="B4408" s="88"/>
      <c r="C4408" s="16">
        <v>46300</v>
      </c>
      <c r="D4408" s="79">
        <v>17895.290000000015</v>
      </c>
    </row>
    <row r="4409" spans="1:4" x14ac:dyDescent="0.3">
      <c r="A4409" s="88" t="s">
        <v>28</v>
      </c>
      <c r="B4409" s="88"/>
      <c r="C4409" s="16">
        <v>46300</v>
      </c>
      <c r="D4409" s="79">
        <v>1968.99</v>
      </c>
    </row>
    <row r="4410" spans="1:4" x14ac:dyDescent="0.3">
      <c r="A4410" s="88" t="s">
        <v>29</v>
      </c>
      <c r="B4410" s="88"/>
      <c r="C4410" s="16">
        <v>46300</v>
      </c>
      <c r="D4410" s="79">
        <v>901.34</v>
      </c>
    </row>
    <row r="4411" spans="1:4" x14ac:dyDescent="0.3">
      <c r="A4411" s="88" t="s">
        <v>30</v>
      </c>
      <c r="B4411" s="88"/>
      <c r="C4411" s="16">
        <v>46300</v>
      </c>
      <c r="D4411" s="79">
        <v>1364.08</v>
      </c>
    </row>
    <row r="4412" spans="1:4" x14ac:dyDescent="0.3">
      <c r="A4412" s="88" t="s">
        <v>31</v>
      </c>
      <c r="B4412" s="88"/>
      <c r="C4412" s="16">
        <v>46300</v>
      </c>
      <c r="D4412" s="79">
        <v>20171.549999999959</v>
      </c>
    </row>
    <row r="4413" spans="1:4" x14ac:dyDescent="0.3">
      <c r="A4413" s="88" t="s">
        <v>32</v>
      </c>
      <c r="B4413" s="88"/>
      <c r="C4413" s="16">
        <v>46300</v>
      </c>
      <c r="D4413" s="79">
        <v>13576.060000000007</v>
      </c>
    </row>
    <row r="4414" spans="1:4" x14ac:dyDescent="0.3">
      <c r="A4414" s="88" t="s">
        <v>33</v>
      </c>
      <c r="B4414" s="88"/>
      <c r="C4414" s="16">
        <v>46300</v>
      </c>
      <c r="D4414" s="79">
        <v>16893.769999999997</v>
      </c>
    </row>
    <row r="4415" spans="1:4" x14ac:dyDescent="0.3">
      <c r="A4415" s="88" t="s">
        <v>34</v>
      </c>
      <c r="B4415" s="88"/>
      <c r="C4415" s="16">
        <v>46300</v>
      </c>
      <c r="D4415" s="79">
        <v>345</v>
      </c>
    </row>
    <row r="4416" spans="1:4" x14ac:dyDescent="0.3">
      <c r="A4416" s="88" t="s">
        <v>35</v>
      </c>
      <c r="B4416" s="88"/>
      <c r="C4416" s="16">
        <v>46300</v>
      </c>
      <c r="D4416" s="79">
        <v>23077.850000000002</v>
      </c>
    </row>
    <row r="4417" spans="1:4" x14ac:dyDescent="0.3">
      <c r="A4417" s="88" t="s">
        <v>193</v>
      </c>
      <c r="B4417" s="88"/>
      <c r="C4417" s="16">
        <v>46300</v>
      </c>
      <c r="D4417" s="79">
        <v>311185.97000000003</v>
      </c>
    </row>
    <row r="4418" spans="1:4" x14ac:dyDescent="0.3">
      <c r="A4418" s="88" t="s">
        <v>214</v>
      </c>
      <c r="B4418" s="88"/>
      <c r="C4418" s="16">
        <v>46300</v>
      </c>
      <c r="D4418" s="79">
        <v>101769.28000000003</v>
      </c>
    </row>
    <row r="4419" spans="1:4" x14ac:dyDescent="0.3">
      <c r="A4419" s="88" t="s">
        <v>194</v>
      </c>
      <c r="B4419" s="88"/>
      <c r="C4419" s="16">
        <v>46300</v>
      </c>
      <c r="D4419" s="79">
        <v>100631.96</v>
      </c>
    </row>
    <row r="4420" spans="1:4" x14ac:dyDescent="0.3">
      <c r="A4420" s="88" t="s">
        <v>195</v>
      </c>
      <c r="B4420" s="88"/>
      <c r="C4420" s="16">
        <v>46300</v>
      </c>
      <c r="D4420" s="79">
        <v>5604.8</v>
      </c>
    </row>
    <row r="4421" spans="1:4" x14ac:dyDescent="0.3">
      <c r="A4421" s="88" t="s">
        <v>196</v>
      </c>
      <c r="B4421" s="88"/>
      <c r="C4421" s="16">
        <v>46300</v>
      </c>
      <c r="D4421" s="79">
        <v>21434.939999999973</v>
      </c>
    </row>
    <row r="4422" spans="1:4" x14ac:dyDescent="0.3">
      <c r="A4422" s="88" t="s">
        <v>197</v>
      </c>
      <c r="B4422" s="88"/>
      <c r="C4422" s="16">
        <v>46300</v>
      </c>
      <c r="D4422" s="79">
        <v>794.01</v>
      </c>
    </row>
    <row r="4423" spans="1:4" x14ac:dyDescent="0.3">
      <c r="A4423" s="88" t="s">
        <v>212</v>
      </c>
      <c r="B4423" s="88"/>
      <c r="C4423" s="16">
        <v>46300</v>
      </c>
      <c r="D4423" s="79">
        <v>5445.57</v>
      </c>
    </row>
    <row r="4424" spans="1:4" x14ac:dyDescent="0.3">
      <c r="A4424" s="88" t="s">
        <v>199</v>
      </c>
      <c r="B4424" s="88"/>
      <c r="C4424" s="16">
        <v>46300</v>
      </c>
      <c r="D4424" s="79">
        <v>248423.90999999997</v>
      </c>
    </row>
    <row r="4425" spans="1:4" x14ac:dyDescent="0.3">
      <c r="A4425" s="88" t="s">
        <v>217</v>
      </c>
      <c r="B4425" s="88"/>
      <c r="C4425" s="16">
        <v>46300</v>
      </c>
      <c r="D4425" s="79">
        <v>327985.82999999996</v>
      </c>
    </row>
    <row r="4426" spans="1:4" x14ac:dyDescent="0.3">
      <c r="A4426" s="88" t="s">
        <v>17</v>
      </c>
      <c r="B4426" s="88"/>
      <c r="C4426" s="16">
        <v>46301</v>
      </c>
      <c r="D4426" s="79">
        <v>3099831.9800000004</v>
      </c>
    </row>
    <row r="4427" spans="1:4" x14ac:dyDescent="0.3">
      <c r="A4427" s="88" t="s">
        <v>18</v>
      </c>
      <c r="B4427" s="88"/>
      <c r="C4427" s="16">
        <v>46301</v>
      </c>
      <c r="D4427" s="79">
        <v>103123.59000000017</v>
      </c>
    </row>
    <row r="4428" spans="1:4" x14ac:dyDescent="0.3">
      <c r="A4428" s="88" t="s">
        <v>19</v>
      </c>
      <c r="B4428" s="88"/>
      <c r="C4428" s="16">
        <v>46301</v>
      </c>
      <c r="D4428" s="79">
        <v>1669.89</v>
      </c>
    </row>
    <row r="4429" spans="1:4" x14ac:dyDescent="0.3">
      <c r="A4429" s="88" t="s">
        <v>20</v>
      </c>
      <c r="B4429" s="88"/>
      <c r="C4429" s="16">
        <v>46301</v>
      </c>
      <c r="D4429" s="79">
        <v>1200526.7499999995</v>
      </c>
    </row>
    <row r="4430" spans="1:4" x14ac:dyDescent="0.3">
      <c r="A4430" s="88" t="s">
        <v>21</v>
      </c>
      <c r="B4430" s="88"/>
      <c r="C4430" s="16">
        <v>46301</v>
      </c>
      <c r="D4430" s="79">
        <v>1585767.3599999994</v>
      </c>
    </row>
    <row r="4431" spans="1:4" x14ac:dyDescent="0.3">
      <c r="A4431" s="88" t="s">
        <v>22</v>
      </c>
      <c r="B4431" s="88"/>
      <c r="C4431" s="16">
        <v>46301</v>
      </c>
      <c r="D4431" s="79">
        <v>181778.14</v>
      </c>
    </row>
    <row r="4432" spans="1:4" x14ac:dyDescent="0.3">
      <c r="A4432" s="88" t="s">
        <v>23</v>
      </c>
      <c r="B4432" s="88"/>
      <c r="C4432" s="16">
        <v>46301</v>
      </c>
      <c r="D4432" s="79">
        <v>80533.579999999987</v>
      </c>
    </row>
    <row r="4433" spans="1:4" x14ac:dyDescent="0.3">
      <c r="A4433" s="88" t="s">
        <v>24</v>
      </c>
      <c r="B4433" s="88"/>
      <c r="C4433" s="16">
        <v>46301</v>
      </c>
      <c r="D4433" s="79">
        <v>10259.18</v>
      </c>
    </row>
    <row r="4434" spans="1:4" x14ac:dyDescent="0.3">
      <c r="A4434" s="88" t="s">
        <v>25</v>
      </c>
      <c r="B4434" s="88"/>
      <c r="C4434" s="16">
        <v>46301</v>
      </c>
      <c r="D4434" s="79">
        <v>64.55</v>
      </c>
    </row>
    <row r="4435" spans="1:4" x14ac:dyDescent="0.3">
      <c r="A4435" s="88" t="s">
        <v>26</v>
      </c>
      <c r="B4435" s="88"/>
      <c r="C4435" s="16">
        <v>46301</v>
      </c>
      <c r="D4435" s="79">
        <v>2117.9700000000003</v>
      </c>
    </row>
    <row r="4436" spans="1:4" x14ac:dyDescent="0.3">
      <c r="A4436" s="88" t="s">
        <v>27</v>
      </c>
      <c r="B4436" s="88"/>
      <c r="C4436" s="16">
        <v>46301</v>
      </c>
      <c r="D4436" s="79">
        <v>17895.290000000015</v>
      </c>
    </row>
    <row r="4437" spans="1:4" x14ac:dyDescent="0.3">
      <c r="A4437" s="88" t="s">
        <v>28</v>
      </c>
      <c r="B4437" s="88"/>
      <c r="C4437" s="16">
        <v>46301</v>
      </c>
      <c r="D4437" s="79">
        <v>1968.99</v>
      </c>
    </row>
    <row r="4438" spans="1:4" x14ac:dyDescent="0.3">
      <c r="A4438" s="88" t="s">
        <v>29</v>
      </c>
      <c r="B4438" s="88"/>
      <c r="C4438" s="16">
        <v>46301</v>
      </c>
      <c r="D4438" s="79">
        <v>901.34</v>
      </c>
    </row>
    <row r="4439" spans="1:4" x14ac:dyDescent="0.3">
      <c r="A4439" s="88" t="s">
        <v>30</v>
      </c>
      <c r="B4439" s="88"/>
      <c r="C4439" s="16">
        <v>46301</v>
      </c>
      <c r="D4439" s="79">
        <v>1364.08</v>
      </c>
    </row>
    <row r="4440" spans="1:4" x14ac:dyDescent="0.3">
      <c r="A4440" s="88" t="s">
        <v>31</v>
      </c>
      <c r="B4440" s="88"/>
      <c r="C4440" s="16">
        <v>46301</v>
      </c>
      <c r="D4440" s="79">
        <v>20171.549999999959</v>
      </c>
    </row>
    <row r="4441" spans="1:4" x14ac:dyDescent="0.3">
      <c r="A4441" s="88" t="s">
        <v>32</v>
      </c>
      <c r="B4441" s="88"/>
      <c r="C4441" s="16">
        <v>46301</v>
      </c>
      <c r="D4441" s="79">
        <v>13576.060000000007</v>
      </c>
    </row>
    <row r="4442" spans="1:4" x14ac:dyDescent="0.3">
      <c r="A4442" s="88" t="s">
        <v>33</v>
      </c>
      <c r="B4442" s="88"/>
      <c r="C4442" s="16">
        <v>46301</v>
      </c>
      <c r="D4442" s="79">
        <v>16893.769999999997</v>
      </c>
    </row>
    <row r="4443" spans="1:4" x14ac:dyDescent="0.3">
      <c r="A4443" s="88" t="s">
        <v>34</v>
      </c>
      <c r="B4443" s="88"/>
      <c r="C4443" s="16">
        <v>46301</v>
      </c>
      <c r="D4443" s="79">
        <v>345</v>
      </c>
    </row>
    <row r="4444" spans="1:4" x14ac:dyDescent="0.3">
      <c r="A4444" s="88" t="s">
        <v>35</v>
      </c>
      <c r="B4444" s="88"/>
      <c r="C4444" s="16">
        <v>46301</v>
      </c>
      <c r="D4444" s="79">
        <v>23077.850000000002</v>
      </c>
    </row>
    <row r="4445" spans="1:4" x14ac:dyDescent="0.3">
      <c r="A4445" s="88" t="s">
        <v>193</v>
      </c>
      <c r="B4445" s="88"/>
      <c r="C4445" s="16">
        <v>46301</v>
      </c>
      <c r="D4445" s="79">
        <v>310854.86000000004</v>
      </c>
    </row>
    <row r="4446" spans="1:4" x14ac:dyDescent="0.3">
      <c r="A4446" s="88" t="s">
        <v>214</v>
      </c>
      <c r="B4446" s="88"/>
      <c r="C4446" s="16">
        <v>46301</v>
      </c>
      <c r="D4446" s="79">
        <v>101769.28000000003</v>
      </c>
    </row>
    <row r="4447" spans="1:4" x14ac:dyDescent="0.3">
      <c r="A4447" s="88" t="s">
        <v>194</v>
      </c>
      <c r="B4447" s="88"/>
      <c r="C4447" s="16">
        <v>46301</v>
      </c>
      <c r="D4447" s="79">
        <v>90631.96</v>
      </c>
    </row>
    <row r="4448" spans="1:4" x14ac:dyDescent="0.3">
      <c r="A4448" s="88" t="s">
        <v>195</v>
      </c>
      <c r="B4448" s="88"/>
      <c r="C4448" s="16">
        <v>46301</v>
      </c>
      <c r="D4448" s="79">
        <v>5604.8</v>
      </c>
    </row>
    <row r="4449" spans="1:4" x14ac:dyDescent="0.3">
      <c r="A4449" s="88" t="s">
        <v>196</v>
      </c>
      <c r="B4449" s="88"/>
      <c r="C4449" s="16">
        <v>46301</v>
      </c>
      <c r="D4449" s="79">
        <v>21434.939999999973</v>
      </c>
    </row>
    <row r="4450" spans="1:4" x14ac:dyDescent="0.3">
      <c r="A4450" s="88" t="s">
        <v>197</v>
      </c>
      <c r="B4450" s="88"/>
      <c r="C4450" s="16">
        <v>46301</v>
      </c>
      <c r="D4450" s="79">
        <v>794.01</v>
      </c>
    </row>
    <row r="4451" spans="1:4" x14ac:dyDescent="0.3">
      <c r="A4451" s="88" t="s">
        <v>212</v>
      </c>
      <c r="B4451" s="88"/>
      <c r="C4451" s="16">
        <v>46301</v>
      </c>
      <c r="D4451" s="79">
        <v>5445.57</v>
      </c>
    </row>
    <row r="4452" spans="1:4" x14ac:dyDescent="0.3">
      <c r="A4452" s="88" t="s">
        <v>199</v>
      </c>
      <c r="B4452" s="88"/>
      <c r="C4452" s="16">
        <v>46301</v>
      </c>
      <c r="D4452" s="79">
        <v>248423.90999999997</v>
      </c>
    </row>
    <row r="4453" spans="1:4" x14ac:dyDescent="0.3">
      <c r="A4453" s="88" t="s">
        <v>217</v>
      </c>
      <c r="B4453" s="88"/>
      <c r="C4453" s="16">
        <v>46301</v>
      </c>
      <c r="D4453" s="79">
        <v>327985.82999999996</v>
      </c>
    </row>
    <row r="4454" spans="1:4" x14ac:dyDescent="0.3">
      <c r="A4454" s="88" t="s">
        <v>17</v>
      </c>
      <c r="B4454" s="88"/>
      <c r="C4454" s="16">
        <v>46302</v>
      </c>
      <c r="D4454" s="79">
        <v>2834671.5400000005</v>
      </c>
    </row>
    <row r="4455" spans="1:4" x14ac:dyDescent="0.3">
      <c r="A4455" s="88" t="s">
        <v>18</v>
      </c>
      <c r="B4455" s="88"/>
      <c r="C4455" s="16">
        <v>46302</v>
      </c>
      <c r="D4455" s="79">
        <v>103123.59000000017</v>
      </c>
    </row>
    <row r="4456" spans="1:4" x14ac:dyDescent="0.3">
      <c r="A4456" s="88" t="s">
        <v>19</v>
      </c>
      <c r="B4456" s="88"/>
      <c r="C4456" s="16">
        <v>46302</v>
      </c>
      <c r="D4456" s="79">
        <v>1669.89</v>
      </c>
    </row>
    <row r="4457" spans="1:4" x14ac:dyDescent="0.3">
      <c r="A4457" s="88" t="s">
        <v>20</v>
      </c>
      <c r="B4457" s="88"/>
      <c r="C4457" s="16">
        <v>46302</v>
      </c>
      <c r="D4457" s="79">
        <v>1026832.7999999996</v>
      </c>
    </row>
    <row r="4458" spans="1:4" x14ac:dyDescent="0.3">
      <c r="A4458" s="88" t="s">
        <v>21</v>
      </c>
      <c r="B4458" s="88"/>
      <c r="C4458" s="16">
        <v>46302</v>
      </c>
      <c r="D4458" s="79">
        <v>1380670.9099999995</v>
      </c>
    </row>
    <row r="4459" spans="1:4" x14ac:dyDescent="0.3">
      <c r="A4459" s="88" t="s">
        <v>22</v>
      </c>
      <c r="B4459" s="88"/>
      <c r="C4459" s="16">
        <v>46302</v>
      </c>
      <c r="D4459" s="79">
        <v>181778.14</v>
      </c>
    </row>
    <row r="4460" spans="1:4" x14ac:dyDescent="0.3">
      <c r="A4460" s="88" t="s">
        <v>23</v>
      </c>
      <c r="B4460" s="88"/>
      <c r="C4460" s="16">
        <v>46302</v>
      </c>
      <c r="D4460" s="79">
        <v>80533.579999999987</v>
      </c>
    </row>
    <row r="4461" spans="1:4" x14ac:dyDescent="0.3">
      <c r="A4461" s="88" t="s">
        <v>24</v>
      </c>
      <c r="B4461" s="88"/>
      <c r="C4461" s="16">
        <v>46302</v>
      </c>
      <c r="D4461" s="79">
        <v>10259.18</v>
      </c>
    </row>
    <row r="4462" spans="1:4" x14ac:dyDescent="0.3">
      <c r="A4462" s="88" t="s">
        <v>25</v>
      </c>
      <c r="B4462" s="88"/>
      <c r="C4462" s="16">
        <v>46302</v>
      </c>
      <c r="D4462" s="79">
        <v>64.55</v>
      </c>
    </row>
    <row r="4463" spans="1:4" x14ac:dyDescent="0.3">
      <c r="A4463" s="88" t="s">
        <v>26</v>
      </c>
      <c r="B4463" s="88"/>
      <c r="C4463" s="16">
        <v>46302</v>
      </c>
      <c r="D4463" s="79">
        <v>2117.9700000000003</v>
      </c>
    </row>
    <row r="4464" spans="1:4" x14ac:dyDescent="0.3">
      <c r="A4464" s="88" t="s">
        <v>27</v>
      </c>
      <c r="B4464" s="88"/>
      <c r="C4464" s="16">
        <v>46302</v>
      </c>
      <c r="D4464" s="79">
        <v>17895.290000000015</v>
      </c>
    </row>
    <row r="4465" spans="1:4" x14ac:dyDescent="0.3">
      <c r="A4465" s="88" t="s">
        <v>28</v>
      </c>
      <c r="B4465" s="88"/>
      <c r="C4465" s="16">
        <v>46302</v>
      </c>
      <c r="D4465" s="79">
        <v>1968.99</v>
      </c>
    </row>
    <row r="4466" spans="1:4" x14ac:dyDescent="0.3">
      <c r="A4466" s="88" t="s">
        <v>29</v>
      </c>
      <c r="B4466" s="88"/>
      <c r="C4466" s="16">
        <v>46302</v>
      </c>
      <c r="D4466" s="79">
        <v>901.34</v>
      </c>
    </row>
    <row r="4467" spans="1:4" x14ac:dyDescent="0.3">
      <c r="A4467" s="88" t="s">
        <v>30</v>
      </c>
      <c r="B4467" s="88"/>
      <c r="C4467" s="16">
        <v>46302</v>
      </c>
      <c r="D4467" s="79">
        <v>1364.08</v>
      </c>
    </row>
    <row r="4468" spans="1:4" x14ac:dyDescent="0.3">
      <c r="A4468" s="88" t="s">
        <v>31</v>
      </c>
      <c r="B4468" s="88"/>
      <c r="C4468" s="16">
        <v>46302</v>
      </c>
      <c r="D4468" s="79">
        <v>20171.549999999959</v>
      </c>
    </row>
    <row r="4469" spans="1:4" x14ac:dyDescent="0.3">
      <c r="A4469" s="88" t="s">
        <v>32</v>
      </c>
      <c r="B4469" s="88"/>
      <c r="C4469" s="16">
        <v>46302</v>
      </c>
      <c r="D4469" s="79">
        <v>13576.060000000007</v>
      </c>
    </row>
    <row r="4470" spans="1:4" x14ac:dyDescent="0.3">
      <c r="A4470" s="88" t="s">
        <v>33</v>
      </c>
      <c r="B4470" s="88"/>
      <c r="C4470" s="16">
        <v>46302</v>
      </c>
      <c r="D4470" s="79">
        <v>16893.769999999997</v>
      </c>
    </row>
    <row r="4471" spans="1:4" x14ac:dyDescent="0.3">
      <c r="A4471" s="88" t="s">
        <v>34</v>
      </c>
      <c r="B4471" s="88"/>
      <c r="C4471" s="16">
        <v>46302</v>
      </c>
      <c r="D4471" s="79">
        <v>345</v>
      </c>
    </row>
    <row r="4472" spans="1:4" x14ac:dyDescent="0.3">
      <c r="A4472" s="88" t="s">
        <v>35</v>
      </c>
      <c r="B4472" s="88"/>
      <c r="C4472" s="16">
        <v>46302</v>
      </c>
      <c r="D4472" s="79">
        <v>23077.850000000002</v>
      </c>
    </row>
    <row r="4473" spans="1:4" x14ac:dyDescent="0.3">
      <c r="A4473" s="88" t="s">
        <v>193</v>
      </c>
      <c r="B4473" s="88"/>
      <c r="C4473" s="16">
        <v>46302</v>
      </c>
      <c r="D4473" s="79">
        <v>310854.86000000004</v>
      </c>
    </row>
    <row r="4474" spans="1:4" x14ac:dyDescent="0.3">
      <c r="A4474" s="88" t="s">
        <v>214</v>
      </c>
      <c r="B4474" s="88"/>
      <c r="C4474" s="16">
        <v>46302</v>
      </c>
      <c r="D4474" s="79">
        <v>101647.52000000002</v>
      </c>
    </row>
    <row r="4475" spans="1:4" x14ac:dyDescent="0.3">
      <c r="A4475" s="88" t="s">
        <v>194</v>
      </c>
      <c r="B4475" s="88"/>
      <c r="C4475" s="16">
        <v>46302</v>
      </c>
      <c r="D4475" s="79">
        <v>90631.96</v>
      </c>
    </row>
    <row r="4476" spans="1:4" x14ac:dyDescent="0.3">
      <c r="A4476" s="88" t="s">
        <v>195</v>
      </c>
      <c r="B4476" s="88"/>
      <c r="C4476" s="16">
        <v>46302</v>
      </c>
      <c r="D4476" s="79">
        <v>5604.8</v>
      </c>
    </row>
    <row r="4477" spans="1:4" x14ac:dyDescent="0.3">
      <c r="A4477" s="88" t="s">
        <v>196</v>
      </c>
      <c r="B4477" s="88"/>
      <c r="C4477" s="16">
        <v>46302</v>
      </c>
      <c r="D4477" s="79">
        <v>21397.339999999967</v>
      </c>
    </row>
    <row r="4478" spans="1:4" x14ac:dyDescent="0.3">
      <c r="A4478" s="88" t="s">
        <v>197</v>
      </c>
      <c r="B4478" s="88"/>
      <c r="C4478" s="16">
        <v>46302</v>
      </c>
      <c r="D4478" s="79">
        <v>794.01</v>
      </c>
    </row>
    <row r="4479" spans="1:4" x14ac:dyDescent="0.3">
      <c r="A4479" s="88" t="s">
        <v>212</v>
      </c>
      <c r="B4479" s="88"/>
      <c r="C4479" s="16">
        <v>46302</v>
      </c>
      <c r="D4479" s="79">
        <v>5445.57</v>
      </c>
    </row>
    <row r="4480" spans="1:4" x14ac:dyDescent="0.3">
      <c r="A4480" s="88" t="s">
        <v>199</v>
      </c>
      <c r="B4480" s="88"/>
      <c r="C4480" s="16">
        <v>46302</v>
      </c>
      <c r="D4480" s="79">
        <v>248423.90999999997</v>
      </c>
    </row>
    <row r="4481" spans="1:4" x14ac:dyDescent="0.3">
      <c r="A4481" s="88" t="s">
        <v>217</v>
      </c>
      <c r="B4481" s="88"/>
      <c r="C4481" s="16">
        <v>46302</v>
      </c>
      <c r="D4481" s="79">
        <v>351319.16</v>
      </c>
    </row>
    <row r="4482" spans="1:4" x14ac:dyDescent="0.3">
      <c r="A4482" s="88" t="s">
        <v>17</v>
      </c>
      <c r="B4482" s="88"/>
      <c r="C4482" s="16">
        <v>46303</v>
      </c>
      <c r="D4482" s="79">
        <v>2834671.5400000005</v>
      </c>
    </row>
    <row r="4483" spans="1:4" x14ac:dyDescent="0.3">
      <c r="A4483" s="88" t="s">
        <v>18</v>
      </c>
      <c r="B4483" s="88"/>
      <c r="C4483" s="16">
        <v>46303</v>
      </c>
      <c r="D4483" s="79">
        <v>103123.59000000017</v>
      </c>
    </row>
    <row r="4484" spans="1:4" x14ac:dyDescent="0.3">
      <c r="A4484" s="88" t="s">
        <v>19</v>
      </c>
      <c r="B4484" s="88"/>
      <c r="C4484" s="16">
        <v>46303</v>
      </c>
      <c r="D4484" s="79">
        <v>1669.89</v>
      </c>
    </row>
    <row r="4485" spans="1:4" x14ac:dyDescent="0.3">
      <c r="A4485" s="88" t="s">
        <v>20</v>
      </c>
      <c r="B4485" s="88"/>
      <c r="C4485" s="16">
        <v>46303</v>
      </c>
      <c r="D4485" s="79">
        <v>1026832.7999999996</v>
      </c>
    </row>
    <row r="4486" spans="1:4" x14ac:dyDescent="0.3">
      <c r="A4486" s="88" t="s">
        <v>21</v>
      </c>
      <c r="B4486" s="88"/>
      <c r="C4486" s="16">
        <v>46303</v>
      </c>
      <c r="D4486" s="79">
        <v>1378430.5699999994</v>
      </c>
    </row>
    <row r="4487" spans="1:4" x14ac:dyDescent="0.3">
      <c r="A4487" s="88" t="s">
        <v>22</v>
      </c>
      <c r="B4487" s="88"/>
      <c r="C4487" s="16">
        <v>46303</v>
      </c>
      <c r="D4487" s="79">
        <v>181778.14</v>
      </c>
    </row>
    <row r="4488" spans="1:4" x14ac:dyDescent="0.3">
      <c r="A4488" s="88" t="s">
        <v>23</v>
      </c>
      <c r="B4488" s="88"/>
      <c r="C4488" s="16">
        <v>46303</v>
      </c>
      <c r="D4488" s="79">
        <v>80533.579999999987</v>
      </c>
    </row>
    <row r="4489" spans="1:4" x14ac:dyDescent="0.3">
      <c r="A4489" s="88" t="s">
        <v>24</v>
      </c>
      <c r="B4489" s="88"/>
      <c r="C4489" s="16">
        <v>46303</v>
      </c>
      <c r="D4489" s="79">
        <v>10259.18</v>
      </c>
    </row>
    <row r="4490" spans="1:4" x14ac:dyDescent="0.3">
      <c r="A4490" s="88" t="s">
        <v>25</v>
      </c>
      <c r="B4490" s="88"/>
      <c r="C4490" s="16">
        <v>46303</v>
      </c>
      <c r="D4490" s="79">
        <v>64.55</v>
      </c>
    </row>
    <row r="4491" spans="1:4" x14ac:dyDescent="0.3">
      <c r="A4491" s="88" t="s">
        <v>26</v>
      </c>
      <c r="B4491" s="88"/>
      <c r="C4491" s="16">
        <v>46303</v>
      </c>
      <c r="D4491" s="79">
        <v>2117.9700000000003</v>
      </c>
    </row>
    <row r="4492" spans="1:4" x14ac:dyDescent="0.3">
      <c r="A4492" s="88" t="s">
        <v>27</v>
      </c>
      <c r="B4492" s="88"/>
      <c r="C4492" s="16">
        <v>46303</v>
      </c>
      <c r="D4492" s="79">
        <v>17895.290000000015</v>
      </c>
    </row>
    <row r="4493" spans="1:4" x14ac:dyDescent="0.3">
      <c r="A4493" s="88" t="s">
        <v>28</v>
      </c>
      <c r="B4493" s="88"/>
      <c r="C4493" s="16">
        <v>46303</v>
      </c>
      <c r="D4493" s="79">
        <v>1968.99</v>
      </c>
    </row>
    <row r="4494" spans="1:4" x14ac:dyDescent="0.3">
      <c r="A4494" s="88" t="s">
        <v>29</v>
      </c>
      <c r="B4494" s="88"/>
      <c r="C4494" s="16">
        <v>46303</v>
      </c>
      <c r="D4494" s="79">
        <v>901.34</v>
      </c>
    </row>
    <row r="4495" spans="1:4" x14ac:dyDescent="0.3">
      <c r="A4495" s="88" t="s">
        <v>30</v>
      </c>
      <c r="B4495" s="88"/>
      <c r="C4495" s="16">
        <v>46303</v>
      </c>
      <c r="D4495" s="79">
        <v>1364.08</v>
      </c>
    </row>
    <row r="4496" spans="1:4" x14ac:dyDescent="0.3">
      <c r="A4496" s="88" t="s">
        <v>31</v>
      </c>
      <c r="B4496" s="88"/>
      <c r="C4496" s="16">
        <v>46303</v>
      </c>
      <c r="D4496" s="79">
        <v>20171.549999999959</v>
      </c>
    </row>
    <row r="4497" spans="1:4" x14ac:dyDescent="0.3">
      <c r="A4497" s="88" t="s">
        <v>32</v>
      </c>
      <c r="B4497" s="88"/>
      <c r="C4497" s="16">
        <v>46303</v>
      </c>
      <c r="D4497" s="79">
        <v>13576.060000000007</v>
      </c>
    </row>
    <row r="4498" spans="1:4" x14ac:dyDescent="0.3">
      <c r="A4498" s="88" t="s">
        <v>33</v>
      </c>
      <c r="B4498" s="88"/>
      <c r="C4498" s="16">
        <v>46303</v>
      </c>
      <c r="D4498" s="79">
        <v>16893.769999999997</v>
      </c>
    </row>
    <row r="4499" spans="1:4" x14ac:dyDescent="0.3">
      <c r="A4499" s="88" t="s">
        <v>34</v>
      </c>
      <c r="B4499" s="88"/>
      <c r="C4499" s="16">
        <v>46303</v>
      </c>
      <c r="D4499" s="79">
        <v>345</v>
      </c>
    </row>
    <row r="4500" spans="1:4" x14ac:dyDescent="0.3">
      <c r="A4500" s="88" t="s">
        <v>35</v>
      </c>
      <c r="B4500" s="88"/>
      <c r="C4500" s="16">
        <v>46303</v>
      </c>
      <c r="D4500" s="79">
        <v>23077.850000000002</v>
      </c>
    </row>
    <row r="4501" spans="1:4" x14ac:dyDescent="0.3">
      <c r="A4501" s="88" t="s">
        <v>193</v>
      </c>
      <c r="B4501" s="88"/>
      <c r="C4501" s="16">
        <v>46303</v>
      </c>
      <c r="D4501" s="79">
        <v>310854.86000000004</v>
      </c>
    </row>
    <row r="4502" spans="1:4" x14ac:dyDescent="0.3">
      <c r="A4502" s="88" t="s">
        <v>214</v>
      </c>
      <c r="B4502" s="88"/>
      <c r="C4502" s="16">
        <v>46303</v>
      </c>
      <c r="D4502" s="79">
        <v>101691.71000000002</v>
      </c>
    </row>
    <row r="4503" spans="1:4" x14ac:dyDescent="0.3">
      <c r="A4503" s="88" t="s">
        <v>194</v>
      </c>
      <c r="B4503" s="88"/>
      <c r="C4503" s="16">
        <v>46303</v>
      </c>
      <c r="D4503" s="79">
        <v>90631.96</v>
      </c>
    </row>
    <row r="4504" spans="1:4" x14ac:dyDescent="0.3">
      <c r="A4504" s="88" t="s">
        <v>195</v>
      </c>
      <c r="B4504" s="88"/>
      <c r="C4504" s="16">
        <v>46303</v>
      </c>
      <c r="D4504" s="79">
        <v>5604.8</v>
      </c>
    </row>
    <row r="4505" spans="1:4" x14ac:dyDescent="0.3">
      <c r="A4505" s="88" t="s">
        <v>196</v>
      </c>
      <c r="B4505" s="88"/>
      <c r="C4505" s="16">
        <v>46303</v>
      </c>
      <c r="D4505" s="79">
        <v>21397.339999999967</v>
      </c>
    </row>
    <row r="4506" spans="1:4" x14ac:dyDescent="0.3">
      <c r="A4506" s="88" t="s">
        <v>197</v>
      </c>
      <c r="B4506" s="88"/>
      <c r="C4506" s="16">
        <v>46303</v>
      </c>
      <c r="D4506" s="79">
        <v>794.01</v>
      </c>
    </row>
    <row r="4507" spans="1:4" x14ac:dyDescent="0.3">
      <c r="A4507" s="88" t="s">
        <v>212</v>
      </c>
      <c r="B4507" s="88"/>
      <c r="C4507" s="16">
        <v>46303</v>
      </c>
      <c r="D4507" s="79">
        <v>5445.57</v>
      </c>
    </row>
    <row r="4508" spans="1:4" x14ac:dyDescent="0.3">
      <c r="A4508" s="88" t="s">
        <v>199</v>
      </c>
      <c r="B4508" s="88"/>
      <c r="C4508" s="16">
        <v>46303</v>
      </c>
      <c r="D4508" s="79">
        <v>248423.90999999997</v>
      </c>
    </row>
    <row r="4509" spans="1:4" x14ac:dyDescent="0.3">
      <c r="A4509" s="88" t="s">
        <v>217</v>
      </c>
      <c r="B4509" s="88"/>
      <c r="C4509" s="16">
        <v>46303</v>
      </c>
      <c r="D4509" s="79">
        <v>351319.16</v>
      </c>
    </row>
    <row r="4510" spans="1:4" x14ac:dyDescent="0.3">
      <c r="A4510" s="88" t="s">
        <v>17</v>
      </c>
      <c r="B4510" s="88"/>
      <c r="C4510" s="16">
        <v>46304</v>
      </c>
      <c r="D4510" s="79">
        <v>2834671.5400000005</v>
      </c>
    </row>
    <row r="4511" spans="1:4" x14ac:dyDescent="0.3">
      <c r="A4511" s="88" t="s">
        <v>18</v>
      </c>
      <c r="B4511" s="88"/>
      <c r="C4511" s="16">
        <v>46304</v>
      </c>
      <c r="D4511" s="79">
        <v>103123.59000000017</v>
      </c>
    </row>
    <row r="4512" spans="1:4" x14ac:dyDescent="0.3">
      <c r="A4512" s="88" t="s">
        <v>19</v>
      </c>
      <c r="B4512" s="88"/>
      <c r="C4512" s="16">
        <v>46304</v>
      </c>
      <c r="D4512" s="79">
        <v>1669.89</v>
      </c>
    </row>
    <row r="4513" spans="1:4" x14ac:dyDescent="0.3">
      <c r="A4513" s="88" t="s">
        <v>20</v>
      </c>
      <c r="B4513" s="88"/>
      <c r="C4513" s="16">
        <v>46304</v>
      </c>
      <c r="D4513" s="79">
        <v>1026832.7999999996</v>
      </c>
    </row>
    <row r="4514" spans="1:4" x14ac:dyDescent="0.3">
      <c r="A4514" s="88" t="s">
        <v>21</v>
      </c>
      <c r="B4514" s="88"/>
      <c r="C4514" s="16">
        <v>46304</v>
      </c>
      <c r="D4514" s="79">
        <v>1377138.9199999995</v>
      </c>
    </row>
    <row r="4515" spans="1:4" x14ac:dyDescent="0.3">
      <c r="A4515" s="88" t="s">
        <v>22</v>
      </c>
      <c r="B4515" s="88"/>
      <c r="C4515" s="16">
        <v>46304</v>
      </c>
      <c r="D4515" s="79">
        <v>181778.14</v>
      </c>
    </row>
    <row r="4516" spans="1:4" x14ac:dyDescent="0.3">
      <c r="A4516" s="88" t="s">
        <v>23</v>
      </c>
      <c r="B4516" s="88"/>
      <c r="C4516" s="16">
        <v>46304</v>
      </c>
      <c r="D4516" s="79">
        <v>80533.579999999987</v>
      </c>
    </row>
    <row r="4517" spans="1:4" x14ac:dyDescent="0.3">
      <c r="A4517" s="88" t="s">
        <v>24</v>
      </c>
      <c r="B4517" s="88"/>
      <c r="C4517" s="16">
        <v>46304</v>
      </c>
      <c r="D4517" s="79">
        <v>10259.18</v>
      </c>
    </row>
    <row r="4518" spans="1:4" x14ac:dyDescent="0.3">
      <c r="A4518" s="88" t="s">
        <v>25</v>
      </c>
      <c r="B4518" s="88"/>
      <c r="C4518" s="16">
        <v>46304</v>
      </c>
      <c r="D4518" s="79">
        <v>64.55</v>
      </c>
    </row>
    <row r="4519" spans="1:4" x14ac:dyDescent="0.3">
      <c r="A4519" s="88" t="s">
        <v>26</v>
      </c>
      <c r="B4519" s="88"/>
      <c r="C4519" s="16">
        <v>46304</v>
      </c>
      <c r="D4519" s="79">
        <v>2117.9700000000003</v>
      </c>
    </row>
    <row r="4520" spans="1:4" x14ac:dyDescent="0.3">
      <c r="A4520" s="88" t="s">
        <v>27</v>
      </c>
      <c r="B4520" s="88"/>
      <c r="C4520" s="16">
        <v>46304</v>
      </c>
      <c r="D4520" s="79">
        <v>17895.290000000015</v>
      </c>
    </row>
    <row r="4521" spans="1:4" x14ac:dyDescent="0.3">
      <c r="A4521" s="88" t="s">
        <v>28</v>
      </c>
      <c r="B4521" s="88"/>
      <c r="C4521" s="16">
        <v>46304</v>
      </c>
      <c r="D4521" s="79">
        <v>1968.99</v>
      </c>
    </row>
    <row r="4522" spans="1:4" x14ac:dyDescent="0.3">
      <c r="A4522" s="88" t="s">
        <v>29</v>
      </c>
      <c r="B4522" s="88"/>
      <c r="C4522" s="16">
        <v>46304</v>
      </c>
      <c r="D4522" s="79">
        <v>901.34</v>
      </c>
    </row>
    <row r="4523" spans="1:4" x14ac:dyDescent="0.3">
      <c r="A4523" s="88" t="s">
        <v>30</v>
      </c>
      <c r="B4523" s="88"/>
      <c r="C4523" s="16">
        <v>46304</v>
      </c>
      <c r="D4523" s="79">
        <v>1364.08</v>
      </c>
    </row>
    <row r="4524" spans="1:4" x14ac:dyDescent="0.3">
      <c r="A4524" s="88" t="s">
        <v>31</v>
      </c>
      <c r="B4524" s="88"/>
      <c r="C4524" s="16">
        <v>46304</v>
      </c>
      <c r="D4524" s="79">
        <v>20171.549999999959</v>
      </c>
    </row>
    <row r="4525" spans="1:4" x14ac:dyDescent="0.3">
      <c r="A4525" s="88" t="s">
        <v>32</v>
      </c>
      <c r="B4525" s="88"/>
      <c r="C4525" s="16">
        <v>46304</v>
      </c>
      <c r="D4525" s="79">
        <v>13576.060000000007</v>
      </c>
    </row>
    <row r="4526" spans="1:4" x14ac:dyDescent="0.3">
      <c r="A4526" s="88" t="s">
        <v>33</v>
      </c>
      <c r="B4526" s="88"/>
      <c r="C4526" s="16">
        <v>46304</v>
      </c>
      <c r="D4526" s="79">
        <v>16893.769999999997</v>
      </c>
    </row>
    <row r="4527" spans="1:4" x14ac:dyDescent="0.3">
      <c r="A4527" s="88" t="s">
        <v>34</v>
      </c>
      <c r="B4527" s="88"/>
      <c r="C4527" s="16">
        <v>46304</v>
      </c>
      <c r="D4527" s="79">
        <v>345</v>
      </c>
    </row>
    <row r="4528" spans="1:4" x14ac:dyDescent="0.3">
      <c r="A4528" s="88" t="s">
        <v>35</v>
      </c>
      <c r="B4528" s="88"/>
      <c r="C4528" s="16">
        <v>46304</v>
      </c>
      <c r="D4528" s="79">
        <v>23077.850000000002</v>
      </c>
    </row>
    <row r="4529" spans="1:4" x14ac:dyDescent="0.3">
      <c r="A4529" s="88" t="s">
        <v>193</v>
      </c>
      <c r="B4529" s="88"/>
      <c r="C4529" s="16">
        <v>46304</v>
      </c>
      <c r="D4529" s="79">
        <v>310854.86000000004</v>
      </c>
    </row>
    <row r="4530" spans="1:4" x14ac:dyDescent="0.3">
      <c r="A4530" s="88" t="s">
        <v>214</v>
      </c>
      <c r="B4530" s="88"/>
      <c r="C4530" s="16">
        <v>46304</v>
      </c>
      <c r="D4530" s="79">
        <v>101691.71000000002</v>
      </c>
    </row>
    <row r="4531" spans="1:4" x14ac:dyDescent="0.3">
      <c r="A4531" s="88" t="s">
        <v>194</v>
      </c>
      <c r="B4531" s="88"/>
      <c r="C4531" s="16">
        <v>46304</v>
      </c>
      <c r="D4531" s="79">
        <v>90631.96</v>
      </c>
    </row>
    <row r="4532" spans="1:4" x14ac:dyDescent="0.3">
      <c r="A4532" s="88" t="s">
        <v>195</v>
      </c>
      <c r="B4532" s="88"/>
      <c r="C4532" s="16">
        <v>46304</v>
      </c>
      <c r="D4532" s="79">
        <v>5604.8</v>
      </c>
    </row>
    <row r="4533" spans="1:4" x14ac:dyDescent="0.3">
      <c r="A4533" s="88" t="s">
        <v>196</v>
      </c>
      <c r="B4533" s="88"/>
      <c r="C4533" s="16">
        <v>46304</v>
      </c>
      <c r="D4533" s="79">
        <v>21397.339999999967</v>
      </c>
    </row>
    <row r="4534" spans="1:4" x14ac:dyDescent="0.3">
      <c r="A4534" s="88" t="s">
        <v>197</v>
      </c>
      <c r="B4534" s="88"/>
      <c r="C4534" s="16">
        <v>46304</v>
      </c>
      <c r="D4534" s="79">
        <v>794.01</v>
      </c>
    </row>
    <row r="4535" spans="1:4" x14ac:dyDescent="0.3">
      <c r="A4535" s="88" t="s">
        <v>212</v>
      </c>
      <c r="B4535" s="88"/>
      <c r="C4535" s="16">
        <v>46304</v>
      </c>
      <c r="D4535" s="79">
        <v>5445.57</v>
      </c>
    </row>
    <row r="4536" spans="1:4" x14ac:dyDescent="0.3">
      <c r="A4536" s="88" t="s">
        <v>199</v>
      </c>
      <c r="B4536" s="88"/>
      <c r="C4536" s="16">
        <v>46304</v>
      </c>
      <c r="D4536" s="79">
        <v>248423.90999999997</v>
      </c>
    </row>
    <row r="4537" spans="1:4" x14ac:dyDescent="0.3">
      <c r="A4537" s="88" t="s">
        <v>217</v>
      </c>
      <c r="B4537" s="88"/>
      <c r="C4537" s="16">
        <v>46304</v>
      </c>
      <c r="D4537" s="79">
        <v>351319.16</v>
      </c>
    </row>
    <row r="4538" spans="1:4" x14ac:dyDescent="0.3">
      <c r="A4538" s="88" t="s">
        <v>17</v>
      </c>
      <c r="B4538" s="88"/>
      <c r="C4538" s="16">
        <v>46305</v>
      </c>
      <c r="D4538" s="79">
        <v>2834671.5400000005</v>
      </c>
    </row>
    <row r="4539" spans="1:4" x14ac:dyDescent="0.3">
      <c r="A4539" s="88" t="s">
        <v>18</v>
      </c>
      <c r="B4539" s="88"/>
      <c r="C4539" s="16">
        <v>46305</v>
      </c>
      <c r="D4539" s="79">
        <v>103123.59000000017</v>
      </c>
    </row>
    <row r="4540" spans="1:4" x14ac:dyDescent="0.3">
      <c r="A4540" s="88" t="s">
        <v>19</v>
      </c>
      <c r="B4540" s="88"/>
      <c r="C4540" s="16">
        <v>46305</v>
      </c>
      <c r="D4540" s="79">
        <v>1669.89</v>
      </c>
    </row>
    <row r="4541" spans="1:4" x14ac:dyDescent="0.3">
      <c r="A4541" s="88" t="s">
        <v>20</v>
      </c>
      <c r="B4541" s="88"/>
      <c r="C4541" s="16">
        <v>46305</v>
      </c>
      <c r="D4541" s="79">
        <v>1026832.7999999996</v>
      </c>
    </row>
    <row r="4542" spans="1:4" x14ac:dyDescent="0.3">
      <c r="A4542" s="88" t="s">
        <v>21</v>
      </c>
      <c r="B4542" s="88"/>
      <c r="C4542" s="16">
        <v>46305</v>
      </c>
      <c r="D4542" s="79">
        <v>1340096.4199999995</v>
      </c>
    </row>
    <row r="4543" spans="1:4" x14ac:dyDescent="0.3">
      <c r="A4543" s="88" t="s">
        <v>22</v>
      </c>
      <c r="B4543" s="88"/>
      <c r="C4543" s="16">
        <v>46305</v>
      </c>
      <c r="D4543" s="79">
        <v>181778.14</v>
      </c>
    </row>
    <row r="4544" spans="1:4" x14ac:dyDescent="0.3">
      <c r="A4544" s="88" t="s">
        <v>23</v>
      </c>
      <c r="B4544" s="88"/>
      <c r="C4544" s="16">
        <v>46305</v>
      </c>
      <c r="D4544" s="79">
        <v>80533.579999999987</v>
      </c>
    </row>
    <row r="4545" spans="1:4" x14ac:dyDescent="0.3">
      <c r="A4545" s="88" t="s">
        <v>24</v>
      </c>
      <c r="B4545" s="88"/>
      <c r="C4545" s="16">
        <v>46305</v>
      </c>
      <c r="D4545" s="79">
        <v>10259.18</v>
      </c>
    </row>
    <row r="4546" spans="1:4" x14ac:dyDescent="0.3">
      <c r="A4546" s="88" t="s">
        <v>25</v>
      </c>
      <c r="B4546" s="88"/>
      <c r="C4546" s="16">
        <v>46305</v>
      </c>
      <c r="D4546" s="79">
        <v>64.55</v>
      </c>
    </row>
    <row r="4547" spans="1:4" x14ac:dyDescent="0.3">
      <c r="A4547" s="88" t="s">
        <v>26</v>
      </c>
      <c r="B4547" s="88"/>
      <c r="C4547" s="16">
        <v>46305</v>
      </c>
      <c r="D4547" s="79">
        <v>2117.9700000000003</v>
      </c>
    </row>
    <row r="4548" spans="1:4" x14ac:dyDescent="0.3">
      <c r="A4548" s="88" t="s">
        <v>27</v>
      </c>
      <c r="B4548" s="88"/>
      <c r="C4548" s="16">
        <v>46305</v>
      </c>
      <c r="D4548" s="79">
        <v>17895.290000000015</v>
      </c>
    </row>
    <row r="4549" spans="1:4" x14ac:dyDescent="0.3">
      <c r="A4549" s="88" t="s">
        <v>28</v>
      </c>
      <c r="B4549" s="88"/>
      <c r="C4549" s="16">
        <v>46305</v>
      </c>
      <c r="D4549" s="79">
        <v>1968.99</v>
      </c>
    </row>
    <row r="4550" spans="1:4" x14ac:dyDescent="0.3">
      <c r="A4550" s="88" t="s">
        <v>29</v>
      </c>
      <c r="B4550" s="88"/>
      <c r="C4550" s="16">
        <v>46305</v>
      </c>
      <c r="D4550" s="79">
        <v>901.34</v>
      </c>
    </row>
    <row r="4551" spans="1:4" x14ac:dyDescent="0.3">
      <c r="A4551" s="88" t="s">
        <v>30</v>
      </c>
      <c r="B4551" s="88"/>
      <c r="C4551" s="16">
        <v>46305</v>
      </c>
      <c r="D4551" s="79">
        <v>1364.08</v>
      </c>
    </row>
    <row r="4552" spans="1:4" x14ac:dyDescent="0.3">
      <c r="A4552" s="88" t="s">
        <v>31</v>
      </c>
      <c r="B4552" s="88"/>
      <c r="C4552" s="16">
        <v>46305</v>
      </c>
      <c r="D4552" s="79">
        <v>20171.549999999959</v>
      </c>
    </row>
    <row r="4553" spans="1:4" x14ac:dyDescent="0.3">
      <c r="A4553" s="88" t="s">
        <v>32</v>
      </c>
      <c r="B4553" s="88"/>
      <c r="C4553" s="16">
        <v>46305</v>
      </c>
      <c r="D4553" s="79">
        <v>13576.060000000007</v>
      </c>
    </row>
    <row r="4554" spans="1:4" x14ac:dyDescent="0.3">
      <c r="A4554" s="88" t="s">
        <v>33</v>
      </c>
      <c r="B4554" s="88"/>
      <c r="C4554" s="16">
        <v>46305</v>
      </c>
      <c r="D4554" s="79">
        <v>16893.769999999997</v>
      </c>
    </row>
    <row r="4555" spans="1:4" x14ac:dyDescent="0.3">
      <c r="A4555" s="88" t="s">
        <v>34</v>
      </c>
      <c r="B4555" s="88"/>
      <c r="C4555" s="16">
        <v>46305</v>
      </c>
      <c r="D4555" s="79">
        <v>345</v>
      </c>
    </row>
    <row r="4556" spans="1:4" x14ac:dyDescent="0.3">
      <c r="A4556" s="88" t="s">
        <v>35</v>
      </c>
      <c r="B4556" s="88"/>
      <c r="C4556" s="16">
        <v>46305</v>
      </c>
      <c r="D4556" s="79">
        <v>23077.850000000002</v>
      </c>
    </row>
    <row r="4557" spans="1:4" x14ac:dyDescent="0.3">
      <c r="A4557" s="88" t="s">
        <v>193</v>
      </c>
      <c r="B4557" s="88"/>
      <c r="C4557" s="16">
        <v>46305</v>
      </c>
      <c r="D4557" s="79">
        <v>310854.86000000004</v>
      </c>
    </row>
    <row r="4558" spans="1:4" x14ac:dyDescent="0.3">
      <c r="A4558" s="88" t="s">
        <v>214</v>
      </c>
      <c r="B4558" s="88"/>
      <c r="C4558" s="16">
        <v>46305</v>
      </c>
      <c r="D4558" s="79">
        <v>101132.39000000001</v>
      </c>
    </row>
    <row r="4559" spans="1:4" x14ac:dyDescent="0.3">
      <c r="A4559" s="88" t="s">
        <v>194</v>
      </c>
      <c r="B4559" s="88"/>
      <c r="C4559" s="16">
        <v>46305</v>
      </c>
      <c r="D4559" s="79">
        <v>90631.96</v>
      </c>
    </row>
    <row r="4560" spans="1:4" x14ac:dyDescent="0.3">
      <c r="A4560" s="88" t="s">
        <v>195</v>
      </c>
      <c r="B4560" s="88"/>
      <c r="C4560" s="16">
        <v>46305</v>
      </c>
      <c r="D4560" s="79">
        <v>5604.8</v>
      </c>
    </row>
    <row r="4561" spans="1:4" x14ac:dyDescent="0.3">
      <c r="A4561" s="88" t="s">
        <v>196</v>
      </c>
      <c r="B4561" s="88"/>
      <c r="C4561" s="16">
        <v>46305</v>
      </c>
      <c r="D4561" s="79">
        <v>21397.339999999967</v>
      </c>
    </row>
    <row r="4562" spans="1:4" x14ac:dyDescent="0.3">
      <c r="A4562" s="88" t="s">
        <v>197</v>
      </c>
      <c r="B4562" s="88"/>
      <c r="C4562" s="16">
        <v>46305</v>
      </c>
      <c r="D4562" s="79">
        <v>794.01</v>
      </c>
    </row>
    <row r="4563" spans="1:4" x14ac:dyDescent="0.3">
      <c r="A4563" s="88" t="s">
        <v>212</v>
      </c>
      <c r="B4563" s="88"/>
      <c r="C4563" s="16">
        <v>46305</v>
      </c>
      <c r="D4563" s="79">
        <v>5445.57</v>
      </c>
    </row>
    <row r="4564" spans="1:4" x14ac:dyDescent="0.3">
      <c r="A4564" s="88" t="s">
        <v>199</v>
      </c>
      <c r="B4564" s="88"/>
      <c r="C4564" s="16">
        <v>46305</v>
      </c>
      <c r="D4564" s="79">
        <v>248423.90999999997</v>
      </c>
    </row>
    <row r="4565" spans="1:4" x14ac:dyDescent="0.3">
      <c r="A4565" s="88" t="s">
        <v>217</v>
      </c>
      <c r="B4565" s="88"/>
      <c r="C4565" s="16">
        <v>46305</v>
      </c>
      <c r="D4565" s="79">
        <v>351319.16</v>
      </c>
    </row>
    <row r="4566" spans="1:4" x14ac:dyDescent="0.3">
      <c r="A4566" s="88" t="s">
        <v>17</v>
      </c>
      <c r="B4566" s="88"/>
      <c r="C4566" s="16">
        <v>46306</v>
      </c>
      <c r="D4566" s="79">
        <v>2834671.5400000005</v>
      </c>
    </row>
    <row r="4567" spans="1:4" x14ac:dyDescent="0.3">
      <c r="A4567" s="88" t="s">
        <v>18</v>
      </c>
      <c r="B4567" s="88"/>
      <c r="C4567" s="16">
        <v>46306</v>
      </c>
      <c r="D4567" s="79">
        <v>103123.59000000017</v>
      </c>
    </row>
    <row r="4568" spans="1:4" x14ac:dyDescent="0.3">
      <c r="A4568" s="88" t="s">
        <v>19</v>
      </c>
      <c r="B4568" s="88"/>
      <c r="C4568" s="16">
        <v>46306</v>
      </c>
      <c r="D4568" s="79">
        <v>1669.89</v>
      </c>
    </row>
    <row r="4569" spans="1:4" x14ac:dyDescent="0.3">
      <c r="A4569" s="88" t="s">
        <v>20</v>
      </c>
      <c r="B4569" s="88"/>
      <c r="C4569" s="16">
        <v>46306</v>
      </c>
      <c r="D4569" s="79">
        <v>1026832.7999999996</v>
      </c>
    </row>
    <row r="4570" spans="1:4" x14ac:dyDescent="0.3">
      <c r="A4570" s="88" t="s">
        <v>21</v>
      </c>
      <c r="B4570" s="88"/>
      <c r="C4570" s="16">
        <v>46306</v>
      </c>
      <c r="D4570" s="79">
        <v>1340096.4199999995</v>
      </c>
    </row>
    <row r="4571" spans="1:4" x14ac:dyDescent="0.3">
      <c r="A4571" s="88" t="s">
        <v>22</v>
      </c>
      <c r="B4571" s="88"/>
      <c r="C4571" s="16">
        <v>46306</v>
      </c>
      <c r="D4571" s="79">
        <v>181778.14</v>
      </c>
    </row>
    <row r="4572" spans="1:4" x14ac:dyDescent="0.3">
      <c r="A4572" s="88" t="s">
        <v>23</v>
      </c>
      <c r="B4572" s="88"/>
      <c r="C4572" s="16">
        <v>46306</v>
      </c>
      <c r="D4572" s="79">
        <v>80533.579999999987</v>
      </c>
    </row>
    <row r="4573" spans="1:4" x14ac:dyDescent="0.3">
      <c r="A4573" s="88" t="s">
        <v>24</v>
      </c>
      <c r="B4573" s="88"/>
      <c r="C4573" s="16">
        <v>46306</v>
      </c>
      <c r="D4573" s="79">
        <v>10259.18</v>
      </c>
    </row>
    <row r="4574" spans="1:4" x14ac:dyDescent="0.3">
      <c r="A4574" s="88" t="s">
        <v>25</v>
      </c>
      <c r="B4574" s="88"/>
      <c r="C4574" s="16">
        <v>46306</v>
      </c>
      <c r="D4574" s="79">
        <v>64.55</v>
      </c>
    </row>
    <row r="4575" spans="1:4" x14ac:dyDescent="0.3">
      <c r="A4575" s="88" t="s">
        <v>26</v>
      </c>
      <c r="B4575" s="88"/>
      <c r="C4575" s="16">
        <v>46306</v>
      </c>
      <c r="D4575" s="79">
        <v>2117.9700000000003</v>
      </c>
    </row>
    <row r="4576" spans="1:4" x14ac:dyDescent="0.3">
      <c r="A4576" s="88" t="s">
        <v>27</v>
      </c>
      <c r="B4576" s="88"/>
      <c r="C4576" s="16">
        <v>46306</v>
      </c>
      <c r="D4576" s="79">
        <v>17895.290000000015</v>
      </c>
    </row>
    <row r="4577" spans="1:4" x14ac:dyDescent="0.3">
      <c r="A4577" s="88" t="s">
        <v>28</v>
      </c>
      <c r="B4577" s="88"/>
      <c r="C4577" s="16">
        <v>46306</v>
      </c>
      <c r="D4577" s="79">
        <v>1968.99</v>
      </c>
    </row>
    <row r="4578" spans="1:4" x14ac:dyDescent="0.3">
      <c r="A4578" s="88" t="s">
        <v>29</v>
      </c>
      <c r="B4578" s="88"/>
      <c r="C4578" s="16">
        <v>46306</v>
      </c>
      <c r="D4578" s="79">
        <v>901.34</v>
      </c>
    </row>
    <row r="4579" spans="1:4" x14ac:dyDescent="0.3">
      <c r="A4579" s="88" t="s">
        <v>30</v>
      </c>
      <c r="B4579" s="88"/>
      <c r="C4579" s="16">
        <v>46306</v>
      </c>
      <c r="D4579" s="79">
        <v>1364.08</v>
      </c>
    </row>
    <row r="4580" spans="1:4" x14ac:dyDescent="0.3">
      <c r="A4580" s="88" t="s">
        <v>31</v>
      </c>
      <c r="B4580" s="88"/>
      <c r="C4580" s="16">
        <v>46306</v>
      </c>
      <c r="D4580" s="79">
        <v>20171.549999999959</v>
      </c>
    </row>
    <row r="4581" spans="1:4" x14ac:dyDescent="0.3">
      <c r="A4581" s="88" t="s">
        <v>32</v>
      </c>
      <c r="B4581" s="88"/>
      <c r="C4581" s="16">
        <v>46306</v>
      </c>
      <c r="D4581" s="79">
        <v>13576.060000000007</v>
      </c>
    </row>
    <row r="4582" spans="1:4" x14ac:dyDescent="0.3">
      <c r="A4582" s="88" t="s">
        <v>33</v>
      </c>
      <c r="B4582" s="88"/>
      <c r="C4582" s="16">
        <v>46306</v>
      </c>
      <c r="D4582" s="79">
        <v>16893.769999999997</v>
      </c>
    </row>
    <row r="4583" spans="1:4" x14ac:dyDescent="0.3">
      <c r="A4583" s="88" t="s">
        <v>34</v>
      </c>
      <c r="B4583" s="88"/>
      <c r="C4583" s="16">
        <v>46306</v>
      </c>
      <c r="D4583" s="79">
        <v>345</v>
      </c>
    </row>
    <row r="4584" spans="1:4" x14ac:dyDescent="0.3">
      <c r="A4584" s="88" t="s">
        <v>35</v>
      </c>
      <c r="B4584" s="88"/>
      <c r="C4584" s="16">
        <v>46306</v>
      </c>
      <c r="D4584" s="79">
        <v>23077.850000000002</v>
      </c>
    </row>
    <row r="4585" spans="1:4" x14ac:dyDescent="0.3">
      <c r="A4585" s="88" t="s">
        <v>193</v>
      </c>
      <c r="B4585" s="88"/>
      <c r="C4585" s="16">
        <v>46306</v>
      </c>
      <c r="D4585" s="79">
        <v>310854.86000000004</v>
      </c>
    </row>
    <row r="4586" spans="1:4" x14ac:dyDescent="0.3">
      <c r="A4586" s="88" t="s">
        <v>214</v>
      </c>
      <c r="B4586" s="88"/>
      <c r="C4586" s="16">
        <v>46306</v>
      </c>
      <c r="D4586" s="79">
        <v>101132.39000000001</v>
      </c>
    </row>
    <row r="4587" spans="1:4" x14ac:dyDescent="0.3">
      <c r="A4587" s="88" t="s">
        <v>194</v>
      </c>
      <c r="B4587" s="88"/>
      <c r="C4587" s="16">
        <v>46306</v>
      </c>
      <c r="D4587" s="79">
        <v>90631.96</v>
      </c>
    </row>
    <row r="4588" spans="1:4" x14ac:dyDescent="0.3">
      <c r="A4588" s="88" t="s">
        <v>195</v>
      </c>
      <c r="B4588" s="88"/>
      <c r="C4588" s="16">
        <v>46306</v>
      </c>
      <c r="D4588" s="79">
        <v>5604.8</v>
      </c>
    </row>
    <row r="4589" spans="1:4" x14ac:dyDescent="0.3">
      <c r="A4589" s="88" t="s">
        <v>196</v>
      </c>
      <c r="B4589" s="88"/>
      <c r="C4589" s="16">
        <v>46306</v>
      </c>
      <c r="D4589" s="79">
        <v>21397.339999999967</v>
      </c>
    </row>
    <row r="4590" spans="1:4" x14ac:dyDescent="0.3">
      <c r="A4590" s="88" t="s">
        <v>197</v>
      </c>
      <c r="B4590" s="88"/>
      <c r="C4590" s="16">
        <v>46306</v>
      </c>
      <c r="D4590" s="79">
        <v>794.01</v>
      </c>
    </row>
    <row r="4591" spans="1:4" x14ac:dyDescent="0.3">
      <c r="A4591" s="88" t="s">
        <v>212</v>
      </c>
      <c r="B4591" s="88"/>
      <c r="C4591" s="16">
        <v>46306</v>
      </c>
      <c r="D4591" s="79">
        <v>5445.57</v>
      </c>
    </row>
    <row r="4592" spans="1:4" x14ac:dyDescent="0.3">
      <c r="A4592" s="88" t="s">
        <v>199</v>
      </c>
      <c r="B4592" s="88"/>
      <c r="C4592" s="16">
        <v>46306</v>
      </c>
      <c r="D4592" s="79">
        <v>248423.90999999997</v>
      </c>
    </row>
    <row r="4593" spans="1:4" x14ac:dyDescent="0.3">
      <c r="A4593" s="88" t="s">
        <v>217</v>
      </c>
      <c r="B4593" s="88"/>
      <c r="C4593" s="16">
        <v>46306</v>
      </c>
      <c r="D4593" s="79">
        <v>351319.16</v>
      </c>
    </row>
    <row r="4594" spans="1:4" x14ac:dyDescent="0.3">
      <c r="A4594" s="88" t="s">
        <v>17</v>
      </c>
      <c r="B4594" s="88"/>
      <c r="C4594" s="16">
        <v>46307</v>
      </c>
      <c r="D4594" s="79">
        <v>2834671.5400000005</v>
      </c>
    </row>
    <row r="4595" spans="1:4" x14ac:dyDescent="0.3">
      <c r="A4595" s="88" t="s">
        <v>18</v>
      </c>
      <c r="B4595" s="88"/>
      <c r="C4595" s="16">
        <v>46307</v>
      </c>
      <c r="D4595" s="79">
        <v>103123.59000000017</v>
      </c>
    </row>
    <row r="4596" spans="1:4" x14ac:dyDescent="0.3">
      <c r="A4596" s="88" t="s">
        <v>19</v>
      </c>
      <c r="B4596" s="88"/>
      <c r="C4596" s="16">
        <v>46307</v>
      </c>
      <c r="D4596" s="79">
        <v>1669.89</v>
      </c>
    </row>
    <row r="4597" spans="1:4" x14ac:dyDescent="0.3">
      <c r="A4597" s="88" t="s">
        <v>20</v>
      </c>
      <c r="B4597" s="88"/>
      <c r="C4597" s="16">
        <v>46307</v>
      </c>
      <c r="D4597" s="79">
        <v>1026832.7999999996</v>
      </c>
    </row>
    <row r="4598" spans="1:4" x14ac:dyDescent="0.3">
      <c r="A4598" s="88" t="s">
        <v>21</v>
      </c>
      <c r="B4598" s="88"/>
      <c r="C4598" s="16">
        <v>46307</v>
      </c>
      <c r="D4598" s="79">
        <v>1340096.4199999995</v>
      </c>
    </row>
    <row r="4599" spans="1:4" x14ac:dyDescent="0.3">
      <c r="A4599" s="88" t="s">
        <v>22</v>
      </c>
      <c r="B4599" s="88"/>
      <c r="C4599" s="16">
        <v>46307</v>
      </c>
      <c r="D4599" s="79">
        <v>181778.14</v>
      </c>
    </row>
    <row r="4600" spans="1:4" x14ac:dyDescent="0.3">
      <c r="A4600" s="88" t="s">
        <v>23</v>
      </c>
      <c r="B4600" s="88"/>
      <c r="C4600" s="16">
        <v>46307</v>
      </c>
      <c r="D4600" s="79">
        <v>80533.579999999987</v>
      </c>
    </row>
    <row r="4601" spans="1:4" x14ac:dyDescent="0.3">
      <c r="A4601" s="88" t="s">
        <v>24</v>
      </c>
      <c r="B4601" s="88"/>
      <c r="C4601" s="16">
        <v>46307</v>
      </c>
      <c r="D4601" s="79">
        <v>10259.18</v>
      </c>
    </row>
    <row r="4602" spans="1:4" x14ac:dyDescent="0.3">
      <c r="A4602" s="88" t="s">
        <v>25</v>
      </c>
      <c r="B4602" s="88"/>
      <c r="C4602" s="16">
        <v>46307</v>
      </c>
      <c r="D4602" s="79">
        <v>64.55</v>
      </c>
    </row>
    <row r="4603" spans="1:4" x14ac:dyDescent="0.3">
      <c r="A4603" s="88" t="s">
        <v>26</v>
      </c>
      <c r="B4603" s="88"/>
      <c r="C4603" s="16">
        <v>46307</v>
      </c>
      <c r="D4603" s="79">
        <v>2117.9700000000003</v>
      </c>
    </row>
    <row r="4604" spans="1:4" x14ac:dyDescent="0.3">
      <c r="A4604" s="88" t="s">
        <v>27</v>
      </c>
      <c r="B4604" s="88"/>
      <c r="C4604" s="16">
        <v>46307</v>
      </c>
      <c r="D4604" s="79">
        <v>17895.290000000015</v>
      </c>
    </row>
    <row r="4605" spans="1:4" x14ac:dyDescent="0.3">
      <c r="A4605" s="88" t="s">
        <v>28</v>
      </c>
      <c r="B4605" s="88"/>
      <c r="C4605" s="16">
        <v>46307</v>
      </c>
      <c r="D4605" s="79">
        <v>1968.99</v>
      </c>
    </row>
    <row r="4606" spans="1:4" x14ac:dyDescent="0.3">
      <c r="A4606" s="88" t="s">
        <v>29</v>
      </c>
      <c r="B4606" s="88"/>
      <c r="C4606" s="16">
        <v>46307</v>
      </c>
      <c r="D4606" s="79">
        <v>901.34</v>
      </c>
    </row>
    <row r="4607" spans="1:4" x14ac:dyDescent="0.3">
      <c r="A4607" s="88" t="s">
        <v>30</v>
      </c>
      <c r="B4607" s="88"/>
      <c r="C4607" s="16">
        <v>46307</v>
      </c>
      <c r="D4607" s="79">
        <v>1364.08</v>
      </c>
    </row>
    <row r="4608" spans="1:4" x14ac:dyDescent="0.3">
      <c r="A4608" s="88" t="s">
        <v>31</v>
      </c>
      <c r="B4608" s="88"/>
      <c r="C4608" s="16">
        <v>46307</v>
      </c>
      <c r="D4608" s="79">
        <v>20171.549999999959</v>
      </c>
    </row>
    <row r="4609" spans="1:4" x14ac:dyDescent="0.3">
      <c r="A4609" s="88" t="s">
        <v>32</v>
      </c>
      <c r="B4609" s="88"/>
      <c r="C4609" s="16">
        <v>46307</v>
      </c>
      <c r="D4609" s="79">
        <v>13576.060000000007</v>
      </c>
    </row>
    <row r="4610" spans="1:4" x14ac:dyDescent="0.3">
      <c r="A4610" s="88" t="s">
        <v>33</v>
      </c>
      <c r="B4610" s="88"/>
      <c r="C4610" s="16">
        <v>46307</v>
      </c>
      <c r="D4610" s="79">
        <v>16893.769999999997</v>
      </c>
    </row>
    <row r="4611" spans="1:4" x14ac:dyDescent="0.3">
      <c r="A4611" s="88" t="s">
        <v>34</v>
      </c>
      <c r="B4611" s="88"/>
      <c r="C4611" s="16">
        <v>46307</v>
      </c>
      <c r="D4611" s="79">
        <v>345</v>
      </c>
    </row>
    <row r="4612" spans="1:4" x14ac:dyDescent="0.3">
      <c r="A4612" s="88" t="s">
        <v>35</v>
      </c>
      <c r="B4612" s="88"/>
      <c r="C4612" s="16">
        <v>46307</v>
      </c>
      <c r="D4612" s="79">
        <v>23077.850000000002</v>
      </c>
    </row>
    <row r="4613" spans="1:4" x14ac:dyDescent="0.3">
      <c r="A4613" s="88" t="s">
        <v>193</v>
      </c>
      <c r="B4613" s="88"/>
      <c r="C4613" s="16">
        <v>46307</v>
      </c>
      <c r="D4613" s="79">
        <v>310854.86000000004</v>
      </c>
    </row>
    <row r="4614" spans="1:4" x14ac:dyDescent="0.3">
      <c r="A4614" s="88" t="s">
        <v>214</v>
      </c>
      <c r="B4614" s="88"/>
      <c r="C4614" s="16">
        <v>46307</v>
      </c>
      <c r="D4614" s="79">
        <v>101132.39000000001</v>
      </c>
    </row>
    <row r="4615" spans="1:4" x14ac:dyDescent="0.3">
      <c r="A4615" s="88" t="s">
        <v>194</v>
      </c>
      <c r="B4615" s="88"/>
      <c r="C4615" s="16">
        <v>46307</v>
      </c>
      <c r="D4615" s="79">
        <v>90631.96</v>
      </c>
    </row>
    <row r="4616" spans="1:4" x14ac:dyDescent="0.3">
      <c r="A4616" s="88" t="s">
        <v>195</v>
      </c>
      <c r="B4616" s="88"/>
      <c r="C4616" s="16">
        <v>46307</v>
      </c>
      <c r="D4616" s="79">
        <v>5604.8</v>
      </c>
    </row>
    <row r="4617" spans="1:4" x14ac:dyDescent="0.3">
      <c r="A4617" s="88" t="s">
        <v>196</v>
      </c>
      <c r="B4617" s="88"/>
      <c r="C4617" s="16">
        <v>46307</v>
      </c>
      <c r="D4617" s="79">
        <v>21397.339999999967</v>
      </c>
    </row>
    <row r="4618" spans="1:4" x14ac:dyDescent="0.3">
      <c r="A4618" s="88" t="s">
        <v>197</v>
      </c>
      <c r="B4618" s="88"/>
      <c r="C4618" s="16">
        <v>46307</v>
      </c>
      <c r="D4618" s="79">
        <v>794.01</v>
      </c>
    </row>
    <row r="4619" spans="1:4" x14ac:dyDescent="0.3">
      <c r="A4619" s="88" t="s">
        <v>212</v>
      </c>
      <c r="B4619" s="88"/>
      <c r="C4619" s="16">
        <v>46307</v>
      </c>
      <c r="D4619" s="79">
        <v>5445.57</v>
      </c>
    </row>
    <row r="4620" spans="1:4" x14ac:dyDescent="0.3">
      <c r="A4620" s="88" t="s">
        <v>199</v>
      </c>
      <c r="B4620" s="88"/>
      <c r="C4620" s="16">
        <v>46307</v>
      </c>
      <c r="D4620" s="79">
        <v>248423.90999999997</v>
      </c>
    </row>
    <row r="4621" spans="1:4" x14ac:dyDescent="0.3">
      <c r="A4621" s="88" t="s">
        <v>217</v>
      </c>
      <c r="B4621" s="88"/>
      <c r="C4621" s="16">
        <v>46307</v>
      </c>
      <c r="D4621" s="79">
        <v>351319.16</v>
      </c>
    </row>
    <row r="4622" spans="1:4" x14ac:dyDescent="0.3">
      <c r="A4622" s="88" t="s">
        <v>17</v>
      </c>
      <c r="B4622" s="88"/>
      <c r="C4622" s="16">
        <v>46308</v>
      </c>
      <c r="D4622" s="79">
        <v>2834671.5400000005</v>
      </c>
    </row>
    <row r="4623" spans="1:4" x14ac:dyDescent="0.3">
      <c r="A4623" s="88" t="s">
        <v>18</v>
      </c>
      <c r="B4623" s="88"/>
      <c r="C4623" s="16">
        <v>46308</v>
      </c>
      <c r="D4623" s="79">
        <v>103123.59000000017</v>
      </c>
    </row>
    <row r="4624" spans="1:4" x14ac:dyDescent="0.3">
      <c r="A4624" s="88" t="s">
        <v>19</v>
      </c>
      <c r="B4624" s="88"/>
      <c r="C4624" s="16">
        <v>46308</v>
      </c>
      <c r="D4624" s="79">
        <v>1669.89</v>
      </c>
    </row>
    <row r="4625" spans="1:4" x14ac:dyDescent="0.3">
      <c r="A4625" s="88" t="s">
        <v>20</v>
      </c>
      <c r="B4625" s="88"/>
      <c r="C4625" s="16">
        <v>46308</v>
      </c>
      <c r="D4625" s="79">
        <v>1026832.7999999996</v>
      </c>
    </row>
    <row r="4626" spans="1:4" x14ac:dyDescent="0.3">
      <c r="A4626" s="88" t="s">
        <v>21</v>
      </c>
      <c r="B4626" s="88"/>
      <c r="C4626" s="16">
        <v>46308</v>
      </c>
      <c r="D4626" s="79">
        <v>1340096.4199999995</v>
      </c>
    </row>
    <row r="4627" spans="1:4" x14ac:dyDescent="0.3">
      <c r="A4627" s="88" t="s">
        <v>22</v>
      </c>
      <c r="B4627" s="88"/>
      <c r="C4627" s="16">
        <v>46308</v>
      </c>
      <c r="D4627" s="79">
        <v>181778.14</v>
      </c>
    </row>
    <row r="4628" spans="1:4" x14ac:dyDescent="0.3">
      <c r="A4628" s="88" t="s">
        <v>23</v>
      </c>
      <c r="B4628" s="88"/>
      <c r="C4628" s="16">
        <v>46308</v>
      </c>
      <c r="D4628" s="79">
        <v>80533.579999999987</v>
      </c>
    </row>
    <row r="4629" spans="1:4" x14ac:dyDescent="0.3">
      <c r="A4629" s="88" t="s">
        <v>24</v>
      </c>
      <c r="B4629" s="88"/>
      <c r="C4629" s="16">
        <v>46308</v>
      </c>
      <c r="D4629" s="79">
        <v>10259.18</v>
      </c>
    </row>
    <row r="4630" spans="1:4" x14ac:dyDescent="0.3">
      <c r="A4630" s="88" t="s">
        <v>25</v>
      </c>
      <c r="B4630" s="88"/>
      <c r="C4630" s="16">
        <v>46308</v>
      </c>
      <c r="D4630" s="79">
        <v>64.55</v>
      </c>
    </row>
    <row r="4631" spans="1:4" x14ac:dyDescent="0.3">
      <c r="A4631" s="88" t="s">
        <v>26</v>
      </c>
      <c r="B4631" s="88"/>
      <c r="C4631" s="16">
        <v>46308</v>
      </c>
      <c r="D4631" s="79">
        <v>2117.9700000000003</v>
      </c>
    </row>
    <row r="4632" spans="1:4" x14ac:dyDescent="0.3">
      <c r="A4632" s="88" t="s">
        <v>27</v>
      </c>
      <c r="B4632" s="88"/>
      <c r="C4632" s="16">
        <v>46308</v>
      </c>
      <c r="D4632" s="79">
        <v>17895.290000000015</v>
      </c>
    </row>
    <row r="4633" spans="1:4" x14ac:dyDescent="0.3">
      <c r="A4633" s="88" t="s">
        <v>28</v>
      </c>
      <c r="B4633" s="88"/>
      <c r="C4633" s="16">
        <v>46308</v>
      </c>
      <c r="D4633" s="79">
        <v>1968.99</v>
      </c>
    </row>
    <row r="4634" spans="1:4" x14ac:dyDescent="0.3">
      <c r="A4634" s="88" t="s">
        <v>29</v>
      </c>
      <c r="B4634" s="88"/>
      <c r="C4634" s="16">
        <v>46308</v>
      </c>
      <c r="D4634" s="79">
        <v>901.34</v>
      </c>
    </row>
    <row r="4635" spans="1:4" x14ac:dyDescent="0.3">
      <c r="A4635" s="88" t="s">
        <v>30</v>
      </c>
      <c r="B4635" s="88"/>
      <c r="C4635" s="16">
        <v>46308</v>
      </c>
      <c r="D4635" s="79">
        <v>1364.08</v>
      </c>
    </row>
    <row r="4636" spans="1:4" x14ac:dyDescent="0.3">
      <c r="A4636" s="88" t="s">
        <v>31</v>
      </c>
      <c r="B4636" s="88"/>
      <c r="C4636" s="16">
        <v>46308</v>
      </c>
      <c r="D4636" s="79">
        <v>20171.549999999959</v>
      </c>
    </row>
    <row r="4637" spans="1:4" x14ac:dyDescent="0.3">
      <c r="A4637" s="88" t="s">
        <v>32</v>
      </c>
      <c r="B4637" s="88"/>
      <c r="C4637" s="16">
        <v>46308</v>
      </c>
      <c r="D4637" s="79">
        <v>13576.060000000007</v>
      </c>
    </row>
    <row r="4638" spans="1:4" x14ac:dyDescent="0.3">
      <c r="A4638" s="88" t="s">
        <v>33</v>
      </c>
      <c r="B4638" s="88"/>
      <c r="C4638" s="16">
        <v>46308</v>
      </c>
      <c r="D4638" s="79">
        <v>16893.769999999997</v>
      </c>
    </row>
    <row r="4639" spans="1:4" x14ac:dyDescent="0.3">
      <c r="A4639" s="88" t="s">
        <v>34</v>
      </c>
      <c r="B4639" s="88"/>
      <c r="C4639" s="16">
        <v>46308</v>
      </c>
      <c r="D4639" s="79">
        <v>345</v>
      </c>
    </row>
    <row r="4640" spans="1:4" x14ac:dyDescent="0.3">
      <c r="A4640" s="88" t="s">
        <v>35</v>
      </c>
      <c r="B4640" s="88"/>
      <c r="C4640" s="16">
        <v>46308</v>
      </c>
      <c r="D4640" s="79">
        <v>23077.850000000002</v>
      </c>
    </row>
    <row r="4641" spans="1:4" x14ac:dyDescent="0.3">
      <c r="A4641" s="88" t="s">
        <v>193</v>
      </c>
      <c r="B4641" s="88"/>
      <c r="C4641" s="16">
        <v>46308</v>
      </c>
      <c r="D4641" s="79">
        <v>310854.86000000004</v>
      </c>
    </row>
    <row r="4642" spans="1:4" x14ac:dyDescent="0.3">
      <c r="A4642" s="88" t="s">
        <v>214</v>
      </c>
      <c r="B4642" s="88"/>
      <c r="C4642" s="16">
        <v>46308</v>
      </c>
      <c r="D4642" s="79">
        <v>100606.05000000002</v>
      </c>
    </row>
    <row r="4643" spans="1:4" x14ac:dyDescent="0.3">
      <c r="A4643" s="88" t="s">
        <v>194</v>
      </c>
      <c r="B4643" s="88"/>
      <c r="C4643" s="16">
        <v>46308</v>
      </c>
      <c r="D4643" s="79">
        <v>90631.96</v>
      </c>
    </row>
    <row r="4644" spans="1:4" x14ac:dyDescent="0.3">
      <c r="A4644" s="88" t="s">
        <v>195</v>
      </c>
      <c r="B4644" s="88"/>
      <c r="C4644" s="16">
        <v>46308</v>
      </c>
      <c r="D4644" s="79">
        <v>5604.8</v>
      </c>
    </row>
    <row r="4645" spans="1:4" x14ac:dyDescent="0.3">
      <c r="A4645" s="88" t="s">
        <v>196</v>
      </c>
      <c r="B4645" s="88"/>
      <c r="C4645" s="16">
        <v>46308</v>
      </c>
      <c r="D4645" s="79">
        <v>21397.339999999967</v>
      </c>
    </row>
    <row r="4646" spans="1:4" x14ac:dyDescent="0.3">
      <c r="A4646" s="88" t="s">
        <v>197</v>
      </c>
      <c r="B4646" s="88"/>
      <c r="C4646" s="16">
        <v>46308</v>
      </c>
      <c r="D4646" s="79">
        <v>794.01</v>
      </c>
    </row>
    <row r="4647" spans="1:4" x14ac:dyDescent="0.3">
      <c r="A4647" s="88" t="s">
        <v>212</v>
      </c>
      <c r="B4647" s="88"/>
      <c r="C4647" s="16">
        <v>46308</v>
      </c>
      <c r="D4647" s="79">
        <v>5445.57</v>
      </c>
    </row>
    <row r="4648" spans="1:4" x14ac:dyDescent="0.3">
      <c r="A4648" s="88" t="s">
        <v>199</v>
      </c>
      <c r="B4648" s="88"/>
      <c r="C4648" s="16">
        <v>46308</v>
      </c>
      <c r="D4648" s="79">
        <v>248322.68</v>
      </c>
    </row>
    <row r="4649" spans="1:4" x14ac:dyDescent="0.3">
      <c r="A4649" s="88" t="s">
        <v>217</v>
      </c>
      <c r="B4649" s="88"/>
      <c r="C4649" s="16">
        <v>46308</v>
      </c>
      <c r="D4649" s="79">
        <v>351319.16</v>
      </c>
    </row>
    <row r="4650" spans="1:4" x14ac:dyDescent="0.3">
      <c r="A4650" s="88" t="s">
        <v>17</v>
      </c>
      <c r="B4650" s="88"/>
      <c r="C4650" s="16">
        <v>46309</v>
      </c>
      <c r="D4650" s="79">
        <v>2393911.5800000005</v>
      </c>
    </row>
    <row r="4651" spans="1:4" x14ac:dyDescent="0.3">
      <c r="A4651" s="88" t="s">
        <v>18</v>
      </c>
      <c r="B4651" s="88"/>
      <c r="C4651" s="16">
        <v>46309</v>
      </c>
      <c r="D4651" s="79">
        <v>103123.59000000017</v>
      </c>
    </row>
    <row r="4652" spans="1:4" x14ac:dyDescent="0.3">
      <c r="A4652" s="88" t="s">
        <v>19</v>
      </c>
      <c r="B4652" s="88"/>
      <c r="C4652" s="16">
        <v>46309</v>
      </c>
      <c r="D4652" s="79">
        <v>1669.89</v>
      </c>
    </row>
    <row r="4653" spans="1:4" x14ac:dyDescent="0.3">
      <c r="A4653" s="88" t="s">
        <v>20</v>
      </c>
      <c r="B4653" s="88"/>
      <c r="C4653" s="16">
        <v>46309</v>
      </c>
      <c r="D4653" s="79">
        <v>892379.23999999953</v>
      </c>
    </row>
    <row r="4654" spans="1:4" x14ac:dyDescent="0.3">
      <c r="A4654" s="88" t="s">
        <v>21</v>
      </c>
      <c r="B4654" s="88"/>
      <c r="C4654" s="16">
        <v>46309</v>
      </c>
      <c r="D4654" s="79">
        <v>1574252.7299999993</v>
      </c>
    </row>
    <row r="4655" spans="1:4" x14ac:dyDescent="0.3">
      <c r="A4655" s="88" t="s">
        <v>22</v>
      </c>
      <c r="B4655" s="88"/>
      <c r="C4655" s="16">
        <v>46309</v>
      </c>
      <c r="D4655" s="79">
        <v>181763.14</v>
      </c>
    </row>
    <row r="4656" spans="1:4" x14ac:dyDescent="0.3">
      <c r="A4656" s="88" t="s">
        <v>23</v>
      </c>
      <c r="B4656" s="88"/>
      <c r="C4656" s="16">
        <v>46309</v>
      </c>
      <c r="D4656" s="79">
        <v>80533.579999999987</v>
      </c>
    </row>
    <row r="4657" spans="1:4" x14ac:dyDescent="0.3">
      <c r="A4657" s="88" t="s">
        <v>24</v>
      </c>
      <c r="B4657" s="88"/>
      <c r="C4657" s="16">
        <v>46309</v>
      </c>
      <c r="D4657" s="79">
        <v>10259.18</v>
      </c>
    </row>
    <row r="4658" spans="1:4" x14ac:dyDescent="0.3">
      <c r="A4658" s="88" t="s">
        <v>25</v>
      </c>
      <c r="B4658" s="88"/>
      <c r="C4658" s="16">
        <v>46309</v>
      </c>
      <c r="D4658" s="79">
        <v>64.55</v>
      </c>
    </row>
    <row r="4659" spans="1:4" x14ac:dyDescent="0.3">
      <c r="A4659" s="88" t="s">
        <v>26</v>
      </c>
      <c r="B4659" s="88"/>
      <c r="C4659" s="16">
        <v>46309</v>
      </c>
      <c r="D4659" s="79">
        <v>2117.9700000000003</v>
      </c>
    </row>
    <row r="4660" spans="1:4" x14ac:dyDescent="0.3">
      <c r="A4660" s="88" t="s">
        <v>27</v>
      </c>
      <c r="B4660" s="88"/>
      <c r="C4660" s="16">
        <v>46309</v>
      </c>
      <c r="D4660" s="79">
        <v>17895.290000000015</v>
      </c>
    </row>
    <row r="4661" spans="1:4" x14ac:dyDescent="0.3">
      <c r="A4661" s="88" t="s">
        <v>28</v>
      </c>
      <c r="B4661" s="88"/>
      <c r="C4661" s="16">
        <v>46309</v>
      </c>
      <c r="D4661" s="79">
        <v>1968.99</v>
      </c>
    </row>
    <row r="4662" spans="1:4" x14ac:dyDescent="0.3">
      <c r="A4662" s="88" t="s">
        <v>29</v>
      </c>
      <c r="B4662" s="88"/>
      <c r="C4662" s="16">
        <v>46309</v>
      </c>
      <c r="D4662" s="79">
        <v>901.34</v>
      </c>
    </row>
    <row r="4663" spans="1:4" x14ac:dyDescent="0.3">
      <c r="A4663" s="88" t="s">
        <v>30</v>
      </c>
      <c r="B4663" s="88"/>
      <c r="C4663" s="16">
        <v>46309</v>
      </c>
      <c r="D4663" s="79">
        <v>1364.08</v>
      </c>
    </row>
    <row r="4664" spans="1:4" x14ac:dyDescent="0.3">
      <c r="A4664" s="88" t="s">
        <v>31</v>
      </c>
      <c r="B4664" s="88"/>
      <c r="C4664" s="16">
        <v>46309</v>
      </c>
      <c r="D4664" s="79">
        <v>20171.549999999959</v>
      </c>
    </row>
    <row r="4665" spans="1:4" x14ac:dyDescent="0.3">
      <c r="A4665" s="88" t="s">
        <v>32</v>
      </c>
      <c r="B4665" s="88"/>
      <c r="C4665" s="16">
        <v>46309</v>
      </c>
      <c r="D4665" s="79">
        <v>13576.060000000007</v>
      </c>
    </row>
    <row r="4666" spans="1:4" x14ac:dyDescent="0.3">
      <c r="A4666" s="88" t="s">
        <v>33</v>
      </c>
      <c r="B4666" s="88"/>
      <c r="C4666" s="16">
        <v>46309</v>
      </c>
      <c r="D4666" s="79">
        <v>16893.769999999997</v>
      </c>
    </row>
    <row r="4667" spans="1:4" x14ac:dyDescent="0.3">
      <c r="A4667" s="88" t="s">
        <v>34</v>
      </c>
      <c r="B4667" s="88"/>
      <c r="C4667" s="16">
        <v>46309</v>
      </c>
      <c r="D4667" s="79">
        <v>345</v>
      </c>
    </row>
    <row r="4668" spans="1:4" x14ac:dyDescent="0.3">
      <c r="A4668" s="88" t="s">
        <v>35</v>
      </c>
      <c r="B4668" s="88"/>
      <c r="C4668" s="16">
        <v>46309</v>
      </c>
      <c r="D4668" s="79">
        <v>6416.7700000000023</v>
      </c>
    </row>
    <row r="4669" spans="1:4" x14ac:dyDescent="0.3">
      <c r="A4669" s="88" t="s">
        <v>193</v>
      </c>
      <c r="B4669" s="88"/>
      <c r="C4669" s="16">
        <v>46309</v>
      </c>
      <c r="D4669" s="79">
        <v>329346.53000000003</v>
      </c>
    </row>
    <row r="4670" spans="1:4" x14ac:dyDescent="0.3">
      <c r="A4670" s="88" t="s">
        <v>214</v>
      </c>
      <c r="B4670" s="88"/>
      <c r="C4670" s="16">
        <v>46309</v>
      </c>
      <c r="D4670" s="79">
        <v>149859.76000000004</v>
      </c>
    </row>
    <row r="4671" spans="1:4" x14ac:dyDescent="0.3">
      <c r="A4671" s="88" t="s">
        <v>194</v>
      </c>
      <c r="B4671" s="88"/>
      <c r="C4671" s="16">
        <v>46309</v>
      </c>
      <c r="D4671" s="79">
        <v>100631.96</v>
      </c>
    </row>
    <row r="4672" spans="1:4" x14ac:dyDescent="0.3">
      <c r="A4672" s="88" t="s">
        <v>195</v>
      </c>
      <c r="B4672" s="88"/>
      <c r="C4672" s="16">
        <v>46309</v>
      </c>
      <c r="D4672" s="79">
        <v>3906.17</v>
      </c>
    </row>
    <row r="4673" spans="1:4" x14ac:dyDescent="0.3">
      <c r="A4673" s="88" t="s">
        <v>196</v>
      </c>
      <c r="B4673" s="88"/>
      <c r="C4673" s="16">
        <v>46309</v>
      </c>
      <c r="D4673" s="79">
        <v>21397.339999999967</v>
      </c>
    </row>
    <row r="4674" spans="1:4" x14ac:dyDescent="0.3">
      <c r="A4674" s="88" t="s">
        <v>197</v>
      </c>
      <c r="B4674" s="88"/>
      <c r="C4674" s="16">
        <v>46309</v>
      </c>
      <c r="D4674" s="79">
        <v>794.01</v>
      </c>
    </row>
    <row r="4675" spans="1:4" x14ac:dyDescent="0.3">
      <c r="A4675" s="88" t="s">
        <v>212</v>
      </c>
      <c r="B4675" s="88"/>
      <c r="C4675" s="16">
        <v>46309</v>
      </c>
      <c r="D4675" s="79">
        <v>5445.57</v>
      </c>
    </row>
    <row r="4676" spans="1:4" x14ac:dyDescent="0.3">
      <c r="A4676" s="88" t="s">
        <v>199</v>
      </c>
      <c r="B4676" s="88"/>
      <c r="C4676" s="16">
        <v>46309</v>
      </c>
      <c r="D4676" s="79">
        <v>248232.68</v>
      </c>
    </row>
    <row r="4677" spans="1:4" x14ac:dyDescent="0.3">
      <c r="A4677" s="88" t="s">
        <v>217</v>
      </c>
      <c r="B4677" s="88"/>
      <c r="C4677" s="16">
        <v>46309</v>
      </c>
      <c r="D4677" s="79">
        <v>351319.16</v>
      </c>
    </row>
    <row r="4678" spans="1:4" x14ac:dyDescent="0.3">
      <c r="A4678" s="88" t="s">
        <v>17</v>
      </c>
      <c r="B4678" s="88"/>
      <c r="C4678" s="16">
        <v>46310</v>
      </c>
      <c r="D4678" s="79">
        <v>2414911.5800000005</v>
      </c>
    </row>
    <row r="4679" spans="1:4" x14ac:dyDescent="0.3">
      <c r="A4679" s="88" t="s">
        <v>18</v>
      </c>
      <c r="B4679" s="88"/>
      <c r="C4679" s="16">
        <v>46310</v>
      </c>
      <c r="D4679" s="79">
        <v>103123.59000000017</v>
      </c>
    </row>
    <row r="4680" spans="1:4" x14ac:dyDescent="0.3">
      <c r="A4680" s="88" t="s">
        <v>19</v>
      </c>
      <c r="B4680" s="88"/>
      <c r="C4680" s="16">
        <v>46310</v>
      </c>
      <c r="D4680" s="79">
        <v>1669.89</v>
      </c>
    </row>
    <row r="4681" spans="1:4" x14ac:dyDescent="0.3">
      <c r="A4681" s="88" t="s">
        <v>20</v>
      </c>
      <c r="B4681" s="88"/>
      <c r="C4681" s="16">
        <v>46310</v>
      </c>
      <c r="D4681" s="79">
        <v>891793.39999999956</v>
      </c>
    </row>
    <row r="4682" spans="1:4" x14ac:dyDescent="0.3">
      <c r="A4682" s="88" t="s">
        <v>21</v>
      </c>
      <c r="B4682" s="88"/>
      <c r="C4682" s="16">
        <v>46310</v>
      </c>
      <c r="D4682" s="79">
        <v>1574223.3099999991</v>
      </c>
    </row>
    <row r="4683" spans="1:4" x14ac:dyDescent="0.3">
      <c r="A4683" s="88" t="s">
        <v>22</v>
      </c>
      <c r="B4683" s="88"/>
      <c r="C4683" s="16">
        <v>46310</v>
      </c>
      <c r="D4683" s="79">
        <v>181763.14</v>
      </c>
    </row>
    <row r="4684" spans="1:4" x14ac:dyDescent="0.3">
      <c r="A4684" s="88" t="s">
        <v>23</v>
      </c>
      <c r="B4684" s="88"/>
      <c r="C4684" s="16">
        <v>46310</v>
      </c>
      <c r="D4684" s="79">
        <v>80533.579999999987</v>
      </c>
    </row>
    <row r="4685" spans="1:4" x14ac:dyDescent="0.3">
      <c r="A4685" s="88" t="s">
        <v>24</v>
      </c>
      <c r="B4685" s="88"/>
      <c r="C4685" s="16">
        <v>46310</v>
      </c>
      <c r="D4685" s="79">
        <v>10259.18</v>
      </c>
    </row>
    <row r="4686" spans="1:4" x14ac:dyDescent="0.3">
      <c r="A4686" s="88" t="s">
        <v>25</v>
      </c>
      <c r="B4686" s="88"/>
      <c r="C4686" s="16">
        <v>46310</v>
      </c>
      <c r="D4686" s="79">
        <v>64.55</v>
      </c>
    </row>
    <row r="4687" spans="1:4" x14ac:dyDescent="0.3">
      <c r="A4687" s="88" t="s">
        <v>26</v>
      </c>
      <c r="B4687" s="88"/>
      <c r="C4687" s="16">
        <v>46310</v>
      </c>
      <c r="D4687" s="79">
        <v>2117.9700000000003</v>
      </c>
    </row>
    <row r="4688" spans="1:4" x14ac:dyDescent="0.3">
      <c r="A4688" s="88" t="s">
        <v>27</v>
      </c>
      <c r="B4688" s="88"/>
      <c r="C4688" s="16">
        <v>46310</v>
      </c>
      <c r="D4688" s="79">
        <v>17895.290000000015</v>
      </c>
    </row>
    <row r="4689" spans="1:4" x14ac:dyDescent="0.3">
      <c r="A4689" s="88" t="s">
        <v>28</v>
      </c>
      <c r="B4689" s="88"/>
      <c r="C4689" s="16">
        <v>46310</v>
      </c>
      <c r="D4689" s="79">
        <v>1968.99</v>
      </c>
    </row>
    <row r="4690" spans="1:4" x14ac:dyDescent="0.3">
      <c r="A4690" s="88" t="s">
        <v>29</v>
      </c>
      <c r="B4690" s="88"/>
      <c r="C4690" s="16">
        <v>46310</v>
      </c>
      <c r="D4690" s="79">
        <v>901.34</v>
      </c>
    </row>
    <row r="4691" spans="1:4" x14ac:dyDescent="0.3">
      <c r="A4691" s="88" t="s">
        <v>30</v>
      </c>
      <c r="B4691" s="88"/>
      <c r="C4691" s="16">
        <v>46310</v>
      </c>
      <c r="D4691" s="79">
        <v>1364.08</v>
      </c>
    </row>
    <row r="4692" spans="1:4" x14ac:dyDescent="0.3">
      <c r="A4692" s="88" t="s">
        <v>31</v>
      </c>
      <c r="B4692" s="88"/>
      <c r="C4692" s="16">
        <v>46310</v>
      </c>
      <c r="D4692" s="79">
        <v>20171.549999999959</v>
      </c>
    </row>
    <row r="4693" spans="1:4" x14ac:dyDescent="0.3">
      <c r="A4693" s="88" t="s">
        <v>32</v>
      </c>
      <c r="B4693" s="88"/>
      <c r="C4693" s="16">
        <v>46310</v>
      </c>
      <c r="D4693" s="79">
        <v>13576.060000000007</v>
      </c>
    </row>
    <row r="4694" spans="1:4" x14ac:dyDescent="0.3">
      <c r="A4694" s="88" t="s">
        <v>33</v>
      </c>
      <c r="B4694" s="88"/>
      <c r="C4694" s="16">
        <v>46310</v>
      </c>
      <c r="D4694" s="79">
        <v>16893.769999999997</v>
      </c>
    </row>
    <row r="4695" spans="1:4" x14ac:dyDescent="0.3">
      <c r="A4695" s="88" t="s">
        <v>34</v>
      </c>
      <c r="B4695" s="88"/>
      <c r="C4695" s="16">
        <v>46310</v>
      </c>
      <c r="D4695" s="79">
        <v>345</v>
      </c>
    </row>
    <row r="4696" spans="1:4" x14ac:dyDescent="0.3">
      <c r="A4696" s="88" t="s">
        <v>35</v>
      </c>
      <c r="B4696" s="88"/>
      <c r="C4696" s="16">
        <v>46310</v>
      </c>
      <c r="D4696" s="79">
        <v>6241.7700000000023</v>
      </c>
    </row>
    <row r="4697" spans="1:4" x14ac:dyDescent="0.3">
      <c r="A4697" s="88" t="s">
        <v>193</v>
      </c>
      <c r="B4697" s="88"/>
      <c r="C4697" s="16">
        <v>46310</v>
      </c>
      <c r="D4697" s="79">
        <v>329346.53000000003</v>
      </c>
    </row>
    <row r="4698" spans="1:4" x14ac:dyDescent="0.3">
      <c r="A4698" s="88" t="s">
        <v>214</v>
      </c>
      <c r="B4698" s="88"/>
      <c r="C4698" s="16">
        <v>46310</v>
      </c>
      <c r="D4698" s="79">
        <v>149859.76000000004</v>
      </c>
    </row>
    <row r="4699" spans="1:4" x14ac:dyDescent="0.3">
      <c r="A4699" s="88" t="s">
        <v>194</v>
      </c>
      <c r="B4699" s="88"/>
      <c r="C4699" s="16">
        <v>46310</v>
      </c>
      <c r="D4699" s="79">
        <v>100631.96</v>
      </c>
    </row>
    <row r="4700" spans="1:4" x14ac:dyDescent="0.3">
      <c r="A4700" s="88" t="s">
        <v>195</v>
      </c>
      <c r="B4700" s="88"/>
      <c r="C4700" s="16">
        <v>46310</v>
      </c>
      <c r="D4700" s="79">
        <v>3906.17</v>
      </c>
    </row>
    <row r="4701" spans="1:4" x14ac:dyDescent="0.3">
      <c r="A4701" s="88" t="s">
        <v>196</v>
      </c>
      <c r="B4701" s="88"/>
      <c r="C4701" s="16">
        <v>46310</v>
      </c>
      <c r="D4701" s="79">
        <v>120856.06999999998</v>
      </c>
    </row>
    <row r="4702" spans="1:4" x14ac:dyDescent="0.3">
      <c r="A4702" s="88" t="s">
        <v>197</v>
      </c>
      <c r="B4702" s="88"/>
      <c r="C4702" s="16">
        <v>46310</v>
      </c>
      <c r="D4702" s="79">
        <v>794.01</v>
      </c>
    </row>
    <row r="4703" spans="1:4" x14ac:dyDescent="0.3">
      <c r="A4703" s="88" t="s">
        <v>212</v>
      </c>
      <c r="B4703" s="88"/>
      <c r="C4703" s="16">
        <v>46310</v>
      </c>
      <c r="D4703" s="79">
        <v>5445.57</v>
      </c>
    </row>
    <row r="4704" spans="1:4" x14ac:dyDescent="0.3">
      <c r="A4704" s="88" t="s">
        <v>199</v>
      </c>
      <c r="B4704" s="88"/>
      <c r="C4704" s="16">
        <v>46310</v>
      </c>
      <c r="D4704" s="79">
        <v>248232.68</v>
      </c>
    </row>
    <row r="4705" spans="1:4" x14ac:dyDescent="0.3">
      <c r="A4705" s="88" t="s">
        <v>217</v>
      </c>
      <c r="B4705" s="88"/>
      <c r="C4705" s="16">
        <v>46310</v>
      </c>
      <c r="D4705" s="79">
        <v>351319.16</v>
      </c>
    </row>
    <row r="4706" spans="1:4" x14ac:dyDescent="0.3">
      <c r="A4706" s="88" t="s">
        <v>17</v>
      </c>
      <c r="B4706" s="88"/>
      <c r="C4706" s="16">
        <v>46311</v>
      </c>
      <c r="D4706" s="79">
        <v>1414911.5800000005</v>
      </c>
    </row>
    <row r="4707" spans="1:4" x14ac:dyDescent="0.3">
      <c r="A4707" s="88" t="s">
        <v>18</v>
      </c>
      <c r="B4707" s="88"/>
      <c r="C4707" s="16">
        <v>46311</v>
      </c>
      <c r="D4707" s="79">
        <v>103123.59000000017</v>
      </c>
    </row>
    <row r="4708" spans="1:4" x14ac:dyDescent="0.3">
      <c r="A4708" s="88" t="s">
        <v>19</v>
      </c>
      <c r="B4708" s="88"/>
      <c r="C4708" s="16">
        <v>46311</v>
      </c>
      <c r="D4708" s="79">
        <v>1669.89</v>
      </c>
    </row>
    <row r="4709" spans="1:4" x14ac:dyDescent="0.3">
      <c r="A4709" s="88" t="s">
        <v>20</v>
      </c>
      <c r="B4709" s="88"/>
      <c r="C4709" s="16">
        <v>46311</v>
      </c>
      <c r="D4709" s="79">
        <v>891793.39999999956</v>
      </c>
    </row>
    <row r="4710" spans="1:4" x14ac:dyDescent="0.3">
      <c r="A4710" s="88" t="s">
        <v>21</v>
      </c>
      <c r="B4710" s="88"/>
      <c r="C4710" s="16">
        <v>46311</v>
      </c>
      <c r="D4710" s="79">
        <v>1571732.9499999993</v>
      </c>
    </row>
    <row r="4711" spans="1:4" x14ac:dyDescent="0.3">
      <c r="A4711" s="88" t="s">
        <v>22</v>
      </c>
      <c r="B4711" s="88"/>
      <c r="C4711" s="16">
        <v>46311</v>
      </c>
      <c r="D4711" s="79">
        <v>181763.14</v>
      </c>
    </row>
    <row r="4712" spans="1:4" x14ac:dyDescent="0.3">
      <c r="A4712" s="88" t="s">
        <v>23</v>
      </c>
      <c r="B4712" s="88"/>
      <c r="C4712" s="16">
        <v>46311</v>
      </c>
      <c r="D4712" s="79">
        <v>80533.579999999987</v>
      </c>
    </row>
    <row r="4713" spans="1:4" x14ac:dyDescent="0.3">
      <c r="A4713" s="88" t="s">
        <v>24</v>
      </c>
      <c r="B4713" s="88"/>
      <c r="C4713" s="16">
        <v>46311</v>
      </c>
      <c r="D4713" s="79">
        <v>10259.18</v>
      </c>
    </row>
    <row r="4714" spans="1:4" x14ac:dyDescent="0.3">
      <c r="A4714" s="88" t="s">
        <v>25</v>
      </c>
      <c r="B4714" s="88"/>
      <c r="C4714" s="16">
        <v>46311</v>
      </c>
      <c r="D4714" s="79">
        <v>64.55</v>
      </c>
    </row>
    <row r="4715" spans="1:4" x14ac:dyDescent="0.3">
      <c r="A4715" s="88" t="s">
        <v>26</v>
      </c>
      <c r="B4715" s="88"/>
      <c r="C4715" s="16">
        <v>46311</v>
      </c>
      <c r="D4715" s="79">
        <v>2117.9700000000003</v>
      </c>
    </row>
    <row r="4716" spans="1:4" x14ac:dyDescent="0.3">
      <c r="A4716" s="88" t="s">
        <v>27</v>
      </c>
      <c r="B4716" s="88"/>
      <c r="C4716" s="16">
        <v>46311</v>
      </c>
      <c r="D4716" s="79">
        <v>17895.290000000015</v>
      </c>
    </row>
    <row r="4717" spans="1:4" x14ac:dyDescent="0.3">
      <c r="A4717" s="88" t="s">
        <v>28</v>
      </c>
      <c r="B4717" s="88"/>
      <c r="C4717" s="16">
        <v>46311</v>
      </c>
      <c r="D4717" s="79">
        <v>1968.99</v>
      </c>
    </row>
    <row r="4718" spans="1:4" x14ac:dyDescent="0.3">
      <c r="A4718" s="88" t="s">
        <v>29</v>
      </c>
      <c r="B4718" s="88"/>
      <c r="C4718" s="16">
        <v>46311</v>
      </c>
      <c r="D4718" s="79">
        <v>901.34</v>
      </c>
    </row>
    <row r="4719" spans="1:4" x14ac:dyDescent="0.3">
      <c r="A4719" s="88" t="s">
        <v>30</v>
      </c>
      <c r="B4719" s="88"/>
      <c r="C4719" s="16">
        <v>46311</v>
      </c>
      <c r="D4719" s="79">
        <v>1364.08</v>
      </c>
    </row>
    <row r="4720" spans="1:4" x14ac:dyDescent="0.3">
      <c r="A4720" s="88" t="s">
        <v>31</v>
      </c>
      <c r="B4720" s="88"/>
      <c r="C4720" s="16">
        <v>46311</v>
      </c>
      <c r="D4720" s="79">
        <v>19909.049999999959</v>
      </c>
    </row>
    <row r="4721" spans="1:4" x14ac:dyDescent="0.3">
      <c r="A4721" s="88" t="s">
        <v>32</v>
      </c>
      <c r="B4721" s="88"/>
      <c r="C4721" s="16">
        <v>46311</v>
      </c>
      <c r="D4721" s="79">
        <v>13576.060000000007</v>
      </c>
    </row>
    <row r="4722" spans="1:4" x14ac:dyDescent="0.3">
      <c r="A4722" s="88" t="s">
        <v>33</v>
      </c>
      <c r="B4722" s="88"/>
      <c r="C4722" s="16">
        <v>46311</v>
      </c>
      <c r="D4722" s="79">
        <v>16303.769999999997</v>
      </c>
    </row>
    <row r="4723" spans="1:4" x14ac:dyDescent="0.3">
      <c r="A4723" s="88" t="s">
        <v>34</v>
      </c>
      <c r="B4723" s="88"/>
      <c r="C4723" s="16">
        <v>46311</v>
      </c>
      <c r="D4723" s="79">
        <v>345</v>
      </c>
    </row>
    <row r="4724" spans="1:4" x14ac:dyDescent="0.3">
      <c r="A4724" s="88" t="s">
        <v>35</v>
      </c>
      <c r="B4724" s="88"/>
      <c r="C4724" s="16">
        <v>46311</v>
      </c>
      <c r="D4724" s="79">
        <v>6241.7700000000023</v>
      </c>
    </row>
    <row r="4725" spans="1:4" x14ac:dyDescent="0.3">
      <c r="A4725" s="88" t="s">
        <v>193</v>
      </c>
      <c r="B4725" s="88"/>
      <c r="C4725" s="16">
        <v>46311</v>
      </c>
      <c r="D4725" s="79">
        <v>1329346.53</v>
      </c>
    </row>
    <row r="4726" spans="1:4" x14ac:dyDescent="0.3">
      <c r="A4726" s="88" t="s">
        <v>214</v>
      </c>
      <c r="B4726" s="88"/>
      <c r="C4726" s="16">
        <v>46311</v>
      </c>
      <c r="D4726" s="79">
        <v>149859.76000000004</v>
      </c>
    </row>
    <row r="4727" spans="1:4" x14ac:dyDescent="0.3">
      <c r="A4727" s="88" t="s">
        <v>194</v>
      </c>
      <c r="B4727" s="88"/>
      <c r="C4727" s="16">
        <v>46311</v>
      </c>
      <c r="D4727" s="79">
        <v>100631.96</v>
      </c>
    </row>
    <row r="4728" spans="1:4" x14ac:dyDescent="0.3">
      <c r="A4728" s="88" t="s">
        <v>195</v>
      </c>
      <c r="B4728" s="88"/>
      <c r="C4728" s="16">
        <v>46311</v>
      </c>
      <c r="D4728" s="79">
        <v>3906.17</v>
      </c>
    </row>
    <row r="4729" spans="1:4" x14ac:dyDescent="0.3">
      <c r="A4729" s="88" t="s">
        <v>196</v>
      </c>
      <c r="B4729" s="88"/>
      <c r="C4729" s="16">
        <v>46311</v>
      </c>
      <c r="D4729" s="79">
        <v>120856.06999999998</v>
      </c>
    </row>
    <row r="4730" spans="1:4" x14ac:dyDescent="0.3">
      <c r="A4730" s="88" t="s">
        <v>197</v>
      </c>
      <c r="B4730" s="88"/>
      <c r="C4730" s="16">
        <v>46311</v>
      </c>
      <c r="D4730" s="79">
        <v>794.01</v>
      </c>
    </row>
    <row r="4731" spans="1:4" x14ac:dyDescent="0.3">
      <c r="A4731" s="88" t="s">
        <v>212</v>
      </c>
      <c r="B4731" s="88"/>
      <c r="C4731" s="16">
        <v>46311</v>
      </c>
      <c r="D4731" s="79">
        <v>5445.57</v>
      </c>
    </row>
    <row r="4732" spans="1:4" x14ac:dyDescent="0.3">
      <c r="A4732" s="88" t="s">
        <v>199</v>
      </c>
      <c r="B4732" s="88"/>
      <c r="C4732" s="16">
        <v>46311</v>
      </c>
      <c r="D4732" s="79">
        <v>247175.02999999997</v>
      </c>
    </row>
    <row r="4733" spans="1:4" x14ac:dyDescent="0.3">
      <c r="A4733" s="88" t="s">
        <v>217</v>
      </c>
      <c r="B4733" s="88"/>
      <c r="C4733" s="16">
        <v>46311</v>
      </c>
      <c r="D4733" s="79">
        <v>351319.16</v>
      </c>
    </row>
    <row r="4734" spans="1:4" x14ac:dyDescent="0.3">
      <c r="A4734" s="88" t="s">
        <v>17</v>
      </c>
      <c r="B4734" s="88"/>
      <c r="C4734" s="16">
        <v>46312</v>
      </c>
      <c r="D4734" s="79">
        <v>1414911.5800000005</v>
      </c>
    </row>
    <row r="4735" spans="1:4" x14ac:dyDescent="0.3">
      <c r="A4735" s="88" t="s">
        <v>18</v>
      </c>
      <c r="B4735" s="88"/>
      <c r="C4735" s="16">
        <v>46312</v>
      </c>
      <c r="D4735" s="79">
        <v>103123.59000000017</v>
      </c>
    </row>
    <row r="4736" spans="1:4" x14ac:dyDescent="0.3">
      <c r="A4736" s="88" t="s">
        <v>19</v>
      </c>
      <c r="B4736" s="88"/>
      <c r="C4736" s="16">
        <v>46312</v>
      </c>
      <c r="D4736" s="79">
        <v>1669.89</v>
      </c>
    </row>
    <row r="4737" spans="1:4" x14ac:dyDescent="0.3">
      <c r="A4737" s="88" t="s">
        <v>20</v>
      </c>
      <c r="B4737" s="88"/>
      <c r="C4737" s="16">
        <v>46312</v>
      </c>
      <c r="D4737" s="79">
        <v>891793.39999999956</v>
      </c>
    </row>
    <row r="4738" spans="1:4" x14ac:dyDescent="0.3">
      <c r="A4738" s="88" t="s">
        <v>21</v>
      </c>
      <c r="B4738" s="88"/>
      <c r="C4738" s="16">
        <v>46312</v>
      </c>
      <c r="D4738" s="79">
        <v>1571732.9499999993</v>
      </c>
    </row>
    <row r="4739" spans="1:4" x14ac:dyDescent="0.3">
      <c r="A4739" s="88" t="s">
        <v>22</v>
      </c>
      <c r="B4739" s="88"/>
      <c r="C4739" s="16">
        <v>46312</v>
      </c>
      <c r="D4739" s="79">
        <v>181763.14</v>
      </c>
    </row>
    <row r="4740" spans="1:4" x14ac:dyDescent="0.3">
      <c r="A4740" s="88" t="s">
        <v>23</v>
      </c>
      <c r="B4740" s="88"/>
      <c r="C4740" s="16">
        <v>46312</v>
      </c>
      <c r="D4740" s="79">
        <v>80533.579999999987</v>
      </c>
    </row>
    <row r="4741" spans="1:4" x14ac:dyDescent="0.3">
      <c r="A4741" s="88" t="s">
        <v>24</v>
      </c>
      <c r="B4741" s="88"/>
      <c r="C4741" s="16">
        <v>46312</v>
      </c>
      <c r="D4741" s="79">
        <v>10259.18</v>
      </c>
    </row>
    <row r="4742" spans="1:4" x14ac:dyDescent="0.3">
      <c r="A4742" s="88" t="s">
        <v>25</v>
      </c>
      <c r="B4742" s="88"/>
      <c r="C4742" s="16">
        <v>46312</v>
      </c>
      <c r="D4742" s="79">
        <v>64.55</v>
      </c>
    </row>
    <row r="4743" spans="1:4" x14ac:dyDescent="0.3">
      <c r="A4743" s="88" t="s">
        <v>26</v>
      </c>
      <c r="B4743" s="88"/>
      <c r="C4743" s="16">
        <v>46312</v>
      </c>
      <c r="D4743" s="79">
        <v>2117.9700000000003</v>
      </c>
    </row>
    <row r="4744" spans="1:4" x14ac:dyDescent="0.3">
      <c r="A4744" s="88" t="s">
        <v>27</v>
      </c>
      <c r="B4744" s="88"/>
      <c r="C4744" s="16">
        <v>46312</v>
      </c>
      <c r="D4744" s="79">
        <v>17895.290000000015</v>
      </c>
    </row>
    <row r="4745" spans="1:4" x14ac:dyDescent="0.3">
      <c r="A4745" s="88" t="s">
        <v>28</v>
      </c>
      <c r="B4745" s="88"/>
      <c r="C4745" s="16">
        <v>46312</v>
      </c>
      <c r="D4745" s="79">
        <v>1968.99</v>
      </c>
    </row>
    <row r="4746" spans="1:4" x14ac:dyDescent="0.3">
      <c r="A4746" s="88" t="s">
        <v>29</v>
      </c>
      <c r="B4746" s="88"/>
      <c r="C4746" s="16">
        <v>46312</v>
      </c>
      <c r="D4746" s="79">
        <v>901.34</v>
      </c>
    </row>
    <row r="4747" spans="1:4" x14ac:dyDescent="0.3">
      <c r="A4747" s="88" t="s">
        <v>30</v>
      </c>
      <c r="B4747" s="88"/>
      <c r="C4747" s="16">
        <v>46312</v>
      </c>
      <c r="D4747" s="79">
        <v>1364.08</v>
      </c>
    </row>
    <row r="4748" spans="1:4" x14ac:dyDescent="0.3">
      <c r="A4748" s="88" t="s">
        <v>31</v>
      </c>
      <c r="B4748" s="88"/>
      <c r="C4748" s="16">
        <v>46312</v>
      </c>
      <c r="D4748" s="79">
        <v>19909.049999999959</v>
      </c>
    </row>
    <row r="4749" spans="1:4" x14ac:dyDescent="0.3">
      <c r="A4749" s="88" t="s">
        <v>32</v>
      </c>
      <c r="B4749" s="88"/>
      <c r="C4749" s="16">
        <v>46312</v>
      </c>
      <c r="D4749" s="79">
        <v>13576.060000000007</v>
      </c>
    </row>
    <row r="4750" spans="1:4" x14ac:dyDescent="0.3">
      <c r="A4750" s="88" t="s">
        <v>33</v>
      </c>
      <c r="B4750" s="88"/>
      <c r="C4750" s="16">
        <v>46312</v>
      </c>
      <c r="D4750" s="79">
        <v>16303.769999999997</v>
      </c>
    </row>
    <row r="4751" spans="1:4" x14ac:dyDescent="0.3">
      <c r="A4751" s="88" t="s">
        <v>34</v>
      </c>
      <c r="B4751" s="88"/>
      <c r="C4751" s="16">
        <v>46312</v>
      </c>
      <c r="D4751" s="79">
        <v>345</v>
      </c>
    </row>
    <row r="4752" spans="1:4" x14ac:dyDescent="0.3">
      <c r="A4752" s="88" t="s">
        <v>35</v>
      </c>
      <c r="B4752" s="88"/>
      <c r="C4752" s="16">
        <v>46312</v>
      </c>
      <c r="D4752" s="79">
        <v>6241.7700000000023</v>
      </c>
    </row>
    <row r="4753" spans="1:4" x14ac:dyDescent="0.3">
      <c r="A4753" s="88" t="s">
        <v>193</v>
      </c>
      <c r="B4753" s="88"/>
      <c r="C4753" s="16">
        <v>46312</v>
      </c>
      <c r="D4753" s="79">
        <v>1329346.53</v>
      </c>
    </row>
    <row r="4754" spans="1:4" x14ac:dyDescent="0.3">
      <c r="A4754" s="88" t="s">
        <v>214</v>
      </c>
      <c r="B4754" s="88"/>
      <c r="C4754" s="16">
        <v>46312</v>
      </c>
      <c r="D4754" s="79">
        <v>149859.76000000004</v>
      </c>
    </row>
    <row r="4755" spans="1:4" x14ac:dyDescent="0.3">
      <c r="A4755" s="88" t="s">
        <v>194</v>
      </c>
      <c r="B4755" s="88"/>
      <c r="C4755" s="16">
        <v>46312</v>
      </c>
      <c r="D4755" s="79">
        <v>100631.96</v>
      </c>
    </row>
    <row r="4756" spans="1:4" x14ac:dyDescent="0.3">
      <c r="A4756" s="88" t="s">
        <v>195</v>
      </c>
      <c r="B4756" s="88"/>
      <c r="C4756" s="16">
        <v>46312</v>
      </c>
      <c r="D4756" s="79">
        <v>3906.17</v>
      </c>
    </row>
    <row r="4757" spans="1:4" x14ac:dyDescent="0.3">
      <c r="A4757" s="88" t="s">
        <v>196</v>
      </c>
      <c r="B4757" s="88"/>
      <c r="C4757" s="16">
        <v>46312</v>
      </c>
      <c r="D4757" s="79">
        <v>120856.06999999998</v>
      </c>
    </row>
    <row r="4758" spans="1:4" x14ac:dyDescent="0.3">
      <c r="A4758" s="88" t="s">
        <v>197</v>
      </c>
      <c r="B4758" s="88"/>
      <c r="C4758" s="16">
        <v>46312</v>
      </c>
      <c r="D4758" s="79">
        <v>794.01</v>
      </c>
    </row>
    <row r="4759" spans="1:4" x14ac:dyDescent="0.3">
      <c r="A4759" s="88" t="s">
        <v>212</v>
      </c>
      <c r="B4759" s="88"/>
      <c r="C4759" s="16">
        <v>46312</v>
      </c>
      <c r="D4759" s="79">
        <v>5445.57</v>
      </c>
    </row>
    <row r="4760" spans="1:4" x14ac:dyDescent="0.3">
      <c r="A4760" s="88" t="s">
        <v>199</v>
      </c>
      <c r="B4760" s="88"/>
      <c r="C4760" s="16">
        <v>46312</v>
      </c>
      <c r="D4760" s="79">
        <v>247175.02999999997</v>
      </c>
    </row>
    <row r="4761" spans="1:4" x14ac:dyDescent="0.3">
      <c r="A4761" s="88" t="s">
        <v>217</v>
      </c>
      <c r="B4761" s="88"/>
      <c r="C4761" s="16">
        <v>46312</v>
      </c>
      <c r="D4761" s="79">
        <v>351319.16</v>
      </c>
    </row>
    <row r="4762" spans="1:4" x14ac:dyDescent="0.3">
      <c r="A4762" s="88" t="s">
        <v>17</v>
      </c>
      <c r="B4762" s="88"/>
      <c r="C4762" s="16">
        <v>46313</v>
      </c>
      <c r="D4762" s="79">
        <v>1414911.5800000005</v>
      </c>
    </row>
    <row r="4763" spans="1:4" x14ac:dyDescent="0.3">
      <c r="A4763" s="88" t="s">
        <v>18</v>
      </c>
      <c r="B4763" s="88"/>
      <c r="C4763" s="16">
        <v>46313</v>
      </c>
      <c r="D4763" s="79">
        <v>103123.59000000017</v>
      </c>
    </row>
    <row r="4764" spans="1:4" x14ac:dyDescent="0.3">
      <c r="A4764" s="88" t="s">
        <v>19</v>
      </c>
      <c r="B4764" s="88"/>
      <c r="C4764" s="16">
        <v>46313</v>
      </c>
      <c r="D4764" s="79">
        <v>1669.89</v>
      </c>
    </row>
    <row r="4765" spans="1:4" x14ac:dyDescent="0.3">
      <c r="A4765" s="88" t="s">
        <v>20</v>
      </c>
      <c r="B4765" s="88"/>
      <c r="C4765" s="16">
        <v>46313</v>
      </c>
      <c r="D4765" s="79">
        <v>891793.39999999956</v>
      </c>
    </row>
    <row r="4766" spans="1:4" x14ac:dyDescent="0.3">
      <c r="A4766" s="88" t="s">
        <v>21</v>
      </c>
      <c r="B4766" s="88"/>
      <c r="C4766" s="16">
        <v>46313</v>
      </c>
      <c r="D4766" s="79">
        <v>1571732.9499999993</v>
      </c>
    </row>
    <row r="4767" spans="1:4" x14ac:dyDescent="0.3">
      <c r="A4767" s="88" t="s">
        <v>22</v>
      </c>
      <c r="B4767" s="88"/>
      <c r="C4767" s="16">
        <v>46313</v>
      </c>
      <c r="D4767" s="79">
        <v>181763.14</v>
      </c>
    </row>
    <row r="4768" spans="1:4" x14ac:dyDescent="0.3">
      <c r="A4768" s="88" t="s">
        <v>23</v>
      </c>
      <c r="B4768" s="88"/>
      <c r="C4768" s="16">
        <v>46313</v>
      </c>
      <c r="D4768" s="79">
        <v>80533.579999999987</v>
      </c>
    </row>
    <row r="4769" spans="1:4" x14ac:dyDescent="0.3">
      <c r="A4769" s="88" t="s">
        <v>24</v>
      </c>
      <c r="B4769" s="88"/>
      <c r="C4769" s="16">
        <v>46313</v>
      </c>
      <c r="D4769" s="79">
        <v>10259.18</v>
      </c>
    </row>
    <row r="4770" spans="1:4" x14ac:dyDescent="0.3">
      <c r="A4770" s="88" t="s">
        <v>25</v>
      </c>
      <c r="B4770" s="88"/>
      <c r="C4770" s="16">
        <v>46313</v>
      </c>
      <c r="D4770" s="79">
        <v>64.55</v>
      </c>
    </row>
    <row r="4771" spans="1:4" x14ac:dyDescent="0.3">
      <c r="A4771" s="88" t="s">
        <v>26</v>
      </c>
      <c r="B4771" s="88"/>
      <c r="C4771" s="16">
        <v>46313</v>
      </c>
      <c r="D4771" s="79">
        <v>2117.9700000000003</v>
      </c>
    </row>
    <row r="4772" spans="1:4" x14ac:dyDescent="0.3">
      <c r="A4772" s="88" t="s">
        <v>27</v>
      </c>
      <c r="B4772" s="88"/>
      <c r="C4772" s="16">
        <v>46313</v>
      </c>
      <c r="D4772" s="79">
        <v>17895.290000000015</v>
      </c>
    </row>
    <row r="4773" spans="1:4" x14ac:dyDescent="0.3">
      <c r="A4773" s="88" t="s">
        <v>28</v>
      </c>
      <c r="B4773" s="88"/>
      <c r="C4773" s="16">
        <v>46313</v>
      </c>
      <c r="D4773" s="79">
        <v>1968.99</v>
      </c>
    </row>
    <row r="4774" spans="1:4" x14ac:dyDescent="0.3">
      <c r="A4774" s="88" t="s">
        <v>29</v>
      </c>
      <c r="B4774" s="88"/>
      <c r="C4774" s="16">
        <v>46313</v>
      </c>
      <c r="D4774" s="79">
        <v>901.34</v>
      </c>
    </row>
    <row r="4775" spans="1:4" x14ac:dyDescent="0.3">
      <c r="A4775" s="88" t="s">
        <v>30</v>
      </c>
      <c r="B4775" s="88"/>
      <c r="C4775" s="16">
        <v>46313</v>
      </c>
      <c r="D4775" s="79">
        <v>1364.08</v>
      </c>
    </row>
    <row r="4776" spans="1:4" x14ac:dyDescent="0.3">
      <c r="A4776" s="88" t="s">
        <v>31</v>
      </c>
      <c r="B4776" s="88"/>
      <c r="C4776" s="16">
        <v>46313</v>
      </c>
      <c r="D4776" s="79">
        <v>19909.049999999959</v>
      </c>
    </row>
    <row r="4777" spans="1:4" x14ac:dyDescent="0.3">
      <c r="A4777" s="88" t="s">
        <v>32</v>
      </c>
      <c r="B4777" s="88"/>
      <c r="C4777" s="16">
        <v>46313</v>
      </c>
      <c r="D4777" s="79">
        <v>13576.060000000007</v>
      </c>
    </row>
    <row r="4778" spans="1:4" x14ac:dyDescent="0.3">
      <c r="A4778" s="88" t="s">
        <v>33</v>
      </c>
      <c r="B4778" s="88"/>
      <c r="C4778" s="16">
        <v>46313</v>
      </c>
      <c r="D4778" s="79">
        <v>16303.769999999997</v>
      </c>
    </row>
    <row r="4779" spans="1:4" x14ac:dyDescent="0.3">
      <c r="A4779" s="88" t="s">
        <v>34</v>
      </c>
      <c r="B4779" s="88"/>
      <c r="C4779" s="16">
        <v>46313</v>
      </c>
      <c r="D4779" s="79">
        <v>345</v>
      </c>
    </row>
    <row r="4780" spans="1:4" x14ac:dyDescent="0.3">
      <c r="A4780" s="88" t="s">
        <v>35</v>
      </c>
      <c r="B4780" s="88"/>
      <c r="C4780" s="16">
        <v>46313</v>
      </c>
      <c r="D4780" s="79">
        <v>6241.7700000000023</v>
      </c>
    </row>
    <row r="4781" spans="1:4" x14ac:dyDescent="0.3">
      <c r="A4781" s="88" t="s">
        <v>193</v>
      </c>
      <c r="B4781" s="88"/>
      <c r="C4781" s="16">
        <v>46313</v>
      </c>
      <c r="D4781" s="79">
        <v>1329346.53</v>
      </c>
    </row>
    <row r="4782" spans="1:4" x14ac:dyDescent="0.3">
      <c r="A4782" s="88" t="s">
        <v>214</v>
      </c>
      <c r="B4782" s="88"/>
      <c r="C4782" s="16">
        <v>46313</v>
      </c>
      <c r="D4782" s="79">
        <v>149859.76000000004</v>
      </c>
    </row>
    <row r="4783" spans="1:4" x14ac:dyDescent="0.3">
      <c r="A4783" s="88" t="s">
        <v>194</v>
      </c>
      <c r="B4783" s="88"/>
      <c r="C4783" s="16">
        <v>46313</v>
      </c>
      <c r="D4783" s="79">
        <v>100631.96</v>
      </c>
    </row>
    <row r="4784" spans="1:4" x14ac:dyDescent="0.3">
      <c r="A4784" s="88" t="s">
        <v>195</v>
      </c>
      <c r="B4784" s="88"/>
      <c r="C4784" s="16">
        <v>46313</v>
      </c>
      <c r="D4784" s="79">
        <v>3906.17</v>
      </c>
    </row>
    <row r="4785" spans="1:4" x14ac:dyDescent="0.3">
      <c r="A4785" s="88" t="s">
        <v>196</v>
      </c>
      <c r="B4785" s="88"/>
      <c r="C4785" s="16">
        <v>46313</v>
      </c>
      <c r="D4785" s="79">
        <v>120856.06999999998</v>
      </c>
    </row>
    <row r="4786" spans="1:4" x14ac:dyDescent="0.3">
      <c r="A4786" s="88" t="s">
        <v>197</v>
      </c>
      <c r="B4786" s="88"/>
      <c r="C4786" s="16">
        <v>46313</v>
      </c>
      <c r="D4786" s="79">
        <v>794.01</v>
      </c>
    </row>
    <row r="4787" spans="1:4" x14ac:dyDescent="0.3">
      <c r="A4787" s="88" t="s">
        <v>212</v>
      </c>
      <c r="B4787" s="88"/>
      <c r="C4787" s="16">
        <v>46313</v>
      </c>
      <c r="D4787" s="79">
        <v>5445.57</v>
      </c>
    </row>
    <row r="4788" spans="1:4" x14ac:dyDescent="0.3">
      <c r="A4788" s="88" t="s">
        <v>199</v>
      </c>
      <c r="B4788" s="88"/>
      <c r="C4788" s="16">
        <v>46313</v>
      </c>
      <c r="D4788" s="79">
        <v>247175.02999999997</v>
      </c>
    </row>
    <row r="4789" spans="1:4" x14ac:dyDescent="0.3">
      <c r="A4789" s="88" t="s">
        <v>217</v>
      </c>
      <c r="B4789" s="88"/>
      <c r="C4789" s="16">
        <v>46313</v>
      </c>
      <c r="D4789" s="79">
        <v>351319.16</v>
      </c>
    </row>
    <row r="4790" spans="1:4" x14ac:dyDescent="0.3">
      <c r="A4790" s="88" t="s">
        <v>17</v>
      </c>
      <c r="B4790" s="88"/>
      <c r="C4790" s="16">
        <v>46314</v>
      </c>
      <c r="D4790" s="79">
        <v>1414911.5800000005</v>
      </c>
    </row>
    <row r="4791" spans="1:4" x14ac:dyDescent="0.3">
      <c r="A4791" s="88" t="s">
        <v>18</v>
      </c>
      <c r="B4791" s="88"/>
      <c r="C4791" s="16">
        <v>46314</v>
      </c>
      <c r="D4791" s="79">
        <v>103123.59000000017</v>
      </c>
    </row>
    <row r="4792" spans="1:4" x14ac:dyDescent="0.3">
      <c r="A4792" s="88" t="s">
        <v>19</v>
      </c>
      <c r="B4792" s="88"/>
      <c r="C4792" s="16">
        <v>46314</v>
      </c>
      <c r="D4792" s="79">
        <v>1669.89</v>
      </c>
    </row>
    <row r="4793" spans="1:4" x14ac:dyDescent="0.3">
      <c r="A4793" s="88" t="s">
        <v>20</v>
      </c>
      <c r="B4793" s="88"/>
      <c r="C4793" s="16">
        <v>46314</v>
      </c>
      <c r="D4793" s="79">
        <v>891793.39999999956</v>
      </c>
    </row>
    <row r="4794" spans="1:4" x14ac:dyDescent="0.3">
      <c r="A4794" s="88" t="s">
        <v>21</v>
      </c>
      <c r="B4794" s="88"/>
      <c r="C4794" s="16">
        <v>46314</v>
      </c>
      <c r="D4794" s="79">
        <v>1570995.9099999992</v>
      </c>
    </row>
    <row r="4795" spans="1:4" x14ac:dyDescent="0.3">
      <c r="A4795" s="88" t="s">
        <v>22</v>
      </c>
      <c r="B4795" s="88"/>
      <c r="C4795" s="16">
        <v>46314</v>
      </c>
      <c r="D4795" s="79">
        <v>181763.14</v>
      </c>
    </row>
    <row r="4796" spans="1:4" x14ac:dyDescent="0.3">
      <c r="A4796" s="88" t="s">
        <v>23</v>
      </c>
      <c r="B4796" s="88"/>
      <c r="C4796" s="16">
        <v>46314</v>
      </c>
      <c r="D4796" s="79">
        <v>80533.579999999987</v>
      </c>
    </row>
    <row r="4797" spans="1:4" x14ac:dyDescent="0.3">
      <c r="A4797" s="88" t="s">
        <v>24</v>
      </c>
      <c r="B4797" s="88"/>
      <c r="C4797" s="16">
        <v>46314</v>
      </c>
      <c r="D4797" s="79">
        <v>10259.18</v>
      </c>
    </row>
    <row r="4798" spans="1:4" x14ac:dyDescent="0.3">
      <c r="A4798" s="88" t="s">
        <v>25</v>
      </c>
      <c r="B4798" s="88"/>
      <c r="C4798" s="16">
        <v>46314</v>
      </c>
      <c r="D4798" s="79">
        <v>64.55</v>
      </c>
    </row>
    <row r="4799" spans="1:4" x14ac:dyDescent="0.3">
      <c r="A4799" s="88" t="s">
        <v>26</v>
      </c>
      <c r="B4799" s="88"/>
      <c r="C4799" s="16">
        <v>46314</v>
      </c>
      <c r="D4799" s="79">
        <v>2117.9700000000003</v>
      </c>
    </row>
    <row r="4800" spans="1:4" x14ac:dyDescent="0.3">
      <c r="A4800" s="88" t="s">
        <v>27</v>
      </c>
      <c r="B4800" s="88"/>
      <c r="C4800" s="16">
        <v>46314</v>
      </c>
      <c r="D4800" s="79">
        <v>17895.290000000015</v>
      </c>
    </row>
    <row r="4801" spans="1:4" x14ac:dyDescent="0.3">
      <c r="A4801" s="88" t="s">
        <v>28</v>
      </c>
      <c r="B4801" s="88"/>
      <c r="C4801" s="16">
        <v>46314</v>
      </c>
      <c r="D4801" s="79">
        <v>1968.99</v>
      </c>
    </row>
    <row r="4802" spans="1:4" x14ac:dyDescent="0.3">
      <c r="A4802" s="88" t="s">
        <v>29</v>
      </c>
      <c r="B4802" s="88"/>
      <c r="C4802" s="16">
        <v>46314</v>
      </c>
      <c r="D4802" s="79">
        <v>901.34</v>
      </c>
    </row>
    <row r="4803" spans="1:4" x14ac:dyDescent="0.3">
      <c r="A4803" s="88" t="s">
        <v>30</v>
      </c>
      <c r="B4803" s="88"/>
      <c r="C4803" s="16">
        <v>46314</v>
      </c>
      <c r="D4803" s="79">
        <v>1364.08</v>
      </c>
    </row>
    <row r="4804" spans="1:4" x14ac:dyDescent="0.3">
      <c r="A4804" s="88" t="s">
        <v>31</v>
      </c>
      <c r="B4804" s="88"/>
      <c r="C4804" s="16">
        <v>46314</v>
      </c>
      <c r="D4804" s="79">
        <v>19909.049999999959</v>
      </c>
    </row>
    <row r="4805" spans="1:4" x14ac:dyDescent="0.3">
      <c r="A4805" s="88" t="s">
        <v>32</v>
      </c>
      <c r="B4805" s="88"/>
      <c r="C4805" s="16">
        <v>46314</v>
      </c>
      <c r="D4805" s="79">
        <v>13576.060000000007</v>
      </c>
    </row>
    <row r="4806" spans="1:4" x14ac:dyDescent="0.3">
      <c r="A4806" s="88" t="s">
        <v>33</v>
      </c>
      <c r="B4806" s="88"/>
      <c r="C4806" s="16">
        <v>46314</v>
      </c>
      <c r="D4806" s="79">
        <v>16303.769999999997</v>
      </c>
    </row>
    <row r="4807" spans="1:4" x14ac:dyDescent="0.3">
      <c r="A4807" s="88" t="s">
        <v>34</v>
      </c>
      <c r="B4807" s="88"/>
      <c r="C4807" s="16">
        <v>46314</v>
      </c>
      <c r="D4807" s="79">
        <v>345</v>
      </c>
    </row>
    <row r="4808" spans="1:4" x14ac:dyDescent="0.3">
      <c r="A4808" s="88" t="s">
        <v>35</v>
      </c>
      <c r="B4808" s="88"/>
      <c r="C4808" s="16">
        <v>46314</v>
      </c>
      <c r="D4808" s="79">
        <v>6241.7700000000023</v>
      </c>
    </row>
    <row r="4809" spans="1:4" x14ac:dyDescent="0.3">
      <c r="A4809" s="88" t="s">
        <v>193</v>
      </c>
      <c r="B4809" s="88"/>
      <c r="C4809" s="16">
        <v>46314</v>
      </c>
      <c r="D4809" s="79">
        <v>1329346.53</v>
      </c>
    </row>
    <row r="4810" spans="1:4" x14ac:dyDescent="0.3">
      <c r="A4810" s="88" t="s">
        <v>214</v>
      </c>
      <c r="B4810" s="88"/>
      <c r="C4810" s="16">
        <v>46314</v>
      </c>
      <c r="D4810" s="79">
        <v>149859.76000000004</v>
      </c>
    </row>
    <row r="4811" spans="1:4" x14ac:dyDescent="0.3">
      <c r="A4811" s="88" t="s">
        <v>194</v>
      </c>
      <c r="B4811" s="88"/>
      <c r="C4811" s="16">
        <v>46314</v>
      </c>
      <c r="D4811" s="79">
        <v>100631.96</v>
      </c>
    </row>
    <row r="4812" spans="1:4" x14ac:dyDescent="0.3">
      <c r="A4812" s="88" t="s">
        <v>195</v>
      </c>
      <c r="B4812" s="88"/>
      <c r="C4812" s="16">
        <v>46314</v>
      </c>
      <c r="D4812" s="79">
        <v>3906.17</v>
      </c>
    </row>
    <row r="4813" spans="1:4" x14ac:dyDescent="0.3">
      <c r="A4813" s="88" t="s">
        <v>196</v>
      </c>
      <c r="B4813" s="88"/>
      <c r="C4813" s="16">
        <v>46314</v>
      </c>
      <c r="D4813" s="79">
        <v>120856.06999999998</v>
      </c>
    </row>
    <row r="4814" spans="1:4" x14ac:dyDescent="0.3">
      <c r="A4814" s="88" t="s">
        <v>197</v>
      </c>
      <c r="B4814" s="88"/>
      <c r="C4814" s="16">
        <v>46314</v>
      </c>
      <c r="D4814" s="79">
        <v>794.01</v>
      </c>
    </row>
    <row r="4815" spans="1:4" x14ac:dyDescent="0.3">
      <c r="A4815" s="88" t="s">
        <v>212</v>
      </c>
      <c r="B4815" s="88"/>
      <c r="C4815" s="16">
        <v>46314</v>
      </c>
      <c r="D4815" s="79">
        <v>5445.57</v>
      </c>
    </row>
    <row r="4816" spans="1:4" x14ac:dyDescent="0.3">
      <c r="A4816" s="88" t="s">
        <v>199</v>
      </c>
      <c r="B4816" s="88"/>
      <c r="C4816" s="16">
        <v>46314</v>
      </c>
      <c r="D4816" s="79">
        <v>247175.02999999997</v>
      </c>
    </row>
    <row r="4817" spans="1:4" x14ac:dyDescent="0.3">
      <c r="A4817" s="88" t="s">
        <v>217</v>
      </c>
      <c r="B4817" s="88"/>
      <c r="C4817" s="16">
        <v>46314</v>
      </c>
      <c r="D4817" s="79">
        <v>351319.16</v>
      </c>
    </row>
    <row r="4818" spans="1:4" x14ac:dyDescent="0.3">
      <c r="A4818" s="88" t="s">
        <v>17</v>
      </c>
      <c r="B4818" s="88"/>
      <c r="C4818" s="16">
        <v>46315</v>
      </c>
      <c r="D4818" s="79">
        <v>1414911.5800000005</v>
      </c>
    </row>
    <row r="4819" spans="1:4" x14ac:dyDescent="0.3">
      <c r="A4819" s="88" t="s">
        <v>18</v>
      </c>
      <c r="B4819" s="88"/>
      <c r="C4819" s="16">
        <v>46315</v>
      </c>
      <c r="D4819" s="79">
        <v>103123.59000000017</v>
      </c>
    </row>
    <row r="4820" spans="1:4" x14ac:dyDescent="0.3">
      <c r="A4820" s="88" t="s">
        <v>19</v>
      </c>
      <c r="B4820" s="88"/>
      <c r="C4820" s="16">
        <v>46315</v>
      </c>
      <c r="D4820" s="79">
        <v>1669.89</v>
      </c>
    </row>
    <row r="4821" spans="1:4" x14ac:dyDescent="0.3">
      <c r="A4821" s="88" t="s">
        <v>20</v>
      </c>
      <c r="B4821" s="88"/>
      <c r="C4821" s="16">
        <v>46315</v>
      </c>
      <c r="D4821" s="79">
        <v>891793.39999999956</v>
      </c>
    </row>
    <row r="4822" spans="1:4" x14ac:dyDescent="0.3">
      <c r="A4822" s="88" t="s">
        <v>21</v>
      </c>
      <c r="B4822" s="88"/>
      <c r="C4822" s="16">
        <v>46315</v>
      </c>
      <c r="D4822" s="79">
        <v>1570048.3499999992</v>
      </c>
    </row>
    <row r="4823" spans="1:4" x14ac:dyDescent="0.3">
      <c r="A4823" s="88" t="s">
        <v>22</v>
      </c>
      <c r="B4823" s="88"/>
      <c r="C4823" s="16">
        <v>46315</v>
      </c>
      <c r="D4823" s="79">
        <v>181763.14</v>
      </c>
    </row>
    <row r="4824" spans="1:4" x14ac:dyDescent="0.3">
      <c r="A4824" s="88" t="s">
        <v>23</v>
      </c>
      <c r="B4824" s="88"/>
      <c r="C4824" s="16">
        <v>46315</v>
      </c>
      <c r="D4824" s="79">
        <v>80533.579999999987</v>
      </c>
    </row>
    <row r="4825" spans="1:4" x14ac:dyDescent="0.3">
      <c r="A4825" s="88" t="s">
        <v>24</v>
      </c>
      <c r="B4825" s="88"/>
      <c r="C4825" s="16">
        <v>46315</v>
      </c>
      <c r="D4825" s="79">
        <v>10259.18</v>
      </c>
    </row>
    <row r="4826" spans="1:4" x14ac:dyDescent="0.3">
      <c r="A4826" s="88" t="s">
        <v>25</v>
      </c>
      <c r="B4826" s="88"/>
      <c r="C4826" s="16">
        <v>46315</v>
      </c>
      <c r="D4826" s="79">
        <v>64.55</v>
      </c>
    </row>
    <row r="4827" spans="1:4" x14ac:dyDescent="0.3">
      <c r="A4827" s="88" t="s">
        <v>26</v>
      </c>
      <c r="B4827" s="88"/>
      <c r="C4827" s="16">
        <v>46315</v>
      </c>
      <c r="D4827" s="79">
        <v>2117.9700000000003</v>
      </c>
    </row>
    <row r="4828" spans="1:4" x14ac:dyDescent="0.3">
      <c r="A4828" s="88" t="s">
        <v>27</v>
      </c>
      <c r="B4828" s="88"/>
      <c r="C4828" s="16">
        <v>46315</v>
      </c>
      <c r="D4828" s="79">
        <v>17895.290000000015</v>
      </c>
    </row>
    <row r="4829" spans="1:4" x14ac:dyDescent="0.3">
      <c r="A4829" s="88" t="s">
        <v>28</v>
      </c>
      <c r="B4829" s="88"/>
      <c r="C4829" s="16">
        <v>46315</v>
      </c>
      <c r="D4829" s="79">
        <v>1968.99</v>
      </c>
    </row>
    <row r="4830" spans="1:4" x14ac:dyDescent="0.3">
      <c r="A4830" s="88" t="s">
        <v>29</v>
      </c>
      <c r="B4830" s="88"/>
      <c r="C4830" s="16">
        <v>46315</v>
      </c>
      <c r="D4830" s="79">
        <v>901.34</v>
      </c>
    </row>
    <row r="4831" spans="1:4" x14ac:dyDescent="0.3">
      <c r="A4831" s="88" t="s">
        <v>30</v>
      </c>
      <c r="B4831" s="88"/>
      <c r="C4831" s="16">
        <v>46315</v>
      </c>
      <c r="D4831" s="79">
        <v>1364.08</v>
      </c>
    </row>
    <row r="4832" spans="1:4" x14ac:dyDescent="0.3">
      <c r="A4832" s="88" t="s">
        <v>31</v>
      </c>
      <c r="B4832" s="88"/>
      <c r="C4832" s="16">
        <v>46315</v>
      </c>
      <c r="D4832" s="79">
        <v>19909.049999999959</v>
      </c>
    </row>
    <row r="4833" spans="1:4" x14ac:dyDescent="0.3">
      <c r="A4833" s="88" t="s">
        <v>32</v>
      </c>
      <c r="B4833" s="88"/>
      <c r="C4833" s="16">
        <v>46315</v>
      </c>
      <c r="D4833" s="79">
        <v>13576.060000000007</v>
      </c>
    </row>
    <row r="4834" spans="1:4" x14ac:dyDescent="0.3">
      <c r="A4834" s="88" t="s">
        <v>33</v>
      </c>
      <c r="B4834" s="88"/>
      <c r="C4834" s="16">
        <v>46315</v>
      </c>
      <c r="D4834" s="79">
        <v>16303.769999999997</v>
      </c>
    </row>
    <row r="4835" spans="1:4" x14ac:dyDescent="0.3">
      <c r="A4835" s="88" t="s">
        <v>34</v>
      </c>
      <c r="B4835" s="88"/>
      <c r="C4835" s="16">
        <v>46315</v>
      </c>
      <c r="D4835" s="79">
        <v>345</v>
      </c>
    </row>
    <row r="4836" spans="1:4" x14ac:dyDescent="0.3">
      <c r="A4836" s="88" t="s">
        <v>35</v>
      </c>
      <c r="B4836" s="88"/>
      <c r="C4836" s="16">
        <v>46315</v>
      </c>
      <c r="D4836" s="79">
        <v>6241.7700000000023</v>
      </c>
    </row>
    <row r="4837" spans="1:4" x14ac:dyDescent="0.3">
      <c r="A4837" s="88" t="s">
        <v>193</v>
      </c>
      <c r="B4837" s="88"/>
      <c r="C4837" s="16">
        <v>46315</v>
      </c>
      <c r="D4837" s="79">
        <v>1329346.53</v>
      </c>
    </row>
    <row r="4838" spans="1:4" x14ac:dyDescent="0.3">
      <c r="A4838" s="88" t="s">
        <v>214</v>
      </c>
      <c r="B4838" s="88"/>
      <c r="C4838" s="16">
        <v>46315</v>
      </c>
      <c r="D4838" s="79">
        <v>149859.76000000004</v>
      </c>
    </row>
    <row r="4839" spans="1:4" x14ac:dyDescent="0.3">
      <c r="A4839" s="88" t="s">
        <v>194</v>
      </c>
      <c r="B4839" s="88"/>
      <c r="C4839" s="16">
        <v>46315</v>
      </c>
      <c r="D4839" s="79">
        <v>100631.96</v>
      </c>
    </row>
    <row r="4840" spans="1:4" x14ac:dyDescent="0.3">
      <c r="A4840" s="88" t="s">
        <v>195</v>
      </c>
      <c r="B4840" s="88"/>
      <c r="C4840" s="16">
        <v>46315</v>
      </c>
      <c r="D4840" s="79">
        <v>3906.17</v>
      </c>
    </row>
    <row r="4841" spans="1:4" x14ac:dyDescent="0.3">
      <c r="A4841" s="88" t="s">
        <v>196</v>
      </c>
      <c r="B4841" s="88"/>
      <c r="C4841" s="16">
        <v>46315</v>
      </c>
      <c r="D4841" s="79">
        <v>120856.06999999998</v>
      </c>
    </row>
    <row r="4842" spans="1:4" x14ac:dyDescent="0.3">
      <c r="A4842" s="88" t="s">
        <v>197</v>
      </c>
      <c r="B4842" s="88"/>
      <c r="C4842" s="16">
        <v>46315</v>
      </c>
      <c r="D4842" s="79">
        <v>794.01</v>
      </c>
    </row>
    <row r="4843" spans="1:4" x14ac:dyDescent="0.3">
      <c r="A4843" s="88" t="s">
        <v>212</v>
      </c>
      <c r="B4843" s="88"/>
      <c r="C4843" s="16">
        <v>46315</v>
      </c>
      <c r="D4843" s="79">
        <v>5445.57</v>
      </c>
    </row>
    <row r="4844" spans="1:4" x14ac:dyDescent="0.3">
      <c r="A4844" s="88" t="s">
        <v>199</v>
      </c>
      <c r="B4844" s="88"/>
      <c r="C4844" s="16">
        <v>46315</v>
      </c>
      <c r="D4844" s="79">
        <v>246769.28999999998</v>
      </c>
    </row>
    <row r="4845" spans="1:4" x14ac:dyDescent="0.3">
      <c r="A4845" s="88" t="s">
        <v>217</v>
      </c>
      <c r="B4845" s="88"/>
      <c r="C4845" s="16">
        <v>46315</v>
      </c>
      <c r="D4845" s="79">
        <v>351319.16</v>
      </c>
    </row>
    <row r="4846" spans="1:4" x14ac:dyDescent="0.3">
      <c r="A4846" s="88" t="s">
        <v>17</v>
      </c>
      <c r="B4846" s="88"/>
      <c r="C4846" s="16">
        <v>46316</v>
      </c>
      <c r="D4846" s="79">
        <v>1335471.8800000008</v>
      </c>
    </row>
    <row r="4847" spans="1:4" x14ac:dyDescent="0.3">
      <c r="A4847" s="88" t="s">
        <v>18</v>
      </c>
      <c r="B4847" s="88"/>
      <c r="C4847" s="16">
        <v>46316</v>
      </c>
      <c r="D4847" s="79">
        <v>103123.59000000017</v>
      </c>
    </row>
    <row r="4848" spans="1:4" x14ac:dyDescent="0.3">
      <c r="A4848" s="88" t="s">
        <v>19</v>
      </c>
      <c r="B4848" s="88"/>
      <c r="C4848" s="16">
        <v>46316</v>
      </c>
      <c r="D4848" s="79">
        <v>1669.89</v>
      </c>
    </row>
    <row r="4849" spans="1:4" x14ac:dyDescent="0.3">
      <c r="A4849" s="88" t="s">
        <v>20</v>
      </c>
      <c r="B4849" s="88"/>
      <c r="C4849" s="16">
        <v>46316</v>
      </c>
      <c r="D4849" s="79">
        <v>1241793.3999999997</v>
      </c>
    </row>
    <row r="4850" spans="1:4" x14ac:dyDescent="0.3">
      <c r="A4850" s="88" t="s">
        <v>21</v>
      </c>
      <c r="B4850" s="88"/>
      <c r="C4850" s="16">
        <v>46316</v>
      </c>
      <c r="D4850" s="79">
        <v>1280371.5299999991</v>
      </c>
    </row>
    <row r="4851" spans="1:4" x14ac:dyDescent="0.3">
      <c r="A4851" s="88" t="s">
        <v>22</v>
      </c>
      <c r="B4851" s="88"/>
      <c r="C4851" s="16">
        <v>46316</v>
      </c>
      <c r="D4851" s="79">
        <v>161763.14000000001</v>
      </c>
    </row>
    <row r="4852" spans="1:4" x14ac:dyDescent="0.3">
      <c r="A4852" s="88" t="s">
        <v>23</v>
      </c>
      <c r="B4852" s="88"/>
      <c r="C4852" s="16">
        <v>46316</v>
      </c>
      <c r="D4852" s="79">
        <v>80533.579999999987</v>
      </c>
    </row>
    <row r="4853" spans="1:4" x14ac:dyDescent="0.3">
      <c r="A4853" s="88" t="s">
        <v>24</v>
      </c>
      <c r="B4853" s="88"/>
      <c r="C4853" s="16">
        <v>46316</v>
      </c>
      <c r="D4853" s="79">
        <v>10259.18</v>
      </c>
    </row>
    <row r="4854" spans="1:4" x14ac:dyDescent="0.3">
      <c r="A4854" s="88" t="s">
        <v>25</v>
      </c>
      <c r="B4854" s="88"/>
      <c r="C4854" s="16">
        <v>46316</v>
      </c>
      <c r="D4854" s="79">
        <v>64.55</v>
      </c>
    </row>
    <row r="4855" spans="1:4" x14ac:dyDescent="0.3">
      <c r="A4855" s="88" t="s">
        <v>26</v>
      </c>
      <c r="B4855" s="88"/>
      <c r="C4855" s="16">
        <v>46316</v>
      </c>
      <c r="D4855" s="79">
        <v>2117.9700000000003</v>
      </c>
    </row>
    <row r="4856" spans="1:4" x14ac:dyDescent="0.3">
      <c r="A4856" s="88" t="s">
        <v>27</v>
      </c>
      <c r="B4856" s="88"/>
      <c r="C4856" s="16">
        <v>46316</v>
      </c>
      <c r="D4856" s="79">
        <v>17895.290000000015</v>
      </c>
    </row>
    <row r="4857" spans="1:4" x14ac:dyDescent="0.3">
      <c r="A4857" s="88" t="s">
        <v>28</v>
      </c>
      <c r="B4857" s="88"/>
      <c r="C4857" s="16">
        <v>46316</v>
      </c>
      <c r="D4857" s="79">
        <v>1968.99</v>
      </c>
    </row>
    <row r="4858" spans="1:4" x14ac:dyDescent="0.3">
      <c r="A4858" s="88" t="s">
        <v>29</v>
      </c>
      <c r="B4858" s="88"/>
      <c r="C4858" s="16">
        <v>46316</v>
      </c>
      <c r="D4858" s="79">
        <v>901.34</v>
      </c>
    </row>
    <row r="4859" spans="1:4" x14ac:dyDescent="0.3">
      <c r="A4859" s="88" t="s">
        <v>30</v>
      </c>
      <c r="B4859" s="88"/>
      <c r="C4859" s="16">
        <v>46316</v>
      </c>
      <c r="D4859" s="79">
        <v>1364.08</v>
      </c>
    </row>
    <row r="4860" spans="1:4" x14ac:dyDescent="0.3">
      <c r="A4860" s="88" t="s">
        <v>31</v>
      </c>
      <c r="B4860" s="88"/>
      <c r="C4860" s="16">
        <v>46316</v>
      </c>
      <c r="D4860" s="79">
        <v>39909.049999999959</v>
      </c>
    </row>
    <row r="4861" spans="1:4" x14ac:dyDescent="0.3">
      <c r="A4861" s="88" t="s">
        <v>32</v>
      </c>
      <c r="B4861" s="88"/>
      <c r="C4861" s="16">
        <v>46316</v>
      </c>
      <c r="D4861" s="79">
        <v>13576.060000000007</v>
      </c>
    </row>
    <row r="4862" spans="1:4" x14ac:dyDescent="0.3">
      <c r="A4862" s="88" t="s">
        <v>33</v>
      </c>
      <c r="B4862" s="88"/>
      <c r="C4862" s="16">
        <v>46316</v>
      </c>
      <c r="D4862" s="79">
        <v>16303.769999999997</v>
      </c>
    </row>
    <row r="4863" spans="1:4" x14ac:dyDescent="0.3">
      <c r="A4863" s="88" t="s">
        <v>34</v>
      </c>
      <c r="B4863" s="88"/>
      <c r="C4863" s="16">
        <v>46316</v>
      </c>
      <c r="D4863" s="79">
        <v>345</v>
      </c>
    </row>
    <row r="4864" spans="1:4" x14ac:dyDescent="0.3">
      <c r="A4864" s="88" t="s">
        <v>35</v>
      </c>
      <c r="B4864" s="88"/>
      <c r="C4864" s="16">
        <v>46316</v>
      </c>
      <c r="D4864" s="79">
        <v>5610.3000000000011</v>
      </c>
    </row>
    <row r="4865" spans="1:4" x14ac:dyDescent="0.3">
      <c r="A4865" s="88" t="s">
        <v>193</v>
      </c>
      <c r="B4865" s="88"/>
      <c r="C4865" s="16">
        <v>46316</v>
      </c>
      <c r="D4865" s="79">
        <v>1329346.53</v>
      </c>
    </row>
    <row r="4866" spans="1:4" x14ac:dyDescent="0.3">
      <c r="A4866" s="88" t="s">
        <v>214</v>
      </c>
      <c r="B4866" s="88"/>
      <c r="C4866" s="16">
        <v>46316</v>
      </c>
      <c r="D4866" s="79">
        <v>142015.14000000004</v>
      </c>
    </row>
    <row r="4867" spans="1:4" x14ac:dyDescent="0.3">
      <c r="A4867" s="88" t="s">
        <v>194</v>
      </c>
      <c r="B4867" s="88"/>
      <c r="C4867" s="16">
        <v>46316</v>
      </c>
      <c r="D4867" s="79">
        <v>22170.959999999999</v>
      </c>
    </row>
    <row r="4868" spans="1:4" x14ac:dyDescent="0.3">
      <c r="A4868" s="88" t="s">
        <v>195</v>
      </c>
      <c r="B4868" s="88"/>
      <c r="C4868" s="16">
        <v>46316</v>
      </c>
      <c r="D4868" s="79">
        <v>3906.17</v>
      </c>
    </row>
    <row r="4869" spans="1:4" x14ac:dyDescent="0.3">
      <c r="A4869" s="88" t="s">
        <v>196</v>
      </c>
      <c r="B4869" s="88"/>
      <c r="C4869" s="16">
        <v>46316</v>
      </c>
      <c r="D4869" s="79">
        <v>99521.729999999967</v>
      </c>
    </row>
    <row r="4870" spans="1:4" x14ac:dyDescent="0.3">
      <c r="A4870" s="88" t="s">
        <v>197</v>
      </c>
      <c r="B4870" s="88"/>
      <c r="C4870" s="16">
        <v>46316</v>
      </c>
      <c r="D4870" s="79">
        <v>794.01</v>
      </c>
    </row>
    <row r="4871" spans="1:4" x14ac:dyDescent="0.3">
      <c r="A4871" s="88" t="s">
        <v>212</v>
      </c>
      <c r="B4871" s="88"/>
      <c r="C4871" s="16">
        <v>46316</v>
      </c>
      <c r="D4871" s="79">
        <v>5445.57</v>
      </c>
    </row>
    <row r="4872" spans="1:4" x14ac:dyDescent="0.3">
      <c r="A4872" s="88" t="s">
        <v>199</v>
      </c>
      <c r="B4872" s="88"/>
      <c r="C4872" s="16">
        <v>46316</v>
      </c>
      <c r="D4872" s="79">
        <v>246769.28999999998</v>
      </c>
    </row>
    <row r="4873" spans="1:4" x14ac:dyDescent="0.3">
      <c r="A4873" s="88" t="s">
        <v>217</v>
      </c>
      <c r="B4873" s="88"/>
      <c r="C4873" s="16">
        <v>46316</v>
      </c>
      <c r="D4873" s="79">
        <v>351319.16</v>
      </c>
    </row>
    <row r="4874" spans="1:4" x14ac:dyDescent="0.3">
      <c r="A4874" s="88" t="s">
        <v>17</v>
      </c>
      <c r="B4874" s="88"/>
      <c r="C4874" s="16">
        <v>46317</v>
      </c>
      <c r="D4874" s="79">
        <v>1335471.8800000008</v>
      </c>
    </row>
    <row r="4875" spans="1:4" x14ac:dyDescent="0.3">
      <c r="A4875" s="88" t="s">
        <v>18</v>
      </c>
      <c r="B4875" s="88"/>
      <c r="C4875" s="16">
        <v>46317</v>
      </c>
      <c r="D4875" s="79">
        <v>103123.59000000017</v>
      </c>
    </row>
    <row r="4876" spans="1:4" x14ac:dyDescent="0.3">
      <c r="A4876" s="88" t="s">
        <v>19</v>
      </c>
      <c r="B4876" s="88"/>
      <c r="C4876" s="16">
        <v>46317</v>
      </c>
      <c r="D4876" s="79">
        <v>1669.89</v>
      </c>
    </row>
    <row r="4877" spans="1:4" x14ac:dyDescent="0.3">
      <c r="A4877" s="88" t="s">
        <v>20</v>
      </c>
      <c r="B4877" s="88"/>
      <c r="C4877" s="16">
        <v>46317</v>
      </c>
      <c r="D4877" s="79">
        <v>1101788.3999999997</v>
      </c>
    </row>
    <row r="4878" spans="1:4" x14ac:dyDescent="0.3">
      <c r="A4878" s="88" t="s">
        <v>21</v>
      </c>
      <c r="B4878" s="88"/>
      <c r="C4878" s="16">
        <v>46317</v>
      </c>
      <c r="D4878" s="79">
        <v>1280371.5299999991</v>
      </c>
    </row>
    <row r="4879" spans="1:4" x14ac:dyDescent="0.3">
      <c r="A4879" s="88" t="s">
        <v>22</v>
      </c>
      <c r="B4879" s="88"/>
      <c r="C4879" s="16">
        <v>46317</v>
      </c>
      <c r="D4879" s="79">
        <v>161763.14000000001</v>
      </c>
    </row>
    <row r="4880" spans="1:4" x14ac:dyDescent="0.3">
      <c r="A4880" s="88" t="s">
        <v>23</v>
      </c>
      <c r="B4880" s="88"/>
      <c r="C4880" s="16">
        <v>46317</v>
      </c>
      <c r="D4880" s="79">
        <v>80533.579999999987</v>
      </c>
    </row>
    <row r="4881" spans="1:4" x14ac:dyDescent="0.3">
      <c r="A4881" s="88" t="s">
        <v>24</v>
      </c>
      <c r="B4881" s="88"/>
      <c r="C4881" s="16">
        <v>46317</v>
      </c>
      <c r="D4881" s="79">
        <v>10259.18</v>
      </c>
    </row>
    <row r="4882" spans="1:4" x14ac:dyDescent="0.3">
      <c r="A4882" s="88" t="s">
        <v>25</v>
      </c>
      <c r="B4882" s="88"/>
      <c r="C4882" s="16">
        <v>46317</v>
      </c>
      <c r="D4882" s="79">
        <v>64.55</v>
      </c>
    </row>
    <row r="4883" spans="1:4" x14ac:dyDescent="0.3">
      <c r="A4883" s="88" t="s">
        <v>26</v>
      </c>
      <c r="B4883" s="88"/>
      <c r="C4883" s="16">
        <v>46317</v>
      </c>
      <c r="D4883" s="79">
        <v>2117.9700000000003</v>
      </c>
    </row>
    <row r="4884" spans="1:4" x14ac:dyDescent="0.3">
      <c r="A4884" s="88" t="s">
        <v>27</v>
      </c>
      <c r="B4884" s="88"/>
      <c r="C4884" s="16">
        <v>46317</v>
      </c>
      <c r="D4884" s="79">
        <v>17895.290000000015</v>
      </c>
    </row>
    <row r="4885" spans="1:4" x14ac:dyDescent="0.3">
      <c r="A4885" s="88" t="s">
        <v>28</v>
      </c>
      <c r="B4885" s="88"/>
      <c r="C4885" s="16">
        <v>46317</v>
      </c>
      <c r="D4885" s="79">
        <v>1968.99</v>
      </c>
    </row>
    <row r="4886" spans="1:4" x14ac:dyDescent="0.3">
      <c r="A4886" s="88" t="s">
        <v>29</v>
      </c>
      <c r="B4886" s="88"/>
      <c r="C4886" s="16">
        <v>46317</v>
      </c>
      <c r="D4886" s="79">
        <v>901.34</v>
      </c>
    </row>
    <row r="4887" spans="1:4" x14ac:dyDescent="0.3">
      <c r="A4887" s="88" t="s">
        <v>30</v>
      </c>
      <c r="B4887" s="88"/>
      <c r="C4887" s="16">
        <v>46317</v>
      </c>
      <c r="D4887" s="79">
        <v>1364.08</v>
      </c>
    </row>
    <row r="4888" spans="1:4" x14ac:dyDescent="0.3">
      <c r="A4888" s="88" t="s">
        <v>31</v>
      </c>
      <c r="B4888" s="88"/>
      <c r="C4888" s="16">
        <v>46317</v>
      </c>
      <c r="D4888" s="79">
        <v>39894.049999999959</v>
      </c>
    </row>
    <row r="4889" spans="1:4" x14ac:dyDescent="0.3">
      <c r="A4889" s="88" t="s">
        <v>32</v>
      </c>
      <c r="B4889" s="88"/>
      <c r="C4889" s="16">
        <v>46317</v>
      </c>
      <c r="D4889" s="79">
        <v>13576.060000000007</v>
      </c>
    </row>
    <row r="4890" spans="1:4" x14ac:dyDescent="0.3">
      <c r="A4890" s="88" t="s">
        <v>33</v>
      </c>
      <c r="B4890" s="88"/>
      <c r="C4890" s="16">
        <v>46317</v>
      </c>
      <c r="D4890" s="79">
        <v>16303.769999999997</v>
      </c>
    </row>
    <row r="4891" spans="1:4" x14ac:dyDescent="0.3">
      <c r="A4891" s="88" t="s">
        <v>34</v>
      </c>
      <c r="B4891" s="88"/>
      <c r="C4891" s="16">
        <v>46317</v>
      </c>
      <c r="D4891" s="79">
        <v>345</v>
      </c>
    </row>
    <row r="4892" spans="1:4" x14ac:dyDescent="0.3">
      <c r="A4892" s="88" t="s">
        <v>35</v>
      </c>
      <c r="B4892" s="88"/>
      <c r="C4892" s="16">
        <v>46317</v>
      </c>
      <c r="D4892" s="79">
        <v>5610.3000000000011</v>
      </c>
    </row>
    <row r="4893" spans="1:4" x14ac:dyDescent="0.3">
      <c r="A4893" s="88" t="s">
        <v>193</v>
      </c>
      <c r="B4893" s="88"/>
      <c r="C4893" s="16">
        <v>46317</v>
      </c>
      <c r="D4893" s="79">
        <v>1329346.53</v>
      </c>
    </row>
    <row r="4894" spans="1:4" x14ac:dyDescent="0.3">
      <c r="A4894" s="88" t="s">
        <v>214</v>
      </c>
      <c r="B4894" s="88"/>
      <c r="C4894" s="16">
        <v>46317</v>
      </c>
      <c r="D4894" s="79">
        <v>142015.14000000004</v>
      </c>
    </row>
    <row r="4895" spans="1:4" x14ac:dyDescent="0.3">
      <c r="A4895" s="88" t="s">
        <v>194</v>
      </c>
      <c r="B4895" s="88"/>
      <c r="C4895" s="16">
        <v>46317</v>
      </c>
      <c r="D4895" s="79">
        <v>22170.959999999999</v>
      </c>
    </row>
    <row r="4896" spans="1:4" x14ac:dyDescent="0.3">
      <c r="A4896" s="88" t="s">
        <v>195</v>
      </c>
      <c r="B4896" s="88"/>
      <c r="C4896" s="16">
        <v>46317</v>
      </c>
      <c r="D4896" s="79">
        <v>3906.17</v>
      </c>
    </row>
    <row r="4897" spans="1:4" x14ac:dyDescent="0.3">
      <c r="A4897" s="88" t="s">
        <v>196</v>
      </c>
      <c r="B4897" s="88"/>
      <c r="C4897" s="16">
        <v>46317</v>
      </c>
      <c r="D4897" s="79">
        <v>98993.819999999978</v>
      </c>
    </row>
    <row r="4898" spans="1:4" x14ac:dyDescent="0.3">
      <c r="A4898" s="88" t="s">
        <v>197</v>
      </c>
      <c r="B4898" s="88"/>
      <c r="C4898" s="16">
        <v>46317</v>
      </c>
      <c r="D4898" s="79">
        <v>794.01</v>
      </c>
    </row>
    <row r="4899" spans="1:4" x14ac:dyDescent="0.3">
      <c r="A4899" s="88" t="s">
        <v>212</v>
      </c>
      <c r="B4899" s="88"/>
      <c r="C4899" s="16">
        <v>46317</v>
      </c>
      <c r="D4899" s="79">
        <v>5445.57</v>
      </c>
    </row>
    <row r="4900" spans="1:4" x14ac:dyDescent="0.3">
      <c r="A4900" s="88" t="s">
        <v>199</v>
      </c>
      <c r="B4900" s="88"/>
      <c r="C4900" s="16">
        <v>46317</v>
      </c>
      <c r="D4900" s="79">
        <v>246769.28999999998</v>
      </c>
    </row>
    <row r="4901" spans="1:4" x14ac:dyDescent="0.3">
      <c r="A4901" s="88" t="s">
        <v>217</v>
      </c>
      <c r="B4901" s="88"/>
      <c r="C4901" s="16">
        <v>46317</v>
      </c>
      <c r="D4901" s="79">
        <v>351319.16</v>
      </c>
    </row>
    <row r="4902" spans="1:4" x14ac:dyDescent="0.3">
      <c r="A4902" s="88" t="s">
        <v>17</v>
      </c>
      <c r="B4902" s="88"/>
      <c r="C4902" s="16">
        <v>46318</v>
      </c>
      <c r="D4902" s="79">
        <v>1335471.8800000008</v>
      </c>
    </row>
    <row r="4903" spans="1:4" x14ac:dyDescent="0.3">
      <c r="A4903" s="88" t="s">
        <v>18</v>
      </c>
      <c r="B4903" s="88"/>
      <c r="C4903" s="16">
        <v>46318</v>
      </c>
      <c r="D4903" s="79">
        <v>103123.59000000017</v>
      </c>
    </row>
    <row r="4904" spans="1:4" x14ac:dyDescent="0.3">
      <c r="A4904" s="88" t="s">
        <v>19</v>
      </c>
      <c r="B4904" s="88"/>
      <c r="C4904" s="16">
        <v>46318</v>
      </c>
      <c r="D4904" s="79">
        <v>1669.89</v>
      </c>
    </row>
    <row r="4905" spans="1:4" x14ac:dyDescent="0.3">
      <c r="A4905" s="88" t="s">
        <v>20</v>
      </c>
      <c r="B4905" s="88"/>
      <c r="C4905" s="16">
        <v>46318</v>
      </c>
      <c r="D4905" s="79">
        <v>1101788.3999999997</v>
      </c>
    </row>
    <row r="4906" spans="1:4" x14ac:dyDescent="0.3">
      <c r="A4906" s="88" t="s">
        <v>21</v>
      </c>
      <c r="B4906" s="88"/>
      <c r="C4906" s="16">
        <v>46318</v>
      </c>
      <c r="D4906" s="79">
        <v>1280371.5299999991</v>
      </c>
    </row>
    <row r="4907" spans="1:4" x14ac:dyDescent="0.3">
      <c r="A4907" s="88" t="s">
        <v>22</v>
      </c>
      <c r="B4907" s="88"/>
      <c r="C4907" s="16">
        <v>46318</v>
      </c>
      <c r="D4907" s="79">
        <v>161763.14000000001</v>
      </c>
    </row>
    <row r="4908" spans="1:4" x14ac:dyDescent="0.3">
      <c r="A4908" s="88" t="s">
        <v>23</v>
      </c>
      <c r="B4908" s="88"/>
      <c r="C4908" s="16">
        <v>46318</v>
      </c>
      <c r="D4908" s="79">
        <v>80533.579999999987</v>
      </c>
    </row>
    <row r="4909" spans="1:4" x14ac:dyDescent="0.3">
      <c r="A4909" s="88" t="s">
        <v>24</v>
      </c>
      <c r="B4909" s="88"/>
      <c r="C4909" s="16">
        <v>46318</v>
      </c>
      <c r="D4909" s="79">
        <v>10259.18</v>
      </c>
    </row>
    <row r="4910" spans="1:4" x14ac:dyDescent="0.3">
      <c r="A4910" s="88" t="s">
        <v>25</v>
      </c>
      <c r="B4910" s="88"/>
      <c r="C4910" s="16">
        <v>46318</v>
      </c>
      <c r="D4910" s="79">
        <v>64.55</v>
      </c>
    </row>
    <row r="4911" spans="1:4" x14ac:dyDescent="0.3">
      <c r="A4911" s="88" t="s">
        <v>26</v>
      </c>
      <c r="B4911" s="88"/>
      <c r="C4911" s="16">
        <v>46318</v>
      </c>
      <c r="D4911" s="79">
        <v>2117.9700000000003</v>
      </c>
    </row>
    <row r="4912" spans="1:4" x14ac:dyDescent="0.3">
      <c r="A4912" s="88" t="s">
        <v>27</v>
      </c>
      <c r="B4912" s="88"/>
      <c r="C4912" s="16">
        <v>46318</v>
      </c>
      <c r="D4912" s="79">
        <v>17895.290000000015</v>
      </c>
    </row>
    <row r="4913" spans="1:4" x14ac:dyDescent="0.3">
      <c r="A4913" s="88" t="s">
        <v>28</v>
      </c>
      <c r="B4913" s="88"/>
      <c r="C4913" s="16">
        <v>46318</v>
      </c>
      <c r="D4913" s="79">
        <v>1968.99</v>
      </c>
    </row>
    <row r="4914" spans="1:4" x14ac:dyDescent="0.3">
      <c r="A4914" s="88" t="s">
        <v>29</v>
      </c>
      <c r="B4914" s="88"/>
      <c r="C4914" s="16">
        <v>46318</v>
      </c>
      <c r="D4914" s="79">
        <v>901.34</v>
      </c>
    </row>
    <row r="4915" spans="1:4" x14ac:dyDescent="0.3">
      <c r="A4915" s="88" t="s">
        <v>30</v>
      </c>
      <c r="B4915" s="88"/>
      <c r="C4915" s="16">
        <v>46318</v>
      </c>
      <c r="D4915" s="79">
        <v>1364.08</v>
      </c>
    </row>
    <row r="4916" spans="1:4" x14ac:dyDescent="0.3">
      <c r="A4916" s="88" t="s">
        <v>31</v>
      </c>
      <c r="B4916" s="88"/>
      <c r="C4916" s="16">
        <v>46318</v>
      </c>
      <c r="D4916" s="79">
        <v>39894.049999999959</v>
      </c>
    </row>
    <row r="4917" spans="1:4" x14ac:dyDescent="0.3">
      <c r="A4917" s="88" t="s">
        <v>32</v>
      </c>
      <c r="B4917" s="88"/>
      <c r="C4917" s="16">
        <v>46318</v>
      </c>
      <c r="D4917" s="79">
        <v>13576.060000000007</v>
      </c>
    </row>
    <row r="4918" spans="1:4" x14ac:dyDescent="0.3">
      <c r="A4918" s="88" t="s">
        <v>33</v>
      </c>
      <c r="B4918" s="88"/>
      <c r="C4918" s="16">
        <v>46318</v>
      </c>
      <c r="D4918" s="79">
        <v>16303.769999999997</v>
      </c>
    </row>
    <row r="4919" spans="1:4" x14ac:dyDescent="0.3">
      <c r="A4919" s="88" t="s">
        <v>34</v>
      </c>
      <c r="B4919" s="88"/>
      <c r="C4919" s="16">
        <v>46318</v>
      </c>
      <c r="D4919" s="79">
        <v>345</v>
      </c>
    </row>
    <row r="4920" spans="1:4" x14ac:dyDescent="0.3">
      <c r="A4920" s="88" t="s">
        <v>35</v>
      </c>
      <c r="B4920" s="88"/>
      <c r="C4920" s="16">
        <v>46318</v>
      </c>
      <c r="D4920" s="79">
        <v>5610.3000000000011</v>
      </c>
    </row>
    <row r="4921" spans="1:4" x14ac:dyDescent="0.3">
      <c r="A4921" s="88" t="s">
        <v>193</v>
      </c>
      <c r="B4921" s="88"/>
      <c r="C4921" s="16">
        <v>46318</v>
      </c>
      <c r="D4921" s="79">
        <v>1329346.53</v>
      </c>
    </row>
    <row r="4922" spans="1:4" x14ac:dyDescent="0.3">
      <c r="A4922" s="88" t="s">
        <v>214</v>
      </c>
      <c r="B4922" s="88"/>
      <c r="C4922" s="16">
        <v>46318</v>
      </c>
      <c r="D4922" s="79">
        <v>142015.14000000004</v>
      </c>
    </row>
    <row r="4923" spans="1:4" x14ac:dyDescent="0.3">
      <c r="A4923" s="88" t="s">
        <v>194</v>
      </c>
      <c r="B4923" s="88"/>
      <c r="C4923" s="16">
        <v>46318</v>
      </c>
      <c r="D4923" s="79">
        <v>22170.959999999999</v>
      </c>
    </row>
    <row r="4924" spans="1:4" x14ac:dyDescent="0.3">
      <c r="A4924" s="88" t="s">
        <v>195</v>
      </c>
      <c r="B4924" s="88"/>
      <c r="C4924" s="16">
        <v>46318</v>
      </c>
      <c r="D4924" s="79">
        <v>3906.17</v>
      </c>
    </row>
    <row r="4925" spans="1:4" x14ac:dyDescent="0.3">
      <c r="A4925" s="88" t="s">
        <v>196</v>
      </c>
      <c r="B4925" s="88"/>
      <c r="C4925" s="16">
        <v>46318</v>
      </c>
      <c r="D4925" s="79">
        <v>98993.819999999978</v>
      </c>
    </row>
    <row r="4926" spans="1:4" x14ac:dyDescent="0.3">
      <c r="A4926" s="88" t="s">
        <v>197</v>
      </c>
      <c r="B4926" s="88"/>
      <c r="C4926" s="16">
        <v>46318</v>
      </c>
      <c r="D4926" s="79">
        <v>794.01</v>
      </c>
    </row>
    <row r="4927" spans="1:4" x14ac:dyDescent="0.3">
      <c r="A4927" s="88" t="s">
        <v>212</v>
      </c>
      <c r="B4927" s="88"/>
      <c r="C4927" s="16">
        <v>46318</v>
      </c>
      <c r="D4927" s="79">
        <v>5445.57</v>
      </c>
    </row>
    <row r="4928" spans="1:4" x14ac:dyDescent="0.3">
      <c r="A4928" s="88" t="s">
        <v>199</v>
      </c>
      <c r="B4928" s="88"/>
      <c r="C4928" s="16">
        <v>46318</v>
      </c>
      <c r="D4928" s="79">
        <v>246769.28999999998</v>
      </c>
    </row>
    <row r="4929" spans="1:4" x14ac:dyDescent="0.3">
      <c r="A4929" s="88" t="s">
        <v>217</v>
      </c>
      <c r="B4929" s="88"/>
      <c r="C4929" s="16">
        <v>46318</v>
      </c>
      <c r="D4929" s="79">
        <v>351319.16</v>
      </c>
    </row>
    <row r="4930" spans="1:4" x14ac:dyDescent="0.3">
      <c r="A4930" s="88" t="s">
        <v>17</v>
      </c>
      <c r="B4930" s="88"/>
      <c r="C4930" s="16">
        <v>46319</v>
      </c>
      <c r="D4930" s="79">
        <v>1335471.8800000008</v>
      </c>
    </row>
    <row r="4931" spans="1:4" x14ac:dyDescent="0.3">
      <c r="A4931" s="88" t="s">
        <v>18</v>
      </c>
      <c r="B4931" s="88"/>
      <c r="C4931" s="16">
        <v>46319</v>
      </c>
      <c r="D4931" s="79">
        <v>103123.59000000017</v>
      </c>
    </row>
    <row r="4932" spans="1:4" x14ac:dyDescent="0.3">
      <c r="A4932" s="88" t="s">
        <v>19</v>
      </c>
      <c r="B4932" s="88"/>
      <c r="C4932" s="16">
        <v>46319</v>
      </c>
      <c r="D4932" s="79">
        <v>1669.89</v>
      </c>
    </row>
    <row r="4933" spans="1:4" x14ac:dyDescent="0.3">
      <c r="A4933" s="88" t="s">
        <v>20</v>
      </c>
      <c r="B4933" s="88"/>
      <c r="C4933" s="16">
        <v>46319</v>
      </c>
      <c r="D4933" s="79">
        <v>1101788.3999999997</v>
      </c>
    </row>
    <row r="4934" spans="1:4" x14ac:dyDescent="0.3">
      <c r="A4934" s="88" t="s">
        <v>21</v>
      </c>
      <c r="B4934" s="88"/>
      <c r="C4934" s="16">
        <v>46319</v>
      </c>
      <c r="D4934" s="79">
        <v>1280371.5299999991</v>
      </c>
    </row>
    <row r="4935" spans="1:4" x14ac:dyDescent="0.3">
      <c r="A4935" s="88" t="s">
        <v>22</v>
      </c>
      <c r="B4935" s="88"/>
      <c r="C4935" s="16">
        <v>46319</v>
      </c>
      <c r="D4935" s="79">
        <v>161763.14000000001</v>
      </c>
    </row>
    <row r="4936" spans="1:4" x14ac:dyDescent="0.3">
      <c r="A4936" s="88" t="s">
        <v>23</v>
      </c>
      <c r="B4936" s="88"/>
      <c r="C4936" s="16">
        <v>46319</v>
      </c>
      <c r="D4936" s="79">
        <v>80533.579999999987</v>
      </c>
    </row>
    <row r="4937" spans="1:4" x14ac:dyDescent="0.3">
      <c r="A4937" s="88" t="s">
        <v>24</v>
      </c>
      <c r="B4937" s="88"/>
      <c r="C4937" s="16">
        <v>46319</v>
      </c>
      <c r="D4937" s="79">
        <v>10259.18</v>
      </c>
    </row>
    <row r="4938" spans="1:4" x14ac:dyDescent="0.3">
      <c r="A4938" s="88" t="s">
        <v>25</v>
      </c>
      <c r="B4938" s="88"/>
      <c r="C4938" s="16">
        <v>46319</v>
      </c>
      <c r="D4938" s="79">
        <v>64.55</v>
      </c>
    </row>
    <row r="4939" spans="1:4" x14ac:dyDescent="0.3">
      <c r="A4939" s="88" t="s">
        <v>26</v>
      </c>
      <c r="B4939" s="88"/>
      <c r="C4939" s="16">
        <v>46319</v>
      </c>
      <c r="D4939" s="79">
        <v>2117.9700000000003</v>
      </c>
    </row>
    <row r="4940" spans="1:4" x14ac:dyDescent="0.3">
      <c r="A4940" s="88" t="s">
        <v>27</v>
      </c>
      <c r="B4940" s="88"/>
      <c r="C4940" s="16">
        <v>46319</v>
      </c>
      <c r="D4940" s="79">
        <v>17895.290000000015</v>
      </c>
    </row>
    <row r="4941" spans="1:4" x14ac:dyDescent="0.3">
      <c r="A4941" s="88" t="s">
        <v>28</v>
      </c>
      <c r="B4941" s="88"/>
      <c r="C4941" s="16">
        <v>46319</v>
      </c>
      <c r="D4941" s="79">
        <v>1968.99</v>
      </c>
    </row>
    <row r="4942" spans="1:4" x14ac:dyDescent="0.3">
      <c r="A4942" s="88" t="s">
        <v>29</v>
      </c>
      <c r="B4942" s="88"/>
      <c r="C4942" s="16">
        <v>46319</v>
      </c>
      <c r="D4942" s="79">
        <v>901.34</v>
      </c>
    </row>
    <row r="4943" spans="1:4" x14ac:dyDescent="0.3">
      <c r="A4943" s="88" t="s">
        <v>30</v>
      </c>
      <c r="B4943" s="88"/>
      <c r="C4943" s="16">
        <v>46319</v>
      </c>
      <c r="D4943" s="79">
        <v>1364.08</v>
      </c>
    </row>
    <row r="4944" spans="1:4" x14ac:dyDescent="0.3">
      <c r="A4944" s="88" t="s">
        <v>31</v>
      </c>
      <c r="B4944" s="88"/>
      <c r="C4944" s="16">
        <v>46319</v>
      </c>
      <c r="D4944" s="79">
        <v>39894.049999999959</v>
      </c>
    </row>
    <row r="4945" spans="1:4" x14ac:dyDescent="0.3">
      <c r="A4945" s="88" t="s">
        <v>32</v>
      </c>
      <c r="B4945" s="88"/>
      <c r="C4945" s="16">
        <v>46319</v>
      </c>
      <c r="D4945" s="79">
        <v>13576.060000000007</v>
      </c>
    </row>
    <row r="4946" spans="1:4" x14ac:dyDescent="0.3">
      <c r="A4946" s="88" t="s">
        <v>33</v>
      </c>
      <c r="B4946" s="88"/>
      <c r="C4946" s="16">
        <v>46319</v>
      </c>
      <c r="D4946" s="79">
        <v>16303.769999999997</v>
      </c>
    </row>
    <row r="4947" spans="1:4" x14ac:dyDescent="0.3">
      <c r="A4947" s="88" t="s">
        <v>34</v>
      </c>
      <c r="B4947" s="88"/>
      <c r="C4947" s="16">
        <v>46319</v>
      </c>
      <c r="D4947" s="79">
        <v>345</v>
      </c>
    </row>
    <row r="4948" spans="1:4" x14ac:dyDescent="0.3">
      <c r="A4948" s="88" t="s">
        <v>35</v>
      </c>
      <c r="B4948" s="88"/>
      <c r="C4948" s="16">
        <v>46319</v>
      </c>
      <c r="D4948" s="79">
        <v>5610.3000000000011</v>
      </c>
    </row>
    <row r="4949" spans="1:4" x14ac:dyDescent="0.3">
      <c r="A4949" s="88" t="s">
        <v>193</v>
      </c>
      <c r="B4949" s="88"/>
      <c r="C4949" s="16">
        <v>46319</v>
      </c>
      <c r="D4949" s="79">
        <v>1329346.53</v>
      </c>
    </row>
    <row r="4950" spans="1:4" x14ac:dyDescent="0.3">
      <c r="A4950" s="88" t="s">
        <v>214</v>
      </c>
      <c r="B4950" s="88"/>
      <c r="C4950" s="16">
        <v>46319</v>
      </c>
      <c r="D4950" s="79">
        <v>142015.14000000004</v>
      </c>
    </row>
    <row r="4951" spans="1:4" x14ac:dyDescent="0.3">
      <c r="A4951" s="88" t="s">
        <v>194</v>
      </c>
      <c r="B4951" s="88"/>
      <c r="C4951" s="16">
        <v>46319</v>
      </c>
      <c r="D4951" s="79">
        <v>22170.959999999999</v>
      </c>
    </row>
    <row r="4952" spans="1:4" x14ac:dyDescent="0.3">
      <c r="A4952" s="88" t="s">
        <v>195</v>
      </c>
      <c r="B4952" s="88"/>
      <c r="C4952" s="16">
        <v>46319</v>
      </c>
      <c r="D4952" s="79">
        <v>3906.17</v>
      </c>
    </row>
    <row r="4953" spans="1:4" x14ac:dyDescent="0.3">
      <c r="A4953" s="88" t="s">
        <v>196</v>
      </c>
      <c r="B4953" s="88"/>
      <c r="C4953" s="16">
        <v>46319</v>
      </c>
      <c r="D4953" s="79">
        <v>98993.819999999978</v>
      </c>
    </row>
    <row r="4954" spans="1:4" x14ac:dyDescent="0.3">
      <c r="A4954" s="88" t="s">
        <v>197</v>
      </c>
      <c r="B4954" s="88"/>
      <c r="C4954" s="16">
        <v>46319</v>
      </c>
      <c r="D4954" s="79">
        <v>794.01</v>
      </c>
    </row>
    <row r="4955" spans="1:4" x14ac:dyDescent="0.3">
      <c r="A4955" s="88" t="s">
        <v>212</v>
      </c>
      <c r="B4955" s="88"/>
      <c r="C4955" s="16">
        <v>46319</v>
      </c>
      <c r="D4955" s="79">
        <v>5445.57</v>
      </c>
    </row>
    <row r="4956" spans="1:4" x14ac:dyDescent="0.3">
      <c r="A4956" s="88" t="s">
        <v>199</v>
      </c>
      <c r="B4956" s="88"/>
      <c r="C4956" s="16">
        <v>46319</v>
      </c>
      <c r="D4956" s="79">
        <v>246769.28999999998</v>
      </c>
    </row>
    <row r="4957" spans="1:4" x14ac:dyDescent="0.3">
      <c r="A4957" s="88" t="s">
        <v>217</v>
      </c>
      <c r="B4957" s="88"/>
      <c r="C4957" s="16">
        <v>46319</v>
      </c>
      <c r="D4957" s="79">
        <v>351319.16</v>
      </c>
    </row>
    <row r="4958" spans="1:4" x14ac:dyDescent="0.3">
      <c r="A4958" s="88" t="s">
        <v>17</v>
      </c>
      <c r="B4958" s="88"/>
      <c r="C4958" s="16">
        <v>46320</v>
      </c>
      <c r="D4958" s="79">
        <v>1335471.8800000008</v>
      </c>
    </row>
    <row r="4959" spans="1:4" x14ac:dyDescent="0.3">
      <c r="A4959" s="88" t="s">
        <v>18</v>
      </c>
      <c r="B4959" s="88"/>
      <c r="C4959" s="16">
        <v>46320</v>
      </c>
      <c r="D4959" s="79">
        <v>103123.59000000017</v>
      </c>
    </row>
    <row r="4960" spans="1:4" x14ac:dyDescent="0.3">
      <c r="A4960" s="88" t="s">
        <v>19</v>
      </c>
      <c r="B4960" s="88"/>
      <c r="C4960" s="16">
        <v>46320</v>
      </c>
      <c r="D4960" s="79">
        <v>1669.89</v>
      </c>
    </row>
    <row r="4961" spans="1:4" x14ac:dyDescent="0.3">
      <c r="A4961" s="88" t="s">
        <v>20</v>
      </c>
      <c r="B4961" s="88"/>
      <c r="C4961" s="16">
        <v>46320</v>
      </c>
      <c r="D4961" s="79">
        <v>1101788.3999999997</v>
      </c>
    </row>
    <row r="4962" spans="1:4" x14ac:dyDescent="0.3">
      <c r="A4962" s="88" t="s">
        <v>21</v>
      </c>
      <c r="B4962" s="88"/>
      <c r="C4962" s="16">
        <v>46320</v>
      </c>
      <c r="D4962" s="79">
        <v>1280371.5299999991</v>
      </c>
    </row>
    <row r="4963" spans="1:4" x14ac:dyDescent="0.3">
      <c r="A4963" s="88" t="s">
        <v>22</v>
      </c>
      <c r="B4963" s="88"/>
      <c r="C4963" s="16">
        <v>46320</v>
      </c>
      <c r="D4963" s="79">
        <v>161763.14000000001</v>
      </c>
    </row>
    <row r="4964" spans="1:4" x14ac:dyDescent="0.3">
      <c r="A4964" s="88" t="s">
        <v>23</v>
      </c>
      <c r="B4964" s="88"/>
      <c r="C4964" s="16">
        <v>46320</v>
      </c>
      <c r="D4964" s="79">
        <v>80533.579999999987</v>
      </c>
    </row>
    <row r="4965" spans="1:4" x14ac:dyDescent="0.3">
      <c r="A4965" s="88" t="s">
        <v>24</v>
      </c>
      <c r="B4965" s="88"/>
      <c r="C4965" s="16">
        <v>46320</v>
      </c>
      <c r="D4965" s="79">
        <v>10259.18</v>
      </c>
    </row>
    <row r="4966" spans="1:4" x14ac:dyDescent="0.3">
      <c r="A4966" s="88" t="s">
        <v>25</v>
      </c>
      <c r="B4966" s="88"/>
      <c r="C4966" s="16">
        <v>46320</v>
      </c>
      <c r="D4966" s="79">
        <v>64.55</v>
      </c>
    </row>
    <row r="4967" spans="1:4" x14ac:dyDescent="0.3">
      <c r="A4967" s="88" t="s">
        <v>26</v>
      </c>
      <c r="B4967" s="88"/>
      <c r="C4967" s="16">
        <v>46320</v>
      </c>
      <c r="D4967" s="79">
        <v>2117.9700000000003</v>
      </c>
    </row>
    <row r="4968" spans="1:4" x14ac:dyDescent="0.3">
      <c r="A4968" s="88" t="s">
        <v>27</v>
      </c>
      <c r="B4968" s="88"/>
      <c r="C4968" s="16">
        <v>46320</v>
      </c>
      <c r="D4968" s="79">
        <v>17895.290000000015</v>
      </c>
    </row>
    <row r="4969" spans="1:4" x14ac:dyDescent="0.3">
      <c r="A4969" s="88" t="s">
        <v>28</v>
      </c>
      <c r="B4969" s="88"/>
      <c r="C4969" s="16">
        <v>46320</v>
      </c>
      <c r="D4969" s="79">
        <v>1968.99</v>
      </c>
    </row>
    <row r="4970" spans="1:4" x14ac:dyDescent="0.3">
      <c r="A4970" s="88" t="s">
        <v>29</v>
      </c>
      <c r="B4970" s="88"/>
      <c r="C4970" s="16">
        <v>46320</v>
      </c>
      <c r="D4970" s="79">
        <v>901.34</v>
      </c>
    </row>
    <row r="4971" spans="1:4" x14ac:dyDescent="0.3">
      <c r="A4971" s="88" t="s">
        <v>30</v>
      </c>
      <c r="B4971" s="88"/>
      <c r="C4971" s="16">
        <v>46320</v>
      </c>
      <c r="D4971" s="79">
        <v>1364.08</v>
      </c>
    </row>
    <row r="4972" spans="1:4" x14ac:dyDescent="0.3">
      <c r="A4972" s="88" t="s">
        <v>31</v>
      </c>
      <c r="B4972" s="88"/>
      <c r="C4972" s="16">
        <v>46320</v>
      </c>
      <c r="D4972" s="79">
        <v>39894.049999999959</v>
      </c>
    </row>
    <row r="4973" spans="1:4" x14ac:dyDescent="0.3">
      <c r="A4973" s="88" t="s">
        <v>32</v>
      </c>
      <c r="B4973" s="88"/>
      <c r="C4973" s="16">
        <v>46320</v>
      </c>
      <c r="D4973" s="79">
        <v>13576.060000000007</v>
      </c>
    </row>
    <row r="4974" spans="1:4" x14ac:dyDescent="0.3">
      <c r="A4974" s="88" t="s">
        <v>33</v>
      </c>
      <c r="B4974" s="88"/>
      <c r="C4974" s="16">
        <v>46320</v>
      </c>
      <c r="D4974" s="79">
        <v>16303.769999999997</v>
      </c>
    </row>
    <row r="4975" spans="1:4" x14ac:dyDescent="0.3">
      <c r="A4975" s="88" t="s">
        <v>34</v>
      </c>
      <c r="B4975" s="88"/>
      <c r="C4975" s="16">
        <v>46320</v>
      </c>
      <c r="D4975" s="79">
        <v>345</v>
      </c>
    </row>
    <row r="4976" spans="1:4" x14ac:dyDescent="0.3">
      <c r="A4976" s="88" t="s">
        <v>35</v>
      </c>
      <c r="B4976" s="88"/>
      <c r="C4976" s="16">
        <v>46320</v>
      </c>
      <c r="D4976" s="79">
        <v>5610.3000000000011</v>
      </c>
    </row>
    <row r="4977" spans="1:4" x14ac:dyDescent="0.3">
      <c r="A4977" s="88" t="s">
        <v>193</v>
      </c>
      <c r="B4977" s="88"/>
      <c r="C4977" s="16">
        <v>46320</v>
      </c>
      <c r="D4977" s="79">
        <v>1329346.53</v>
      </c>
    </row>
    <row r="4978" spans="1:4" x14ac:dyDescent="0.3">
      <c r="A4978" s="88" t="s">
        <v>214</v>
      </c>
      <c r="B4978" s="88"/>
      <c r="C4978" s="16">
        <v>46320</v>
      </c>
      <c r="D4978" s="79">
        <v>142015.14000000004</v>
      </c>
    </row>
    <row r="4979" spans="1:4" x14ac:dyDescent="0.3">
      <c r="A4979" s="88" t="s">
        <v>194</v>
      </c>
      <c r="B4979" s="88"/>
      <c r="C4979" s="16">
        <v>46320</v>
      </c>
      <c r="D4979" s="79">
        <v>22170.959999999999</v>
      </c>
    </row>
    <row r="4980" spans="1:4" x14ac:dyDescent="0.3">
      <c r="A4980" s="88" t="s">
        <v>195</v>
      </c>
      <c r="B4980" s="88"/>
      <c r="C4980" s="16">
        <v>46320</v>
      </c>
      <c r="D4980" s="79">
        <v>3906.17</v>
      </c>
    </row>
    <row r="4981" spans="1:4" x14ac:dyDescent="0.3">
      <c r="A4981" s="88" t="s">
        <v>196</v>
      </c>
      <c r="B4981" s="88"/>
      <c r="C4981" s="16">
        <v>46320</v>
      </c>
      <c r="D4981" s="79">
        <v>98993.819999999978</v>
      </c>
    </row>
    <row r="4982" spans="1:4" x14ac:dyDescent="0.3">
      <c r="A4982" s="88" t="s">
        <v>197</v>
      </c>
      <c r="B4982" s="88"/>
      <c r="C4982" s="16">
        <v>46320</v>
      </c>
      <c r="D4982" s="79">
        <v>794.01</v>
      </c>
    </row>
    <row r="4983" spans="1:4" x14ac:dyDescent="0.3">
      <c r="A4983" s="88" t="s">
        <v>212</v>
      </c>
      <c r="B4983" s="88"/>
      <c r="C4983" s="16">
        <v>46320</v>
      </c>
      <c r="D4983" s="79">
        <v>5445.57</v>
      </c>
    </row>
    <row r="4984" spans="1:4" x14ac:dyDescent="0.3">
      <c r="A4984" s="88" t="s">
        <v>199</v>
      </c>
      <c r="B4984" s="88"/>
      <c r="C4984" s="16">
        <v>46320</v>
      </c>
      <c r="D4984" s="79">
        <v>246769.28999999998</v>
      </c>
    </row>
    <row r="4985" spans="1:4" x14ac:dyDescent="0.3">
      <c r="A4985" s="88" t="s">
        <v>217</v>
      </c>
      <c r="B4985" s="88"/>
      <c r="C4985" s="16">
        <v>46320</v>
      </c>
      <c r="D4985" s="79">
        <v>351319.16</v>
      </c>
    </row>
    <row r="4986" spans="1:4" x14ac:dyDescent="0.3">
      <c r="A4986" s="88" t="s">
        <v>17</v>
      </c>
      <c r="B4986" s="88"/>
      <c r="C4986" s="16">
        <v>46321</v>
      </c>
      <c r="D4986" s="79">
        <v>1476295.6900000006</v>
      </c>
    </row>
    <row r="4987" spans="1:4" x14ac:dyDescent="0.3">
      <c r="A4987" s="88" t="s">
        <v>18</v>
      </c>
      <c r="B4987" s="88"/>
      <c r="C4987" s="16">
        <v>46321</v>
      </c>
      <c r="D4987" s="79">
        <v>103123.59000000017</v>
      </c>
    </row>
    <row r="4988" spans="1:4" x14ac:dyDescent="0.3">
      <c r="A4988" s="88" t="s">
        <v>19</v>
      </c>
      <c r="B4988" s="88"/>
      <c r="C4988" s="16">
        <v>46321</v>
      </c>
      <c r="D4988" s="79">
        <v>1669.89</v>
      </c>
    </row>
    <row r="4989" spans="1:4" x14ac:dyDescent="0.3">
      <c r="A4989" s="88" t="s">
        <v>20</v>
      </c>
      <c r="B4989" s="88"/>
      <c r="C4989" s="16">
        <v>46321</v>
      </c>
      <c r="D4989" s="79">
        <v>1136684.5399999996</v>
      </c>
    </row>
    <row r="4990" spans="1:4" x14ac:dyDescent="0.3">
      <c r="A4990" s="88" t="s">
        <v>21</v>
      </c>
      <c r="B4990" s="88"/>
      <c r="C4990" s="16">
        <v>46321</v>
      </c>
      <c r="D4990" s="79">
        <v>1280371.5299999991</v>
      </c>
    </row>
    <row r="4991" spans="1:4" x14ac:dyDescent="0.3">
      <c r="A4991" s="88" t="s">
        <v>22</v>
      </c>
      <c r="B4991" s="88"/>
      <c r="C4991" s="16">
        <v>46321</v>
      </c>
      <c r="D4991" s="79">
        <v>161763.14000000001</v>
      </c>
    </row>
    <row r="4992" spans="1:4" x14ac:dyDescent="0.3">
      <c r="A4992" s="88" t="s">
        <v>23</v>
      </c>
      <c r="B4992" s="88"/>
      <c r="C4992" s="16">
        <v>46321</v>
      </c>
      <c r="D4992" s="79">
        <v>80533.579999999987</v>
      </c>
    </row>
    <row r="4993" spans="1:4" x14ac:dyDescent="0.3">
      <c r="A4993" s="88" t="s">
        <v>24</v>
      </c>
      <c r="B4993" s="88"/>
      <c r="C4993" s="16">
        <v>46321</v>
      </c>
      <c r="D4993" s="79">
        <v>10259.18</v>
      </c>
    </row>
    <row r="4994" spans="1:4" x14ac:dyDescent="0.3">
      <c r="A4994" s="88" t="s">
        <v>25</v>
      </c>
      <c r="B4994" s="88"/>
      <c r="C4994" s="16">
        <v>46321</v>
      </c>
      <c r="D4994" s="79">
        <v>64.55</v>
      </c>
    </row>
    <row r="4995" spans="1:4" x14ac:dyDescent="0.3">
      <c r="A4995" s="88" t="s">
        <v>26</v>
      </c>
      <c r="B4995" s="88"/>
      <c r="C4995" s="16">
        <v>46321</v>
      </c>
      <c r="D4995" s="79">
        <v>2117.9700000000003</v>
      </c>
    </row>
    <row r="4996" spans="1:4" x14ac:dyDescent="0.3">
      <c r="A4996" s="88" t="s">
        <v>27</v>
      </c>
      <c r="B4996" s="88"/>
      <c r="C4996" s="16">
        <v>46321</v>
      </c>
      <c r="D4996" s="79">
        <v>17895.290000000015</v>
      </c>
    </row>
    <row r="4997" spans="1:4" x14ac:dyDescent="0.3">
      <c r="A4997" s="88" t="s">
        <v>28</v>
      </c>
      <c r="B4997" s="88"/>
      <c r="C4997" s="16">
        <v>46321</v>
      </c>
      <c r="D4997" s="79">
        <v>1968.99</v>
      </c>
    </row>
    <row r="4998" spans="1:4" x14ac:dyDescent="0.3">
      <c r="A4998" s="88" t="s">
        <v>29</v>
      </c>
      <c r="B4998" s="88"/>
      <c r="C4998" s="16">
        <v>46321</v>
      </c>
      <c r="D4998" s="79">
        <v>901.34</v>
      </c>
    </row>
    <row r="4999" spans="1:4" x14ac:dyDescent="0.3">
      <c r="A4999" s="88" t="s">
        <v>30</v>
      </c>
      <c r="B4999" s="88"/>
      <c r="C4999" s="16">
        <v>46321</v>
      </c>
      <c r="D4999" s="79">
        <v>1364.08</v>
      </c>
    </row>
    <row r="5000" spans="1:4" x14ac:dyDescent="0.3">
      <c r="A5000" s="88" t="s">
        <v>31</v>
      </c>
      <c r="B5000" s="88"/>
      <c r="C5000" s="16">
        <v>46321</v>
      </c>
      <c r="D5000" s="79">
        <v>39894.049999999959</v>
      </c>
    </row>
    <row r="5001" spans="1:4" x14ac:dyDescent="0.3">
      <c r="A5001" s="88" t="s">
        <v>32</v>
      </c>
      <c r="B5001" s="88"/>
      <c r="C5001" s="16">
        <v>46321</v>
      </c>
      <c r="D5001" s="79">
        <v>13576.060000000007</v>
      </c>
    </row>
    <row r="5002" spans="1:4" x14ac:dyDescent="0.3">
      <c r="A5002" s="88" t="s">
        <v>33</v>
      </c>
      <c r="B5002" s="88"/>
      <c r="C5002" s="16">
        <v>46321</v>
      </c>
      <c r="D5002" s="79">
        <v>16303.769999999997</v>
      </c>
    </row>
    <row r="5003" spans="1:4" x14ac:dyDescent="0.3">
      <c r="A5003" s="88" t="s">
        <v>34</v>
      </c>
      <c r="B5003" s="88"/>
      <c r="C5003" s="16">
        <v>46321</v>
      </c>
      <c r="D5003" s="79">
        <v>345</v>
      </c>
    </row>
    <row r="5004" spans="1:4" x14ac:dyDescent="0.3">
      <c r="A5004" s="88" t="s">
        <v>35</v>
      </c>
      <c r="B5004" s="88"/>
      <c r="C5004" s="16">
        <v>46321</v>
      </c>
      <c r="D5004" s="79">
        <v>5610.3000000000011</v>
      </c>
    </row>
    <row r="5005" spans="1:4" x14ac:dyDescent="0.3">
      <c r="A5005" s="88" t="s">
        <v>193</v>
      </c>
      <c r="B5005" s="88"/>
      <c r="C5005" s="16">
        <v>46321</v>
      </c>
      <c r="D5005" s="79">
        <v>1329346.53</v>
      </c>
    </row>
    <row r="5006" spans="1:4" x14ac:dyDescent="0.3">
      <c r="A5006" s="88" t="s">
        <v>214</v>
      </c>
      <c r="B5006" s="88"/>
      <c r="C5006" s="16">
        <v>46321</v>
      </c>
      <c r="D5006" s="79">
        <v>142015.14000000004</v>
      </c>
    </row>
    <row r="5007" spans="1:4" x14ac:dyDescent="0.3">
      <c r="A5007" s="88" t="s">
        <v>194</v>
      </c>
      <c r="B5007" s="88"/>
      <c r="C5007" s="16">
        <v>46321</v>
      </c>
      <c r="D5007" s="79">
        <v>22170.959999999999</v>
      </c>
    </row>
    <row r="5008" spans="1:4" x14ac:dyDescent="0.3">
      <c r="A5008" s="88" t="s">
        <v>195</v>
      </c>
      <c r="B5008" s="88"/>
      <c r="C5008" s="16">
        <v>46321</v>
      </c>
      <c r="D5008" s="79">
        <v>3906.17</v>
      </c>
    </row>
    <row r="5009" spans="1:4" x14ac:dyDescent="0.3">
      <c r="A5009" s="88" t="s">
        <v>196</v>
      </c>
      <c r="B5009" s="88"/>
      <c r="C5009" s="16">
        <v>46321</v>
      </c>
      <c r="D5009" s="79">
        <v>98993.819999999978</v>
      </c>
    </row>
    <row r="5010" spans="1:4" x14ac:dyDescent="0.3">
      <c r="A5010" s="88" t="s">
        <v>197</v>
      </c>
      <c r="B5010" s="88"/>
      <c r="C5010" s="16">
        <v>46321</v>
      </c>
      <c r="D5010" s="79">
        <v>794.01</v>
      </c>
    </row>
    <row r="5011" spans="1:4" x14ac:dyDescent="0.3">
      <c r="A5011" s="88" t="s">
        <v>212</v>
      </c>
      <c r="B5011" s="88"/>
      <c r="C5011" s="16">
        <v>46321</v>
      </c>
      <c r="D5011" s="79">
        <v>5445.57</v>
      </c>
    </row>
    <row r="5012" spans="1:4" x14ac:dyDescent="0.3">
      <c r="A5012" s="88" t="s">
        <v>199</v>
      </c>
      <c r="B5012" s="88"/>
      <c r="C5012" s="16">
        <v>46321</v>
      </c>
      <c r="D5012" s="79">
        <v>246769.28999999998</v>
      </c>
    </row>
    <row r="5013" spans="1:4" x14ac:dyDescent="0.3">
      <c r="A5013" s="88" t="s">
        <v>217</v>
      </c>
      <c r="B5013" s="88"/>
      <c r="C5013" s="16">
        <v>46321</v>
      </c>
      <c r="D5013" s="79">
        <v>351319.16</v>
      </c>
    </row>
    <row r="5014" spans="1:4" x14ac:dyDescent="0.3">
      <c r="A5014" s="88" t="s">
        <v>17</v>
      </c>
      <c r="B5014" s="88"/>
      <c r="C5014" s="16">
        <v>46322</v>
      </c>
      <c r="D5014" s="79">
        <v>1476295.6900000006</v>
      </c>
    </row>
    <row r="5015" spans="1:4" x14ac:dyDescent="0.3">
      <c r="A5015" s="88" t="s">
        <v>18</v>
      </c>
      <c r="B5015" s="88"/>
      <c r="C5015" s="16">
        <v>46322</v>
      </c>
      <c r="D5015" s="79">
        <v>110102.70000000016</v>
      </c>
    </row>
    <row r="5016" spans="1:4" x14ac:dyDescent="0.3">
      <c r="A5016" s="88" t="s">
        <v>19</v>
      </c>
      <c r="B5016" s="88"/>
      <c r="C5016" s="16">
        <v>46322</v>
      </c>
      <c r="D5016" s="79">
        <v>1669.89</v>
      </c>
    </row>
    <row r="5017" spans="1:4" x14ac:dyDescent="0.3">
      <c r="A5017" s="88" t="s">
        <v>20</v>
      </c>
      <c r="B5017" s="88"/>
      <c r="C5017" s="16">
        <v>46322</v>
      </c>
      <c r="D5017" s="79">
        <v>1136684.5399999996</v>
      </c>
    </row>
    <row r="5018" spans="1:4" x14ac:dyDescent="0.3">
      <c r="A5018" s="88" t="s">
        <v>21</v>
      </c>
      <c r="B5018" s="88"/>
      <c r="C5018" s="16">
        <v>46322</v>
      </c>
      <c r="D5018" s="79">
        <v>1280371.0299999991</v>
      </c>
    </row>
    <row r="5019" spans="1:4" x14ac:dyDescent="0.3">
      <c r="A5019" s="88" t="s">
        <v>22</v>
      </c>
      <c r="B5019" s="88"/>
      <c r="C5019" s="16">
        <v>46322</v>
      </c>
      <c r="D5019" s="79">
        <v>161763.14000000001</v>
      </c>
    </row>
    <row r="5020" spans="1:4" x14ac:dyDescent="0.3">
      <c r="A5020" s="88" t="s">
        <v>23</v>
      </c>
      <c r="B5020" s="88"/>
      <c r="C5020" s="16">
        <v>46322</v>
      </c>
      <c r="D5020" s="79">
        <v>80533.579999999987</v>
      </c>
    </row>
    <row r="5021" spans="1:4" x14ac:dyDescent="0.3">
      <c r="A5021" s="88" t="s">
        <v>24</v>
      </c>
      <c r="B5021" s="88"/>
      <c r="C5021" s="16">
        <v>46322</v>
      </c>
      <c r="D5021" s="79">
        <v>10259.18</v>
      </c>
    </row>
    <row r="5022" spans="1:4" x14ac:dyDescent="0.3">
      <c r="A5022" s="88" t="s">
        <v>25</v>
      </c>
      <c r="B5022" s="88"/>
      <c r="C5022" s="16">
        <v>46322</v>
      </c>
      <c r="D5022" s="79">
        <v>64.55</v>
      </c>
    </row>
    <row r="5023" spans="1:4" x14ac:dyDescent="0.3">
      <c r="A5023" s="88" t="s">
        <v>26</v>
      </c>
      <c r="B5023" s="88"/>
      <c r="C5023" s="16">
        <v>46322</v>
      </c>
      <c r="D5023" s="79">
        <v>2117.9700000000003</v>
      </c>
    </row>
    <row r="5024" spans="1:4" x14ac:dyDescent="0.3">
      <c r="A5024" s="88" t="s">
        <v>27</v>
      </c>
      <c r="B5024" s="88"/>
      <c r="C5024" s="16">
        <v>46322</v>
      </c>
      <c r="D5024" s="79">
        <v>17895.290000000015</v>
      </c>
    </row>
    <row r="5025" spans="1:4" x14ac:dyDescent="0.3">
      <c r="A5025" s="88" t="s">
        <v>28</v>
      </c>
      <c r="B5025" s="88"/>
      <c r="C5025" s="16">
        <v>46322</v>
      </c>
      <c r="D5025" s="79">
        <v>1968.99</v>
      </c>
    </row>
    <row r="5026" spans="1:4" x14ac:dyDescent="0.3">
      <c r="A5026" s="88" t="s">
        <v>29</v>
      </c>
      <c r="B5026" s="88"/>
      <c r="C5026" s="16">
        <v>46322</v>
      </c>
      <c r="D5026" s="79">
        <v>901.34</v>
      </c>
    </row>
    <row r="5027" spans="1:4" x14ac:dyDescent="0.3">
      <c r="A5027" s="88" t="s">
        <v>30</v>
      </c>
      <c r="B5027" s="88"/>
      <c r="C5027" s="16">
        <v>46322</v>
      </c>
      <c r="D5027" s="79">
        <v>1364.08</v>
      </c>
    </row>
    <row r="5028" spans="1:4" x14ac:dyDescent="0.3">
      <c r="A5028" s="88" t="s">
        <v>31</v>
      </c>
      <c r="B5028" s="88"/>
      <c r="C5028" s="16">
        <v>46322</v>
      </c>
      <c r="D5028" s="79">
        <v>39744.97999999996</v>
      </c>
    </row>
    <row r="5029" spans="1:4" x14ac:dyDescent="0.3">
      <c r="A5029" s="88" t="s">
        <v>32</v>
      </c>
      <c r="B5029" s="88"/>
      <c r="C5029" s="16">
        <v>46322</v>
      </c>
      <c r="D5029" s="79">
        <v>13576.060000000007</v>
      </c>
    </row>
    <row r="5030" spans="1:4" x14ac:dyDescent="0.3">
      <c r="A5030" s="88" t="s">
        <v>33</v>
      </c>
      <c r="B5030" s="88"/>
      <c r="C5030" s="16">
        <v>46322</v>
      </c>
      <c r="D5030" s="79">
        <v>16303.769999999997</v>
      </c>
    </row>
    <row r="5031" spans="1:4" x14ac:dyDescent="0.3">
      <c r="A5031" s="88" t="s">
        <v>34</v>
      </c>
      <c r="B5031" s="88"/>
      <c r="C5031" s="16">
        <v>46322</v>
      </c>
      <c r="D5031" s="79">
        <v>345</v>
      </c>
    </row>
    <row r="5032" spans="1:4" x14ac:dyDescent="0.3">
      <c r="A5032" s="88" t="s">
        <v>35</v>
      </c>
      <c r="B5032" s="88"/>
      <c r="C5032" s="16">
        <v>46322</v>
      </c>
      <c r="D5032" s="79">
        <v>5610.3000000000011</v>
      </c>
    </row>
    <row r="5033" spans="1:4" x14ac:dyDescent="0.3">
      <c r="A5033" s="88" t="s">
        <v>193</v>
      </c>
      <c r="B5033" s="88"/>
      <c r="C5033" s="16">
        <v>46322</v>
      </c>
      <c r="D5033" s="79">
        <v>1329346.53</v>
      </c>
    </row>
    <row r="5034" spans="1:4" x14ac:dyDescent="0.3">
      <c r="A5034" s="88" t="s">
        <v>214</v>
      </c>
      <c r="B5034" s="88"/>
      <c r="C5034" s="16">
        <v>46322</v>
      </c>
      <c r="D5034" s="79">
        <v>142015.14000000004</v>
      </c>
    </row>
    <row r="5035" spans="1:4" x14ac:dyDescent="0.3">
      <c r="A5035" s="88" t="s">
        <v>194</v>
      </c>
      <c r="B5035" s="88"/>
      <c r="C5035" s="16">
        <v>46322</v>
      </c>
      <c r="D5035" s="79">
        <v>22170.959999999999</v>
      </c>
    </row>
    <row r="5036" spans="1:4" x14ac:dyDescent="0.3">
      <c r="A5036" s="88" t="s">
        <v>195</v>
      </c>
      <c r="B5036" s="88"/>
      <c r="C5036" s="16">
        <v>46322</v>
      </c>
      <c r="D5036" s="79">
        <v>3906.17</v>
      </c>
    </row>
    <row r="5037" spans="1:4" x14ac:dyDescent="0.3">
      <c r="A5037" s="88" t="s">
        <v>196</v>
      </c>
      <c r="B5037" s="88"/>
      <c r="C5037" s="16">
        <v>46322</v>
      </c>
      <c r="D5037" s="79">
        <v>98993.819999999978</v>
      </c>
    </row>
    <row r="5038" spans="1:4" x14ac:dyDescent="0.3">
      <c r="A5038" s="88" t="s">
        <v>197</v>
      </c>
      <c r="B5038" s="88"/>
      <c r="C5038" s="16">
        <v>46322</v>
      </c>
      <c r="D5038" s="79">
        <v>794.01</v>
      </c>
    </row>
    <row r="5039" spans="1:4" x14ac:dyDescent="0.3">
      <c r="A5039" s="88" t="s">
        <v>212</v>
      </c>
      <c r="B5039" s="88"/>
      <c r="C5039" s="16">
        <v>46322</v>
      </c>
      <c r="D5039" s="79">
        <v>5445.57</v>
      </c>
    </row>
    <row r="5040" spans="1:4" x14ac:dyDescent="0.3">
      <c r="A5040" s="88" t="s">
        <v>199</v>
      </c>
      <c r="B5040" s="88"/>
      <c r="C5040" s="16">
        <v>46322</v>
      </c>
      <c r="D5040" s="79">
        <v>246769.28999999998</v>
      </c>
    </row>
    <row r="5041" spans="1:4" x14ac:dyDescent="0.3">
      <c r="A5041" s="88" t="s">
        <v>217</v>
      </c>
      <c r="B5041" s="88"/>
      <c r="C5041" s="16">
        <v>46322</v>
      </c>
      <c r="D5041" s="79">
        <v>351319.16</v>
      </c>
    </row>
    <row r="5042" spans="1:4" x14ac:dyDescent="0.3">
      <c r="A5042" s="88" t="s">
        <v>17</v>
      </c>
      <c r="B5042" s="88"/>
      <c r="C5042" s="16">
        <v>46323</v>
      </c>
      <c r="D5042" s="79">
        <v>3904867.1200000006</v>
      </c>
    </row>
    <row r="5043" spans="1:4" x14ac:dyDescent="0.3">
      <c r="A5043" s="88" t="s">
        <v>18</v>
      </c>
      <c r="B5043" s="88"/>
      <c r="C5043" s="16">
        <v>46323</v>
      </c>
      <c r="D5043" s="79">
        <v>110102.70000000016</v>
      </c>
    </row>
    <row r="5044" spans="1:4" x14ac:dyDescent="0.3">
      <c r="A5044" s="88" t="s">
        <v>19</v>
      </c>
      <c r="B5044" s="88"/>
      <c r="C5044" s="16">
        <v>46323</v>
      </c>
      <c r="D5044" s="79">
        <v>1669.89</v>
      </c>
    </row>
    <row r="5045" spans="1:4" x14ac:dyDescent="0.3">
      <c r="A5045" s="88" t="s">
        <v>20</v>
      </c>
      <c r="B5045" s="88"/>
      <c r="C5045" s="16">
        <v>46323</v>
      </c>
      <c r="D5045" s="79">
        <v>1136684.5399999996</v>
      </c>
    </row>
    <row r="5046" spans="1:4" x14ac:dyDescent="0.3">
      <c r="A5046" s="88" t="s">
        <v>21</v>
      </c>
      <c r="B5046" s="88"/>
      <c r="C5046" s="16">
        <v>46323</v>
      </c>
      <c r="D5046" s="79">
        <v>1279844.2799999991</v>
      </c>
    </row>
    <row r="5047" spans="1:4" x14ac:dyDescent="0.3">
      <c r="A5047" s="88" t="s">
        <v>22</v>
      </c>
      <c r="B5047" s="88"/>
      <c r="C5047" s="16">
        <v>46323</v>
      </c>
      <c r="D5047" s="79">
        <v>161763.14000000001</v>
      </c>
    </row>
    <row r="5048" spans="1:4" x14ac:dyDescent="0.3">
      <c r="A5048" s="88" t="s">
        <v>23</v>
      </c>
      <c r="B5048" s="88"/>
      <c r="C5048" s="16">
        <v>46323</v>
      </c>
      <c r="D5048" s="79">
        <v>80533.579999999987</v>
      </c>
    </row>
    <row r="5049" spans="1:4" x14ac:dyDescent="0.3">
      <c r="A5049" s="88" t="s">
        <v>24</v>
      </c>
      <c r="B5049" s="88"/>
      <c r="C5049" s="16">
        <v>46323</v>
      </c>
      <c r="D5049" s="79">
        <v>10259.18</v>
      </c>
    </row>
    <row r="5050" spans="1:4" x14ac:dyDescent="0.3">
      <c r="A5050" s="88" t="s">
        <v>25</v>
      </c>
      <c r="B5050" s="88"/>
      <c r="C5050" s="16">
        <v>46323</v>
      </c>
      <c r="D5050" s="79">
        <v>64.55</v>
      </c>
    </row>
    <row r="5051" spans="1:4" x14ac:dyDescent="0.3">
      <c r="A5051" s="88" t="s">
        <v>26</v>
      </c>
      <c r="B5051" s="88"/>
      <c r="C5051" s="16">
        <v>46323</v>
      </c>
      <c r="D5051" s="79">
        <v>2117.9700000000003</v>
      </c>
    </row>
    <row r="5052" spans="1:4" x14ac:dyDescent="0.3">
      <c r="A5052" s="88" t="s">
        <v>27</v>
      </c>
      <c r="B5052" s="88"/>
      <c r="C5052" s="16">
        <v>46323</v>
      </c>
      <c r="D5052" s="79">
        <v>17895.290000000015</v>
      </c>
    </row>
    <row r="5053" spans="1:4" x14ac:dyDescent="0.3">
      <c r="A5053" s="88" t="s">
        <v>28</v>
      </c>
      <c r="B5053" s="88"/>
      <c r="C5053" s="16">
        <v>46323</v>
      </c>
      <c r="D5053" s="79">
        <v>1968.99</v>
      </c>
    </row>
    <row r="5054" spans="1:4" x14ac:dyDescent="0.3">
      <c r="A5054" s="88" t="s">
        <v>29</v>
      </c>
      <c r="B5054" s="88"/>
      <c r="C5054" s="16">
        <v>46323</v>
      </c>
      <c r="D5054" s="79">
        <v>901.34</v>
      </c>
    </row>
    <row r="5055" spans="1:4" x14ac:dyDescent="0.3">
      <c r="A5055" s="88" t="s">
        <v>30</v>
      </c>
      <c r="B5055" s="88"/>
      <c r="C5055" s="16">
        <v>46323</v>
      </c>
      <c r="D5055" s="79">
        <v>1364.08</v>
      </c>
    </row>
    <row r="5056" spans="1:4" x14ac:dyDescent="0.3">
      <c r="A5056" s="88" t="s">
        <v>31</v>
      </c>
      <c r="B5056" s="88"/>
      <c r="C5056" s="16">
        <v>46323</v>
      </c>
      <c r="D5056" s="79">
        <v>39744.97999999996</v>
      </c>
    </row>
    <row r="5057" spans="1:4" x14ac:dyDescent="0.3">
      <c r="A5057" s="88" t="s">
        <v>32</v>
      </c>
      <c r="B5057" s="88"/>
      <c r="C5057" s="16">
        <v>46323</v>
      </c>
      <c r="D5057" s="79">
        <v>13499.110000000008</v>
      </c>
    </row>
    <row r="5058" spans="1:4" x14ac:dyDescent="0.3">
      <c r="A5058" s="88" t="s">
        <v>33</v>
      </c>
      <c r="B5058" s="88"/>
      <c r="C5058" s="16">
        <v>46323</v>
      </c>
      <c r="D5058" s="79">
        <v>16303.769999999997</v>
      </c>
    </row>
    <row r="5059" spans="1:4" x14ac:dyDescent="0.3">
      <c r="A5059" s="88" t="s">
        <v>34</v>
      </c>
      <c r="B5059" s="88"/>
      <c r="C5059" s="16">
        <v>46323</v>
      </c>
      <c r="D5059" s="79">
        <v>345</v>
      </c>
    </row>
    <row r="5060" spans="1:4" x14ac:dyDescent="0.3">
      <c r="A5060" s="88" t="s">
        <v>35</v>
      </c>
      <c r="B5060" s="88"/>
      <c r="C5060" s="16">
        <v>46323</v>
      </c>
      <c r="D5060" s="79">
        <v>5293.4800000000014</v>
      </c>
    </row>
    <row r="5061" spans="1:4" x14ac:dyDescent="0.3">
      <c r="A5061" s="88" t="s">
        <v>193</v>
      </c>
      <c r="B5061" s="88"/>
      <c r="C5061" s="16">
        <v>46323</v>
      </c>
      <c r="D5061" s="79">
        <v>1329346.53</v>
      </c>
    </row>
    <row r="5062" spans="1:4" x14ac:dyDescent="0.3">
      <c r="A5062" s="88" t="s">
        <v>214</v>
      </c>
      <c r="B5062" s="88"/>
      <c r="C5062" s="16">
        <v>46323</v>
      </c>
      <c r="D5062" s="79">
        <v>142015.14000000004</v>
      </c>
    </row>
    <row r="5063" spans="1:4" x14ac:dyDescent="0.3">
      <c r="A5063" s="88" t="s">
        <v>194</v>
      </c>
      <c r="B5063" s="88"/>
      <c r="C5063" s="16">
        <v>46323</v>
      </c>
      <c r="D5063" s="79">
        <v>22170.959999999999</v>
      </c>
    </row>
    <row r="5064" spans="1:4" x14ac:dyDescent="0.3">
      <c r="A5064" s="88" t="s">
        <v>195</v>
      </c>
      <c r="B5064" s="88"/>
      <c r="C5064" s="16">
        <v>46323</v>
      </c>
      <c r="D5064" s="79">
        <v>3906.17</v>
      </c>
    </row>
    <row r="5065" spans="1:4" x14ac:dyDescent="0.3">
      <c r="A5065" s="88" t="s">
        <v>196</v>
      </c>
      <c r="B5065" s="88"/>
      <c r="C5065" s="16">
        <v>46323</v>
      </c>
      <c r="D5065" s="79">
        <v>98993.819999999978</v>
      </c>
    </row>
    <row r="5066" spans="1:4" x14ac:dyDescent="0.3">
      <c r="A5066" s="88" t="s">
        <v>197</v>
      </c>
      <c r="B5066" s="88"/>
      <c r="C5066" s="16">
        <v>46323</v>
      </c>
      <c r="D5066" s="79">
        <v>794.01</v>
      </c>
    </row>
    <row r="5067" spans="1:4" x14ac:dyDescent="0.3">
      <c r="A5067" s="88" t="s">
        <v>212</v>
      </c>
      <c r="B5067" s="88"/>
      <c r="C5067" s="16">
        <v>46323</v>
      </c>
      <c r="D5067" s="79">
        <v>5445.57</v>
      </c>
    </row>
    <row r="5068" spans="1:4" x14ac:dyDescent="0.3">
      <c r="A5068" s="88" t="s">
        <v>199</v>
      </c>
      <c r="B5068" s="88"/>
      <c r="C5068" s="16">
        <v>46323</v>
      </c>
      <c r="D5068" s="79">
        <v>246769.28999999998</v>
      </c>
    </row>
    <row r="5069" spans="1:4" x14ac:dyDescent="0.3">
      <c r="A5069" s="88" t="s">
        <v>217</v>
      </c>
      <c r="B5069" s="88"/>
      <c r="C5069" s="16">
        <v>46323</v>
      </c>
      <c r="D5069" s="79">
        <v>351319.16</v>
      </c>
    </row>
    <row r="5070" spans="1:4" x14ac:dyDescent="0.3">
      <c r="A5070" s="88" t="s">
        <v>17</v>
      </c>
      <c r="B5070" s="88"/>
      <c r="C5070" s="16">
        <v>46324</v>
      </c>
      <c r="D5070" s="79">
        <v>4116853.3700000006</v>
      </c>
    </row>
    <row r="5071" spans="1:4" x14ac:dyDescent="0.3">
      <c r="A5071" s="88" t="s">
        <v>18</v>
      </c>
      <c r="B5071" s="88"/>
      <c r="C5071" s="16">
        <v>46324</v>
      </c>
      <c r="D5071" s="79">
        <v>112654.76000000015</v>
      </c>
    </row>
    <row r="5072" spans="1:4" x14ac:dyDescent="0.3">
      <c r="A5072" s="88" t="s">
        <v>19</v>
      </c>
      <c r="B5072" s="88"/>
      <c r="C5072" s="16">
        <v>46324</v>
      </c>
      <c r="D5072" s="79">
        <v>1669.89</v>
      </c>
    </row>
    <row r="5073" spans="1:4" x14ac:dyDescent="0.3">
      <c r="A5073" s="88" t="s">
        <v>20</v>
      </c>
      <c r="B5073" s="88"/>
      <c r="C5073" s="16">
        <v>46324</v>
      </c>
      <c r="D5073" s="79">
        <v>1161160.8399999996</v>
      </c>
    </row>
    <row r="5074" spans="1:4" x14ac:dyDescent="0.3">
      <c r="A5074" s="88" t="s">
        <v>21</v>
      </c>
      <c r="B5074" s="88"/>
      <c r="C5074" s="16">
        <v>46324</v>
      </c>
      <c r="D5074" s="79">
        <v>1113154.8099999991</v>
      </c>
    </row>
    <row r="5075" spans="1:4" x14ac:dyDescent="0.3">
      <c r="A5075" s="88" t="s">
        <v>22</v>
      </c>
      <c r="B5075" s="88"/>
      <c r="C5075" s="16">
        <v>46324</v>
      </c>
      <c r="D5075" s="79">
        <v>161763.14000000001</v>
      </c>
    </row>
    <row r="5076" spans="1:4" x14ac:dyDescent="0.3">
      <c r="A5076" s="88" t="s">
        <v>23</v>
      </c>
      <c r="B5076" s="88"/>
      <c r="C5076" s="16">
        <v>46324</v>
      </c>
      <c r="D5076" s="79">
        <v>80533.579999999987</v>
      </c>
    </row>
    <row r="5077" spans="1:4" x14ac:dyDescent="0.3">
      <c r="A5077" s="88" t="s">
        <v>24</v>
      </c>
      <c r="B5077" s="88"/>
      <c r="C5077" s="16">
        <v>46324</v>
      </c>
      <c r="D5077" s="79">
        <v>10259.18</v>
      </c>
    </row>
    <row r="5078" spans="1:4" x14ac:dyDescent="0.3">
      <c r="A5078" s="88" t="s">
        <v>25</v>
      </c>
      <c r="B5078" s="88"/>
      <c r="C5078" s="16">
        <v>46324</v>
      </c>
      <c r="D5078" s="79">
        <v>64.55</v>
      </c>
    </row>
    <row r="5079" spans="1:4" x14ac:dyDescent="0.3">
      <c r="A5079" s="88" t="s">
        <v>26</v>
      </c>
      <c r="B5079" s="88"/>
      <c r="C5079" s="16">
        <v>46324</v>
      </c>
      <c r="D5079" s="79">
        <v>2117.9700000000003</v>
      </c>
    </row>
    <row r="5080" spans="1:4" x14ac:dyDescent="0.3">
      <c r="A5080" s="88" t="s">
        <v>27</v>
      </c>
      <c r="B5080" s="88"/>
      <c r="C5080" s="16">
        <v>46324</v>
      </c>
      <c r="D5080" s="79">
        <v>17895.290000000015</v>
      </c>
    </row>
    <row r="5081" spans="1:4" x14ac:dyDescent="0.3">
      <c r="A5081" s="88" t="s">
        <v>28</v>
      </c>
      <c r="B5081" s="88"/>
      <c r="C5081" s="16">
        <v>46324</v>
      </c>
      <c r="D5081" s="79">
        <v>1968.99</v>
      </c>
    </row>
    <row r="5082" spans="1:4" x14ac:dyDescent="0.3">
      <c r="A5082" s="88" t="s">
        <v>29</v>
      </c>
      <c r="B5082" s="88"/>
      <c r="C5082" s="16">
        <v>46324</v>
      </c>
      <c r="D5082" s="79">
        <v>901.34</v>
      </c>
    </row>
    <row r="5083" spans="1:4" x14ac:dyDescent="0.3">
      <c r="A5083" s="88" t="s">
        <v>30</v>
      </c>
      <c r="B5083" s="88"/>
      <c r="C5083" s="16">
        <v>46324</v>
      </c>
      <c r="D5083" s="79">
        <v>1364.08</v>
      </c>
    </row>
    <row r="5084" spans="1:4" x14ac:dyDescent="0.3">
      <c r="A5084" s="88" t="s">
        <v>31</v>
      </c>
      <c r="B5084" s="88"/>
      <c r="C5084" s="16">
        <v>46324</v>
      </c>
      <c r="D5084" s="79">
        <v>44994.97999999996</v>
      </c>
    </row>
    <row r="5085" spans="1:4" x14ac:dyDescent="0.3">
      <c r="A5085" s="88" t="s">
        <v>32</v>
      </c>
      <c r="B5085" s="88"/>
      <c r="C5085" s="16">
        <v>46324</v>
      </c>
      <c r="D5085" s="79">
        <v>13499.110000000008</v>
      </c>
    </row>
    <row r="5086" spans="1:4" x14ac:dyDescent="0.3">
      <c r="A5086" s="88" t="s">
        <v>33</v>
      </c>
      <c r="B5086" s="88"/>
      <c r="C5086" s="16">
        <v>46324</v>
      </c>
      <c r="D5086" s="79">
        <v>19303.769999999997</v>
      </c>
    </row>
    <row r="5087" spans="1:4" x14ac:dyDescent="0.3">
      <c r="A5087" s="88" t="s">
        <v>34</v>
      </c>
      <c r="B5087" s="88"/>
      <c r="C5087" s="16">
        <v>46324</v>
      </c>
      <c r="D5087" s="79">
        <v>345</v>
      </c>
    </row>
    <row r="5088" spans="1:4" x14ac:dyDescent="0.3">
      <c r="A5088" s="88" t="s">
        <v>35</v>
      </c>
      <c r="B5088" s="88"/>
      <c r="C5088" s="16">
        <v>46324</v>
      </c>
      <c r="D5088" s="79">
        <v>5293.4800000000014</v>
      </c>
    </row>
    <row r="5089" spans="1:4" x14ac:dyDescent="0.3">
      <c r="A5089" s="88" t="s">
        <v>193</v>
      </c>
      <c r="B5089" s="88"/>
      <c r="C5089" s="16">
        <v>46324</v>
      </c>
      <c r="D5089" s="79">
        <v>1329346.53</v>
      </c>
    </row>
    <row r="5090" spans="1:4" x14ac:dyDescent="0.3">
      <c r="A5090" s="88" t="s">
        <v>214</v>
      </c>
      <c r="B5090" s="88"/>
      <c r="C5090" s="16">
        <v>46324</v>
      </c>
      <c r="D5090" s="79">
        <v>142015.14000000004</v>
      </c>
    </row>
    <row r="5091" spans="1:4" x14ac:dyDescent="0.3">
      <c r="A5091" s="88" t="s">
        <v>194</v>
      </c>
      <c r="B5091" s="88"/>
      <c r="C5091" s="16">
        <v>46324</v>
      </c>
      <c r="D5091" s="79">
        <v>22170.959999999999</v>
      </c>
    </row>
    <row r="5092" spans="1:4" x14ac:dyDescent="0.3">
      <c r="A5092" s="88" t="s">
        <v>195</v>
      </c>
      <c r="B5092" s="88"/>
      <c r="C5092" s="16">
        <v>46324</v>
      </c>
      <c r="D5092" s="79">
        <v>3906.17</v>
      </c>
    </row>
    <row r="5093" spans="1:4" x14ac:dyDescent="0.3">
      <c r="A5093" s="88" t="s">
        <v>196</v>
      </c>
      <c r="B5093" s="88"/>
      <c r="C5093" s="16">
        <v>46324</v>
      </c>
      <c r="D5093" s="79">
        <v>98478.63999999997</v>
      </c>
    </row>
    <row r="5094" spans="1:4" x14ac:dyDescent="0.3">
      <c r="A5094" s="88" t="s">
        <v>197</v>
      </c>
      <c r="B5094" s="88"/>
      <c r="C5094" s="16">
        <v>46324</v>
      </c>
      <c r="D5094" s="79">
        <v>794.01</v>
      </c>
    </row>
    <row r="5095" spans="1:4" x14ac:dyDescent="0.3">
      <c r="A5095" s="88" t="s">
        <v>212</v>
      </c>
      <c r="B5095" s="88"/>
      <c r="C5095" s="16">
        <v>46324</v>
      </c>
      <c r="D5095" s="79">
        <v>5445.57</v>
      </c>
    </row>
    <row r="5096" spans="1:4" x14ac:dyDescent="0.3">
      <c r="A5096" s="88" t="s">
        <v>199</v>
      </c>
      <c r="B5096" s="88"/>
      <c r="C5096" s="16">
        <v>46324</v>
      </c>
      <c r="D5096" s="79">
        <v>246769.28999999998</v>
      </c>
    </row>
    <row r="5097" spans="1:4" x14ac:dyDescent="0.3">
      <c r="A5097" s="88" t="s">
        <v>217</v>
      </c>
      <c r="B5097" s="88"/>
      <c r="C5097" s="16">
        <v>46324</v>
      </c>
      <c r="D5097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2026-10-30T15:29:19Z</dcterms:modified>
  <dc:language>en-US</dc:language>
</cp:coreProperties>
</file>